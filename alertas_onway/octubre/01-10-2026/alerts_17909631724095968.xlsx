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/>
      </c>
      <c r="J2" t="str">
        <v>01/10/2026</v>
      </c>
      <c r="K2" t="str">
        <v>05:38:37</v>
      </c>
      <c r="L2">
        <v>-12.210667</v>
      </c>
      <c r="M2">
        <v>-76.95499</v>
      </c>
      <c r="N2">
        <f>HYPERLINK("https://www.google.com/maps/search/?api=1&amp;query=-12.210667,-76.95499","Avenida Villa del Mar, Villa El Salvador, Lima")</f>
      </c>
      <c r="O2" t="str">
        <v>Vehículo encendido</v>
      </c>
      <c r="P2" t="str">
        <v/>
      </c>
      <c r="Q2">
        <v>719376.6</v>
      </c>
      <c r="R2" t="str">
        <v/>
      </c>
      <c r="S2">
        <v>0</v>
      </c>
      <c r="T2">
        <v>128.03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05:29:47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05:39:02</v>
      </c>
      <c r="AL2" t="str">
        <v>05:39:02</v>
      </c>
      <c r="AM2" t="str">
        <v/>
      </c>
    </row>
    <row r="3">
      <c r="A3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/>
      </c>
      <c r="J3" t="str">
        <v>01/10/2026</v>
      </c>
      <c r="K3" t="str">
        <v>06:04:59</v>
      </c>
      <c r="L3">
        <v>-12.276779</v>
      </c>
      <c r="M3">
        <v>-76.88884</v>
      </c>
      <c r="N3">
        <f>HYPERLINK("https://www.google.com/maps/search/?api=1&amp;query=-12.276779,-76.88884","Carretera Panamericana Sur, Lurín, Lima")</f>
      </c>
      <c r="O3" t="str">
        <v>Excedió el límite de velocidad</v>
      </c>
      <c r="P3" t="str">
        <v/>
      </c>
      <c r="Q3">
        <v>719392.5</v>
      </c>
      <c r="R3" t="str">
        <v/>
      </c>
      <c r="S3">
        <v>83.8</v>
      </c>
      <c r="T3">
        <v>128.03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06:04:59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06:05:23</v>
      </c>
      <c r="AL3" t="str">
        <v>06:05:23</v>
      </c>
      <c r="AM3" t="str">
        <v/>
      </c>
    </row>
    <row r="4">
      <c r="A4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/>
      </c>
      <c r="J4" t="str">
        <v>01/10/2026</v>
      </c>
      <c r="K4" t="str">
        <v>06:05:45</v>
      </c>
      <c r="L4">
        <v>-12.281772</v>
      </c>
      <c r="M4">
        <v>-76.88093</v>
      </c>
      <c r="N4">
        <f>HYPERLINK("https://www.google.com/maps/search/?api=1&amp;query=-12.281772,-76.88093","Carretera Panamericana Sur, Lurín, Lima")</f>
      </c>
      <c r="O4" t="str">
        <v>Excedió el límite de velocidad</v>
      </c>
      <c r="P4" t="str">
        <v/>
      </c>
      <c r="Q4">
        <v>719393.5</v>
      </c>
      <c r="R4" t="str">
        <v/>
      </c>
      <c r="S4">
        <v>82.8</v>
      </c>
      <c r="T4">
        <v>128.03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06:05:44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06:06:08</v>
      </c>
      <c r="AL4" t="str">
        <v>06:06:08</v>
      </c>
      <c r="AM4" t="str">
        <v/>
      </c>
    </row>
    <row r="5">
      <c r="A5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/>
      </c>
      <c r="J5" t="str">
        <v>01/10/2026</v>
      </c>
      <c r="K5" t="str">
        <v>06:06:38</v>
      </c>
      <c r="L5">
        <v>-12.287963</v>
      </c>
      <c r="M5">
        <v>-76.870995</v>
      </c>
      <c r="N5">
        <f>HYPERLINK("https://www.google.com/maps/search/?api=1&amp;query=-12.287963,-76.870995","Carretera Panamericana Sur, Lurín, Lima")</f>
      </c>
      <c r="O5" t="str">
        <v>Exceso de velocidad en segmento vial</v>
      </c>
      <c r="P5" t="str">
        <v/>
      </c>
      <c r="Q5">
        <v>719394.8</v>
      </c>
      <c r="R5" t="str">
        <v/>
      </c>
      <c r="S5">
        <v>100.7</v>
      </c>
      <c r="T5">
        <v>128.03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06:06:35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06:07:13</v>
      </c>
      <c r="AL5" t="str">
        <v>06:07:13</v>
      </c>
      <c r="AM5" t="str">
        <v/>
      </c>
    </row>
    <row r="6">
      <c r="A6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/>
      </c>
      <c r="J6" t="str">
        <v>01/10/2026</v>
      </c>
      <c r="K6" t="str">
        <v>06:07:59</v>
      </c>
      <c r="L6">
        <v>-12.296983</v>
      </c>
      <c r="M6">
        <v>-76.85597</v>
      </c>
      <c r="N6">
        <f>HYPERLINK("https://www.google.com/maps/search/?api=1&amp;query=-12.296983,-76.85597","Carretera Panamericana Sur, Lurín, Lima")</f>
      </c>
      <c r="O6" t="str">
        <v>Excedió el límite de velocidad</v>
      </c>
      <c r="P6" t="str">
        <v/>
      </c>
      <c r="Q6">
        <v>719396.7</v>
      </c>
      <c r="R6" t="str">
        <v/>
      </c>
      <c r="S6">
        <v>83.3</v>
      </c>
      <c r="T6">
        <v>128.03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06:07:59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06:08:22</v>
      </c>
      <c r="AL6" t="str">
        <v>06:08:22</v>
      </c>
      <c r="AM6" t="str">
        <v/>
      </c>
    </row>
    <row r="7">
      <c r="A7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/>
      </c>
      <c r="J7" t="str">
        <v>01/10/2026</v>
      </c>
      <c r="K7" t="str">
        <v>06:09:50</v>
      </c>
      <c r="L7">
        <v>-12.306836</v>
      </c>
      <c r="M7">
        <v>-76.83795</v>
      </c>
      <c r="N7">
        <f>HYPERLINK("https://www.google.com/maps/search/?api=1&amp;query=-12.306836,-76.83795","Carretera Panamericana Sur, Punta Hermosa, Lima")</f>
      </c>
      <c r="O7" t="str">
        <v>Excedió el límite de velocidad</v>
      </c>
      <c r="P7" t="str">
        <v/>
      </c>
      <c r="Q7">
        <v>719398.9</v>
      </c>
      <c r="R7" t="str">
        <v/>
      </c>
      <c r="S7">
        <v>88.1</v>
      </c>
      <c r="T7">
        <v>128.03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06:09:50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06:10:07</v>
      </c>
      <c r="AL7" t="str">
        <v>06:10:07</v>
      </c>
      <c r="AM7" t="str">
        <v/>
      </c>
    </row>
    <row r="8">
      <c r="A8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/>
      </c>
      <c r="J8" t="str">
        <v>01/10/2026</v>
      </c>
      <c r="K8" t="str">
        <v>06:10:38</v>
      </c>
      <c r="L8">
        <v>-12.315147</v>
      </c>
      <c r="M8">
        <v>-76.832184</v>
      </c>
      <c r="N8">
        <f>HYPERLINK("https://www.google.com/maps/search/?api=1&amp;query=-12.315147,-76.832184","Carretera Panamericana Sur, Punta Hermosa, Lima")</f>
      </c>
      <c r="O8" t="str">
        <v>Exceso de velocidad en segmento vial</v>
      </c>
      <c r="P8" t="str">
        <v/>
      </c>
      <c r="Q8">
        <v>719400.1</v>
      </c>
      <c r="R8" t="str">
        <v/>
      </c>
      <c r="S8">
        <v>80.8</v>
      </c>
      <c r="T8">
        <v>128.03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06:10:35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06:10:57</v>
      </c>
      <c r="AL8" t="str">
        <v>06:10:57</v>
      </c>
      <c r="AM8" t="str">
        <v/>
      </c>
    </row>
    <row r="9">
      <c r="A9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/>
      </c>
      <c r="J9" t="str">
        <v>01/10/2026</v>
      </c>
      <c r="K9" t="str">
        <v>06:10:59</v>
      </c>
      <c r="L9">
        <v>-12.319307</v>
      </c>
      <c r="M9">
        <v>-76.8294</v>
      </c>
      <c r="N9">
        <f>HYPERLINK("https://www.google.com/maps/search/?api=1&amp;query=-12.319307,-76.8294","Carretera Panamericana Sur, Punta Hermosa, Lima")</f>
      </c>
      <c r="O9" t="str">
        <v>Excedió el límite de velocidad</v>
      </c>
      <c r="P9" t="str">
        <v/>
      </c>
      <c r="Q9">
        <v>719400.6</v>
      </c>
      <c r="R9" t="str">
        <v/>
      </c>
      <c r="S9">
        <v>92.2</v>
      </c>
      <c r="T9">
        <v>128.03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06:10:59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06:11:19</v>
      </c>
      <c r="AL9" t="str">
        <v>06:11:19</v>
      </c>
      <c r="AM9" t="str">
        <v/>
      </c>
    </row>
    <row r="10">
      <c r="A10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/>
      </c>
      <c r="J10" t="str">
        <v>01/10/2026</v>
      </c>
      <c r="K10" t="str">
        <v>06:11:38</v>
      </c>
      <c r="L10">
        <v>-12.326192</v>
      </c>
      <c r="M10">
        <v>-76.8248</v>
      </c>
      <c r="N10">
        <f>HYPERLINK("https://www.google.com/maps/search/?api=1&amp;query=-12.326192,-76.8248","Carretera Panamericana Sur, Punta Hermosa, Lima")</f>
      </c>
      <c r="O10" t="str">
        <v>Exceso de velocidad en segmento vial</v>
      </c>
      <c r="P10" t="str">
        <v/>
      </c>
      <c r="Q10">
        <v>719401.5</v>
      </c>
      <c r="R10" t="str">
        <v/>
      </c>
      <c r="S10">
        <v>91.7</v>
      </c>
      <c r="T10">
        <v>128.03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06:11:35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06:12:01</v>
      </c>
      <c r="AL10" t="str">
        <v>06:12:01</v>
      </c>
      <c r="AM10" t="str">
        <v/>
      </c>
    </row>
    <row r="11">
      <c r="A11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/>
      </c>
      <c r="J11" t="str">
        <v>01/10/2026</v>
      </c>
      <c r="K11" t="str">
        <v>06:14:47</v>
      </c>
      <c r="L11">
        <v>-12.326143</v>
      </c>
      <c r="M11">
        <v>-76.82473</v>
      </c>
      <c r="N11">
        <f>HYPERLINK("https://www.google.com/maps/search/?api=1&amp;query=-12.326143,-76.82473","Carretera Panamericana Sur, Punta Hermosa, Lima")</f>
      </c>
      <c r="O11" t="str">
        <v>Excedió el límite de velocidad</v>
      </c>
      <c r="P11" t="str">
        <v/>
      </c>
      <c r="Q11">
        <v>719404.2</v>
      </c>
      <c r="R11" t="str">
        <v/>
      </c>
      <c r="S11">
        <v>91.8</v>
      </c>
      <c r="T11">
        <v>128.03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06:14:47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06:15:07</v>
      </c>
      <c r="AL11" t="str">
        <v>06:15:07</v>
      </c>
      <c r="AM11" t="str">
        <v/>
      </c>
    </row>
    <row r="12">
      <c r="A12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 xml:space="preserve"> </v>
      </c>
      <c r="J12" t="str">
        <v>01/10/2026</v>
      </c>
      <c r="K12" t="str">
        <v>06:15:53</v>
      </c>
      <c r="L12">
        <v>-12.317615</v>
      </c>
      <c r="M12">
        <v>-76.82968</v>
      </c>
      <c r="N12">
        <f>HYPERLINK("https://www.google.com/maps/search/?api=1&amp;query=-12.317615,-76.82968","Punta Hermosa, Lima")</f>
      </c>
      <c r="O12" t="str">
        <v>Llegó a la zona</v>
      </c>
      <c r="P12" t="str">
        <v/>
      </c>
      <c r="Q12">
        <v>719405.2</v>
      </c>
      <c r="R12" t="str">
        <v>MASS BSF 1</v>
      </c>
      <c r="S12">
        <v>9.6</v>
      </c>
      <c r="T12">
        <v>127.98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06:15:53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06:16:05</v>
      </c>
      <c r="AL12" t="str">
        <v>06:16:05</v>
      </c>
      <c r="AM12" t="str">
        <v/>
      </c>
    </row>
    <row r="13">
      <c r="A13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/>
      </c>
      <c r="J13" t="str">
        <v>01/10/2026</v>
      </c>
      <c r="K13" t="str">
        <v>06:22:01</v>
      </c>
      <c r="L13">
        <v>-12.317977</v>
      </c>
      <c r="M13">
        <v>-76.824165</v>
      </c>
      <c r="N13">
        <f>HYPERLINK("https://www.google.com/maps/search/?api=1&amp;query=-12.317977,-76.824165","Punta Hermosa, Lima")</f>
      </c>
      <c r="O13" t="str">
        <v>Vehículo apagado</v>
      </c>
      <c r="P13" t="str">
        <v>Vehículo Apagado</v>
      </c>
      <c r="Q13">
        <v>719406.1</v>
      </c>
      <c r="R13" t="str">
        <v/>
      </c>
      <c r="S13">
        <v>1.2</v>
      </c>
      <c r="T13">
        <v>128.75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06:21:35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06:22:18</v>
      </c>
      <c r="AL13" t="str">
        <v>06:22:18</v>
      </c>
      <c r="AM13" t="str">
        <v/>
      </c>
    </row>
    <row r="14">
      <c r="A14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/>
      </c>
      <c r="J14" t="str">
        <v>01/10/2026</v>
      </c>
      <c r="K14" t="str">
        <v>06:30:27</v>
      </c>
      <c r="L14">
        <v>-12.317992</v>
      </c>
      <c r="M14">
        <v>-76.82416</v>
      </c>
      <c r="N14">
        <f>HYPERLINK("https://www.google.com/maps/search/?api=1&amp;query=-12.317992,-76.82416","Punta Hermosa, Lima")</f>
      </c>
      <c r="O14" t="str">
        <v>Vehículo encendido</v>
      </c>
      <c r="P14" t="str">
        <v/>
      </c>
      <c r="Q14">
        <v>719406.1</v>
      </c>
      <c r="R14" t="str">
        <v/>
      </c>
      <c r="S14">
        <v>0</v>
      </c>
      <c r="T14">
        <v>128.75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06:22:04</v>
      </c>
      <c r="AE14">
        <f>IF("NOGPS"="NOGPS","GPS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06:30:37</v>
      </c>
      <c r="AL14" t="str">
        <v>06:30:37</v>
      </c>
      <c r="AM14" t="str">
        <v/>
      </c>
    </row>
    <row r="15">
      <c r="A15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/>
      </c>
      <c r="J15" t="str">
        <v>01/10/2026</v>
      </c>
      <c r="K15" t="str">
        <v>06:32:20</v>
      </c>
      <c r="L15">
        <v>-12.317314</v>
      </c>
      <c r="M15">
        <v>-76.82288</v>
      </c>
      <c r="N15">
        <f>HYPERLINK("https://www.google.com/maps/search/?api=1&amp;query=-12.317314,-76.82288","Punta Hermosa, Lima")</f>
      </c>
      <c r="O15" t="str">
        <v>Vehículo apagado</v>
      </c>
      <c r="P15" t="str">
        <v>Vehículo Apagado</v>
      </c>
      <c r="Q15">
        <v>719406.4</v>
      </c>
      <c r="R15" t="str">
        <v/>
      </c>
      <c r="S15">
        <v>3.1</v>
      </c>
      <c r="T15">
        <v>128.78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06:32:06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06:32:29</v>
      </c>
      <c r="AL15" t="str">
        <v>06:32:29</v>
      </c>
      <c r="AM15" t="str">
        <v/>
      </c>
    </row>
    <row r="16">
      <c r="A16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/>
      </c>
      <c r="J16" t="str">
        <v>01/10/2026</v>
      </c>
      <c r="K16" t="str">
        <v>06:48:48</v>
      </c>
      <c r="L16">
        <v>-12.317357</v>
      </c>
      <c r="M16">
        <v>-76.82295</v>
      </c>
      <c r="N16">
        <f>HYPERLINK("https://www.google.com/maps/search/?api=1&amp;query=-12.317357,-76.82295","Punta Hermosa, Lima")</f>
      </c>
      <c r="O16" t="str">
        <v>Vehículo encendido</v>
      </c>
      <c r="P16" t="str">
        <v/>
      </c>
      <c r="Q16">
        <v>719406.4</v>
      </c>
      <c r="R16" t="str">
        <v/>
      </c>
      <c r="S16">
        <v>0</v>
      </c>
      <c r="T16">
        <v>128.78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06:32:23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06:49:09</v>
      </c>
      <c r="AL16" t="str">
        <v>06:49:09</v>
      </c>
      <c r="AM16" t="str">
        <v/>
      </c>
    </row>
    <row r="17">
      <c r="A17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/>
      </c>
      <c r="J17" t="str">
        <v>01/10/2026</v>
      </c>
      <c r="K17" t="str">
        <v>06:50:50</v>
      </c>
      <c r="L17">
        <v>-12.317497</v>
      </c>
      <c r="M17">
        <v>-76.82436</v>
      </c>
      <c r="N17">
        <f>HYPERLINK("https://www.google.com/maps/search/?api=1&amp;query=-12.317497,-76.82436","Punta Hermosa, Lima")</f>
      </c>
      <c r="O17" t="str">
        <v>Vehículo apagado</v>
      </c>
      <c r="P17" t="str">
        <v>Vehículo Apagado</v>
      </c>
      <c r="Q17">
        <v>719406.7</v>
      </c>
      <c r="R17" t="str">
        <v/>
      </c>
      <c r="S17">
        <v>0</v>
      </c>
      <c r="T17">
        <v>128.82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06:50:46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06:50:58</v>
      </c>
      <c r="AL17" t="str">
        <v>06:50:58</v>
      </c>
      <c r="AM17" t="str">
        <v/>
      </c>
    </row>
    <row r="18">
      <c r="A18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/>
      </c>
      <c r="J18" t="str">
        <v>01/10/2026</v>
      </c>
      <c r="K18" t="str">
        <v>07:00:37</v>
      </c>
      <c r="L18">
        <v>-12.317497</v>
      </c>
      <c r="M18">
        <v>-76.82436</v>
      </c>
      <c r="N18">
        <f>HYPERLINK("https://www.google.com/maps/search/?api=1&amp;query=-12.317497,-76.82436","Punta Hermosa, Lima")</f>
      </c>
      <c r="O18" t="str">
        <v>Vehículo encendido</v>
      </c>
      <c r="P18" t="str">
        <v/>
      </c>
      <c r="Q18">
        <v>719406.7</v>
      </c>
      <c r="R18" t="str">
        <v/>
      </c>
      <c r="S18">
        <v>0</v>
      </c>
      <c r="T18">
        <v>128.82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06:50:54</v>
      </c>
      <c r="AE18">
        <f>IF("NOGPS"="NOGPS","GPS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07:00:57</v>
      </c>
      <c r="AL18" t="str">
        <v>07:00:57</v>
      </c>
      <c r="AM18" t="str">
        <v/>
      </c>
    </row>
    <row r="19">
      <c r="A19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/>
      </c>
      <c r="J19" t="str">
        <v>01/10/2026</v>
      </c>
      <c r="K19" t="str">
        <v>07:01:03</v>
      </c>
      <c r="L19">
        <v>-12.317523</v>
      </c>
      <c r="M19">
        <v>-76.82441</v>
      </c>
      <c r="N19">
        <f>HYPERLINK("https://www.google.com/maps/search/?api=1&amp;query=-12.317523,-76.82441","Punta Hermosa, Lima")</f>
      </c>
      <c r="O19" t="str">
        <v>Vehículo apagado</v>
      </c>
      <c r="P19" t="str">
        <v>Vehículo Apagado</v>
      </c>
      <c r="Q19">
        <v>719406.7</v>
      </c>
      <c r="R19" t="str">
        <v/>
      </c>
      <c r="S19">
        <v>0</v>
      </c>
      <c r="T19">
        <v>128.82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07:01:06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07:01:18</v>
      </c>
      <c r="AL19" t="str">
        <v>07:01:18</v>
      </c>
      <c r="AM19" t="str">
        <v/>
      </c>
    </row>
    <row r="20">
      <c r="A20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/>
      </c>
      <c r="J20" t="str">
        <v>01/10/2026</v>
      </c>
      <c r="K20" t="str">
        <v>07:01:05</v>
      </c>
      <c r="L20">
        <v>-12.317523</v>
      </c>
      <c r="M20">
        <v>-76.82441</v>
      </c>
      <c r="N20">
        <f>HYPERLINK("https://www.google.com/maps/search/?api=1&amp;query=-12.317523,-76.82441","Punta Hermosa, Lima")</f>
      </c>
      <c r="O20" t="str">
        <v>Vehículo encendido</v>
      </c>
      <c r="P20" t="str">
        <v/>
      </c>
      <c r="Q20">
        <v>719406.7</v>
      </c>
      <c r="R20" t="str">
        <v/>
      </c>
      <c r="S20">
        <v>0</v>
      </c>
      <c r="T20">
        <v>128.82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07:01:06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07:01:18</v>
      </c>
      <c r="AL20" t="str">
        <v>07:01:18</v>
      </c>
      <c r="AM20" t="str">
        <v/>
      </c>
    </row>
    <row r="21">
      <c r="A21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/>
      </c>
      <c r="J21" t="str">
        <v>01/10/2026</v>
      </c>
      <c r="K21" t="str">
        <v>07:01:11</v>
      </c>
      <c r="L21">
        <v>-12.317523</v>
      </c>
      <c r="M21">
        <v>-76.82441</v>
      </c>
      <c r="N21">
        <f>HYPERLINK("https://www.google.com/maps/search/?api=1&amp;query=-12.317523,-76.82441","Punta Hermosa, Lima")</f>
      </c>
      <c r="O21" t="str">
        <v>Vehículo apagado</v>
      </c>
      <c r="P21" t="str">
        <v>Vehículo Apagado</v>
      </c>
      <c r="Q21">
        <v>719406.7</v>
      </c>
      <c r="R21" t="str">
        <v/>
      </c>
      <c r="S21">
        <v>0</v>
      </c>
      <c r="T21">
        <v>128.82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07:01:06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07:01:38</v>
      </c>
      <c r="AL21" t="str">
        <v>07:01:38</v>
      </c>
      <c r="AM21" t="str">
        <v/>
      </c>
    </row>
    <row r="22">
      <c r="A22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/>
      </c>
      <c r="J22" t="str">
        <v>01/10/2026</v>
      </c>
      <c r="K22" t="str">
        <v>07:07:26</v>
      </c>
      <c r="L22">
        <v>-12.317523</v>
      </c>
      <c r="M22">
        <v>-76.82441</v>
      </c>
      <c r="N22">
        <f>HYPERLINK("https://www.google.com/maps/search/?api=1&amp;query=-12.317523,-76.82441","Punta Hermosa, Lima")</f>
      </c>
      <c r="O22" t="str">
        <v>Vehículo encendido</v>
      </c>
      <c r="P22" t="str">
        <v/>
      </c>
      <c r="Q22">
        <v>719406.7</v>
      </c>
      <c r="R22" t="str">
        <v/>
      </c>
      <c r="S22">
        <v>0</v>
      </c>
      <c r="T22">
        <v>128.82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07:01:14</v>
      </c>
      <c r="AE22">
        <f>IF("NOGPS"="NOGPS","GPS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07:07:33</v>
      </c>
      <c r="AL22" t="str">
        <v>07:07:33</v>
      </c>
      <c r="AM22" t="str">
        <v/>
      </c>
    </row>
    <row r="23">
      <c r="A23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/>
      </c>
      <c r="J23" t="str">
        <v>01/10/2026</v>
      </c>
      <c r="K23" t="str">
        <v>07:15:28</v>
      </c>
      <c r="L23">
        <v>-12.317777</v>
      </c>
      <c r="M23">
        <v>-76.82437</v>
      </c>
      <c r="N23">
        <f>HYPERLINK("https://www.google.com/maps/search/?api=1&amp;query=-12.317777,-76.82437","Punta Hermosa, Lima")</f>
      </c>
      <c r="O23" t="str">
        <v>Vehículo apagado</v>
      </c>
      <c r="P23" t="str">
        <v>Vehículo Apagado</v>
      </c>
      <c r="Q23">
        <v>719406.7</v>
      </c>
      <c r="R23" t="str">
        <v/>
      </c>
      <c r="S23">
        <v>0</v>
      </c>
      <c r="T23">
        <v>128.95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07:15:30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07:15:46</v>
      </c>
      <c r="AL23" t="str">
        <v>07:15:46</v>
      </c>
      <c r="AM23" t="str">
        <v/>
      </c>
    </row>
    <row r="24">
      <c r="A24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/>
      </c>
      <c r="J24" t="str">
        <v>01/10/2026</v>
      </c>
      <c r="K24" t="str">
        <v>07:34:18</v>
      </c>
      <c r="L24">
        <v>-12.317777</v>
      </c>
      <c r="M24">
        <v>-76.82437</v>
      </c>
      <c r="N24">
        <f>HYPERLINK("https://www.google.com/maps/search/?api=1&amp;query=-12.317777,-76.82437","Punta Hermosa, Lima")</f>
      </c>
      <c r="O24" t="str">
        <v>Vehículo encendido</v>
      </c>
      <c r="P24" t="str">
        <v/>
      </c>
      <c r="Q24">
        <v>719406.7</v>
      </c>
      <c r="R24" t="str">
        <v/>
      </c>
      <c r="S24">
        <v>0</v>
      </c>
      <c r="T24">
        <v>128.95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07:15:30</v>
      </c>
      <c r="AE24">
        <f>IF("NOGPS"="NOGPS","GPS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07:34:29</v>
      </c>
      <c r="AL24" t="str">
        <v>07:34:29</v>
      </c>
      <c r="AM24" t="str">
        <v/>
      </c>
    </row>
    <row r="25">
      <c r="A25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 xml:space="preserve"> </v>
      </c>
      <c r="J25" t="str">
        <v>01/10/2026</v>
      </c>
      <c r="K25" t="str">
        <v>07:41:40</v>
      </c>
      <c r="L25">
        <v>-12.317562</v>
      </c>
      <c r="M25">
        <v>-76.82998</v>
      </c>
      <c r="N25">
        <f>HYPERLINK("https://www.google.com/maps/search/?api=1&amp;query=-12.317562,-76.82998","Punta Hermosa, Lima")</f>
      </c>
      <c r="O25" t="str">
        <v>Salió de zona</v>
      </c>
      <c r="P25" t="str">
        <v/>
      </c>
      <c r="Q25">
        <v>719407.5</v>
      </c>
      <c r="R25" t="str">
        <v>MASS BSF 1</v>
      </c>
      <c r="S25">
        <v>21</v>
      </c>
      <c r="T25">
        <v>128.92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07:41:40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07:41:52</v>
      </c>
      <c r="AL25" t="str">
        <v>07:41:52</v>
      </c>
      <c r="AM25" t="str">
        <v/>
      </c>
    </row>
    <row r="26">
      <c r="A26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/>
      </c>
      <c r="J26" t="str">
        <v>01/10/2026</v>
      </c>
      <c r="K26" t="str">
        <v>07:42:43</v>
      </c>
      <c r="L26">
        <v>-12.310407</v>
      </c>
      <c r="M26">
        <v>-76.83521</v>
      </c>
      <c r="N26">
        <f>HYPERLINK("https://www.google.com/maps/search/?api=1&amp;query=-12.310407,-76.83521","Carretera Panamericana Sur, Punta Hermosa, Lima")</f>
      </c>
      <c r="O26" t="str">
        <v>Excedió el límite de velocidad</v>
      </c>
      <c r="P26" t="str">
        <v/>
      </c>
      <c r="Q26">
        <v>719408.5</v>
      </c>
      <c r="R26" t="str">
        <v/>
      </c>
      <c r="S26">
        <v>87</v>
      </c>
      <c r="T26">
        <v>128.95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07:42:43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07:43:03</v>
      </c>
      <c r="AL26" t="str">
        <v>07:43:03</v>
      </c>
      <c r="AM26" t="str">
        <v/>
      </c>
    </row>
    <row r="27">
      <c r="A27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/>
      </c>
      <c r="J27" t="str">
        <v>01/10/2026</v>
      </c>
      <c r="K27" t="str">
        <v>07:46:53</v>
      </c>
      <c r="L27">
        <v>-12.280434</v>
      </c>
      <c r="M27">
        <v>-76.882805</v>
      </c>
      <c r="N27">
        <f>HYPERLINK("https://www.google.com/maps/search/?api=1&amp;query=-12.280434,-76.882805","Carretera Panamericana Sur, Lurín, Lima")</f>
      </c>
      <c r="O27" t="str">
        <v>Excedió el límite de velocidad</v>
      </c>
      <c r="P27" t="str">
        <v/>
      </c>
      <c r="Q27">
        <v>719414.8</v>
      </c>
      <c r="R27" t="str">
        <v/>
      </c>
      <c r="S27">
        <v>83.2</v>
      </c>
      <c r="T27">
        <v>128.95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07:46:52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07:47:23</v>
      </c>
      <c r="AL27" t="str">
        <v>07:47:23</v>
      </c>
      <c r="AM27" t="str">
        <v/>
      </c>
    </row>
    <row r="28">
      <c r="A28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/>
      </c>
      <c r="J28" t="str">
        <v>01/10/2026</v>
      </c>
      <c r="K28" t="str">
        <v>07:47:14</v>
      </c>
      <c r="L28">
        <v>-12.278145</v>
      </c>
      <c r="M28">
        <v>-76.88645</v>
      </c>
      <c r="N28">
        <f>HYPERLINK("https://www.google.com/maps/search/?api=1&amp;query=-12.278145,-76.88645","Carretera Panamericana Sur, Lurín, Lima")</f>
      </c>
      <c r="O28" t="str">
        <v>Excedió el límite de velocidad</v>
      </c>
      <c r="P28" t="str">
        <v/>
      </c>
      <c r="Q28">
        <v>719415.2</v>
      </c>
      <c r="R28" t="str">
        <v/>
      </c>
      <c r="S28">
        <v>81.8</v>
      </c>
      <c r="T28">
        <v>128.95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07:47:13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07:47:21</v>
      </c>
      <c r="AL28" t="str">
        <v>07:47:21</v>
      </c>
      <c r="AM28" t="str">
        <v/>
      </c>
    </row>
    <row r="29">
      <c r="A29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 xml:space="preserve"> </v>
      </c>
      <c r="J29" t="str">
        <v>01/10/2026</v>
      </c>
      <c r="K29" t="str">
        <v>07:58:53</v>
      </c>
      <c r="L29">
        <v>-12.235572</v>
      </c>
      <c r="M29">
        <v>-76.91016</v>
      </c>
      <c r="N29">
        <f>HYPERLINK("https://www.google.com/maps/search/?api=1&amp;query=-12.235572,-76.91016","Calle 2, Lurín, Lima")</f>
      </c>
      <c r="O29" t="str">
        <v>Llegó a la zona</v>
      </c>
      <c r="P29" t="str">
        <v/>
      </c>
      <c r="Q29">
        <v>719423.6</v>
      </c>
      <c r="R29" t="str">
        <v>2658-VILLAH3 LU MS</v>
      </c>
      <c r="S29">
        <v>9.7</v>
      </c>
      <c r="T29">
        <v>128.92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07:58:52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07:59:02</v>
      </c>
      <c r="AL29" t="str">
        <v>07:59:02</v>
      </c>
      <c r="AM29" t="str">
        <v/>
      </c>
    </row>
    <row r="30">
      <c r="A30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/>
      </c>
      <c r="J30" t="str">
        <v>01/10/2026</v>
      </c>
      <c r="K30" t="str">
        <v>07:59:34</v>
      </c>
      <c r="L30">
        <v>-12.235752</v>
      </c>
      <c r="M30">
        <v>-76.91024</v>
      </c>
      <c r="N30">
        <f>HYPERLINK("https://www.google.com/maps/search/?api=1&amp;query=-12.235752,-76.91024","Calle 2, Lurín, Lima")</f>
      </c>
      <c r="O30" t="str">
        <v>Vehículo apagado</v>
      </c>
      <c r="P30" t="str">
        <v>Vehículo Apagado</v>
      </c>
      <c r="Q30">
        <v>719424.2</v>
      </c>
      <c r="R30" t="str">
        <v/>
      </c>
      <c r="S30">
        <v>0</v>
      </c>
      <c r="T30">
        <v>129.37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07:59:16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07:59:45</v>
      </c>
      <c r="AL30" t="str">
        <v>07:59:45</v>
      </c>
      <c r="AM30" t="str">
        <v/>
      </c>
    </row>
    <row r="31">
      <c r="A31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/>
      </c>
      <c r="J31" t="str">
        <v>01/10/2026</v>
      </c>
      <c r="K31" t="str">
        <v>07:59:36</v>
      </c>
      <c r="L31">
        <v>-12.235752</v>
      </c>
      <c r="M31">
        <v>-76.91024</v>
      </c>
      <c r="N31">
        <f>HYPERLINK("https://www.google.com/maps/search/?api=1&amp;query=-12.235752,-76.91024","Calle 2, Lurín, Lima")</f>
      </c>
      <c r="O31" t="str">
        <v>Vehículo encendido</v>
      </c>
      <c r="P31" t="str">
        <v/>
      </c>
      <c r="Q31">
        <v>719424.2</v>
      </c>
      <c r="R31" t="str">
        <v/>
      </c>
      <c r="S31">
        <v>0</v>
      </c>
      <c r="T31">
        <v>128.95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07:59:16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07:59:41</v>
      </c>
      <c r="AL31" t="str">
        <v>07:59:41</v>
      </c>
      <c r="AM31" t="str">
        <v/>
      </c>
    </row>
    <row r="32">
      <c r="A32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/>
      </c>
      <c r="J32" t="str">
        <v>01/10/2026</v>
      </c>
      <c r="K32" t="str">
        <v>07:59:40</v>
      </c>
      <c r="L32">
        <v>-12.235752</v>
      </c>
      <c r="M32">
        <v>-76.91024</v>
      </c>
      <c r="N32">
        <f>HYPERLINK("https://www.google.com/maps/search/?api=1&amp;query=-12.235752,-76.91024","Calle 2, Lurín, Lima")</f>
      </c>
      <c r="O32" t="str">
        <v>Vehículo apagado</v>
      </c>
      <c r="P32" t="str">
        <v>Vehículo Apagado</v>
      </c>
      <c r="Q32">
        <v>719424.2</v>
      </c>
      <c r="R32" t="str">
        <v/>
      </c>
      <c r="S32">
        <v>0</v>
      </c>
      <c r="T32">
        <v>128.95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07:59:16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07:59:49</v>
      </c>
      <c r="AL32" t="str">
        <v>07:59:49</v>
      </c>
      <c r="AM32" t="str">
        <v/>
      </c>
    </row>
    <row r="33">
      <c r="A33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/>
      </c>
      <c r="J33" t="str">
        <v>01/10/2026</v>
      </c>
      <c r="K33" t="str">
        <v>08:15:42</v>
      </c>
      <c r="L33">
        <v>-12.235752</v>
      </c>
      <c r="M33">
        <v>-76.91024</v>
      </c>
      <c r="N33">
        <f>HYPERLINK("https://www.google.com/maps/search/?api=1&amp;query=-12.235752,-76.91024","Calle 2, Lurín, Lima")</f>
      </c>
      <c r="O33" t="str">
        <v>Vehículo encendido</v>
      </c>
      <c r="P33" t="str">
        <v/>
      </c>
      <c r="Q33">
        <v>719424.2</v>
      </c>
      <c r="R33" t="str">
        <v/>
      </c>
      <c r="S33">
        <v>0</v>
      </c>
      <c r="T33">
        <v>128.95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07:59:43</v>
      </c>
      <c r="AE33">
        <f>IF("NOGPS"="NOGPS","GPS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08:15:59</v>
      </c>
      <c r="AL33" t="str">
        <v>08:15:59</v>
      </c>
      <c r="AM33" t="str">
        <v/>
      </c>
    </row>
    <row r="34">
      <c r="A34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 xml:space="preserve"> </v>
      </c>
      <c r="J34" t="str">
        <v>01/10/2026</v>
      </c>
      <c r="K34" t="str">
        <v>08:18:47</v>
      </c>
      <c r="L34">
        <v>-12.236365</v>
      </c>
      <c r="M34">
        <v>-76.91045</v>
      </c>
      <c r="N34">
        <f>HYPERLINK("https://www.google.com/maps/search/?api=1&amp;query=-12.236365,-76.91045","Calle 2, Lurín, Lima")</f>
      </c>
      <c r="O34" t="str">
        <v>Salió de zona</v>
      </c>
      <c r="P34" t="str">
        <v/>
      </c>
      <c r="Q34">
        <v>719424.3</v>
      </c>
      <c r="R34" t="str">
        <v>2658-VILLAH3 LU MS</v>
      </c>
      <c r="S34">
        <v>9.1</v>
      </c>
      <c r="T34">
        <v>128.92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08:18:39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08:19:05</v>
      </c>
      <c r="AL34" t="str">
        <v>08:19:05</v>
      </c>
      <c r="AM34" t="str">
        <v/>
      </c>
    </row>
    <row r="35">
      <c r="A35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 xml:space="preserve"> </v>
      </c>
      <c r="J35" t="str">
        <v>01/10/2026</v>
      </c>
      <c r="K35" t="str">
        <v>08:29:34</v>
      </c>
      <c r="L35">
        <v>-12.243789</v>
      </c>
      <c r="M35">
        <v>-76.91914</v>
      </c>
      <c r="N35">
        <f>HYPERLINK("https://www.google.com/maps/search/?api=1&amp;query=-12.243789,-76.91914","Avenida María Reiche, Villa El Salvador, Lima")</f>
      </c>
      <c r="O35" t="str">
        <v>Llegó a la zona</v>
      </c>
      <c r="P35" t="str">
        <v/>
      </c>
      <c r="Q35">
        <v>719426</v>
      </c>
      <c r="R35" t="str">
        <v>1874-MAXR2 VES MS</v>
      </c>
      <c r="S35">
        <v>7.9</v>
      </c>
      <c r="T35">
        <v>128.92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08:29:33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08:29:49</v>
      </c>
      <c r="AL35" t="str">
        <v>08:29:49</v>
      </c>
      <c r="AM35" t="str">
        <v/>
      </c>
    </row>
    <row r="36">
      <c r="A36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/>
      </c>
      <c r="J36" t="str">
        <v>01/10/2026</v>
      </c>
      <c r="K36" t="str">
        <v>08:30:09</v>
      </c>
      <c r="L36">
        <v>-12.243891</v>
      </c>
      <c r="M36">
        <v>-76.919106</v>
      </c>
      <c r="N36">
        <f>HYPERLINK("https://www.google.com/maps/search/?api=1&amp;query=-12.243891,-76.919106","Calle 23, Villa El Salvador, Lima")</f>
      </c>
      <c r="O36" t="str">
        <v>Vehículo apagado</v>
      </c>
      <c r="P36" t="str">
        <v>Vehículo Apagado</v>
      </c>
      <c r="Q36">
        <v>719426.3</v>
      </c>
      <c r="R36" t="str">
        <v/>
      </c>
      <c r="S36">
        <v>3.6</v>
      </c>
      <c r="T36">
        <v>129.18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08:29:39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08:30:25</v>
      </c>
      <c r="AL36" t="str">
        <v>08:30:25</v>
      </c>
      <c r="AM36" t="str">
        <v/>
      </c>
    </row>
    <row r="37">
      <c r="A37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/>
      </c>
      <c r="J37" t="str">
        <v>01/10/2026</v>
      </c>
      <c r="K37" t="str">
        <v>08:50:19</v>
      </c>
      <c r="L37">
        <v>-12.243987</v>
      </c>
      <c r="M37">
        <v>-76.91906</v>
      </c>
      <c r="N37">
        <f>HYPERLINK("https://www.google.com/maps/search/?api=1&amp;query=-12.243987,-76.91906","Calle 23, Villa El Salvador, Lima")</f>
      </c>
      <c r="O37" t="str">
        <v>Vehículo encendido</v>
      </c>
      <c r="P37" t="str">
        <v/>
      </c>
      <c r="Q37">
        <v>719426.3</v>
      </c>
      <c r="R37" t="str">
        <v/>
      </c>
      <c r="S37">
        <v>0</v>
      </c>
      <c r="T37">
        <v>129.18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08:30:11</v>
      </c>
      <c r="AE37">
        <f>IF("NOGPS"="NOGPS","GPS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08:50:36</v>
      </c>
      <c r="AL37" t="str">
        <v>08:50:36</v>
      </c>
      <c r="AM37" t="str">
        <v/>
      </c>
    </row>
    <row r="38">
      <c r="A38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08:51:24</v>
      </c>
      <c r="L38">
        <v>-12.244279</v>
      </c>
      <c r="M38">
        <v>-76.91884</v>
      </c>
      <c r="N38">
        <f>HYPERLINK("https://www.google.com/maps/search/?api=1&amp;query=-12.244279,-76.91884","Calle 23, Villa El Salvador, Lima")</f>
      </c>
      <c r="O38" t="str">
        <v>Salió de zona</v>
      </c>
      <c r="P38" t="str">
        <v/>
      </c>
      <c r="Q38">
        <v>719426.3</v>
      </c>
      <c r="R38" t="str">
        <v>1874-MAXR2 VES MS</v>
      </c>
      <c r="S38">
        <v>1.8</v>
      </c>
      <c r="T38">
        <v>129.17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08:51:14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08:51:35</v>
      </c>
      <c r="AL38" t="str">
        <v>08:51:35</v>
      </c>
      <c r="AM38" t="str">
        <v/>
      </c>
    </row>
    <row r="39">
      <c r="A39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 xml:space="preserve"> </v>
      </c>
      <c r="J39" t="str">
        <v>01/10/2026</v>
      </c>
      <c r="K39" t="str">
        <v>08:52:18</v>
      </c>
      <c r="L39">
        <v>-12.243785</v>
      </c>
      <c r="M39">
        <v>-76.91918</v>
      </c>
      <c r="N39">
        <f>HYPERLINK("https://www.google.com/maps/search/?api=1&amp;query=-12.243785,-76.91918","Avenida María Reiche, Villa El Salvador, Lima")</f>
      </c>
      <c r="O39" t="str">
        <v>Llegó a la zona</v>
      </c>
      <c r="P39" t="str">
        <v/>
      </c>
      <c r="Q39">
        <v>719426.3</v>
      </c>
      <c r="R39" t="str">
        <v>1874-MAXR2 VES MS</v>
      </c>
      <c r="S39">
        <v>3.8</v>
      </c>
      <c r="T39">
        <v>129.17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08:52:14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08:52:34</v>
      </c>
      <c r="AL39" t="str">
        <v>08:52:34</v>
      </c>
      <c r="AM39" t="str">
        <v/>
      </c>
    </row>
    <row r="40">
      <c r="A40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 xml:space="preserve"> </v>
      </c>
      <c r="J40" t="str">
        <v>01/10/2026</v>
      </c>
      <c r="K40" t="str">
        <v>08:54:14</v>
      </c>
      <c r="L40">
        <v>-12.245862</v>
      </c>
      <c r="M40">
        <v>-76.9229</v>
      </c>
      <c r="N40">
        <f>HYPERLINK("https://www.google.com/maps/search/?api=1&amp;query=-12.245862,-76.9229","Avenida María Reiche, Villa El Salvador, Lima")</f>
      </c>
      <c r="O40" t="str">
        <v>Salió de zona</v>
      </c>
      <c r="P40" t="str">
        <v/>
      </c>
      <c r="Q40">
        <v>719426.4</v>
      </c>
      <c r="R40" t="str">
        <v>1874-MAXR2 VES MS</v>
      </c>
      <c r="S40">
        <v>45.3</v>
      </c>
      <c r="T40">
        <v>129.17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08:53:14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08:54:24</v>
      </c>
      <c r="AL40" t="str">
        <v>08:54:24</v>
      </c>
      <c r="AM40" t="str">
        <v/>
      </c>
    </row>
    <row r="41">
      <c r="A41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/>
      </c>
      <c r="J41" t="str">
        <v>01/10/2026</v>
      </c>
      <c r="K41" t="str">
        <v>09:01:03</v>
      </c>
      <c r="L41">
        <v>-12.258352</v>
      </c>
      <c r="M41">
        <v>-76.91819</v>
      </c>
      <c r="N41">
        <f>HYPERLINK("https://www.google.com/maps/search/?api=1&amp;query=-12.258352,-76.91819","Carretera Panamericana Sur, Lurín, Lima")</f>
      </c>
      <c r="O41" t="str">
        <v>Excedió el límite de velocidad</v>
      </c>
      <c r="P41" t="str">
        <v/>
      </c>
      <c r="Q41">
        <v>719430.9</v>
      </c>
      <c r="R41" t="str">
        <v/>
      </c>
      <c r="S41">
        <v>88.7</v>
      </c>
      <c r="T41">
        <v>129.18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09:01:02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09:01:11</v>
      </c>
      <c r="AL41" t="str">
        <v>09:01:11</v>
      </c>
      <c r="AM41" t="str">
        <v/>
      </c>
    </row>
    <row r="42">
      <c r="A42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/>
      </c>
      <c r="J42" t="str">
        <v>01/10/2026</v>
      </c>
      <c r="K42" t="str">
        <v>09:02:30</v>
      </c>
      <c r="L42">
        <v>-12.267809</v>
      </c>
      <c r="M42">
        <v>-76.90309</v>
      </c>
      <c r="N42">
        <f>HYPERLINK("https://www.google.com/maps/search/?api=1&amp;query=-12.267809,-76.90309","Carretera Panamericana Sur, Lurín, Lima")</f>
      </c>
      <c r="O42" t="str">
        <v>Excedió el límite de velocidad</v>
      </c>
      <c r="P42" t="str">
        <v/>
      </c>
      <c r="Q42">
        <v>719432.9</v>
      </c>
      <c r="R42" t="str">
        <v/>
      </c>
      <c r="S42">
        <v>87.5</v>
      </c>
      <c r="T42">
        <v>129.18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09:02:29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09:02:43</v>
      </c>
      <c r="AL42" t="str">
        <v>09:02:43</v>
      </c>
      <c r="AM42" t="str">
        <v/>
      </c>
    </row>
    <row r="43">
      <c r="A43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/>
      </c>
      <c r="J43" t="str">
        <v>01/10/2026</v>
      </c>
      <c r="K43" t="str">
        <v>09:03:54</v>
      </c>
      <c r="L43">
        <v>-12.276579</v>
      </c>
      <c r="M43">
        <v>-76.8892</v>
      </c>
      <c r="N43">
        <f>HYPERLINK("https://www.google.com/maps/search/?api=1&amp;query=-12.276579,-76.8892","Carretera Panamericana Sur, Lurín, Lima")</f>
      </c>
      <c r="O43" t="str">
        <v>Excedió el límite de velocidad</v>
      </c>
      <c r="P43" t="str">
        <v/>
      </c>
      <c r="Q43">
        <v>719434.7</v>
      </c>
      <c r="R43" t="str">
        <v/>
      </c>
      <c r="S43">
        <v>92.2</v>
      </c>
      <c r="T43">
        <v>129.18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09:03:53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09:04:19</v>
      </c>
      <c r="AL43" t="str">
        <v>09:04:19</v>
      </c>
      <c r="AM43" t="str">
        <v/>
      </c>
    </row>
    <row r="44">
      <c r="A44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/>
      </c>
      <c r="J44" t="str">
        <v>01/10/2026</v>
      </c>
      <c r="K44" t="str">
        <v>09:05:00</v>
      </c>
      <c r="L44">
        <v>-12.283677</v>
      </c>
      <c r="M44">
        <v>-76.87779</v>
      </c>
      <c r="N44">
        <f>HYPERLINK("https://www.google.com/maps/search/?api=1&amp;query=-12.283677,-76.87779","Carretera Panamericana Sur, Lurín, Lima")</f>
      </c>
      <c r="O44" t="str">
        <v>Excedió el límite de velocidad</v>
      </c>
      <c r="P44" t="str">
        <v/>
      </c>
      <c r="Q44">
        <v>719436.1</v>
      </c>
      <c r="R44" t="str">
        <v/>
      </c>
      <c r="S44">
        <v>86.1</v>
      </c>
      <c r="T44">
        <v>129.18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09:04:59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09:05:11</v>
      </c>
      <c r="AL44" t="str">
        <v>09:05:11</v>
      </c>
      <c r="AM44" t="str">
        <v/>
      </c>
    </row>
    <row r="45">
      <c r="A45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/>
      </c>
      <c r="J45" t="str">
        <v>01/10/2026</v>
      </c>
      <c r="K45" t="str">
        <v>09:05:42</v>
      </c>
      <c r="L45">
        <v>-12.288505</v>
      </c>
      <c r="M45">
        <v>-76.87011</v>
      </c>
      <c r="N45">
        <f>HYPERLINK("https://www.google.com/maps/search/?api=1&amp;query=-12.288505,-76.87011","Carretera Panamericana Sur, Lurín, Lima")</f>
      </c>
      <c r="O45" t="str">
        <v>Excedió el límite de velocidad</v>
      </c>
      <c r="P45" t="str">
        <v/>
      </c>
      <c r="Q45">
        <v>719437.1</v>
      </c>
      <c r="R45" t="str">
        <v/>
      </c>
      <c r="S45">
        <v>90.5</v>
      </c>
      <c r="T45">
        <v>129.18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09:05:41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09:06:07</v>
      </c>
      <c r="AL45" t="str">
        <v>09:06:07</v>
      </c>
      <c r="AM45" t="str">
        <v/>
      </c>
    </row>
    <row r="46">
      <c r="A46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/>
      </c>
      <c r="J46" t="str">
        <v>01/10/2026</v>
      </c>
      <c r="K46" t="str">
        <v>09:07:42</v>
      </c>
      <c r="L46">
        <v>-12.301219</v>
      </c>
      <c r="M46">
        <v>-76.84642</v>
      </c>
      <c r="N46">
        <f>HYPERLINK("https://www.google.com/maps/search/?api=1&amp;query=-12.301219,-76.84642","Carretera Panamericana Sur, Lurín, Lima")</f>
      </c>
      <c r="O46" t="str">
        <v>Excedió el límite de velocidad</v>
      </c>
      <c r="P46" t="str">
        <v/>
      </c>
      <c r="Q46">
        <v>719440.1</v>
      </c>
      <c r="R46" t="str">
        <v/>
      </c>
      <c r="S46">
        <v>88.6</v>
      </c>
      <c r="T46">
        <v>129.18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09:07:41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09:07:59</v>
      </c>
      <c r="AL46" t="str">
        <v>09:07:59</v>
      </c>
      <c r="AM46" t="str">
        <v/>
      </c>
    </row>
    <row r="47">
      <c r="A47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/>
      </c>
      <c r="J47" t="str">
        <v>01/10/2026</v>
      </c>
      <c r="K47" t="str">
        <v>09:09:57</v>
      </c>
      <c r="L47">
        <v>-12.318624</v>
      </c>
      <c r="M47">
        <v>-76.8299</v>
      </c>
      <c r="N47">
        <f>HYPERLINK("https://www.google.com/maps/search/?api=1&amp;query=-12.318624,-76.8299","Carretera Panamericana Sur, Punta Hermosa, Lima")</f>
      </c>
      <c r="O47" t="str">
        <v>Excedió el límite de velocidad</v>
      </c>
      <c r="P47" t="str">
        <v/>
      </c>
      <c r="Q47">
        <v>719442.8</v>
      </c>
      <c r="R47" t="str">
        <v/>
      </c>
      <c r="S47">
        <v>87</v>
      </c>
      <c r="T47">
        <v>129.18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09:09:56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09:10:18</v>
      </c>
      <c r="AL47" t="str">
        <v>09:10:18</v>
      </c>
      <c r="AM47" t="str">
        <v/>
      </c>
    </row>
    <row r="48">
      <c r="A48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/>
      </c>
      <c r="J48" t="str">
        <v>01/10/2026</v>
      </c>
      <c r="K48" t="str">
        <v>09:10:20</v>
      </c>
      <c r="L48">
        <v>-12.322423</v>
      </c>
      <c r="M48">
        <v>-76.82736</v>
      </c>
      <c r="N48">
        <f>HYPERLINK("https://www.google.com/maps/search/?api=1&amp;query=-12.322423,-76.82736","Carretera Panamericana Sur, Punta Hermosa, Lima")</f>
      </c>
      <c r="O48" t="str">
        <v>Exceso de velocidad en segmento vial</v>
      </c>
      <c r="P48" t="str">
        <v/>
      </c>
      <c r="Q48">
        <v>719443.3</v>
      </c>
      <c r="R48" t="str">
        <v/>
      </c>
      <c r="S48">
        <v>87.2</v>
      </c>
      <c r="T48">
        <v>129.18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09:10:17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09:10:47</v>
      </c>
      <c r="AL48" t="str">
        <v>09:10:47</v>
      </c>
      <c r="AM48" t="str">
        <v/>
      </c>
    </row>
    <row r="49">
      <c r="A49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/>
      </c>
      <c r="J49" t="str">
        <v>01/10/2026</v>
      </c>
      <c r="K49" t="str">
        <v>09:11:06</v>
      </c>
      <c r="L49">
        <v>-12.330681</v>
      </c>
      <c r="M49">
        <v>-76.821846</v>
      </c>
      <c r="N49">
        <f>HYPERLINK("https://www.google.com/maps/search/?api=1&amp;query=-12.330681,-76.821846","Carretera Panamericana Sur, Punta Hermosa, Lima")</f>
      </c>
      <c r="O49" t="str">
        <v>Excedió el límite de velocidad</v>
      </c>
      <c r="P49" t="str">
        <v/>
      </c>
      <c r="Q49">
        <v>719444.4</v>
      </c>
      <c r="R49" t="str">
        <v/>
      </c>
      <c r="S49">
        <v>89.2</v>
      </c>
      <c r="T49">
        <v>129.18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09:11:05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09:11:11</v>
      </c>
      <c r="AL49" t="str">
        <v>09:11:11</v>
      </c>
      <c r="AM49" t="str">
        <v/>
      </c>
    </row>
    <row r="50">
      <c r="A50">
        <v>49</v>
      </c>
      <c r="B50" t="str">
        <v>MASS BSF</v>
      </c>
      <c r="C50" t="str">
        <v>BXQ-847</v>
      </c>
      <c r="D50" t="str">
        <v>BXQ-847</v>
      </c>
      <c r="E50" t="str">
        <v/>
      </c>
      <c r="F50" t="str">
        <v>867162029843950</v>
      </c>
      <c r="G50" t="str">
        <v>TBD</v>
      </c>
      <c r="H50" t="str">
        <v/>
      </c>
      <c r="I50" t="str">
        <v/>
      </c>
      <c r="J50" t="str">
        <v>01/10/2026</v>
      </c>
      <c r="K50" t="str">
        <v>09:11:20</v>
      </c>
      <c r="L50">
        <v>-12.332955</v>
      </c>
      <c r="M50">
        <v>-76.8203</v>
      </c>
      <c r="N50">
        <f>HYPERLINK("https://www.google.com/maps/search/?api=1&amp;query=-12.332955,-76.8203","Carretera Panamericana Sur, Punta Hermosa, Lima")</f>
      </c>
      <c r="O50" t="str">
        <v>Exceso de velocidad en segmento vial</v>
      </c>
      <c r="P50" t="str">
        <v/>
      </c>
      <c r="Q50">
        <v>719444.7</v>
      </c>
      <c r="R50" t="str">
        <v/>
      </c>
      <c r="S50">
        <v>84.6</v>
      </c>
      <c r="T50">
        <v>129.18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09:11:17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09:11:42</v>
      </c>
      <c r="AL50" t="str">
        <v>09:11:42</v>
      </c>
      <c r="AM50" t="str">
        <v/>
      </c>
    </row>
    <row r="51">
      <c r="A51">
        <v>50</v>
      </c>
      <c r="B51" t="str">
        <v>MASS BSF</v>
      </c>
      <c r="C51" t="str">
        <v>BXQ-847</v>
      </c>
      <c r="D51" t="str">
        <v>BXQ-847</v>
      </c>
      <c r="E51" t="str">
        <v/>
      </c>
      <c r="F51" t="str">
        <v>867162029843950</v>
      </c>
      <c r="G51" t="str">
        <v>TBD</v>
      </c>
      <c r="H51" t="str">
        <v/>
      </c>
      <c r="I51" t="str">
        <v/>
      </c>
      <c r="J51" t="str">
        <v>01/10/2026</v>
      </c>
      <c r="K51" t="str">
        <v>09:13:45</v>
      </c>
      <c r="L51">
        <v>-12.324699</v>
      </c>
      <c r="M51">
        <v>-76.82567</v>
      </c>
      <c r="N51">
        <f>HYPERLINK("https://www.google.com/maps/search/?api=1&amp;query=-12.324699,-76.82567","Carretera Panamericana Sur, Punta Hermosa, Lima")</f>
      </c>
      <c r="O51" t="str">
        <v>Excedió el límite de velocidad</v>
      </c>
      <c r="P51" t="str">
        <v/>
      </c>
      <c r="Q51">
        <v>719446.6</v>
      </c>
      <c r="R51" t="str">
        <v/>
      </c>
      <c r="S51">
        <v>85.3</v>
      </c>
      <c r="T51">
        <v>129.18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09:13:44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09:14:02</v>
      </c>
      <c r="AL51" t="str">
        <v>09:14:02</v>
      </c>
      <c r="AM51" t="str">
        <v/>
      </c>
    </row>
    <row r="52">
      <c r="A52">
        <v>51</v>
      </c>
      <c r="B52" t="str">
        <v>MASS BSF</v>
      </c>
      <c r="C52" t="str">
        <v>BXQ-847</v>
      </c>
      <c r="D52" t="str">
        <v>BXQ-847</v>
      </c>
      <c r="E52" t="str">
        <v/>
      </c>
      <c r="F52" t="str">
        <v>867162029843950</v>
      </c>
      <c r="G52" t="str">
        <v>TBD</v>
      </c>
      <c r="H52" t="str">
        <v/>
      </c>
      <c r="I52" t="str">
        <v xml:space="preserve"> </v>
      </c>
      <c r="J52" t="str">
        <v>01/10/2026</v>
      </c>
      <c r="K52" t="str">
        <v>09:14:51</v>
      </c>
      <c r="L52">
        <v>-12.317588</v>
      </c>
      <c r="M52">
        <v>-76.829636</v>
      </c>
      <c r="N52">
        <f>HYPERLINK("https://www.google.com/maps/search/?api=1&amp;query=-12.317588,-76.829636","Punta Hermosa, Lima")</f>
      </c>
      <c r="O52" t="str">
        <v>Llegó a la zona</v>
      </c>
      <c r="P52" t="str">
        <v/>
      </c>
      <c r="Q52">
        <v>719447.3</v>
      </c>
      <c r="R52" t="str">
        <v>MASS BSF 1</v>
      </c>
      <c r="S52">
        <v>7.7</v>
      </c>
      <c r="T52">
        <v>129.17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09:14:50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09:15:06</v>
      </c>
      <c r="AL52" t="str">
        <v>09:15:06</v>
      </c>
      <c r="AM52" t="str">
        <v/>
      </c>
    </row>
    <row r="53">
      <c r="A53">
        <v>52</v>
      </c>
      <c r="B53" t="str">
        <v>MASS BSF</v>
      </c>
      <c r="C53" t="str">
        <v>BXQ-847</v>
      </c>
      <c r="D53" t="str">
        <v>BXQ-847</v>
      </c>
      <c r="E53" t="str">
        <v/>
      </c>
      <c r="F53" t="str">
        <v>867162029843950</v>
      </c>
      <c r="G53" t="str">
        <v>TBD</v>
      </c>
      <c r="H53" t="str">
        <v/>
      </c>
      <c r="I53" t="str">
        <v/>
      </c>
      <c r="J53" t="str">
        <v>01/10/2026</v>
      </c>
      <c r="K53" t="str">
        <v>09:22:46</v>
      </c>
      <c r="L53">
        <v>-12.317525</v>
      </c>
      <c r="M53">
        <v>-76.82457</v>
      </c>
      <c r="N53">
        <f>HYPERLINK("https://www.google.com/maps/search/?api=1&amp;query=-12.317525,-76.82457","Punta Hermosa, Lima")</f>
      </c>
      <c r="O53" t="str">
        <v>Vehículo apagado</v>
      </c>
      <c r="P53" t="str">
        <v>Vehículo Apagado</v>
      </c>
      <c r="Q53">
        <v>719448.3</v>
      </c>
      <c r="R53" t="str">
        <v/>
      </c>
      <c r="S53">
        <v>0</v>
      </c>
      <c r="T53">
        <v>129.18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09:22:49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09:23:13</v>
      </c>
      <c r="AL53" t="str">
        <v>09:23:13</v>
      </c>
      <c r="AM53" t="str">
        <v/>
      </c>
    </row>
    <row r="54">
      <c r="A54">
        <v>53</v>
      </c>
      <c r="B54" t="str">
        <v>MASS BSF</v>
      </c>
      <c r="C54" t="str">
        <v>BXQ-847</v>
      </c>
      <c r="D54" t="str">
        <v>BXQ-847</v>
      </c>
      <c r="E54" t="str">
        <v/>
      </c>
      <c r="F54" t="str">
        <v>867162029843950</v>
      </c>
      <c r="G54" t="str">
        <v>TBD</v>
      </c>
      <c r="H54" t="str">
        <v/>
      </c>
      <c r="I54" t="str">
        <v/>
      </c>
      <c r="J54" t="str">
        <v>01/10/2026</v>
      </c>
      <c r="K54" t="str">
        <v>09:22:50</v>
      </c>
      <c r="L54">
        <v>-12.317525</v>
      </c>
      <c r="M54">
        <v>-76.82457</v>
      </c>
      <c r="N54">
        <f>HYPERLINK("https://www.google.com/maps/search/?api=1&amp;query=-12.317525,-76.82457","Punta Hermosa, Lima")</f>
      </c>
      <c r="O54" t="str">
        <v>Vehículo encendido</v>
      </c>
      <c r="P54" t="str">
        <v/>
      </c>
      <c r="Q54">
        <v>719448.3</v>
      </c>
      <c r="R54" t="str">
        <v/>
      </c>
      <c r="S54">
        <v>0</v>
      </c>
      <c r="T54">
        <v>129.18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09:22:49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09:23:08</v>
      </c>
      <c r="AL54" t="str">
        <v>09:23:08</v>
      </c>
      <c r="AM54" t="str">
        <v/>
      </c>
    </row>
    <row r="55">
      <c r="A55">
        <v>54</v>
      </c>
      <c r="B55" t="str">
        <v>MASS BSF</v>
      </c>
      <c r="C55" t="str">
        <v>BXQ-847</v>
      </c>
      <c r="D55" t="str">
        <v>BXQ-847</v>
      </c>
      <c r="E55" t="str">
        <v/>
      </c>
      <c r="F55" t="str">
        <v>867162029843950</v>
      </c>
      <c r="G55" t="str">
        <v>TBD</v>
      </c>
      <c r="H55" t="str">
        <v/>
      </c>
      <c r="I55" t="str">
        <v/>
      </c>
      <c r="J55" t="str">
        <v>01/10/2026</v>
      </c>
      <c r="K55" t="str">
        <v>09:27:28</v>
      </c>
      <c r="L55">
        <v>-12.317501</v>
      </c>
      <c r="M55">
        <v>-76.82448</v>
      </c>
      <c r="N55">
        <f>HYPERLINK("https://www.google.com/maps/search/?api=1&amp;query=-12.317501,-76.82448","Punta Hermosa, Lima")</f>
      </c>
      <c r="O55" t="str">
        <v>Inicio de ralentí</v>
      </c>
      <c r="P55" t="str">
        <v>Vehículo Detenido</v>
      </c>
      <c r="Q55">
        <v>719448.3</v>
      </c>
      <c r="R55" t="str">
        <v/>
      </c>
      <c r="S55">
        <v>0</v>
      </c>
      <c r="T55">
        <v>129.18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09:26:47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09:27:41</v>
      </c>
      <c r="AL55" t="str">
        <v>09:27:41</v>
      </c>
      <c r="AM55" t="str">
        <v/>
      </c>
    </row>
    <row r="56">
      <c r="A56">
        <v>55</v>
      </c>
      <c r="B56" t="str">
        <v>MASS BSF</v>
      </c>
      <c r="C56" t="str">
        <v>BXQ-847</v>
      </c>
      <c r="D56" t="str">
        <v>BXQ-847</v>
      </c>
      <c r="E56" t="str">
        <v/>
      </c>
      <c r="F56" t="str">
        <v>867162029843950</v>
      </c>
      <c r="G56" t="str">
        <v>TBD</v>
      </c>
      <c r="H56" t="str">
        <v/>
      </c>
      <c r="I56" t="str">
        <v/>
      </c>
      <c r="J56" t="str">
        <v>01/10/2026</v>
      </c>
      <c r="K56" t="str">
        <v>09:30:07</v>
      </c>
      <c r="L56">
        <v>-12.317501</v>
      </c>
      <c r="M56">
        <v>-76.82448</v>
      </c>
      <c r="N56">
        <f>HYPERLINK("https://www.google.com/maps/search/?api=1&amp;query=-12.317501,-76.82448","Punta Hermosa, Lima")</f>
      </c>
      <c r="O56" t="str">
        <v>Fin de ralentí</v>
      </c>
      <c r="P56" t="str">
        <v/>
      </c>
      <c r="Q56">
        <v>719448.3</v>
      </c>
      <c r="R56" t="str">
        <v/>
      </c>
      <c r="S56">
        <v>0</v>
      </c>
      <c r="T56">
        <v>129.18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09:29:47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09:30:19</v>
      </c>
      <c r="AL56" t="str">
        <v>09:30:19</v>
      </c>
      <c r="AM56" t="str">
        <v/>
      </c>
    </row>
    <row r="57">
      <c r="A57">
        <v>56</v>
      </c>
      <c r="B57" t="str">
        <v>MASS BSF</v>
      </c>
      <c r="C57" t="str">
        <v>BXQ-847</v>
      </c>
      <c r="D57" t="str">
        <v>BXQ-847</v>
      </c>
      <c r="E57" t="str">
        <v/>
      </c>
      <c r="F57" t="str">
        <v>867162029843950</v>
      </c>
      <c r="G57" t="str">
        <v>TBD</v>
      </c>
      <c r="H57" t="str">
        <v/>
      </c>
      <c r="I57" t="str">
        <v/>
      </c>
      <c r="J57" t="str">
        <v>01/10/2026</v>
      </c>
      <c r="K57" t="str">
        <v>09:33:00</v>
      </c>
      <c r="L57">
        <v>-12.317773</v>
      </c>
      <c r="M57">
        <v>-76.824265</v>
      </c>
      <c r="N57">
        <f>HYPERLINK("https://www.google.com/maps/search/?api=1&amp;query=-12.317773,-76.824265","Punta Hermosa, Lima")</f>
      </c>
      <c r="O57" t="str">
        <v>Vehículo apagado</v>
      </c>
      <c r="P57" t="str">
        <v>Vehículo Apagado</v>
      </c>
      <c r="Q57">
        <v>719448.4</v>
      </c>
      <c r="R57" t="str">
        <v/>
      </c>
      <c r="S57">
        <v>0</v>
      </c>
      <c r="T57">
        <v>129.18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09:33:01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09:33:21</v>
      </c>
      <c r="AL57" t="str">
        <v>09:33:21</v>
      </c>
      <c r="AM57" t="str">
        <v/>
      </c>
    </row>
    <row r="58">
      <c r="A58">
        <v>57</v>
      </c>
      <c r="B58" t="str">
        <v>MASS BSF</v>
      </c>
      <c r="C58" t="str">
        <v>BXQ-847</v>
      </c>
      <c r="D58" t="str">
        <v>BXQ-847</v>
      </c>
      <c r="E58" t="str">
        <v/>
      </c>
      <c r="F58" t="str">
        <v>867162029843950</v>
      </c>
      <c r="G58" t="str">
        <v>TBD</v>
      </c>
      <c r="H58" t="str">
        <v/>
      </c>
      <c r="I58" t="str">
        <v/>
      </c>
      <c r="J58" t="str">
        <v>01/10/2026</v>
      </c>
      <c r="K58" t="str">
        <v>09:42:04</v>
      </c>
      <c r="L58">
        <v>-12.317773</v>
      </c>
      <c r="M58">
        <v>-76.824265</v>
      </c>
      <c r="N58">
        <f>HYPERLINK("https://www.google.com/maps/search/?api=1&amp;query=-12.317773,-76.824265","Punta Hermosa, Lima")</f>
      </c>
      <c r="O58" t="str">
        <v>Vehículo encendido</v>
      </c>
      <c r="P58" t="str">
        <v/>
      </c>
      <c r="Q58">
        <v>719448.4</v>
      </c>
      <c r="R58" t="str">
        <v/>
      </c>
      <c r="S58">
        <v>0</v>
      </c>
      <c r="T58">
        <v>129.18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09:33:01</v>
      </c>
      <c r="AE58">
        <f>IF("NOGPS"="NOGPS","GPS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09:42:24</v>
      </c>
      <c r="AL58" t="str">
        <v>09:42:24</v>
      </c>
      <c r="AM58" t="str">
        <v/>
      </c>
    </row>
    <row r="59">
      <c r="A59">
        <v>58</v>
      </c>
      <c r="B59" t="str">
        <v>MASS BSF</v>
      </c>
      <c r="C59" t="str">
        <v>BXQ-847</v>
      </c>
      <c r="D59" t="str">
        <v>BXQ-847</v>
      </c>
      <c r="E59" t="str">
        <v/>
      </c>
      <c r="F59" t="str">
        <v>867162029843950</v>
      </c>
      <c r="G59" t="str">
        <v>TBD</v>
      </c>
      <c r="H59" t="str">
        <v/>
      </c>
      <c r="I59" t="str">
        <v/>
      </c>
      <c r="J59" t="str">
        <v>01/10/2026</v>
      </c>
      <c r="K59" t="str">
        <v>09:42:12</v>
      </c>
      <c r="L59">
        <v>-12.317817</v>
      </c>
      <c r="M59">
        <v>-76.82432</v>
      </c>
      <c r="N59">
        <f>HYPERLINK("https://www.google.com/maps/search/?api=1&amp;query=-12.317817,-76.82432","Punta Hermosa, Lima")</f>
      </c>
      <c r="O59" t="str">
        <v>Vehículo apagado</v>
      </c>
      <c r="P59" t="str">
        <v>Vehículo Apagado</v>
      </c>
      <c r="Q59">
        <v>719448.4</v>
      </c>
      <c r="R59" t="str">
        <v/>
      </c>
      <c r="S59">
        <v>1.4</v>
      </c>
      <c r="T59">
        <v>129.18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01/10/2026</v>
      </c>
      <c r="AD59" t="str">
        <v>09:42:09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09:42:21</v>
      </c>
      <c r="AL59" t="str">
        <v>09:42:21</v>
      </c>
      <c r="AM59" t="str">
        <v/>
      </c>
    </row>
    <row r="60">
      <c r="A60">
        <v>59</v>
      </c>
      <c r="B60" t="str">
        <v>MASS BSF</v>
      </c>
      <c r="C60" t="str">
        <v>BXQ-847</v>
      </c>
      <c r="D60" t="str">
        <v>BXQ-847</v>
      </c>
      <c r="E60" t="str">
        <v/>
      </c>
      <c r="F60" t="str">
        <v>867162029843950</v>
      </c>
      <c r="G60" t="str">
        <v>TBD</v>
      </c>
      <c r="H60" t="str">
        <v/>
      </c>
      <c r="I60" t="str">
        <v/>
      </c>
      <c r="J60" t="str">
        <v>01/10/2026</v>
      </c>
      <c r="K60" t="str">
        <v>09:44:53</v>
      </c>
      <c r="L60">
        <v>-12.317817</v>
      </c>
      <c r="M60">
        <v>-76.82432</v>
      </c>
      <c r="N60">
        <f>HYPERLINK("https://www.google.com/maps/search/?api=1&amp;query=-12.317817,-76.82432","Punta Hermosa, Lima")</f>
      </c>
      <c r="O60" t="str">
        <v>Vehículo encendido</v>
      </c>
      <c r="P60" t="str">
        <v/>
      </c>
      <c r="Q60">
        <v>719448.4</v>
      </c>
      <c r="R60" t="str">
        <v/>
      </c>
      <c r="S60">
        <v>0</v>
      </c>
      <c r="T60">
        <v>129.18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01/10/2026</v>
      </c>
      <c r="AD60" t="str">
        <v>09:42:14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09:45:17</v>
      </c>
      <c r="AL60" t="str">
        <v>09:45:17</v>
      </c>
      <c r="AM60" t="str">
        <v/>
      </c>
    </row>
    <row r="61">
      <c r="A61">
        <v>60</v>
      </c>
      <c r="B61" t="str">
        <v>MASS BSF</v>
      </c>
      <c r="C61" t="str">
        <v>BXQ-847</v>
      </c>
      <c r="D61" t="str">
        <v>BXQ-847</v>
      </c>
      <c r="E61" t="str">
        <v/>
      </c>
      <c r="F61" t="str">
        <v>867162029843950</v>
      </c>
      <c r="G61" t="str">
        <v>TBD</v>
      </c>
      <c r="H61" t="str">
        <v/>
      </c>
      <c r="I61" t="str">
        <v xml:space="preserve"> </v>
      </c>
      <c r="J61" t="str">
        <v>01/10/2026</v>
      </c>
      <c r="K61" t="str">
        <v>09:51:14</v>
      </c>
      <c r="L61">
        <v>-12.317473</v>
      </c>
      <c r="M61">
        <v>-76.83003</v>
      </c>
      <c r="N61">
        <f>HYPERLINK("https://www.google.com/maps/search/?api=1&amp;query=-12.317473,-76.83003","Punta Hermosa, Lima")</f>
      </c>
      <c r="O61" t="str">
        <v>Salió de zona</v>
      </c>
      <c r="P61" t="str">
        <v/>
      </c>
      <c r="Q61">
        <v>719449.1</v>
      </c>
      <c r="R61" t="str">
        <v>MASS BSF 1</v>
      </c>
      <c r="S61">
        <v>21.8</v>
      </c>
      <c r="T61">
        <v>129.3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09:51:13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09:51:29</v>
      </c>
      <c r="AL61" t="str">
        <v>09:51:29</v>
      </c>
      <c r="AM61" t="str">
        <v/>
      </c>
    </row>
    <row r="62">
      <c r="A62">
        <v>61</v>
      </c>
      <c r="B62" t="str">
        <v>MASS BSF</v>
      </c>
      <c r="C62" t="str">
        <v>BXQ-847</v>
      </c>
      <c r="D62" t="str">
        <v>BXQ-847</v>
      </c>
      <c r="E62" t="str">
        <v/>
      </c>
      <c r="F62" t="str">
        <v>867162029843950</v>
      </c>
      <c r="G62" t="str">
        <v>TBD</v>
      </c>
      <c r="H62" t="str">
        <v/>
      </c>
      <c r="I62" t="str">
        <v/>
      </c>
      <c r="J62" t="str">
        <v>01/10/2026</v>
      </c>
      <c r="K62" t="str">
        <v>09:53:05</v>
      </c>
      <c r="L62">
        <v>-12.303611</v>
      </c>
      <c r="M62">
        <v>-76.84143</v>
      </c>
      <c r="N62">
        <f>HYPERLINK("https://www.google.com/maps/search/?api=1&amp;query=-12.303611,-76.84143","Carretera Panamericana Sur, Lurín, Lima")</f>
      </c>
      <c r="O62" t="str">
        <v>Excedió el límite de velocidad</v>
      </c>
      <c r="P62" t="str">
        <v/>
      </c>
      <c r="Q62">
        <v>719451.2</v>
      </c>
      <c r="R62" t="str">
        <v/>
      </c>
      <c r="S62">
        <v>90.2</v>
      </c>
      <c r="T62">
        <v>129.18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01/10/2026</v>
      </c>
      <c r="AD62" t="str">
        <v>09:53:04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09:53:15</v>
      </c>
      <c r="AL62" t="str">
        <v>09:53:15</v>
      </c>
      <c r="AM62" t="str">
        <v/>
      </c>
    </row>
    <row r="63">
      <c r="A63">
        <v>62</v>
      </c>
      <c r="B63" t="str">
        <v>MASS BSF</v>
      </c>
      <c r="C63" t="str">
        <v>BXQ-847</v>
      </c>
      <c r="D63" t="str">
        <v>BXQ-847</v>
      </c>
      <c r="E63" t="str">
        <v/>
      </c>
      <c r="F63" t="str">
        <v>867162029843950</v>
      </c>
      <c r="G63" t="str">
        <v>TBD</v>
      </c>
      <c r="H63" t="str">
        <v/>
      </c>
      <c r="I63" t="str">
        <v/>
      </c>
      <c r="J63" t="str">
        <v>01/10/2026</v>
      </c>
      <c r="K63" t="str">
        <v>09:54:05</v>
      </c>
      <c r="L63">
        <v>-12.298265</v>
      </c>
      <c r="M63">
        <v>-76.85287</v>
      </c>
      <c r="N63">
        <f>HYPERLINK("https://www.google.com/maps/search/?api=1&amp;query=-12.298265,-76.85287","Carretera Panamericana Sur, Lurín, Lima")</f>
      </c>
      <c r="O63" t="str">
        <v>Excedió el límite de velocidad</v>
      </c>
      <c r="P63" t="str">
        <v/>
      </c>
      <c r="Q63">
        <v>719452.6</v>
      </c>
      <c r="R63" t="str">
        <v/>
      </c>
      <c r="S63">
        <v>89.7</v>
      </c>
      <c r="T63">
        <v>129.18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01/10/2026</v>
      </c>
      <c r="AD63" t="str">
        <v>09:54:04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09:54:21</v>
      </c>
      <c r="AL63" t="str">
        <v>09:54:21</v>
      </c>
      <c r="AM63" t="str">
        <v/>
      </c>
    </row>
    <row r="64">
      <c r="A64">
        <v>63</v>
      </c>
      <c r="B64" t="str">
        <v>MASS BSF</v>
      </c>
      <c r="C64" t="str">
        <v>BXQ-847</v>
      </c>
      <c r="D64" t="str">
        <v>BXQ-847</v>
      </c>
      <c r="E64" t="str">
        <v/>
      </c>
      <c r="F64" t="str">
        <v>867162029843950</v>
      </c>
      <c r="G64" t="str">
        <v>TBD</v>
      </c>
      <c r="H64" t="str">
        <v/>
      </c>
      <c r="I64" t="str">
        <v/>
      </c>
      <c r="J64" t="str">
        <v>01/10/2026</v>
      </c>
      <c r="K64" t="str">
        <v>09:58:08</v>
      </c>
      <c r="L64">
        <v>-12.271824</v>
      </c>
      <c r="M64">
        <v>-76.896545</v>
      </c>
      <c r="N64">
        <f>HYPERLINK("https://www.google.com/maps/search/?api=1&amp;query=-12.271824,-76.896545","Carretera Panamericana Sur, Lurín, Lima")</f>
      </c>
      <c r="O64" t="str">
        <v>Excedió el límite de velocidad</v>
      </c>
      <c r="P64" t="str">
        <v/>
      </c>
      <c r="Q64">
        <v>719458.2</v>
      </c>
      <c r="R64" t="str">
        <v/>
      </c>
      <c r="S64">
        <v>83.6</v>
      </c>
      <c r="T64">
        <v>129.18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09:58:07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09:58:14</v>
      </c>
      <c r="AL64" t="str">
        <v>09:58:14</v>
      </c>
      <c r="AM64" t="str">
        <v/>
      </c>
    </row>
    <row r="65">
      <c r="A65">
        <v>64</v>
      </c>
      <c r="B65" t="str">
        <v>MASS BSF</v>
      </c>
      <c r="C65" t="str">
        <v>BXQ-847</v>
      </c>
      <c r="D65" t="str">
        <v>BXQ-847</v>
      </c>
      <c r="E65" t="str">
        <v/>
      </c>
      <c r="F65" t="str">
        <v>867162029843950</v>
      </c>
      <c r="G65" t="str">
        <v>TBD</v>
      </c>
      <c r="H65" t="str">
        <v/>
      </c>
      <c r="I65" t="str">
        <v/>
      </c>
      <c r="J65" t="str">
        <v>01/10/2026</v>
      </c>
      <c r="K65" t="str">
        <v>09:58:41</v>
      </c>
      <c r="L65">
        <v>-12.268265</v>
      </c>
      <c r="M65">
        <v>-76.90222</v>
      </c>
      <c r="N65">
        <f>HYPERLINK("https://www.google.com/maps/search/?api=1&amp;query=-12.268265,-76.90222","Carretera Panamericana Sur, Lurín, Lima")</f>
      </c>
      <c r="O65" t="str">
        <v>Excedió el límite de velocidad</v>
      </c>
      <c r="P65" t="str">
        <v/>
      </c>
      <c r="Q65">
        <v>719458.9</v>
      </c>
      <c r="R65" t="str">
        <v/>
      </c>
      <c r="S65">
        <v>83.2</v>
      </c>
      <c r="T65">
        <v>129.18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09:58:40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09:58:52</v>
      </c>
      <c r="AL65" t="str">
        <v>09:58:52</v>
      </c>
      <c r="AM65" t="str">
        <v/>
      </c>
    </row>
    <row r="66">
      <c r="A66">
        <v>65</v>
      </c>
      <c r="B66" t="str">
        <v>MASS BSF</v>
      </c>
      <c r="C66" t="str">
        <v>BXQ-847</v>
      </c>
      <c r="D66" t="str">
        <v>BXQ-847</v>
      </c>
      <c r="E66" t="str">
        <v/>
      </c>
      <c r="F66" t="str">
        <v>867162029843950</v>
      </c>
      <c r="G66" t="str">
        <v>TBD</v>
      </c>
      <c r="H66" t="str">
        <v/>
      </c>
      <c r="I66" t="str">
        <v/>
      </c>
      <c r="J66" t="str">
        <v>01/10/2026</v>
      </c>
      <c r="K66" t="str">
        <v>09:59:02</v>
      </c>
      <c r="L66">
        <v>-12.265901</v>
      </c>
      <c r="M66">
        <v>-76.90593</v>
      </c>
      <c r="N66">
        <f>HYPERLINK("https://www.google.com/maps/search/?api=1&amp;query=-12.265901,-76.90593","Carretera Panamericana Sur, Lurín, Lima")</f>
      </c>
      <c r="O66" t="str">
        <v>Excedió el límite de velocidad</v>
      </c>
      <c r="P66" t="str">
        <v/>
      </c>
      <c r="Q66">
        <v>719459.4</v>
      </c>
      <c r="R66" t="str">
        <v/>
      </c>
      <c r="S66">
        <v>88.1</v>
      </c>
      <c r="T66">
        <v>129.18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09:59:01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09:59:27</v>
      </c>
      <c r="AL66" t="str">
        <v>09:59:27</v>
      </c>
      <c r="AM66" t="str">
        <v/>
      </c>
    </row>
    <row r="67">
      <c r="A67">
        <v>66</v>
      </c>
      <c r="B67" t="str">
        <v>MASS BSF</v>
      </c>
      <c r="C67" t="str">
        <v>BXQ-847</v>
      </c>
      <c r="D67" t="str">
        <v>BXQ-847</v>
      </c>
      <c r="E67" t="str">
        <v/>
      </c>
      <c r="F67" t="str">
        <v>867162029843950</v>
      </c>
      <c r="G67" t="str">
        <v>TBD</v>
      </c>
      <c r="H67" t="str">
        <v/>
      </c>
      <c r="I67" t="str">
        <v xml:space="preserve"> </v>
      </c>
      <c r="J67" t="str">
        <v>01/10/2026</v>
      </c>
      <c r="K67" t="str">
        <v>10:23:59</v>
      </c>
      <c r="L67">
        <v>-12.15489</v>
      </c>
      <c r="M67">
        <v>-76.977295</v>
      </c>
      <c r="N67">
        <f>HYPERLINK("https://www.google.com/maps/search/?api=1&amp;query=-12.15489,-76.977295","Joaquín Bernal, San Juan de Miraflores, Lima")</f>
      </c>
      <c r="O67" t="str">
        <v>Llegó a la zona</v>
      </c>
      <c r="P67" t="str">
        <v/>
      </c>
      <c r="Q67">
        <v>719477.6</v>
      </c>
      <c r="R67" t="str">
        <v>813-BERNAL3 SJM MS</v>
      </c>
      <c r="S67">
        <v>0</v>
      </c>
      <c r="T67">
        <v>129.3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10:23:55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10:24:10</v>
      </c>
      <c r="AL67" t="str">
        <v>10:24:10</v>
      </c>
      <c r="AM67" t="str">
        <v/>
      </c>
    </row>
    <row r="68">
      <c r="A68">
        <v>67</v>
      </c>
      <c r="B68" t="str">
        <v>MASS BSF</v>
      </c>
      <c r="C68" t="str">
        <v>BXQ-847</v>
      </c>
      <c r="D68" t="str">
        <v>BXQ-847</v>
      </c>
      <c r="E68" t="str">
        <v/>
      </c>
      <c r="F68" t="str">
        <v>867162029843950</v>
      </c>
      <c r="G68" t="str">
        <v>TBD</v>
      </c>
      <c r="H68" t="str">
        <v/>
      </c>
      <c r="I68" t="str">
        <v/>
      </c>
      <c r="J68" t="str">
        <v>01/10/2026</v>
      </c>
      <c r="K68" t="str">
        <v>10:24:09</v>
      </c>
      <c r="L68">
        <v>-12.154914</v>
      </c>
      <c r="M68">
        <v>-76.97728</v>
      </c>
      <c r="N68">
        <f>HYPERLINK("https://www.google.com/maps/search/?api=1&amp;query=-12.154914,-76.97728","Joaquín Bernal, San Juan de Miraflores, Lima")</f>
      </c>
      <c r="O68" t="str">
        <v>Vehículo apagado</v>
      </c>
      <c r="P68" t="str">
        <v>Vehículo Apagado</v>
      </c>
      <c r="Q68">
        <v>719477.7</v>
      </c>
      <c r="R68" t="str">
        <v/>
      </c>
      <c r="S68">
        <v>0</v>
      </c>
      <c r="T68">
        <v>129.83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01/10/2026</v>
      </c>
      <c r="AD68" t="str">
        <v>10:24:11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10:24:23</v>
      </c>
      <c r="AL68" t="str">
        <v>10:24:23</v>
      </c>
      <c r="AM68" t="str">
        <v/>
      </c>
    </row>
    <row r="69">
      <c r="A69">
        <v>68</v>
      </c>
      <c r="B69" t="str">
        <v>MASS BSF</v>
      </c>
      <c r="C69" t="str">
        <v>BXQ-847</v>
      </c>
      <c r="D69" t="str">
        <v>BXQ-847</v>
      </c>
      <c r="E69" t="str">
        <v/>
      </c>
      <c r="F69" t="str">
        <v>867162029843950</v>
      </c>
      <c r="G69" t="str">
        <v>TBD</v>
      </c>
      <c r="H69" t="str">
        <v/>
      </c>
      <c r="I69" t="str">
        <v/>
      </c>
      <c r="J69" t="str">
        <v>01/10/2026</v>
      </c>
      <c r="K69" t="str">
        <v>10:24:11</v>
      </c>
      <c r="L69">
        <v>-12.154914</v>
      </c>
      <c r="M69">
        <v>-76.97728</v>
      </c>
      <c r="N69">
        <f>HYPERLINK("https://www.google.com/maps/search/?api=1&amp;query=-12.154914,-76.97728","Joaquín Bernal, San Juan de Miraflores, Lima")</f>
      </c>
      <c r="O69" t="str">
        <v>Vehículo encendido</v>
      </c>
      <c r="P69" t="str">
        <v/>
      </c>
      <c r="Q69">
        <v>719477.7</v>
      </c>
      <c r="R69" t="str">
        <v/>
      </c>
      <c r="S69">
        <v>0</v>
      </c>
      <c r="T69">
        <v>129.18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01/10/2026</v>
      </c>
      <c r="AD69" t="str">
        <v>10:24:11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10:24:24</v>
      </c>
      <c r="AL69" t="str">
        <v>10:24:24</v>
      </c>
      <c r="AM69" t="str">
        <v/>
      </c>
    </row>
    <row r="70">
      <c r="A70">
        <v>69</v>
      </c>
      <c r="B70" t="str">
        <v>MASS BSF</v>
      </c>
      <c r="C70" t="str">
        <v>BXQ-847</v>
      </c>
      <c r="D70" t="str">
        <v>BXQ-847</v>
      </c>
      <c r="E70" t="str">
        <v/>
      </c>
      <c r="F70" t="str">
        <v>867162029843950</v>
      </c>
      <c r="G70" t="str">
        <v>TBD</v>
      </c>
      <c r="H70" t="str">
        <v/>
      </c>
      <c r="I70" t="str">
        <v/>
      </c>
      <c r="J70" t="str">
        <v>01/10/2026</v>
      </c>
      <c r="K70" t="str">
        <v>10:24:19</v>
      </c>
      <c r="L70">
        <v>-12.154914</v>
      </c>
      <c r="M70">
        <v>-76.97728</v>
      </c>
      <c r="N70">
        <f>HYPERLINK("https://www.google.com/maps/search/?api=1&amp;query=-12.154914,-76.97728","Joaquín Bernal, San Juan de Miraflores, Lima")</f>
      </c>
      <c r="O70" t="str">
        <v>Vehículo apagado</v>
      </c>
      <c r="P70" t="str">
        <v>Vehículo Apagado</v>
      </c>
      <c r="Q70">
        <v>719477.7</v>
      </c>
      <c r="R70" t="str">
        <v/>
      </c>
      <c r="S70">
        <v>0</v>
      </c>
      <c r="T70">
        <v>129.18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01/10/2026</v>
      </c>
      <c r="AD70" t="str">
        <v>10:24:22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10:24:35</v>
      </c>
      <c r="AL70" t="str">
        <v>10:24:35</v>
      </c>
      <c r="AM70" t="str">
        <v/>
      </c>
    </row>
    <row r="71">
      <c r="A71">
        <v>70</v>
      </c>
      <c r="B71" t="str">
        <v>MASS BSF</v>
      </c>
      <c r="C71" t="str">
        <v>BXQ-847</v>
      </c>
      <c r="D71" t="str">
        <v>BXQ-847</v>
      </c>
      <c r="E71" t="str">
        <v/>
      </c>
      <c r="F71" t="str">
        <v>867162029843950</v>
      </c>
      <c r="G71" t="str">
        <v>TBD</v>
      </c>
      <c r="H71" t="str">
        <v/>
      </c>
      <c r="I71" t="str">
        <v/>
      </c>
      <c r="J71" t="str">
        <v>01/10/2026</v>
      </c>
      <c r="K71" t="str">
        <v>10:29:35</v>
      </c>
      <c r="L71">
        <v>-12.154914</v>
      </c>
      <c r="M71">
        <v>-76.97728</v>
      </c>
      <c r="N71">
        <f>HYPERLINK("https://www.google.com/maps/search/?api=1&amp;query=-12.154914,-76.97728","Joaquín Bernal, San Juan de Miraflores, Lima")</f>
      </c>
      <c r="O71" t="str">
        <v>Vehículo encendido</v>
      </c>
      <c r="P71" t="str">
        <v/>
      </c>
      <c r="Q71">
        <v>719477.7</v>
      </c>
      <c r="R71" t="str">
        <v/>
      </c>
      <c r="S71">
        <v>0</v>
      </c>
      <c r="T71">
        <v>129.18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01/10/2026</v>
      </c>
      <c r="AD71" t="str">
        <v>10:24:22</v>
      </c>
      <c r="AE71">
        <f>IF("NOGPS"="NOGPS","GPS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10:29:53</v>
      </c>
      <c r="AL71" t="str">
        <v>10:29:53</v>
      </c>
      <c r="AM71" t="str">
        <v/>
      </c>
    </row>
    <row r="72">
      <c r="A72">
        <v>71</v>
      </c>
      <c r="B72" t="str">
        <v>MASS BSF</v>
      </c>
      <c r="C72" t="str">
        <v>BXQ-847</v>
      </c>
      <c r="D72" t="str">
        <v>BXQ-847</v>
      </c>
      <c r="E72" t="str">
        <v/>
      </c>
      <c r="F72" t="str">
        <v>867162029843950</v>
      </c>
      <c r="G72" t="str">
        <v>TBD</v>
      </c>
      <c r="H72" t="str">
        <v/>
      </c>
      <c r="I72" t="str">
        <v xml:space="preserve"> </v>
      </c>
      <c r="J72" t="str">
        <v>01/10/2026</v>
      </c>
      <c r="K72" t="str">
        <v>10:31:40</v>
      </c>
      <c r="L72">
        <v>-12.155177</v>
      </c>
      <c r="M72">
        <v>-76.97684</v>
      </c>
      <c r="N72">
        <f>HYPERLINK("https://www.google.com/maps/search/?api=1&amp;query=-12.155177,-76.97684","Joaquín Bernal, San Juan de Miraflores, Lima")</f>
      </c>
      <c r="O72" t="str">
        <v>Salió de zona</v>
      </c>
      <c r="P72" t="str">
        <v/>
      </c>
      <c r="Q72">
        <v>719477.8</v>
      </c>
      <c r="R72" t="str">
        <v>813-BERNAL3 SJM MS</v>
      </c>
      <c r="S72">
        <v>17</v>
      </c>
      <c r="T72">
        <v>129.97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01/10/2026</v>
      </c>
      <c r="AD72" t="str">
        <v>10:31:36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10:31:55</v>
      </c>
      <c r="AL72" t="str">
        <v>10:31:55</v>
      </c>
      <c r="AM72" t="str">
        <v/>
      </c>
    </row>
    <row r="73">
      <c r="A73">
        <v>72</v>
      </c>
      <c r="B73" t="str">
        <v>MASS BSF</v>
      </c>
      <c r="C73" t="str">
        <v>BXQ-847</v>
      </c>
      <c r="D73" t="str">
        <v>BXQ-847</v>
      </c>
      <c r="E73" t="str">
        <v/>
      </c>
      <c r="F73" t="str">
        <v>867162029843950</v>
      </c>
      <c r="G73" t="str">
        <v>TBD</v>
      </c>
      <c r="H73" t="str">
        <v/>
      </c>
      <c r="I73" t="str">
        <v xml:space="preserve"> </v>
      </c>
      <c r="J73" t="str">
        <v>01/10/2026</v>
      </c>
      <c r="K73" t="str">
        <v>10:34:28</v>
      </c>
      <c r="L73">
        <v>-12.158509</v>
      </c>
      <c r="M73">
        <v>-76.973236</v>
      </c>
      <c r="N73">
        <f>HYPERLINK("https://www.google.com/maps/search/?api=1&amp;query=-12.158509,-76.973236","Avenida San Juan, San Juan de Miraflores, Lima")</f>
      </c>
      <c r="O73" t="str">
        <v>Llegó a la zona</v>
      </c>
      <c r="P73" t="str">
        <v/>
      </c>
      <c r="Q73">
        <v>719478.3</v>
      </c>
      <c r="R73" t="str">
        <v>335-SAN JUAN 9</v>
      </c>
      <c r="S73">
        <v>14.4</v>
      </c>
      <c r="T73">
        <v>129.97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01/10/2026</v>
      </c>
      <c r="AD73" t="str">
        <v>10:34:27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10:34:43</v>
      </c>
      <c r="AL73" t="str">
        <v>10:34:43</v>
      </c>
      <c r="AM73" t="str">
        <v/>
      </c>
    </row>
    <row r="74">
      <c r="A74">
        <v>73</v>
      </c>
      <c r="B74" t="str">
        <v>MASS BSF</v>
      </c>
      <c r="C74" t="str">
        <v>BXQ-847</v>
      </c>
      <c r="D74" t="str">
        <v>BXQ-847</v>
      </c>
      <c r="E74" t="str">
        <v/>
      </c>
      <c r="F74" t="str">
        <v>867162029843950</v>
      </c>
      <c r="G74" t="str">
        <v>TBD</v>
      </c>
      <c r="H74" t="str">
        <v/>
      </c>
      <c r="I74" t="str">
        <v xml:space="preserve"> </v>
      </c>
      <c r="J74" t="str">
        <v>01/10/2026</v>
      </c>
      <c r="K74" t="str">
        <v>10:34:40</v>
      </c>
      <c r="L74">
        <v>-12.15857</v>
      </c>
      <c r="M74">
        <v>-76.97273</v>
      </c>
      <c r="N74">
        <f>HYPERLINK("https://www.google.com/maps/search/?api=1&amp;query=-12.15857,-76.97273","Avenida Guillermo Billinghurst, San Juan de Miraflores, Lima")</f>
      </c>
      <c r="O74" t="str">
        <v>Salió de zona</v>
      </c>
      <c r="P74" t="str">
        <v/>
      </c>
      <c r="Q74">
        <v>719478.3</v>
      </c>
      <c r="R74" t="str">
        <v>335-SAN JUAN 9</v>
      </c>
      <c r="S74">
        <v>26.7</v>
      </c>
      <c r="T74">
        <v>129.97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01/10/2026</v>
      </c>
      <c r="AD74" t="str">
        <v>10:34:36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10:34:57</v>
      </c>
      <c r="AL74" t="str">
        <v>10:34:57</v>
      </c>
      <c r="AM74" t="str">
        <v/>
      </c>
    </row>
    <row r="75">
      <c r="A75">
        <v>74</v>
      </c>
      <c r="B75" t="str">
        <v>MASS BSF</v>
      </c>
      <c r="C75" t="str">
        <v>BXQ-847</v>
      </c>
      <c r="D75" t="str">
        <v>BXQ-847</v>
      </c>
      <c r="E75" t="str">
        <v/>
      </c>
      <c r="F75" t="str">
        <v>867162029843950</v>
      </c>
      <c r="G75" t="str">
        <v>TBD</v>
      </c>
      <c r="H75" t="str">
        <v/>
      </c>
      <c r="I75" t="str">
        <v/>
      </c>
      <c r="J75" t="str">
        <v>01/10/2026</v>
      </c>
      <c r="K75" t="str">
        <v>10:37:16</v>
      </c>
      <c r="L75">
        <v>-12.156356</v>
      </c>
      <c r="M75">
        <v>-76.9715</v>
      </c>
      <c r="N75">
        <f>HYPERLINK("https://www.google.com/maps/search/?api=1&amp;query=-12.156356,-76.9715","Jirón Maximiliano Carranza, San Juan de Miraflores, Lima")</f>
      </c>
      <c r="O75" t="str">
        <v>Vehículo apagado</v>
      </c>
      <c r="P75" t="str">
        <v>Vehículo Apagado</v>
      </c>
      <c r="Q75">
        <v>719479.1</v>
      </c>
      <c r="R75" t="str">
        <v/>
      </c>
      <c r="S75">
        <v>4.8</v>
      </c>
      <c r="T75">
        <v>129.32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01/10/2026</v>
      </c>
      <c r="AD75" t="str">
        <v>10:36:39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10:37:26</v>
      </c>
      <c r="AL75" t="str">
        <v>10:37:26</v>
      </c>
      <c r="AM75" t="str">
        <v/>
      </c>
    </row>
    <row r="76">
      <c r="A76">
        <v>75</v>
      </c>
      <c r="B76" t="str">
        <v>MASS BSF</v>
      </c>
      <c r="C76" t="str">
        <v>BXQ-847</v>
      </c>
      <c r="D76" t="str">
        <v>BXQ-847</v>
      </c>
      <c r="E76" t="str">
        <v/>
      </c>
      <c r="F76" t="str">
        <v>867162029843950</v>
      </c>
      <c r="G76" t="str">
        <v>TBD</v>
      </c>
      <c r="H76" t="str">
        <v/>
      </c>
      <c r="I76" t="str">
        <v/>
      </c>
      <c r="J76" t="str">
        <v>01/10/2026</v>
      </c>
      <c r="K76" t="str">
        <v>10:56:49</v>
      </c>
      <c r="L76">
        <v>-12.156325</v>
      </c>
      <c r="M76">
        <v>-76.9715</v>
      </c>
      <c r="N76">
        <f>HYPERLINK("https://www.google.com/maps/search/?api=1&amp;query=-12.156325,-76.9715","Manuel Montero Rosas, San Juan de Miraflores, Lima")</f>
      </c>
      <c r="O76" t="str">
        <v>Vehículo encendido</v>
      </c>
      <c r="P76" t="str">
        <v/>
      </c>
      <c r="Q76">
        <v>719479.1</v>
      </c>
      <c r="R76" t="str">
        <v/>
      </c>
      <c r="S76">
        <v>0</v>
      </c>
      <c r="T76">
        <v>129.32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01/10/2026</v>
      </c>
      <c r="AD76" t="str">
        <v>10:37:20</v>
      </c>
      <c r="AE76">
        <f>IF("NOGPS"="NOGPS","GPS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10:56:59</v>
      </c>
      <c r="AL76" t="str">
        <v>10:56:59</v>
      </c>
      <c r="AM76" t="str">
        <v/>
      </c>
    </row>
    <row r="77">
      <c r="A77">
        <v>76</v>
      </c>
      <c r="B77" t="str">
        <v>MASS BSF</v>
      </c>
      <c r="C77" t="str">
        <v>BXQ-847</v>
      </c>
      <c r="D77" t="str">
        <v>BXQ-847</v>
      </c>
      <c r="E77" t="str">
        <v/>
      </c>
      <c r="F77" t="str">
        <v>867162029843950</v>
      </c>
      <c r="G77" t="str">
        <v>TBD</v>
      </c>
      <c r="H77" t="str">
        <v/>
      </c>
      <c r="I77" t="str">
        <v xml:space="preserve"> </v>
      </c>
      <c r="J77" t="str">
        <v>01/10/2026</v>
      </c>
      <c r="K77" t="str">
        <v>10:56:56</v>
      </c>
      <c r="L77">
        <v>-12.15617</v>
      </c>
      <c r="M77">
        <v>-76.97149</v>
      </c>
      <c r="N77">
        <f>HYPERLINK("https://www.google.com/maps/search/?api=1&amp;query=-12.15617,-76.97149","Manuel Montero Rosas, San Juan de Miraflores, Lima")</f>
      </c>
      <c r="O77" t="str">
        <v>Llegó a la zona</v>
      </c>
      <c r="P77" t="str">
        <v/>
      </c>
      <c r="Q77">
        <v>719479.1</v>
      </c>
      <c r="R77" t="str">
        <v>1757-MAXI5 SJM MS</v>
      </c>
      <c r="S77">
        <v>0</v>
      </c>
      <c r="T77">
        <v>130.1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10:56:55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10:57:03</v>
      </c>
      <c r="AL77" t="str">
        <v>10:57:03</v>
      </c>
      <c r="AM77" t="str">
        <v/>
      </c>
    </row>
    <row r="78">
      <c r="A78">
        <v>77</v>
      </c>
      <c r="B78" t="str">
        <v>MASS BSF</v>
      </c>
      <c r="C78" t="str">
        <v>BXQ-847</v>
      </c>
      <c r="D78" t="str">
        <v>BXQ-847</v>
      </c>
      <c r="E78" t="str">
        <v/>
      </c>
      <c r="F78" t="str">
        <v>867162029843950</v>
      </c>
      <c r="G78" t="str">
        <v>TBD</v>
      </c>
      <c r="H78" t="str">
        <v/>
      </c>
      <c r="I78" t="str">
        <v xml:space="preserve"> </v>
      </c>
      <c r="J78" t="str">
        <v>01/10/2026</v>
      </c>
      <c r="K78" t="str">
        <v>10:58:14</v>
      </c>
      <c r="L78">
        <v>-12.155567</v>
      </c>
      <c r="M78">
        <v>-76.97112</v>
      </c>
      <c r="N78">
        <f>HYPERLINK("https://www.google.com/maps/search/?api=1&amp;query=-12.155567,-76.97112","Jirón José Gabriel Chariarse, San Juan de Miraflores, Lima")</f>
      </c>
      <c r="O78" t="str">
        <v>Salió de zona</v>
      </c>
      <c r="P78" t="str">
        <v/>
      </c>
      <c r="Q78">
        <v>719479.1</v>
      </c>
      <c r="R78" t="str">
        <v>1757-MAXI5 SJM MS</v>
      </c>
      <c r="S78">
        <v>12.3</v>
      </c>
      <c r="T78">
        <v>130.1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10:58:13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10:58:25</v>
      </c>
      <c r="AL78" t="str">
        <v>10:58:25</v>
      </c>
      <c r="AM78" t="str">
        <v/>
      </c>
    </row>
    <row r="79">
      <c r="A79">
        <v>78</v>
      </c>
      <c r="B79" t="str">
        <v>MASS BSF</v>
      </c>
      <c r="C79" t="str">
        <v>BXQ-847</v>
      </c>
      <c r="D79" t="str">
        <v>BXQ-847</v>
      </c>
      <c r="E79" t="str">
        <v/>
      </c>
      <c r="F79" t="str">
        <v>867162029843950</v>
      </c>
      <c r="G79" t="str">
        <v>TBD</v>
      </c>
      <c r="H79" t="str">
        <v/>
      </c>
      <c r="I79" t="str">
        <v/>
      </c>
      <c r="J79" t="str">
        <v>01/10/2026</v>
      </c>
      <c r="K79" t="str">
        <v>11:04:32</v>
      </c>
      <c r="L79">
        <v>-12.164673</v>
      </c>
      <c r="M79">
        <v>-76.96923</v>
      </c>
      <c r="N79">
        <f>HYPERLINK("https://www.google.com/maps/search/?api=1&amp;query=-12.164673,-76.96923","Avenida Ramón Vargas Machuca, San Juan de Miraflores, Lima")</f>
      </c>
      <c r="O79" t="str">
        <v>Vehículo apagado</v>
      </c>
      <c r="P79" t="str">
        <v>Vehículo Apagado</v>
      </c>
      <c r="Q79">
        <v>719480.5</v>
      </c>
      <c r="R79" t="str">
        <v/>
      </c>
      <c r="S79">
        <v>5.9</v>
      </c>
      <c r="T79">
        <v>129.45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11:03:55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11:04:50</v>
      </c>
      <c r="AL79" t="str">
        <v>11:04:50</v>
      </c>
      <c r="AM79" t="str">
        <v/>
      </c>
    </row>
    <row r="80">
      <c r="A80">
        <v>79</v>
      </c>
      <c r="B80" t="str">
        <v>MASS BSF</v>
      </c>
      <c r="C80" t="str">
        <v>BXQ-847</v>
      </c>
      <c r="D80" t="str">
        <v>BXQ-847</v>
      </c>
      <c r="E80" t="str">
        <v/>
      </c>
      <c r="F80" t="str">
        <v>867162029843950</v>
      </c>
      <c r="G80" t="str">
        <v>TBD</v>
      </c>
      <c r="H80" t="str">
        <v/>
      </c>
      <c r="I80" t="str">
        <v xml:space="preserve"> </v>
      </c>
      <c r="J80" t="str">
        <v>01/10/2026</v>
      </c>
      <c r="K80" t="str">
        <v>11:04:37</v>
      </c>
      <c r="L80">
        <v>-12.16388</v>
      </c>
      <c r="M80">
        <v>-76.96909</v>
      </c>
      <c r="N80">
        <f>HYPERLINK("https://www.google.com/maps/search/?api=1&amp;query=-12.16388,-76.96909","Avenida César Canevaro, San Juan de Miraflores, Lima")</f>
      </c>
      <c r="O80" t="str">
        <v>Llegó a la zona</v>
      </c>
      <c r="P80" t="str">
        <v/>
      </c>
      <c r="Q80">
        <v>719480.5</v>
      </c>
      <c r="R80" t="str">
        <v>793-CANEVARO4SJM MS</v>
      </c>
      <c r="S80">
        <v>0</v>
      </c>
      <c r="T80">
        <v>130.23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11:04:36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11:04:51</v>
      </c>
      <c r="AL80" t="str">
        <v>11:04:51</v>
      </c>
      <c r="AM80" t="str">
        <v/>
      </c>
    </row>
    <row r="81">
      <c r="A81">
        <v>80</v>
      </c>
      <c r="B81" t="str">
        <v>MASS BSF</v>
      </c>
      <c r="C81" t="str">
        <v>BXQ-847</v>
      </c>
      <c r="D81" t="str">
        <v>BXQ-847</v>
      </c>
      <c r="E81" t="str">
        <v/>
      </c>
      <c r="F81" t="str">
        <v>867162029843950</v>
      </c>
      <c r="G81" t="str">
        <v>TBD</v>
      </c>
      <c r="H81" t="str">
        <v/>
      </c>
      <c r="I81" t="str">
        <v/>
      </c>
      <c r="J81" t="str">
        <v>01/10/2026</v>
      </c>
      <c r="K81" t="str">
        <v>11:09:32</v>
      </c>
      <c r="L81">
        <v>-12.16388</v>
      </c>
      <c r="M81">
        <v>-76.96909</v>
      </c>
      <c r="N81">
        <f>HYPERLINK("https://www.google.com/maps/search/?api=1&amp;query=-12.16388,-76.96909","Avenida César Canevaro, San Juan de Miraflores, Lima")</f>
      </c>
      <c r="O81" t="str">
        <v>Vehículo encendido</v>
      </c>
      <c r="P81" t="str">
        <v/>
      </c>
      <c r="Q81">
        <v>719480.6</v>
      </c>
      <c r="R81" t="str">
        <v/>
      </c>
      <c r="S81">
        <v>0</v>
      </c>
      <c r="T81">
        <v>129.45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01/10/2026</v>
      </c>
      <c r="AD81" t="str">
        <v>11:04:36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11:09:44</v>
      </c>
      <c r="AL81" t="str">
        <v>11:09:44</v>
      </c>
      <c r="AM81" t="str">
        <v/>
      </c>
    </row>
    <row r="82">
      <c r="A82">
        <v>81</v>
      </c>
      <c r="B82" t="str">
        <v>MASS BSF</v>
      </c>
      <c r="C82" t="str">
        <v>BXQ-847</v>
      </c>
      <c r="D82" t="str">
        <v>BXQ-847</v>
      </c>
      <c r="E82" t="str">
        <v/>
      </c>
      <c r="F82" t="str">
        <v>867162029843950</v>
      </c>
      <c r="G82" t="str">
        <v>TBD</v>
      </c>
      <c r="H82" t="str">
        <v/>
      </c>
      <c r="I82" t="str">
        <v xml:space="preserve"> </v>
      </c>
      <c r="J82" t="str">
        <v>01/10/2026</v>
      </c>
      <c r="K82" t="str">
        <v>11:12:49</v>
      </c>
      <c r="L82">
        <v>-12.1631</v>
      </c>
      <c r="M82">
        <v>-76.968994</v>
      </c>
      <c r="N82">
        <f>HYPERLINK("https://www.google.com/maps/search/?api=1&amp;query=-12.1631,-76.968994","Jirón Genaro Numa Llona, San Juan de Miraflores, Lima")</f>
      </c>
      <c r="O82" t="str">
        <v>Salió de zona</v>
      </c>
      <c r="P82" t="str">
        <v/>
      </c>
      <c r="Q82">
        <v>719480.6</v>
      </c>
      <c r="R82" t="str">
        <v>793-CANEVARO4SJM MS</v>
      </c>
      <c r="S82">
        <v>11.3</v>
      </c>
      <c r="T82">
        <v>130.23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01/10/2026</v>
      </c>
      <c r="AD82" t="str">
        <v>11:12:49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11:13:21</v>
      </c>
      <c r="AL82" t="str">
        <v>11:13:21</v>
      </c>
      <c r="AM82" t="str">
        <v/>
      </c>
    </row>
    <row r="83">
      <c r="A83">
        <v>82</v>
      </c>
      <c r="B83" t="str">
        <v>MASS BSF</v>
      </c>
      <c r="C83" t="str">
        <v>BXQ-847</v>
      </c>
      <c r="D83" t="str">
        <v>BXQ-847</v>
      </c>
      <c r="E83" t="str">
        <v/>
      </c>
      <c r="F83" t="str">
        <v>867162029843950</v>
      </c>
      <c r="G83" t="str">
        <v>TBD</v>
      </c>
      <c r="H83" t="str">
        <v/>
      </c>
      <c r="I83" t="str">
        <v/>
      </c>
      <c r="J83" t="str">
        <v>01/10/2026</v>
      </c>
      <c r="K83" t="str">
        <v>11:23:59</v>
      </c>
      <c r="L83">
        <v>-12.194381</v>
      </c>
      <c r="M83">
        <v>-76.972786</v>
      </c>
      <c r="N83">
        <f>HYPERLINK("https://www.google.com/maps/search/?api=1&amp;query=-12.194381,-76.972786","Carretera Panamericana Sur, Villa El Salvador, Lima")</f>
      </c>
      <c r="O83" t="str">
        <v>Exceso de velocidad en segmento vial</v>
      </c>
      <c r="P83" t="str">
        <v/>
      </c>
      <c r="Q83">
        <v>719485.7</v>
      </c>
      <c r="R83" t="str">
        <v/>
      </c>
      <c r="S83">
        <v>66.6</v>
      </c>
      <c r="T83">
        <v>129.45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01/10/2026</v>
      </c>
      <c r="AD83" t="str">
        <v>11:23:58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11:24:11</v>
      </c>
      <c r="AL83" t="str">
        <v>11:24:11</v>
      </c>
      <c r="AM83" t="str">
        <v/>
      </c>
    </row>
    <row r="84">
      <c r="A84">
        <v>83</v>
      </c>
      <c r="B84" t="str">
        <v>MASS BSF</v>
      </c>
      <c r="C84" t="str">
        <v>BXQ-847</v>
      </c>
      <c r="D84" t="str">
        <v>BXQ-847</v>
      </c>
      <c r="E84" t="str">
        <v/>
      </c>
      <c r="F84" t="str">
        <v>867162029843950</v>
      </c>
      <c r="G84" t="str">
        <v>TBD</v>
      </c>
      <c r="H84" t="str">
        <v/>
      </c>
      <c r="I84" t="str">
        <v/>
      </c>
      <c r="J84" t="str">
        <v>01/10/2026</v>
      </c>
      <c r="K84" t="str">
        <v>11:25:08</v>
      </c>
      <c r="L84">
        <v>-12.205548</v>
      </c>
      <c r="M84">
        <v>-76.97482</v>
      </c>
      <c r="N84">
        <f>HYPERLINK("https://www.google.com/maps/search/?api=1&amp;query=-12.205548,-76.97482","Carretera Panamericana Sur, Chorrillos, Lima")</f>
      </c>
      <c r="O84" t="str">
        <v>Excedió el límite de velocidad</v>
      </c>
      <c r="P84" t="str">
        <v/>
      </c>
      <c r="Q84">
        <v>719487</v>
      </c>
      <c r="R84" t="str">
        <v/>
      </c>
      <c r="S84">
        <v>87.8</v>
      </c>
      <c r="T84">
        <v>129.45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01/10/2026</v>
      </c>
      <c r="AD84" t="str">
        <v>11:25:07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11:25:31</v>
      </c>
      <c r="AL84" t="str">
        <v>11:25:31</v>
      </c>
      <c r="AM84" t="str">
        <v/>
      </c>
    </row>
    <row r="85">
      <c r="A85">
        <v>84</v>
      </c>
      <c r="B85" t="str">
        <v>MASS BSF</v>
      </c>
      <c r="C85" t="str">
        <v>BXQ-847</v>
      </c>
      <c r="D85" t="str">
        <v>BXQ-847</v>
      </c>
      <c r="E85" t="str">
        <v/>
      </c>
      <c r="F85" t="str">
        <v>867162029843950</v>
      </c>
      <c r="G85" t="str">
        <v>TBD</v>
      </c>
      <c r="H85" t="str">
        <v/>
      </c>
      <c r="I85" t="str">
        <v/>
      </c>
      <c r="J85" t="str">
        <v>01/10/2026</v>
      </c>
      <c r="K85" t="str">
        <v>11:28:08</v>
      </c>
      <c r="L85">
        <v>-12.231498</v>
      </c>
      <c r="M85">
        <v>-76.96511</v>
      </c>
      <c r="N85">
        <f>HYPERLINK("https://www.google.com/maps/search/?api=1&amp;query=-12.231498,-76.96511","Carretera Panamericana Sur, Villa El Salvador, Lima")</f>
      </c>
      <c r="O85" t="str">
        <v>Excedió el límite de velocidad</v>
      </c>
      <c r="P85" t="str">
        <v/>
      </c>
      <c r="Q85">
        <v>719490.4</v>
      </c>
      <c r="R85" t="str">
        <v/>
      </c>
      <c r="S85">
        <v>85.2</v>
      </c>
      <c r="T85">
        <v>129.45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01/10/2026</v>
      </c>
      <c r="AD85" t="str">
        <v>11:28:07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11:28:23</v>
      </c>
      <c r="AL85" t="str">
        <v>11:28:23</v>
      </c>
      <c r="AM85" t="str">
        <v/>
      </c>
    </row>
    <row r="86">
      <c r="A86">
        <v>85</v>
      </c>
      <c r="B86" t="str">
        <v>MASS BSF</v>
      </c>
      <c r="C86" t="str">
        <v>BXQ-847</v>
      </c>
      <c r="D86" t="str">
        <v>BXQ-847</v>
      </c>
      <c r="E86" t="str">
        <v/>
      </c>
      <c r="F86" t="str">
        <v>867162029843950</v>
      </c>
      <c r="G86" t="str">
        <v>TBD</v>
      </c>
      <c r="H86" t="str">
        <v/>
      </c>
      <c r="I86" t="str">
        <v/>
      </c>
      <c r="J86" t="str">
        <v>01/10/2026</v>
      </c>
      <c r="K86" t="str">
        <v>11:28:53</v>
      </c>
      <c r="L86">
        <v>-12.235947</v>
      </c>
      <c r="M86">
        <v>-76.956566</v>
      </c>
      <c r="N86">
        <f>HYPERLINK("https://www.google.com/maps/search/?api=1&amp;query=-12.235947,-76.956566","Carretera Panamericana Sur, Villa El Salvador, Lima")</f>
      </c>
      <c r="O86" t="str">
        <v>Excedió el límite de velocidad</v>
      </c>
      <c r="P86" t="str">
        <v/>
      </c>
      <c r="Q86">
        <v>719491.5</v>
      </c>
      <c r="R86" t="str">
        <v/>
      </c>
      <c r="S86">
        <v>82.6</v>
      </c>
      <c r="T86">
        <v>129.45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01/10/2026</v>
      </c>
      <c r="AD86" t="str">
        <v>11:28:52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11:29:15</v>
      </c>
      <c r="AL86" t="str">
        <v>11:29:15</v>
      </c>
      <c r="AM86" t="str">
        <v/>
      </c>
    </row>
    <row r="87">
      <c r="A87">
        <v>86</v>
      </c>
      <c r="B87" t="str">
        <v>MASS BSF</v>
      </c>
      <c r="C87" t="str">
        <v>BXQ-847</v>
      </c>
      <c r="D87" t="str">
        <v>BXQ-847</v>
      </c>
      <c r="E87" t="str">
        <v/>
      </c>
      <c r="F87" t="str">
        <v>867162029843950</v>
      </c>
      <c r="G87" t="str">
        <v>TBD</v>
      </c>
      <c r="H87" t="str">
        <v/>
      </c>
      <c r="I87" t="str">
        <v/>
      </c>
      <c r="J87" t="str">
        <v>01/10/2026</v>
      </c>
      <c r="K87" t="str">
        <v>11:29:56</v>
      </c>
      <c r="L87">
        <v>-12.241986</v>
      </c>
      <c r="M87">
        <v>-76.94495</v>
      </c>
      <c r="N87">
        <f>HYPERLINK("https://www.google.com/maps/search/?api=1&amp;query=-12.241986,-76.94495","Carretera Panamericana Sur, Villa El Salvador, Lima")</f>
      </c>
      <c r="O87" t="str">
        <v>Excedió el límite de velocidad</v>
      </c>
      <c r="P87" t="str">
        <v/>
      </c>
      <c r="Q87">
        <v>719492.9</v>
      </c>
      <c r="R87" t="str">
        <v/>
      </c>
      <c r="S87">
        <v>81.7</v>
      </c>
      <c r="T87">
        <v>129.45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01/10/2026</v>
      </c>
      <c r="AD87" t="str">
        <v>11:29:55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11:30:06</v>
      </c>
      <c r="AL87" t="str">
        <v>11:30:06</v>
      </c>
      <c r="AM87" t="str">
        <v/>
      </c>
    </row>
    <row r="88">
      <c r="A88">
        <v>87</v>
      </c>
      <c r="B88" t="str">
        <v>MASS BSF</v>
      </c>
      <c r="C88" t="str">
        <v>BXQ-847</v>
      </c>
      <c r="D88" t="str">
        <v>BXQ-847</v>
      </c>
      <c r="E88" t="str">
        <v/>
      </c>
      <c r="F88" t="str">
        <v>867162029843950</v>
      </c>
      <c r="G88" t="str">
        <v>TBD</v>
      </c>
      <c r="H88" t="str">
        <v/>
      </c>
      <c r="I88" t="str">
        <v/>
      </c>
      <c r="J88" t="str">
        <v>01/10/2026</v>
      </c>
      <c r="K88" t="str">
        <v>11:34:23</v>
      </c>
      <c r="L88">
        <v>-12.256046</v>
      </c>
      <c r="M88">
        <v>-76.92188</v>
      </c>
      <c r="N88">
        <f>HYPERLINK("https://www.google.com/maps/search/?api=1&amp;query=-12.256046,-76.92188","Carretera Panamericana Sur, Lurín, Lima")</f>
      </c>
      <c r="O88" t="str">
        <v>Excedió el límite de velocidad</v>
      </c>
      <c r="P88" t="str">
        <v/>
      </c>
      <c r="Q88">
        <v>719495.9</v>
      </c>
      <c r="R88" t="str">
        <v/>
      </c>
      <c r="S88">
        <v>87.7</v>
      </c>
      <c r="T88">
        <v>129.45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01/10/2026</v>
      </c>
      <c r="AD88" t="str">
        <v>11:34:22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11:34:41</v>
      </c>
      <c r="AL88" t="str">
        <v>11:34:41</v>
      </c>
      <c r="AM88" t="str">
        <v/>
      </c>
    </row>
    <row r="89">
      <c r="A89">
        <v>88</v>
      </c>
      <c r="B89" t="str">
        <v>MASS BSF</v>
      </c>
      <c r="C89" t="str">
        <v>BXQ-847</v>
      </c>
      <c r="D89" t="str">
        <v>BXQ-847</v>
      </c>
      <c r="E89" t="str">
        <v/>
      </c>
      <c r="F89" t="str">
        <v>867162029843950</v>
      </c>
      <c r="G89" t="str">
        <v>TBD</v>
      </c>
      <c r="H89" t="str">
        <v/>
      </c>
      <c r="I89" t="str">
        <v/>
      </c>
      <c r="J89" t="str">
        <v>01/10/2026</v>
      </c>
      <c r="K89" t="str">
        <v>11:39:08</v>
      </c>
      <c r="L89">
        <v>-12.291595</v>
      </c>
      <c r="M89">
        <v>-76.86527</v>
      </c>
      <c r="N89">
        <f>HYPERLINK("https://www.google.com/maps/search/?api=1&amp;query=-12.291595,-76.86527","Carretera Panamericana Sur, Lurín, Lima")</f>
      </c>
      <c r="O89" t="str">
        <v>Excedió el límite de velocidad</v>
      </c>
      <c r="P89" t="str">
        <v/>
      </c>
      <c r="Q89">
        <v>719503.2</v>
      </c>
      <c r="R89" t="str">
        <v/>
      </c>
      <c r="S89">
        <v>91.1</v>
      </c>
      <c r="T89">
        <v>129.45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11:39:07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11:39:23</v>
      </c>
      <c r="AL89" t="str">
        <v>11:39:23</v>
      </c>
      <c r="AM89" t="str">
        <v/>
      </c>
    </row>
    <row r="90">
      <c r="A90">
        <v>89</v>
      </c>
      <c r="B90" t="str">
        <v>MASS BSF</v>
      </c>
      <c r="C90" t="str">
        <v>BXQ-847</v>
      </c>
      <c r="D90" t="str">
        <v>BXQ-847</v>
      </c>
      <c r="E90" t="str">
        <v/>
      </c>
      <c r="F90" t="str">
        <v>867162029843950</v>
      </c>
      <c r="G90" t="str">
        <v>TBD</v>
      </c>
      <c r="H90" t="str">
        <v/>
      </c>
      <c r="I90" t="str">
        <v/>
      </c>
      <c r="J90" t="str">
        <v>01/10/2026</v>
      </c>
      <c r="K90" t="str">
        <v>11:44:02</v>
      </c>
      <c r="L90">
        <v>-12.327555</v>
      </c>
      <c r="M90">
        <v>-76.82394</v>
      </c>
      <c r="N90">
        <f>HYPERLINK("https://www.google.com/maps/search/?api=1&amp;query=-12.327555,-76.82394","Carretera Panamericana Sur, Punta Hermosa, Lima")</f>
      </c>
      <c r="O90" t="str">
        <v>Excedió el límite de velocidad</v>
      </c>
      <c r="P90" t="str">
        <v/>
      </c>
      <c r="Q90">
        <v>719509.4</v>
      </c>
      <c r="R90" t="str">
        <v/>
      </c>
      <c r="S90">
        <v>91.5</v>
      </c>
      <c r="T90">
        <v>129.45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01/10/2026</v>
      </c>
      <c r="AD90" t="str">
        <v>11:44:01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11:44:15</v>
      </c>
      <c r="AL90" t="str">
        <v>11:44:15</v>
      </c>
      <c r="AM90" t="str">
        <v/>
      </c>
    </row>
    <row r="91">
      <c r="A91">
        <v>90</v>
      </c>
      <c r="B91" t="str">
        <v>MASS BSF</v>
      </c>
      <c r="C91" t="str">
        <v>BXQ-847</v>
      </c>
      <c r="D91" t="str">
        <v>BXQ-847</v>
      </c>
      <c r="E91" t="str">
        <v/>
      </c>
      <c r="F91" t="str">
        <v>867162029843950</v>
      </c>
      <c r="G91" t="str">
        <v>TBD</v>
      </c>
      <c r="H91" t="str">
        <v/>
      </c>
      <c r="I91" t="str">
        <v/>
      </c>
      <c r="J91" t="str">
        <v>01/10/2026</v>
      </c>
      <c r="K91" t="str">
        <v>11:47:20</v>
      </c>
      <c r="L91">
        <v>-12.326604</v>
      </c>
      <c r="M91">
        <v>-76.824425</v>
      </c>
      <c r="N91">
        <f>HYPERLINK("https://www.google.com/maps/search/?api=1&amp;query=-12.326604,-76.824425","Carretera Panamericana Sur, Punta Hermosa, Lima")</f>
      </c>
      <c r="O91" t="str">
        <v>Excedió el límite de velocidad</v>
      </c>
      <c r="P91" t="str">
        <v/>
      </c>
      <c r="Q91">
        <v>719511.8</v>
      </c>
      <c r="R91" t="str">
        <v/>
      </c>
      <c r="S91">
        <v>84</v>
      </c>
      <c r="T91">
        <v>129.45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11:47:19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11:47:38</v>
      </c>
      <c r="AL91" t="str">
        <v>11:47:38</v>
      </c>
      <c r="AM91" t="str">
        <v/>
      </c>
    </row>
    <row r="92">
      <c r="A92">
        <v>91</v>
      </c>
      <c r="B92" t="str">
        <v>MASS BSF</v>
      </c>
      <c r="C92" t="str">
        <v>BXQ-847</v>
      </c>
      <c r="D92" t="str">
        <v>BXQ-847</v>
      </c>
      <c r="E92" t="str">
        <v/>
      </c>
      <c r="F92" t="str">
        <v>867162029843950</v>
      </c>
      <c r="G92" t="str">
        <v>TBD</v>
      </c>
      <c r="H92" t="str">
        <v/>
      </c>
      <c r="I92" t="str">
        <v xml:space="preserve"> </v>
      </c>
      <c r="J92" t="str">
        <v>01/10/2026</v>
      </c>
      <c r="K92" t="str">
        <v>11:48:26</v>
      </c>
      <c r="L92">
        <v>-12.317519</v>
      </c>
      <c r="M92">
        <v>-76.82959</v>
      </c>
      <c r="N92">
        <f>HYPERLINK("https://www.google.com/maps/search/?api=1&amp;query=-12.317519,-76.82959","Punta Hermosa, Lima")</f>
      </c>
      <c r="O92" t="str">
        <v>Llegó a la zona</v>
      </c>
      <c r="P92" t="str">
        <v/>
      </c>
      <c r="Q92">
        <v>719512.1</v>
      </c>
      <c r="R92" t="str">
        <v>MASS BSF 1</v>
      </c>
      <c r="S92">
        <v>8.3</v>
      </c>
      <c r="T92">
        <v>130.23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11:48:25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11:48:42</v>
      </c>
      <c r="AL92" t="str">
        <v>11:48:42</v>
      </c>
      <c r="AM92" t="str">
        <v/>
      </c>
    </row>
    <row r="93">
      <c r="A93">
        <v>92</v>
      </c>
      <c r="B93" t="str">
        <v>MASS BSF</v>
      </c>
      <c r="C93" t="str">
        <v>BXQ-847</v>
      </c>
      <c r="D93" t="str">
        <v>BXQ-847</v>
      </c>
      <c r="E93" t="str">
        <v/>
      </c>
      <c r="F93" t="str">
        <v>867162029843950</v>
      </c>
      <c r="G93" t="str">
        <v>TBD</v>
      </c>
      <c r="H93" t="str">
        <v/>
      </c>
      <c r="I93" t="str">
        <v/>
      </c>
      <c r="J93" t="str">
        <v>01/10/2026</v>
      </c>
      <c r="K93" t="str">
        <v>11:53:16</v>
      </c>
      <c r="L93">
        <v>-12.317156</v>
      </c>
      <c r="M93">
        <v>-76.82473</v>
      </c>
      <c r="N93">
        <f>HYPERLINK("https://www.google.com/maps/search/?api=1&amp;query=-12.317156,-76.82473","Punta Hermosa, Lima")</f>
      </c>
      <c r="O93" t="str">
        <v>Vehículo apagado</v>
      </c>
      <c r="P93" t="str">
        <v>Vehículo Apagado</v>
      </c>
      <c r="Q93">
        <v>719513.8</v>
      </c>
      <c r="R93" t="str">
        <v/>
      </c>
      <c r="S93">
        <v>0</v>
      </c>
      <c r="T93">
        <v>130.18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11:53:18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11:53:30</v>
      </c>
      <c r="AL93" t="str">
        <v>11:53:30</v>
      </c>
      <c r="AM93" t="str">
        <v/>
      </c>
    </row>
    <row r="94">
      <c r="A94">
        <v>93</v>
      </c>
      <c r="B94" t="str">
        <v>MASS BSF</v>
      </c>
      <c r="C94" t="str">
        <v>BXQ-847</v>
      </c>
      <c r="D94" t="str">
        <v>BXQ-847</v>
      </c>
      <c r="E94" t="str">
        <v/>
      </c>
      <c r="F94" t="str">
        <v>867162029843950</v>
      </c>
      <c r="G94" t="str">
        <v>TBD</v>
      </c>
      <c r="H94" t="str">
        <v/>
      </c>
      <c r="I94" t="str">
        <v/>
      </c>
      <c r="J94" t="str">
        <v>01/10/2026</v>
      </c>
      <c r="K94" t="str">
        <v>12:05:17</v>
      </c>
      <c r="L94">
        <v>-12.317156</v>
      </c>
      <c r="M94">
        <v>-76.82473</v>
      </c>
      <c r="N94">
        <f>HYPERLINK("https://www.google.com/maps/search/?api=1&amp;query=-12.317156,-76.82473","Punta Hermosa, Lima")</f>
      </c>
      <c r="O94" t="str">
        <v>Vehículo encendido</v>
      </c>
      <c r="P94" t="str">
        <v/>
      </c>
      <c r="Q94">
        <v>719513.8</v>
      </c>
      <c r="R94" t="str">
        <v/>
      </c>
      <c r="S94">
        <v>0</v>
      </c>
      <c r="T94">
        <v>130.18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11:53:18</v>
      </c>
      <c r="AE94">
        <f>IF("NOGPS"="NOGPS","GPS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12:05:28</v>
      </c>
      <c r="AL94" t="str">
        <v>12:05:28</v>
      </c>
      <c r="AM94" t="str">
        <v/>
      </c>
    </row>
    <row r="95">
      <c r="A95">
        <v>94</v>
      </c>
      <c r="B95" t="str">
        <v>MASS BSF</v>
      </c>
      <c r="C95" t="str">
        <v>BXQ-847</v>
      </c>
      <c r="D95" t="str">
        <v>BXQ-847</v>
      </c>
      <c r="E95" t="str">
        <v/>
      </c>
      <c r="F95" t="str">
        <v>867162029843950</v>
      </c>
      <c r="G95" t="str">
        <v>TBD</v>
      </c>
      <c r="H95" t="str">
        <v/>
      </c>
      <c r="I95" t="str">
        <v/>
      </c>
      <c r="J95" t="str">
        <v>01/10/2026</v>
      </c>
      <c r="K95" t="str">
        <v>12:05:47</v>
      </c>
      <c r="L95">
        <v>-12.317256</v>
      </c>
      <c r="M95">
        <v>-76.82469</v>
      </c>
      <c r="N95">
        <f>HYPERLINK("https://www.google.com/maps/search/?api=1&amp;query=-12.317256,-76.82469","Punta Hermosa, Lima")</f>
      </c>
      <c r="O95" t="str">
        <v>Vehículo apagado</v>
      </c>
      <c r="P95" t="str">
        <v>Vehículo Apagado</v>
      </c>
      <c r="Q95">
        <v>719513.8</v>
      </c>
      <c r="R95" t="str">
        <v/>
      </c>
      <c r="S95">
        <v>0</v>
      </c>
      <c r="T95">
        <v>130.2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12:05:23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12:05:57</v>
      </c>
      <c r="AL95" t="str">
        <v>12:05:57</v>
      </c>
      <c r="AM95" t="str">
        <v/>
      </c>
    </row>
    <row r="96">
      <c r="A96">
        <v>95</v>
      </c>
      <c r="B96" t="str">
        <v>MASS BSF</v>
      </c>
      <c r="C96" t="str">
        <v>BXQ-847</v>
      </c>
      <c r="D96" t="str">
        <v>BXQ-847</v>
      </c>
      <c r="E96" t="str">
        <v/>
      </c>
      <c r="F96" t="str">
        <v>867162029843950</v>
      </c>
      <c r="G96" t="str">
        <v>TBD</v>
      </c>
      <c r="H96" t="str">
        <v/>
      </c>
      <c r="I96" t="str">
        <v/>
      </c>
      <c r="J96" t="str">
        <v>01/10/2026</v>
      </c>
      <c r="K96" t="str">
        <v>12:09:23</v>
      </c>
      <c r="L96">
        <v>-12.317256</v>
      </c>
      <c r="M96">
        <v>-76.82469</v>
      </c>
      <c r="N96">
        <f>HYPERLINK("https://www.google.com/maps/search/?api=1&amp;query=-12.317256,-76.82469","Punta Hermosa, Lima")</f>
      </c>
      <c r="O96" t="str">
        <v>Vehículo encendido</v>
      </c>
      <c r="P96" t="str">
        <v/>
      </c>
      <c r="Q96">
        <v>719513.8</v>
      </c>
      <c r="R96" t="str">
        <v/>
      </c>
      <c r="S96">
        <v>0</v>
      </c>
      <c r="T96">
        <v>130.2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12:05:49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12:09:37</v>
      </c>
      <c r="AL96" t="str">
        <v>12:09:37</v>
      </c>
      <c r="AM96" t="str">
        <v/>
      </c>
    </row>
    <row r="97">
      <c r="A97">
        <v>96</v>
      </c>
      <c r="B97" t="str">
        <v>MASS BSF</v>
      </c>
      <c r="C97" t="str">
        <v>BXQ-847</v>
      </c>
      <c r="D97" t="str">
        <v>BXQ-847</v>
      </c>
      <c r="E97" t="str">
        <v/>
      </c>
      <c r="F97" t="str">
        <v>867162029843950</v>
      </c>
      <c r="G97" t="str">
        <v>TBD</v>
      </c>
      <c r="H97" t="str">
        <v/>
      </c>
      <c r="I97" t="str">
        <v/>
      </c>
      <c r="J97" t="str">
        <v>01/10/2026</v>
      </c>
      <c r="K97" t="str">
        <v>12:11:30</v>
      </c>
      <c r="L97">
        <v>-12.317443</v>
      </c>
      <c r="M97">
        <v>-76.822914</v>
      </c>
      <c r="N97">
        <f>HYPERLINK("https://www.google.com/maps/search/?api=1&amp;query=-12.317443,-76.822914","Punta Hermosa, Lima")</f>
      </c>
      <c r="O97" t="str">
        <v>Vehículo apagado</v>
      </c>
      <c r="P97" t="str">
        <v>Vehículo Apagado</v>
      </c>
      <c r="Q97">
        <v>719514.2</v>
      </c>
      <c r="R97" t="str">
        <v/>
      </c>
      <c r="S97">
        <v>0</v>
      </c>
      <c r="T97">
        <v>130.23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12:11:31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12:11:50</v>
      </c>
      <c r="AL97" t="str">
        <v>12:11:50</v>
      </c>
      <c r="AM97" t="str">
        <v/>
      </c>
    </row>
    <row r="98">
      <c r="A98">
        <v>97</v>
      </c>
      <c r="B98" t="str">
        <v>MASS BSF</v>
      </c>
      <c r="C98" t="str">
        <v>BXQ-847</v>
      </c>
      <c r="D98" t="str">
        <v>BXQ-847</v>
      </c>
      <c r="E98" t="str">
        <v/>
      </c>
      <c r="F98" t="str">
        <v>867162029843950</v>
      </c>
      <c r="G98" t="str">
        <v>TBD</v>
      </c>
      <c r="H98" t="str">
        <v/>
      </c>
      <c r="I98" t="str">
        <v/>
      </c>
      <c r="J98" t="str">
        <v>01/10/2026</v>
      </c>
      <c r="K98" t="str">
        <v>12:22:16</v>
      </c>
      <c r="L98">
        <v>-12.317443</v>
      </c>
      <c r="M98">
        <v>-76.822914</v>
      </c>
      <c r="N98">
        <f>HYPERLINK("https://www.google.com/maps/search/?api=1&amp;query=-12.317443,-76.822914","Punta Hermosa, Lima")</f>
      </c>
      <c r="O98" t="str">
        <v>Vehículo encendido</v>
      </c>
      <c r="P98" t="str">
        <v/>
      </c>
      <c r="Q98">
        <v>719514.2</v>
      </c>
      <c r="R98" t="str">
        <v/>
      </c>
      <c r="S98">
        <v>0</v>
      </c>
      <c r="T98">
        <v>130.23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100</v>
      </c>
      <c r="AC98" t="str">
        <v>01/10/2026</v>
      </c>
      <c r="AD98" t="str">
        <v>12:11:31</v>
      </c>
      <c r="AE98">
        <f>IF("NOGPS"="NOGPS","GPS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12:22:27</v>
      </c>
      <c r="AL98" t="str">
        <v>12:22:27</v>
      </c>
      <c r="AM98" t="str">
        <v/>
      </c>
    </row>
    <row r="99">
      <c r="A99">
        <v>98</v>
      </c>
      <c r="B99" t="str">
        <v>MASS BSF</v>
      </c>
      <c r="C99" t="str">
        <v>BXQ-847</v>
      </c>
      <c r="D99" t="str">
        <v>BXQ-847</v>
      </c>
      <c r="E99" t="str">
        <v/>
      </c>
      <c r="F99" t="str">
        <v>867162029843950</v>
      </c>
      <c r="G99" t="str">
        <v>TBD</v>
      </c>
      <c r="H99" t="str">
        <v/>
      </c>
      <c r="I99" t="str">
        <v/>
      </c>
      <c r="J99" t="str">
        <v>01/10/2026</v>
      </c>
      <c r="K99" t="str">
        <v>12:26:33</v>
      </c>
      <c r="L99">
        <v>-12.317797</v>
      </c>
      <c r="M99">
        <v>-76.82429</v>
      </c>
      <c r="N99">
        <f>HYPERLINK("https://www.google.com/maps/search/?api=1&amp;query=-12.317797,-76.82429","Punta Hermosa, Lima")</f>
      </c>
      <c r="O99" t="str">
        <v>Vehículo apagado</v>
      </c>
      <c r="P99" t="str">
        <v>Vehículo Apagado</v>
      </c>
      <c r="Q99">
        <v>719514.5</v>
      </c>
      <c r="R99" t="str">
        <v/>
      </c>
      <c r="S99">
        <v>0</v>
      </c>
      <c r="T99">
        <v>130.3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100</v>
      </c>
      <c r="AC99" t="str">
        <v>01/10/2026</v>
      </c>
      <c r="AD99" t="str">
        <v>12:26:36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12:26:43</v>
      </c>
      <c r="AL99" t="str">
        <v>12:26:43</v>
      </c>
      <c r="AM99" t="str">
        <v/>
      </c>
    </row>
    <row r="100">
      <c r="A100">
        <v>99</v>
      </c>
      <c r="B100" t="str">
        <v>MASS BSF</v>
      </c>
      <c r="C100" t="str">
        <v>BXQ-847</v>
      </c>
      <c r="D100" t="str">
        <v>BXQ-847</v>
      </c>
      <c r="E100" t="str">
        <v/>
      </c>
      <c r="F100" t="str">
        <v>867162029843950</v>
      </c>
      <c r="G100" t="str">
        <v>TBD</v>
      </c>
      <c r="H100" t="str">
        <v/>
      </c>
      <c r="I100" t="str">
        <v/>
      </c>
      <c r="J100" t="str">
        <v>01/10/2026</v>
      </c>
      <c r="K100" t="str">
        <v>14:08:57</v>
      </c>
      <c r="L100">
        <v>-12.317797</v>
      </c>
      <c r="M100">
        <v>-76.82429</v>
      </c>
      <c r="N100">
        <f>HYPERLINK("https://www.google.com/maps/search/?api=1&amp;query=-12.317797,-76.82429","Punta Hermosa, Lima")</f>
      </c>
      <c r="O100" t="str">
        <v>Vehículo encendido</v>
      </c>
      <c r="P100" t="str">
        <v/>
      </c>
      <c r="Q100">
        <v>719514.6</v>
      </c>
      <c r="R100" t="str">
        <v/>
      </c>
      <c r="S100">
        <v>0</v>
      </c>
      <c r="T100">
        <v>130.3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100</v>
      </c>
      <c r="AC100" t="str">
        <v>01/10/2026</v>
      </c>
      <c r="AD100" t="str">
        <v>13:54:02</v>
      </c>
      <c r="AE100">
        <f>IF("NOGPS"="NOGPS","GPS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14:09:16</v>
      </c>
      <c r="AL100" t="str">
        <v>14:09:16</v>
      </c>
      <c r="AM100" t="str">
        <v/>
      </c>
    </row>
    <row r="101">
      <c r="A101">
        <v>100</v>
      </c>
      <c r="B101" t="str">
        <v>MASS BSF</v>
      </c>
      <c r="C101" t="str">
        <v>BXQ-847</v>
      </c>
      <c r="D101" t="str">
        <v>BXQ-847</v>
      </c>
      <c r="E101" t="str">
        <v/>
      </c>
      <c r="F101" t="str">
        <v>867162029843950</v>
      </c>
      <c r="G101" t="str">
        <v>TBD</v>
      </c>
      <c r="H101" t="str">
        <v/>
      </c>
      <c r="I101" t="str">
        <v/>
      </c>
      <c r="J101" t="str">
        <v>01/10/2026</v>
      </c>
      <c r="K101" t="str">
        <v>14:11:38</v>
      </c>
      <c r="L101">
        <v>-12.318002</v>
      </c>
      <c r="M101">
        <v>-76.82424</v>
      </c>
      <c r="N101">
        <f>HYPERLINK("https://www.google.com/maps/search/?api=1&amp;query=-12.318002,-76.82424","Punta Hermosa, Lima")</f>
      </c>
      <c r="O101" t="str">
        <v>Vehículo apagado</v>
      </c>
      <c r="P101" t="str">
        <v>Vehículo Apagado</v>
      </c>
      <c r="Q101">
        <v>719514.6</v>
      </c>
      <c r="R101" t="str">
        <v/>
      </c>
      <c r="S101">
        <v>0</v>
      </c>
      <c r="T101">
        <v>130.35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100</v>
      </c>
      <c r="AC101" t="str">
        <v>01/10/2026</v>
      </c>
      <c r="AD101" t="str">
        <v>14:10:54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14:11:51</v>
      </c>
      <c r="AL101" t="str">
        <v>14:11:51</v>
      </c>
      <c r="AM101" t="str">
        <v/>
      </c>
    </row>
    <row r="102">
      <c r="A102">
        <v>101</v>
      </c>
      <c r="B102" t="str">
        <v>MASS BSF</v>
      </c>
      <c r="C102" t="str">
        <v>BXQ-847</v>
      </c>
      <c r="D102" t="str">
        <v>BXQ-847</v>
      </c>
      <c r="E102" t="str">
        <v/>
      </c>
      <c r="F102" t="str">
        <v>867162029843950</v>
      </c>
      <c r="G102" t="str">
        <v>TBD</v>
      </c>
      <c r="H102" t="str">
        <v/>
      </c>
      <c r="I102" t="str">
        <v/>
      </c>
      <c r="J102" t="str">
        <v>01/10/2026</v>
      </c>
      <c r="K102" t="str">
        <v>14:37:55</v>
      </c>
      <c r="L102">
        <v>-12.318002</v>
      </c>
      <c r="M102">
        <v>-76.82424</v>
      </c>
      <c r="N102">
        <f>HYPERLINK("https://www.google.com/maps/search/?api=1&amp;query=-12.318002,-76.82424","Punta Hermosa, Lima")</f>
      </c>
      <c r="O102" t="str">
        <v>Vehículo encendido</v>
      </c>
      <c r="P102" t="str">
        <v/>
      </c>
      <c r="Q102">
        <v>719514.6</v>
      </c>
      <c r="R102" t="str">
        <v/>
      </c>
      <c r="S102">
        <v>0</v>
      </c>
      <c r="T102">
        <v>130.35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100</v>
      </c>
      <c r="AC102" t="str">
        <v>01/10/2026</v>
      </c>
      <c r="AD102" t="str">
        <v>14:11:41</v>
      </c>
      <c r="AE102">
        <f>IF("NOGPS"="NOGPS","GPS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14:38:07</v>
      </c>
      <c r="AL102" t="str">
        <v>14:38:07</v>
      </c>
      <c r="AM102" t="str">
        <v/>
      </c>
    </row>
    <row r="103">
      <c r="A103">
        <v>102</v>
      </c>
      <c r="B103" t="str">
        <v>MASS BSF</v>
      </c>
      <c r="C103" t="str">
        <v>BXQ-847</v>
      </c>
      <c r="D103" t="str">
        <v>BXQ-847</v>
      </c>
      <c r="E103" t="str">
        <v/>
      </c>
      <c r="F103" t="str">
        <v>867162029843950</v>
      </c>
      <c r="G103" t="str">
        <v>TBD</v>
      </c>
      <c r="H103" t="str">
        <v/>
      </c>
      <c r="I103" t="str">
        <v/>
      </c>
      <c r="J103" t="str">
        <v>01/10/2026</v>
      </c>
      <c r="K103" t="str">
        <v>14:37:57</v>
      </c>
      <c r="L103">
        <v>-12.318002</v>
      </c>
      <c r="M103">
        <v>-76.82424</v>
      </c>
      <c r="N103">
        <f>HYPERLINK("https://www.google.com/maps/search/?api=1&amp;query=-12.318002,-76.82424","Punta Hermosa, Lima")</f>
      </c>
      <c r="O103" t="str">
        <v>Vehículo apagado</v>
      </c>
      <c r="P103" t="str">
        <v>Vehículo Apagado</v>
      </c>
      <c r="Q103">
        <v>719514.6</v>
      </c>
      <c r="R103" t="str">
        <v/>
      </c>
      <c r="S103">
        <v>0</v>
      </c>
      <c r="T103">
        <v>130.35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100</v>
      </c>
      <c r="AC103" t="str">
        <v>01/10/2026</v>
      </c>
      <c r="AD103" t="str">
        <v>14:11:41</v>
      </c>
      <c r="AE103">
        <f>IF("NOGPS"="NOGPS","GPS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14:38:19</v>
      </c>
      <c r="AL103" t="str">
        <v>14:38:19</v>
      </c>
      <c r="AM103" t="str">
        <v/>
      </c>
    </row>
    <row r="104">
      <c r="A104">
        <v>103</v>
      </c>
      <c r="B104" t="str">
        <v>MASS BSF</v>
      </c>
      <c r="C104" t="str">
        <v>BXQ-847</v>
      </c>
      <c r="D104" t="str">
        <v>BXQ-847</v>
      </c>
      <c r="E104" t="str">
        <v/>
      </c>
      <c r="F104" t="str">
        <v>867162029843950</v>
      </c>
      <c r="G104" t="str">
        <v>TBD</v>
      </c>
      <c r="H104" t="str">
        <v/>
      </c>
      <c r="I104" t="str">
        <v/>
      </c>
      <c r="J104" t="str">
        <v>01/10/2026</v>
      </c>
      <c r="K104" t="str">
        <v>14:39:11</v>
      </c>
      <c r="L104">
        <v>-12.317869</v>
      </c>
      <c r="M104">
        <v>-76.82419</v>
      </c>
      <c r="N104">
        <f>HYPERLINK("https://www.google.com/maps/search/?api=1&amp;query=-12.317869,-76.82419","Punta Hermosa, Lima")</f>
      </c>
      <c r="O104" t="str">
        <v>Vehículo encendido</v>
      </c>
      <c r="P104" t="str">
        <v/>
      </c>
      <c r="Q104">
        <v>719514.6</v>
      </c>
      <c r="R104" t="str">
        <v/>
      </c>
      <c r="S104">
        <v>0</v>
      </c>
      <c r="T104">
        <v>130.35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100</v>
      </c>
      <c r="AC104" t="str">
        <v>01/10/2026</v>
      </c>
      <c r="AD104" t="str">
        <v>14:38:10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14:39:27</v>
      </c>
      <c r="AL104" t="str">
        <v>14:39:27</v>
      </c>
      <c r="AM104" t="str">
        <v/>
      </c>
    </row>
    <row r="105">
      <c r="A105">
        <v>104</v>
      </c>
      <c r="B105" t="str">
        <v>MASS BSF</v>
      </c>
      <c r="C105" t="str">
        <v>BXQ-847</v>
      </c>
      <c r="D105" t="str">
        <v>BXQ-847</v>
      </c>
      <c r="E105" t="str">
        <v/>
      </c>
      <c r="F105" t="str">
        <v>867162029843950</v>
      </c>
      <c r="G105" t="str">
        <v>TBD</v>
      </c>
      <c r="H105" t="str">
        <v/>
      </c>
      <c r="I105" t="str">
        <v/>
      </c>
      <c r="J105" t="str">
        <v>01/10/2026</v>
      </c>
      <c r="K105" t="str">
        <v>14:42:17</v>
      </c>
      <c r="L105">
        <v>-12.317904</v>
      </c>
      <c r="M105">
        <v>-76.824234</v>
      </c>
      <c r="N105">
        <f>HYPERLINK("https://www.google.com/maps/search/?api=1&amp;query=-12.317904,-76.824234","Punta Hermosa, Lima")</f>
      </c>
      <c r="O105" t="str">
        <v>Inicio de ralentí</v>
      </c>
      <c r="P105" t="str">
        <v>Vehículo Detenido</v>
      </c>
      <c r="Q105">
        <v>719514.6</v>
      </c>
      <c r="R105" t="str">
        <v/>
      </c>
      <c r="S105">
        <v>0</v>
      </c>
      <c r="T105">
        <v>130.35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100</v>
      </c>
      <c r="AC105" t="str">
        <v>01/10/2026</v>
      </c>
      <c r="AD105" t="str">
        <v>14:41:13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14:42:29</v>
      </c>
      <c r="AL105" t="str">
        <v>14:42:29</v>
      </c>
      <c r="AM105" t="str">
        <v/>
      </c>
    </row>
    <row r="106">
      <c r="A106">
        <v>105</v>
      </c>
      <c r="B106" t="str">
        <v>MASS BSF</v>
      </c>
      <c r="C106" t="str">
        <v>BXQ-847</v>
      </c>
      <c r="D106" t="str">
        <v>BXQ-847</v>
      </c>
      <c r="E106" t="str">
        <v/>
      </c>
      <c r="F106" t="str">
        <v>867162029843950</v>
      </c>
      <c r="G106" t="str">
        <v>TBD</v>
      </c>
      <c r="H106" t="str">
        <v/>
      </c>
      <c r="I106" t="str">
        <v/>
      </c>
      <c r="J106" t="str">
        <v>01/10/2026</v>
      </c>
      <c r="K106" t="str">
        <v>14:48:05</v>
      </c>
      <c r="L106">
        <v>-12.317904</v>
      </c>
      <c r="M106">
        <v>-76.824234</v>
      </c>
      <c r="N106">
        <f>HYPERLINK("https://www.google.com/maps/search/?api=1&amp;query=-12.317904,-76.824234","Punta Hermosa, Lima")</f>
      </c>
      <c r="O106" t="str">
        <v>Fin de ralentí</v>
      </c>
      <c r="P106" t="str">
        <v/>
      </c>
      <c r="Q106">
        <v>719514.6</v>
      </c>
      <c r="R106" t="str">
        <v/>
      </c>
      <c r="S106">
        <v>0</v>
      </c>
      <c r="T106">
        <v>130.35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100</v>
      </c>
      <c r="AC106" t="str">
        <v>01/10/2026</v>
      </c>
      <c r="AD106" t="str">
        <v>14:47:13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14:48:25</v>
      </c>
      <c r="AL106" t="str">
        <v>14:48:25</v>
      </c>
      <c r="AM106" t="str">
        <v/>
      </c>
    </row>
    <row r="107">
      <c r="A107">
        <v>106</v>
      </c>
      <c r="B107" t="str">
        <v>MASS BSF</v>
      </c>
      <c r="C107" t="str">
        <v>BXQ-847</v>
      </c>
      <c r="D107" t="str">
        <v>BXQ-847</v>
      </c>
      <c r="E107" t="str">
        <v/>
      </c>
      <c r="F107" t="str">
        <v>867162029843950</v>
      </c>
      <c r="G107" t="str">
        <v>TBD</v>
      </c>
      <c r="H107" t="str">
        <v/>
      </c>
      <c r="I107" t="str">
        <v xml:space="preserve"> </v>
      </c>
      <c r="J107" t="str">
        <v>01/10/2026</v>
      </c>
      <c r="K107" t="str">
        <v>14:54:44</v>
      </c>
      <c r="L107">
        <v>-12.317521</v>
      </c>
      <c r="M107">
        <v>-76.82997</v>
      </c>
      <c r="N107">
        <f>HYPERLINK("https://www.google.com/maps/search/?api=1&amp;query=-12.317521,-76.82997","Punta Hermosa, Lima")</f>
      </c>
      <c r="O107" t="str">
        <v>Salió de zona</v>
      </c>
      <c r="P107" t="str">
        <v/>
      </c>
      <c r="Q107">
        <v>719515.2</v>
      </c>
      <c r="R107" t="str">
        <v>MASS BSF 1</v>
      </c>
      <c r="S107">
        <v>20.4</v>
      </c>
      <c r="T107">
        <v>131.12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100</v>
      </c>
      <c r="AC107" t="str">
        <v>01/10/2026</v>
      </c>
      <c r="AD107" t="str">
        <v>14:54:43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14:54:59</v>
      </c>
      <c r="AL107" t="str">
        <v>14:54:59</v>
      </c>
      <c r="AM107" t="str">
        <v/>
      </c>
    </row>
    <row r="108">
      <c r="A108">
        <v>107</v>
      </c>
      <c r="B108" t="str">
        <v>MASS BSF</v>
      </c>
      <c r="C108" t="str">
        <v>BXQ-847</v>
      </c>
      <c r="D108" t="str">
        <v>BXQ-847</v>
      </c>
      <c r="E108" t="str">
        <v/>
      </c>
      <c r="F108" t="str">
        <v>867162029843950</v>
      </c>
      <c r="G108" t="str">
        <v>TBD</v>
      </c>
      <c r="H108" t="str">
        <v/>
      </c>
      <c r="I108" t="str">
        <v/>
      </c>
      <c r="J108" t="str">
        <v>01/10/2026</v>
      </c>
      <c r="K108" t="str">
        <v>14:56:17</v>
      </c>
      <c r="L108">
        <v>-12.306734</v>
      </c>
      <c r="M108">
        <v>-76.83789</v>
      </c>
      <c r="N108">
        <f>HYPERLINK("https://www.google.com/maps/search/?api=1&amp;query=-12.306734,-76.83789","Carretera Panamericana Sur, Punta Hermosa, Lima")</f>
      </c>
      <c r="O108" t="str">
        <v>Excedió el límite de velocidad</v>
      </c>
      <c r="P108" t="str">
        <v/>
      </c>
      <c r="Q108">
        <v>719516.9</v>
      </c>
      <c r="R108" t="str">
        <v/>
      </c>
      <c r="S108">
        <v>81.3</v>
      </c>
      <c r="T108">
        <v>130.35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01/10/2026</v>
      </c>
      <c r="AD108" t="str">
        <v>14:56:16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14:56:31</v>
      </c>
      <c r="AL108" t="str">
        <v>14:56:31</v>
      </c>
      <c r="AM108" t="str">
        <v/>
      </c>
    </row>
    <row r="109">
      <c r="A109">
        <v>108</v>
      </c>
      <c r="B109" t="str">
        <v>MASS BSF</v>
      </c>
      <c r="C109" t="str">
        <v>BXQ-847</v>
      </c>
      <c r="D109" t="str">
        <v>BXQ-847</v>
      </c>
      <c r="E109" t="str">
        <v/>
      </c>
      <c r="F109" t="str">
        <v>867162029843950</v>
      </c>
      <c r="G109" t="str">
        <v>TBD</v>
      </c>
      <c r="H109" t="str">
        <v/>
      </c>
      <c r="I109" t="str">
        <v/>
      </c>
      <c r="J109" t="str">
        <v>01/10/2026</v>
      </c>
      <c r="K109" t="str">
        <v>14:58:05</v>
      </c>
      <c r="L109">
        <v>-12.296711</v>
      </c>
      <c r="M109">
        <v>-76.85636</v>
      </c>
      <c r="N109">
        <f>HYPERLINK("https://www.google.com/maps/search/?api=1&amp;query=-12.296711,-76.85636","Carretera Panamericana Sur, Lurín, Lima")</f>
      </c>
      <c r="O109" t="str">
        <v>Excedió el límite de velocidad</v>
      </c>
      <c r="P109" t="str">
        <v/>
      </c>
      <c r="Q109">
        <v>719519.2</v>
      </c>
      <c r="R109" t="str">
        <v/>
      </c>
      <c r="S109">
        <v>83.1</v>
      </c>
      <c r="T109">
        <v>130.35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100</v>
      </c>
      <c r="AC109" t="str">
        <v>01/10/2026</v>
      </c>
      <c r="AD109" t="str">
        <v>14:58:04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14:58:23</v>
      </c>
      <c r="AL109" t="str">
        <v>14:58:23</v>
      </c>
      <c r="AM109" t="str">
        <v/>
      </c>
    </row>
    <row r="110">
      <c r="A110">
        <v>109</v>
      </c>
      <c r="B110" t="str">
        <v>MASS BSF</v>
      </c>
      <c r="C110" t="str">
        <v>BXQ-847</v>
      </c>
      <c r="D110" t="str">
        <v>BXQ-847</v>
      </c>
      <c r="E110" t="str">
        <v/>
      </c>
      <c r="F110" t="str">
        <v>867162029843950</v>
      </c>
      <c r="G110" t="str">
        <v>TBD</v>
      </c>
      <c r="H110" t="str">
        <v/>
      </c>
      <c r="I110" t="str">
        <v/>
      </c>
      <c r="J110" t="str">
        <v>01/10/2026</v>
      </c>
      <c r="K110" t="str">
        <v>14:59:20</v>
      </c>
      <c r="L110">
        <v>-12.289066</v>
      </c>
      <c r="M110">
        <v>-76.86908</v>
      </c>
      <c r="N110">
        <f>HYPERLINK("https://www.google.com/maps/search/?api=1&amp;query=-12.289066,-76.86908","Carretera Panamericana Sur, Lurín, Lima")</f>
      </c>
      <c r="O110" t="str">
        <v>Excedió el límite de velocidad</v>
      </c>
      <c r="P110" t="str">
        <v/>
      </c>
      <c r="Q110">
        <v>719520.9</v>
      </c>
      <c r="R110" t="str">
        <v/>
      </c>
      <c r="S110">
        <v>81.4</v>
      </c>
      <c r="T110">
        <v>130.35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100</v>
      </c>
      <c r="AC110" t="str">
        <v>01/10/2026</v>
      </c>
      <c r="AD110" t="str">
        <v>14:59:19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14:59:34</v>
      </c>
      <c r="AL110" t="str">
        <v>14:59:34</v>
      </c>
      <c r="AM110" t="str">
        <v/>
      </c>
    </row>
    <row r="111">
      <c r="A111">
        <v>110</v>
      </c>
      <c r="B111" t="str">
        <v>MASS BSF</v>
      </c>
      <c r="C111" t="str">
        <v>BXQ-847</v>
      </c>
      <c r="D111" t="str">
        <v>BXQ-847</v>
      </c>
      <c r="E111" t="str">
        <v/>
      </c>
      <c r="F111" t="str">
        <v>867162029843950</v>
      </c>
      <c r="G111" t="str">
        <v>TBD</v>
      </c>
      <c r="H111" t="str">
        <v/>
      </c>
      <c r="I111" t="str">
        <v/>
      </c>
      <c r="J111" t="str">
        <v>01/10/2026</v>
      </c>
      <c r="K111" t="str">
        <v>14:59:47</v>
      </c>
      <c r="L111">
        <v>-12.286128</v>
      </c>
      <c r="M111">
        <v>-76.87376</v>
      </c>
      <c r="N111">
        <f>HYPERLINK("https://www.google.com/maps/search/?api=1&amp;query=-12.286128,-76.87376","Carretera Panamericana Sur, Lurín, Lima")</f>
      </c>
      <c r="O111" t="str">
        <v>Excedió el límite de velocidad</v>
      </c>
      <c r="P111" t="str">
        <v/>
      </c>
      <c r="Q111">
        <v>719521.5</v>
      </c>
      <c r="R111" t="str">
        <v/>
      </c>
      <c r="S111">
        <v>82.4</v>
      </c>
      <c r="T111">
        <v>130.35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100</v>
      </c>
      <c r="AC111" t="str">
        <v>01/10/2026</v>
      </c>
      <c r="AD111" t="str">
        <v>14:59:46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15:00:11</v>
      </c>
      <c r="AL111" t="str">
        <v>15:00:11</v>
      </c>
      <c r="AM111" t="str">
        <v/>
      </c>
    </row>
    <row r="112">
      <c r="A112">
        <v>111</v>
      </c>
      <c r="B112" t="str">
        <v>MASS BSF</v>
      </c>
      <c r="C112" t="str">
        <v>BXQ-847</v>
      </c>
      <c r="D112" t="str">
        <v>BXQ-847</v>
      </c>
      <c r="E112" t="str">
        <v/>
      </c>
      <c r="F112" t="str">
        <v>867162029843950</v>
      </c>
      <c r="G112" t="str">
        <v>TBD</v>
      </c>
      <c r="H112" t="str">
        <v/>
      </c>
      <c r="I112" t="str">
        <v/>
      </c>
      <c r="J112" t="str">
        <v>01/10/2026</v>
      </c>
      <c r="K112" t="str">
        <v>15:00:50</v>
      </c>
      <c r="L112">
        <v>-12.279069</v>
      </c>
      <c r="M112">
        <v>-76.885025</v>
      </c>
      <c r="N112">
        <f>HYPERLINK("https://www.google.com/maps/search/?api=1&amp;query=-12.279069,-76.885025","Carretera Panamericana Sur, Lurín, Lima")</f>
      </c>
      <c r="O112" t="str">
        <v>Excedió el límite de velocidad</v>
      </c>
      <c r="P112" t="str">
        <v/>
      </c>
      <c r="Q112">
        <v>719522.9</v>
      </c>
      <c r="R112" t="str">
        <v/>
      </c>
      <c r="S112">
        <v>83.4</v>
      </c>
      <c r="T112">
        <v>131.12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100</v>
      </c>
      <c r="AC112" t="str">
        <v>01/10/2026</v>
      </c>
      <c r="AD112" t="str">
        <v>15:00:49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15:01:15</v>
      </c>
      <c r="AL112" t="str">
        <v>15:01:15</v>
      </c>
      <c r="AM112" t="str">
        <v/>
      </c>
    </row>
    <row r="113">
      <c r="A113">
        <v>112</v>
      </c>
      <c r="B113" t="str">
        <v>MASS BSF</v>
      </c>
      <c r="C113" t="str">
        <v>BXQ-847</v>
      </c>
      <c r="D113" t="str">
        <v>BXQ-847</v>
      </c>
      <c r="E113" t="str">
        <v/>
      </c>
      <c r="F113" t="str">
        <v>867162029843950</v>
      </c>
      <c r="G113" t="str">
        <v>TBD</v>
      </c>
      <c r="H113" t="str">
        <v/>
      </c>
      <c r="I113" t="str">
        <v/>
      </c>
      <c r="J113" t="str">
        <v>01/10/2026</v>
      </c>
      <c r="K113" t="str">
        <v>15:01:47</v>
      </c>
      <c r="L113">
        <v>-12.272471</v>
      </c>
      <c r="M113">
        <v>-76.89552</v>
      </c>
      <c r="N113">
        <f>HYPERLINK("https://www.google.com/maps/search/?api=1&amp;query=-12.272471,-76.89552","Carretera Panamericana Sur, Lurín, Lima")</f>
      </c>
      <c r="O113" t="str">
        <v>Excedió el límite de velocidad</v>
      </c>
      <c r="P113" t="str">
        <v/>
      </c>
      <c r="Q113">
        <v>719524.3</v>
      </c>
      <c r="R113" t="str">
        <v/>
      </c>
      <c r="S113">
        <v>81.7</v>
      </c>
      <c r="T113">
        <v>131.12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100</v>
      </c>
      <c r="AC113" t="str">
        <v>01/10/2026</v>
      </c>
      <c r="AD113" t="str">
        <v>15:01:46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01/10/2026 15:02:04</v>
      </c>
      <c r="AL113" t="str">
        <v>15:02:04</v>
      </c>
      <c r="AM113" t="str">
        <v/>
      </c>
    </row>
    <row r="114">
      <c r="A114">
        <v>113</v>
      </c>
      <c r="B114" t="str">
        <v>MASS BSF</v>
      </c>
      <c r="C114" t="str">
        <v>BXQ-847</v>
      </c>
      <c r="D114" t="str">
        <v>BXQ-847</v>
      </c>
      <c r="E114" t="str">
        <v/>
      </c>
      <c r="F114" t="str">
        <v>867162029843950</v>
      </c>
      <c r="G114" t="str">
        <v>TBD</v>
      </c>
      <c r="H114" t="str">
        <v/>
      </c>
      <c r="I114" t="str">
        <v/>
      </c>
      <c r="J114" t="str">
        <v>01/10/2026</v>
      </c>
      <c r="K114" t="str">
        <v>15:02:41</v>
      </c>
      <c r="L114">
        <v>-12.266626</v>
      </c>
      <c r="M114">
        <v>-76.90483</v>
      </c>
      <c r="N114">
        <f>HYPERLINK("https://www.google.com/maps/search/?api=1&amp;query=-12.266626,-76.90483","Carretera Panamericana Sur, Lurín, Lima")</f>
      </c>
      <c r="O114" t="str">
        <v>Excedió el límite de velocidad</v>
      </c>
      <c r="P114" t="str">
        <v/>
      </c>
      <c r="Q114">
        <v>719525.5</v>
      </c>
      <c r="R114" t="str">
        <v/>
      </c>
      <c r="S114">
        <v>83</v>
      </c>
      <c r="T114">
        <v>131.12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100</v>
      </c>
      <c r="AC114" t="str">
        <v>01/10/2026</v>
      </c>
      <c r="AD114" t="str">
        <v>15:02:40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01/10/2026 15:02:49</v>
      </c>
      <c r="AL114" t="str">
        <v>15:02:49</v>
      </c>
      <c r="AM114" t="str">
        <v/>
      </c>
    </row>
    <row r="115">
      <c r="A115">
        <v>114</v>
      </c>
      <c r="B115" t="str">
        <v>MASS BSF</v>
      </c>
      <c r="C115" t="str">
        <v>BXQ-847</v>
      </c>
      <c r="D115" t="str">
        <v>BXQ-847</v>
      </c>
      <c r="E115" t="str">
        <v/>
      </c>
      <c r="F115" t="str">
        <v>867162029843950</v>
      </c>
      <c r="G115" t="str">
        <v>TBD</v>
      </c>
      <c r="H115" t="str">
        <v/>
      </c>
      <c r="I115" t="str">
        <v/>
      </c>
      <c r="J115" t="str">
        <v>01/10/2026</v>
      </c>
      <c r="K115" t="str">
        <v>15:03:05</v>
      </c>
      <c r="L115">
        <v>-12.263955</v>
      </c>
      <c r="M115">
        <v>-76.90907</v>
      </c>
      <c r="N115">
        <f>HYPERLINK("https://www.google.com/maps/search/?api=1&amp;query=-12.263955,-76.90907","Carretera Panamericana Sur, Lurín, Lima")</f>
      </c>
      <c r="O115" t="str">
        <v>Excedió el límite de velocidad</v>
      </c>
      <c r="P115" t="str">
        <v/>
      </c>
      <c r="Q115">
        <v>719526</v>
      </c>
      <c r="R115" t="str">
        <v/>
      </c>
      <c r="S115">
        <v>81.8</v>
      </c>
      <c r="T115">
        <v>131.12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100</v>
      </c>
      <c r="AC115" t="str">
        <v>01/10/2026</v>
      </c>
      <c r="AD115" t="str">
        <v>15:03:04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01/10/2026 15:03:31</v>
      </c>
      <c r="AL115" t="str">
        <v>15:03:31</v>
      </c>
      <c r="AM115" t="str">
        <v/>
      </c>
    </row>
    <row r="116">
      <c r="A116">
        <v>115</v>
      </c>
      <c r="B116" t="str">
        <v>MASS BSF</v>
      </c>
      <c r="C116" t="str">
        <v>BXQ-847</v>
      </c>
      <c r="D116" t="str">
        <v>BXQ-847</v>
      </c>
      <c r="E116" t="str">
        <v/>
      </c>
      <c r="F116" t="str">
        <v>867162029843950</v>
      </c>
      <c r="G116" t="str">
        <v>TBD</v>
      </c>
      <c r="H116" t="str">
        <v/>
      </c>
      <c r="I116" t="str">
        <v/>
      </c>
      <c r="J116" t="str">
        <v>01/10/2026</v>
      </c>
      <c r="K116" t="str">
        <v>15:03:50</v>
      </c>
      <c r="L116">
        <v>-12.259246</v>
      </c>
      <c r="M116">
        <v>-76.9165</v>
      </c>
      <c r="N116">
        <f>HYPERLINK("https://www.google.com/maps/search/?api=1&amp;query=-12.259246,-76.9165","Carretera Panamericana Sur, Lurín, Lima")</f>
      </c>
      <c r="O116" t="str">
        <v>Excedió el límite de velocidad</v>
      </c>
      <c r="P116" t="str">
        <v/>
      </c>
      <c r="Q116">
        <v>719527</v>
      </c>
      <c r="R116" t="str">
        <v/>
      </c>
      <c r="S116">
        <v>85.6</v>
      </c>
      <c r="T116">
        <v>131.12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100</v>
      </c>
      <c r="AC116" t="str">
        <v>01/10/2026</v>
      </c>
      <c r="AD116" t="str">
        <v>15:03:49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01/10/2026 15:04:14</v>
      </c>
      <c r="AL116" t="str">
        <v>15:04:14</v>
      </c>
      <c r="AM116" t="str">
        <v/>
      </c>
    </row>
    <row r="117">
      <c r="A117">
        <v>116</v>
      </c>
      <c r="B117" t="str">
        <v>MASS BSF</v>
      </c>
      <c r="C117" t="str">
        <v>BXQ-847</v>
      </c>
      <c r="D117" t="str">
        <v>BXQ-847</v>
      </c>
      <c r="E117" t="str">
        <v/>
      </c>
      <c r="F117" t="str">
        <v>867162029843950</v>
      </c>
      <c r="G117" t="str">
        <v>TBD</v>
      </c>
      <c r="H117" t="str">
        <v/>
      </c>
      <c r="I117" t="str">
        <v xml:space="preserve"> </v>
      </c>
      <c r="J117" t="str">
        <v>01/10/2026</v>
      </c>
      <c r="K117" t="str">
        <v>15:24:04</v>
      </c>
      <c r="L117">
        <v>-12.213308</v>
      </c>
      <c r="M117">
        <v>-76.960655</v>
      </c>
      <c r="N117">
        <f>HYPERLINK("https://www.google.com/maps/search/?api=1&amp;query=-12.213308,-76.960655","Calle 1, Villa El Salvador, Lima")</f>
      </c>
      <c r="O117" t="str">
        <v>Salió de zona</v>
      </c>
      <c r="P117" t="str">
        <v/>
      </c>
      <c r="Q117">
        <v>719537</v>
      </c>
      <c r="R117" t="str">
        <v>BASE-OSLOGISTICS</v>
      </c>
      <c r="S117">
        <v>0</v>
      </c>
      <c r="T117">
        <v>131.12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100</v>
      </c>
      <c r="AC117" t="str">
        <v>01/10/2026</v>
      </c>
      <c r="AD117" t="str">
        <v>15:23:13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01/10/2026 15:24:22</v>
      </c>
      <c r="AL117" t="str">
        <v>15:24:22</v>
      </c>
      <c r="AM117" t="str">
        <v/>
      </c>
    </row>
    <row r="118">
      <c r="A118">
        <v>117</v>
      </c>
      <c r="B118" t="str">
        <v>MASS BSF</v>
      </c>
      <c r="C118" t="str">
        <v>BXQ-847</v>
      </c>
      <c r="D118" t="str">
        <v>BXQ-847</v>
      </c>
      <c r="E118" t="str">
        <v/>
      </c>
      <c r="F118" t="str">
        <v>867162029843950</v>
      </c>
      <c r="G118" t="str">
        <v>TBD</v>
      </c>
      <c r="H118" t="str">
        <v/>
      </c>
      <c r="I118" t="str">
        <v xml:space="preserve"> </v>
      </c>
      <c r="J118" t="str">
        <v>01/10/2026</v>
      </c>
      <c r="K118" t="str">
        <v>15:24:04</v>
      </c>
      <c r="L118">
        <v>-12.213215</v>
      </c>
      <c r="M118">
        <v>-76.959946</v>
      </c>
      <c r="N118">
        <f>HYPERLINK("https://www.google.com/maps/search/?api=1&amp;query=-12.213215,-76.959946","Avenida Villa del Mar, Villa El Salvador, Lima")</f>
      </c>
      <c r="O118" t="str">
        <v>Llegó a la zona</v>
      </c>
      <c r="P118" t="str">
        <v/>
      </c>
      <c r="Q118">
        <v>719537</v>
      </c>
      <c r="R118" t="str">
        <v>BASE-OSLOGISTICS</v>
      </c>
      <c r="S118">
        <v>7.8</v>
      </c>
      <c r="T118">
        <v>131.12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100</v>
      </c>
      <c r="AC118" t="str">
        <v>01/10/2026</v>
      </c>
      <c r="AD118" t="str">
        <v>15:24:04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01/10/2026 15:24:28</v>
      </c>
      <c r="AL118" t="str">
        <v>15:24:28</v>
      </c>
      <c r="AM118" t="str">
        <v/>
      </c>
    </row>
    <row r="119">
      <c r="A119">
        <v>118</v>
      </c>
      <c r="B119" t="str">
        <v>MASS BSF</v>
      </c>
      <c r="C119" t="str">
        <v>BXQ-847</v>
      </c>
      <c r="D119" t="str">
        <v>BXQ-847</v>
      </c>
      <c r="E119" t="str">
        <v/>
      </c>
      <c r="F119" t="str">
        <v>867162029843950</v>
      </c>
      <c r="G119" t="str">
        <v>TBD</v>
      </c>
      <c r="H119" t="str">
        <v/>
      </c>
      <c r="I119" t="str">
        <v xml:space="preserve"> </v>
      </c>
      <c r="J119" t="str">
        <v>01/10/2026</v>
      </c>
      <c r="K119" t="str">
        <v>15:24:47</v>
      </c>
      <c r="L119">
        <v>-12.213114</v>
      </c>
      <c r="M119">
        <v>-76.95976</v>
      </c>
      <c r="N119">
        <f>HYPERLINK("https://www.google.com/maps/search/?api=1&amp;query=-12.213114,-76.95976","Avenida Villa del Mar, Villa El Salvador, Lima")</f>
      </c>
      <c r="O119" t="str">
        <v>Llegó a la zona</v>
      </c>
      <c r="P119" t="str">
        <v/>
      </c>
      <c r="Q119">
        <v>719537</v>
      </c>
      <c r="R119" t="str">
        <v>BASE-OSLOGISTICS</v>
      </c>
      <c r="S119">
        <v>7.8</v>
      </c>
      <c r="T119">
        <v>131.12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100</v>
      </c>
      <c r="AC119" t="str">
        <v>01/10/2026</v>
      </c>
      <c r="AD119" t="str">
        <v>15:24:13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01/10/2026 15:24:54</v>
      </c>
      <c r="AL119" t="str">
        <v>15:24:54</v>
      </c>
      <c r="AM119" t="str">
        <v/>
      </c>
    </row>
    <row r="120">
      <c r="A120">
        <v>119</v>
      </c>
      <c r="B120" t="str">
        <v>MASS BSF</v>
      </c>
      <c r="C120" t="str">
        <v>BXQ-847</v>
      </c>
      <c r="D120" t="str">
        <v>BXQ-847</v>
      </c>
      <c r="E120" t="str">
        <v/>
      </c>
      <c r="F120" t="str">
        <v>867162029843950</v>
      </c>
      <c r="G120" t="str">
        <v>TBD</v>
      </c>
      <c r="H120" t="str">
        <v/>
      </c>
      <c r="I120" t="str">
        <v/>
      </c>
      <c r="J120" t="str">
        <v>01/10/2026</v>
      </c>
      <c r="K120" t="str">
        <v>15:26:47</v>
      </c>
      <c r="L120">
        <v>-12.212886</v>
      </c>
      <c r="M120">
        <v>-76.95904</v>
      </c>
      <c r="N120">
        <f>HYPERLINK("https://www.google.com/maps/search/?api=1&amp;query=-12.212886,-76.95904","Avenida Villa del Mar, Villa El Salvador, Lima")</f>
      </c>
      <c r="O120" t="str">
        <v>Vehículo apagado</v>
      </c>
      <c r="P120" t="str">
        <v>Vehículo Apagado</v>
      </c>
      <c r="Q120">
        <v>719537.1</v>
      </c>
      <c r="R120" t="str">
        <v/>
      </c>
      <c r="S120">
        <v>0</v>
      </c>
      <c r="T120">
        <v>131.9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100</v>
      </c>
      <c r="AC120" t="str">
        <v>01/10/2026</v>
      </c>
      <c r="AD120" t="str">
        <v>15:26:13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01/10/2026 15:26:59</v>
      </c>
      <c r="AL120" t="str">
        <v>15:26:59</v>
      </c>
      <c r="AM120" t="str">
        <v/>
      </c>
    </row>
  </sheetData>
  <ignoredErrors>
    <ignoredError numberStoredAsText="1" sqref="A1:AM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