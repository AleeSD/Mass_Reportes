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AJQ-739</v>
      </c>
      <c r="D2" t="str">
        <v>AJQ-739</v>
      </c>
      <c r="E2" t="str">
        <v/>
      </c>
      <c r="F2" t="str">
        <v>867806075788192</v>
      </c>
      <c r="G2" t="str">
        <v>TBD</v>
      </c>
      <c r="H2" t="str">
        <v/>
      </c>
      <c r="I2" t="str">
        <v/>
      </c>
      <c r="J2" t="str">
        <v>01/10/2026</v>
      </c>
      <c r="K2" t="str">
        <v>09:45:52</v>
      </c>
      <c r="L2">
        <v>-11.985215</v>
      </c>
      <c r="M2">
        <v>-77.08937</v>
      </c>
      <c r="N2">
        <f>HYPERLINK("https://www.google.com/maps/search/?api=1&amp;query=-11.985215,-77.08937","Avenida B, San Martín de Porres, Lima")</f>
      </c>
      <c r="O2" t="str">
        <v>Vehículo encendido</v>
      </c>
      <c r="P2" t="str">
        <v/>
      </c>
      <c r="Q2">
        <v>359991.1</v>
      </c>
      <c r="R2" t="str">
        <v/>
      </c>
      <c r="S2">
        <v>0</v>
      </c>
      <c r="T2">
        <v>32.02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87</v>
      </c>
      <c r="AC2" t="str">
        <v>01/10/2026</v>
      </c>
      <c r="AD2" t="str">
        <v>09:45:48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09:46:12</v>
      </c>
      <c r="AL2" t="str">
        <v>09:46:12</v>
      </c>
      <c r="AM2" t="str">
        <v/>
      </c>
    </row>
    <row r="3">
      <c r="A3">
        <v>2</v>
      </c>
      <c r="B3" t="str">
        <v>MASS BSF</v>
      </c>
      <c r="C3" t="str">
        <v>AJQ-739</v>
      </c>
      <c r="D3" t="str">
        <v>AJQ-739</v>
      </c>
      <c r="E3" t="str">
        <v/>
      </c>
      <c r="F3" t="str">
        <v>867806075788192</v>
      </c>
      <c r="G3" t="str">
        <v>TBD</v>
      </c>
      <c r="H3" t="str">
        <v/>
      </c>
      <c r="I3" t="str">
        <v/>
      </c>
      <c r="J3" t="str">
        <v>01/10/2026</v>
      </c>
      <c r="K3" t="str">
        <v>09:45:54</v>
      </c>
      <c r="L3">
        <v>-11.985215</v>
      </c>
      <c r="M3">
        <v>-77.08937</v>
      </c>
      <c r="N3">
        <f>HYPERLINK("https://www.google.com/maps/search/?api=1&amp;query=-11.985215,-77.08937","Avenida B, San Martín de Porres, Lima")</f>
      </c>
      <c r="O3" t="str">
        <v>Vehículo apagado</v>
      </c>
      <c r="P3" t="str">
        <v>Vehículo Apagado</v>
      </c>
      <c r="Q3">
        <v>359991.2</v>
      </c>
      <c r="R3" t="str">
        <v/>
      </c>
      <c r="S3">
        <v>0</v>
      </c>
      <c r="T3">
        <v>32.02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87</v>
      </c>
      <c r="AC3" t="str">
        <v>01/10/2026</v>
      </c>
      <c r="AD3" t="str">
        <v>09:45:50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09:46:06</v>
      </c>
      <c r="AL3" t="str">
        <v>09:46:06</v>
      </c>
      <c r="AM3" t="str">
        <v/>
      </c>
    </row>
    <row r="4">
      <c r="A4">
        <v>3</v>
      </c>
      <c r="B4" t="str">
        <v>MASS BSF</v>
      </c>
      <c r="C4" t="str">
        <v>AJQ-739</v>
      </c>
      <c r="D4" t="str">
        <v>AJQ-739</v>
      </c>
      <c r="E4" t="str">
        <v/>
      </c>
      <c r="F4" t="str">
        <v>867806075788192</v>
      </c>
      <c r="G4" t="str">
        <v>TBD</v>
      </c>
      <c r="H4" t="str">
        <v/>
      </c>
      <c r="I4" t="str">
        <v/>
      </c>
      <c r="J4" t="str">
        <v>01/10/2026</v>
      </c>
      <c r="K4" t="str">
        <v>09:45:54</v>
      </c>
      <c r="L4">
        <v>-11.985215</v>
      </c>
      <c r="M4">
        <v>-77.08937</v>
      </c>
      <c r="N4">
        <f>HYPERLINK("https://www.google.com/maps/search/?api=1&amp;query=-11.985215,-77.08937","Avenida B, San Martín de Porres, Lima")</f>
      </c>
      <c r="O4" t="str">
        <v>Vehículo apagado</v>
      </c>
      <c r="P4" t="str">
        <v>Vehículo Apagado</v>
      </c>
      <c r="Q4">
        <v>359991.2</v>
      </c>
      <c r="R4" t="str">
        <v/>
      </c>
      <c r="S4">
        <v>0</v>
      </c>
      <c r="T4">
        <v>32.02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87</v>
      </c>
      <c r="AC4" t="str">
        <v>01/10/2026</v>
      </c>
      <c r="AD4" t="str">
        <v>09:45:50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09:47:17</v>
      </c>
      <c r="AL4" t="str">
        <v>09:47:17</v>
      </c>
      <c r="AM4" t="str">
        <v/>
      </c>
    </row>
    <row r="5">
      <c r="A5">
        <v>4</v>
      </c>
      <c r="B5" t="str">
        <v>MASS BSF</v>
      </c>
      <c r="C5" t="str">
        <v>AJQ-739</v>
      </c>
      <c r="D5" t="str">
        <v>AJQ-739</v>
      </c>
      <c r="E5" t="str">
        <v/>
      </c>
      <c r="F5" t="str">
        <v>867806075788192</v>
      </c>
      <c r="G5" t="str">
        <v>TBD</v>
      </c>
      <c r="H5" t="str">
        <v/>
      </c>
      <c r="I5" t="str">
        <v/>
      </c>
      <c r="J5" t="str">
        <v>01/10/2026</v>
      </c>
      <c r="K5" t="str">
        <v>09:45:56</v>
      </c>
      <c r="L5">
        <v>-11.985215</v>
      </c>
      <c r="M5">
        <v>-77.08937</v>
      </c>
      <c r="N5">
        <f>HYPERLINK("https://www.google.com/maps/search/?api=1&amp;query=-11.985215,-77.08937","Avenida B, San Martín de Porres, Lima")</f>
      </c>
      <c r="O5" t="str">
        <v>Vehículo encendido</v>
      </c>
      <c r="P5" t="str">
        <v/>
      </c>
      <c r="Q5">
        <v>359991.2</v>
      </c>
      <c r="R5" t="str">
        <v/>
      </c>
      <c r="S5">
        <v>0</v>
      </c>
      <c r="T5">
        <v>32.02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87</v>
      </c>
      <c r="AC5" t="str">
        <v>01/10/2026</v>
      </c>
      <c r="AD5" t="str">
        <v>09:45:52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09:47:17</v>
      </c>
      <c r="AL5" t="str">
        <v>09:47:17</v>
      </c>
      <c r="AM5" t="str">
        <v/>
      </c>
    </row>
    <row r="6">
      <c r="A6">
        <v>5</v>
      </c>
      <c r="B6" t="str">
        <v>MASS BSF</v>
      </c>
      <c r="C6" t="str">
        <v>AJQ-739</v>
      </c>
      <c r="D6" t="str">
        <v>AJQ-739</v>
      </c>
      <c r="E6" t="str">
        <v/>
      </c>
      <c r="F6" t="str">
        <v>867806075788192</v>
      </c>
      <c r="G6" t="str">
        <v>TBD</v>
      </c>
      <c r="H6" t="str">
        <v/>
      </c>
      <c r="I6" t="str">
        <v/>
      </c>
      <c r="J6" t="str">
        <v>01/10/2026</v>
      </c>
      <c r="K6" t="str">
        <v>09:46:43</v>
      </c>
      <c r="L6">
        <v>-11.985215</v>
      </c>
      <c r="M6">
        <v>-77.08937</v>
      </c>
      <c r="N6">
        <f>HYPERLINK("https://www.google.com/maps/search/?api=1&amp;query=-11.985215,-77.08937","Avenida B, San Martín de Porres, Lima")</f>
      </c>
      <c r="O6" t="str">
        <v>Se movio</v>
      </c>
      <c r="P6" t="str">
        <v/>
      </c>
      <c r="Q6">
        <v>359991.2</v>
      </c>
      <c r="R6" t="str">
        <v/>
      </c>
      <c r="S6">
        <v>0</v>
      </c>
      <c r="T6">
        <v>32.02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87</v>
      </c>
      <c r="AC6" t="str">
        <v>01/10/2026</v>
      </c>
      <c r="AD6" t="str">
        <v>09:46:38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09:47:26</v>
      </c>
      <c r="AL6" t="str">
        <v>09:47:26</v>
      </c>
      <c r="AM6" t="str">
        <v/>
      </c>
    </row>
    <row r="7">
      <c r="A7">
        <v>6</v>
      </c>
      <c r="B7" t="str">
        <v>MASS BSF</v>
      </c>
      <c r="C7" t="str">
        <v>AJQ-739</v>
      </c>
      <c r="D7" t="str">
        <v>AJQ-739</v>
      </c>
      <c r="E7" t="str">
        <v/>
      </c>
      <c r="F7" t="str">
        <v>867806075788192</v>
      </c>
      <c r="G7" t="str">
        <v>TBD</v>
      </c>
      <c r="H7" t="str">
        <v/>
      </c>
      <c r="I7" t="str">
        <v/>
      </c>
      <c r="J7" t="str">
        <v>01/10/2026</v>
      </c>
      <c r="K7" t="str">
        <v>09:47:27</v>
      </c>
      <c r="L7">
        <v>-11.984957</v>
      </c>
      <c r="M7">
        <v>-77.08948</v>
      </c>
      <c r="N7">
        <f>HYPERLINK("https://www.google.com/maps/search/?api=1&amp;query=-11.984957,-77.08948","Avenida B, San Martín de Porres, Lima")</f>
      </c>
      <c r="O7" t="str">
        <v>Vehículo apagado</v>
      </c>
      <c r="P7" t="str">
        <v>Vehículo Apagado</v>
      </c>
      <c r="Q7">
        <v>359991.2</v>
      </c>
      <c r="R7" t="str">
        <v/>
      </c>
      <c r="S7">
        <v>0</v>
      </c>
      <c r="T7">
        <v>32.05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87</v>
      </c>
      <c r="AC7" t="str">
        <v>01/10/2026</v>
      </c>
      <c r="AD7" t="str">
        <v>09:47:23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09:47:33</v>
      </c>
      <c r="AL7" t="str">
        <v>09:47:33</v>
      </c>
      <c r="AM7" t="str">
        <v/>
      </c>
    </row>
    <row r="8">
      <c r="A8">
        <v>7</v>
      </c>
      <c r="B8" t="str">
        <v>MASS BSF</v>
      </c>
      <c r="C8" t="str">
        <v>AJQ-739</v>
      </c>
      <c r="D8" t="str">
        <v>AJQ-739</v>
      </c>
      <c r="E8" t="str">
        <v/>
      </c>
      <c r="F8" t="str">
        <v>867806075788192</v>
      </c>
      <c r="G8" t="str">
        <v>TBD</v>
      </c>
      <c r="H8" t="str">
        <v/>
      </c>
      <c r="I8" t="str">
        <v/>
      </c>
      <c r="J8" t="str">
        <v>01/10/2026</v>
      </c>
      <c r="K8" t="str">
        <v>16:41:53</v>
      </c>
      <c r="L8">
        <v>-11.98492</v>
      </c>
      <c r="M8">
        <v>-77.08957</v>
      </c>
      <c r="N8">
        <f>HYPERLINK("https://www.google.com/maps/search/?api=1&amp;query=-11.98492,-77.08957","Avenida B, San Martín de Porres, Lima")</f>
      </c>
      <c r="O8" t="str">
        <v>Vehículo encendido</v>
      </c>
      <c r="P8" t="str">
        <v/>
      </c>
      <c r="Q8">
        <v>359991.2</v>
      </c>
      <c r="R8" t="str">
        <v/>
      </c>
      <c r="S8">
        <v>0</v>
      </c>
      <c r="T8">
        <v>32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79</v>
      </c>
      <c r="AC8" t="str">
        <v>01/10/2026</v>
      </c>
      <c r="AD8" t="str">
        <v>16:41:51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16:42:13</v>
      </c>
      <c r="AL8" t="str">
        <v>16:42:13</v>
      </c>
      <c r="AM8" t="str">
        <v/>
      </c>
    </row>
    <row r="9">
      <c r="A9">
        <v>8</v>
      </c>
      <c r="B9" t="str">
        <v>MASS BSF</v>
      </c>
      <c r="C9" t="str">
        <v>AJQ-739</v>
      </c>
      <c r="D9" t="str">
        <v>AJQ-739</v>
      </c>
      <c r="E9" t="str">
        <v/>
      </c>
      <c r="F9" t="str">
        <v>867806075788192</v>
      </c>
      <c r="G9" t="str">
        <v>TBD</v>
      </c>
      <c r="H9" t="str">
        <v/>
      </c>
      <c r="I9" t="str">
        <v/>
      </c>
      <c r="J9" t="str">
        <v>01/10/2026</v>
      </c>
      <c r="K9" t="str">
        <v>16:41:56</v>
      </c>
      <c r="L9">
        <v>-11.98492</v>
      </c>
      <c r="M9">
        <v>-77.08957</v>
      </c>
      <c r="N9">
        <f>HYPERLINK("https://www.google.com/maps/search/?api=1&amp;query=-11.98492,-77.08957","Avenida B, San Martín de Porres, Lima")</f>
      </c>
      <c r="O9" t="str">
        <v>Vehículo apagado</v>
      </c>
      <c r="P9" t="str">
        <v>Vehículo Apagado</v>
      </c>
      <c r="Q9">
        <v>359991.2</v>
      </c>
      <c r="R9" t="str">
        <v/>
      </c>
      <c r="S9">
        <v>0</v>
      </c>
      <c r="T9">
        <v>32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79</v>
      </c>
      <c r="AC9" t="str">
        <v>01/10/2026</v>
      </c>
      <c r="AD9" t="str">
        <v>16:41:54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16:42:13</v>
      </c>
      <c r="AL9" t="str">
        <v>16:42:13</v>
      </c>
      <c r="AM9" t="str">
        <v/>
      </c>
    </row>
    <row r="10">
      <c r="A10">
        <v>9</v>
      </c>
      <c r="B10" t="str">
        <v>MASS BSF</v>
      </c>
      <c r="C10" t="str">
        <v>AJQ-739</v>
      </c>
      <c r="D10" t="str">
        <v>AJQ-739</v>
      </c>
      <c r="E10" t="str">
        <v/>
      </c>
      <c r="F10" t="str">
        <v>867806075788192</v>
      </c>
      <c r="G10" t="str">
        <v>TBD</v>
      </c>
      <c r="H10" t="str">
        <v/>
      </c>
      <c r="I10" t="str">
        <v/>
      </c>
      <c r="J10" t="str">
        <v>01/10/2026</v>
      </c>
      <c r="K10" t="str">
        <v>16:41:58</v>
      </c>
      <c r="L10">
        <v>-11.98492</v>
      </c>
      <c r="M10">
        <v>-77.08957</v>
      </c>
      <c r="N10">
        <f>HYPERLINK("https://www.google.com/maps/search/?api=1&amp;query=-11.98492,-77.08957","Avenida B, San Martín de Porres, Lima")</f>
      </c>
      <c r="O10" t="str">
        <v>Vehículo encendido</v>
      </c>
      <c r="P10" t="str">
        <v/>
      </c>
      <c r="Q10">
        <v>359991.2</v>
      </c>
      <c r="R10" t="str">
        <v/>
      </c>
      <c r="S10">
        <v>0</v>
      </c>
      <c r="T10">
        <v>32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79</v>
      </c>
      <c r="AC10" t="str">
        <v>01/10/2026</v>
      </c>
      <c r="AD10" t="str">
        <v>16:41:56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16:42:23</v>
      </c>
      <c r="AL10" t="str">
        <v>16:42:23</v>
      </c>
      <c r="AM10" t="str">
        <v/>
      </c>
    </row>
    <row r="11">
      <c r="A11">
        <v>10</v>
      </c>
      <c r="B11" t="str">
        <v>MASS BSF</v>
      </c>
      <c r="C11" t="str">
        <v>AJQ-739</v>
      </c>
      <c r="D11" t="str">
        <v>AJQ-739</v>
      </c>
      <c r="E11" t="str">
        <v/>
      </c>
      <c r="F11" t="str">
        <v>867806075788192</v>
      </c>
      <c r="G11" t="str">
        <v>TBD</v>
      </c>
      <c r="H11" t="str">
        <v/>
      </c>
      <c r="I11" t="str">
        <v/>
      </c>
      <c r="J11" t="str">
        <v>01/10/2026</v>
      </c>
      <c r="K11" t="str">
        <v>16:43:01</v>
      </c>
      <c r="L11">
        <v>-11.982825</v>
      </c>
      <c r="M11">
        <v>-77.088905</v>
      </c>
      <c r="N11">
        <f>HYPERLINK("https://www.google.com/maps/search/?api=1&amp;query=-11.982825,-77.088905","Avenida B, San Martín de Porres, Lima")</f>
      </c>
      <c r="O11" t="str">
        <v>Bache</v>
      </c>
      <c r="P11" t="str">
        <v/>
      </c>
      <c r="Q11">
        <v>359991.4</v>
      </c>
      <c r="R11" t="str">
        <v/>
      </c>
      <c r="S11">
        <v>31.6</v>
      </c>
      <c r="T11">
        <v>32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79</v>
      </c>
      <c r="AC11" t="str">
        <v>01/10/2026</v>
      </c>
      <c r="AD11" t="str">
        <v>16:42:59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16:43:13</v>
      </c>
      <c r="AL11" t="str">
        <v>16:43:13</v>
      </c>
      <c r="AM11" t="str">
        <v/>
      </c>
    </row>
    <row r="12">
      <c r="A12">
        <v>11</v>
      </c>
      <c r="B12" t="str">
        <v>MASS BSF</v>
      </c>
      <c r="C12" t="str">
        <v>AJQ-739</v>
      </c>
      <c r="D12" t="str">
        <v>AJQ-739</v>
      </c>
      <c r="E12" t="str">
        <v/>
      </c>
      <c r="F12" t="str">
        <v>867806075788192</v>
      </c>
      <c r="G12" t="str">
        <v>TBD</v>
      </c>
      <c r="H12" t="str">
        <v/>
      </c>
      <c r="I12" t="str">
        <v/>
      </c>
      <c r="J12" t="str">
        <v>01/10/2026</v>
      </c>
      <c r="K12" t="str">
        <v>16:43:53</v>
      </c>
      <c r="L12">
        <v>-11.982063</v>
      </c>
      <c r="M12">
        <v>-77.09108</v>
      </c>
      <c r="N12">
        <f>HYPERLINK("https://www.google.com/maps/search/?api=1&amp;query=-11.982063,-77.09108","Avenida Los Alisos, San Martín de Porres, Lima")</f>
      </c>
      <c r="O12" t="str">
        <v>Bache</v>
      </c>
      <c r="P12" t="str">
        <v/>
      </c>
      <c r="Q12">
        <v>359991.8</v>
      </c>
      <c r="R12" t="str">
        <v/>
      </c>
      <c r="S12">
        <v>5.7</v>
      </c>
      <c r="T12">
        <v>32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79</v>
      </c>
      <c r="AC12" t="str">
        <v>01/10/2026</v>
      </c>
      <c r="AD12" t="str">
        <v>16:43:51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16:44:10</v>
      </c>
      <c r="AL12" t="str">
        <v>16:44:10</v>
      </c>
      <c r="AM12" t="str">
        <v/>
      </c>
    </row>
    <row r="13">
      <c r="A13">
        <v>12</v>
      </c>
      <c r="B13" t="str">
        <v>MASS BSF</v>
      </c>
      <c r="C13" t="str">
        <v>AJQ-739</v>
      </c>
      <c r="D13" t="str">
        <v>AJQ-739</v>
      </c>
      <c r="E13" t="str">
        <v/>
      </c>
      <c r="F13" t="str">
        <v>867806075788192</v>
      </c>
      <c r="G13" t="str">
        <v>TBD</v>
      </c>
      <c r="H13" t="str">
        <v/>
      </c>
      <c r="I13" t="str">
        <v/>
      </c>
      <c r="J13" t="str">
        <v>01/10/2026</v>
      </c>
      <c r="K13" t="str">
        <v>16:44:48</v>
      </c>
      <c r="L13">
        <v>-11.981628</v>
      </c>
      <c r="M13">
        <v>-77.095436</v>
      </c>
      <c r="N13">
        <f>HYPERLINK("https://www.google.com/maps/search/?api=1&amp;query=-11.981628,-77.095436","Avenida Los Alisos, San Martín de Porres, Lima")</f>
      </c>
      <c r="O13" t="str">
        <v>Bache</v>
      </c>
      <c r="P13" t="str">
        <v/>
      </c>
      <c r="Q13">
        <v>359992.2</v>
      </c>
      <c r="R13" t="str">
        <v/>
      </c>
      <c r="S13">
        <v>7.2</v>
      </c>
      <c r="T13">
        <v>32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79</v>
      </c>
      <c r="AC13" t="str">
        <v>01/10/2026</v>
      </c>
      <c r="AD13" t="str">
        <v>16:44:46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16:44:55</v>
      </c>
      <c r="AL13" t="str">
        <v>16:44:55</v>
      </c>
      <c r="AM13" t="str">
        <v/>
      </c>
    </row>
    <row r="14">
      <c r="A14">
        <v>13</v>
      </c>
      <c r="B14" t="str">
        <v>MASS BSF</v>
      </c>
      <c r="C14" t="str">
        <v>AJQ-739</v>
      </c>
      <c r="D14" t="str">
        <v>AJQ-739</v>
      </c>
      <c r="E14" t="str">
        <v/>
      </c>
      <c r="F14" t="str">
        <v>867806075788192</v>
      </c>
      <c r="G14" t="str">
        <v>TBD</v>
      </c>
      <c r="H14" t="str">
        <v/>
      </c>
      <c r="I14" t="str">
        <v/>
      </c>
      <c r="J14" t="str">
        <v>01/10/2026</v>
      </c>
      <c r="K14" t="str">
        <v>16:52:11</v>
      </c>
      <c r="L14">
        <v>-11.974182</v>
      </c>
      <c r="M14">
        <v>-77.08894</v>
      </c>
      <c r="N14">
        <f>HYPERLINK("https://www.google.com/maps/search/?api=1&amp;query=-11.974182,-77.08894","Avenida Canta Callao, San Martín de Porres, Lima")</f>
      </c>
      <c r="O14" t="str">
        <v>Vehículo apagado</v>
      </c>
      <c r="P14" t="str">
        <v>Vehículo Apagado</v>
      </c>
      <c r="Q14">
        <v>359993.8</v>
      </c>
      <c r="R14" t="str">
        <v/>
      </c>
      <c r="S14">
        <v>0</v>
      </c>
      <c r="T14">
        <v>32.17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89</v>
      </c>
      <c r="AC14" t="str">
        <v>01/10/2026</v>
      </c>
      <c r="AD14" t="str">
        <v>16:52:09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16:52:34</v>
      </c>
      <c r="AL14" t="str">
        <v>16:52:34</v>
      </c>
      <c r="AM14" t="str">
        <v/>
      </c>
    </row>
    <row r="15">
      <c r="A15">
        <v>14</v>
      </c>
      <c r="B15" t="str">
        <v>MASS BSF</v>
      </c>
      <c r="C15" t="str">
        <v>AJQ-739</v>
      </c>
      <c r="D15" t="str">
        <v>AJQ-739</v>
      </c>
      <c r="E15" t="str">
        <v/>
      </c>
      <c r="F15" t="str">
        <v>867806075788192</v>
      </c>
      <c r="G15" t="str">
        <v>TBD</v>
      </c>
      <c r="H15" t="str">
        <v/>
      </c>
      <c r="I15" t="str">
        <v/>
      </c>
      <c r="J15" t="str">
        <v>01/10/2026</v>
      </c>
      <c r="K15" t="str">
        <v>16:59:27</v>
      </c>
      <c r="L15">
        <v>-11.974182</v>
      </c>
      <c r="M15">
        <v>-77.08894</v>
      </c>
      <c r="N15">
        <f>HYPERLINK("https://www.google.com/maps/search/?api=1&amp;query=-11.974182,-77.08894","Avenida Canta Callao, San Martín de Porres, Lima")</f>
      </c>
      <c r="O15" t="str">
        <v>Se detuvo</v>
      </c>
      <c r="P15" t="str">
        <v>Unidad se detuvo</v>
      </c>
      <c r="Q15">
        <v>359993.8</v>
      </c>
      <c r="R15" t="str">
        <v/>
      </c>
      <c r="S15">
        <v>0</v>
      </c>
      <c r="T15">
        <v>32.17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89</v>
      </c>
      <c r="AC15" t="str">
        <v>01/10/2026</v>
      </c>
      <c r="AD15" t="str">
        <v>16:59:24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16:59:40</v>
      </c>
      <c r="AL15" t="str">
        <v>16:59:40</v>
      </c>
      <c r="AM15" t="str">
        <v/>
      </c>
    </row>
    <row r="16">
      <c r="A16">
        <v>15</v>
      </c>
      <c r="B16" t="str">
        <v>MASS BSF</v>
      </c>
      <c r="C16" t="str">
        <v>AJQ-739</v>
      </c>
      <c r="D16" t="str">
        <v>AJQ-739</v>
      </c>
      <c r="E16" t="str">
        <v/>
      </c>
      <c r="F16" t="str">
        <v>867806075788192</v>
      </c>
      <c r="G16" t="str">
        <v>TBD</v>
      </c>
      <c r="H16" t="str">
        <v/>
      </c>
      <c r="I16" t="str">
        <v/>
      </c>
      <c r="J16" t="str">
        <v>01/10/2026</v>
      </c>
      <c r="K16" t="str">
        <v>17:40:17</v>
      </c>
      <c r="L16">
        <v>-11.974182</v>
      </c>
      <c r="M16">
        <v>-77.08894</v>
      </c>
      <c r="N16">
        <f>HYPERLINK("https://www.google.com/maps/search/?api=1&amp;query=-11.974182,-77.08894","Avenida Canta Callao, San Martín de Porres, Lima")</f>
      </c>
      <c r="O16" t="str">
        <v>Vehículo encendido</v>
      </c>
      <c r="P16" t="str">
        <v/>
      </c>
      <c r="Q16">
        <v>359993.8</v>
      </c>
      <c r="R16" t="str">
        <v/>
      </c>
      <c r="S16">
        <v>0</v>
      </c>
      <c r="T16">
        <v>32.17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79</v>
      </c>
      <c r="AC16" t="str">
        <v>01/10/2026</v>
      </c>
      <c r="AD16" t="str">
        <v>17:40:15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17:40:29</v>
      </c>
      <c r="AL16" t="str">
        <v>17:40:29</v>
      </c>
      <c r="AM16" t="str">
        <v/>
      </c>
    </row>
    <row r="17">
      <c r="A17">
        <v>16</v>
      </c>
      <c r="B17" t="str">
        <v>MASS BSF</v>
      </c>
      <c r="C17" t="str">
        <v>AJQ-739</v>
      </c>
      <c r="D17" t="str">
        <v>AJQ-739</v>
      </c>
      <c r="E17" t="str">
        <v/>
      </c>
      <c r="F17" t="str">
        <v>867806075788192</v>
      </c>
      <c r="G17" t="str">
        <v>TBD</v>
      </c>
      <c r="H17" t="str">
        <v/>
      </c>
      <c r="I17" t="str">
        <v/>
      </c>
      <c r="J17" t="str">
        <v>01/10/2026</v>
      </c>
      <c r="K17" t="str">
        <v>17:41:47</v>
      </c>
      <c r="L17">
        <v>-11.977702</v>
      </c>
      <c r="M17">
        <v>-77.09261</v>
      </c>
      <c r="N17">
        <f>HYPERLINK("https://www.google.com/maps/search/?api=1&amp;query=-11.977702,-77.09261","Avenida Canta Callao, San Martín de Porres, Lima")</f>
      </c>
      <c r="O17" t="str">
        <v>Acelerado y giro brusco</v>
      </c>
      <c r="P17" t="str">
        <v/>
      </c>
      <c r="Q17">
        <v>359994.4</v>
      </c>
      <c r="R17" t="str">
        <v/>
      </c>
      <c r="S17">
        <v>28.5</v>
      </c>
      <c r="T17">
        <v>32.17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83</v>
      </c>
      <c r="AC17" t="str">
        <v>01/10/2026</v>
      </c>
      <c r="AD17" t="str">
        <v>17:41:45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17:42:03</v>
      </c>
      <c r="AL17" t="str">
        <v>17:42:03</v>
      </c>
      <c r="AM17" t="str">
        <v/>
      </c>
    </row>
    <row r="18">
      <c r="A18">
        <v>17</v>
      </c>
      <c r="B18" t="str">
        <v>MASS BSF</v>
      </c>
      <c r="C18" t="str">
        <v>AJQ-739</v>
      </c>
      <c r="D18" t="str">
        <v>AJQ-739</v>
      </c>
      <c r="E18" t="str">
        <v/>
      </c>
      <c r="F18" t="str">
        <v>867806075788192</v>
      </c>
      <c r="G18" t="str">
        <v>TBD</v>
      </c>
      <c r="H18" t="str">
        <v/>
      </c>
      <c r="I18" t="str">
        <v/>
      </c>
      <c r="J18" t="str">
        <v>01/10/2026</v>
      </c>
      <c r="K18" t="str">
        <v>17:41:58</v>
      </c>
      <c r="L18">
        <v>-11.977926</v>
      </c>
      <c r="M18">
        <v>-77.09271</v>
      </c>
      <c r="N18">
        <f>HYPERLINK("https://www.google.com/maps/search/?api=1&amp;query=-11.977926,-77.09271","Avenida Los Olivos, San Martín de Porres, Lima")</f>
      </c>
      <c r="O18" t="str">
        <v>Bache</v>
      </c>
      <c r="P18" t="str">
        <v/>
      </c>
      <c r="Q18">
        <v>359994.4</v>
      </c>
      <c r="R18" t="str">
        <v/>
      </c>
      <c r="S18">
        <v>17.7</v>
      </c>
      <c r="T18">
        <v>32.17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83</v>
      </c>
      <c r="AC18" t="str">
        <v>01/10/2026</v>
      </c>
      <c r="AD18" t="str">
        <v>17:41:55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17:42:04</v>
      </c>
      <c r="AL18" t="str">
        <v>17:42:04</v>
      </c>
      <c r="AM18" t="str">
        <v/>
      </c>
    </row>
    <row r="19">
      <c r="A19">
        <v>18</v>
      </c>
      <c r="B19" t="str">
        <v>MASS BSF</v>
      </c>
      <c r="C19" t="str">
        <v>AJQ-739</v>
      </c>
      <c r="D19" t="str">
        <v>AJQ-739</v>
      </c>
      <c r="E19" t="str">
        <v/>
      </c>
      <c r="F19" t="str">
        <v>867806075788192</v>
      </c>
      <c r="G19" t="str">
        <v>TBD</v>
      </c>
      <c r="H19" t="str">
        <v/>
      </c>
      <c r="I19" t="str">
        <v/>
      </c>
      <c r="J19" t="str">
        <v>01/10/2026</v>
      </c>
      <c r="K19" t="str">
        <v>17:42:56</v>
      </c>
      <c r="L19">
        <v>-11.979319</v>
      </c>
      <c r="M19">
        <v>-77.0879</v>
      </c>
      <c r="N19">
        <f>HYPERLINK("https://www.google.com/maps/search/?api=1&amp;query=-11.979319,-77.0879","Avenida Los Olivos, San Martín de Porres, Lima")</f>
      </c>
      <c r="O19" t="str">
        <v>Acelerado y giro brusco</v>
      </c>
      <c r="P19" t="str">
        <v/>
      </c>
      <c r="Q19">
        <v>359995</v>
      </c>
      <c r="R19" t="str">
        <v/>
      </c>
      <c r="S19">
        <v>21.4</v>
      </c>
      <c r="T19">
        <v>32.17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83</v>
      </c>
      <c r="AC19" t="str">
        <v>01/10/2026</v>
      </c>
      <c r="AD19" t="str">
        <v>17:42:54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17:43:17</v>
      </c>
      <c r="AL19" t="str">
        <v>17:43:17</v>
      </c>
      <c r="AM19" t="str">
        <v/>
      </c>
    </row>
    <row r="20">
      <c r="A20">
        <v>19</v>
      </c>
      <c r="B20" t="str">
        <v>MASS BSF</v>
      </c>
      <c r="C20" t="str">
        <v>AJQ-739</v>
      </c>
      <c r="D20" t="str">
        <v>AJQ-739</v>
      </c>
      <c r="E20" t="str">
        <v/>
      </c>
      <c r="F20" t="str">
        <v>867806075788192</v>
      </c>
      <c r="G20" t="str">
        <v>TBD</v>
      </c>
      <c r="H20" t="str">
        <v/>
      </c>
      <c r="I20" t="str">
        <v/>
      </c>
      <c r="J20" t="str">
        <v>01/10/2026</v>
      </c>
      <c r="K20" t="str">
        <v>17:43:27</v>
      </c>
      <c r="L20">
        <v>-11.981127</v>
      </c>
      <c r="M20">
        <v>-77.089615</v>
      </c>
      <c r="N20">
        <f>HYPERLINK("https://www.google.com/maps/search/?api=1&amp;query=-11.981127,-77.089615","Avenida Las Malvas, San Martín de Porres, Lima")</f>
      </c>
      <c r="O20" t="str">
        <v>Acelerado y giro brusco</v>
      </c>
      <c r="P20" t="str">
        <v/>
      </c>
      <c r="Q20">
        <v>359995.3</v>
      </c>
      <c r="R20" t="str">
        <v/>
      </c>
      <c r="S20">
        <v>13.1</v>
      </c>
      <c r="T20">
        <v>32.17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87</v>
      </c>
      <c r="AC20" t="str">
        <v>01/10/2026</v>
      </c>
      <c r="AD20" t="str">
        <v>17:43:25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17:44:08</v>
      </c>
      <c r="AL20" t="str">
        <v>17:44:08</v>
      </c>
      <c r="AM20" t="str">
        <v/>
      </c>
    </row>
    <row r="21">
      <c r="A21">
        <v>20</v>
      </c>
      <c r="B21" t="str">
        <v>MASS BSF</v>
      </c>
      <c r="C21" t="str">
        <v>AJQ-739</v>
      </c>
      <c r="D21" t="str">
        <v>AJQ-739</v>
      </c>
      <c r="E21" t="str">
        <v/>
      </c>
      <c r="F21" t="str">
        <v>867806075788192</v>
      </c>
      <c r="G21" t="str">
        <v>TBD</v>
      </c>
      <c r="H21" t="str">
        <v/>
      </c>
      <c r="I21" t="str">
        <v/>
      </c>
      <c r="J21" t="str">
        <v>01/10/2026</v>
      </c>
      <c r="K21" t="str">
        <v>17:43:27</v>
      </c>
      <c r="L21">
        <v>-11.981127</v>
      </c>
      <c r="M21">
        <v>-77.089615</v>
      </c>
      <c r="N21">
        <f>HYPERLINK("https://www.google.com/maps/search/?api=1&amp;query=-11.981127,-77.089615","Avenida Las Malvas, San Martín de Porres, Lima")</f>
      </c>
      <c r="O21" t="str">
        <v>Acelerado y giro brusco</v>
      </c>
      <c r="P21" t="str">
        <v/>
      </c>
      <c r="Q21">
        <v>359995.3</v>
      </c>
      <c r="R21" t="str">
        <v/>
      </c>
      <c r="S21">
        <v>13.1</v>
      </c>
      <c r="T21">
        <v>32.17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87</v>
      </c>
      <c r="AC21" t="str">
        <v>01/10/2026</v>
      </c>
      <c r="AD21" t="str">
        <v>17:43:25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17:44:05</v>
      </c>
      <c r="AL21" t="str">
        <v>17:44:05</v>
      </c>
      <c r="AM21" t="str">
        <v/>
      </c>
    </row>
    <row r="22">
      <c r="A22">
        <v>21</v>
      </c>
      <c r="B22" t="str">
        <v>MASS BSF</v>
      </c>
      <c r="C22" t="str">
        <v>AJQ-739</v>
      </c>
      <c r="D22" t="str">
        <v>AJQ-739</v>
      </c>
      <c r="E22" t="str">
        <v/>
      </c>
      <c r="F22" t="str">
        <v>867806075788192</v>
      </c>
      <c r="G22" t="str">
        <v>TBD</v>
      </c>
      <c r="H22" t="str">
        <v/>
      </c>
      <c r="I22" t="str">
        <v/>
      </c>
      <c r="J22" t="str">
        <v>01/10/2026</v>
      </c>
      <c r="K22" t="str">
        <v>17:43:29</v>
      </c>
      <c r="L22">
        <v>-11.981153</v>
      </c>
      <c r="M22">
        <v>-77.08964</v>
      </c>
      <c r="N22">
        <f>HYPERLINK("https://www.google.com/maps/search/?api=1&amp;query=-11.981153,-77.08964","Avenida Las Malvas, San Martín de Porres, Lima")</f>
      </c>
      <c r="O22" t="str">
        <v>Bache</v>
      </c>
      <c r="P22" t="str">
        <v/>
      </c>
      <c r="Q22">
        <v>359995.3</v>
      </c>
      <c r="R22" t="str">
        <v/>
      </c>
      <c r="S22">
        <v>5.7</v>
      </c>
      <c r="T22">
        <v>32.17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87</v>
      </c>
      <c r="AC22" t="str">
        <v>01/10/2026</v>
      </c>
      <c r="AD22" t="str">
        <v>17:43:27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17:44:05</v>
      </c>
      <c r="AL22" t="str">
        <v>17:44:05</v>
      </c>
      <c r="AM22" t="str">
        <v/>
      </c>
    </row>
    <row r="23">
      <c r="A23">
        <v>22</v>
      </c>
      <c r="B23" t="str">
        <v>MASS BSF</v>
      </c>
      <c r="C23" t="str">
        <v>AJQ-739</v>
      </c>
      <c r="D23" t="str">
        <v>AJQ-739</v>
      </c>
      <c r="E23" t="str">
        <v/>
      </c>
      <c r="F23" t="str">
        <v>867806075788192</v>
      </c>
      <c r="G23" t="str">
        <v>TBD</v>
      </c>
      <c r="H23" t="str">
        <v/>
      </c>
      <c r="I23" t="str">
        <v/>
      </c>
      <c r="J23" t="str">
        <v>01/10/2026</v>
      </c>
      <c r="K23" t="str">
        <v>17:44:04</v>
      </c>
      <c r="L23">
        <v>-11.982054</v>
      </c>
      <c r="M23">
        <v>-77.090195</v>
      </c>
      <c r="N23">
        <f>HYPERLINK("https://www.google.com/maps/search/?api=1&amp;query=-11.982054,-77.090195","Avenida Los Alisos, San Martín de Porres, Lima")</f>
      </c>
      <c r="O23" t="str">
        <v>Bache</v>
      </c>
      <c r="P23" t="str">
        <v/>
      </c>
      <c r="Q23">
        <v>359995.4</v>
      </c>
      <c r="R23" t="str">
        <v/>
      </c>
      <c r="S23">
        <v>9.4</v>
      </c>
      <c r="T23">
        <v>32.17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89</v>
      </c>
      <c r="AC23" t="str">
        <v>01/10/2026</v>
      </c>
      <c r="AD23" t="str">
        <v>17:44:01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17:44:22</v>
      </c>
      <c r="AL23" t="str">
        <v>17:44:22</v>
      </c>
      <c r="AM23" t="str">
        <v/>
      </c>
    </row>
    <row r="24">
      <c r="A24">
        <v>23</v>
      </c>
      <c r="B24" t="str">
        <v>MASS BSF</v>
      </c>
      <c r="C24" t="str">
        <v>AJQ-739</v>
      </c>
      <c r="D24" t="str">
        <v>AJQ-739</v>
      </c>
      <c r="E24" t="str">
        <v/>
      </c>
      <c r="F24" t="str">
        <v>867806075788192</v>
      </c>
      <c r="G24" t="str">
        <v>TBD</v>
      </c>
      <c r="H24" t="str">
        <v/>
      </c>
      <c r="I24" t="str">
        <v/>
      </c>
      <c r="J24" t="str">
        <v>01/10/2026</v>
      </c>
      <c r="K24" t="str">
        <v>17:44:32</v>
      </c>
      <c r="L24">
        <v>-11.982159</v>
      </c>
      <c r="M24">
        <v>-77.08903</v>
      </c>
      <c r="N24">
        <f>HYPERLINK("https://www.google.com/maps/search/?api=1&amp;query=-11.982159,-77.08903","Avenida Los Alisos, San Martín de Porres, Lima")</f>
      </c>
      <c r="O24" t="str">
        <v>Bache</v>
      </c>
      <c r="P24" t="str">
        <v/>
      </c>
      <c r="Q24">
        <v>359995.5</v>
      </c>
      <c r="R24" t="str">
        <v/>
      </c>
      <c r="S24">
        <v>17.2</v>
      </c>
      <c r="T24">
        <v>32.17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89</v>
      </c>
      <c r="AC24" t="str">
        <v>01/10/2026</v>
      </c>
      <c r="AD24" t="str">
        <v>17:44:30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17:44:38</v>
      </c>
      <c r="AL24" t="str">
        <v>17:44:38</v>
      </c>
      <c r="AM24" t="str">
        <v/>
      </c>
    </row>
    <row r="25">
      <c r="A25">
        <v>24</v>
      </c>
      <c r="B25" t="str">
        <v>MASS BSF</v>
      </c>
      <c r="C25" t="str">
        <v>AJQ-739</v>
      </c>
      <c r="D25" t="str">
        <v>AJQ-739</v>
      </c>
      <c r="E25" t="str">
        <v/>
      </c>
      <c r="F25" t="str">
        <v>867806075788192</v>
      </c>
      <c r="G25" t="str">
        <v>TBD</v>
      </c>
      <c r="H25" t="str">
        <v/>
      </c>
      <c r="I25" t="str">
        <v/>
      </c>
      <c r="J25" t="str">
        <v>01/10/2026</v>
      </c>
      <c r="K25" t="str">
        <v>17:44:37</v>
      </c>
      <c r="L25">
        <v>-11.982153</v>
      </c>
      <c r="M25">
        <v>-77.08887</v>
      </c>
      <c r="N25">
        <f>HYPERLINK("https://www.google.com/maps/search/?api=1&amp;query=-11.982153,-77.08887","Las Gardenias, San Martín de Porres, Lima")</f>
      </c>
      <c r="O25" t="str">
        <v>Acelerado y giro brusco</v>
      </c>
      <c r="P25" t="str">
        <v/>
      </c>
      <c r="Q25">
        <v>359995.6</v>
      </c>
      <c r="R25" t="str">
        <v/>
      </c>
      <c r="S25">
        <v>15</v>
      </c>
      <c r="T25">
        <v>32.17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89</v>
      </c>
      <c r="AC25" t="str">
        <v>01/10/2026</v>
      </c>
      <c r="AD25" t="str">
        <v>17:44:34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17:44:48</v>
      </c>
      <c r="AL25" t="str">
        <v>17:44:48</v>
      </c>
      <c r="AM25" t="str">
        <v/>
      </c>
    </row>
    <row r="26">
      <c r="A26">
        <v>25</v>
      </c>
      <c r="B26" t="str">
        <v>MASS BSF</v>
      </c>
      <c r="C26" t="str">
        <v>AJQ-739</v>
      </c>
      <c r="D26" t="str">
        <v>AJQ-739</v>
      </c>
      <c r="E26" t="str">
        <v/>
      </c>
      <c r="F26" t="str">
        <v>867806075788192</v>
      </c>
      <c r="G26" t="str">
        <v>TBD</v>
      </c>
      <c r="H26" t="str">
        <v/>
      </c>
      <c r="I26" t="str">
        <v/>
      </c>
      <c r="J26" t="str">
        <v>01/10/2026</v>
      </c>
      <c r="K26" t="str">
        <v>17:45:46</v>
      </c>
      <c r="L26">
        <v>-11.983757</v>
      </c>
      <c r="M26">
        <v>-77.089325</v>
      </c>
      <c r="N26">
        <f>HYPERLINK("https://www.google.com/maps/search/?api=1&amp;query=-11.983757,-77.089325","Avenida B, San Martín de Porres, Lima")</f>
      </c>
      <c r="O26" t="str">
        <v>Acelerado y giro brusco</v>
      </c>
      <c r="P26" t="str">
        <v/>
      </c>
      <c r="Q26">
        <v>359995.8</v>
      </c>
      <c r="R26" t="str">
        <v/>
      </c>
      <c r="S26">
        <v>22.4</v>
      </c>
      <c r="T26">
        <v>32.17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83</v>
      </c>
      <c r="AC26" t="str">
        <v>01/10/2026</v>
      </c>
      <c r="AD26" t="str">
        <v>17:45:44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17:45:59</v>
      </c>
      <c r="AL26" t="str">
        <v>17:45:59</v>
      </c>
      <c r="AM26" t="str">
        <v/>
      </c>
    </row>
    <row r="27">
      <c r="A27">
        <v>26</v>
      </c>
      <c r="B27" t="str">
        <v>MASS BSF</v>
      </c>
      <c r="C27" t="str">
        <v>AJQ-739</v>
      </c>
      <c r="D27" t="str">
        <v>AJQ-739</v>
      </c>
      <c r="E27" t="str">
        <v/>
      </c>
      <c r="F27" t="str">
        <v>867806075788192</v>
      </c>
      <c r="G27" t="str">
        <v>TBD</v>
      </c>
      <c r="H27" t="str">
        <v/>
      </c>
      <c r="I27" t="str">
        <v/>
      </c>
      <c r="J27" t="str">
        <v>01/10/2026</v>
      </c>
      <c r="K27" t="str">
        <v>17:45:56</v>
      </c>
      <c r="L27">
        <v>-11.984221</v>
      </c>
      <c r="M27">
        <v>-77.089325</v>
      </c>
      <c r="N27">
        <f>HYPERLINK("https://www.google.com/maps/search/?api=1&amp;query=-11.984221,-77.089325","Avenida B, San Martín de Porres, Lima")</f>
      </c>
      <c r="O27" t="str">
        <v>Aceleración brusca</v>
      </c>
      <c r="P27" t="str">
        <v>CMT-910</v>
      </c>
      <c r="Q27">
        <v>359995.8</v>
      </c>
      <c r="R27" t="str">
        <v/>
      </c>
      <c r="S27">
        <v>25.1</v>
      </c>
      <c r="T27">
        <v>32.17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83</v>
      </c>
      <c r="AC27" t="str">
        <v>01/10/2026</v>
      </c>
      <c r="AD27" t="str">
        <v>17:45:54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17:46:06</v>
      </c>
      <c r="AL27" t="str">
        <v>17:46:06</v>
      </c>
      <c r="AM27" t="str">
        <v/>
      </c>
    </row>
    <row r="28">
      <c r="A28">
        <v>27</v>
      </c>
      <c r="B28" t="str">
        <v>MASS BSF</v>
      </c>
      <c r="C28" t="str">
        <v>AJQ-739</v>
      </c>
      <c r="D28" t="str">
        <v>AJQ-739</v>
      </c>
      <c r="E28" t="str">
        <v/>
      </c>
      <c r="F28" t="str">
        <v>867806075788192</v>
      </c>
      <c r="G28" t="str">
        <v>TBD</v>
      </c>
      <c r="H28" t="str">
        <v/>
      </c>
      <c r="I28" t="str">
        <v/>
      </c>
      <c r="J28" t="str">
        <v>01/10/2026</v>
      </c>
      <c r="K28" t="str">
        <v>17:48:34</v>
      </c>
      <c r="L28">
        <v>-11.985153</v>
      </c>
      <c r="M28">
        <v>-77.089424</v>
      </c>
      <c r="N28">
        <f>HYPERLINK("https://www.google.com/maps/search/?api=1&amp;query=-11.985153,-77.089424","Avenida B, San Martín de Porres, Lima")</f>
      </c>
      <c r="O28" t="str">
        <v>Acelerado y giro brusco</v>
      </c>
      <c r="P28" t="str">
        <v/>
      </c>
      <c r="Q28">
        <v>359995.9</v>
      </c>
      <c r="R28" t="str">
        <v/>
      </c>
      <c r="S28">
        <v>2</v>
      </c>
      <c r="T28">
        <v>32.17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83</v>
      </c>
      <c r="AC28" t="str">
        <v>01/10/2026</v>
      </c>
      <c r="AD28" t="str">
        <v>17:48:31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17:48:46</v>
      </c>
      <c r="AL28" t="str">
        <v>17:48:46</v>
      </c>
      <c r="AM28" t="str">
        <v/>
      </c>
    </row>
    <row r="29">
      <c r="A29">
        <v>28</v>
      </c>
      <c r="B29" t="str">
        <v>MASS BSF</v>
      </c>
      <c r="C29" t="str">
        <v>AJQ-739</v>
      </c>
      <c r="D29" t="str">
        <v>AJQ-739</v>
      </c>
      <c r="E29" t="str">
        <v/>
      </c>
      <c r="F29" t="str">
        <v>867806075788192</v>
      </c>
      <c r="G29" t="str">
        <v>TBD</v>
      </c>
      <c r="H29" t="str">
        <v/>
      </c>
      <c r="I29" t="str">
        <v/>
      </c>
      <c r="J29" t="str">
        <v>01/10/2026</v>
      </c>
      <c r="K29" t="str">
        <v>17:48:39</v>
      </c>
      <c r="L29">
        <v>-11.985153</v>
      </c>
      <c r="M29">
        <v>-77.0894</v>
      </c>
      <c r="N29">
        <f>HYPERLINK("https://www.google.com/maps/search/?api=1&amp;query=-11.985153,-77.0894","Avenida B, San Martín de Porres, Lima")</f>
      </c>
      <c r="O29" t="str">
        <v>Vehículo apagado</v>
      </c>
      <c r="P29" t="str">
        <v>Vehículo Apagado</v>
      </c>
      <c r="Q29">
        <v>359995.9</v>
      </c>
      <c r="R29" t="str">
        <v/>
      </c>
      <c r="S29">
        <v>0</v>
      </c>
      <c r="T29">
        <v>32.3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83</v>
      </c>
      <c r="AC29" t="str">
        <v>01/10/2026</v>
      </c>
      <c r="AD29" t="str">
        <v>17:48:37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17:48:50</v>
      </c>
      <c r="AL29" t="str">
        <v>17:48:50</v>
      </c>
      <c r="AM29" t="str">
        <v/>
      </c>
    </row>
    <row r="30">
      <c r="A30">
        <v>29</v>
      </c>
      <c r="B30" t="str">
        <v>MASS BSF</v>
      </c>
      <c r="C30" t="str">
        <v>AJQ-739</v>
      </c>
      <c r="D30" t="str">
        <v>AJQ-739</v>
      </c>
      <c r="E30" t="str">
        <v/>
      </c>
      <c r="F30" t="str">
        <v>867806075788192</v>
      </c>
      <c r="G30" t="str">
        <v>TBD</v>
      </c>
      <c r="H30" t="str">
        <v/>
      </c>
      <c r="I30" t="str">
        <v/>
      </c>
      <c r="J30" t="str">
        <v>01/10/2026</v>
      </c>
      <c r="K30" t="str">
        <v>17:56:17</v>
      </c>
      <c r="L30">
        <v>-11.985117</v>
      </c>
      <c r="M30">
        <v>-77.08931</v>
      </c>
      <c r="N30">
        <f>HYPERLINK("https://www.google.com/maps/search/?api=1&amp;query=-11.985117,-77.08931","Avenida B, San Martín de Porres, Lima")</f>
      </c>
      <c r="O30" t="str">
        <v>Se detuvo</v>
      </c>
      <c r="P30" t="str">
        <v>Unidad se detuvo</v>
      </c>
      <c r="Q30">
        <v>359995.9</v>
      </c>
      <c r="R30" t="str">
        <v/>
      </c>
      <c r="S30">
        <v>0</v>
      </c>
      <c r="T30">
        <v>32.3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83</v>
      </c>
      <c r="AC30" t="str">
        <v>01/10/2026</v>
      </c>
      <c r="AD30" t="str">
        <v>17:56:14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17:56:23</v>
      </c>
      <c r="AL30" t="str">
        <v>17:56:23</v>
      </c>
      <c r="AM30" t="str">
        <v/>
      </c>
    </row>
  </sheetData>
  <ignoredErrors>
    <ignoredError numberStoredAsText="1" sqref="A1:A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