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5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CMV-853</v>
      </c>
      <c r="D2" t="str">
        <v>CMV-853</v>
      </c>
      <c r="E2" t="str">
        <v/>
      </c>
      <c r="F2" t="str">
        <v>867162029810454</v>
      </c>
      <c r="G2" t="str">
        <v>TBD</v>
      </c>
      <c r="H2" t="str">
        <v/>
      </c>
      <c r="I2" t="str">
        <v/>
      </c>
      <c r="J2" t="str">
        <v>01/10/2026</v>
      </c>
      <c r="K2" t="str">
        <v>05:56:40</v>
      </c>
      <c r="L2">
        <v>-12.21315</v>
      </c>
      <c r="M2">
        <v>-76.9591</v>
      </c>
      <c r="N2">
        <f>HYPERLINK("https://www.google.com/maps/search/?api=1&amp;query=-12.21315,-76.9591","Villa El Salvador, Lima")</f>
      </c>
      <c r="O2" t="str">
        <v>Vehículo encendido</v>
      </c>
      <c r="P2" t="str">
        <v/>
      </c>
      <c r="Q2">
        <v>12248.1</v>
      </c>
      <c r="R2" t="str">
        <v/>
      </c>
      <c r="S2">
        <v>0</v>
      </c>
      <c r="T2">
        <v>0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90</v>
      </c>
      <c r="AC2" t="str">
        <v>01/10/2026</v>
      </c>
      <c r="AD2" t="str">
        <v>05:29:39</v>
      </c>
      <c r="AE2">
        <f>IF("NOGPS"="NOGPS","GPS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01/10/2026 05:56:55</v>
      </c>
      <c r="AL2" t="str">
        <v>05:56:55</v>
      </c>
      <c r="AM2" t="str">
        <v/>
      </c>
    </row>
    <row r="3">
      <c r="A3">
        <v>2</v>
      </c>
      <c r="B3" t="str">
        <v>MASS BSF</v>
      </c>
      <c r="C3" t="str">
        <v>CMV-853</v>
      </c>
      <c r="D3" t="str">
        <v>CMV-853</v>
      </c>
      <c r="E3" t="str">
        <v/>
      </c>
      <c r="F3" t="str">
        <v>867162029810454</v>
      </c>
      <c r="G3" t="str">
        <v>TBD</v>
      </c>
      <c r="H3" t="str">
        <v/>
      </c>
      <c r="I3" t="str">
        <v/>
      </c>
      <c r="J3" t="str">
        <v>01/10/2026</v>
      </c>
      <c r="K3" t="str">
        <v>06:00:58</v>
      </c>
      <c r="L3">
        <v>-12.213157</v>
      </c>
      <c r="M3">
        <v>-76.95896</v>
      </c>
      <c r="N3">
        <f>HYPERLINK("https://www.google.com/maps/search/?api=1&amp;query=-12.213157,-76.95896","Villa El Salvador, Lima")</f>
      </c>
      <c r="O3" t="str">
        <v>Vehículo apagado</v>
      </c>
      <c r="P3" t="str">
        <v>Vehículo Apagado</v>
      </c>
      <c r="Q3">
        <v>12248.1</v>
      </c>
      <c r="R3" t="str">
        <v/>
      </c>
      <c r="S3">
        <v>0</v>
      </c>
      <c r="T3">
        <v>0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90</v>
      </c>
      <c r="AC3" t="str">
        <v>01/10/2026</v>
      </c>
      <c r="AD3" t="str">
        <v>06:00:40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01/10/2026 06:01:09</v>
      </c>
      <c r="AL3" t="str">
        <v>06:01:09</v>
      </c>
      <c r="AM3" t="str">
        <v/>
      </c>
    </row>
    <row r="4">
      <c r="A4">
        <v>3</v>
      </c>
      <c r="B4" t="str">
        <v>MASS BSF</v>
      </c>
      <c r="C4" t="str">
        <v>CMV-853</v>
      </c>
      <c r="D4" t="str">
        <v>CMV-853</v>
      </c>
      <c r="E4" t="str">
        <v/>
      </c>
      <c r="F4" t="str">
        <v>867162029810454</v>
      </c>
      <c r="G4" t="str">
        <v>TBD</v>
      </c>
      <c r="H4" t="str">
        <v/>
      </c>
      <c r="I4" t="str">
        <v/>
      </c>
      <c r="J4" t="str">
        <v>01/10/2026</v>
      </c>
      <c r="K4" t="str">
        <v>06:11:23</v>
      </c>
      <c r="L4">
        <v>-12.213157</v>
      </c>
      <c r="M4">
        <v>-76.95896</v>
      </c>
      <c r="N4">
        <f>HYPERLINK("https://www.google.com/maps/search/?api=1&amp;query=-12.213157,-76.95896","Villa El Salvador, Lima")</f>
      </c>
      <c r="O4" t="str">
        <v>Vehículo encendido</v>
      </c>
      <c r="P4" t="str">
        <v/>
      </c>
      <c r="Q4">
        <v>12248.1</v>
      </c>
      <c r="R4" t="str">
        <v/>
      </c>
      <c r="S4">
        <v>0</v>
      </c>
      <c r="T4">
        <v>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90</v>
      </c>
      <c r="AC4" t="str">
        <v>01/10/2026</v>
      </c>
      <c r="AD4" t="str">
        <v>06:01:00</v>
      </c>
      <c r="AE4">
        <f>IF("NOGPS"="NOGPS","GPS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01/10/2026 06:11:45</v>
      </c>
      <c r="AL4" t="str">
        <v>06:11:45</v>
      </c>
      <c r="AM4" t="str">
        <v/>
      </c>
    </row>
    <row r="5">
      <c r="A5">
        <v>4</v>
      </c>
      <c r="B5" t="str">
        <v>MASS BSF</v>
      </c>
      <c r="C5" t="str">
        <v>CMV-853</v>
      </c>
      <c r="D5" t="str">
        <v>CMV-853</v>
      </c>
      <c r="E5" t="str">
        <v/>
      </c>
      <c r="F5" t="str">
        <v>867162029810454</v>
      </c>
      <c r="G5" t="str">
        <v>TBD</v>
      </c>
      <c r="H5" t="str">
        <v/>
      </c>
      <c r="I5" t="str">
        <v xml:space="preserve"> </v>
      </c>
      <c r="J5" t="str">
        <v>01/10/2026</v>
      </c>
      <c r="K5" t="str">
        <v>06:17:14</v>
      </c>
      <c r="L5">
        <v>-12.213474</v>
      </c>
      <c r="M5">
        <v>-76.96057</v>
      </c>
      <c r="N5">
        <f>HYPERLINK("https://www.google.com/maps/search/?api=1&amp;query=-12.213474,-76.96057","Calle 1, Villa El Salvador, Lima")</f>
      </c>
      <c r="O5" t="str">
        <v>Salió de zona</v>
      </c>
      <c r="P5" t="str">
        <v/>
      </c>
      <c r="Q5">
        <v>12248.2</v>
      </c>
      <c r="R5" t="str">
        <v>BASE-OSLOGISTICS</v>
      </c>
      <c r="S5">
        <v>8.4</v>
      </c>
      <c r="T5">
        <v>0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90</v>
      </c>
      <c r="AC5" t="str">
        <v>01/10/2026</v>
      </c>
      <c r="AD5" t="str">
        <v>06:17:13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01/10/2026 06:17:26</v>
      </c>
      <c r="AL5" t="str">
        <v>06:17:26</v>
      </c>
      <c r="AM5" t="str">
        <v/>
      </c>
    </row>
    <row r="6">
      <c r="A6">
        <v>5</v>
      </c>
      <c r="B6" t="str">
        <v>MASS BSF</v>
      </c>
      <c r="C6" t="str">
        <v>CMV-853</v>
      </c>
      <c r="D6" t="str">
        <v>CMV-853</v>
      </c>
      <c r="E6" t="str">
        <v/>
      </c>
      <c r="F6" t="str">
        <v>867162029810454</v>
      </c>
      <c r="G6" t="str">
        <v>TBD</v>
      </c>
      <c r="H6" t="str">
        <v/>
      </c>
      <c r="I6" t="str">
        <v xml:space="preserve"> </v>
      </c>
      <c r="J6" t="str">
        <v>01/10/2026</v>
      </c>
      <c r="K6" t="str">
        <v>06:45:25</v>
      </c>
      <c r="L6">
        <v>-12.162455</v>
      </c>
      <c r="M6">
        <v>-76.95985</v>
      </c>
      <c r="N6">
        <f>HYPERLINK("https://www.google.com/maps/search/?api=1&amp;query=-12.162455,-76.95985","Avenida Miguel Iglesias, San Juan de Miraflores, Lima")</f>
      </c>
      <c r="O6" t="str">
        <v>Llegó a la zona</v>
      </c>
      <c r="P6" t="str">
        <v/>
      </c>
      <c r="Q6">
        <v>12255.6</v>
      </c>
      <c r="R6" t="str">
        <v>862-IGLESIA8 SJM MS</v>
      </c>
      <c r="S6">
        <v>28.3</v>
      </c>
      <c r="T6">
        <v>0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90</v>
      </c>
      <c r="AC6" t="str">
        <v>01/10/2026</v>
      </c>
      <c r="AD6" t="str">
        <v>06:45:22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01/10/2026 06:45:42</v>
      </c>
      <c r="AL6" t="str">
        <v>06:45:42</v>
      </c>
      <c r="AM6" t="str">
        <v/>
      </c>
    </row>
    <row r="7">
      <c r="A7">
        <v>6</v>
      </c>
      <c r="B7" t="str">
        <v>MASS BSF</v>
      </c>
      <c r="C7" t="str">
        <v>CMV-853</v>
      </c>
      <c r="D7" t="str">
        <v>CMV-853</v>
      </c>
      <c r="E7" t="str">
        <v/>
      </c>
      <c r="F7" t="str">
        <v>867162029810454</v>
      </c>
      <c r="G7" t="str">
        <v>TBD</v>
      </c>
      <c r="H7" t="str">
        <v/>
      </c>
      <c r="I7" t="str">
        <v xml:space="preserve"> </v>
      </c>
      <c r="J7" t="str">
        <v>01/10/2026</v>
      </c>
      <c r="K7" t="str">
        <v>06:46:25</v>
      </c>
      <c r="L7">
        <v>-12.160588</v>
      </c>
      <c r="M7">
        <v>-76.95911</v>
      </c>
      <c r="N7">
        <f>HYPERLINK("https://www.google.com/maps/search/?api=1&amp;query=-12.160588,-76.95911","Avenida Miguel Iglesias, San Juan de Miraflores, Lima")</f>
      </c>
      <c r="O7" t="str">
        <v>Salió de zona</v>
      </c>
      <c r="P7" t="str">
        <v/>
      </c>
      <c r="Q7">
        <v>12256</v>
      </c>
      <c r="R7" t="str">
        <v>862-IGLESIA8 SJM MS</v>
      </c>
      <c r="S7">
        <v>0</v>
      </c>
      <c r="T7">
        <v>0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90</v>
      </c>
      <c r="AC7" t="str">
        <v>01/10/2026</v>
      </c>
      <c r="AD7" t="str">
        <v>06:46:22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01/10/2026 06:46:44</v>
      </c>
      <c r="AL7" t="str">
        <v>06:46:44</v>
      </c>
      <c r="AM7" t="str">
        <v/>
      </c>
    </row>
    <row r="8">
      <c r="A8">
        <v>7</v>
      </c>
      <c r="B8" t="str">
        <v>MASS BSF</v>
      </c>
      <c r="C8" t="str">
        <v>CMV-853</v>
      </c>
      <c r="D8" t="str">
        <v>CMV-853</v>
      </c>
      <c r="E8" t="str">
        <v/>
      </c>
      <c r="F8" t="str">
        <v>867162029810454</v>
      </c>
      <c r="G8" t="str">
        <v>TBD</v>
      </c>
      <c r="H8" t="str">
        <v/>
      </c>
      <c r="I8" t="str">
        <v xml:space="preserve"> </v>
      </c>
      <c r="J8" t="str">
        <v>01/10/2026</v>
      </c>
      <c r="K8" t="str">
        <v>06:50:26</v>
      </c>
      <c r="L8">
        <v>-12.15884</v>
      </c>
      <c r="M8">
        <v>-76.95803</v>
      </c>
      <c r="N8">
        <f>HYPERLINK("https://www.google.com/maps/search/?api=1&amp;query=-12.15884,-76.95803","Jirón Francisco Bolognesi, San Juan de Miraflores, Lima")</f>
      </c>
      <c r="O8" t="str">
        <v>Llegó a la zona</v>
      </c>
      <c r="P8" t="str">
        <v/>
      </c>
      <c r="Q8">
        <v>12256.1</v>
      </c>
      <c r="R8" t="str">
        <v>1226-DEFENSOR1SJM MS</v>
      </c>
      <c r="S8">
        <v>11.9</v>
      </c>
      <c r="T8">
        <v>0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90</v>
      </c>
      <c r="AC8" t="str">
        <v>01/10/2026</v>
      </c>
      <c r="AD8" t="str">
        <v>06:50:22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01/10/2026 06:50:44</v>
      </c>
      <c r="AL8" t="str">
        <v>06:50:44</v>
      </c>
      <c r="AM8" t="str">
        <v/>
      </c>
    </row>
    <row r="9">
      <c r="A9">
        <v>8</v>
      </c>
      <c r="B9" t="str">
        <v>MASS BSF</v>
      </c>
      <c r="C9" t="str">
        <v>CMV-853</v>
      </c>
      <c r="D9" t="str">
        <v>CMV-853</v>
      </c>
      <c r="E9" t="str">
        <v/>
      </c>
      <c r="F9" t="str">
        <v>867162029810454</v>
      </c>
      <c r="G9" t="str">
        <v>TBD</v>
      </c>
      <c r="H9" t="str">
        <v/>
      </c>
      <c r="I9" t="str">
        <v xml:space="preserve"> </v>
      </c>
      <c r="J9" t="str">
        <v>01/10/2026</v>
      </c>
      <c r="K9" t="str">
        <v>06:51:26</v>
      </c>
      <c r="L9">
        <v>-12.159092</v>
      </c>
      <c r="M9">
        <v>-76.95692</v>
      </c>
      <c r="N9">
        <f>HYPERLINK("https://www.google.com/maps/search/?api=1&amp;query=-12.159092,-76.95692","Avenida Nicolás de Piérola, Villa María del Triunfo, Lima")</f>
      </c>
      <c r="O9" t="str">
        <v>Salió de zona</v>
      </c>
      <c r="P9" t="str">
        <v/>
      </c>
      <c r="Q9">
        <v>12256.4</v>
      </c>
      <c r="R9" t="str">
        <v>1226-DEFENSOR1SJM MS</v>
      </c>
      <c r="S9">
        <v>26.9</v>
      </c>
      <c r="T9">
        <v>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90</v>
      </c>
      <c r="AC9" t="str">
        <v>01/10/2026</v>
      </c>
      <c r="AD9" t="str">
        <v>06:51:22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01/10/2026 06:51:35</v>
      </c>
      <c r="AL9" t="str">
        <v>06:51:35</v>
      </c>
      <c r="AM9" t="str">
        <v/>
      </c>
    </row>
    <row r="10">
      <c r="A10">
        <v>9</v>
      </c>
      <c r="B10" t="str">
        <v>MASS BSF</v>
      </c>
      <c r="C10" t="str">
        <v>CMV-853</v>
      </c>
      <c r="D10" t="str">
        <v>CMV-853</v>
      </c>
      <c r="E10" t="str">
        <v/>
      </c>
      <c r="F10" t="str">
        <v>867162029810454</v>
      </c>
      <c r="G10" t="str">
        <v>TBD</v>
      </c>
      <c r="H10" t="str">
        <v/>
      </c>
      <c r="I10" t="str">
        <v xml:space="preserve"> </v>
      </c>
      <c r="J10" t="str">
        <v>01/10/2026</v>
      </c>
      <c r="K10" t="str">
        <v>06:54:26</v>
      </c>
      <c r="L10">
        <v>-12.154149</v>
      </c>
      <c r="M10">
        <v>-76.952385</v>
      </c>
      <c r="N10">
        <f>HYPERLINK("https://www.google.com/maps/search/?api=1&amp;query=-12.154149,-76.952385","Avenida José Carlos Mariátegui, Villa María del Triunfo, Lima")</f>
      </c>
      <c r="O10" t="str">
        <v>Llegó a la zona</v>
      </c>
      <c r="P10" t="str">
        <v/>
      </c>
      <c r="Q10">
        <v>12257.2</v>
      </c>
      <c r="R10" t="str">
        <v>502-M.MARIATEGUI 8</v>
      </c>
      <c r="S10">
        <v>19</v>
      </c>
      <c r="T10">
        <v>0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90</v>
      </c>
      <c r="AC10" t="str">
        <v>01/10/2026</v>
      </c>
      <c r="AD10" t="str">
        <v>06:54:22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01/10/2026 06:54:47</v>
      </c>
      <c r="AL10" t="str">
        <v>06:54:47</v>
      </c>
      <c r="AM10" t="str">
        <v/>
      </c>
    </row>
    <row r="11">
      <c r="A11">
        <v>10</v>
      </c>
      <c r="B11" t="str">
        <v>MASS BSF</v>
      </c>
      <c r="C11" t="str">
        <v>CMV-853</v>
      </c>
      <c r="D11" t="str">
        <v>CMV-853</v>
      </c>
      <c r="E11" t="str">
        <v/>
      </c>
      <c r="F11" t="str">
        <v>867162029810454</v>
      </c>
      <c r="G11" t="str">
        <v>TBD</v>
      </c>
      <c r="H11" t="str">
        <v/>
      </c>
      <c r="I11" t="str">
        <v xml:space="preserve"> </v>
      </c>
      <c r="J11" t="str">
        <v>01/10/2026</v>
      </c>
      <c r="K11" t="str">
        <v>06:55:26</v>
      </c>
      <c r="L11">
        <v>-12.151523</v>
      </c>
      <c r="M11">
        <v>-76.95146</v>
      </c>
      <c r="N11">
        <f>HYPERLINK("https://www.google.com/maps/search/?api=1&amp;query=-12.151523,-76.95146","Avenida José Carlos Mariátegui, Villa María del Triunfo, Lima")</f>
      </c>
      <c r="O11" t="str">
        <v>Salió de zona</v>
      </c>
      <c r="P11" t="str">
        <v/>
      </c>
      <c r="Q11">
        <v>12257.2</v>
      </c>
      <c r="R11" t="str">
        <v>502-M.MARIATEGUI 8</v>
      </c>
      <c r="S11">
        <v>19.3</v>
      </c>
      <c r="T11">
        <v>0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90</v>
      </c>
      <c r="AC11" t="str">
        <v>01/10/2026</v>
      </c>
      <c r="AD11" t="str">
        <v>06:55:22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01/10/2026 06:55:38</v>
      </c>
      <c r="AL11" t="str">
        <v>06:55:38</v>
      </c>
      <c r="AM11" t="str">
        <v/>
      </c>
    </row>
    <row r="12">
      <c r="A12">
        <v>11</v>
      </c>
      <c r="B12" t="str">
        <v>MASS BSF</v>
      </c>
      <c r="C12" t="str">
        <v>CMV-853</v>
      </c>
      <c r="D12" t="str">
        <v>CMV-853</v>
      </c>
      <c r="E12" t="str">
        <v/>
      </c>
      <c r="F12" t="str">
        <v>867162029810454</v>
      </c>
      <c r="G12" t="str">
        <v>TBD</v>
      </c>
      <c r="H12" t="str">
        <v/>
      </c>
      <c r="I12" t="str">
        <v xml:space="preserve"> </v>
      </c>
      <c r="J12" t="str">
        <v>01/10/2026</v>
      </c>
      <c r="K12" t="str">
        <v>06:57:26</v>
      </c>
      <c r="L12">
        <v>-12.148344</v>
      </c>
      <c r="M12">
        <v>-76.95055</v>
      </c>
      <c r="N12">
        <f>HYPERLINK("https://www.google.com/maps/search/?api=1&amp;query=-12.148344,-76.95055","Jirón Apurimac, Villa María del Triunfo, Lima")</f>
      </c>
      <c r="O12" t="str">
        <v>Llegó a la zona</v>
      </c>
      <c r="P12" t="str">
        <v/>
      </c>
      <c r="Q12">
        <v>12257.9</v>
      </c>
      <c r="R12" t="str">
        <v>1029-MARIATE17VMT MS</v>
      </c>
      <c r="S12">
        <v>0</v>
      </c>
      <c r="T12">
        <v>0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90</v>
      </c>
      <c r="AC12" t="str">
        <v>01/10/2026</v>
      </c>
      <c r="AD12" t="str">
        <v>06:57:22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01/10/2026 06:57:37</v>
      </c>
      <c r="AL12" t="str">
        <v>06:57:37</v>
      </c>
      <c r="AM12" t="str">
        <v/>
      </c>
    </row>
    <row r="13">
      <c r="A13">
        <v>12</v>
      </c>
      <c r="B13" t="str">
        <v>MASS BSF</v>
      </c>
      <c r="C13" t="str">
        <v>CMV-853</v>
      </c>
      <c r="D13" t="str">
        <v>CMV-853</v>
      </c>
      <c r="E13" t="str">
        <v/>
      </c>
      <c r="F13" t="str">
        <v>867162029810454</v>
      </c>
      <c r="G13" t="str">
        <v>TBD</v>
      </c>
      <c r="H13" t="str">
        <v/>
      </c>
      <c r="I13" t="str">
        <v/>
      </c>
      <c r="J13" t="str">
        <v>01/10/2026</v>
      </c>
      <c r="K13" t="str">
        <v>06:59:19</v>
      </c>
      <c r="L13">
        <v>-12.148344</v>
      </c>
      <c r="M13">
        <v>-76.95055</v>
      </c>
      <c r="N13">
        <f>HYPERLINK("https://www.google.com/maps/search/?api=1&amp;query=-12.148344,-76.95055","Jirón Apurimac, Villa María del Triunfo, Lima")</f>
      </c>
      <c r="O13" t="str">
        <v>Vehículo apagado</v>
      </c>
      <c r="P13" t="str">
        <v>Vehículo Apagado</v>
      </c>
      <c r="Q13">
        <v>12257.9</v>
      </c>
      <c r="R13" t="str">
        <v/>
      </c>
      <c r="S13">
        <v>0</v>
      </c>
      <c r="T13">
        <v>0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90</v>
      </c>
      <c r="AC13" t="str">
        <v>01/10/2026</v>
      </c>
      <c r="AD13" t="str">
        <v>06:58:22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01/10/2026 06:59:31</v>
      </c>
      <c r="AL13" t="str">
        <v>06:59:31</v>
      </c>
      <c r="AM13" t="str">
        <v/>
      </c>
    </row>
    <row r="14">
      <c r="A14">
        <v>13</v>
      </c>
      <c r="B14" t="str">
        <v>MASS BSF</v>
      </c>
      <c r="C14" t="str">
        <v>CMV-853</v>
      </c>
      <c r="D14" t="str">
        <v>CMV-853</v>
      </c>
      <c r="E14" t="str">
        <v/>
      </c>
      <c r="F14" t="str">
        <v>867162029810454</v>
      </c>
      <c r="G14" t="str">
        <v>TBD</v>
      </c>
      <c r="H14" t="str">
        <v/>
      </c>
      <c r="I14" t="str">
        <v/>
      </c>
      <c r="J14" t="str">
        <v>01/10/2026</v>
      </c>
      <c r="K14" t="str">
        <v>07:04:32</v>
      </c>
      <c r="L14">
        <v>-12.148344</v>
      </c>
      <c r="M14">
        <v>-76.95055</v>
      </c>
      <c r="N14">
        <f>HYPERLINK("https://www.google.com/maps/search/?api=1&amp;query=-12.148344,-76.95055","Jirón Apurimac, Villa María del Triunfo, Lima")</f>
      </c>
      <c r="O14" t="str">
        <v>Se desactivó la entrada 2</v>
      </c>
      <c r="P14" t="str">
        <v>Puerta Abierta</v>
      </c>
      <c r="Q14">
        <v>12257.9</v>
      </c>
      <c r="R14" t="str">
        <v/>
      </c>
      <c r="S14">
        <v>0</v>
      </c>
      <c r="T14">
        <v>0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90</v>
      </c>
      <c r="AC14" t="str">
        <v>01/10/2026</v>
      </c>
      <c r="AD14" t="str">
        <v>07:04:31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01/10/2026 07:04:43</v>
      </c>
      <c r="AL14" t="str">
        <v>07:04:43</v>
      </c>
      <c r="AM14" t="str">
        <v/>
      </c>
    </row>
    <row r="15">
      <c r="A15">
        <v>14</v>
      </c>
      <c r="B15" t="str">
        <v>MASS BSF</v>
      </c>
      <c r="C15" t="str">
        <v>CMV-853</v>
      </c>
      <c r="D15" t="str">
        <v>CMV-853</v>
      </c>
      <c r="E15" t="str">
        <v/>
      </c>
      <c r="F15" t="str">
        <v>867162029810454</v>
      </c>
      <c r="G15" t="str">
        <v>TBD</v>
      </c>
      <c r="H15" t="str">
        <v/>
      </c>
      <c r="I15" t="str">
        <v/>
      </c>
      <c r="J15" t="str">
        <v>01/10/2026</v>
      </c>
      <c r="K15" t="str">
        <v>07:45:54</v>
      </c>
      <c r="L15">
        <v>-12.148344</v>
      </c>
      <c r="M15">
        <v>-76.95055</v>
      </c>
      <c r="N15">
        <f>HYPERLINK("https://www.google.com/maps/search/?api=1&amp;query=-12.148344,-76.95055","Jirón Apurimac, Villa María del Triunfo, Lima")</f>
      </c>
      <c r="O15" t="str">
        <v>Se activó la entrada 2</v>
      </c>
      <c r="P15" t="str">
        <v>Puerta Cerrada</v>
      </c>
      <c r="Q15">
        <v>12257.9</v>
      </c>
      <c r="R15" t="str">
        <v/>
      </c>
      <c r="S15">
        <v>0</v>
      </c>
      <c r="T15">
        <v>0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90</v>
      </c>
      <c r="AC15" t="str">
        <v>01/10/2026</v>
      </c>
      <c r="AD15" t="str">
        <v>07:45:53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01/10/2026 07:46:16</v>
      </c>
      <c r="AL15" t="str">
        <v>07:46:16</v>
      </c>
      <c r="AM15" t="str">
        <v/>
      </c>
    </row>
    <row r="16">
      <c r="A16">
        <v>15</v>
      </c>
      <c r="B16" t="str">
        <v>MASS BSF</v>
      </c>
      <c r="C16" t="str">
        <v>CMV-853</v>
      </c>
      <c r="D16" t="str">
        <v>CMV-853</v>
      </c>
      <c r="E16" t="str">
        <v/>
      </c>
      <c r="F16" t="str">
        <v>867162029810454</v>
      </c>
      <c r="G16" t="str">
        <v>TBD</v>
      </c>
      <c r="H16" t="str">
        <v/>
      </c>
      <c r="I16" t="str">
        <v/>
      </c>
      <c r="J16" t="str">
        <v>01/10/2026</v>
      </c>
      <c r="K16" t="str">
        <v>07:47:53</v>
      </c>
      <c r="L16">
        <v>-12.148344</v>
      </c>
      <c r="M16">
        <v>-76.95055</v>
      </c>
      <c r="N16">
        <f>HYPERLINK("https://www.google.com/maps/search/?api=1&amp;query=-12.148344,-76.95055","Jirón Apurimac, Villa María del Triunfo, Lima")</f>
      </c>
      <c r="O16" t="str">
        <v>Vehículo encendido</v>
      </c>
      <c r="P16" t="str">
        <v/>
      </c>
      <c r="Q16">
        <v>12257.9</v>
      </c>
      <c r="R16" t="str">
        <v/>
      </c>
      <c r="S16">
        <v>0</v>
      </c>
      <c r="T16">
        <v>0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90</v>
      </c>
      <c r="AC16" t="str">
        <v>01/10/2026</v>
      </c>
      <c r="AD16" t="str">
        <v>07:45:53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01/10/2026 07:48:14</v>
      </c>
      <c r="AL16" t="str">
        <v>07:48:14</v>
      </c>
      <c r="AM16" t="str">
        <v/>
      </c>
    </row>
    <row r="17">
      <c r="A17">
        <v>16</v>
      </c>
      <c r="B17" t="str">
        <v>MASS BSF</v>
      </c>
      <c r="C17" t="str">
        <v>CMV-853</v>
      </c>
      <c r="D17" t="str">
        <v>CMV-853</v>
      </c>
      <c r="E17" t="str">
        <v/>
      </c>
      <c r="F17" t="str">
        <v>867162029810454</v>
      </c>
      <c r="G17" t="str">
        <v>TBD</v>
      </c>
      <c r="H17" t="str">
        <v/>
      </c>
      <c r="I17" t="str">
        <v xml:space="preserve"> </v>
      </c>
      <c r="J17" t="str">
        <v>01/10/2026</v>
      </c>
      <c r="K17" t="str">
        <v>07:48:02</v>
      </c>
      <c r="L17">
        <v>-12.148579</v>
      </c>
      <c r="M17">
        <v>-76.95049</v>
      </c>
      <c r="N17">
        <f>HYPERLINK("https://www.google.com/maps/search/?api=1&amp;query=-12.148579,-76.95049","Jirón Apurimac, Villa María del Triunfo, Lima")</f>
      </c>
      <c r="O17" t="str">
        <v>Salió de zona</v>
      </c>
      <c r="P17" t="str">
        <v/>
      </c>
      <c r="Q17">
        <v>12257.9</v>
      </c>
      <c r="R17" t="str">
        <v>1029-MARIATE17VMT MS</v>
      </c>
      <c r="S17">
        <v>0</v>
      </c>
      <c r="T17">
        <v>0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90</v>
      </c>
      <c r="AC17" t="str">
        <v>01/10/2026</v>
      </c>
      <c r="AD17" t="str">
        <v>07:48:01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01/10/2026 07:48:18</v>
      </c>
      <c r="AL17" t="str">
        <v>07:48:18</v>
      </c>
      <c r="AM17" t="str">
        <v/>
      </c>
    </row>
    <row r="18">
      <c r="A18">
        <v>17</v>
      </c>
      <c r="B18" t="str">
        <v>MASS BSF</v>
      </c>
      <c r="C18" t="str">
        <v>CMV-853</v>
      </c>
      <c r="D18" t="str">
        <v>CMV-853</v>
      </c>
      <c r="E18" t="str">
        <v/>
      </c>
      <c r="F18" t="str">
        <v>867162029810454</v>
      </c>
      <c r="G18" t="str">
        <v>TBD</v>
      </c>
      <c r="H18" t="str">
        <v/>
      </c>
      <c r="I18" t="str">
        <v xml:space="preserve"> </v>
      </c>
      <c r="J18" t="str">
        <v>01/10/2026</v>
      </c>
      <c r="K18" t="str">
        <v>07:52:41</v>
      </c>
      <c r="L18">
        <v>-12.141865</v>
      </c>
      <c r="M18">
        <v>-76.94928</v>
      </c>
      <c r="N18">
        <f>HYPERLINK("https://www.google.com/maps/search/?api=1&amp;query=-12.141865,-76.94928","Avenida José Carlos Mariátegui, Villa María del Triunfo, Lima")</f>
      </c>
      <c r="O18" t="str">
        <v>Llegó a la zona</v>
      </c>
      <c r="P18" t="str">
        <v/>
      </c>
      <c r="Q18">
        <v>12258.5</v>
      </c>
      <c r="R18" t="str">
        <v>312-PRIMAVERA</v>
      </c>
      <c r="S18">
        <v>7.3</v>
      </c>
      <c r="T18">
        <v>0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90</v>
      </c>
      <c r="AC18" t="str">
        <v>01/10/2026</v>
      </c>
      <c r="AD18" t="str">
        <v>07:52:40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01/10/2026 07:52:54</v>
      </c>
      <c r="AL18" t="str">
        <v>07:52:54</v>
      </c>
      <c r="AM18" t="str">
        <v/>
      </c>
    </row>
    <row r="19">
      <c r="A19">
        <v>18</v>
      </c>
      <c r="B19" t="str">
        <v>MASS BSF</v>
      </c>
      <c r="C19" t="str">
        <v>CMV-853</v>
      </c>
      <c r="D19" t="str">
        <v>CMV-853</v>
      </c>
      <c r="E19" t="str">
        <v/>
      </c>
      <c r="F19" t="str">
        <v>867162029810454</v>
      </c>
      <c r="G19" t="str">
        <v>TBD</v>
      </c>
      <c r="H19" t="str">
        <v/>
      </c>
      <c r="I19" t="str">
        <v/>
      </c>
      <c r="J19" t="str">
        <v>01/10/2026</v>
      </c>
      <c r="K19" t="str">
        <v>07:56:57</v>
      </c>
      <c r="L19">
        <v>-12.14185</v>
      </c>
      <c r="M19">
        <v>-76.94974</v>
      </c>
      <c r="N19">
        <f>HYPERLINK("https://www.google.com/maps/search/?api=1&amp;query=-12.14185,-76.94974","Avenida Primavera, Villa María del Triunfo, Lima")</f>
      </c>
      <c r="O19" t="str">
        <v>Vehículo apagado</v>
      </c>
      <c r="P19" t="str">
        <v>Vehículo Apagado</v>
      </c>
      <c r="Q19">
        <v>12258.8</v>
      </c>
      <c r="R19" t="str">
        <v/>
      </c>
      <c r="S19">
        <v>0</v>
      </c>
      <c r="T19">
        <v>0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90</v>
      </c>
      <c r="AC19" t="str">
        <v>01/10/2026</v>
      </c>
      <c r="AD19" t="str">
        <v>07:57:00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01/10/2026 07:57:19</v>
      </c>
      <c r="AL19" t="str">
        <v>07:57:19</v>
      </c>
      <c r="AM19" t="str">
        <v/>
      </c>
    </row>
    <row r="20">
      <c r="A20">
        <v>19</v>
      </c>
      <c r="B20" t="str">
        <v>MASS BSF</v>
      </c>
      <c r="C20" t="str">
        <v>CMV-853</v>
      </c>
      <c r="D20" t="str">
        <v>CMV-853</v>
      </c>
      <c r="E20" t="str">
        <v/>
      </c>
      <c r="F20" t="str">
        <v>867162029810454</v>
      </c>
      <c r="G20" t="str">
        <v>TBD</v>
      </c>
      <c r="H20" t="str">
        <v/>
      </c>
      <c r="I20" t="str">
        <v/>
      </c>
      <c r="J20" t="str">
        <v>01/10/2026</v>
      </c>
      <c r="K20" t="str">
        <v>07:59:23</v>
      </c>
      <c r="L20">
        <v>-12.14185</v>
      </c>
      <c r="M20">
        <v>-76.94974</v>
      </c>
      <c r="N20">
        <f>HYPERLINK("https://www.google.com/maps/search/?api=1&amp;query=-12.14185,-76.94974","Avenida Primavera, Villa María del Triunfo, Lima")</f>
      </c>
      <c r="O20" t="str">
        <v>Se desactivó la entrada 2</v>
      </c>
      <c r="P20" t="str">
        <v>Puerta Abierta</v>
      </c>
      <c r="Q20">
        <v>12258.8</v>
      </c>
      <c r="R20" t="str">
        <v/>
      </c>
      <c r="S20">
        <v>0</v>
      </c>
      <c r="T20">
        <v>0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90</v>
      </c>
      <c r="AC20" t="str">
        <v>01/10/2026</v>
      </c>
      <c r="AD20" t="str">
        <v>07:59:22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01/10/2026 07:59:39</v>
      </c>
      <c r="AL20" t="str">
        <v>07:59:39</v>
      </c>
      <c r="AM20" t="str">
        <v/>
      </c>
    </row>
    <row r="21">
      <c r="A21">
        <v>20</v>
      </c>
      <c r="B21" t="str">
        <v>MASS BSF</v>
      </c>
      <c r="C21" t="str">
        <v>CMV-853</v>
      </c>
      <c r="D21" t="str">
        <v>CMV-853</v>
      </c>
      <c r="E21" t="str">
        <v/>
      </c>
      <c r="F21" t="str">
        <v>867162029810454</v>
      </c>
      <c r="G21" t="str">
        <v>TBD</v>
      </c>
      <c r="H21" t="str">
        <v/>
      </c>
      <c r="I21" t="str">
        <v/>
      </c>
      <c r="J21" t="str">
        <v>01/10/2026</v>
      </c>
      <c r="K21" t="str">
        <v>08:07:09</v>
      </c>
      <c r="L21">
        <v>-12.14185</v>
      </c>
      <c r="M21">
        <v>-76.94974</v>
      </c>
      <c r="N21">
        <f>HYPERLINK("https://www.google.com/maps/search/?api=1&amp;query=-12.14185,-76.94974","Avenida Primavera, Villa María del Triunfo, Lima")</f>
      </c>
      <c r="O21" t="str">
        <v>Se activó la entrada 2</v>
      </c>
      <c r="P21" t="str">
        <v>Puerta Cerrada</v>
      </c>
      <c r="Q21">
        <v>12258.8</v>
      </c>
      <c r="R21" t="str">
        <v/>
      </c>
      <c r="S21">
        <v>0</v>
      </c>
      <c r="T21">
        <v>0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90</v>
      </c>
      <c r="AC21" t="str">
        <v>01/10/2026</v>
      </c>
      <c r="AD21" t="str">
        <v>08:07:08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01/10/2026 08:07:22</v>
      </c>
      <c r="AL21" t="str">
        <v>08:07:22</v>
      </c>
      <c r="AM21" t="str">
        <v/>
      </c>
    </row>
    <row r="22">
      <c r="A22">
        <v>21</v>
      </c>
      <c r="B22" t="str">
        <v>MASS BSF</v>
      </c>
      <c r="C22" t="str">
        <v>CMV-853</v>
      </c>
      <c r="D22" t="str">
        <v>CMV-853</v>
      </c>
      <c r="E22" t="str">
        <v/>
      </c>
      <c r="F22" t="str">
        <v>867162029810454</v>
      </c>
      <c r="G22" t="str">
        <v>TBD</v>
      </c>
      <c r="H22" t="str">
        <v/>
      </c>
      <c r="I22" t="str">
        <v/>
      </c>
      <c r="J22" t="str">
        <v>01/10/2026</v>
      </c>
      <c r="K22" t="str">
        <v>08:09:12</v>
      </c>
      <c r="L22">
        <v>-12.14185</v>
      </c>
      <c r="M22">
        <v>-76.94974</v>
      </c>
      <c r="N22">
        <f>HYPERLINK("https://www.google.com/maps/search/?api=1&amp;query=-12.14185,-76.94974","Avenida Primavera, Villa María del Triunfo, Lima")</f>
      </c>
      <c r="O22" t="str">
        <v>Se desactivó la entrada 2</v>
      </c>
      <c r="P22" t="str">
        <v>Puerta Abierta</v>
      </c>
      <c r="Q22">
        <v>12258.8</v>
      </c>
      <c r="R22" t="str">
        <v/>
      </c>
      <c r="S22">
        <v>0</v>
      </c>
      <c r="T22">
        <v>0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90</v>
      </c>
      <c r="AC22" t="str">
        <v>01/10/2026</v>
      </c>
      <c r="AD22" t="str">
        <v>08:09:11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01/10/2026 08:09:36</v>
      </c>
      <c r="AL22" t="str">
        <v>08:09:36</v>
      </c>
      <c r="AM22" t="str">
        <v/>
      </c>
    </row>
    <row r="23">
      <c r="A23">
        <v>22</v>
      </c>
      <c r="B23" t="str">
        <v>MASS BSF</v>
      </c>
      <c r="C23" t="str">
        <v>CMV-853</v>
      </c>
      <c r="D23" t="str">
        <v>CMV-853</v>
      </c>
      <c r="E23" t="str">
        <v/>
      </c>
      <c r="F23" t="str">
        <v>867162029810454</v>
      </c>
      <c r="G23" t="str">
        <v>TBD</v>
      </c>
      <c r="H23" t="str">
        <v/>
      </c>
      <c r="I23" t="str">
        <v/>
      </c>
      <c r="J23" t="str">
        <v>01/10/2026</v>
      </c>
      <c r="K23" t="str">
        <v>08:14:20</v>
      </c>
      <c r="L23">
        <v>-12.14185</v>
      </c>
      <c r="M23">
        <v>-76.94974</v>
      </c>
      <c r="N23">
        <f>HYPERLINK("https://www.google.com/maps/search/?api=1&amp;query=-12.14185,-76.94974","Avenida Primavera, Villa María del Triunfo, Lima")</f>
      </c>
      <c r="O23" t="str">
        <v>Vehículo encendido</v>
      </c>
      <c r="P23" t="str">
        <v/>
      </c>
      <c r="Q23">
        <v>12258.8</v>
      </c>
      <c r="R23" t="str">
        <v/>
      </c>
      <c r="S23">
        <v>0</v>
      </c>
      <c r="T23">
        <v>0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90</v>
      </c>
      <c r="AC23" t="str">
        <v>01/10/2026</v>
      </c>
      <c r="AD23" t="str">
        <v>08:09:11</v>
      </c>
      <c r="AE23">
        <f>IF("NOGPS"="NOGPS","GPS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01/10/2026 08:14:41</v>
      </c>
      <c r="AL23" t="str">
        <v>08:14:41</v>
      </c>
      <c r="AM23" t="str">
        <v/>
      </c>
    </row>
    <row r="24">
      <c r="A24">
        <v>23</v>
      </c>
      <c r="B24" t="str">
        <v>MASS BSF</v>
      </c>
      <c r="C24" t="str">
        <v>CMV-853</v>
      </c>
      <c r="D24" t="str">
        <v>CMV-853</v>
      </c>
      <c r="E24" t="str">
        <v/>
      </c>
      <c r="F24" t="str">
        <v>867162029810454</v>
      </c>
      <c r="G24" t="str">
        <v>TBD</v>
      </c>
      <c r="H24" t="str">
        <v/>
      </c>
      <c r="I24" t="str">
        <v/>
      </c>
      <c r="J24" t="str">
        <v>01/10/2026</v>
      </c>
      <c r="K24" t="str">
        <v>08:15:06</v>
      </c>
      <c r="L24">
        <v>-12.141901</v>
      </c>
      <c r="M24">
        <v>-76.94977</v>
      </c>
      <c r="N24">
        <f>HYPERLINK("https://www.google.com/maps/search/?api=1&amp;query=-12.141901,-76.94977","Avenida Primavera, Villa María del Triunfo, Lima")</f>
      </c>
      <c r="O24" t="str">
        <v>Vehículo apagado</v>
      </c>
      <c r="P24" t="str">
        <v>Vehículo Apagado</v>
      </c>
      <c r="Q24">
        <v>12258.8</v>
      </c>
      <c r="R24" t="str">
        <v/>
      </c>
      <c r="S24">
        <v>9.5</v>
      </c>
      <c r="T24">
        <v>0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90</v>
      </c>
      <c r="AC24" t="str">
        <v>01/10/2026</v>
      </c>
      <c r="AD24" t="str">
        <v>08:14:27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01/10/2026 08:15:28</v>
      </c>
      <c r="AL24" t="str">
        <v>08:15:28</v>
      </c>
      <c r="AM24" t="str">
        <v/>
      </c>
    </row>
    <row r="25">
      <c r="A25">
        <v>24</v>
      </c>
      <c r="B25" t="str">
        <v>MASS BSF</v>
      </c>
      <c r="C25" t="str">
        <v>CMV-853</v>
      </c>
      <c r="D25" t="str">
        <v>CMV-853</v>
      </c>
      <c r="E25" t="str">
        <v/>
      </c>
      <c r="F25" t="str">
        <v>867162029810454</v>
      </c>
      <c r="G25" t="str">
        <v>TBD</v>
      </c>
      <c r="H25" t="str">
        <v/>
      </c>
      <c r="I25" t="str">
        <v/>
      </c>
      <c r="J25" t="str">
        <v>01/10/2026</v>
      </c>
      <c r="K25" t="str">
        <v>08:16:05</v>
      </c>
      <c r="L25">
        <v>-12.141919</v>
      </c>
      <c r="M25">
        <v>-76.94978</v>
      </c>
      <c r="N25">
        <f>HYPERLINK("https://www.google.com/maps/search/?api=1&amp;query=-12.141919,-76.94978","Avenida Primavera, Villa María del Triunfo, Lima")</f>
      </c>
      <c r="O25" t="str">
        <v>Se activó la entrada 2</v>
      </c>
      <c r="P25" t="str">
        <v>Puerta Cerrada</v>
      </c>
      <c r="Q25">
        <v>12258.8</v>
      </c>
      <c r="R25" t="str">
        <v/>
      </c>
      <c r="S25">
        <v>0</v>
      </c>
      <c r="T25">
        <v>0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90</v>
      </c>
      <c r="AC25" t="str">
        <v>01/10/2026</v>
      </c>
      <c r="AD25" t="str">
        <v>08:16:04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01/10/2026 08:16:31</v>
      </c>
      <c r="AL25" t="str">
        <v>08:16:31</v>
      </c>
      <c r="AM25" t="str">
        <v/>
      </c>
    </row>
    <row r="26">
      <c r="A26">
        <v>25</v>
      </c>
      <c r="B26" t="str">
        <v>MASS BSF</v>
      </c>
      <c r="C26" t="str">
        <v>CMV-853</v>
      </c>
      <c r="D26" t="str">
        <v>CMV-853</v>
      </c>
      <c r="E26" t="str">
        <v/>
      </c>
      <c r="F26" t="str">
        <v>867162029810454</v>
      </c>
      <c r="G26" t="str">
        <v>TBD</v>
      </c>
      <c r="H26" t="str">
        <v/>
      </c>
      <c r="I26" t="str">
        <v xml:space="preserve"> </v>
      </c>
      <c r="J26" t="str">
        <v>01/10/2026</v>
      </c>
      <c r="K26" t="str">
        <v>08:16:05</v>
      </c>
      <c r="L26">
        <v>-12.141919</v>
      </c>
      <c r="M26">
        <v>-76.94978</v>
      </c>
      <c r="N26">
        <f>HYPERLINK("https://www.google.com/maps/search/?api=1&amp;query=-12.141919,-76.94978","Avenida Primavera, Villa María del Triunfo, Lima")</f>
      </c>
      <c r="O26" t="str">
        <v>Llegó a la zona</v>
      </c>
      <c r="P26" t="str">
        <v/>
      </c>
      <c r="Q26">
        <v>12258.8</v>
      </c>
      <c r="R26" t="str">
        <v>312-PRIMAVERA</v>
      </c>
      <c r="S26">
        <v>0</v>
      </c>
      <c r="T26">
        <v>0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90</v>
      </c>
      <c r="AC26" t="str">
        <v>01/10/2026</v>
      </c>
      <c r="AD26" t="str">
        <v>08:16:04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01/10/2026 08:16:38</v>
      </c>
      <c r="AL26" t="str">
        <v>08:16:38</v>
      </c>
      <c r="AM26" t="str">
        <v/>
      </c>
    </row>
    <row r="27">
      <c r="A27">
        <v>26</v>
      </c>
      <c r="B27" t="str">
        <v>MASS BSF</v>
      </c>
      <c r="C27" t="str">
        <v>CMV-853</v>
      </c>
      <c r="D27" t="str">
        <v>CMV-853</v>
      </c>
      <c r="E27" t="str">
        <v/>
      </c>
      <c r="F27" t="str">
        <v>867162029810454</v>
      </c>
      <c r="G27" t="str">
        <v>TBD</v>
      </c>
      <c r="H27" t="str">
        <v/>
      </c>
      <c r="I27" t="str">
        <v/>
      </c>
      <c r="J27" t="str">
        <v>01/10/2026</v>
      </c>
      <c r="K27" t="str">
        <v>08:16:12</v>
      </c>
      <c r="L27">
        <v>-12.141919</v>
      </c>
      <c r="M27">
        <v>-76.94978</v>
      </c>
      <c r="N27">
        <f>HYPERLINK("https://www.google.com/maps/search/?api=1&amp;query=-12.141919,-76.94978","Avenida Primavera, Villa María del Triunfo, Lima")</f>
      </c>
      <c r="O27" t="str">
        <v>Vehículo encendido</v>
      </c>
      <c r="P27" t="str">
        <v/>
      </c>
      <c r="Q27">
        <v>12258.8</v>
      </c>
      <c r="R27" t="str">
        <v/>
      </c>
      <c r="S27">
        <v>0</v>
      </c>
      <c r="T27">
        <v>0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90</v>
      </c>
      <c r="AC27" t="str">
        <v>01/10/2026</v>
      </c>
      <c r="AD27" t="str">
        <v>08:15:08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01/10/2026 08:16:25</v>
      </c>
      <c r="AL27" t="str">
        <v>08:16:25</v>
      </c>
      <c r="AM27" t="str">
        <v/>
      </c>
    </row>
    <row r="28">
      <c r="A28">
        <v>27</v>
      </c>
      <c r="B28" t="str">
        <v>MASS BSF</v>
      </c>
      <c r="C28" t="str">
        <v>CMV-853</v>
      </c>
      <c r="D28" t="str">
        <v>CMV-853</v>
      </c>
      <c r="E28" t="str">
        <v/>
      </c>
      <c r="F28" t="str">
        <v>867162029810454</v>
      </c>
      <c r="G28" t="str">
        <v>TBD</v>
      </c>
      <c r="H28" t="str">
        <v/>
      </c>
      <c r="I28" t="str">
        <v xml:space="preserve"> </v>
      </c>
      <c r="J28" t="str">
        <v>01/10/2026</v>
      </c>
      <c r="K28" t="str">
        <v>08:16:18</v>
      </c>
      <c r="L28">
        <v>-12.14219</v>
      </c>
      <c r="M28">
        <v>-76.94997</v>
      </c>
      <c r="N28">
        <f>HYPERLINK("https://www.google.com/maps/search/?api=1&amp;query=-12.14219,-76.94997","Avenida Primavera, Villa María del Triunfo, Lima")</f>
      </c>
      <c r="O28" t="str">
        <v>Salió de zona</v>
      </c>
      <c r="P28" t="str">
        <v/>
      </c>
      <c r="Q28">
        <v>12258.8</v>
      </c>
      <c r="R28" t="str">
        <v>312-PRIMAVERA</v>
      </c>
      <c r="S28">
        <v>0</v>
      </c>
      <c r="T28">
        <v>0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90</v>
      </c>
      <c r="AC28" t="str">
        <v>01/10/2026</v>
      </c>
      <c r="AD28" t="str">
        <v>08:16:17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01/10/2026 08:16:28</v>
      </c>
      <c r="AL28" t="str">
        <v>08:16:28</v>
      </c>
      <c r="AM28" t="str">
        <v/>
      </c>
    </row>
    <row r="29">
      <c r="A29">
        <v>28</v>
      </c>
      <c r="B29" t="str">
        <v>MASS BSF</v>
      </c>
      <c r="C29" t="str">
        <v>CMV-853</v>
      </c>
      <c r="D29" t="str">
        <v>CMV-853</v>
      </c>
      <c r="E29" t="str">
        <v/>
      </c>
      <c r="F29" t="str">
        <v>867162029810454</v>
      </c>
      <c r="G29" t="str">
        <v>TBD</v>
      </c>
      <c r="H29" t="str">
        <v/>
      </c>
      <c r="I29" t="str">
        <v xml:space="preserve"> </v>
      </c>
      <c r="J29" t="str">
        <v>01/10/2026</v>
      </c>
      <c r="K29" t="str">
        <v>08:17:17</v>
      </c>
      <c r="L29">
        <v>-12.14219</v>
      </c>
      <c r="M29">
        <v>-76.94997</v>
      </c>
      <c r="N29">
        <f>HYPERLINK("https://www.google.com/maps/search/?api=1&amp;query=-12.14219,-76.94997","Avenida Primavera, Villa María del Triunfo, Lima")</f>
      </c>
      <c r="O29" t="str">
        <v>Salió de zona</v>
      </c>
      <c r="P29" t="str">
        <v/>
      </c>
      <c r="Q29">
        <v>12258.8</v>
      </c>
      <c r="R29" t="str">
        <v>312-PRIMAVERA</v>
      </c>
      <c r="S29">
        <v>0</v>
      </c>
      <c r="T29">
        <v>0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90</v>
      </c>
      <c r="AC29" t="str">
        <v>01/10/2026</v>
      </c>
      <c r="AD29" t="str">
        <v>08:17:14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01/10/2026 08:17:30</v>
      </c>
      <c r="AL29" t="str">
        <v>08:17:30</v>
      </c>
      <c r="AM29" t="str">
        <v/>
      </c>
    </row>
    <row r="30">
      <c r="A30">
        <v>29</v>
      </c>
      <c r="B30" t="str">
        <v>MASS BSF</v>
      </c>
      <c r="C30" t="str">
        <v>CMV-853</v>
      </c>
      <c r="D30" t="str">
        <v>CMV-853</v>
      </c>
      <c r="E30" t="str">
        <v/>
      </c>
      <c r="F30" t="str">
        <v>867162029810454</v>
      </c>
      <c r="G30" t="str">
        <v>TBD</v>
      </c>
      <c r="H30" t="str">
        <v/>
      </c>
      <c r="I30" t="str">
        <v/>
      </c>
      <c r="J30" t="str">
        <v>01/10/2026</v>
      </c>
      <c r="K30" t="str">
        <v>08:17:51</v>
      </c>
      <c r="L30">
        <v>-12.142146</v>
      </c>
      <c r="M30">
        <v>-76.9498</v>
      </c>
      <c r="N30">
        <f>HYPERLINK("https://www.google.com/maps/search/?api=1&amp;query=-12.142146,-76.9498","Avenida Primavera, Villa María del Triunfo, Lima")</f>
      </c>
      <c r="O30" t="str">
        <v>Vehículo apagado</v>
      </c>
      <c r="P30" t="str">
        <v>Vehículo Apagado</v>
      </c>
      <c r="Q30">
        <v>12258.8</v>
      </c>
      <c r="R30" t="str">
        <v/>
      </c>
      <c r="S30">
        <v>0.1</v>
      </c>
      <c r="T30">
        <v>0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90</v>
      </c>
      <c r="AC30" t="str">
        <v>01/10/2026</v>
      </c>
      <c r="AD30" t="str">
        <v>08:17:57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01/10/2026 08:18:09</v>
      </c>
      <c r="AL30" t="str">
        <v>08:18:09</v>
      </c>
      <c r="AM30" t="str">
        <v/>
      </c>
    </row>
    <row r="31">
      <c r="A31">
        <v>30</v>
      </c>
      <c r="B31" t="str">
        <v>MASS BSF</v>
      </c>
      <c r="C31" t="str">
        <v>CMV-853</v>
      </c>
      <c r="D31" t="str">
        <v>CMV-853</v>
      </c>
      <c r="E31" t="str">
        <v/>
      </c>
      <c r="F31" t="str">
        <v>867162029810454</v>
      </c>
      <c r="G31" t="str">
        <v>TBD</v>
      </c>
      <c r="H31" t="str">
        <v/>
      </c>
      <c r="I31" t="str">
        <v xml:space="preserve"> </v>
      </c>
      <c r="J31" t="str">
        <v>01/10/2026</v>
      </c>
      <c r="K31" t="str">
        <v>08:17:58</v>
      </c>
      <c r="L31">
        <v>-12.142146</v>
      </c>
      <c r="M31">
        <v>-76.9498</v>
      </c>
      <c r="N31">
        <f>HYPERLINK("https://www.google.com/maps/search/?api=1&amp;query=-12.142146,-76.9498","Avenida Primavera, Villa María del Triunfo, Lima")</f>
      </c>
      <c r="O31" t="str">
        <v>Llegó a la zona</v>
      </c>
      <c r="P31" t="str">
        <v/>
      </c>
      <c r="Q31">
        <v>12258.8</v>
      </c>
      <c r="R31" t="str">
        <v>312-PRIMAVERA</v>
      </c>
      <c r="S31">
        <v>0.1</v>
      </c>
      <c r="T31">
        <v>0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90</v>
      </c>
      <c r="AC31" t="str">
        <v>01/10/2026</v>
      </c>
      <c r="AD31" t="str">
        <v>08:17:57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01/10/2026 08:18:17</v>
      </c>
      <c r="AL31" t="str">
        <v>08:18:17</v>
      </c>
      <c r="AM31" t="str">
        <v/>
      </c>
    </row>
    <row r="32">
      <c r="A32">
        <v>31</v>
      </c>
      <c r="B32" t="str">
        <v>MASS BSF</v>
      </c>
      <c r="C32" t="str">
        <v>CMV-853</v>
      </c>
      <c r="D32" t="str">
        <v>CMV-853</v>
      </c>
      <c r="E32" t="str">
        <v/>
      </c>
      <c r="F32" t="str">
        <v>867162029810454</v>
      </c>
      <c r="G32" t="str">
        <v>TBD</v>
      </c>
      <c r="H32" t="str">
        <v/>
      </c>
      <c r="I32" t="str">
        <v/>
      </c>
      <c r="J32" t="str">
        <v>01/10/2026</v>
      </c>
      <c r="K32" t="str">
        <v>08:18:35</v>
      </c>
      <c r="L32">
        <v>-12.142146</v>
      </c>
      <c r="M32">
        <v>-76.9498</v>
      </c>
      <c r="N32">
        <f>HYPERLINK("https://www.google.com/maps/search/?api=1&amp;query=-12.142146,-76.9498","Avenida Primavera, Villa María del Triunfo, Lima")</f>
      </c>
      <c r="O32" t="str">
        <v>Se desactivó la entrada 2</v>
      </c>
      <c r="P32" t="str">
        <v>Puerta Abierta</v>
      </c>
      <c r="Q32">
        <v>12258.8</v>
      </c>
      <c r="R32" t="str">
        <v/>
      </c>
      <c r="S32">
        <v>0.2</v>
      </c>
      <c r="T32">
        <v>0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90</v>
      </c>
      <c r="AC32" t="str">
        <v>01/10/2026</v>
      </c>
      <c r="AD32" t="str">
        <v>08:18:34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01/10/2026 08:18:44</v>
      </c>
      <c r="AL32" t="str">
        <v>08:18:44</v>
      </c>
      <c r="AM32" t="str">
        <v/>
      </c>
    </row>
    <row r="33">
      <c r="A33">
        <v>32</v>
      </c>
      <c r="B33" t="str">
        <v>MASS BSF</v>
      </c>
      <c r="C33" t="str">
        <v>CMV-853</v>
      </c>
      <c r="D33" t="str">
        <v>CMV-853</v>
      </c>
      <c r="E33" t="str">
        <v/>
      </c>
      <c r="F33" t="str">
        <v>867162029810454</v>
      </c>
      <c r="G33" t="str">
        <v>TBD</v>
      </c>
      <c r="H33" t="str">
        <v/>
      </c>
      <c r="I33" t="str">
        <v/>
      </c>
      <c r="J33" t="str">
        <v>01/10/2026</v>
      </c>
      <c r="K33" t="str">
        <v>08:33:59</v>
      </c>
      <c r="L33">
        <v>-12.142146</v>
      </c>
      <c r="M33">
        <v>-76.9498</v>
      </c>
      <c r="N33">
        <f>HYPERLINK("https://www.google.com/maps/search/?api=1&amp;query=-12.142146,-76.9498","Avenida Primavera, Villa María del Triunfo, Lima")</f>
      </c>
      <c r="O33" t="str">
        <v>Se activó la entrada 2</v>
      </c>
      <c r="P33" t="str">
        <v>Puerta Cerrada</v>
      </c>
      <c r="Q33">
        <v>12258.8</v>
      </c>
      <c r="R33" t="str">
        <v/>
      </c>
      <c r="S33">
        <v>0.1</v>
      </c>
      <c r="T33">
        <v>0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90</v>
      </c>
      <c r="AC33" t="str">
        <v>01/10/2026</v>
      </c>
      <c r="AD33" t="str">
        <v>08:33:58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01/10/2026 08:34:12</v>
      </c>
      <c r="AL33" t="str">
        <v>08:34:12</v>
      </c>
      <c r="AM33" t="str">
        <v/>
      </c>
    </row>
    <row r="34">
      <c r="A34">
        <v>33</v>
      </c>
      <c r="B34" t="str">
        <v>MASS BSF</v>
      </c>
      <c r="C34" t="str">
        <v>CMV-853</v>
      </c>
      <c r="D34" t="str">
        <v>CMV-853</v>
      </c>
      <c r="E34" t="str">
        <v/>
      </c>
      <c r="F34" t="str">
        <v>867162029810454</v>
      </c>
      <c r="G34" t="str">
        <v>TBD</v>
      </c>
      <c r="H34" t="str">
        <v/>
      </c>
      <c r="I34" t="str">
        <v/>
      </c>
      <c r="J34" t="str">
        <v>01/10/2026</v>
      </c>
      <c r="K34" t="str">
        <v>08:35:46</v>
      </c>
      <c r="L34">
        <v>-12.142146</v>
      </c>
      <c r="M34">
        <v>-76.9498</v>
      </c>
      <c r="N34">
        <f>HYPERLINK("https://www.google.com/maps/search/?api=1&amp;query=-12.142146,-76.9498","Avenida Primavera, Villa María del Triunfo, Lima")</f>
      </c>
      <c r="O34" t="str">
        <v>Vehículo encendido</v>
      </c>
      <c r="P34" t="str">
        <v/>
      </c>
      <c r="Q34">
        <v>12258.8</v>
      </c>
      <c r="R34" t="str">
        <v/>
      </c>
      <c r="S34">
        <v>0</v>
      </c>
      <c r="T34">
        <v>0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90</v>
      </c>
      <c r="AC34" t="str">
        <v>01/10/2026</v>
      </c>
      <c r="AD34" t="str">
        <v>08:33:58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01/10/2026 08:35:59</v>
      </c>
      <c r="AL34" t="str">
        <v>08:35:59</v>
      </c>
      <c r="AM34" t="str">
        <v/>
      </c>
    </row>
    <row r="35">
      <c r="A35">
        <v>34</v>
      </c>
      <c r="B35" t="str">
        <v>MASS BSF</v>
      </c>
      <c r="C35" t="str">
        <v>CMV-853</v>
      </c>
      <c r="D35" t="str">
        <v>CMV-853</v>
      </c>
      <c r="E35" t="str">
        <v/>
      </c>
      <c r="F35" t="str">
        <v>867162029810454</v>
      </c>
      <c r="G35" t="str">
        <v>TBD</v>
      </c>
      <c r="H35" t="str">
        <v/>
      </c>
      <c r="I35" t="str">
        <v/>
      </c>
      <c r="J35" t="str">
        <v>01/10/2026</v>
      </c>
      <c r="K35" t="str">
        <v>08:36:48</v>
      </c>
      <c r="L35">
        <v>-12.142122</v>
      </c>
      <c r="M35">
        <v>-76.94982</v>
      </c>
      <c r="N35">
        <f>HYPERLINK("https://www.google.com/maps/search/?api=1&amp;query=-12.142122,-76.94982","Avenida Primavera, Villa María del Triunfo, Lima")</f>
      </c>
      <c r="O35" t="str">
        <v>Vehículo apagado</v>
      </c>
      <c r="P35" t="str">
        <v>Vehículo Apagado</v>
      </c>
      <c r="Q35">
        <v>12258.8</v>
      </c>
      <c r="R35" t="str">
        <v/>
      </c>
      <c r="S35">
        <v>0.3</v>
      </c>
      <c r="T35">
        <v>0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90</v>
      </c>
      <c r="AC35" t="str">
        <v>01/10/2026</v>
      </c>
      <c r="AD35" t="str">
        <v>08:35:51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01/10/2026 08:36:56</v>
      </c>
      <c r="AL35" t="str">
        <v>08:36:56</v>
      </c>
      <c r="AM35" t="str">
        <v/>
      </c>
    </row>
    <row r="36">
      <c r="A36">
        <v>35</v>
      </c>
      <c r="B36" t="str">
        <v>MASS BSF</v>
      </c>
      <c r="C36" t="str">
        <v>CMV-853</v>
      </c>
      <c r="D36" t="str">
        <v>CMV-853</v>
      </c>
      <c r="E36" t="str">
        <v/>
      </c>
      <c r="F36" t="str">
        <v>867162029810454</v>
      </c>
      <c r="G36" t="str">
        <v>TBD</v>
      </c>
      <c r="H36" t="str">
        <v/>
      </c>
      <c r="I36" t="str">
        <v/>
      </c>
      <c r="J36" t="str">
        <v>01/10/2026</v>
      </c>
      <c r="K36" t="str">
        <v>08:37:18</v>
      </c>
      <c r="L36">
        <v>-12.142122</v>
      </c>
      <c r="M36">
        <v>-76.94982</v>
      </c>
      <c r="N36">
        <f>HYPERLINK("https://www.google.com/maps/search/?api=1&amp;query=-12.142122,-76.94982","Avenida Primavera, Villa María del Triunfo, Lima")</f>
      </c>
      <c r="O36" t="str">
        <v>Vehículo encendido</v>
      </c>
      <c r="P36" t="str">
        <v/>
      </c>
      <c r="Q36">
        <v>12258.8</v>
      </c>
      <c r="R36" t="str">
        <v/>
      </c>
      <c r="S36">
        <v>0</v>
      </c>
      <c r="T36">
        <v>0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90</v>
      </c>
      <c r="AC36" t="str">
        <v>01/10/2026</v>
      </c>
      <c r="AD36" t="str">
        <v>08:36:50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01/10/2026 08:37:27</v>
      </c>
      <c r="AL36" t="str">
        <v>08:37:27</v>
      </c>
      <c r="AM36" t="str">
        <v/>
      </c>
    </row>
    <row r="37">
      <c r="A37">
        <v>36</v>
      </c>
      <c r="B37" t="str">
        <v>MASS BSF</v>
      </c>
      <c r="C37" t="str">
        <v>CMV-853</v>
      </c>
      <c r="D37" t="str">
        <v>CMV-853</v>
      </c>
      <c r="E37" t="str">
        <v/>
      </c>
      <c r="F37" t="str">
        <v>867162029810454</v>
      </c>
      <c r="G37" t="str">
        <v>TBD</v>
      </c>
      <c r="H37" t="str">
        <v/>
      </c>
      <c r="I37" t="str">
        <v xml:space="preserve"> </v>
      </c>
      <c r="J37" t="str">
        <v>01/10/2026</v>
      </c>
      <c r="K37" t="str">
        <v>08:38:22</v>
      </c>
      <c r="L37">
        <v>-12.143024</v>
      </c>
      <c r="M37">
        <v>-76.94999</v>
      </c>
      <c r="N37">
        <f>HYPERLINK("https://www.google.com/maps/search/?api=1&amp;query=-12.143024,-76.94999","Avenida Primavera, Villa María del Triunfo, Lima")</f>
      </c>
      <c r="O37" t="str">
        <v>Salió de zona</v>
      </c>
      <c r="P37" t="str">
        <v/>
      </c>
      <c r="Q37">
        <v>12258.8</v>
      </c>
      <c r="R37" t="str">
        <v>312-PRIMAVERA</v>
      </c>
      <c r="S37">
        <v>21.9</v>
      </c>
      <c r="T37">
        <v>0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90</v>
      </c>
      <c r="AC37" t="str">
        <v>01/10/2026</v>
      </c>
      <c r="AD37" t="str">
        <v>08:38:17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01/10/2026 08:38:35</v>
      </c>
      <c r="AL37" t="str">
        <v>08:38:35</v>
      </c>
      <c r="AM37" t="str">
        <v/>
      </c>
    </row>
    <row r="38">
      <c r="A38">
        <v>37</v>
      </c>
      <c r="B38" t="str">
        <v>MASS BSF</v>
      </c>
      <c r="C38" t="str">
        <v>CMV-853</v>
      </c>
      <c r="D38" t="str">
        <v>CMV-853</v>
      </c>
      <c r="E38" t="str">
        <v/>
      </c>
      <c r="F38" t="str">
        <v>867162029810454</v>
      </c>
      <c r="G38" t="str">
        <v>TBD</v>
      </c>
      <c r="H38" t="str">
        <v/>
      </c>
      <c r="I38" t="str">
        <v xml:space="preserve"> </v>
      </c>
      <c r="J38" t="str">
        <v>01/10/2026</v>
      </c>
      <c r="K38" t="str">
        <v>08:46:32</v>
      </c>
      <c r="L38">
        <v>-12.158225</v>
      </c>
      <c r="M38">
        <v>-76.95797</v>
      </c>
      <c r="N38">
        <f>HYPERLINK("https://www.google.com/maps/search/?api=1&amp;query=-12.158225,-76.95797","Avenida Nicolás de Piérola, San Juan de Miraflores, Lima")</f>
      </c>
      <c r="O38" t="str">
        <v>Llegó a la zona</v>
      </c>
      <c r="P38" t="str">
        <v/>
      </c>
      <c r="Q38">
        <v>12261.5</v>
      </c>
      <c r="R38" t="str">
        <v>1226-DEFENSOR1SJM MS</v>
      </c>
      <c r="S38">
        <v>15.3</v>
      </c>
      <c r="T38">
        <v>0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90</v>
      </c>
      <c r="AC38" t="str">
        <v>01/10/2026</v>
      </c>
      <c r="AD38" t="str">
        <v>08:46:17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01/10/2026 08:46:36</v>
      </c>
      <c r="AL38" t="str">
        <v>08:46:36</v>
      </c>
      <c r="AM38" t="str">
        <v/>
      </c>
    </row>
    <row r="39">
      <c r="A39">
        <v>38</v>
      </c>
      <c r="B39" t="str">
        <v>MASS BSF</v>
      </c>
      <c r="C39" t="str">
        <v>CMV-853</v>
      </c>
      <c r="D39" t="str">
        <v>CMV-853</v>
      </c>
      <c r="E39" t="str">
        <v/>
      </c>
      <c r="F39" t="str">
        <v>867162029810454</v>
      </c>
      <c r="G39" t="str">
        <v>TBD</v>
      </c>
      <c r="H39" t="str">
        <v/>
      </c>
      <c r="I39" t="str">
        <v xml:space="preserve"> </v>
      </c>
      <c r="J39" t="str">
        <v>01/10/2026</v>
      </c>
      <c r="K39" t="str">
        <v>08:47:00</v>
      </c>
      <c r="L39">
        <v>-12.15932</v>
      </c>
      <c r="M39">
        <v>-76.95663</v>
      </c>
      <c r="N39">
        <f>HYPERLINK("https://www.google.com/maps/search/?api=1&amp;query=-12.15932,-76.95663","Avenida Nicolás de Piérola, Villa María del Triunfo, Lima")</f>
      </c>
      <c r="O39" t="str">
        <v>Salió de zona</v>
      </c>
      <c r="P39" t="str">
        <v/>
      </c>
      <c r="Q39">
        <v>12261.5</v>
      </c>
      <c r="R39" t="str">
        <v>1226-DEFENSOR1SJM MS</v>
      </c>
      <c r="S39">
        <v>13.6</v>
      </c>
      <c r="T39">
        <v>0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90</v>
      </c>
      <c r="AC39" t="str">
        <v>01/10/2026</v>
      </c>
      <c r="AD39" t="str">
        <v>08:46:59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01/10/2026 08:47:10</v>
      </c>
      <c r="AL39" t="str">
        <v>08:47:10</v>
      </c>
      <c r="AM39" t="str">
        <v/>
      </c>
    </row>
    <row r="40">
      <c r="A40">
        <v>39</v>
      </c>
      <c r="B40" t="str">
        <v>MASS BSF</v>
      </c>
      <c r="C40" t="str">
        <v>CMV-853</v>
      </c>
      <c r="D40" t="str">
        <v>CMV-853</v>
      </c>
      <c r="E40" t="str">
        <v/>
      </c>
      <c r="F40" t="str">
        <v>867162029810454</v>
      </c>
      <c r="G40" t="str">
        <v>TBD</v>
      </c>
      <c r="H40" t="str">
        <v/>
      </c>
      <c r="I40" t="str">
        <v xml:space="preserve"> </v>
      </c>
      <c r="J40" t="str">
        <v>01/10/2026</v>
      </c>
      <c r="K40" t="str">
        <v>09:59:25</v>
      </c>
      <c r="L40">
        <v>-12.317573</v>
      </c>
      <c r="M40">
        <v>-76.82962</v>
      </c>
      <c r="N40">
        <f>HYPERLINK("https://www.google.com/maps/search/?api=1&amp;query=-12.317573,-76.82962","Punta Hermosa, Lima")</f>
      </c>
      <c r="O40" t="str">
        <v>Llegó a la zona</v>
      </c>
      <c r="P40" t="str">
        <v/>
      </c>
      <c r="Q40">
        <v>12296.9</v>
      </c>
      <c r="R40" t="str">
        <v>MASS BSF 1</v>
      </c>
      <c r="S40">
        <v>0</v>
      </c>
      <c r="T40">
        <v>0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90</v>
      </c>
      <c r="AC40" t="str">
        <v>01/10/2026</v>
      </c>
      <c r="AD40" t="str">
        <v>09:59:20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01/10/2026 09:59:40</v>
      </c>
      <c r="AL40" t="str">
        <v>09:59:40</v>
      </c>
      <c r="AM40" t="str">
        <v/>
      </c>
    </row>
    <row r="41">
      <c r="A41">
        <v>40</v>
      </c>
      <c r="B41" t="str">
        <v>MASS BSF</v>
      </c>
      <c r="C41" t="str">
        <v>CMV-853</v>
      </c>
      <c r="D41" t="str">
        <v>CMV-853</v>
      </c>
      <c r="E41" t="str">
        <v/>
      </c>
      <c r="F41" t="str">
        <v>867162029810454</v>
      </c>
      <c r="G41" t="str">
        <v>TBD</v>
      </c>
      <c r="H41" t="str">
        <v/>
      </c>
      <c r="I41" t="str">
        <v/>
      </c>
      <c r="J41" t="str">
        <v>01/10/2026</v>
      </c>
      <c r="K41" t="str">
        <v>10:05:42</v>
      </c>
      <c r="L41">
        <v>-12.317542</v>
      </c>
      <c r="M41">
        <v>-76.8244</v>
      </c>
      <c r="N41">
        <f>HYPERLINK("https://www.google.com/maps/search/?api=1&amp;query=-12.317542,-76.8244","Punta Hermosa, Lima")</f>
      </c>
      <c r="O41" t="str">
        <v>Vehículo apagado</v>
      </c>
      <c r="P41" t="str">
        <v>Vehículo Apagado</v>
      </c>
      <c r="Q41">
        <v>12297.9</v>
      </c>
      <c r="R41" t="str">
        <v/>
      </c>
      <c r="S41">
        <v>0</v>
      </c>
      <c r="T41">
        <v>0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90</v>
      </c>
      <c r="AC41" t="str">
        <v>01/10/2026</v>
      </c>
      <c r="AD41" t="str">
        <v>10:05:43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01/10/2026 10:06:07</v>
      </c>
      <c r="AL41" t="str">
        <v>10:06:07</v>
      </c>
      <c r="AM41" t="str">
        <v/>
      </c>
    </row>
    <row r="42">
      <c r="A42">
        <v>41</v>
      </c>
      <c r="B42" t="str">
        <v>MASS BSF</v>
      </c>
      <c r="C42" t="str">
        <v>CMV-853</v>
      </c>
      <c r="D42" t="str">
        <v>CMV-853</v>
      </c>
      <c r="E42" t="str">
        <v/>
      </c>
      <c r="F42" t="str">
        <v>867162029810454</v>
      </c>
      <c r="G42" t="str">
        <v>TBD</v>
      </c>
      <c r="H42" t="str">
        <v/>
      </c>
      <c r="I42" t="str">
        <v/>
      </c>
      <c r="J42" t="str">
        <v>01/10/2026</v>
      </c>
      <c r="K42" t="str">
        <v>10:09:24</v>
      </c>
      <c r="L42">
        <v>-12.317542</v>
      </c>
      <c r="M42">
        <v>-76.8244</v>
      </c>
      <c r="N42">
        <f>HYPERLINK("https://www.google.com/maps/search/?api=1&amp;query=-12.317542,-76.8244","Punta Hermosa, Lima")</f>
      </c>
      <c r="O42" t="str">
        <v>Vehículo encendido</v>
      </c>
      <c r="P42" t="str">
        <v/>
      </c>
      <c r="Q42">
        <v>12297.9</v>
      </c>
      <c r="R42" t="str">
        <v/>
      </c>
      <c r="S42">
        <v>0</v>
      </c>
      <c r="T42">
        <v>0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90</v>
      </c>
      <c r="AC42" t="str">
        <v>01/10/2026</v>
      </c>
      <c r="AD42" t="str">
        <v>10:05:43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01/10/2026 10:09:36</v>
      </c>
      <c r="AL42" t="str">
        <v>10:09:36</v>
      </c>
      <c r="AM42" t="str">
        <v/>
      </c>
    </row>
    <row r="43">
      <c r="A43">
        <v>42</v>
      </c>
      <c r="B43" t="str">
        <v>MASS BSF</v>
      </c>
      <c r="C43" t="str">
        <v>CMV-853</v>
      </c>
      <c r="D43" t="str">
        <v>CMV-853</v>
      </c>
      <c r="E43" t="str">
        <v/>
      </c>
      <c r="F43" t="str">
        <v>867162029810454</v>
      </c>
      <c r="G43" t="str">
        <v>TBD</v>
      </c>
      <c r="H43" t="str">
        <v/>
      </c>
      <c r="I43" t="str">
        <v/>
      </c>
      <c r="J43" t="str">
        <v>01/10/2026</v>
      </c>
      <c r="K43" t="str">
        <v>10:09:26</v>
      </c>
      <c r="L43">
        <v>-12.317489</v>
      </c>
      <c r="M43">
        <v>-76.82433</v>
      </c>
      <c r="N43">
        <f>HYPERLINK("https://www.google.com/maps/search/?api=1&amp;query=-12.317489,-76.82433","Punta Hermosa, Lima")</f>
      </c>
      <c r="O43" t="str">
        <v>Se desactivó la entrada 2</v>
      </c>
      <c r="P43" t="str">
        <v>Puerta Abierta</v>
      </c>
      <c r="Q43">
        <v>12297.9</v>
      </c>
      <c r="R43" t="str">
        <v/>
      </c>
      <c r="S43">
        <v>0.3</v>
      </c>
      <c r="T43">
        <v>0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90</v>
      </c>
      <c r="AC43" t="str">
        <v>01/10/2026</v>
      </c>
      <c r="AD43" t="str">
        <v>10:09:25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01/10/2026 10:09:45</v>
      </c>
      <c r="AL43" t="str">
        <v>10:09:45</v>
      </c>
      <c r="AM43" t="str">
        <v/>
      </c>
    </row>
    <row r="44">
      <c r="A44">
        <v>43</v>
      </c>
      <c r="B44" t="str">
        <v>MASS BSF</v>
      </c>
      <c r="C44" t="str">
        <v>CMV-853</v>
      </c>
      <c r="D44" t="str">
        <v>CMV-853</v>
      </c>
      <c r="E44" t="str">
        <v/>
      </c>
      <c r="F44" t="str">
        <v>867162029810454</v>
      </c>
      <c r="G44" t="str">
        <v>TBD</v>
      </c>
      <c r="H44" t="str">
        <v/>
      </c>
      <c r="I44" t="str">
        <v/>
      </c>
      <c r="J44" t="str">
        <v>01/10/2026</v>
      </c>
      <c r="K44" t="str">
        <v>10:10:39</v>
      </c>
      <c r="L44">
        <v>-12.31747</v>
      </c>
      <c r="M44">
        <v>-76.82434</v>
      </c>
      <c r="N44">
        <f>HYPERLINK("https://www.google.com/maps/search/?api=1&amp;query=-12.31747,-76.82434","Punta Hermosa, Lima")</f>
      </c>
      <c r="O44" t="str">
        <v>Vehículo apagado</v>
      </c>
      <c r="P44" t="str">
        <v>Vehículo Apagado</v>
      </c>
      <c r="Q44">
        <v>12297.9</v>
      </c>
      <c r="R44" t="str">
        <v/>
      </c>
      <c r="S44">
        <v>0</v>
      </c>
      <c r="T44">
        <v>0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90</v>
      </c>
      <c r="AC44" t="str">
        <v>01/10/2026</v>
      </c>
      <c r="AD44" t="str">
        <v>10:10:22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01/10/2026 10:10:50</v>
      </c>
      <c r="AL44" t="str">
        <v>10:10:50</v>
      </c>
      <c r="AM44" t="str">
        <v/>
      </c>
    </row>
    <row r="45">
      <c r="A45">
        <v>44</v>
      </c>
      <c r="B45" t="str">
        <v>MASS BSF</v>
      </c>
      <c r="C45" t="str">
        <v>CMV-853</v>
      </c>
      <c r="D45" t="str">
        <v>CMV-853</v>
      </c>
      <c r="E45" t="str">
        <v/>
      </c>
      <c r="F45" t="str">
        <v>867162029810454</v>
      </c>
      <c r="G45" t="str">
        <v>TBD</v>
      </c>
      <c r="H45" t="str">
        <v/>
      </c>
      <c r="I45" t="str">
        <v/>
      </c>
      <c r="J45" t="str">
        <v>01/10/2026</v>
      </c>
      <c r="K45" t="str">
        <v>10:16:01</v>
      </c>
      <c r="L45">
        <v>-12.31747</v>
      </c>
      <c r="M45">
        <v>-76.82434</v>
      </c>
      <c r="N45">
        <f>HYPERLINK("https://www.google.com/maps/search/?api=1&amp;query=-12.31747,-76.82434","Punta Hermosa, Lima")</f>
      </c>
      <c r="O45" t="str">
        <v>Vehículo encendido</v>
      </c>
      <c r="P45" t="str">
        <v/>
      </c>
      <c r="Q45">
        <v>12297.9</v>
      </c>
      <c r="R45" t="str">
        <v/>
      </c>
      <c r="S45">
        <v>0</v>
      </c>
      <c r="T45">
        <v>0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90</v>
      </c>
      <c r="AC45" t="str">
        <v>01/10/2026</v>
      </c>
      <c r="AD45" t="str">
        <v>10:10:42</v>
      </c>
      <c r="AE45">
        <f>IF("NOGPS"="NOGPS","GPS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01/10/2026 10:16:35</v>
      </c>
      <c r="AL45" t="str">
        <v>10:16:35</v>
      </c>
      <c r="AM45" t="str">
        <v/>
      </c>
    </row>
    <row r="46">
      <c r="A46">
        <v>45</v>
      </c>
      <c r="B46" t="str">
        <v>MASS BSF</v>
      </c>
      <c r="C46" t="str">
        <v>CMV-853</v>
      </c>
      <c r="D46" t="str">
        <v>CMV-853</v>
      </c>
      <c r="E46" t="str">
        <v/>
      </c>
      <c r="F46" t="str">
        <v>867162029810454</v>
      </c>
      <c r="G46" t="str">
        <v>TBD</v>
      </c>
      <c r="H46" t="str">
        <v/>
      </c>
      <c r="I46" t="str">
        <v/>
      </c>
      <c r="J46" t="str">
        <v>01/10/2026</v>
      </c>
      <c r="K46" t="str">
        <v>10:22:26</v>
      </c>
      <c r="L46">
        <v>-12.317553</v>
      </c>
      <c r="M46">
        <v>-76.82443</v>
      </c>
      <c r="N46">
        <f>HYPERLINK("https://www.google.com/maps/search/?api=1&amp;query=-12.317553,-76.82443","Punta Hermosa, Lima")</f>
      </c>
      <c r="O46" t="str">
        <v>Vehículo apagado</v>
      </c>
      <c r="P46" t="str">
        <v>Vehículo Apagado</v>
      </c>
      <c r="Q46">
        <v>12298</v>
      </c>
      <c r="R46" t="str">
        <v/>
      </c>
      <c r="S46">
        <v>0</v>
      </c>
      <c r="T46">
        <v>0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90</v>
      </c>
      <c r="AC46" t="str">
        <v>01/10/2026</v>
      </c>
      <c r="AD46" t="str">
        <v>10:22:29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01/10/2026 10:22:38</v>
      </c>
      <c r="AL46" t="str">
        <v>10:22:38</v>
      </c>
      <c r="AM46" t="str">
        <v/>
      </c>
    </row>
    <row r="47">
      <c r="A47">
        <v>46</v>
      </c>
      <c r="B47" t="str">
        <v>MASS BSF</v>
      </c>
      <c r="C47" t="str">
        <v>CMV-853</v>
      </c>
      <c r="D47" t="str">
        <v>CMV-853</v>
      </c>
      <c r="E47" t="str">
        <v/>
      </c>
      <c r="F47" t="str">
        <v>867162029810454</v>
      </c>
      <c r="G47" t="str">
        <v>TBD</v>
      </c>
      <c r="H47" t="str">
        <v/>
      </c>
      <c r="I47" t="str">
        <v/>
      </c>
      <c r="J47" t="str">
        <v>01/10/2026</v>
      </c>
      <c r="K47" t="str">
        <v>10:26:51</v>
      </c>
      <c r="L47">
        <v>-12.317553</v>
      </c>
      <c r="M47">
        <v>-76.82443</v>
      </c>
      <c r="N47">
        <f>HYPERLINK("https://www.google.com/maps/search/?api=1&amp;query=-12.317553,-76.82443","Punta Hermosa, Lima")</f>
      </c>
      <c r="O47" t="str">
        <v>Vehículo encendido</v>
      </c>
      <c r="P47" t="str">
        <v/>
      </c>
      <c r="Q47">
        <v>12298</v>
      </c>
      <c r="R47" t="str">
        <v/>
      </c>
      <c r="S47">
        <v>0</v>
      </c>
      <c r="T47">
        <v>0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90</v>
      </c>
      <c r="AC47" t="str">
        <v>01/10/2026</v>
      </c>
      <c r="AD47" t="str">
        <v>10:22:29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01/10/2026 10:27:05</v>
      </c>
      <c r="AL47" t="str">
        <v>10:27:05</v>
      </c>
      <c r="AM47" t="str">
        <v/>
      </c>
    </row>
    <row r="48">
      <c r="A48">
        <v>47</v>
      </c>
      <c r="B48" t="str">
        <v>MASS BSF</v>
      </c>
      <c r="C48" t="str">
        <v>CMV-853</v>
      </c>
      <c r="D48" t="str">
        <v>CMV-853</v>
      </c>
      <c r="E48" t="str">
        <v/>
      </c>
      <c r="F48" t="str">
        <v>867162029810454</v>
      </c>
      <c r="G48" t="str">
        <v>TBD</v>
      </c>
      <c r="H48" t="str">
        <v/>
      </c>
      <c r="I48" t="str">
        <v/>
      </c>
      <c r="J48" t="str">
        <v>01/10/2026</v>
      </c>
      <c r="K48" t="str">
        <v>10:28:25</v>
      </c>
      <c r="L48">
        <v>-12.317562</v>
      </c>
      <c r="M48">
        <v>-76.82445</v>
      </c>
      <c r="N48">
        <f>HYPERLINK("https://www.google.com/maps/search/?api=1&amp;query=-12.317562,-76.82445","Punta Hermosa, Lima")</f>
      </c>
      <c r="O48" t="str">
        <v>Vehículo apagado</v>
      </c>
      <c r="P48" t="str">
        <v>Vehículo Apagado</v>
      </c>
      <c r="Q48">
        <v>12298</v>
      </c>
      <c r="R48" t="str">
        <v/>
      </c>
      <c r="S48">
        <v>0</v>
      </c>
      <c r="T48">
        <v>0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90</v>
      </c>
      <c r="AC48" t="str">
        <v>01/10/2026</v>
      </c>
      <c r="AD48" t="str">
        <v>10:28:29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01/10/2026 10:28:39</v>
      </c>
      <c r="AL48" t="str">
        <v>10:28:39</v>
      </c>
      <c r="AM48" t="str">
        <v/>
      </c>
    </row>
    <row r="49">
      <c r="A49">
        <v>48</v>
      </c>
      <c r="B49" t="str">
        <v>MASS BSF</v>
      </c>
      <c r="C49" t="str">
        <v>CMV-853</v>
      </c>
      <c r="D49" t="str">
        <v>CMV-853</v>
      </c>
      <c r="E49" t="str">
        <v/>
      </c>
      <c r="F49" t="str">
        <v>867162029810454</v>
      </c>
      <c r="G49" t="str">
        <v>TBD</v>
      </c>
      <c r="H49" t="str">
        <v/>
      </c>
      <c r="I49" t="str">
        <v/>
      </c>
      <c r="J49" t="str">
        <v>01/10/2026</v>
      </c>
      <c r="K49" t="str">
        <v>10:59:13</v>
      </c>
      <c r="L49">
        <v>-12.317562</v>
      </c>
      <c r="M49">
        <v>-76.82445</v>
      </c>
      <c r="N49">
        <f>HYPERLINK("https://www.google.com/maps/search/?api=1&amp;query=-12.317562,-76.82445","Punta Hermosa, Lima")</f>
      </c>
      <c r="O49" t="str">
        <v>Vehículo encendido</v>
      </c>
      <c r="P49" t="str">
        <v/>
      </c>
      <c r="Q49">
        <v>12298</v>
      </c>
      <c r="R49" t="str">
        <v/>
      </c>
      <c r="S49">
        <v>0</v>
      </c>
      <c r="T49">
        <v>0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90</v>
      </c>
      <c r="AC49" t="str">
        <v>01/10/2026</v>
      </c>
      <c r="AD49" t="str">
        <v>10:55:52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01/10/2026 10:59:26</v>
      </c>
      <c r="AL49" t="str">
        <v>10:59:26</v>
      </c>
      <c r="AM49" t="str">
        <v/>
      </c>
    </row>
    <row r="50">
      <c r="A50">
        <v>49</v>
      </c>
      <c r="B50" t="str">
        <v>MASS BSF</v>
      </c>
      <c r="C50" t="str">
        <v>CMV-853</v>
      </c>
      <c r="D50" t="str">
        <v>CMV-853</v>
      </c>
      <c r="E50" t="str">
        <v/>
      </c>
      <c r="F50" t="str">
        <v>867162029810454</v>
      </c>
      <c r="G50" t="str">
        <v>TBD</v>
      </c>
      <c r="H50" t="str">
        <v/>
      </c>
      <c r="I50" t="str">
        <v/>
      </c>
      <c r="J50" t="str">
        <v>01/10/2026</v>
      </c>
      <c r="K50" t="str">
        <v>11:00:31</v>
      </c>
      <c r="L50">
        <v>-12.317521</v>
      </c>
      <c r="M50">
        <v>-76.82442</v>
      </c>
      <c r="N50">
        <f>HYPERLINK("https://www.google.com/maps/search/?api=1&amp;query=-12.317521,-76.82442","Punta Hermosa, Lima")</f>
      </c>
      <c r="O50" t="str">
        <v>Vehículo apagado</v>
      </c>
      <c r="P50" t="str">
        <v>Vehículo Apagado</v>
      </c>
      <c r="Q50">
        <v>12298</v>
      </c>
      <c r="R50" t="str">
        <v/>
      </c>
      <c r="S50">
        <v>0</v>
      </c>
      <c r="T50">
        <v>0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90</v>
      </c>
      <c r="AC50" t="str">
        <v>01/10/2026</v>
      </c>
      <c r="AD50" t="str">
        <v>11:00:11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01/10/2026 11:00:47</v>
      </c>
      <c r="AL50" t="str">
        <v>11:00:47</v>
      </c>
      <c r="AM50" t="str">
        <v/>
      </c>
    </row>
    <row r="51">
      <c r="A51">
        <v>50</v>
      </c>
      <c r="B51" t="str">
        <v>MASS BSF</v>
      </c>
      <c r="C51" t="str">
        <v>CMV-853</v>
      </c>
      <c r="D51" t="str">
        <v>CMV-853</v>
      </c>
      <c r="E51" t="str">
        <v/>
      </c>
      <c r="F51" t="str">
        <v>867162029810454</v>
      </c>
      <c r="G51" t="str">
        <v>TBD</v>
      </c>
      <c r="H51" t="str">
        <v/>
      </c>
      <c r="I51" t="str">
        <v/>
      </c>
      <c r="J51" t="str">
        <v>01/10/2026</v>
      </c>
      <c r="K51" t="str">
        <v>11:01:54</v>
      </c>
      <c r="L51">
        <v>-12.317521</v>
      </c>
      <c r="M51">
        <v>-76.82442</v>
      </c>
      <c r="N51">
        <f>HYPERLINK("https://www.google.com/maps/search/?api=1&amp;query=-12.317521,-76.82442","Punta Hermosa, Lima")</f>
      </c>
      <c r="O51" t="str">
        <v>Se activó la entrada 2</v>
      </c>
      <c r="P51" t="str">
        <v>Puerta Cerrada</v>
      </c>
      <c r="Q51">
        <v>12298</v>
      </c>
      <c r="R51" t="str">
        <v/>
      </c>
      <c r="S51">
        <v>0</v>
      </c>
      <c r="T51">
        <v>0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90</v>
      </c>
      <c r="AC51" t="str">
        <v>01/10/2026</v>
      </c>
      <c r="AD51" t="str">
        <v>11:01:53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01/10/2026 11:02:16</v>
      </c>
      <c r="AL51" t="str">
        <v>11:02:16</v>
      </c>
      <c r="AM51" t="str">
        <v/>
      </c>
    </row>
    <row r="52">
      <c r="A52">
        <v>51</v>
      </c>
      <c r="B52" t="str">
        <v>MASS BSF</v>
      </c>
      <c r="C52" t="str">
        <v>CMV-853</v>
      </c>
      <c r="D52" t="str">
        <v>CMV-853</v>
      </c>
      <c r="E52" t="str">
        <v/>
      </c>
      <c r="F52" t="str">
        <v>867162029810454</v>
      </c>
      <c r="G52" t="str">
        <v>TBD</v>
      </c>
      <c r="H52" t="str">
        <v/>
      </c>
      <c r="I52" t="str">
        <v/>
      </c>
      <c r="J52" t="str">
        <v>01/10/2026</v>
      </c>
      <c r="K52" t="str">
        <v>11:07:46</v>
      </c>
      <c r="L52">
        <v>-12.317521</v>
      </c>
      <c r="M52">
        <v>-76.82442</v>
      </c>
      <c r="N52">
        <f>HYPERLINK("https://www.google.com/maps/search/?api=1&amp;query=-12.317521,-76.82442","Punta Hermosa, Lima")</f>
      </c>
      <c r="O52" t="str">
        <v>Vehículo encendido</v>
      </c>
      <c r="P52" t="str">
        <v/>
      </c>
      <c r="Q52">
        <v>12298</v>
      </c>
      <c r="R52" t="str">
        <v/>
      </c>
      <c r="S52">
        <v>0</v>
      </c>
      <c r="T52">
        <v>0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90</v>
      </c>
      <c r="AC52" t="str">
        <v>01/10/2026</v>
      </c>
      <c r="AD52" t="str">
        <v>11:00:34</v>
      </c>
      <c r="AE52">
        <f>IF("NOGPS"="NOGPS","GPS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01/10/2026 11:07:58</v>
      </c>
      <c r="AL52" t="str">
        <v>11:07:58</v>
      </c>
      <c r="AM52" t="str">
        <v/>
      </c>
    </row>
    <row r="53">
      <c r="A53">
        <v>52</v>
      </c>
      <c r="B53" t="str">
        <v>MASS BSF</v>
      </c>
      <c r="C53" t="str">
        <v>CMV-853</v>
      </c>
      <c r="D53" t="str">
        <v>CMV-853</v>
      </c>
      <c r="E53" t="str">
        <v/>
      </c>
      <c r="F53" t="str">
        <v>867162029810454</v>
      </c>
      <c r="G53" t="str">
        <v>TBD</v>
      </c>
      <c r="H53" t="str">
        <v/>
      </c>
      <c r="I53" t="str">
        <v xml:space="preserve"> </v>
      </c>
      <c r="J53" t="str">
        <v>01/10/2026</v>
      </c>
      <c r="K53" t="str">
        <v>11:12:44</v>
      </c>
      <c r="L53">
        <v>-12.317521</v>
      </c>
      <c r="M53">
        <v>-76.82994</v>
      </c>
      <c r="N53">
        <f>HYPERLINK("https://www.google.com/maps/search/?api=1&amp;query=-12.317521,-76.82994","Punta Hermosa, Lima")</f>
      </c>
      <c r="O53" t="str">
        <v>Salió de zona</v>
      </c>
      <c r="P53" t="str">
        <v/>
      </c>
      <c r="Q53">
        <v>12298.7</v>
      </c>
      <c r="R53" t="str">
        <v>MASS BSF 1</v>
      </c>
      <c r="S53">
        <v>15.3</v>
      </c>
      <c r="T53">
        <v>0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90</v>
      </c>
      <c r="AC53" t="str">
        <v>01/10/2026</v>
      </c>
      <c r="AD53" t="str">
        <v>11:12:43</v>
      </c>
      <c r="AE53">
        <f>IF("ONLINE"="NOGPS","GPS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01/10/2026 11:13:05</v>
      </c>
      <c r="AL53" t="str">
        <v>11:13:05</v>
      </c>
      <c r="AM53" t="str">
        <v/>
      </c>
    </row>
    <row r="54">
      <c r="A54">
        <v>53</v>
      </c>
      <c r="B54" t="str">
        <v>MASS BSF</v>
      </c>
      <c r="C54" t="str">
        <v>CMV-853</v>
      </c>
      <c r="D54" t="str">
        <v>CMV-853</v>
      </c>
      <c r="E54" t="str">
        <v/>
      </c>
      <c r="F54" t="str">
        <v>867162029810454</v>
      </c>
      <c r="G54" t="str">
        <v>TBD</v>
      </c>
      <c r="H54" t="str">
        <v/>
      </c>
      <c r="I54" t="str">
        <v/>
      </c>
      <c r="J54" t="str">
        <v>01/10/2026</v>
      </c>
      <c r="K54" t="str">
        <v>11:35:46</v>
      </c>
      <c r="L54">
        <v>-12.386265</v>
      </c>
      <c r="M54">
        <v>-76.7719</v>
      </c>
      <c r="N54">
        <f>HYPERLINK("https://www.google.com/maps/search/?api=1&amp;query=-12.386265,-76.7719","Avenida San José, San Bartolo, Lima")</f>
      </c>
      <c r="O54" t="str">
        <v>Vehículo apagado</v>
      </c>
      <c r="P54" t="str">
        <v>Vehículo Apagado</v>
      </c>
      <c r="Q54">
        <v>12314</v>
      </c>
      <c r="R54" t="str">
        <v/>
      </c>
      <c r="S54">
        <v>0</v>
      </c>
      <c r="T54">
        <v>0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90</v>
      </c>
      <c r="AC54" t="str">
        <v>01/10/2026</v>
      </c>
      <c r="AD54" t="str">
        <v>11:34:46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01/10/2026 11:35:56</v>
      </c>
      <c r="AL54" t="str">
        <v>11:35:56</v>
      </c>
      <c r="AM54" t="str">
        <v/>
      </c>
    </row>
    <row r="55">
      <c r="A55">
        <v>54</v>
      </c>
      <c r="B55" t="str">
        <v>MASS BSF</v>
      </c>
      <c r="C55" t="str">
        <v>CMV-853</v>
      </c>
      <c r="D55" t="str">
        <v>CMV-853</v>
      </c>
      <c r="E55" t="str">
        <v/>
      </c>
      <c r="F55" t="str">
        <v>867162029810454</v>
      </c>
      <c r="G55" t="str">
        <v>TBD</v>
      </c>
      <c r="H55" t="str">
        <v/>
      </c>
      <c r="I55" t="str">
        <v/>
      </c>
      <c r="J55" t="str">
        <v>01/10/2026</v>
      </c>
      <c r="K55" t="str">
        <v>11:38:33</v>
      </c>
      <c r="L55">
        <v>-12.386265</v>
      </c>
      <c r="M55">
        <v>-76.7719</v>
      </c>
      <c r="N55">
        <f>HYPERLINK("https://www.google.com/maps/search/?api=1&amp;query=-12.386265,-76.7719","Avenida San José, San Bartolo, Lima")</f>
      </c>
      <c r="O55" t="str">
        <v>Se desactivó la entrada 2</v>
      </c>
      <c r="P55" t="str">
        <v>Puerta Abierta</v>
      </c>
      <c r="Q55">
        <v>12314.1</v>
      </c>
      <c r="R55" t="str">
        <v/>
      </c>
      <c r="S55">
        <v>0</v>
      </c>
      <c r="T55">
        <v>0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90</v>
      </c>
      <c r="AC55" t="str">
        <v>01/10/2026</v>
      </c>
      <c r="AD55" t="str">
        <v>11:38:32</v>
      </c>
      <c r="AE55">
        <f>IF("ONLINE"="NOGPS","GPS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01/10/2026 11:38:48</v>
      </c>
      <c r="AL55" t="str">
        <v>11:38:48</v>
      </c>
      <c r="AM55" t="str">
        <v/>
      </c>
    </row>
    <row r="56">
      <c r="A56">
        <v>55</v>
      </c>
      <c r="B56" t="str">
        <v>MASS BSF</v>
      </c>
      <c r="C56" t="str">
        <v>CMV-853</v>
      </c>
      <c r="D56" t="str">
        <v>CMV-853</v>
      </c>
      <c r="E56" t="str">
        <v/>
      </c>
      <c r="F56" t="str">
        <v>867162029810454</v>
      </c>
      <c r="G56" t="str">
        <v>TBD</v>
      </c>
      <c r="H56" t="str">
        <v/>
      </c>
      <c r="I56" t="str">
        <v/>
      </c>
      <c r="J56" t="str">
        <v>01/10/2026</v>
      </c>
      <c r="K56" t="str">
        <v>11:52:19</v>
      </c>
      <c r="L56">
        <v>-12.386265</v>
      </c>
      <c r="M56">
        <v>-76.7719</v>
      </c>
      <c r="N56">
        <f>HYPERLINK("https://www.google.com/maps/search/?api=1&amp;query=-12.386265,-76.7719","Avenida San José, San Bartolo, Lima")</f>
      </c>
      <c r="O56" t="str">
        <v>Se activó la entrada 2</v>
      </c>
      <c r="P56" t="str">
        <v>Puerta Cerrada</v>
      </c>
      <c r="Q56">
        <v>12314.1</v>
      </c>
      <c r="R56" t="str">
        <v/>
      </c>
      <c r="S56">
        <v>0</v>
      </c>
      <c r="T56">
        <v>0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90</v>
      </c>
      <c r="AC56" t="str">
        <v>01/10/2026</v>
      </c>
      <c r="AD56" t="str">
        <v>11:52:18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01/10/2026 11:52:38</v>
      </c>
      <c r="AL56" t="str">
        <v>11:52:38</v>
      </c>
      <c r="AM56" t="str">
        <v/>
      </c>
    </row>
    <row r="57">
      <c r="A57">
        <v>56</v>
      </c>
      <c r="B57" t="str">
        <v>MASS BSF</v>
      </c>
      <c r="C57" t="str">
        <v>CMV-853</v>
      </c>
      <c r="D57" t="str">
        <v>CMV-853</v>
      </c>
      <c r="E57" t="str">
        <v/>
      </c>
      <c r="F57" t="str">
        <v>867162029810454</v>
      </c>
      <c r="G57" t="str">
        <v>TBD</v>
      </c>
      <c r="H57" t="str">
        <v/>
      </c>
      <c r="I57" t="str">
        <v/>
      </c>
      <c r="J57" t="str">
        <v>01/10/2026</v>
      </c>
      <c r="K57" t="str">
        <v>11:56:53</v>
      </c>
      <c r="L57">
        <v>-12.386265</v>
      </c>
      <c r="M57">
        <v>-76.7719</v>
      </c>
      <c r="N57">
        <f>HYPERLINK("https://www.google.com/maps/search/?api=1&amp;query=-12.386265,-76.7719","Avenida San José, San Bartolo, Lima")</f>
      </c>
      <c r="O57" t="str">
        <v>Vehículo encendido</v>
      </c>
      <c r="P57" t="str">
        <v/>
      </c>
      <c r="Q57">
        <v>12314.1</v>
      </c>
      <c r="R57" t="str">
        <v/>
      </c>
      <c r="S57">
        <v>0</v>
      </c>
      <c r="T57">
        <v>0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90</v>
      </c>
      <c r="AC57" t="str">
        <v>01/10/2026</v>
      </c>
      <c r="AD57" t="str">
        <v>11:52:18</v>
      </c>
      <c r="AE57">
        <f>IF("ONLINE"="NOGPS","GPS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01/10/2026 11:57:13</v>
      </c>
      <c r="AL57" t="str">
        <v>11:57:13</v>
      </c>
      <c r="AM57" t="str">
        <v/>
      </c>
    </row>
    <row r="58">
      <c r="A58">
        <v>57</v>
      </c>
      <c r="B58" t="str">
        <v>MASS BSF</v>
      </c>
      <c r="C58" t="str">
        <v>CMV-853</v>
      </c>
      <c r="D58" t="str">
        <v>CMV-853</v>
      </c>
      <c r="E58" t="str">
        <v/>
      </c>
      <c r="F58" t="str">
        <v>867162029810454</v>
      </c>
      <c r="G58" t="str">
        <v>TBD</v>
      </c>
      <c r="H58" t="str">
        <v/>
      </c>
      <c r="I58" t="str">
        <v xml:space="preserve"> </v>
      </c>
      <c r="J58" t="str">
        <v>01/10/2026</v>
      </c>
      <c r="K58" t="str">
        <v>11:56:57</v>
      </c>
      <c r="L58">
        <v>-12.38656</v>
      </c>
      <c r="M58">
        <v>-76.77178</v>
      </c>
      <c r="N58">
        <f>HYPERLINK("https://www.google.com/maps/search/?api=1&amp;query=-12.38656,-76.77178","Avenida San José, San Bartolo, Lima")</f>
      </c>
      <c r="O58" t="str">
        <v>Llegó a la zona</v>
      </c>
      <c r="P58" t="str">
        <v/>
      </c>
      <c r="Q58">
        <v>12314</v>
      </c>
      <c r="R58" t="str">
        <v>1942-SANBARTOLO2 MS</v>
      </c>
      <c r="S58">
        <v>0.2</v>
      </c>
      <c r="T58">
        <v>0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90</v>
      </c>
      <c r="AC58" t="str">
        <v>01/10/2026</v>
      </c>
      <c r="AD58" t="str">
        <v>11:56:56</v>
      </c>
      <c r="AE58">
        <f>IF("ONLINE"="NOGPS","GPS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01/10/2026 11:57:09</v>
      </c>
      <c r="AL58" t="str">
        <v>11:57:09</v>
      </c>
      <c r="AM58" t="str">
        <v/>
      </c>
    </row>
    <row r="59">
      <c r="A59">
        <v>58</v>
      </c>
      <c r="B59" t="str">
        <v>MASS BSF</v>
      </c>
      <c r="C59" t="str">
        <v>CMV-853</v>
      </c>
      <c r="D59" t="str">
        <v>CMV-853</v>
      </c>
      <c r="E59" t="str">
        <v/>
      </c>
      <c r="F59" t="str">
        <v>867162029810454</v>
      </c>
      <c r="G59" t="str">
        <v>TBD</v>
      </c>
      <c r="H59" t="str">
        <v/>
      </c>
      <c r="I59" t="str">
        <v xml:space="preserve"> </v>
      </c>
      <c r="J59" t="str">
        <v>01/10/2026</v>
      </c>
      <c r="K59" t="str">
        <v>11:58:09</v>
      </c>
      <c r="L59">
        <v>-12.386314</v>
      </c>
      <c r="M59">
        <v>-76.77167</v>
      </c>
      <c r="N59">
        <f>HYPERLINK("https://www.google.com/maps/search/?api=1&amp;query=-12.386314,-76.77167","Avenida San José, San Bartolo, Lima")</f>
      </c>
      <c r="O59" t="str">
        <v>Salió de zona</v>
      </c>
      <c r="P59" t="str">
        <v/>
      </c>
      <c r="Q59">
        <v>12314.1</v>
      </c>
      <c r="R59" t="str">
        <v>1942-SANBARTOLO2 MS</v>
      </c>
      <c r="S59">
        <v>8</v>
      </c>
      <c r="T59">
        <v>0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90</v>
      </c>
      <c r="AC59" t="str">
        <v>01/10/2026</v>
      </c>
      <c r="AD59" t="str">
        <v>11:58:08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01/10/2026 11:58:16</v>
      </c>
      <c r="AL59" t="str">
        <v>11:58:16</v>
      </c>
      <c r="AM59" t="str">
        <v/>
      </c>
    </row>
    <row r="60">
      <c r="A60">
        <v>59</v>
      </c>
      <c r="B60" t="str">
        <v>MASS BSF</v>
      </c>
      <c r="C60" t="str">
        <v>CMV-853</v>
      </c>
      <c r="D60" t="str">
        <v>CMV-853</v>
      </c>
      <c r="E60" t="str">
        <v/>
      </c>
      <c r="F60" t="str">
        <v>867162029810454</v>
      </c>
      <c r="G60" t="str">
        <v>TBD</v>
      </c>
      <c r="H60" t="str">
        <v/>
      </c>
      <c r="I60" t="str">
        <v xml:space="preserve"> </v>
      </c>
      <c r="J60" t="str">
        <v>01/10/2026</v>
      </c>
      <c r="K60" t="str">
        <v>12:05:21</v>
      </c>
      <c r="L60">
        <v>-12.389189</v>
      </c>
      <c r="M60">
        <v>-76.7785</v>
      </c>
      <c r="N60">
        <f>HYPERLINK("https://www.google.com/maps/search/?api=1&amp;query=-12.389189,-76.7785","Calle Los Barcos, San Bartolo, Lima")</f>
      </c>
      <c r="O60" t="str">
        <v>Llegó a la zona</v>
      </c>
      <c r="P60" t="str">
        <v/>
      </c>
      <c r="Q60">
        <v>12315.2</v>
      </c>
      <c r="R60" t="str">
        <v>299-SAN BARTOLO</v>
      </c>
      <c r="S60">
        <v>7.5</v>
      </c>
      <c r="T60">
        <v>0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90</v>
      </c>
      <c r="AC60" t="str">
        <v>01/10/2026</v>
      </c>
      <c r="AD60" t="str">
        <v>12:05:20</v>
      </c>
      <c r="AE60">
        <f>IF("ONLINE"="NOGPS","GPS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01/10/2026 12:05:31</v>
      </c>
      <c r="AL60" t="str">
        <v>12:05:31</v>
      </c>
      <c r="AM60" t="str">
        <v/>
      </c>
    </row>
    <row r="61">
      <c r="A61">
        <v>60</v>
      </c>
      <c r="B61" t="str">
        <v>MASS BSF</v>
      </c>
      <c r="C61" t="str">
        <v>CMV-853</v>
      </c>
      <c r="D61" t="str">
        <v>CMV-853</v>
      </c>
      <c r="E61" t="str">
        <v/>
      </c>
      <c r="F61" t="str">
        <v>867162029810454</v>
      </c>
      <c r="G61" t="str">
        <v>TBD</v>
      </c>
      <c r="H61" t="str">
        <v/>
      </c>
      <c r="I61" t="str">
        <v xml:space="preserve"> </v>
      </c>
      <c r="J61" t="str">
        <v>01/10/2026</v>
      </c>
      <c r="K61" t="str">
        <v>12:06:02</v>
      </c>
      <c r="L61">
        <v>-12.389168</v>
      </c>
      <c r="M61">
        <v>-76.778534</v>
      </c>
      <c r="N61">
        <f>HYPERLINK("https://www.google.com/maps/search/?api=1&amp;query=-12.389168,-76.778534","Calle Los Barcos, San Bartolo, Lima")</f>
      </c>
      <c r="O61" t="str">
        <v>Salió de zona</v>
      </c>
      <c r="P61" t="str">
        <v/>
      </c>
      <c r="Q61">
        <v>12315.2</v>
      </c>
      <c r="R61" t="str">
        <v>299-SAN BARTOLO</v>
      </c>
      <c r="S61">
        <v>0</v>
      </c>
      <c r="T61">
        <v>0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90</v>
      </c>
      <c r="AC61" t="str">
        <v>01/10/2026</v>
      </c>
      <c r="AD61" t="str">
        <v>12:05:53</v>
      </c>
      <c r="AE61">
        <f>IF("ONLINE"="NOGPS","GPS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01/10/2026 12:06:12</v>
      </c>
      <c r="AL61" t="str">
        <v>12:06:12</v>
      </c>
      <c r="AM61" t="str">
        <v/>
      </c>
    </row>
    <row r="62">
      <c r="A62">
        <v>61</v>
      </c>
      <c r="B62" t="str">
        <v>MASS BSF</v>
      </c>
      <c r="C62" t="str">
        <v>CMV-853</v>
      </c>
      <c r="D62" t="str">
        <v>CMV-853</v>
      </c>
      <c r="E62" t="str">
        <v/>
      </c>
      <c r="F62" t="str">
        <v>867162029810454</v>
      </c>
      <c r="G62" t="str">
        <v>TBD</v>
      </c>
      <c r="H62" t="str">
        <v/>
      </c>
      <c r="I62" t="str">
        <v/>
      </c>
      <c r="J62" t="str">
        <v>01/10/2026</v>
      </c>
      <c r="K62" t="str">
        <v>12:06:52</v>
      </c>
      <c r="L62">
        <v>-12.389168</v>
      </c>
      <c r="M62">
        <v>-76.778534</v>
      </c>
      <c r="N62">
        <f>HYPERLINK("https://www.google.com/maps/search/?api=1&amp;query=-12.389168,-76.778534","Calle Los Barcos, San Bartolo, Lima")</f>
      </c>
      <c r="O62" t="str">
        <v>Vehículo apagado</v>
      </c>
      <c r="P62" t="str">
        <v>Vehículo Apagado</v>
      </c>
      <c r="Q62">
        <v>12315.2</v>
      </c>
      <c r="R62" t="str">
        <v/>
      </c>
      <c r="S62">
        <v>0</v>
      </c>
      <c r="T62">
        <v>0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90</v>
      </c>
      <c r="AC62" t="str">
        <v>01/10/2026</v>
      </c>
      <c r="AD62" t="str">
        <v>12:06:55</v>
      </c>
      <c r="AE62">
        <f>IF("ONLINE"="NOGPS","GPS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01/10/2026 12:07:11</v>
      </c>
      <c r="AL62" t="str">
        <v>12:07:11</v>
      </c>
      <c r="AM62" t="str">
        <v/>
      </c>
    </row>
    <row r="63">
      <c r="A63">
        <v>62</v>
      </c>
      <c r="B63" t="str">
        <v>MASS BSF</v>
      </c>
      <c r="C63" t="str">
        <v>CMV-853</v>
      </c>
      <c r="D63" t="str">
        <v>CMV-853</v>
      </c>
      <c r="E63" t="str">
        <v/>
      </c>
      <c r="F63" t="str">
        <v>867162029810454</v>
      </c>
      <c r="G63" t="str">
        <v>TBD</v>
      </c>
      <c r="H63" t="str">
        <v/>
      </c>
      <c r="I63" t="str">
        <v/>
      </c>
      <c r="J63" t="str">
        <v>01/10/2026</v>
      </c>
      <c r="K63" t="str">
        <v>12:07:39</v>
      </c>
      <c r="L63">
        <v>-12.389168</v>
      </c>
      <c r="M63">
        <v>-76.778534</v>
      </c>
      <c r="N63">
        <f>HYPERLINK("https://www.google.com/maps/search/?api=1&amp;query=-12.389168,-76.778534","Calle Los Barcos, San Bartolo, Lima")</f>
      </c>
      <c r="O63" t="str">
        <v>Se desactivó la entrada 2</v>
      </c>
      <c r="P63" t="str">
        <v>Puerta Abierta</v>
      </c>
      <c r="Q63">
        <v>12315.2</v>
      </c>
      <c r="R63" t="str">
        <v/>
      </c>
      <c r="S63">
        <v>0</v>
      </c>
      <c r="T63">
        <v>0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90</v>
      </c>
      <c r="AC63" t="str">
        <v>01/10/2026</v>
      </c>
      <c r="AD63" t="str">
        <v>12:07:38</v>
      </c>
      <c r="AE63">
        <f>IF("ONLINE"="NOGPS","GPS Antiguo","En línea")</f>
      </c>
      <c r="AF63">
        <f>IF(0=0,"Sin atender", IF(0=1,"Atendida","Atendida y Reportada"))</f>
      </c>
      <c r="AG63" t="str">
        <v/>
      </c>
      <c r="AH63" t="str">
        <v/>
      </c>
      <c r="AI63" t="str">
        <v/>
      </c>
      <c r="AJ63" t="str">
        <v/>
      </c>
      <c r="AK63" t="str">
        <v>01/10/2026 12:07:44</v>
      </c>
      <c r="AL63" t="str">
        <v>12:07:44</v>
      </c>
      <c r="AM63" t="str">
        <v/>
      </c>
    </row>
    <row r="64">
      <c r="A64">
        <v>63</v>
      </c>
      <c r="B64" t="str">
        <v>MASS BSF</v>
      </c>
      <c r="C64" t="str">
        <v>CMV-853</v>
      </c>
      <c r="D64" t="str">
        <v>CMV-853</v>
      </c>
      <c r="E64" t="str">
        <v/>
      </c>
      <c r="F64" t="str">
        <v>867162029810454</v>
      </c>
      <c r="G64" t="str">
        <v>TBD</v>
      </c>
      <c r="H64" t="str">
        <v/>
      </c>
      <c r="I64" t="str">
        <v/>
      </c>
      <c r="J64" t="str">
        <v>01/10/2026</v>
      </c>
      <c r="K64" t="str">
        <v>12:37:01</v>
      </c>
      <c r="L64">
        <v>-12.389168</v>
      </c>
      <c r="M64">
        <v>-76.778534</v>
      </c>
      <c r="N64">
        <f>HYPERLINK("https://www.google.com/maps/search/?api=1&amp;query=-12.389168,-76.778534","Calle Los Barcos, San Bartolo, Lima")</f>
      </c>
      <c r="O64" t="str">
        <v>Se activó la entrada 2</v>
      </c>
      <c r="P64" t="str">
        <v>Puerta Cerrada</v>
      </c>
      <c r="Q64">
        <v>12315.2</v>
      </c>
      <c r="R64" t="str">
        <v/>
      </c>
      <c r="S64">
        <v>0</v>
      </c>
      <c r="T64">
        <v>0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90</v>
      </c>
      <c r="AC64" t="str">
        <v>01/10/2026</v>
      </c>
      <c r="AD64" t="str">
        <v>12:37:00</v>
      </c>
      <c r="AE64">
        <f>IF("ONLINE"="NOGPS","GPS Antiguo","En línea")</f>
      </c>
      <c r="AF64">
        <f>IF(0=0,"Sin atender", IF(0=1,"Atendida","Atendida y Reportada"))</f>
      </c>
      <c r="AG64" t="str">
        <v/>
      </c>
      <c r="AH64" t="str">
        <v/>
      </c>
      <c r="AI64" t="str">
        <v/>
      </c>
      <c r="AJ64" t="str">
        <v/>
      </c>
      <c r="AK64" t="str">
        <v>01/10/2026 12:37:12</v>
      </c>
      <c r="AL64" t="str">
        <v>12:37:12</v>
      </c>
      <c r="AM64" t="str">
        <v/>
      </c>
    </row>
    <row r="65">
      <c r="A65">
        <v>64</v>
      </c>
      <c r="B65" t="str">
        <v>MASS BSF</v>
      </c>
      <c r="C65" t="str">
        <v>CMV-853</v>
      </c>
      <c r="D65" t="str">
        <v>CMV-853</v>
      </c>
      <c r="E65" t="str">
        <v/>
      </c>
      <c r="F65" t="str">
        <v>867162029810454</v>
      </c>
      <c r="G65" t="str">
        <v>TBD</v>
      </c>
      <c r="H65" t="str">
        <v/>
      </c>
      <c r="I65" t="str">
        <v/>
      </c>
      <c r="J65" t="str">
        <v>01/10/2026</v>
      </c>
      <c r="K65" t="str">
        <v>12:41:37</v>
      </c>
      <c r="L65">
        <v>-12.389168</v>
      </c>
      <c r="M65">
        <v>-76.778534</v>
      </c>
      <c r="N65">
        <f>HYPERLINK("https://www.google.com/maps/search/?api=1&amp;query=-12.389168,-76.778534","Calle Los Barcos, San Bartolo, Lima")</f>
      </c>
      <c r="O65" t="str">
        <v>Vehículo encendido</v>
      </c>
      <c r="P65" t="str">
        <v/>
      </c>
      <c r="Q65">
        <v>12315.2</v>
      </c>
      <c r="R65" t="str">
        <v/>
      </c>
      <c r="S65">
        <v>0</v>
      </c>
      <c r="T65">
        <v>0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90</v>
      </c>
      <c r="AC65" t="str">
        <v>01/10/2026</v>
      </c>
      <c r="AD65" t="str">
        <v>12:37:00</v>
      </c>
      <c r="AE65">
        <f>IF("ONLINE"="NOGPS","GPS Antiguo","En línea")</f>
      </c>
      <c r="AF65">
        <f>IF(0=0,"Sin atender", IF(0=1,"Atendida","Atendida y Reportada"))</f>
      </c>
      <c r="AG65" t="str">
        <v/>
      </c>
      <c r="AH65" t="str">
        <v/>
      </c>
      <c r="AI65" t="str">
        <v/>
      </c>
      <c r="AJ65" t="str">
        <v/>
      </c>
      <c r="AK65" t="str">
        <v>01/10/2026 12:41:59</v>
      </c>
      <c r="AL65" t="str">
        <v>12:41:59</v>
      </c>
      <c r="AM65" t="str">
        <v/>
      </c>
    </row>
    <row r="66">
      <c r="A66">
        <v>65</v>
      </c>
      <c r="B66" t="str">
        <v>MASS BSF</v>
      </c>
      <c r="C66" t="str">
        <v>CMV-853</v>
      </c>
      <c r="D66" t="str">
        <v>CMV-853</v>
      </c>
      <c r="E66" t="str">
        <v/>
      </c>
      <c r="F66" t="str">
        <v>867162029810454</v>
      </c>
      <c r="G66" t="str">
        <v>TBD</v>
      </c>
      <c r="H66" t="str">
        <v/>
      </c>
      <c r="I66" t="str">
        <v xml:space="preserve"> </v>
      </c>
      <c r="J66" t="str">
        <v>01/10/2026</v>
      </c>
      <c r="K66" t="str">
        <v>12:41:41</v>
      </c>
      <c r="L66">
        <v>-12.389257</v>
      </c>
      <c r="M66">
        <v>-76.77857</v>
      </c>
      <c r="N66">
        <f>HYPERLINK("https://www.google.com/maps/search/?api=1&amp;query=-12.389257,-76.77857","Pasaje Flavio Manco Cuya, San Bartolo, Lima")</f>
      </c>
      <c r="O66" t="str">
        <v>Llegó a la zona</v>
      </c>
      <c r="P66" t="str">
        <v/>
      </c>
      <c r="Q66">
        <v>12315.2</v>
      </c>
      <c r="R66" t="str">
        <v>299-SAN BARTOLO</v>
      </c>
      <c r="S66">
        <v>0.4</v>
      </c>
      <c r="T66">
        <v>0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90</v>
      </c>
      <c r="AC66" t="str">
        <v>01/10/2026</v>
      </c>
      <c r="AD66" t="str">
        <v>12:41:40</v>
      </c>
      <c r="AE66">
        <f>IF("ONLINE"="NOGPS","GPS Antiguo","En línea")</f>
      </c>
      <c r="AF66">
        <f>IF(0=0,"Sin atender", IF(0=1,"Atendida","Atendida y Reportada"))</f>
      </c>
      <c r="AG66" t="str">
        <v/>
      </c>
      <c r="AH66" t="str">
        <v/>
      </c>
      <c r="AI66" t="str">
        <v/>
      </c>
      <c r="AJ66" t="str">
        <v/>
      </c>
      <c r="AK66" t="str">
        <v>01/10/2026 12:41:54</v>
      </c>
      <c r="AL66" t="str">
        <v>12:41:54</v>
      </c>
      <c r="AM66" t="str">
        <v/>
      </c>
    </row>
    <row r="67">
      <c r="A67">
        <v>66</v>
      </c>
      <c r="B67" t="str">
        <v>MASS BSF</v>
      </c>
      <c r="C67" t="str">
        <v>CMV-853</v>
      </c>
      <c r="D67" t="str">
        <v>CMV-853</v>
      </c>
      <c r="E67" t="str">
        <v/>
      </c>
      <c r="F67" t="str">
        <v>867162029810454</v>
      </c>
      <c r="G67" t="str">
        <v>TBD</v>
      </c>
      <c r="H67" t="str">
        <v/>
      </c>
      <c r="I67" t="str">
        <v xml:space="preserve"> </v>
      </c>
      <c r="J67" t="str">
        <v>01/10/2026</v>
      </c>
      <c r="K67" t="str">
        <v>12:42:38</v>
      </c>
      <c r="L67">
        <v>-12.388856</v>
      </c>
      <c r="M67">
        <v>-76.77871</v>
      </c>
      <c r="N67">
        <f>HYPERLINK("https://www.google.com/maps/search/?api=1&amp;query=-12.388856,-76.77871","Avenida San Bartolo, Lima")</f>
      </c>
      <c r="O67" t="str">
        <v>Salió de zona</v>
      </c>
      <c r="P67" t="str">
        <v/>
      </c>
      <c r="Q67">
        <v>12315.2</v>
      </c>
      <c r="R67" t="str">
        <v>299-SAN BARTOLO</v>
      </c>
      <c r="S67">
        <v>13.3</v>
      </c>
      <c r="T67">
        <v>0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90</v>
      </c>
      <c r="AC67" t="str">
        <v>01/10/2026</v>
      </c>
      <c r="AD67" t="str">
        <v>12:42:37</v>
      </c>
      <c r="AE67">
        <f>IF("ONLINE"="NOGPS","GPS Antiguo","En línea")</f>
      </c>
      <c r="AF67">
        <f>IF(0=0,"Sin atender", IF(0=1,"Atendida","Atendida y Reportada"))</f>
      </c>
      <c r="AG67" t="str">
        <v/>
      </c>
      <c r="AH67" t="str">
        <v/>
      </c>
      <c r="AI67" t="str">
        <v/>
      </c>
      <c r="AJ67" t="str">
        <v/>
      </c>
      <c r="AK67" t="str">
        <v>01/10/2026 12:42:48</v>
      </c>
      <c r="AL67" t="str">
        <v>12:42:48</v>
      </c>
      <c r="AM67" t="str">
        <v/>
      </c>
    </row>
    <row r="68">
      <c r="A68">
        <v>67</v>
      </c>
      <c r="B68" t="str">
        <v>MASS BSF</v>
      </c>
      <c r="C68" t="str">
        <v>CMV-853</v>
      </c>
      <c r="D68" t="str">
        <v>CMV-853</v>
      </c>
      <c r="E68" t="str">
        <v/>
      </c>
      <c r="F68" t="str">
        <v>867162029810454</v>
      </c>
      <c r="G68" t="str">
        <v>TBD</v>
      </c>
      <c r="H68" t="str">
        <v/>
      </c>
      <c r="I68" t="str">
        <v xml:space="preserve"> </v>
      </c>
      <c r="J68" t="str">
        <v>01/10/2026</v>
      </c>
      <c r="K68" t="str">
        <v>13:00:38</v>
      </c>
      <c r="L68">
        <v>-12.31765</v>
      </c>
      <c r="M68">
        <v>-76.82963</v>
      </c>
      <c r="N68">
        <f>HYPERLINK("https://www.google.com/maps/search/?api=1&amp;query=-12.31765,-76.82963","Punta Hermosa, Lima")</f>
      </c>
      <c r="O68" t="str">
        <v>Llegó a la zona</v>
      </c>
      <c r="P68" t="str">
        <v/>
      </c>
      <c r="Q68">
        <v>12325.9</v>
      </c>
      <c r="R68" t="str">
        <v>MASS BSF 1</v>
      </c>
      <c r="S68">
        <v>0</v>
      </c>
      <c r="T68">
        <v>0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>
        <v>90</v>
      </c>
      <c r="AC68" t="str">
        <v>01/10/2026</v>
      </c>
      <c r="AD68" t="str">
        <v>13:00:34</v>
      </c>
      <c r="AE68">
        <f>IF("ONLINE"="NOGPS","GPS Antiguo","En línea")</f>
      </c>
      <c r="AF68">
        <f>IF(0=0,"Sin atender", IF(0=1,"Atendida","Atendida y Reportada"))</f>
      </c>
      <c r="AG68" t="str">
        <v/>
      </c>
      <c r="AH68" t="str">
        <v/>
      </c>
      <c r="AI68" t="str">
        <v/>
      </c>
      <c r="AJ68" t="str">
        <v/>
      </c>
      <c r="AK68" t="str">
        <v>01/10/2026 13:00:47</v>
      </c>
      <c r="AL68" t="str">
        <v>13:00:47</v>
      </c>
      <c r="AM68" t="str">
        <v/>
      </c>
    </row>
    <row r="69">
      <c r="A69">
        <v>68</v>
      </c>
      <c r="B69" t="str">
        <v>MASS BSF</v>
      </c>
      <c r="C69" t="str">
        <v>CMV-853</v>
      </c>
      <c r="D69" t="str">
        <v>CMV-853</v>
      </c>
      <c r="E69" t="str">
        <v/>
      </c>
      <c r="F69" t="str">
        <v>867162029810454</v>
      </c>
      <c r="G69" t="str">
        <v>TBD</v>
      </c>
      <c r="H69" t="str">
        <v/>
      </c>
      <c r="I69" t="str">
        <v/>
      </c>
      <c r="J69" t="str">
        <v>01/10/2026</v>
      </c>
      <c r="K69" t="str">
        <v>13:09:07</v>
      </c>
      <c r="L69">
        <v>-12.317529</v>
      </c>
      <c r="M69">
        <v>-76.82456</v>
      </c>
      <c r="N69">
        <f>HYPERLINK("https://www.google.com/maps/search/?api=1&amp;query=-12.317529,-76.82456","Punta Hermosa, Lima")</f>
      </c>
      <c r="O69" t="str">
        <v>Vehículo apagado</v>
      </c>
      <c r="P69" t="str">
        <v>Vehículo Apagado</v>
      </c>
      <c r="Q69">
        <v>12326.9</v>
      </c>
      <c r="R69" t="str">
        <v/>
      </c>
      <c r="S69">
        <v>0</v>
      </c>
      <c r="T69">
        <v>0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>
        <v>90</v>
      </c>
      <c r="AC69" t="str">
        <v>01/10/2026</v>
      </c>
      <c r="AD69" t="str">
        <v>13:08:34</v>
      </c>
      <c r="AE69">
        <f>IF("ONLINE"="NOGPS","GPS Antiguo","En línea")</f>
      </c>
      <c r="AF69">
        <f>IF(0=0,"Sin atender", IF(0=1,"Atendida","Atendida y Reportada"))</f>
      </c>
      <c r="AG69" t="str">
        <v/>
      </c>
      <c r="AH69" t="str">
        <v/>
      </c>
      <c r="AI69" t="str">
        <v/>
      </c>
      <c r="AJ69" t="str">
        <v/>
      </c>
      <c r="AK69" t="str">
        <v>01/10/2026 13:09:14</v>
      </c>
      <c r="AL69" t="str">
        <v>13:09:14</v>
      </c>
      <c r="AM69" t="str">
        <v/>
      </c>
    </row>
    <row r="70">
      <c r="A70">
        <v>69</v>
      </c>
      <c r="B70" t="str">
        <v>MASS BSF</v>
      </c>
      <c r="C70" t="str">
        <v>CMV-853</v>
      </c>
      <c r="D70" t="str">
        <v>CMV-853</v>
      </c>
      <c r="E70" t="str">
        <v/>
      </c>
      <c r="F70" t="str">
        <v>867162029810454</v>
      </c>
      <c r="G70" t="str">
        <v>TBD</v>
      </c>
      <c r="H70" t="str">
        <v/>
      </c>
      <c r="I70" t="str">
        <v/>
      </c>
      <c r="J70" t="str">
        <v>01/10/2026</v>
      </c>
      <c r="K70" t="str">
        <v>13:11:42</v>
      </c>
      <c r="L70">
        <v>-12.317529</v>
      </c>
      <c r="M70">
        <v>-76.82456</v>
      </c>
      <c r="N70">
        <f>HYPERLINK("https://www.google.com/maps/search/?api=1&amp;query=-12.317529,-76.82456","Punta Hermosa, Lima")</f>
      </c>
      <c r="O70" t="str">
        <v>Se desactivó la entrada 2</v>
      </c>
      <c r="P70" t="str">
        <v>Puerta Abierta</v>
      </c>
      <c r="Q70">
        <v>12326.9</v>
      </c>
      <c r="R70" t="str">
        <v/>
      </c>
      <c r="S70">
        <v>0</v>
      </c>
      <c r="T70">
        <v>0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>
        <v>90</v>
      </c>
      <c r="AC70" t="str">
        <v>01/10/2026</v>
      </c>
      <c r="AD70" t="str">
        <v>13:11:41</v>
      </c>
      <c r="AE70">
        <f>IF("ONLINE"="NOGPS","GPS Antiguo","En línea")</f>
      </c>
      <c r="AF70">
        <f>IF(0=0,"Sin atender", IF(0=1,"Atendida","Atendida y Reportada"))</f>
      </c>
      <c r="AG70" t="str">
        <v/>
      </c>
      <c r="AH70" t="str">
        <v/>
      </c>
      <c r="AI70" t="str">
        <v/>
      </c>
      <c r="AJ70" t="str">
        <v/>
      </c>
      <c r="AK70" t="str">
        <v>01/10/2026 13:11:51</v>
      </c>
      <c r="AL70" t="str">
        <v>13:11:51</v>
      </c>
      <c r="AM70" t="str">
        <v/>
      </c>
    </row>
    <row r="71">
      <c r="A71">
        <v>70</v>
      </c>
      <c r="B71" t="str">
        <v>MASS BSF</v>
      </c>
      <c r="C71" t="str">
        <v>CMV-853</v>
      </c>
      <c r="D71" t="str">
        <v>CMV-853</v>
      </c>
      <c r="E71" t="str">
        <v/>
      </c>
      <c r="F71" t="str">
        <v>867162029810454</v>
      </c>
      <c r="G71" t="str">
        <v>TBD</v>
      </c>
      <c r="H71" t="str">
        <v/>
      </c>
      <c r="I71" t="str">
        <v/>
      </c>
      <c r="J71" t="str">
        <v>01/10/2026</v>
      </c>
      <c r="K71" t="str">
        <v>13:12:32</v>
      </c>
      <c r="L71">
        <v>-12.317529</v>
      </c>
      <c r="M71">
        <v>-76.82456</v>
      </c>
      <c r="N71">
        <f>HYPERLINK("https://www.google.com/maps/search/?api=1&amp;query=-12.317529,-76.82456","Punta Hermosa, Lima")</f>
      </c>
      <c r="O71" t="str">
        <v>Vehículo encendido</v>
      </c>
      <c r="P71" t="str">
        <v/>
      </c>
      <c r="Q71">
        <v>12326.9</v>
      </c>
      <c r="R71" t="str">
        <v/>
      </c>
      <c r="S71">
        <v>0</v>
      </c>
      <c r="T71">
        <v>0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>
        <v>90</v>
      </c>
      <c r="AC71" t="str">
        <v>01/10/2026</v>
      </c>
      <c r="AD71" t="str">
        <v>13:11:41</v>
      </c>
      <c r="AE71">
        <f>IF("ONLINE"="NOGPS","GPS Antiguo","En línea")</f>
      </c>
      <c r="AF71">
        <f>IF(0=0,"Sin atender", IF(0=1,"Atendida","Atendida y Reportada"))</f>
      </c>
      <c r="AG71" t="str">
        <v/>
      </c>
      <c r="AH71" t="str">
        <v/>
      </c>
      <c r="AI71" t="str">
        <v/>
      </c>
      <c r="AJ71" t="str">
        <v/>
      </c>
      <c r="AK71" t="str">
        <v>01/10/2026 13:12:39</v>
      </c>
      <c r="AL71" t="str">
        <v>13:12:39</v>
      </c>
      <c r="AM71" t="str">
        <v/>
      </c>
    </row>
    <row r="72">
      <c r="A72">
        <v>71</v>
      </c>
      <c r="B72" t="str">
        <v>MASS BSF</v>
      </c>
      <c r="C72" t="str">
        <v>CMV-853</v>
      </c>
      <c r="D72" t="str">
        <v>CMV-853</v>
      </c>
      <c r="E72" t="str">
        <v/>
      </c>
      <c r="F72" t="str">
        <v>867162029810454</v>
      </c>
      <c r="G72" t="str">
        <v>TBD</v>
      </c>
      <c r="H72" t="str">
        <v/>
      </c>
      <c r="I72" t="str">
        <v/>
      </c>
      <c r="J72" t="str">
        <v>01/10/2026</v>
      </c>
      <c r="K72" t="str">
        <v>13:13:40</v>
      </c>
      <c r="L72">
        <v>-12.31751</v>
      </c>
      <c r="M72">
        <v>-76.82443</v>
      </c>
      <c r="N72">
        <f>HYPERLINK("https://www.google.com/maps/search/?api=1&amp;query=-12.31751,-76.82443","Punta Hermosa, Lima")</f>
      </c>
      <c r="O72" t="str">
        <v>Vehículo apagado</v>
      </c>
      <c r="P72" t="str">
        <v>Vehículo Apagado</v>
      </c>
      <c r="Q72">
        <v>12326.9</v>
      </c>
      <c r="R72" t="str">
        <v/>
      </c>
      <c r="S72">
        <v>0</v>
      </c>
      <c r="T72">
        <v>0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>
        <v>90</v>
      </c>
      <c r="AC72" t="str">
        <v>01/10/2026</v>
      </c>
      <c r="AD72" t="str">
        <v>13:13:43</v>
      </c>
      <c r="AE72">
        <f>IF("ONLINE"="NOGPS","GPS Antiguo","En línea")</f>
      </c>
      <c r="AF72">
        <f>IF(0=0,"Sin atender", IF(0=1,"Atendida","Atendida y Reportada"))</f>
      </c>
      <c r="AG72" t="str">
        <v/>
      </c>
      <c r="AH72" t="str">
        <v/>
      </c>
      <c r="AI72" t="str">
        <v/>
      </c>
      <c r="AJ72" t="str">
        <v/>
      </c>
      <c r="AK72" t="str">
        <v>01/10/2026 13:13:56</v>
      </c>
      <c r="AL72" t="str">
        <v>13:13:56</v>
      </c>
      <c r="AM72" t="str">
        <v/>
      </c>
    </row>
    <row r="73">
      <c r="A73">
        <v>72</v>
      </c>
      <c r="B73" t="str">
        <v>MASS BSF</v>
      </c>
      <c r="C73" t="str">
        <v>CMV-853</v>
      </c>
      <c r="D73" t="str">
        <v>CMV-853</v>
      </c>
      <c r="E73" t="str">
        <v/>
      </c>
      <c r="F73" t="str">
        <v>867162029810454</v>
      </c>
      <c r="G73" t="str">
        <v>TBD</v>
      </c>
      <c r="H73" t="str">
        <v/>
      </c>
      <c r="I73" t="str">
        <v/>
      </c>
      <c r="J73" t="str">
        <v>01/10/2026</v>
      </c>
      <c r="K73" t="str">
        <v>13:18:46</v>
      </c>
      <c r="L73">
        <v>-12.31751</v>
      </c>
      <c r="M73">
        <v>-76.82443</v>
      </c>
      <c r="N73">
        <f>HYPERLINK("https://www.google.com/maps/search/?api=1&amp;query=-12.31751,-76.82443","Punta Hermosa, Lima")</f>
      </c>
      <c r="O73" t="str">
        <v>Vehículo encendido</v>
      </c>
      <c r="P73" t="str">
        <v/>
      </c>
      <c r="Q73">
        <v>12326.9</v>
      </c>
      <c r="R73" t="str">
        <v/>
      </c>
      <c r="S73">
        <v>0</v>
      </c>
      <c r="T73">
        <v>0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>
        <v>90</v>
      </c>
      <c r="AC73" t="str">
        <v>01/10/2026</v>
      </c>
      <c r="AD73" t="str">
        <v>13:13:43</v>
      </c>
      <c r="AE73">
        <f>IF("NOGPS"="NOGPS","GPS Antiguo","En línea")</f>
      </c>
      <c r="AF73">
        <f>IF(0=0,"Sin atender", IF(0=1,"Atendida","Atendida y Reportada"))</f>
      </c>
      <c r="AG73" t="str">
        <v/>
      </c>
      <c r="AH73" t="str">
        <v/>
      </c>
      <c r="AI73" t="str">
        <v/>
      </c>
      <c r="AJ73" t="str">
        <v/>
      </c>
      <c r="AK73" t="str">
        <v>01/10/2026 13:18:55</v>
      </c>
      <c r="AL73" t="str">
        <v>13:18:55</v>
      </c>
      <c r="AM73" t="str">
        <v/>
      </c>
    </row>
    <row r="74">
      <c r="A74">
        <v>73</v>
      </c>
      <c r="B74" t="str">
        <v>MASS BSF</v>
      </c>
      <c r="C74" t="str">
        <v>CMV-853</v>
      </c>
      <c r="D74" t="str">
        <v>CMV-853</v>
      </c>
      <c r="E74" t="str">
        <v/>
      </c>
      <c r="F74" t="str">
        <v>867162029810454</v>
      </c>
      <c r="G74" t="str">
        <v>TBD</v>
      </c>
      <c r="H74" t="str">
        <v/>
      </c>
      <c r="I74" t="str">
        <v/>
      </c>
      <c r="J74" t="str">
        <v>01/10/2026</v>
      </c>
      <c r="K74" t="str">
        <v>13:19:10</v>
      </c>
      <c r="L74">
        <v>-12.317566</v>
      </c>
      <c r="M74">
        <v>-76.82439</v>
      </c>
      <c r="N74">
        <f>HYPERLINK("https://www.google.com/maps/search/?api=1&amp;query=-12.317566,-76.82439","Punta Hermosa, Lima")</f>
      </c>
      <c r="O74" t="str">
        <v>Vehículo apagado</v>
      </c>
      <c r="P74" t="str">
        <v>Vehículo Apagado</v>
      </c>
      <c r="Q74">
        <v>12326.9</v>
      </c>
      <c r="R74" t="str">
        <v/>
      </c>
      <c r="S74">
        <v>0</v>
      </c>
      <c r="T74">
        <v>0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>
        <v>90</v>
      </c>
      <c r="AC74" t="str">
        <v>01/10/2026</v>
      </c>
      <c r="AD74" t="str">
        <v>13:19:12</v>
      </c>
      <c r="AE74">
        <f>IF("ONLINE"="NOGPS","GPS Antiguo","En línea")</f>
      </c>
      <c r="AF74">
        <f>IF(0=0,"Sin atender", IF(0=1,"Atendida","Atendida y Reportada"))</f>
      </c>
      <c r="AG74" t="str">
        <v/>
      </c>
      <c r="AH74" t="str">
        <v/>
      </c>
      <c r="AI74" t="str">
        <v/>
      </c>
      <c r="AJ74" t="str">
        <v/>
      </c>
      <c r="AK74" t="str">
        <v>01/10/2026 13:19:29</v>
      </c>
      <c r="AL74" t="str">
        <v>13:19:29</v>
      </c>
      <c r="AM74" t="str">
        <v/>
      </c>
    </row>
    <row r="75">
      <c r="A75">
        <v>74</v>
      </c>
      <c r="B75" t="str">
        <v>MASS BSF</v>
      </c>
      <c r="C75" t="str">
        <v>CMV-853</v>
      </c>
      <c r="D75" t="str">
        <v>CMV-853</v>
      </c>
      <c r="E75" t="str">
        <v/>
      </c>
      <c r="F75" t="str">
        <v>867162029810454</v>
      </c>
      <c r="G75" t="str">
        <v>TBD</v>
      </c>
      <c r="H75" t="str">
        <v/>
      </c>
      <c r="I75" t="str">
        <v/>
      </c>
      <c r="J75" t="str">
        <v>01/10/2026</v>
      </c>
      <c r="K75" t="str">
        <v>13:20:06</v>
      </c>
      <c r="L75">
        <v>-12.317566</v>
      </c>
      <c r="M75">
        <v>-76.82439</v>
      </c>
      <c r="N75">
        <f>HYPERLINK("https://www.google.com/maps/search/?api=1&amp;query=-12.317566,-76.82439","Punta Hermosa, Lima")</f>
      </c>
      <c r="O75" t="str">
        <v>Se activó la entrada 2</v>
      </c>
      <c r="P75" t="str">
        <v>Puerta Cerrada</v>
      </c>
      <c r="Q75">
        <v>12326.9</v>
      </c>
      <c r="R75" t="str">
        <v/>
      </c>
      <c r="S75">
        <v>0</v>
      </c>
      <c r="T75">
        <v>0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>
        <v>90</v>
      </c>
      <c r="AC75" t="str">
        <v>01/10/2026</v>
      </c>
      <c r="AD75" t="str">
        <v>13:20:05</v>
      </c>
      <c r="AE75">
        <f>IF("ONLINE"="NOGPS","GPS Antiguo","En línea")</f>
      </c>
      <c r="AF75">
        <f>IF(0=0,"Sin atender", IF(0=1,"Atendida","Atendida y Reportada"))</f>
      </c>
      <c r="AG75" t="str">
        <v/>
      </c>
      <c r="AH75" t="str">
        <v/>
      </c>
      <c r="AI75" t="str">
        <v/>
      </c>
      <c r="AJ75" t="str">
        <v/>
      </c>
      <c r="AK75" t="str">
        <v>01/10/2026 13:20:21</v>
      </c>
      <c r="AL75" t="str">
        <v>13:20:21</v>
      </c>
      <c r="AM75" t="str">
        <v/>
      </c>
    </row>
    <row r="76">
      <c r="A76">
        <v>75</v>
      </c>
      <c r="B76" t="str">
        <v>MASS BSF</v>
      </c>
      <c r="C76" t="str">
        <v>CMV-853</v>
      </c>
      <c r="D76" t="str">
        <v>CMV-853</v>
      </c>
      <c r="E76" t="str">
        <v/>
      </c>
      <c r="F76" t="str">
        <v>867162029810454</v>
      </c>
      <c r="G76" t="str">
        <v>TBD</v>
      </c>
      <c r="H76" t="str">
        <v/>
      </c>
      <c r="I76" t="str">
        <v/>
      </c>
      <c r="J76" t="str">
        <v>01/10/2026</v>
      </c>
      <c r="K76" t="str">
        <v>13:20:14</v>
      </c>
      <c r="L76">
        <v>-12.317566</v>
      </c>
      <c r="M76">
        <v>-76.82439</v>
      </c>
      <c r="N76">
        <f>HYPERLINK("https://www.google.com/maps/search/?api=1&amp;query=-12.317566,-76.82439","Punta Hermosa, Lima")</f>
      </c>
      <c r="O76" t="str">
        <v>Se desactivó la entrada 2</v>
      </c>
      <c r="P76" t="str">
        <v>Puerta Abierta</v>
      </c>
      <c r="Q76">
        <v>12326.9</v>
      </c>
      <c r="R76" t="str">
        <v/>
      </c>
      <c r="S76">
        <v>0</v>
      </c>
      <c r="T76">
        <v>0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>
        <v>90</v>
      </c>
      <c r="AC76" t="str">
        <v>01/10/2026</v>
      </c>
      <c r="AD76" t="str">
        <v>13:20:13</v>
      </c>
      <c r="AE76">
        <f>IF("ONLINE"="NOGPS","GPS Antiguo","En línea")</f>
      </c>
      <c r="AF76">
        <f>IF(0=0,"Sin atender", IF(0=1,"Atendida","Atendida y Reportada"))</f>
      </c>
      <c r="AG76" t="str">
        <v/>
      </c>
      <c r="AH76" t="str">
        <v/>
      </c>
      <c r="AI76" t="str">
        <v/>
      </c>
      <c r="AJ76" t="str">
        <v/>
      </c>
      <c r="AK76" t="str">
        <v>01/10/2026 13:20:22</v>
      </c>
      <c r="AL76" t="str">
        <v>13:20:22</v>
      </c>
      <c r="AM76" t="str">
        <v/>
      </c>
    </row>
    <row r="77">
      <c r="A77">
        <v>76</v>
      </c>
      <c r="B77" t="str">
        <v>MASS BSF</v>
      </c>
      <c r="C77" t="str">
        <v>CMV-853</v>
      </c>
      <c r="D77" t="str">
        <v>CMV-853</v>
      </c>
      <c r="E77" t="str">
        <v/>
      </c>
      <c r="F77" t="str">
        <v>867162029810454</v>
      </c>
      <c r="G77" t="str">
        <v>TBD</v>
      </c>
      <c r="H77" t="str">
        <v/>
      </c>
      <c r="I77" t="str">
        <v/>
      </c>
      <c r="J77" t="str">
        <v>01/10/2026</v>
      </c>
      <c r="K77" t="str">
        <v>13:20:14</v>
      </c>
      <c r="L77">
        <v>-12.317566</v>
      </c>
      <c r="M77">
        <v>-76.82439</v>
      </c>
      <c r="N77">
        <f>HYPERLINK("https://www.google.com/maps/search/?api=1&amp;query=-12.317566,-76.82439","Punta Hermosa, Lima")</f>
      </c>
      <c r="O77" t="str">
        <v>Se activó la entrada 2</v>
      </c>
      <c r="P77" t="str">
        <v>Puerta Cerrada</v>
      </c>
      <c r="Q77">
        <v>12326.9</v>
      </c>
      <c r="R77" t="str">
        <v/>
      </c>
      <c r="S77">
        <v>0</v>
      </c>
      <c r="T77">
        <v>0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>
        <v>90</v>
      </c>
      <c r="AC77" t="str">
        <v>01/10/2026</v>
      </c>
      <c r="AD77" t="str">
        <v>13:20:13</v>
      </c>
      <c r="AE77">
        <f>IF("ONLINE"="NOGPS","GPS Antiguo","En línea")</f>
      </c>
      <c r="AF77">
        <f>IF(0=0,"Sin atender", IF(0=1,"Atendida","Atendida y Reportada"))</f>
      </c>
      <c r="AG77" t="str">
        <v/>
      </c>
      <c r="AH77" t="str">
        <v/>
      </c>
      <c r="AI77" t="str">
        <v/>
      </c>
      <c r="AJ77" t="str">
        <v/>
      </c>
      <c r="AK77" t="str">
        <v>01/10/2026 13:20:27</v>
      </c>
      <c r="AL77" t="str">
        <v>13:20:27</v>
      </c>
      <c r="AM77" t="str">
        <v/>
      </c>
    </row>
    <row r="78">
      <c r="A78">
        <v>77</v>
      </c>
      <c r="B78" t="str">
        <v>MASS BSF</v>
      </c>
      <c r="C78" t="str">
        <v>CMV-853</v>
      </c>
      <c r="D78" t="str">
        <v>CMV-853</v>
      </c>
      <c r="E78" t="str">
        <v/>
      </c>
      <c r="F78" t="str">
        <v>867162029810454</v>
      </c>
      <c r="G78" t="str">
        <v>TBD</v>
      </c>
      <c r="H78" t="str">
        <v/>
      </c>
      <c r="I78" t="str">
        <v/>
      </c>
      <c r="J78" t="str">
        <v>01/10/2026</v>
      </c>
      <c r="K78" t="str">
        <v>13:20:47</v>
      </c>
      <c r="L78">
        <v>-12.317477</v>
      </c>
      <c r="M78">
        <v>-76.824394</v>
      </c>
      <c r="N78">
        <f>HYPERLINK("https://www.google.com/maps/search/?api=1&amp;query=-12.317477,-76.824394","Punta Hermosa, Lima")</f>
      </c>
      <c r="O78" t="str">
        <v>Vehículo encendido</v>
      </c>
      <c r="P78" t="str">
        <v/>
      </c>
      <c r="Q78">
        <v>12326.9</v>
      </c>
      <c r="R78" t="str">
        <v/>
      </c>
      <c r="S78">
        <v>0</v>
      </c>
      <c r="T78">
        <v>0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>
        <v>90</v>
      </c>
      <c r="AC78" t="str">
        <v>01/10/2026</v>
      </c>
      <c r="AD78" t="str">
        <v>13:20:50</v>
      </c>
      <c r="AE78">
        <f>IF("ONLINE"="NOGPS","GPS Antiguo","En línea")</f>
      </c>
      <c r="AF78">
        <f>IF(0=0,"Sin atender", IF(0=1,"Atendida","Atendida y Reportada"))</f>
      </c>
      <c r="AG78" t="str">
        <v/>
      </c>
      <c r="AH78" t="str">
        <v/>
      </c>
      <c r="AI78" t="str">
        <v/>
      </c>
      <c r="AJ78" t="str">
        <v/>
      </c>
      <c r="AK78" t="str">
        <v>01/10/2026 13:21:12</v>
      </c>
      <c r="AL78" t="str">
        <v>13:21:12</v>
      </c>
      <c r="AM78" t="str">
        <v/>
      </c>
    </row>
    <row r="79">
      <c r="A79">
        <v>78</v>
      </c>
      <c r="B79" t="str">
        <v>MASS BSF</v>
      </c>
      <c r="C79" t="str">
        <v>CMV-853</v>
      </c>
      <c r="D79" t="str">
        <v>CMV-853</v>
      </c>
      <c r="E79" t="str">
        <v/>
      </c>
      <c r="F79" t="str">
        <v>867162029810454</v>
      </c>
      <c r="G79" t="str">
        <v>TBD</v>
      </c>
      <c r="H79" t="str">
        <v/>
      </c>
      <c r="I79" t="str">
        <v/>
      </c>
      <c r="J79" t="str">
        <v>01/10/2026</v>
      </c>
      <c r="K79" t="str">
        <v>13:26:41</v>
      </c>
      <c r="L79">
        <v>-12.31734</v>
      </c>
      <c r="M79">
        <v>-76.822975</v>
      </c>
      <c r="N79">
        <f>HYPERLINK("https://www.google.com/maps/search/?api=1&amp;query=-12.31734,-76.822975","Punta Hermosa, Lima")</f>
      </c>
      <c r="O79" t="str">
        <v>Vehículo apagado</v>
      </c>
      <c r="P79" t="str">
        <v>Vehículo Apagado</v>
      </c>
      <c r="Q79">
        <v>12327.3</v>
      </c>
      <c r="R79" t="str">
        <v/>
      </c>
      <c r="S79">
        <v>0</v>
      </c>
      <c r="T79">
        <v>0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>
        <v>90</v>
      </c>
      <c r="AC79" t="str">
        <v>01/10/2026</v>
      </c>
      <c r="AD79" t="str">
        <v>13:26:43</v>
      </c>
      <c r="AE79">
        <f>IF("ONLINE"="NOGPS","GPS Antiguo","En línea")</f>
      </c>
      <c r="AF79">
        <f>IF(0=0,"Sin atender", IF(0=1,"Atendida","Atendida y Reportada"))</f>
      </c>
      <c r="AG79" t="str">
        <v/>
      </c>
      <c r="AH79" t="str">
        <v/>
      </c>
      <c r="AI79" t="str">
        <v/>
      </c>
      <c r="AJ79" t="str">
        <v/>
      </c>
      <c r="AK79" t="str">
        <v>01/10/2026 13:27:10</v>
      </c>
      <c r="AL79" t="str">
        <v>13:27:10</v>
      </c>
      <c r="AM79" t="str">
        <v/>
      </c>
    </row>
    <row r="80">
      <c r="A80">
        <v>79</v>
      </c>
      <c r="B80" t="str">
        <v>MASS BSF</v>
      </c>
      <c r="C80" t="str">
        <v>CMV-853</v>
      </c>
      <c r="D80" t="str">
        <v>CMV-853</v>
      </c>
      <c r="E80" t="str">
        <v/>
      </c>
      <c r="F80" t="str">
        <v>867162029810454</v>
      </c>
      <c r="G80" t="str">
        <v>TBD</v>
      </c>
      <c r="H80" t="str">
        <v/>
      </c>
      <c r="I80" t="str">
        <v/>
      </c>
      <c r="J80" t="str">
        <v>01/10/2026</v>
      </c>
      <c r="K80" t="str">
        <v>13:32:47</v>
      </c>
      <c r="L80">
        <v>-12.31734</v>
      </c>
      <c r="M80">
        <v>-76.822975</v>
      </c>
      <c r="N80">
        <f>HYPERLINK("https://www.google.com/maps/search/?api=1&amp;query=-12.31734,-76.822975","Punta Hermosa, Lima")</f>
      </c>
      <c r="O80" t="str">
        <v>Se desactivó la entrada 2</v>
      </c>
      <c r="P80" t="str">
        <v>Puerta Abierta</v>
      </c>
      <c r="Q80">
        <v>12327.3</v>
      </c>
      <c r="R80" t="str">
        <v/>
      </c>
      <c r="S80">
        <v>0</v>
      </c>
      <c r="T80">
        <v>0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>
        <v>90</v>
      </c>
      <c r="AC80" t="str">
        <v>01/10/2026</v>
      </c>
      <c r="AD80" t="str">
        <v>13:32:46</v>
      </c>
      <c r="AE80">
        <f>IF("ONLINE"="NOGPS","GPS Antiguo","En línea")</f>
      </c>
      <c r="AF80">
        <f>IF(0=0,"Sin atender", IF(0=1,"Atendida","Atendida y Reportada"))</f>
      </c>
      <c r="AG80" t="str">
        <v/>
      </c>
      <c r="AH80" t="str">
        <v/>
      </c>
      <c r="AI80" t="str">
        <v/>
      </c>
      <c r="AJ80" t="str">
        <v/>
      </c>
      <c r="AK80" t="str">
        <v>01/10/2026 13:33:12</v>
      </c>
      <c r="AL80" t="str">
        <v>13:33:12</v>
      </c>
      <c r="AM80" t="str">
        <v/>
      </c>
    </row>
    <row r="81">
      <c r="A81">
        <v>80</v>
      </c>
      <c r="B81" t="str">
        <v>MASS BSF</v>
      </c>
      <c r="C81" t="str">
        <v>CMV-853</v>
      </c>
      <c r="D81" t="str">
        <v>CMV-853</v>
      </c>
      <c r="E81" t="str">
        <v/>
      </c>
      <c r="F81" t="str">
        <v>867162029810454</v>
      </c>
      <c r="G81" t="str">
        <v>TBD</v>
      </c>
      <c r="H81" t="str">
        <v/>
      </c>
      <c r="I81" t="str">
        <v/>
      </c>
      <c r="J81" t="str">
        <v>01/10/2026</v>
      </c>
      <c r="K81" t="str">
        <v>13:41:09</v>
      </c>
      <c r="L81">
        <v>-12.31734</v>
      </c>
      <c r="M81">
        <v>-76.822975</v>
      </c>
      <c r="N81">
        <f>HYPERLINK("https://www.google.com/maps/search/?api=1&amp;query=-12.31734,-76.822975","Punta Hermosa, Lima")</f>
      </c>
      <c r="O81" t="str">
        <v>Se activó la entrada 2</v>
      </c>
      <c r="P81" t="str">
        <v>Puerta Cerrada</v>
      </c>
      <c r="Q81">
        <v>12327.3</v>
      </c>
      <c r="R81" t="str">
        <v/>
      </c>
      <c r="S81">
        <v>0</v>
      </c>
      <c r="T81">
        <v>0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>
        <v>90</v>
      </c>
      <c r="AC81" t="str">
        <v>01/10/2026</v>
      </c>
      <c r="AD81" t="str">
        <v>13:41:08</v>
      </c>
      <c r="AE81">
        <f>IF("ONLINE"="NOGPS","GPS Antiguo","En línea")</f>
      </c>
      <c r="AF81">
        <f>IF(0=0,"Sin atender", IF(0=1,"Atendida","Atendida y Reportada"))</f>
      </c>
      <c r="AG81" t="str">
        <v/>
      </c>
      <c r="AH81" t="str">
        <v/>
      </c>
      <c r="AI81" t="str">
        <v/>
      </c>
      <c r="AJ81" t="str">
        <v/>
      </c>
      <c r="AK81" t="str">
        <v>01/10/2026 13:41:26</v>
      </c>
      <c r="AL81" t="str">
        <v>13:41:26</v>
      </c>
      <c r="AM81" t="str">
        <v/>
      </c>
    </row>
    <row r="82">
      <c r="A82">
        <v>81</v>
      </c>
      <c r="B82" t="str">
        <v>MASS BSF</v>
      </c>
      <c r="C82" t="str">
        <v>CMV-853</v>
      </c>
      <c r="D82" t="str">
        <v>CMV-853</v>
      </c>
      <c r="E82" t="str">
        <v/>
      </c>
      <c r="F82" t="str">
        <v>867162029810454</v>
      </c>
      <c r="G82" t="str">
        <v>TBD</v>
      </c>
      <c r="H82" t="str">
        <v/>
      </c>
      <c r="I82" t="str">
        <v/>
      </c>
      <c r="J82" t="str">
        <v>01/10/2026</v>
      </c>
      <c r="K82" t="str">
        <v>13:42:46</v>
      </c>
      <c r="L82">
        <v>-12.317352</v>
      </c>
      <c r="M82">
        <v>-76.822975</v>
      </c>
      <c r="N82">
        <f>HYPERLINK("https://www.google.com/maps/search/?api=1&amp;query=-12.317352,-76.822975","Punta Hermosa, Lima")</f>
      </c>
      <c r="O82" t="str">
        <v>Vehículo encendido</v>
      </c>
      <c r="P82" t="str">
        <v/>
      </c>
      <c r="Q82">
        <v>12327.3</v>
      </c>
      <c r="R82" t="str">
        <v/>
      </c>
      <c r="S82">
        <v>0</v>
      </c>
      <c r="T82">
        <v>0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>
        <v>90</v>
      </c>
      <c r="AC82" t="str">
        <v>01/10/2026</v>
      </c>
      <c r="AD82" t="str">
        <v>13:42:50</v>
      </c>
      <c r="AE82">
        <f>IF("ONLINE"="NOGPS","GPS Antiguo","En línea")</f>
      </c>
      <c r="AF82">
        <f>IF(0=0,"Sin atender", IF(0=1,"Atendida","Atendida y Reportada"))</f>
      </c>
      <c r="AG82" t="str">
        <v/>
      </c>
      <c r="AH82" t="str">
        <v/>
      </c>
      <c r="AI82" t="str">
        <v/>
      </c>
      <c r="AJ82" t="str">
        <v/>
      </c>
      <c r="AK82" t="str">
        <v>01/10/2026 13:43:10</v>
      </c>
      <c r="AL82" t="str">
        <v>13:43:10</v>
      </c>
      <c r="AM82" t="str">
        <v/>
      </c>
    </row>
    <row r="83">
      <c r="A83">
        <v>82</v>
      </c>
      <c r="B83" t="str">
        <v>MASS BSF</v>
      </c>
      <c r="C83" t="str">
        <v>CMV-853</v>
      </c>
      <c r="D83" t="str">
        <v>CMV-853</v>
      </c>
      <c r="E83" t="str">
        <v/>
      </c>
      <c r="F83" t="str">
        <v>867162029810454</v>
      </c>
      <c r="G83" t="str">
        <v>TBD</v>
      </c>
      <c r="H83" t="str">
        <v/>
      </c>
      <c r="I83" t="str">
        <v/>
      </c>
      <c r="J83" t="str">
        <v>01/10/2026</v>
      </c>
      <c r="K83" t="str">
        <v>13:46:48</v>
      </c>
      <c r="L83">
        <v>-12.317713</v>
      </c>
      <c r="M83">
        <v>-76.82433</v>
      </c>
      <c r="N83">
        <f>HYPERLINK("https://www.google.com/maps/search/?api=1&amp;query=-12.317713,-76.82433","Punta Hermosa, Lima")</f>
      </c>
      <c r="O83" t="str">
        <v>Vehículo apagado</v>
      </c>
      <c r="P83" t="str">
        <v>Vehículo Apagado</v>
      </c>
      <c r="Q83">
        <v>12327.6</v>
      </c>
      <c r="R83" t="str">
        <v/>
      </c>
      <c r="S83">
        <v>0</v>
      </c>
      <c r="T83">
        <v>0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>
        <v>90</v>
      </c>
      <c r="AC83" t="str">
        <v>01/10/2026</v>
      </c>
      <c r="AD83" t="str">
        <v>13:45:44</v>
      </c>
      <c r="AE83">
        <f>IF("ONLINE"="NOGPS","GPS Antiguo","En línea")</f>
      </c>
      <c r="AF83">
        <f>IF(0=0,"Sin atender", IF(0=1,"Atendida","Atendida y Reportada"))</f>
      </c>
      <c r="AG83" t="str">
        <v/>
      </c>
      <c r="AH83" t="str">
        <v/>
      </c>
      <c r="AI83" t="str">
        <v/>
      </c>
      <c r="AJ83" t="str">
        <v/>
      </c>
      <c r="AK83" t="str">
        <v>01/10/2026 13:46:54</v>
      </c>
      <c r="AL83" t="str">
        <v>13:46:54</v>
      </c>
      <c r="AM83" t="str">
        <v/>
      </c>
    </row>
    <row r="84">
      <c r="A84">
        <v>83</v>
      </c>
      <c r="B84" t="str">
        <v>MASS BSF</v>
      </c>
      <c r="C84" t="str">
        <v>CMV-853</v>
      </c>
      <c r="D84" t="str">
        <v>CMV-853</v>
      </c>
      <c r="E84" t="str">
        <v/>
      </c>
      <c r="F84" t="str">
        <v>867162029810454</v>
      </c>
      <c r="G84" t="str">
        <v>TBD</v>
      </c>
      <c r="H84" t="str">
        <v/>
      </c>
      <c r="I84" t="str">
        <v/>
      </c>
      <c r="J84" t="str">
        <v>01/10/2026</v>
      </c>
      <c r="K84" t="str">
        <v>15:53:06</v>
      </c>
      <c r="L84">
        <v>-12.317713</v>
      </c>
      <c r="M84">
        <v>-76.82433</v>
      </c>
      <c r="N84">
        <f>HYPERLINK("https://www.google.com/maps/search/?api=1&amp;query=-12.317713,-76.82433","Punta Hermosa, Lima")</f>
      </c>
      <c r="O84" t="str">
        <v>Vehículo encendido</v>
      </c>
      <c r="P84" t="str">
        <v/>
      </c>
      <c r="Q84">
        <v>12327.6</v>
      </c>
      <c r="R84" t="str">
        <v/>
      </c>
      <c r="S84">
        <v>0</v>
      </c>
      <c r="T84">
        <v>0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>
        <v>90</v>
      </c>
      <c r="AC84" t="str">
        <v>01/10/2026</v>
      </c>
      <c r="AD84" t="str">
        <v>15:44:15</v>
      </c>
      <c r="AE84">
        <f>IF("NOGPS"="NOGPS","GPS Antiguo","En línea")</f>
      </c>
      <c r="AF84">
        <f>IF(0=0,"Sin atender", IF(0=1,"Atendida","Atendida y Reportada"))</f>
      </c>
      <c r="AG84" t="str">
        <v/>
      </c>
      <c r="AH84" t="str">
        <v/>
      </c>
      <c r="AI84" t="str">
        <v/>
      </c>
      <c r="AJ84" t="str">
        <v/>
      </c>
      <c r="AK84" t="str">
        <v>01/10/2026 15:53:32</v>
      </c>
      <c r="AL84" t="str">
        <v>15:53:32</v>
      </c>
      <c r="AM84" t="str">
        <v/>
      </c>
    </row>
    <row r="85">
      <c r="A85">
        <v>84</v>
      </c>
      <c r="B85" t="str">
        <v>MASS BSF</v>
      </c>
      <c r="C85" t="str">
        <v>CMV-853</v>
      </c>
      <c r="D85" t="str">
        <v>CMV-853</v>
      </c>
      <c r="E85" t="str">
        <v/>
      </c>
      <c r="F85" t="str">
        <v>867162029810454</v>
      </c>
      <c r="G85" t="str">
        <v>TBD</v>
      </c>
      <c r="H85" t="str">
        <v/>
      </c>
      <c r="I85" t="str">
        <v/>
      </c>
      <c r="J85" t="str">
        <v>01/10/2026</v>
      </c>
      <c r="K85" t="str">
        <v>15:55:56</v>
      </c>
      <c r="L85">
        <v>-12.317838</v>
      </c>
      <c r="M85">
        <v>-76.82423</v>
      </c>
      <c r="N85">
        <f>HYPERLINK("https://www.google.com/maps/search/?api=1&amp;query=-12.317838,-76.82423","Punta Hermosa, Lima")</f>
      </c>
      <c r="O85" t="str">
        <v>Se desactivó la entrada 2</v>
      </c>
      <c r="P85" t="str">
        <v>Puerta Abierta</v>
      </c>
      <c r="Q85">
        <v>12327.7</v>
      </c>
      <c r="R85" t="str">
        <v/>
      </c>
      <c r="S85">
        <v>0</v>
      </c>
      <c r="T85">
        <v>0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>
        <v>90</v>
      </c>
      <c r="AC85" t="str">
        <v>01/10/2026</v>
      </c>
      <c r="AD85" t="str">
        <v>15:55:55</v>
      </c>
      <c r="AE85">
        <f>IF("ONLINE"="NOGPS","GPS Antiguo","En línea")</f>
      </c>
      <c r="AF85">
        <f>IF(0=0,"Sin atender", IF(0=1,"Atendida","Atendida y Reportada"))</f>
      </c>
      <c r="AG85" t="str">
        <v/>
      </c>
      <c r="AH85" t="str">
        <v/>
      </c>
      <c r="AI85" t="str">
        <v/>
      </c>
      <c r="AJ85" t="str">
        <v/>
      </c>
      <c r="AK85" t="str">
        <v>01/10/2026 15:56:12</v>
      </c>
      <c r="AL85" t="str">
        <v>15:56:12</v>
      </c>
      <c r="AM85" t="str">
        <v/>
      </c>
    </row>
    <row r="86">
      <c r="A86">
        <v>85</v>
      </c>
      <c r="B86" t="str">
        <v>MASS BSF</v>
      </c>
      <c r="C86" t="str">
        <v>CMV-853</v>
      </c>
      <c r="D86" t="str">
        <v>CMV-853</v>
      </c>
      <c r="E86" t="str">
        <v/>
      </c>
      <c r="F86" t="str">
        <v>867162029810454</v>
      </c>
      <c r="G86" t="str">
        <v>TBD</v>
      </c>
      <c r="H86" t="str">
        <v/>
      </c>
      <c r="I86" t="str">
        <v/>
      </c>
      <c r="J86" t="str">
        <v>01/10/2026</v>
      </c>
      <c r="K86" t="str">
        <v>16:00:20</v>
      </c>
      <c r="L86">
        <v>-12.317838</v>
      </c>
      <c r="M86">
        <v>-76.82423</v>
      </c>
      <c r="N86">
        <f>HYPERLINK("https://www.google.com/maps/search/?api=1&amp;query=-12.317838,-76.82423","Punta Hermosa, Lima")</f>
      </c>
      <c r="O86" t="str">
        <v>Vehículo apagado</v>
      </c>
      <c r="P86" t="str">
        <v>Vehículo Apagado</v>
      </c>
      <c r="Q86">
        <v>12327.7</v>
      </c>
      <c r="R86" t="str">
        <v/>
      </c>
      <c r="S86">
        <v>0</v>
      </c>
      <c r="T86">
        <v>0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>
        <v>90</v>
      </c>
      <c r="AC86" t="str">
        <v>01/10/2026</v>
      </c>
      <c r="AD86" t="str">
        <v>16:00:21</v>
      </c>
      <c r="AE86">
        <f>IF("ONLINE"="NOGPS","GPS Antiguo","En línea")</f>
      </c>
      <c r="AF86">
        <f>IF(0=0,"Sin atender", IF(0=1,"Atendida","Atendida y Reportada"))</f>
      </c>
      <c r="AG86" t="str">
        <v/>
      </c>
      <c r="AH86" t="str">
        <v/>
      </c>
      <c r="AI86" t="str">
        <v/>
      </c>
      <c r="AJ86" t="str">
        <v/>
      </c>
      <c r="AK86" t="str">
        <v>01/10/2026 16:00:37</v>
      </c>
      <c r="AL86" t="str">
        <v>16:00:37</v>
      </c>
      <c r="AM86" t="str">
        <v/>
      </c>
    </row>
    <row r="87">
      <c r="A87">
        <v>86</v>
      </c>
      <c r="B87" t="str">
        <v>MASS BSF</v>
      </c>
      <c r="C87" t="str">
        <v>CMV-853</v>
      </c>
      <c r="D87" t="str">
        <v>CMV-853</v>
      </c>
      <c r="E87" t="str">
        <v/>
      </c>
      <c r="F87" t="str">
        <v>867162029810454</v>
      </c>
      <c r="G87" t="str">
        <v>TBD</v>
      </c>
      <c r="H87" t="str">
        <v/>
      </c>
      <c r="I87" t="str">
        <v/>
      </c>
      <c r="J87" t="str">
        <v>01/10/2026</v>
      </c>
      <c r="K87" t="str">
        <v>16:44:53</v>
      </c>
      <c r="L87">
        <v>-12.317838</v>
      </c>
      <c r="M87">
        <v>-76.82423</v>
      </c>
      <c r="N87">
        <f>HYPERLINK("https://www.google.com/maps/search/?api=1&amp;query=-12.317838,-76.82423","Punta Hermosa, Lima")</f>
      </c>
      <c r="O87" t="str">
        <v>Vehículo encendido</v>
      </c>
      <c r="P87" t="str">
        <v/>
      </c>
      <c r="Q87">
        <v>12327.7</v>
      </c>
      <c r="R87" t="str">
        <v/>
      </c>
      <c r="S87">
        <v>0</v>
      </c>
      <c r="T87">
        <v>0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>
        <v>90</v>
      </c>
      <c r="AC87" t="str">
        <v>01/10/2026</v>
      </c>
      <c r="AD87" t="str">
        <v>16:27:47</v>
      </c>
      <c r="AE87">
        <f>IF("NOGPS"="NOGPS","GPS Antiguo","En línea")</f>
      </c>
      <c r="AF87">
        <f>IF(0=0,"Sin atender", IF(0=1,"Atendida","Atendida y Reportada"))</f>
      </c>
      <c r="AG87" t="str">
        <v/>
      </c>
      <c r="AH87" t="str">
        <v/>
      </c>
      <c r="AI87" t="str">
        <v/>
      </c>
      <c r="AJ87" t="str">
        <v/>
      </c>
      <c r="AK87" t="str">
        <v>01/10/2026 16:45:08</v>
      </c>
      <c r="AL87" t="str">
        <v>16:45:08</v>
      </c>
      <c r="AM87" t="str">
        <v/>
      </c>
    </row>
    <row r="88">
      <c r="A88">
        <v>87</v>
      </c>
      <c r="B88" t="str">
        <v>MASS BSF</v>
      </c>
      <c r="C88" t="str">
        <v>CMV-853</v>
      </c>
      <c r="D88" t="str">
        <v>CMV-853</v>
      </c>
      <c r="E88" t="str">
        <v/>
      </c>
      <c r="F88" t="str">
        <v>867162029810454</v>
      </c>
      <c r="G88" t="str">
        <v>TBD</v>
      </c>
      <c r="H88" t="str">
        <v/>
      </c>
      <c r="I88" t="str">
        <v/>
      </c>
      <c r="J88" t="str">
        <v>01/10/2026</v>
      </c>
      <c r="K88" t="str">
        <v>16:46:08</v>
      </c>
      <c r="L88">
        <v>-12.317898</v>
      </c>
      <c r="M88">
        <v>-76.824234</v>
      </c>
      <c r="N88">
        <f>HYPERLINK("https://www.google.com/maps/search/?api=1&amp;query=-12.317898,-76.824234","Punta Hermosa, Lima")</f>
      </c>
      <c r="O88" t="str">
        <v>Se activó la entrada 2</v>
      </c>
      <c r="P88" t="str">
        <v>Puerta Cerrada</v>
      </c>
      <c r="Q88">
        <v>12327.7</v>
      </c>
      <c r="R88" t="str">
        <v/>
      </c>
      <c r="S88">
        <v>0</v>
      </c>
      <c r="T88">
        <v>0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>
        <v>90</v>
      </c>
      <c r="AC88" t="str">
        <v>01/10/2026</v>
      </c>
      <c r="AD88" t="str">
        <v>16:46:07</v>
      </c>
      <c r="AE88">
        <f>IF("ONLINE"="NOGPS","GPS Antiguo","En línea")</f>
      </c>
      <c r="AF88">
        <f>IF(0=0,"Sin atender", IF(0=1,"Atendida","Atendida y Reportada"))</f>
      </c>
      <c r="AG88" t="str">
        <v/>
      </c>
      <c r="AH88" t="str">
        <v/>
      </c>
      <c r="AI88" t="str">
        <v/>
      </c>
      <c r="AJ88" t="str">
        <v/>
      </c>
      <c r="AK88" t="str">
        <v>01/10/2026 16:46:25</v>
      </c>
      <c r="AL88" t="str">
        <v>16:46:25</v>
      </c>
      <c r="AM88" t="str">
        <v/>
      </c>
    </row>
    <row r="89">
      <c r="A89">
        <v>88</v>
      </c>
      <c r="B89" t="str">
        <v>MASS BSF</v>
      </c>
      <c r="C89" t="str">
        <v>CMV-853</v>
      </c>
      <c r="D89" t="str">
        <v>CMV-853</v>
      </c>
      <c r="E89" t="str">
        <v/>
      </c>
      <c r="F89" t="str">
        <v>867162029810454</v>
      </c>
      <c r="G89" t="str">
        <v>TBD</v>
      </c>
      <c r="H89" t="str">
        <v/>
      </c>
      <c r="I89" t="str">
        <v/>
      </c>
      <c r="J89" t="str">
        <v>01/10/2026</v>
      </c>
      <c r="K89" t="str">
        <v>16:50:42</v>
      </c>
      <c r="L89">
        <v>-12.317898</v>
      </c>
      <c r="M89">
        <v>-76.824234</v>
      </c>
      <c r="N89">
        <f>HYPERLINK("https://www.google.com/maps/search/?api=1&amp;query=-12.317898,-76.824234","Punta Hermosa, Lima")</f>
      </c>
      <c r="O89" t="str">
        <v>Vehículo apagado</v>
      </c>
      <c r="P89" t="str">
        <v>Vehículo Apagado</v>
      </c>
      <c r="Q89">
        <v>12327.7</v>
      </c>
      <c r="R89" t="str">
        <v/>
      </c>
      <c r="S89">
        <v>0</v>
      </c>
      <c r="T89">
        <v>0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>
        <v>90</v>
      </c>
      <c r="AC89" t="str">
        <v>01/10/2026</v>
      </c>
      <c r="AD89" t="str">
        <v>16:49:52</v>
      </c>
      <c r="AE89">
        <f>IF("ONLINE"="NOGPS","GPS Antiguo","En línea")</f>
      </c>
      <c r="AF89">
        <f>IF(0=0,"Sin atender", IF(0=1,"Atendida","Atendida y Reportada"))</f>
      </c>
      <c r="AG89" t="str">
        <v/>
      </c>
      <c r="AH89" t="str">
        <v/>
      </c>
      <c r="AI89" t="str">
        <v/>
      </c>
      <c r="AJ89" t="str">
        <v/>
      </c>
      <c r="AK89" t="str">
        <v>01/10/2026 16:50:57</v>
      </c>
      <c r="AL89" t="str">
        <v>16:50:57</v>
      </c>
      <c r="AM89" t="str">
        <v/>
      </c>
    </row>
    <row r="90">
      <c r="A90">
        <v>89</v>
      </c>
      <c r="B90" t="str">
        <v>MASS BSF</v>
      </c>
      <c r="C90" t="str">
        <v>CMV-853</v>
      </c>
      <c r="D90" t="str">
        <v>CMV-853</v>
      </c>
      <c r="E90" t="str">
        <v/>
      </c>
      <c r="F90" t="str">
        <v>867162029810454</v>
      </c>
      <c r="G90" t="str">
        <v>TBD</v>
      </c>
      <c r="H90" t="str">
        <v/>
      </c>
      <c r="I90" t="str">
        <v/>
      </c>
      <c r="J90" t="str">
        <v>01/10/2026</v>
      </c>
      <c r="K90" t="str">
        <v>16:59:47</v>
      </c>
      <c r="L90">
        <v>-12.317898</v>
      </c>
      <c r="M90">
        <v>-76.824234</v>
      </c>
      <c r="N90">
        <f>HYPERLINK("https://www.google.com/maps/search/?api=1&amp;query=-12.317898,-76.824234","Punta Hermosa, Lima")</f>
      </c>
      <c r="O90" t="str">
        <v>Vehículo encendido</v>
      </c>
      <c r="P90" t="str">
        <v/>
      </c>
      <c r="Q90">
        <v>12327.7</v>
      </c>
      <c r="R90" t="str">
        <v/>
      </c>
      <c r="S90">
        <v>0</v>
      </c>
      <c r="T90">
        <v>0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>
        <v>90</v>
      </c>
      <c r="AC90" t="str">
        <v>01/10/2026</v>
      </c>
      <c r="AD90" t="str">
        <v>16:50:45</v>
      </c>
      <c r="AE90">
        <f>IF("NOGPS"="NOGPS","GPS Antiguo","En línea")</f>
      </c>
      <c r="AF90">
        <f>IF(0=0,"Sin atender", IF(0=1,"Atendida","Atendida y Reportada"))</f>
      </c>
      <c r="AG90" t="str">
        <v/>
      </c>
      <c r="AH90" t="str">
        <v/>
      </c>
      <c r="AI90" t="str">
        <v/>
      </c>
      <c r="AJ90" t="str">
        <v/>
      </c>
      <c r="AK90" t="str">
        <v>01/10/2026 17:00:06</v>
      </c>
      <c r="AL90" t="str">
        <v>17:00:06</v>
      </c>
      <c r="AM90" t="str">
        <v/>
      </c>
    </row>
    <row r="91">
      <c r="A91">
        <v>90</v>
      </c>
      <c r="B91" t="str">
        <v>MASS BSF</v>
      </c>
      <c r="C91" t="str">
        <v>CMV-853</v>
      </c>
      <c r="D91" t="str">
        <v>CMV-853</v>
      </c>
      <c r="E91" t="str">
        <v/>
      </c>
      <c r="F91" t="str">
        <v>867162029810454</v>
      </c>
      <c r="G91" t="str">
        <v>TBD</v>
      </c>
      <c r="H91" t="str">
        <v/>
      </c>
      <c r="I91" t="str">
        <v xml:space="preserve"> </v>
      </c>
      <c r="J91" t="str">
        <v>01/10/2026</v>
      </c>
      <c r="K91" t="str">
        <v>17:04:41</v>
      </c>
      <c r="L91">
        <v>-12.31751</v>
      </c>
      <c r="M91">
        <v>-76.830025</v>
      </c>
      <c r="N91">
        <f>HYPERLINK("https://www.google.com/maps/search/?api=1&amp;query=-12.31751,-76.830025","Punta Hermosa, Lima")</f>
      </c>
      <c r="O91" t="str">
        <v>Salió de zona</v>
      </c>
      <c r="P91" t="str">
        <v/>
      </c>
      <c r="Q91">
        <v>12328.5</v>
      </c>
      <c r="R91" t="str">
        <v>MASS BSF 1</v>
      </c>
      <c r="S91">
        <v>17.2</v>
      </c>
      <c r="T91">
        <v>0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>
        <v>90</v>
      </c>
      <c r="AC91" t="str">
        <v>01/10/2026</v>
      </c>
      <c r="AD91" t="str">
        <v>17:04:40</v>
      </c>
      <c r="AE91">
        <f>IF("ONLINE"="NOGPS","GPS Antiguo","En línea")</f>
      </c>
      <c r="AF91">
        <f>IF(0=0,"Sin atender", IF(0=1,"Atendida","Atendida y Reportada"))</f>
      </c>
      <c r="AG91" t="str">
        <v/>
      </c>
      <c r="AH91" t="str">
        <v/>
      </c>
      <c r="AI91" t="str">
        <v/>
      </c>
      <c r="AJ91" t="str">
        <v/>
      </c>
      <c r="AK91" t="str">
        <v>01/10/2026 17:04:53</v>
      </c>
      <c r="AL91" t="str">
        <v>17:04:53</v>
      </c>
      <c r="AM91" t="str">
        <v/>
      </c>
    </row>
    <row r="92">
      <c r="A92">
        <v>91</v>
      </c>
      <c r="B92" t="str">
        <v>MASS BSF</v>
      </c>
      <c r="C92" t="str">
        <v>CMV-853</v>
      </c>
      <c r="D92" t="str">
        <v>CMV-853</v>
      </c>
      <c r="E92" t="str">
        <v/>
      </c>
      <c r="F92" t="str">
        <v>867162029810454</v>
      </c>
      <c r="G92" t="str">
        <v>TBD</v>
      </c>
      <c r="H92" t="str">
        <v/>
      </c>
      <c r="I92" t="str">
        <v xml:space="preserve"> </v>
      </c>
      <c r="J92" t="str">
        <v>01/10/2026</v>
      </c>
      <c r="K92" t="str">
        <v>17:45:52</v>
      </c>
      <c r="L92">
        <v>-12.213133</v>
      </c>
      <c r="M92">
        <v>-76.95978</v>
      </c>
      <c r="N92">
        <f>HYPERLINK("https://www.google.com/maps/search/?api=1&amp;query=-12.213133,-76.95978","Avenida Villa del Mar, Villa El Salvador, Lima")</f>
      </c>
      <c r="O92" t="str">
        <v>Llegó a la zona</v>
      </c>
      <c r="P92" t="str">
        <v/>
      </c>
      <c r="Q92">
        <v>12350.3</v>
      </c>
      <c r="R92" t="str">
        <v>BASE-OSLOGISTICS</v>
      </c>
      <c r="S92">
        <v>13.5</v>
      </c>
      <c r="T92">
        <v>0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>
        <v>90</v>
      </c>
      <c r="AC92" t="str">
        <v>01/10/2026</v>
      </c>
      <c r="AD92" t="str">
        <v>17:45:46</v>
      </c>
      <c r="AE92">
        <f>IF("ONLINE"="NOGPS","GPS Antiguo","En línea")</f>
      </c>
      <c r="AF92">
        <f>IF(0=0,"Sin atender", IF(0=1,"Atendida","Atendida y Reportada"))</f>
      </c>
      <c r="AG92" t="str">
        <v/>
      </c>
      <c r="AH92" t="str">
        <v/>
      </c>
      <c r="AI92" t="str">
        <v/>
      </c>
      <c r="AJ92" t="str">
        <v/>
      </c>
      <c r="AK92" t="str">
        <v>01/10/2026 17:46:02</v>
      </c>
      <c r="AL92" t="str">
        <v>17:46:02</v>
      </c>
      <c r="AM92" t="str">
        <v/>
      </c>
    </row>
    <row r="93">
      <c r="A93">
        <v>92</v>
      </c>
      <c r="B93" t="str">
        <v>MASS BSF</v>
      </c>
      <c r="C93" t="str">
        <v>CMV-853</v>
      </c>
      <c r="D93" t="str">
        <v>CMV-853</v>
      </c>
      <c r="E93" t="str">
        <v/>
      </c>
      <c r="F93" t="str">
        <v>867162029810454</v>
      </c>
      <c r="G93" t="str">
        <v>TBD</v>
      </c>
      <c r="H93" t="str">
        <v/>
      </c>
      <c r="I93" t="str">
        <v/>
      </c>
      <c r="J93" t="str">
        <v>01/10/2026</v>
      </c>
      <c r="K93" t="str">
        <v>17:49:31</v>
      </c>
      <c r="L93">
        <v>-12.212985</v>
      </c>
      <c r="M93">
        <v>-76.959114</v>
      </c>
      <c r="N93">
        <f>HYPERLINK("https://www.google.com/maps/search/?api=1&amp;query=-12.212985,-76.959114","Avenida Villa del Mar, Villa El Salvador, Lima")</f>
      </c>
      <c r="O93" t="str">
        <v>Vehículo apagado</v>
      </c>
      <c r="P93" t="str">
        <v>Vehículo Apagado</v>
      </c>
      <c r="Q93">
        <v>12350.4</v>
      </c>
      <c r="R93" t="str">
        <v/>
      </c>
      <c r="S93">
        <v>0</v>
      </c>
      <c r="T93">
        <v>0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>
        <v>90</v>
      </c>
      <c r="AC93" t="str">
        <v>01/10/2026</v>
      </c>
      <c r="AD93" t="str">
        <v>17:48:49</v>
      </c>
      <c r="AE93">
        <f>IF("ONLINE"="NOGPS","GPS Antiguo","En línea")</f>
      </c>
      <c r="AF93">
        <f>IF(0=0,"Sin atender", IF(0=1,"Atendida","Atendida y Reportada"))</f>
      </c>
      <c r="AG93" t="str">
        <v/>
      </c>
      <c r="AH93" t="str">
        <v/>
      </c>
      <c r="AI93" t="str">
        <v/>
      </c>
      <c r="AJ93" t="str">
        <v/>
      </c>
      <c r="AK93" t="str">
        <v>01/10/2026 17:49:46</v>
      </c>
      <c r="AL93" t="str">
        <v>17:49:46</v>
      </c>
      <c r="AM93" t="str">
        <v/>
      </c>
    </row>
    <row r="94">
      <c r="A94">
        <v>93</v>
      </c>
      <c r="B94" t="str">
        <v>MASS BSF</v>
      </c>
      <c r="C94" t="str">
        <v>CMV-853</v>
      </c>
      <c r="D94" t="str">
        <v>CMV-853</v>
      </c>
      <c r="E94" t="str">
        <v/>
      </c>
      <c r="F94" t="str">
        <v>867162029810454</v>
      </c>
      <c r="G94" t="str">
        <v>TBD</v>
      </c>
      <c r="H94" t="str">
        <v/>
      </c>
      <c r="I94" t="str">
        <v/>
      </c>
      <c r="J94" t="str">
        <v>01/10/2026</v>
      </c>
      <c r="K94" t="str">
        <v>17:55:12</v>
      </c>
      <c r="L94">
        <v>-12.212985</v>
      </c>
      <c r="M94">
        <v>-76.959114</v>
      </c>
      <c r="N94">
        <f>HYPERLINK("https://www.google.com/maps/search/?api=1&amp;query=-12.212985,-76.959114","Avenida Villa del Mar, Villa El Salvador, Lima")</f>
      </c>
      <c r="O94" t="str">
        <v>Vehículo encendido</v>
      </c>
      <c r="P94" t="str">
        <v/>
      </c>
      <c r="Q94">
        <v>12350.4</v>
      </c>
      <c r="R94" t="str">
        <v/>
      </c>
      <c r="S94">
        <v>0</v>
      </c>
      <c r="T94">
        <v>0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>
        <v>90</v>
      </c>
      <c r="AC94" t="str">
        <v>01/10/2026</v>
      </c>
      <c r="AD94" t="str">
        <v>17:49:33</v>
      </c>
      <c r="AE94">
        <f>IF("NOGPS"="NOGPS","GPS Antiguo","En línea")</f>
      </c>
      <c r="AF94">
        <f>IF(0=0,"Sin atender", IF(0=1,"Atendida","Atendida y Reportada"))</f>
      </c>
      <c r="AG94" t="str">
        <v/>
      </c>
      <c r="AH94" t="str">
        <v/>
      </c>
      <c r="AI94" t="str">
        <v/>
      </c>
      <c r="AJ94" t="str">
        <v/>
      </c>
      <c r="AK94" t="str">
        <v>01/10/2026 17:55:18</v>
      </c>
      <c r="AL94" t="str">
        <v>17:55:18</v>
      </c>
      <c r="AM94" t="str">
        <v/>
      </c>
    </row>
    <row r="95">
      <c r="A95">
        <v>94</v>
      </c>
      <c r="B95" t="str">
        <v>MASS BSF</v>
      </c>
      <c r="C95" t="str">
        <v>CMV-853</v>
      </c>
      <c r="D95" t="str">
        <v>CMV-853</v>
      </c>
      <c r="E95" t="str">
        <v/>
      </c>
      <c r="F95" t="str">
        <v>867162029810454</v>
      </c>
      <c r="G95" t="str">
        <v>TBD</v>
      </c>
      <c r="H95" t="str">
        <v/>
      </c>
      <c r="I95" t="str">
        <v/>
      </c>
      <c r="J95" t="str">
        <v>01/10/2026</v>
      </c>
      <c r="K95" t="str">
        <v>17:57:06</v>
      </c>
      <c r="L95">
        <v>-12.212905</v>
      </c>
      <c r="M95">
        <v>-76.95898</v>
      </c>
      <c r="N95">
        <f>HYPERLINK("https://www.google.com/maps/search/?api=1&amp;query=-12.212905,-76.95898","Avenida Villa del Mar, Villa El Salvador, Lima")</f>
      </c>
      <c r="O95" t="str">
        <v>Vehículo apagado</v>
      </c>
      <c r="P95" t="str">
        <v>Vehículo Apagado</v>
      </c>
      <c r="Q95">
        <v>12350.5</v>
      </c>
      <c r="R95" t="str">
        <v/>
      </c>
      <c r="S95">
        <v>0</v>
      </c>
      <c r="T95">
        <v>0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>
        <v>90</v>
      </c>
      <c r="AC95" t="str">
        <v>01/10/2026</v>
      </c>
      <c r="AD95" t="str">
        <v>17:57:10</v>
      </c>
      <c r="AE95">
        <f>IF("ONLINE"="NOGPS","GPS Antiguo","En línea")</f>
      </c>
      <c r="AF95">
        <f>IF(0=0,"Sin atender", IF(0=1,"Atendida","Atendida y Reportada"))</f>
      </c>
      <c r="AG95" t="str">
        <v/>
      </c>
      <c r="AH95" t="str">
        <v/>
      </c>
      <c r="AI95" t="str">
        <v/>
      </c>
      <c r="AJ95" t="str">
        <v/>
      </c>
      <c r="AK95" t="str">
        <v>01/10/2026 17:57:30</v>
      </c>
      <c r="AL95" t="str">
        <v>17:57:30</v>
      </c>
      <c r="AM95" t="str">
        <v/>
      </c>
    </row>
  </sheetData>
  <ignoredErrors>
    <ignoredError numberStoredAsText="1" sqref="A1:AM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