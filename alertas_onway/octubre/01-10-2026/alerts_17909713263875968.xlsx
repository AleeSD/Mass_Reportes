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45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Alerta alias</v>
      </c>
      <c r="Q1" t="str">
        <v>Odómetro (Km)</v>
      </c>
      <c r="R1" t="str">
        <v>Zona</v>
      </c>
      <c r="S1" t="str">
        <v>Velocidad (Km/h)</v>
      </c>
      <c r="T1" t="str">
        <v>Horómetro (Hrs)</v>
      </c>
      <c r="U1" t="str">
        <v>Velocidad máxima permitida</v>
      </c>
      <c r="V1" t="str">
        <v>Velocidad máxima alcanzada</v>
      </c>
      <c r="W1" t="str">
        <v>Velocidad promedio</v>
      </c>
      <c r="X1" t="str">
        <v>Duración (segundos)</v>
      </c>
      <c r="Y1" t="str">
        <v>Severidad de la alerta</v>
      </c>
      <c r="Z1" t="str">
        <v>Fecha y hora de inicio del exceso</v>
      </c>
      <c r="AA1" t="str">
        <v>Fecha y hora de fin del exceso</v>
      </c>
      <c r="AB1" t="str">
        <v>% Batería</v>
      </c>
      <c r="AC1" t="str">
        <v>Fecha GPS</v>
      </c>
      <c r="AD1" t="str">
        <v>Hora GPS</v>
      </c>
      <c r="AE1" t="str">
        <v>Estado GPS</v>
      </c>
      <c r="AF1" t="str">
        <v>Atención Alerta</v>
      </c>
      <c r="AG1" t="str">
        <v>Reporte de Alerta</v>
      </c>
      <c r="AH1" t="str">
        <v>Fecha Reporte Al.</v>
      </c>
      <c r="AI1" t="str">
        <v>Hora Reporte Al.</v>
      </c>
      <c r="AJ1" t="str">
        <v>Registro de Atención</v>
      </c>
      <c r="AK1" t="str">
        <v>Fecha Registro At.</v>
      </c>
      <c r="AL1" t="str">
        <v>Hora Registro At.</v>
      </c>
      <c r="AM1" t="str">
        <v>Notas</v>
      </c>
    </row>
    <row r="2">
      <c r="A2">
        <v>1</v>
      </c>
      <c r="B2" t="str">
        <v>MASS BSF</v>
      </c>
      <c r="C2" t="str">
        <v>F6V-794</v>
      </c>
      <c r="D2" t="str">
        <v>F6V-794</v>
      </c>
      <c r="E2" t="str">
        <v/>
      </c>
      <c r="F2" t="str">
        <v>865235053167082</v>
      </c>
      <c r="G2" t="str">
        <v>TBD</v>
      </c>
      <c r="H2" t="str">
        <v/>
      </c>
      <c r="I2" t="str">
        <v/>
      </c>
      <c r="J2" t="str">
        <v>01/10/2026</v>
      </c>
      <c r="K2" t="str">
        <v>05:50:49</v>
      </c>
      <c r="L2">
        <v>-12.212988</v>
      </c>
      <c r="M2">
        <v>-76.95905</v>
      </c>
      <c r="N2">
        <f>HYPERLINK("https://www.google.com/maps/search/?api=1&amp;query=-12.212988,-76.95905","Avenida Villa del Mar, Villa El Salvador, Lima")</f>
      </c>
      <c r="O2" t="str">
        <v>Vehículo encendido</v>
      </c>
      <c r="P2" t="str">
        <v/>
      </c>
      <c r="Q2">
        <v>135464.3</v>
      </c>
      <c r="R2" t="str">
        <v/>
      </c>
      <c r="S2">
        <v>0</v>
      </c>
      <c r="T2">
        <v>0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>
        <v>99</v>
      </c>
      <c r="AC2" t="str">
        <v>01/10/2026</v>
      </c>
      <c r="AD2" t="str">
        <v>05:50:45</v>
      </c>
      <c r="AE2">
        <f>IF("ONLINE"="NOGPS","GPS Antiguo","En línea")</f>
      </c>
      <c r="AF2">
        <f>IF(0=0,"Sin atender", IF(0=1,"Atendida","Atendida y Reportada"))</f>
      </c>
      <c r="AG2" t="str">
        <v/>
      </c>
      <c r="AH2" t="str">
        <v/>
      </c>
      <c r="AI2" t="str">
        <v/>
      </c>
      <c r="AJ2" t="str">
        <v/>
      </c>
      <c r="AK2" t="str">
        <v>01/10/2026 05:51:16</v>
      </c>
      <c r="AL2" t="str">
        <v>05:51:16</v>
      </c>
      <c r="AM2" t="str">
        <v/>
      </c>
    </row>
    <row r="3">
      <c r="A3">
        <v>2</v>
      </c>
      <c r="B3" t="str">
        <v>MASS BSF</v>
      </c>
      <c r="C3" t="str">
        <v>F6V-794</v>
      </c>
      <c r="D3" t="str">
        <v>F6V-794</v>
      </c>
      <c r="E3" t="str">
        <v/>
      </c>
      <c r="F3" t="str">
        <v>865235053167082</v>
      </c>
      <c r="G3" t="str">
        <v>TBD</v>
      </c>
      <c r="H3" t="str">
        <v/>
      </c>
      <c r="I3" t="str">
        <v/>
      </c>
      <c r="J3" t="str">
        <v>01/10/2026</v>
      </c>
      <c r="K3" t="str">
        <v>05:52:04</v>
      </c>
      <c r="L3">
        <v>-12.212858</v>
      </c>
      <c r="M3">
        <v>-76.958885</v>
      </c>
      <c r="N3">
        <f>HYPERLINK("https://www.google.com/maps/search/?api=1&amp;query=-12.212858,-76.958885","Avenida Villa del Mar, Villa El Salvador, Lima")</f>
      </c>
      <c r="O3" t="str">
        <v>Vehículo apagado</v>
      </c>
      <c r="P3" t="str">
        <v>Vehículo Apagado</v>
      </c>
      <c r="Q3">
        <v>135464.3</v>
      </c>
      <c r="R3" t="str">
        <v/>
      </c>
      <c r="S3">
        <v>0</v>
      </c>
      <c r="T3">
        <v>0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>
        <v>99</v>
      </c>
      <c r="AC3" t="str">
        <v>01/10/2026</v>
      </c>
      <c r="AD3" t="str">
        <v>05:52:00</v>
      </c>
      <c r="AE3">
        <f>IF("ONLINE"="NOGPS","GPS Antiguo","En línea")</f>
      </c>
      <c r="AF3">
        <f>IF(0=0,"Sin atender", IF(0=1,"Atendida","Atendida y Reportada"))</f>
      </c>
      <c r="AG3" t="str">
        <v/>
      </c>
      <c r="AH3" t="str">
        <v/>
      </c>
      <c r="AI3" t="str">
        <v/>
      </c>
      <c r="AJ3" t="str">
        <v/>
      </c>
      <c r="AK3" t="str">
        <v>01/10/2026 05:52:25</v>
      </c>
      <c r="AL3" t="str">
        <v>05:52:25</v>
      </c>
      <c r="AM3" t="str">
        <v/>
      </c>
    </row>
    <row r="4">
      <c r="A4">
        <v>3</v>
      </c>
      <c r="B4" t="str">
        <v>MASS BSF</v>
      </c>
      <c r="C4" t="str">
        <v>F6V-794</v>
      </c>
      <c r="D4" t="str">
        <v>F6V-794</v>
      </c>
      <c r="E4" t="str">
        <v/>
      </c>
      <c r="F4" t="str">
        <v>865235053167082</v>
      </c>
      <c r="G4" t="str">
        <v>TBD</v>
      </c>
      <c r="H4" t="str">
        <v/>
      </c>
      <c r="I4" t="str">
        <v/>
      </c>
      <c r="J4" t="str">
        <v>01/10/2026</v>
      </c>
      <c r="K4" t="str">
        <v>06:13:10</v>
      </c>
      <c r="L4">
        <v>-12.212858</v>
      </c>
      <c r="M4">
        <v>-76.958885</v>
      </c>
      <c r="N4">
        <f>HYPERLINK("https://www.google.com/maps/search/?api=1&amp;query=-12.212858,-76.958885","Avenida Villa del Mar, Villa El Salvador, Lima")</f>
      </c>
      <c r="O4" t="str">
        <v>Vehículo encendido</v>
      </c>
      <c r="P4" t="str">
        <v/>
      </c>
      <c r="Q4">
        <v>135464.3</v>
      </c>
      <c r="R4" t="str">
        <v/>
      </c>
      <c r="S4">
        <v>0</v>
      </c>
      <c r="T4">
        <v>0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>
        <v>100</v>
      </c>
      <c r="AC4" t="str">
        <v>01/10/2026</v>
      </c>
      <c r="AD4" t="str">
        <v>06:13:06</v>
      </c>
      <c r="AE4">
        <f>IF("ONLINE"="NOGPS","GPS Antiguo","En línea")</f>
      </c>
      <c r="AF4">
        <f>IF(0=0,"Sin atender", IF(0=1,"Atendida","Atendida y Reportada"))</f>
      </c>
      <c r="AG4" t="str">
        <v/>
      </c>
      <c r="AH4" t="str">
        <v/>
      </c>
      <c r="AI4" t="str">
        <v/>
      </c>
      <c r="AJ4" t="str">
        <v/>
      </c>
      <c r="AK4" t="str">
        <v>01/10/2026 06:13:17</v>
      </c>
      <c r="AL4" t="str">
        <v>06:13:17</v>
      </c>
      <c r="AM4" t="str">
        <v/>
      </c>
    </row>
    <row r="5">
      <c r="A5">
        <v>4</v>
      </c>
      <c r="B5" t="str">
        <v>MASS BSF</v>
      </c>
      <c r="C5" t="str">
        <v>F6V-794</v>
      </c>
      <c r="D5" t="str">
        <v>F6V-794</v>
      </c>
      <c r="E5" t="str">
        <v/>
      </c>
      <c r="F5" t="str">
        <v>865235053167082</v>
      </c>
      <c r="G5" t="str">
        <v>TBD</v>
      </c>
      <c r="H5" t="str">
        <v/>
      </c>
      <c r="I5" t="str">
        <v xml:space="preserve"> </v>
      </c>
      <c r="J5" t="str">
        <v>01/10/2026</v>
      </c>
      <c r="K5" t="str">
        <v>06:18:30</v>
      </c>
      <c r="L5">
        <v>-12.21335</v>
      </c>
      <c r="M5">
        <v>-76.96012</v>
      </c>
      <c r="N5">
        <f>HYPERLINK("https://www.google.com/maps/search/?api=1&amp;query=-12.21335,-76.96012","Avenida Villa del Mar, Villa El Salvador, Lima")</f>
      </c>
      <c r="O5" t="str">
        <v>Salió de zona</v>
      </c>
      <c r="P5" t="str">
        <v/>
      </c>
      <c r="Q5">
        <v>135464.4</v>
      </c>
      <c r="R5" t="str">
        <v>BASE-OSLOGISTICS</v>
      </c>
      <c r="S5">
        <v>7.4</v>
      </c>
      <c r="T5">
        <v>0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>
        <v>99</v>
      </c>
      <c r="AC5" t="str">
        <v>01/10/2026</v>
      </c>
      <c r="AD5" t="str">
        <v>06:18:25</v>
      </c>
      <c r="AE5">
        <f>IF("ONLINE"="NOGPS","GPS Antiguo","En línea")</f>
      </c>
      <c r="AF5">
        <f>IF(0=0,"Sin atender", IF(0=1,"Atendida","Atendida y Reportada"))</f>
      </c>
      <c r="AG5" t="str">
        <v/>
      </c>
      <c r="AH5" t="str">
        <v/>
      </c>
      <c r="AI5" t="str">
        <v/>
      </c>
      <c r="AJ5" t="str">
        <v/>
      </c>
      <c r="AK5" t="str">
        <v>01/10/2026 06:18:38</v>
      </c>
      <c r="AL5" t="str">
        <v>06:18:38</v>
      </c>
      <c r="AM5" t="str">
        <v/>
      </c>
    </row>
    <row r="6">
      <c r="A6">
        <v>5</v>
      </c>
      <c r="B6" t="str">
        <v>MASS BSF</v>
      </c>
      <c r="C6" t="str">
        <v>F6V-794</v>
      </c>
      <c r="D6" t="str">
        <v>F6V-794</v>
      </c>
      <c r="E6" t="str">
        <v/>
      </c>
      <c r="F6" t="str">
        <v>865235053167082</v>
      </c>
      <c r="G6" t="str">
        <v>TBD</v>
      </c>
      <c r="H6" t="str">
        <v/>
      </c>
      <c r="I6" t="str">
        <v/>
      </c>
      <c r="J6" t="str">
        <v>01/10/2026</v>
      </c>
      <c r="K6" t="str">
        <v>06:27:01</v>
      </c>
      <c r="L6">
        <v>-12.20318</v>
      </c>
      <c r="M6">
        <v>-76.95435</v>
      </c>
      <c r="N6">
        <f>HYPERLINK("https://www.google.com/maps/search/?api=1&amp;query=-12.20318,-76.95435","Avenida Mariano Pastor Sevilla, Villa El Salvador, Lima")</f>
      </c>
      <c r="O6" t="str">
        <v>Bache</v>
      </c>
      <c r="P6" t="str">
        <v/>
      </c>
      <c r="Q6">
        <v>135466.3</v>
      </c>
      <c r="R6" t="str">
        <v/>
      </c>
      <c r="S6">
        <v>8.8</v>
      </c>
      <c r="T6">
        <v>0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>
        <v>99</v>
      </c>
      <c r="AC6" t="str">
        <v>01/10/2026</v>
      </c>
      <c r="AD6" t="str">
        <v>06:26:56</v>
      </c>
      <c r="AE6">
        <f>IF("ONLINE"="NOGPS","GPS Antiguo","En línea")</f>
      </c>
      <c r="AF6">
        <f>IF(0=0,"Sin atender", IF(0=1,"Atendida","Atendida y Reportada"))</f>
      </c>
      <c r="AG6" t="str">
        <v/>
      </c>
      <c r="AH6" t="str">
        <v/>
      </c>
      <c r="AI6" t="str">
        <v/>
      </c>
      <c r="AJ6" t="str">
        <v/>
      </c>
      <c r="AK6" t="str">
        <v>01/10/2026 06:27:31</v>
      </c>
      <c r="AL6" t="str">
        <v>06:27:31</v>
      </c>
      <c r="AM6" t="str">
        <v/>
      </c>
    </row>
    <row r="7">
      <c r="A7">
        <v>6</v>
      </c>
      <c r="B7" t="str">
        <v>MASS BSF</v>
      </c>
      <c r="C7" t="str">
        <v>F6V-794</v>
      </c>
      <c r="D7" t="str">
        <v>F6V-794</v>
      </c>
      <c r="E7" t="str">
        <v/>
      </c>
      <c r="F7" t="str">
        <v>865235053167082</v>
      </c>
      <c r="G7" t="str">
        <v>TBD</v>
      </c>
      <c r="H7" t="str">
        <v/>
      </c>
      <c r="I7" t="str">
        <v/>
      </c>
      <c r="J7" t="str">
        <v>01/10/2026</v>
      </c>
      <c r="K7" t="str">
        <v>06:35:21</v>
      </c>
      <c r="L7">
        <v>-12.18197</v>
      </c>
      <c r="M7">
        <v>-76.96606</v>
      </c>
      <c r="N7">
        <f>HYPERLINK("https://www.google.com/maps/search/?api=1&amp;query=-12.18197,-76.96606","Avenida Mariano Pastor Sevilla, San Juan de Miraflores, Lima")</f>
      </c>
      <c r="O7" t="str">
        <v>Bache</v>
      </c>
      <c r="P7" t="str">
        <v/>
      </c>
      <c r="Q7">
        <v>135468.9</v>
      </c>
      <c r="R7" t="str">
        <v/>
      </c>
      <c r="S7">
        <v>4.8</v>
      </c>
      <c r="T7">
        <v>0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>
        <v>98</v>
      </c>
      <c r="AC7" t="str">
        <v>01/10/2026</v>
      </c>
      <c r="AD7" t="str">
        <v>06:35:16</v>
      </c>
      <c r="AE7">
        <f>IF("ONLINE"="NOGPS","GPS Antiguo","En línea")</f>
      </c>
      <c r="AF7">
        <f>IF(0=0,"Sin atender", IF(0=1,"Atendida","Atendida y Reportada"))</f>
      </c>
      <c r="AG7" t="str">
        <v/>
      </c>
      <c r="AH7" t="str">
        <v/>
      </c>
      <c r="AI7" t="str">
        <v/>
      </c>
      <c r="AJ7" t="str">
        <v/>
      </c>
      <c r="AK7" t="str">
        <v>01/10/2026 06:35:30</v>
      </c>
      <c r="AL7" t="str">
        <v>06:35:30</v>
      </c>
      <c r="AM7" t="str">
        <v/>
      </c>
    </row>
    <row r="8">
      <c r="A8">
        <v>7</v>
      </c>
      <c r="B8" t="str">
        <v>MASS BSF</v>
      </c>
      <c r="C8" t="str">
        <v>F6V-794</v>
      </c>
      <c r="D8" t="str">
        <v>F6V-794</v>
      </c>
      <c r="E8" t="str">
        <v/>
      </c>
      <c r="F8" t="str">
        <v>865235053167082</v>
      </c>
      <c r="G8" t="str">
        <v>TBD</v>
      </c>
      <c r="H8" t="str">
        <v/>
      </c>
      <c r="I8" t="str">
        <v/>
      </c>
      <c r="J8" t="str">
        <v>01/10/2026</v>
      </c>
      <c r="K8" t="str">
        <v>06:37:26</v>
      </c>
      <c r="L8">
        <v>-12.176603</v>
      </c>
      <c r="M8">
        <v>-76.96652</v>
      </c>
      <c r="N8">
        <f>HYPERLINK("https://www.google.com/maps/search/?api=1&amp;query=-12.176603,-76.96652","Avenida César Canevaro, San Juan de Miraflores, Lima")</f>
      </c>
      <c r="O8" t="str">
        <v>Bache</v>
      </c>
      <c r="P8" t="str">
        <v/>
      </c>
      <c r="Q8">
        <v>135469.5</v>
      </c>
      <c r="R8" t="str">
        <v/>
      </c>
      <c r="S8">
        <v>5.9</v>
      </c>
      <c r="T8">
        <v>0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>
        <v>99</v>
      </c>
      <c r="AC8" t="str">
        <v>01/10/2026</v>
      </c>
      <c r="AD8" t="str">
        <v>06:37:21</v>
      </c>
      <c r="AE8">
        <f>IF("ONLINE"="NOGPS","GPS Antiguo","En línea")</f>
      </c>
      <c r="AF8">
        <f>IF(0=0,"Sin atender", IF(0=1,"Atendida","Atendida y Reportada"))</f>
      </c>
      <c r="AG8" t="str">
        <v/>
      </c>
      <c r="AH8" t="str">
        <v/>
      </c>
      <c r="AI8" t="str">
        <v/>
      </c>
      <c r="AJ8" t="str">
        <v/>
      </c>
      <c r="AK8" t="str">
        <v>01/10/2026 06:37:36</v>
      </c>
      <c r="AL8" t="str">
        <v>06:37:36</v>
      </c>
      <c r="AM8" t="str">
        <v/>
      </c>
    </row>
    <row r="9">
      <c r="A9">
        <v>8</v>
      </c>
      <c r="B9" t="str">
        <v>MASS BSF</v>
      </c>
      <c r="C9" t="str">
        <v>F6V-794</v>
      </c>
      <c r="D9" t="str">
        <v>F6V-794</v>
      </c>
      <c r="E9" t="str">
        <v/>
      </c>
      <c r="F9" t="str">
        <v>865235053167082</v>
      </c>
      <c r="G9" t="str">
        <v>TBD</v>
      </c>
      <c r="H9" t="str">
        <v/>
      </c>
      <c r="I9" t="str">
        <v xml:space="preserve"> </v>
      </c>
      <c r="J9" t="str">
        <v>01/10/2026</v>
      </c>
      <c r="K9" t="str">
        <v>06:38:53</v>
      </c>
      <c r="L9">
        <v>-12.174508</v>
      </c>
      <c r="M9">
        <v>-76.967064</v>
      </c>
      <c r="N9">
        <f>HYPERLINK("https://www.google.com/maps/search/?api=1&amp;query=-12.174508,-76.967064","Avenida César Canevaro, San Juan de Miraflores, Lima")</f>
      </c>
      <c r="O9" t="str">
        <v>Llegó a la zona</v>
      </c>
      <c r="P9" t="str">
        <v/>
      </c>
      <c r="Q9">
        <v>135469.8</v>
      </c>
      <c r="R9" t="str">
        <v>255-MIGUEL CANEVARO</v>
      </c>
      <c r="S9">
        <v>0</v>
      </c>
      <c r="T9">
        <v>0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>
        <v>99</v>
      </c>
      <c r="AC9" t="str">
        <v>01/10/2026</v>
      </c>
      <c r="AD9" t="str">
        <v>06:38:48</v>
      </c>
      <c r="AE9">
        <f>IF("ONLINE"="NOGPS","GPS Antiguo","En línea")</f>
      </c>
      <c r="AF9">
        <f>IF(0=0,"Sin atender", IF(0=1,"Atendida","Atendida y Reportada"))</f>
      </c>
      <c r="AG9" t="str">
        <v/>
      </c>
      <c r="AH9" t="str">
        <v/>
      </c>
      <c r="AI9" t="str">
        <v/>
      </c>
      <c r="AJ9" t="str">
        <v/>
      </c>
      <c r="AK9" t="str">
        <v>01/10/2026 06:39:00</v>
      </c>
      <c r="AL9" t="str">
        <v>06:39:00</v>
      </c>
      <c r="AM9" t="str">
        <v/>
      </c>
    </row>
    <row r="10">
      <c r="A10">
        <v>9</v>
      </c>
      <c r="B10" t="str">
        <v>MASS BSF</v>
      </c>
      <c r="C10" t="str">
        <v>F6V-794</v>
      </c>
      <c r="D10" t="str">
        <v>F6V-794</v>
      </c>
      <c r="E10" t="str">
        <v/>
      </c>
      <c r="F10" t="str">
        <v>865235053167082</v>
      </c>
      <c r="G10" t="str">
        <v>TBD</v>
      </c>
      <c r="H10" t="str">
        <v/>
      </c>
      <c r="I10" t="str">
        <v xml:space="preserve"> </v>
      </c>
      <c r="J10" t="str">
        <v>01/10/2026</v>
      </c>
      <c r="K10" t="str">
        <v>06:39:53</v>
      </c>
      <c r="L10">
        <v>-12.17409</v>
      </c>
      <c r="M10">
        <v>-76.96718</v>
      </c>
      <c r="N10">
        <f>HYPERLINK("https://www.google.com/maps/search/?api=1&amp;query=-12.17409,-76.96718","Avenida César Canevaro, San Juan de Miraflores, Lima")</f>
      </c>
      <c r="O10" t="str">
        <v>Salió de zona</v>
      </c>
      <c r="P10" t="str">
        <v/>
      </c>
      <c r="Q10">
        <v>135469.8</v>
      </c>
      <c r="R10" t="str">
        <v>255-MIGUEL CANEVARO</v>
      </c>
      <c r="S10">
        <v>8.3</v>
      </c>
      <c r="T10">
        <v>0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>
        <v>98</v>
      </c>
      <c r="AC10" t="str">
        <v>01/10/2026</v>
      </c>
      <c r="AD10" t="str">
        <v>06:39:48</v>
      </c>
      <c r="AE10">
        <f>IF("ONLINE"="NOGPS","GPS Antiguo","En línea")</f>
      </c>
      <c r="AF10">
        <f>IF(0=0,"Sin atender", IF(0=1,"Atendida","Atendida y Reportada"))</f>
      </c>
      <c r="AG10" t="str">
        <v/>
      </c>
      <c r="AH10" t="str">
        <v/>
      </c>
      <c r="AI10" t="str">
        <v/>
      </c>
      <c r="AJ10" t="str">
        <v/>
      </c>
      <c r="AK10" t="str">
        <v>01/10/2026 06:40:00</v>
      </c>
      <c r="AL10" t="str">
        <v>06:40:00</v>
      </c>
      <c r="AM10" t="str">
        <v/>
      </c>
    </row>
    <row r="11">
      <c r="A11">
        <v>10</v>
      </c>
      <c r="B11" t="str">
        <v>MASS BSF</v>
      </c>
      <c r="C11" t="str">
        <v>F6V-794</v>
      </c>
      <c r="D11" t="str">
        <v>F6V-794</v>
      </c>
      <c r="E11" t="str">
        <v/>
      </c>
      <c r="F11" t="str">
        <v>865235053167082</v>
      </c>
      <c r="G11" t="str">
        <v>TBD</v>
      </c>
      <c r="H11" t="str">
        <v/>
      </c>
      <c r="I11" t="str">
        <v/>
      </c>
      <c r="J11" t="str">
        <v>01/10/2026</v>
      </c>
      <c r="K11" t="str">
        <v>06:41:42</v>
      </c>
      <c r="L11">
        <v>-12.171594</v>
      </c>
      <c r="M11">
        <v>-76.96783</v>
      </c>
      <c r="N11">
        <f>HYPERLINK("https://www.google.com/maps/search/?api=1&amp;query=-12.171594,-76.96783","Avenida César Canevaro, San Juan de Miraflores, Lima")</f>
      </c>
      <c r="O11" t="str">
        <v>Bache</v>
      </c>
      <c r="P11" t="str">
        <v/>
      </c>
      <c r="Q11">
        <v>135470.1</v>
      </c>
      <c r="R11" t="str">
        <v/>
      </c>
      <c r="S11">
        <v>4.6</v>
      </c>
      <c r="T11">
        <v>0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>
        <v>98</v>
      </c>
      <c r="AC11" t="str">
        <v>01/10/2026</v>
      </c>
      <c r="AD11" t="str">
        <v>06:41:37</v>
      </c>
      <c r="AE11">
        <f>IF("ONLINE"="NOGPS","GPS Antiguo","En línea")</f>
      </c>
      <c r="AF11">
        <f>IF(0=0,"Sin atender", IF(0=1,"Atendida","Atendida y Reportada"))</f>
      </c>
      <c r="AG11" t="str">
        <v/>
      </c>
      <c r="AH11" t="str">
        <v/>
      </c>
      <c r="AI11" t="str">
        <v/>
      </c>
      <c r="AJ11" t="str">
        <v/>
      </c>
      <c r="AK11" t="str">
        <v>01/10/2026 06:41:53</v>
      </c>
      <c r="AL11" t="str">
        <v>06:41:53</v>
      </c>
      <c r="AM11" t="str">
        <v/>
      </c>
    </row>
    <row r="12">
      <c r="A12">
        <v>11</v>
      </c>
      <c r="B12" t="str">
        <v>MASS BSF</v>
      </c>
      <c r="C12" t="str">
        <v>F6V-794</v>
      </c>
      <c r="D12" t="str">
        <v>F6V-794</v>
      </c>
      <c r="E12" t="str">
        <v/>
      </c>
      <c r="F12" t="str">
        <v>865235053167082</v>
      </c>
      <c r="G12" t="str">
        <v>TBD</v>
      </c>
      <c r="H12" t="str">
        <v/>
      </c>
      <c r="I12" t="str">
        <v xml:space="preserve"> </v>
      </c>
      <c r="J12" t="str">
        <v>01/10/2026</v>
      </c>
      <c r="K12" t="str">
        <v>06:42:11</v>
      </c>
      <c r="L12">
        <v>-12.170553</v>
      </c>
      <c r="M12">
        <v>-76.9681</v>
      </c>
      <c r="N12">
        <f>HYPERLINK("https://www.google.com/maps/search/?api=1&amp;query=-12.170553,-76.9681","Avenida César Canevaro, San Juan de Miraflores, Lima")</f>
      </c>
      <c r="O12" t="str">
        <v>Llegó a la zona</v>
      </c>
      <c r="P12" t="str">
        <v/>
      </c>
      <c r="Q12">
        <v>135470</v>
      </c>
      <c r="R12" t="str">
        <v>256-CREDITO</v>
      </c>
      <c r="S12">
        <v>4.2</v>
      </c>
      <c r="T12">
        <v>0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>
        <v>98</v>
      </c>
      <c r="AC12" t="str">
        <v>01/10/2026</v>
      </c>
      <c r="AD12" t="str">
        <v>06:42:06</v>
      </c>
      <c r="AE12">
        <f>IF("ONLINE"="NOGPS","GPS Antiguo","En línea")</f>
      </c>
      <c r="AF12">
        <f>IF(0=0,"Sin atender", IF(0=1,"Atendida","Atendida y Reportada"))</f>
      </c>
      <c r="AG12" t="str">
        <v/>
      </c>
      <c r="AH12" t="str">
        <v/>
      </c>
      <c r="AI12" t="str">
        <v/>
      </c>
      <c r="AJ12" t="str">
        <v/>
      </c>
      <c r="AK12" t="str">
        <v>01/10/2026 06:42:21</v>
      </c>
      <c r="AL12" t="str">
        <v>06:42:21</v>
      </c>
      <c r="AM12" t="str">
        <v/>
      </c>
    </row>
    <row r="13">
      <c r="A13">
        <v>12</v>
      </c>
      <c r="B13" t="str">
        <v>MASS BSF</v>
      </c>
      <c r="C13" t="str">
        <v>F6V-794</v>
      </c>
      <c r="D13" t="str">
        <v>F6V-794</v>
      </c>
      <c r="E13" t="str">
        <v/>
      </c>
      <c r="F13" t="str">
        <v>865235053167082</v>
      </c>
      <c r="G13" t="str">
        <v>TBD</v>
      </c>
      <c r="H13" t="str">
        <v/>
      </c>
      <c r="I13" t="str">
        <v xml:space="preserve"> </v>
      </c>
      <c r="J13" t="str">
        <v>01/10/2026</v>
      </c>
      <c r="K13" t="str">
        <v>06:43:11</v>
      </c>
      <c r="L13">
        <v>-12.16897</v>
      </c>
      <c r="M13">
        <v>-76.96853</v>
      </c>
      <c r="N13">
        <f>HYPERLINK("https://www.google.com/maps/search/?api=1&amp;query=-12.16897,-76.96853","Avenida César Canevaro, San Juan de Miraflores, Lima")</f>
      </c>
      <c r="O13" t="str">
        <v>Salió de zona</v>
      </c>
      <c r="P13" t="str">
        <v/>
      </c>
      <c r="Q13">
        <v>135470.4</v>
      </c>
      <c r="R13" t="str">
        <v>256-CREDITO</v>
      </c>
      <c r="S13">
        <v>25.9</v>
      </c>
      <c r="T13">
        <v>0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>
        <v>97</v>
      </c>
      <c r="AC13" t="str">
        <v>01/10/2026</v>
      </c>
      <c r="AD13" t="str">
        <v>06:43:06</v>
      </c>
      <c r="AE13">
        <f>IF("ONLINE"="NOGPS","GPS Antiguo","En línea")</f>
      </c>
      <c r="AF13">
        <f>IF(0=0,"Sin atender", IF(0=1,"Atendida","Atendida y Reportada"))</f>
      </c>
      <c r="AG13" t="str">
        <v/>
      </c>
      <c r="AH13" t="str">
        <v/>
      </c>
      <c r="AI13" t="str">
        <v/>
      </c>
      <c r="AJ13" t="str">
        <v/>
      </c>
      <c r="AK13" t="str">
        <v>01/10/2026 06:43:17</v>
      </c>
      <c r="AL13" t="str">
        <v>06:43:17</v>
      </c>
      <c r="AM13" t="str">
        <v/>
      </c>
    </row>
    <row r="14">
      <c r="A14">
        <v>13</v>
      </c>
      <c r="B14" t="str">
        <v>MASS BSF</v>
      </c>
      <c r="C14" t="str">
        <v>F6V-794</v>
      </c>
      <c r="D14" t="str">
        <v>F6V-794</v>
      </c>
      <c r="E14" t="str">
        <v/>
      </c>
      <c r="F14" t="str">
        <v>865235053167082</v>
      </c>
      <c r="G14" t="str">
        <v>TBD</v>
      </c>
      <c r="H14" t="str">
        <v/>
      </c>
      <c r="I14" t="str">
        <v xml:space="preserve"> </v>
      </c>
      <c r="J14" t="str">
        <v>01/10/2026</v>
      </c>
      <c r="K14" t="str">
        <v>06:45:09</v>
      </c>
      <c r="L14">
        <v>-12.163636</v>
      </c>
      <c r="M14">
        <v>-76.969025</v>
      </c>
      <c r="N14">
        <f>HYPERLINK("https://www.google.com/maps/search/?api=1&amp;query=-12.163636,-76.969025","Avenida César Canevaro, San Juan de Miraflores, Lima")</f>
      </c>
      <c r="O14" t="str">
        <v>Llegó a la zona</v>
      </c>
      <c r="P14" t="str">
        <v/>
      </c>
      <c r="Q14">
        <v>135471</v>
      </c>
      <c r="R14" t="str">
        <v>793-CANEVARO4SJM MS</v>
      </c>
      <c r="S14">
        <v>27.2</v>
      </c>
      <c r="T14">
        <v>0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>
        <v>98</v>
      </c>
      <c r="AC14" t="str">
        <v>01/10/2026</v>
      </c>
      <c r="AD14" t="str">
        <v>06:45:05</v>
      </c>
      <c r="AE14">
        <f>IF("ONLINE"="NOGPS","GPS Antiguo","En línea")</f>
      </c>
      <c r="AF14">
        <f>IF(0=0,"Sin atender", IF(0=1,"Atendida","Atendida y Reportada"))</f>
      </c>
      <c r="AG14" t="str">
        <v/>
      </c>
      <c r="AH14" t="str">
        <v/>
      </c>
      <c r="AI14" t="str">
        <v/>
      </c>
      <c r="AJ14" t="str">
        <v/>
      </c>
      <c r="AK14" t="str">
        <v>01/10/2026 06:45:21</v>
      </c>
      <c r="AL14" t="str">
        <v>06:45:21</v>
      </c>
      <c r="AM14" t="str">
        <v/>
      </c>
    </row>
    <row r="15">
      <c r="A15">
        <v>14</v>
      </c>
      <c r="B15" t="str">
        <v>MASS BSF</v>
      </c>
      <c r="C15" t="str">
        <v>F6V-794</v>
      </c>
      <c r="D15" t="str">
        <v>F6V-794</v>
      </c>
      <c r="E15" t="str">
        <v/>
      </c>
      <c r="F15" t="str">
        <v>865235053167082</v>
      </c>
      <c r="G15" t="str">
        <v>TBD</v>
      </c>
      <c r="H15" t="str">
        <v/>
      </c>
      <c r="I15" t="str">
        <v xml:space="preserve"> </v>
      </c>
      <c r="J15" t="str">
        <v>01/10/2026</v>
      </c>
      <c r="K15" t="str">
        <v>06:45:40</v>
      </c>
      <c r="L15">
        <v>-12.162312</v>
      </c>
      <c r="M15">
        <v>-76.96869</v>
      </c>
      <c r="N15">
        <f>HYPERLINK("https://www.google.com/maps/search/?api=1&amp;query=-12.162312,-76.96869","Avenida César Canevaro, San Juan de Miraflores, Lima")</f>
      </c>
      <c r="O15" t="str">
        <v>Salió de zona</v>
      </c>
      <c r="P15" t="str">
        <v/>
      </c>
      <c r="Q15">
        <v>135471</v>
      </c>
      <c r="R15" t="str">
        <v>793-CANEVARO4SJM MS</v>
      </c>
      <c r="S15">
        <v>25.7</v>
      </c>
      <c r="T15">
        <v>0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>
        <v>98</v>
      </c>
      <c r="AC15" t="str">
        <v>01/10/2026</v>
      </c>
      <c r="AD15" t="str">
        <v>06:45:36</v>
      </c>
      <c r="AE15">
        <f>IF("ONLINE"="NOGPS","GPS Antiguo","En línea")</f>
      </c>
      <c r="AF15">
        <f>IF(0=0,"Sin atender", IF(0=1,"Atendida","Atendida y Reportada"))</f>
      </c>
      <c r="AG15" t="str">
        <v/>
      </c>
      <c r="AH15" t="str">
        <v/>
      </c>
      <c r="AI15" t="str">
        <v/>
      </c>
      <c r="AJ15" t="str">
        <v/>
      </c>
      <c r="AK15" t="str">
        <v>01/10/2026 06:45:41</v>
      </c>
      <c r="AL15" t="str">
        <v>06:45:41</v>
      </c>
      <c r="AM15" t="str">
        <v/>
      </c>
    </row>
    <row r="16">
      <c r="A16">
        <v>15</v>
      </c>
      <c r="B16" t="str">
        <v>MASS BSF</v>
      </c>
      <c r="C16" t="str">
        <v>F6V-794</v>
      </c>
      <c r="D16" t="str">
        <v>F6V-794</v>
      </c>
      <c r="E16" t="str">
        <v/>
      </c>
      <c r="F16" t="str">
        <v>865235053167082</v>
      </c>
      <c r="G16" t="str">
        <v>TBD</v>
      </c>
      <c r="H16" t="str">
        <v/>
      </c>
      <c r="I16" t="str">
        <v xml:space="preserve"> </v>
      </c>
      <c r="J16" t="str">
        <v>01/10/2026</v>
      </c>
      <c r="K16" t="str">
        <v>06:49:43</v>
      </c>
      <c r="L16">
        <v>-12.161736</v>
      </c>
      <c r="M16">
        <v>-76.959595</v>
      </c>
      <c r="N16">
        <f>HYPERLINK("https://www.google.com/maps/search/?api=1&amp;query=-12.161736,-76.959595","Avenida Miguel Iglesias, San Juan de Miraflores, Lima")</f>
      </c>
      <c r="O16" t="str">
        <v>Llegó a la zona</v>
      </c>
      <c r="P16" t="str">
        <v/>
      </c>
      <c r="Q16">
        <v>135472.5</v>
      </c>
      <c r="R16" t="str">
        <v>862-IGLESIA8 SJM MS</v>
      </c>
      <c r="S16">
        <v>29.8</v>
      </c>
      <c r="T16">
        <v>0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>
        <v>98</v>
      </c>
      <c r="AC16" t="str">
        <v>01/10/2026</v>
      </c>
      <c r="AD16" t="str">
        <v>06:49:39</v>
      </c>
      <c r="AE16">
        <f>IF("ONLINE"="NOGPS","GPS Antiguo","En línea")</f>
      </c>
      <c r="AF16">
        <f>IF(0=0,"Sin atender", IF(0=1,"Atendida","Atendida y Reportada"))</f>
      </c>
      <c r="AG16" t="str">
        <v/>
      </c>
      <c r="AH16" t="str">
        <v/>
      </c>
      <c r="AI16" t="str">
        <v/>
      </c>
      <c r="AJ16" t="str">
        <v/>
      </c>
      <c r="AK16" t="str">
        <v>01/10/2026 06:49:51</v>
      </c>
      <c r="AL16" t="str">
        <v>06:49:51</v>
      </c>
      <c r="AM16" t="str">
        <v/>
      </c>
    </row>
    <row r="17">
      <c r="A17">
        <v>16</v>
      </c>
      <c r="B17" t="str">
        <v>MASS BSF</v>
      </c>
      <c r="C17" t="str">
        <v>F6V-794</v>
      </c>
      <c r="D17" t="str">
        <v>F6V-794</v>
      </c>
      <c r="E17" t="str">
        <v/>
      </c>
      <c r="F17" t="str">
        <v>865235053167082</v>
      </c>
      <c r="G17" t="str">
        <v>TBD</v>
      </c>
      <c r="H17" t="str">
        <v/>
      </c>
      <c r="I17" t="str">
        <v xml:space="preserve"> </v>
      </c>
      <c r="J17" t="str">
        <v>01/10/2026</v>
      </c>
      <c r="K17" t="str">
        <v>06:50:43</v>
      </c>
      <c r="L17">
        <v>-12.160757</v>
      </c>
      <c r="M17">
        <v>-76.959175</v>
      </c>
      <c r="N17">
        <f>HYPERLINK("https://www.google.com/maps/search/?api=1&amp;query=-12.160757,-76.959175","Avenida Miguel Iglesias, San Juan de Miraflores, Lima")</f>
      </c>
      <c r="O17" t="str">
        <v>Salió de zona</v>
      </c>
      <c r="P17" t="str">
        <v/>
      </c>
      <c r="Q17">
        <v>135472.6</v>
      </c>
      <c r="R17" t="str">
        <v>862-IGLESIA8 SJM MS</v>
      </c>
      <c r="S17">
        <v>12.5</v>
      </c>
      <c r="T17">
        <v>0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>
        <v>98</v>
      </c>
      <c r="AC17" t="str">
        <v>01/10/2026</v>
      </c>
      <c r="AD17" t="str">
        <v>06:50:38</v>
      </c>
      <c r="AE17">
        <f>IF("ONLINE"="NOGPS","GPS Antiguo","En línea")</f>
      </c>
      <c r="AF17">
        <f>IF(0=0,"Sin atender", IF(0=1,"Atendida","Atendida y Reportada"))</f>
      </c>
      <c r="AG17" t="str">
        <v/>
      </c>
      <c r="AH17" t="str">
        <v/>
      </c>
      <c r="AI17" t="str">
        <v/>
      </c>
      <c r="AJ17" t="str">
        <v/>
      </c>
      <c r="AK17" t="str">
        <v>01/10/2026 06:50:57</v>
      </c>
      <c r="AL17" t="str">
        <v>06:50:57</v>
      </c>
      <c r="AM17" t="str">
        <v/>
      </c>
    </row>
    <row r="18">
      <c r="A18">
        <v>17</v>
      </c>
      <c r="B18" t="str">
        <v>MASS BSF</v>
      </c>
      <c r="C18" t="str">
        <v>F6V-794</v>
      </c>
      <c r="D18" t="str">
        <v>F6V-794</v>
      </c>
      <c r="E18" t="str">
        <v/>
      </c>
      <c r="F18" t="str">
        <v>865235053167082</v>
      </c>
      <c r="G18" t="str">
        <v>TBD</v>
      </c>
      <c r="H18" t="str">
        <v/>
      </c>
      <c r="I18" t="str">
        <v/>
      </c>
      <c r="J18" t="str">
        <v>01/10/2026</v>
      </c>
      <c r="K18" t="str">
        <v>06:54:37</v>
      </c>
      <c r="L18">
        <v>-12.157755</v>
      </c>
      <c r="M18">
        <v>-76.9602</v>
      </c>
      <c r="N18">
        <f>HYPERLINK("https://www.google.com/maps/search/?api=1&amp;query=-12.157755,-76.9602","Calle Melitón Carbajal, San Juan de Miraflores, Lima")</f>
      </c>
      <c r="O18" t="str">
        <v>Bache</v>
      </c>
      <c r="P18" t="str">
        <v/>
      </c>
      <c r="Q18">
        <v>135473.1</v>
      </c>
      <c r="R18" t="str">
        <v/>
      </c>
      <c r="S18">
        <v>7</v>
      </c>
      <c r="T18">
        <v>0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>
        <v>100</v>
      </c>
      <c r="AC18" t="str">
        <v>01/10/2026</v>
      </c>
      <c r="AD18" t="str">
        <v>06:54:32</v>
      </c>
      <c r="AE18">
        <f>IF("ONLINE"="NOGPS","GPS Antiguo","En línea")</f>
      </c>
      <c r="AF18">
        <f>IF(0=0,"Sin atender", IF(0=1,"Atendida","Atendida y Reportada"))</f>
      </c>
      <c r="AG18" t="str">
        <v/>
      </c>
      <c r="AH18" t="str">
        <v/>
      </c>
      <c r="AI18" t="str">
        <v/>
      </c>
      <c r="AJ18" t="str">
        <v/>
      </c>
      <c r="AK18" t="str">
        <v>01/10/2026 06:54:57</v>
      </c>
      <c r="AL18" t="str">
        <v>06:54:57</v>
      </c>
      <c r="AM18" t="str">
        <v/>
      </c>
    </row>
    <row r="19">
      <c r="A19">
        <v>18</v>
      </c>
      <c r="B19" t="str">
        <v>MASS BSF</v>
      </c>
      <c r="C19" t="str">
        <v>F6V-794</v>
      </c>
      <c r="D19" t="str">
        <v>F6V-794</v>
      </c>
      <c r="E19" t="str">
        <v/>
      </c>
      <c r="F19" t="str">
        <v>865235053167082</v>
      </c>
      <c r="G19" t="str">
        <v>TBD</v>
      </c>
      <c r="H19" t="str">
        <v/>
      </c>
      <c r="I19" t="str">
        <v/>
      </c>
      <c r="J19" t="str">
        <v>01/10/2026</v>
      </c>
      <c r="K19" t="str">
        <v>06:55:12</v>
      </c>
      <c r="L19">
        <v>-12.157227</v>
      </c>
      <c r="M19">
        <v>-76.95987</v>
      </c>
      <c r="N19">
        <f>HYPERLINK("https://www.google.com/maps/search/?api=1&amp;query=-12.157227,-76.95987","Calle Melitón Carbajal, San Juan de Miraflores, Lima")</f>
      </c>
      <c r="O19" t="str">
        <v>Bache</v>
      </c>
      <c r="P19" t="str">
        <v/>
      </c>
      <c r="Q19">
        <v>135473.1</v>
      </c>
      <c r="R19" t="str">
        <v/>
      </c>
      <c r="S19">
        <v>5.7</v>
      </c>
      <c r="T19">
        <v>0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>
        <v>100</v>
      </c>
      <c r="AC19" t="str">
        <v>01/10/2026</v>
      </c>
      <c r="AD19" t="str">
        <v>06:55:08</v>
      </c>
      <c r="AE19">
        <f>IF("ONLINE"="NOGPS","GPS Antiguo","En línea")</f>
      </c>
      <c r="AF19">
        <f>IF(0=0,"Sin atender", IF(0=1,"Atendida","Atendida y Reportada"))</f>
      </c>
      <c r="AG19" t="str">
        <v/>
      </c>
      <c r="AH19" t="str">
        <v/>
      </c>
      <c r="AI19" t="str">
        <v/>
      </c>
      <c r="AJ19" t="str">
        <v/>
      </c>
      <c r="AK19" t="str">
        <v>01/10/2026 06:55:19</v>
      </c>
      <c r="AL19" t="str">
        <v>06:55:19</v>
      </c>
      <c r="AM19" t="str">
        <v/>
      </c>
    </row>
    <row r="20">
      <c r="A20">
        <v>19</v>
      </c>
      <c r="B20" t="str">
        <v>MASS BSF</v>
      </c>
      <c r="C20" t="str">
        <v>F6V-794</v>
      </c>
      <c r="D20" t="str">
        <v>F6V-794</v>
      </c>
      <c r="E20" t="str">
        <v/>
      </c>
      <c r="F20" t="str">
        <v>865235053167082</v>
      </c>
      <c r="G20" t="str">
        <v>TBD</v>
      </c>
      <c r="H20" t="str">
        <v/>
      </c>
      <c r="I20" t="str">
        <v/>
      </c>
      <c r="J20" t="str">
        <v>01/10/2026</v>
      </c>
      <c r="K20" t="str">
        <v>06:55:30</v>
      </c>
      <c r="L20">
        <v>-12.156954</v>
      </c>
      <c r="M20">
        <v>-76.95964</v>
      </c>
      <c r="N20">
        <f>HYPERLINK("https://www.google.com/maps/search/?api=1&amp;query=-12.156954,-76.95964","Calle Melitón Carbajal, San Juan de Miraflores, Lima")</f>
      </c>
      <c r="O20" t="str">
        <v>Bache</v>
      </c>
      <c r="P20" t="str">
        <v/>
      </c>
      <c r="Q20">
        <v>135473.2</v>
      </c>
      <c r="R20" t="str">
        <v/>
      </c>
      <c r="S20">
        <v>5.9</v>
      </c>
      <c r="T20">
        <v>0</v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>
        <v>100</v>
      </c>
      <c r="AC20" t="str">
        <v>01/10/2026</v>
      </c>
      <c r="AD20" t="str">
        <v>06:55:25</v>
      </c>
      <c r="AE20">
        <f>IF("ONLINE"="NOGPS","GPS Antiguo","En línea")</f>
      </c>
      <c r="AF20">
        <f>IF(0=0,"Sin atender", IF(0=1,"Atendida","Atendida y Reportada"))</f>
      </c>
      <c r="AG20" t="str">
        <v/>
      </c>
      <c r="AH20" t="str">
        <v/>
      </c>
      <c r="AI20" t="str">
        <v/>
      </c>
      <c r="AJ20" t="str">
        <v/>
      </c>
      <c r="AK20" t="str">
        <v>01/10/2026 06:55:37</v>
      </c>
      <c r="AL20" t="str">
        <v>06:55:37</v>
      </c>
      <c r="AM20" t="str">
        <v/>
      </c>
    </row>
    <row r="21">
      <c r="A21">
        <v>20</v>
      </c>
      <c r="B21" t="str">
        <v>MASS BSF</v>
      </c>
      <c r="C21" t="str">
        <v>F6V-794</v>
      </c>
      <c r="D21" t="str">
        <v>F6V-794</v>
      </c>
      <c r="E21" t="str">
        <v/>
      </c>
      <c r="F21" t="str">
        <v>865235053167082</v>
      </c>
      <c r="G21" t="str">
        <v>TBD</v>
      </c>
      <c r="H21" t="str">
        <v/>
      </c>
      <c r="I21" t="str">
        <v xml:space="preserve"> </v>
      </c>
      <c r="J21" t="str">
        <v>01/10/2026</v>
      </c>
      <c r="K21" t="str">
        <v>06:57:19</v>
      </c>
      <c r="L21">
        <v>-12.156482</v>
      </c>
      <c r="M21">
        <v>-76.95824</v>
      </c>
      <c r="N21">
        <f>HYPERLINK("https://www.google.com/maps/search/?api=1&amp;query=-12.156482,-76.95824","Jirón San Antonio, Villa María del Triunfo, Lima")</f>
      </c>
      <c r="O21" t="str">
        <v>Llegó a la zona</v>
      </c>
      <c r="P21" t="str">
        <v/>
      </c>
      <c r="Q21">
        <v>135473.4</v>
      </c>
      <c r="R21" t="str">
        <v>1294-ANTONIO3 VMT MS</v>
      </c>
      <c r="S21">
        <v>13.3</v>
      </c>
      <c r="T21">
        <v>0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>
        <v>99</v>
      </c>
      <c r="AC21" t="str">
        <v>01/10/2026</v>
      </c>
      <c r="AD21" t="str">
        <v>06:57:15</v>
      </c>
      <c r="AE21">
        <f>IF("ONLINE"="NOGPS","GPS Antiguo","En línea")</f>
      </c>
      <c r="AF21">
        <f>IF(0=0,"Sin atender", IF(0=1,"Atendida","Atendida y Reportada"))</f>
      </c>
      <c r="AG21" t="str">
        <v/>
      </c>
      <c r="AH21" t="str">
        <v/>
      </c>
      <c r="AI21" t="str">
        <v/>
      </c>
      <c r="AJ21" t="str">
        <v/>
      </c>
      <c r="AK21" t="str">
        <v>01/10/2026 06:57:32</v>
      </c>
      <c r="AL21" t="str">
        <v>06:57:32</v>
      </c>
      <c r="AM21" t="str">
        <v/>
      </c>
    </row>
    <row r="22">
      <c r="A22">
        <v>21</v>
      </c>
      <c r="B22" t="str">
        <v>MASS BSF</v>
      </c>
      <c r="C22" t="str">
        <v>F6V-794</v>
      </c>
      <c r="D22" t="str">
        <v>F6V-794</v>
      </c>
      <c r="E22" t="str">
        <v/>
      </c>
      <c r="F22" t="str">
        <v>865235053167082</v>
      </c>
      <c r="G22" t="str">
        <v>TBD</v>
      </c>
      <c r="H22" t="str">
        <v/>
      </c>
      <c r="I22" t="str">
        <v/>
      </c>
      <c r="J22" t="str">
        <v>01/10/2026</v>
      </c>
      <c r="K22" t="str">
        <v>06:58:53</v>
      </c>
      <c r="L22">
        <v>-12.156622</v>
      </c>
      <c r="M22">
        <v>-76.95803</v>
      </c>
      <c r="N22">
        <f>HYPERLINK("https://www.google.com/maps/search/?api=1&amp;query=-12.156622,-76.95803","Jirón San Antonio, Villa María del Triunfo, Lima")</f>
      </c>
      <c r="O22" t="str">
        <v>Vehículo apagado</v>
      </c>
      <c r="P22" t="str">
        <v>Vehículo Apagado</v>
      </c>
      <c r="Q22">
        <v>135473.5</v>
      </c>
      <c r="R22" t="str">
        <v/>
      </c>
      <c r="S22">
        <v>0</v>
      </c>
      <c r="T22">
        <v>0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>
        <v>98</v>
      </c>
      <c r="AC22" t="str">
        <v>01/10/2026</v>
      </c>
      <c r="AD22" t="str">
        <v>06:58:49</v>
      </c>
      <c r="AE22">
        <f>IF("ONLINE"="NOGPS","GPS Antiguo","En línea")</f>
      </c>
      <c r="AF22">
        <f>IF(0=0,"Sin atender", IF(0=1,"Atendida","Atendida y Reportada"))</f>
      </c>
      <c r="AG22" t="str">
        <v/>
      </c>
      <c r="AH22" t="str">
        <v/>
      </c>
      <c r="AI22" t="str">
        <v/>
      </c>
      <c r="AJ22" t="str">
        <v/>
      </c>
      <c r="AK22" t="str">
        <v>01/10/2026 06:59:02</v>
      </c>
      <c r="AL22" t="str">
        <v>06:59:02</v>
      </c>
      <c r="AM22" t="str">
        <v/>
      </c>
    </row>
    <row r="23">
      <c r="A23">
        <v>22</v>
      </c>
      <c r="B23" t="str">
        <v>MASS BSF</v>
      </c>
      <c r="C23" t="str">
        <v>F6V-794</v>
      </c>
      <c r="D23" t="str">
        <v>F6V-794</v>
      </c>
      <c r="E23" t="str">
        <v/>
      </c>
      <c r="F23" t="str">
        <v>865235053167082</v>
      </c>
      <c r="G23" t="str">
        <v>TBD</v>
      </c>
      <c r="H23" t="str">
        <v/>
      </c>
      <c r="I23" t="str">
        <v/>
      </c>
      <c r="J23" t="str">
        <v>01/10/2026</v>
      </c>
      <c r="K23" t="str">
        <v>07:03:58</v>
      </c>
      <c r="L23">
        <v>-12.156622</v>
      </c>
      <c r="M23">
        <v>-76.95803</v>
      </c>
      <c r="N23">
        <f>HYPERLINK("https://www.google.com/maps/search/?api=1&amp;query=-12.156622,-76.95803","Jirón San Antonio, Villa María del Triunfo, Lima")</f>
      </c>
      <c r="O23" t="str">
        <v>Se detuvo</v>
      </c>
      <c r="P23" t="str">
        <v>Unidad se detuvo</v>
      </c>
      <c r="Q23">
        <v>135473.5</v>
      </c>
      <c r="R23" t="str">
        <v/>
      </c>
      <c r="S23">
        <v>0</v>
      </c>
      <c r="T23">
        <v>0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>
        <v>98</v>
      </c>
      <c r="AC23" t="str">
        <v>01/10/2026</v>
      </c>
      <c r="AD23" t="str">
        <v>07:03:53</v>
      </c>
      <c r="AE23">
        <f>IF("ONLINE"="NOGPS","GPS Antiguo","En línea")</f>
      </c>
      <c r="AF23">
        <f>IF(0=0,"Sin atender", IF(0=1,"Atendida","Atendida y Reportada"))</f>
      </c>
      <c r="AG23" t="str">
        <v/>
      </c>
      <c r="AH23" t="str">
        <v/>
      </c>
      <c r="AI23" t="str">
        <v/>
      </c>
      <c r="AJ23" t="str">
        <v/>
      </c>
      <c r="AK23" t="str">
        <v>01/10/2026 07:04:22</v>
      </c>
      <c r="AL23" t="str">
        <v>07:04:22</v>
      </c>
      <c r="AM23" t="str">
        <v/>
      </c>
    </row>
    <row r="24">
      <c r="A24">
        <v>23</v>
      </c>
      <c r="B24" t="str">
        <v>MASS BSF</v>
      </c>
      <c r="C24" t="str">
        <v>F6V-794</v>
      </c>
      <c r="D24" t="str">
        <v>F6V-794</v>
      </c>
      <c r="E24" t="str">
        <v/>
      </c>
      <c r="F24" t="str">
        <v>865235053167082</v>
      </c>
      <c r="G24" t="str">
        <v>TBD</v>
      </c>
      <c r="H24" t="str">
        <v/>
      </c>
      <c r="I24" t="str">
        <v/>
      </c>
      <c r="J24" t="str">
        <v>01/10/2026</v>
      </c>
      <c r="K24" t="str">
        <v>07:24:02</v>
      </c>
      <c r="L24">
        <v>-12.156622</v>
      </c>
      <c r="M24">
        <v>-76.95803</v>
      </c>
      <c r="N24">
        <f>HYPERLINK("https://www.google.com/maps/search/?api=1&amp;query=-12.156622,-76.95803","Jirón San Antonio, Villa María del Triunfo, Lima")</f>
      </c>
      <c r="O24" t="str">
        <v>Vehículo encendido</v>
      </c>
      <c r="P24" t="str">
        <v/>
      </c>
      <c r="Q24">
        <v>135473.5</v>
      </c>
      <c r="R24" t="str">
        <v/>
      </c>
      <c r="S24">
        <v>0</v>
      </c>
      <c r="T24">
        <v>0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>
        <v>98</v>
      </c>
      <c r="AC24" t="str">
        <v>01/10/2026</v>
      </c>
      <c r="AD24" t="str">
        <v>07:23:57</v>
      </c>
      <c r="AE24">
        <f>IF("ONLINE"="NOGPS","GPS Antiguo","En línea")</f>
      </c>
      <c r="AF24">
        <f>IF(0=0,"Sin atender", IF(0=1,"Atendida","Atendida y Reportada"))</f>
      </c>
      <c r="AG24" t="str">
        <v/>
      </c>
      <c r="AH24" t="str">
        <v/>
      </c>
      <c r="AI24" t="str">
        <v/>
      </c>
      <c r="AJ24" t="str">
        <v/>
      </c>
      <c r="AK24" t="str">
        <v>01/10/2026 07:24:13</v>
      </c>
      <c r="AL24" t="str">
        <v>07:24:13</v>
      </c>
      <c r="AM24" t="str">
        <v/>
      </c>
    </row>
    <row r="25">
      <c r="A25">
        <v>24</v>
      </c>
      <c r="B25" t="str">
        <v>MASS BSF</v>
      </c>
      <c r="C25" t="str">
        <v>F6V-794</v>
      </c>
      <c r="D25" t="str">
        <v>F6V-794</v>
      </c>
      <c r="E25" t="str">
        <v/>
      </c>
      <c r="F25" t="str">
        <v>865235053167082</v>
      </c>
      <c r="G25" t="str">
        <v>TBD</v>
      </c>
      <c r="H25" t="str">
        <v/>
      </c>
      <c r="I25" t="str">
        <v xml:space="preserve"> </v>
      </c>
      <c r="J25" t="str">
        <v>01/10/2026</v>
      </c>
      <c r="K25" t="str">
        <v>07:25:12</v>
      </c>
      <c r="L25">
        <v>-12.156874</v>
      </c>
      <c r="M25">
        <v>-76.95776</v>
      </c>
      <c r="N25">
        <f>HYPERLINK("https://www.google.com/maps/search/?api=1&amp;query=-12.156874,-76.95776","Jirón San Antonio, Villa María del Triunfo, Lima")</f>
      </c>
      <c r="O25" t="str">
        <v>Salió de zona</v>
      </c>
      <c r="P25" t="str">
        <v/>
      </c>
      <c r="Q25">
        <v>135473.5</v>
      </c>
      <c r="R25" t="str">
        <v>1294-ANTONIO3 VMT MS</v>
      </c>
      <c r="S25">
        <v>10.9</v>
      </c>
      <c r="T25">
        <v>0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>
        <v>98</v>
      </c>
      <c r="AC25" t="str">
        <v>01/10/2026</v>
      </c>
      <c r="AD25" t="str">
        <v>07:25:08</v>
      </c>
      <c r="AE25">
        <f>IF("ONLINE"="NOGPS","GPS Antiguo","En línea")</f>
      </c>
      <c r="AF25">
        <f>IF(0=0,"Sin atender", IF(0=1,"Atendida","Atendida y Reportada"))</f>
      </c>
      <c r="AG25" t="str">
        <v/>
      </c>
      <c r="AH25" t="str">
        <v/>
      </c>
      <c r="AI25" t="str">
        <v/>
      </c>
      <c r="AJ25" t="str">
        <v/>
      </c>
      <c r="AK25" t="str">
        <v>01/10/2026 07:25:22</v>
      </c>
      <c r="AL25" t="str">
        <v>07:25:22</v>
      </c>
      <c r="AM25" t="str">
        <v/>
      </c>
    </row>
    <row r="26">
      <c r="A26">
        <v>25</v>
      </c>
      <c r="B26" t="str">
        <v>MASS BSF</v>
      </c>
      <c r="C26" t="str">
        <v>F6V-794</v>
      </c>
      <c r="D26" t="str">
        <v>F6V-794</v>
      </c>
      <c r="E26" t="str">
        <v/>
      </c>
      <c r="F26" t="str">
        <v>865235053167082</v>
      </c>
      <c r="G26" t="str">
        <v>TBD</v>
      </c>
      <c r="H26" t="str">
        <v/>
      </c>
      <c r="I26" t="str">
        <v xml:space="preserve"> </v>
      </c>
      <c r="J26" t="str">
        <v>01/10/2026</v>
      </c>
      <c r="K26" t="str">
        <v>07:26:46</v>
      </c>
      <c r="L26">
        <v>-12.158135</v>
      </c>
      <c r="M26">
        <v>-76.95804</v>
      </c>
      <c r="N26">
        <f>HYPERLINK("https://www.google.com/maps/search/?api=1&amp;query=-12.158135,-76.95804","Avenida Nicolás de Piérola, San Juan de Miraflores, Lima")</f>
      </c>
      <c r="O26" t="str">
        <v>Llegó a la zona</v>
      </c>
      <c r="P26" t="str">
        <v/>
      </c>
      <c r="Q26">
        <v>135473.7</v>
      </c>
      <c r="R26" t="str">
        <v>1226-DEFENSOR1SJM MS</v>
      </c>
      <c r="S26">
        <v>6.6</v>
      </c>
      <c r="T26">
        <v>0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>
        <v>98</v>
      </c>
      <c r="AC26" t="str">
        <v>01/10/2026</v>
      </c>
      <c r="AD26" t="str">
        <v>07:26:47</v>
      </c>
      <c r="AE26">
        <f>IF("ONLINE"="NOGPS","GPS Antiguo","En línea")</f>
      </c>
      <c r="AF26">
        <f>IF(0=0,"Sin atender", IF(0=1,"Atendida","Atendida y Reportada"))</f>
      </c>
      <c r="AG26" t="str">
        <v/>
      </c>
      <c r="AH26" t="str">
        <v/>
      </c>
      <c r="AI26" t="str">
        <v/>
      </c>
      <c r="AJ26" t="str">
        <v/>
      </c>
      <c r="AK26" t="str">
        <v>01/10/2026 07:27:00</v>
      </c>
      <c r="AL26" t="str">
        <v>07:27:00</v>
      </c>
      <c r="AM26" t="str">
        <v/>
      </c>
    </row>
    <row r="27">
      <c r="A27">
        <v>26</v>
      </c>
      <c r="B27" t="str">
        <v>MASS BSF</v>
      </c>
      <c r="C27" t="str">
        <v>F6V-794</v>
      </c>
      <c r="D27" t="str">
        <v>F6V-794</v>
      </c>
      <c r="E27" t="str">
        <v/>
      </c>
      <c r="F27" t="str">
        <v>865235053167082</v>
      </c>
      <c r="G27" t="str">
        <v>TBD</v>
      </c>
      <c r="H27" t="str">
        <v/>
      </c>
      <c r="I27" t="str">
        <v xml:space="preserve"> </v>
      </c>
      <c r="J27" t="str">
        <v>01/10/2026</v>
      </c>
      <c r="K27" t="str">
        <v>07:27:59</v>
      </c>
      <c r="L27">
        <v>-12.158749</v>
      </c>
      <c r="M27">
        <v>-76.95855</v>
      </c>
      <c r="N27">
        <f>HYPERLINK("https://www.google.com/maps/search/?api=1&amp;query=-12.158749,-76.95855","Jirón Túpac Amaru, San Juan de Miraflores, Lima")</f>
      </c>
      <c r="O27" t="str">
        <v>Salió de zona</v>
      </c>
      <c r="P27" t="str">
        <v/>
      </c>
      <c r="Q27">
        <v>135473.8</v>
      </c>
      <c r="R27" t="str">
        <v>1226-DEFENSOR1SJM MS</v>
      </c>
      <c r="S27">
        <v>0</v>
      </c>
      <c r="T27">
        <v>0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>
        <v>100</v>
      </c>
      <c r="AC27" t="str">
        <v>01/10/2026</v>
      </c>
      <c r="AD27" t="str">
        <v>07:27:59</v>
      </c>
      <c r="AE27">
        <f>IF("ONLINE"="NOGPS","GPS Antiguo","En línea")</f>
      </c>
      <c r="AF27">
        <f>IF(0=0,"Sin atender", IF(0=1,"Atendida","Atendida y Reportada"))</f>
      </c>
      <c r="AG27" t="str">
        <v/>
      </c>
      <c r="AH27" t="str">
        <v/>
      </c>
      <c r="AI27" t="str">
        <v/>
      </c>
      <c r="AJ27" t="str">
        <v/>
      </c>
      <c r="AK27" t="str">
        <v>01/10/2026 07:28:07</v>
      </c>
      <c r="AL27" t="str">
        <v>07:28:07</v>
      </c>
      <c r="AM27" t="str">
        <v/>
      </c>
    </row>
    <row r="28">
      <c r="A28">
        <v>27</v>
      </c>
      <c r="B28" t="str">
        <v>MASS BSF</v>
      </c>
      <c r="C28" t="str">
        <v>F6V-794</v>
      </c>
      <c r="D28" t="str">
        <v>F6V-794</v>
      </c>
      <c r="E28" t="str">
        <v/>
      </c>
      <c r="F28" t="str">
        <v>865235053167082</v>
      </c>
      <c r="G28" t="str">
        <v>TBD</v>
      </c>
      <c r="H28" t="str">
        <v/>
      </c>
      <c r="I28" t="str">
        <v/>
      </c>
      <c r="J28" t="str">
        <v>01/10/2026</v>
      </c>
      <c r="K28" t="str">
        <v>07:29:54</v>
      </c>
      <c r="L28">
        <v>-12.159139</v>
      </c>
      <c r="M28">
        <v>-76.95869</v>
      </c>
      <c r="N28">
        <f>HYPERLINK("https://www.google.com/maps/search/?api=1&amp;query=-12.159139,-76.95869","Jirón Túpac Amaru, San Juan de Miraflores, Lima")</f>
      </c>
      <c r="O28" t="str">
        <v>Bache</v>
      </c>
      <c r="P28" t="str">
        <v/>
      </c>
      <c r="Q28">
        <v>135473.8</v>
      </c>
      <c r="R28" t="str">
        <v/>
      </c>
      <c r="S28">
        <v>7.4</v>
      </c>
      <c r="T28">
        <v>0</v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>
        <v>100</v>
      </c>
      <c r="AC28" t="str">
        <v>01/10/2026</v>
      </c>
      <c r="AD28" t="str">
        <v>07:29:54</v>
      </c>
      <c r="AE28">
        <f>IF("ONLINE"="NOGPS","GPS Antiguo","En línea")</f>
      </c>
      <c r="AF28">
        <f>IF(0=0,"Sin atender", IF(0=1,"Atendida","Atendida y Reportada"))</f>
      </c>
      <c r="AG28" t="str">
        <v/>
      </c>
      <c r="AH28" t="str">
        <v/>
      </c>
      <c r="AI28" t="str">
        <v/>
      </c>
      <c r="AJ28" t="str">
        <v/>
      </c>
      <c r="AK28" t="str">
        <v>01/10/2026 07:30:15</v>
      </c>
      <c r="AL28" t="str">
        <v>07:30:15</v>
      </c>
      <c r="AM28" t="str">
        <v/>
      </c>
    </row>
    <row r="29">
      <c r="A29">
        <v>28</v>
      </c>
      <c r="B29" t="str">
        <v>MASS BSF</v>
      </c>
      <c r="C29" t="str">
        <v>F6V-794</v>
      </c>
      <c r="D29" t="str">
        <v>F6V-794</v>
      </c>
      <c r="E29" t="str">
        <v/>
      </c>
      <c r="F29" t="str">
        <v>865235053167082</v>
      </c>
      <c r="G29" t="str">
        <v>TBD</v>
      </c>
      <c r="H29" t="str">
        <v/>
      </c>
      <c r="I29" t="str">
        <v/>
      </c>
      <c r="J29" t="str">
        <v>01/10/2026</v>
      </c>
      <c r="K29" t="str">
        <v>07:30:54</v>
      </c>
      <c r="L29">
        <v>-12.157244</v>
      </c>
      <c r="M29">
        <v>-76.9636</v>
      </c>
      <c r="N29">
        <f>HYPERLINK("https://www.google.com/maps/search/?api=1&amp;query=-12.157244,-76.9636","Avenida Los Héroes, San Juan de Miraflores, Lima")</f>
      </c>
      <c r="O29" t="str">
        <v>Bache</v>
      </c>
      <c r="P29" t="str">
        <v/>
      </c>
      <c r="Q29">
        <v>135474.4</v>
      </c>
      <c r="R29" t="str">
        <v/>
      </c>
      <c r="S29">
        <v>13.5</v>
      </c>
      <c r="T29">
        <v>0</v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>
        <v>98</v>
      </c>
      <c r="AC29" t="str">
        <v>01/10/2026</v>
      </c>
      <c r="AD29" t="str">
        <v>07:30:54</v>
      </c>
      <c r="AE29">
        <f>IF("ONLINE"="NOGPS","GPS Antiguo","En línea")</f>
      </c>
      <c r="AF29">
        <f>IF(0=0,"Sin atender", IF(0=1,"Atendida","Atendida y Reportada"))</f>
      </c>
      <c r="AG29" t="str">
        <v/>
      </c>
      <c r="AH29" t="str">
        <v/>
      </c>
      <c r="AI29" t="str">
        <v/>
      </c>
      <c r="AJ29" t="str">
        <v/>
      </c>
      <c r="AK29" t="str">
        <v>01/10/2026 07:31:00</v>
      </c>
      <c r="AL29" t="str">
        <v>07:31:00</v>
      </c>
      <c r="AM29" t="str">
        <v/>
      </c>
    </row>
    <row r="30">
      <c r="A30">
        <v>29</v>
      </c>
      <c r="B30" t="str">
        <v>MASS BSF</v>
      </c>
      <c r="C30" t="str">
        <v>F6V-794</v>
      </c>
      <c r="D30" t="str">
        <v>F6V-794</v>
      </c>
      <c r="E30" t="str">
        <v/>
      </c>
      <c r="F30" t="str">
        <v>865235053167082</v>
      </c>
      <c r="G30" t="str">
        <v>TBD</v>
      </c>
      <c r="H30" t="str">
        <v/>
      </c>
      <c r="I30" t="str">
        <v/>
      </c>
      <c r="J30" t="str">
        <v>01/10/2026</v>
      </c>
      <c r="K30" t="str">
        <v>07:41:19</v>
      </c>
      <c r="L30">
        <v>-12.143213</v>
      </c>
      <c r="M30">
        <v>-76.96442</v>
      </c>
      <c r="N30">
        <f>HYPERLINK("https://www.google.com/maps/search/?api=1&amp;query=-12.143213,-76.96442","Avenida San Juan, San Juan de Miraflores, Lima")</f>
      </c>
      <c r="O30" t="str">
        <v>Bache</v>
      </c>
      <c r="P30" t="str">
        <v/>
      </c>
      <c r="Q30">
        <v>135476.8</v>
      </c>
      <c r="R30" t="str">
        <v/>
      </c>
      <c r="S30">
        <v>5.5</v>
      </c>
      <c r="T30">
        <v>0</v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>
        <v>99</v>
      </c>
      <c r="AC30" t="str">
        <v>01/10/2026</v>
      </c>
      <c r="AD30" t="str">
        <v>07:41:19</v>
      </c>
      <c r="AE30">
        <f>IF("ONLINE"="NOGPS","GPS Antiguo","En línea")</f>
      </c>
      <c r="AF30">
        <f>IF(0=0,"Sin atender", IF(0=1,"Atendida","Atendida y Reportada"))</f>
      </c>
      <c r="AG30" t="str">
        <v/>
      </c>
      <c r="AH30" t="str">
        <v/>
      </c>
      <c r="AI30" t="str">
        <v/>
      </c>
      <c r="AJ30" t="str">
        <v/>
      </c>
      <c r="AK30" t="str">
        <v>01/10/2026 07:41:34</v>
      </c>
      <c r="AL30" t="str">
        <v>07:41:34</v>
      </c>
      <c r="AM30" t="str">
        <v/>
      </c>
    </row>
    <row r="31">
      <c r="A31">
        <v>30</v>
      </c>
      <c r="B31" t="str">
        <v>MASS BSF</v>
      </c>
      <c r="C31" t="str">
        <v>F6V-794</v>
      </c>
      <c r="D31" t="str">
        <v>F6V-794</v>
      </c>
      <c r="E31" t="str">
        <v/>
      </c>
      <c r="F31" t="str">
        <v>865235053167082</v>
      </c>
      <c r="G31" t="str">
        <v>TBD</v>
      </c>
      <c r="H31" t="str">
        <v/>
      </c>
      <c r="I31" t="str">
        <v/>
      </c>
      <c r="J31" t="str">
        <v>01/10/2026</v>
      </c>
      <c r="K31" t="str">
        <v>07:41:22</v>
      </c>
      <c r="L31">
        <v>-12.143168</v>
      </c>
      <c r="M31">
        <v>-76.96439</v>
      </c>
      <c r="N31">
        <f>HYPERLINK("https://www.google.com/maps/search/?api=1&amp;query=-12.143168,-76.96439","Avenida San Juan, San Juan de Miraflores, Lima")</f>
      </c>
      <c r="O31" t="str">
        <v>Bache</v>
      </c>
      <c r="P31" t="str">
        <v/>
      </c>
      <c r="Q31">
        <v>135476.8</v>
      </c>
      <c r="R31" t="str">
        <v/>
      </c>
      <c r="S31">
        <v>8.5</v>
      </c>
      <c r="T31">
        <v>0</v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>
        <v>99</v>
      </c>
      <c r="AC31" t="str">
        <v>01/10/2026</v>
      </c>
      <c r="AD31" t="str">
        <v>07:41:22</v>
      </c>
      <c r="AE31">
        <f>IF("ONLINE"="NOGPS","GPS Antiguo","En línea")</f>
      </c>
      <c r="AF31">
        <f>IF(0=0,"Sin atender", IF(0=1,"Atendida","Atendida y Reportada"))</f>
      </c>
      <c r="AG31" t="str">
        <v/>
      </c>
      <c r="AH31" t="str">
        <v/>
      </c>
      <c r="AI31" t="str">
        <v/>
      </c>
      <c r="AJ31" t="str">
        <v/>
      </c>
      <c r="AK31" t="str">
        <v>01/10/2026 07:41:36</v>
      </c>
      <c r="AL31" t="str">
        <v>07:41:36</v>
      </c>
      <c r="AM31" t="str">
        <v/>
      </c>
    </row>
    <row r="32">
      <c r="A32">
        <v>31</v>
      </c>
      <c r="B32" t="str">
        <v>MASS BSF</v>
      </c>
      <c r="C32" t="str">
        <v>F6V-794</v>
      </c>
      <c r="D32" t="str">
        <v>F6V-794</v>
      </c>
      <c r="E32" t="str">
        <v/>
      </c>
      <c r="F32" t="str">
        <v>865235053167082</v>
      </c>
      <c r="G32" t="str">
        <v>TBD</v>
      </c>
      <c r="H32" t="str">
        <v/>
      </c>
      <c r="I32" t="str">
        <v/>
      </c>
      <c r="J32" t="str">
        <v>01/10/2026</v>
      </c>
      <c r="K32" t="str">
        <v>07:43:44</v>
      </c>
      <c r="L32">
        <v>-12.138204</v>
      </c>
      <c r="M32">
        <v>-76.96106</v>
      </c>
      <c r="N32">
        <f>HYPERLINK("https://www.google.com/maps/search/?api=1&amp;query=-12.138204,-76.96106","Avenida San Juan, San Juan de Miraflores, Lima")</f>
      </c>
      <c r="O32" t="str">
        <v>Bache</v>
      </c>
      <c r="P32" t="str">
        <v/>
      </c>
      <c r="Q32">
        <v>135477.5</v>
      </c>
      <c r="R32" t="str">
        <v/>
      </c>
      <c r="S32">
        <v>7</v>
      </c>
      <c r="T32">
        <v>0</v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>
        <v>99</v>
      </c>
      <c r="AC32" t="str">
        <v>01/10/2026</v>
      </c>
      <c r="AD32" t="str">
        <v>07:43:43</v>
      </c>
      <c r="AE32">
        <f>IF("ONLINE"="NOGPS","GPS Antiguo","En línea")</f>
      </c>
      <c r="AF32">
        <f>IF(0=0,"Sin atender", IF(0=1,"Atendida","Atendida y Reportada"))</f>
      </c>
      <c r="AG32" t="str">
        <v/>
      </c>
      <c r="AH32" t="str">
        <v/>
      </c>
      <c r="AI32" t="str">
        <v/>
      </c>
      <c r="AJ32" t="str">
        <v/>
      </c>
      <c r="AK32" t="str">
        <v>01/10/2026 07:44:00</v>
      </c>
      <c r="AL32" t="str">
        <v>07:44:00</v>
      </c>
      <c r="AM32" t="str">
        <v/>
      </c>
    </row>
    <row r="33">
      <c r="A33">
        <v>32</v>
      </c>
      <c r="B33" t="str">
        <v>MASS BSF</v>
      </c>
      <c r="C33" t="str">
        <v>F6V-794</v>
      </c>
      <c r="D33" t="str">
        <v>F6V-794</v>
      </c>
      <c r="E33" t="str">
        <v/>
      </c>
      <c r="F33" t="str">
        <v>865235053167082</v>
      </c>
      <c r="G33" t="str">
        <v>TBD</v>
      </c>
      <c r="H33" t="str">
        <v/>
      </c>
      <c r="I33" t="str">
        <v/>
      </c>
      <c r="J33" t="str">
        <v>01/10/2026</v>
      </c>
      <c r="K33" t="str">
        <v>07:45:36</v>
      </c>
      <c r="L33">
        <v>-12.137505</v>
      </c>
      <c r="M33">
        <v>-76.95865</v>
      </c>
      <c r="N33">
        <f>HYPERLINK("https://www.google.com/maps/search/?api=1&amp;query=-12.137505,-76.95865","Paradero 20, San Juan de Miraflores, Lima")</f>
      </c>
      <c r="O33" t="str">
        <v>Bache</v>
      </c>
      <c r="P33" t="str">
        <v/>
      </c>
      <c r="Q33">
        <v>135477.8</v>
      </c>
      <c r="R33" t="str">
        <v/>
      </c>
      <c r="S33">
        <v>5.3</v>
      </c>
      <c r="T33">
        <v>0</v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>
        <v>99</v>
      </c>
      <c r="AC33" t="str">
        <v>01/10/2026</v>
      </c>
      <c r="AD33" t="str">
        <v>07:45:36</v>
      </c>
      <c r="AE33">
        <f>IF("ONLINE"="NOGPS","GPS Antiguo","En línea")</f>
      </c>
      <c r="AF33">
        <f>IF(0=0,"Sin atender", IF(0=1,"Atendida","Atendida y Reportada"))</f>
      </c>
      <c r="AG33" t="str">
        <v/>
      </c>
      <c r="AH33" t="str">
        <v/>
      </c>
      <c r="AI33" t="str">
        <v/>
      </c>
      <c r="AJ33" t="str">
        <v/>
      </c>
      <c r="AK33" t="str">
        <v>01/10/2026 07:45:50</v>
      </c>
      <c r="AL33" t="str">
        <v>07:45:50</v>
      </c>
      <c r="AM33" t="str">
        <v/>
      </c>
    </row>
    <row r="34">
      <c r="A34">
        <v>33</v>
      </c>
      <c r="B34" t="str">
        <v>MASS BSF</v>
      </c>
      <c r="C34" t="str">
        <v>F6V-794</v>
      </c>
      <c r="D34" t="str">
        <v>F6V-794</v>
      </c>
      <c r="E34" t="str">
        <v/>
      </c>
      <c r="F34" t="str">
        <v>865235053167082</v>
      </c>
      <c r="G34" t="str">
        <v>TBD</v>
      </c>
      <c r="H34" t="str">
        <v/>
      </c>
      <c r="I34" t="str">
        <v/>
      </c>
      <c r="J34" t="str">
        <v>01/10/2026</v>
      </c>
      <c r="K34" t="str">
        <v>07:46:55</v>
      </c>
      <c r="L34">
        <v>-12.13758</v>
      </c>
      <c r="M34">
        <v>-76.957855</v>
      </c>
      <c r="N34">
        <f>HYPERLINK("https://www.google.com/maps/search/?api=1&amp;query=-12.13758,-76.957855","Avenida Nazareth, San Juan de Miraflores, Lima")</f>
      </c>
      <c r="O34" t="str">
        <v>Bache</v>
      </c>
      <c r="P34" t="str">
        <v/>
      </c>
      <c r="Q34">
        <v>135478</v>
      </c>
      <c r="R34" t="str">
        <v/>
      </c>
      <c r="S34">
        <v>5.5</v>
      </c>
      <c r="T34">
        <v>0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>
        <v>98</v>
      </c>
      <c r="AC34" t="str">
        <v>01/10/2026</v>
      </c>
      <c r="AD34" t="str">
        <v>07:46:55</v>
      </c>
      <c r="AE34">
        <f>IF("ONLINE"="NOGPS","GPS Antiguo","En línea")</f>
      </c>
      <c r="AF34">
        <f>IF(0=0,"Sin atender", IF(0=1,"Atendida","Atendida y Reportada"))</f>
      </c>
      <c r="AG34" t="str">
        <v/>
      </c>
      <c r="AH34" t="str">
        <v/>
      </c>
      <c r="AI34" t="str">
        <v/>
      </c>
      <c r="AJ34" t="str">
        <v/>
      </c>
      <c r="AK34" t="str">
        <v>01/10/2026 07:47:14</v>
      </c>
      <c r="AL34" t="str">
        <v>07:47:14</v>
      </c>
      <c r="AM34" t="str">
        <v/>
      </c>
    </row>
    <row r="35">
      <c r="A35">
        <v>34</v>
      </c>
      <c r="B35" t="str">
        <v>MASS BSF</v>
      </c>
      <c r="C35" t="str">
        <v>F6V-794</v>
      </c>
      <c r="D35" t="str">
        <v>F6V-794</v>
      </c>
      <c r="E35" t="str">
        <v/>
      </c>
      <c r="F35" t="str">
        <v>865235053167082</v>
      </c>
      <c r="G35" t="str">
        <v>TBD</v>
      </c>
      <c r="H35" t="str">
        <v/>
      </c>
      <c r="I35" t="str">
        <v/>
      </c>
      <c r="J35" t="str">
        <v>01/10/2026</v>
      </c>
      <c r="K35" t="str">
        <v>07:50:14</v>
      </c>
      <c r="L35">
        <v>-12.13702</v>
      </c>
      <c r="M35">
        <v>-76.95775</v>
      </c>
      <c r="N35">
        <f>HYPERLINK("https://www.google.com/maps/search/?api=1&amp;query=-12.13702,-76.95775","Avenida Nazareth, San Juan de Miraflores, Lima")</f>
      </c>
      <c r="O35" t="str">
        <v>Inicio de ralentí</v>
      </c>
      <c r="P35" t="str">
        <v>Vehículo Detenido</v>
      </c>
      <c r="Q35">
        <v>135478.1</v>
      </c>
      <c r="R35" t="str">
        <v/>
      </c>
      <c r="S35">
        <v>0</v>
      </c>
      <c r="T35">
        <v>0</v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>
        <v>98</v>
      </c>
      <c r="AC35" t="str">
        <v>01/10/2026</v>
      </c>
      <c r="AD35" t="str">
        <v>07:50:13</v>
      </c>
      <c r="AE35">
        <f>IF("ONLINE"="NOGPS","GPS Antiguo","En línea")</f>
      </c>
      <c r="AF35">
        <f>IF(0=0,"Sin atender", IF(0=1,"Atendida","Atendida y Reportada"))</f>
      </c>
      <c r="AG35" t="str">
        <v/>
      </c>
      <c r="AH35" t="str">
        <v/>
      </c>
      <c r="AI35" t="str">
        <v/>
      </c>
      <c r="AJ35" t="str">
        <v/>
      </c>
      <c r="AK35" t="str">
        <v>01/10/2026 07:50:31</v>
      </c>
      <c r="AL35" t="str">
        <v>07:50:31</v>
      </c>
      <c r="AM35" t="str">
        <v/>
      </c>
    </row>
    <row r="36">
      <c r="A36">
        <v>35</v>
      </c>
      <c r="B36" t="str">
        <v>MASS BSF</v>
      </c>
      <c r="C36" t="str">
        <v>F6V-794</v>
      </c>
      <c r="D36" t="str">
        <v>F6V-794</v>
      </c>
      <c r="E36" t="str">
        <v/>
      </c>
      <c r="F36" t="str">
        <v>865235053167082</v>
      </c>
      <c r="G36" t="str">
        <v>TBD</v>
      </c>
      <c r="H36" t="str">
        <v/>
      </c>
      <c r="I36" t="str">
        <v/>
      </c>
      <c r="J36" t="str">
        <v>01/10/2026</v>
      </c>
      <c r="K36" t="str">
        <v>07:53:34</v>
      </c>
      <c r="L36">
        <v>-12.13702</v>
      </c>
      <c r="M36">
        <v>-76.95775</v>
      </c>
      <c r="N36">
        <f>HYPERLINK("https://www.google.com/maps/search/?api=1&amp;query=-12.13702,-76.95775","Avenida Nazareth, San Juan de Miraflores, Lima")</f>
      </c>
      <c r="O36" t="str">
        <v>Vehículo apagado</v>
      </c>
      <c r="P36" t="str">
        <v>Vehículo Apagado</v>
      </c>
      <c r="Q36">
        <v>135478.1</v>
      </c>
      <c r="R36" t="str">
        <v/>
      </c>
      <c r="S36">
        <v>0</v>
      </c>
      <c r="T36">
        <v>0</v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>
        <v>98</v>
      </c>
      <c r="AC36" t="str">
        <v>01/10/2026</v>
      </c>
      <c r="AD36" t="str">
        <v>07:53:34</v>
      </c>
      <c r="AE36">
        <f>IF("ONLINE"="NOGPS","GPS Antiguo","En línea")</f>
      </c>
      <c r="AF36">
        <f>IF(0=0,"Sin atender", IF(0=1,"Atendida","Atendida y Reportada"))</f>
      </c>
      <c r="AG36" t="str">
        <v/>
      </c>
      <c r="AH36" t="str">
        <v/>
      </c>
      <c r="AI36" t="str">
        <v/>
      </c>
      <c r="AJ36" t="str">
        <v/>
      </c>
      <c r="AK36" t="str">
        <v>01/10/2026 07:53:55</v>
      </c>
      <c r="AL36" t="str">
        <v>07:53:55</v>
      </c>
      <c r="AM36" t="str">
        <v/>
      </c>
    </row>
    <row r="37">
      <c r="A37">
        <v>36</v>
      </c>
      <c r="B37" t="str">
        <v>MASS BSF</v>
      </c>
      <c r="C37" t="str">
        <v>F6V-794</v>
      </c>
      <c r="D37" t="str">
        <v>F6V-794</v>
      </c>
      <c r="E37" t="str">
        <v/>
      </c>
      <c r="F37" t="str">
        <v>865235053167082</v>
      </c>
      <c r="G37" t="str">
        <v>TBD</v>
      </c>
      <c r="H37" t="str">
        <v/>
      </c>
      <c r="I37" t="str">
        <v/>
      </c>
      <c r="J37" t="str">
        <v>01/10/2026</v>
      </c>
      <c r="K37" t="str">
        <v>07:53:34</v>
      </c>
      <c r="L37">
        <v>-12.13702</v>
      </c>
      <c r="M37">
        <v>-76.95775</v>
      </c>
      <c r="N37">
        <f>HYPERLINK("https://www.google.com/maps/search/?api=1&amp;query=-12.13702,-76.95775","Avenida Nazareth, San Juan de Miraflores, Lima")</f>
      </c>
      <c r="O37" t="str">
        <v>Fin de ralentí</v>
      </c>
      <c r="P37" t="str">
        <v/>
      </c>
      <c r="Q37">
        <v>135478.1</v>
      </c>
      <c r="R37" t="str">
        <v/>
      </c>
      <c r="S37">
        <v>0</v>
      </c>
      <c r="T37">
        <v>0</v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>
        <v>98</v>
      </c>
      <c r="AC37" t="str">
        <v>01/10/2026</v>
      </c>
      <c r="AD37" t="str">
        <v>07:53:34</v>
      </c>
      <c r="AE37">
        <f>IF("ONLINE"="NOGPS","GPS Antiguo","En línea")</f>
      </c>
      <c r="AF37">
        <f>IF(0=0,"Sin atender", IF(0=1,"Atendida","Atendida y Reportada"))</f>
      </c>
      <c r="AG37" t="str">
        <v/>
      </c>
      <c r="AH37" t="str">
        <v/>
      </c>
      <c r="AI37" t="str">
        <v/>
      </c>
      <c r="AJ37" t="str">
        <v/>
      </c>
      <c r="AK37" t="str">
        <v>01/10/2026 07:53:52</v>
      </c>
      <c r="AL37" t="str">
        <v>07:53:52</v>
      </c>
      <c r="AM37" t="str">
        <v/>
      </c>
    </row>
    <row r="38">
      <c r="A38">
        <v>37</v>
      </c>
      <c r="B38" t="str">
        <v>MASS BSF</v>
      </c>
      <c r="C38" t="str">
        <v>F6V-794</v>
      </c>
      <c r="D38" t="str">
        <v>F6V-794</v>
      </c>
      <c r="E38" t="str">
        <v/>
      </c>
      <c r="F38" t="str">
        <v>865235053167082</v>
      </c>
      <c r="G38" t="str">
        <v>TBD</v>
      </c>
      <c r="H38" t="str">
        <v/>
      </c>
      <c r="I38" t="str">
        <v/>
      </c>
      <c r="J38" t="str">
        <v>01/10/2026</v>
      </c>
      <c r="K38" t="str">
        <v>08:00:58</v>
      </c>
      <c r="L38">
        <v>-12.13702</v>
      </c>
      <c r="M38">
        <v>-76.95775</v>
      </c>
      <c r="N38">
        <f>HYPERLINK("https://www.google.com/maps/search/?api=1&amp;query=-12.13702,-76.95775","Avenida Nazareth, San Juan de Miraflores, Lima")</f>
      </c>
      <c r="O38" t="str">
        <v>Se detuvo</v>
      </c>
      <c r="P38" t="str">
        <v>Unidad se detuvo</v>
      </c>
      <c r="Q38">
        <v>135478.1</v>
      </c>
      <c r="R38" t="str">
        <v/>
      </c>
      <c r="S38">
        <v>0</v>
      </c>
      <c r="T38">
        <v>0</v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>
        <v>98</v>
      </c>
      <c r="AC38" t="str">
        <v>01/10/2026</v>
      </c>
      <c r="AD38" t="str">
        <v>08:00:57</v>
      </c>
      <c r="AE38">
        <f>IF("ONLINE"="NOGPS","GPS Antiguo","En línea")</f>
      </c>
      <c r="AF38">
        <f>IF(0=0,"Sin atender", IF(0=1,"Atendida","Atendida y Reportada"))</f>
      </c>
      <c r="AG38" t="str">
        <v/>
      </c>
      <c r="AH38" t="str">
        <v/>
      </c>
      <c r="AI38" t="str">
        <v/>
      </c>
      <c r="AJ38" t="str">
        <v/>
      </c>
      <c r="AK38" t="str">
        <v>01/10/2026 08:01:09</v>
      </c>
      <c r="AL38" t="str">
        <v>08:01:09</v>
      </c>
      <c r="AM38" t="str">
        <v/>
      </c>
    </row>
    <row r="39">
      <c r="A39">
        <v>38</v>
      </c>
      <c r="B39" t="str">
        <v>MASS BSF</v>
      </c>
      <c r="C39" t="str">
        <v>F6V-794</v>
      </c>
      <c r="D39" t="str">
        <v>F6V-794</v>
      </c>
      <c r="E39" t="str">
        <v/>
      </c>
      <c r="F39" t="str">
        <v>865235053167082</v>
      </c>
      <c r="G39" t="str">
        <v>TBD</v>
      </c>
      <c r="H39" t="str">
        <v/>
      </c>
      <c r="I39" t="str">
        <v/>
      </c>
      <c r="J39" t="str">
        <v>01/10/2026</v>
      </c>
      <c r="K39" t="str">
        <v>08:31:00</v>
      </c>
      <c r="L39">
        <v>-12.13702</v>
      </c>
      <c r="M39">
        <v>-76.95775</v>
      </c>
      <c r="N39">
        <f>HYPERLINK("https://www.google.com/maps/search/?api=1&amp;query=-12.13702,-76.95775","Avenida Nazareth, San Juan de Miraflores, Lima")</f>
      </c>
      <c r="O39" t="str">
        <v>Vehículo encendido</v>
      </c>
      <c r="P39" t="str">
        <v/>
      </c>
      <c r="Q39">
        <v>135478.1</v>
      </c>
      <c r="R39" t="str">
        <v/>
      </c>
      <c r="S39">
        <v>0</v>
      </c>
      <c r="T39">
        <v>0</v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>
        <v>96</v>
      </c>
      <c r="AC39" t="str">
        <v>01/10/2026</v>
      </c>
      <c r="AD39" t="str">
        <v>08:30:59</v>
      </c>
      <c r="AE39">
        <f>IF("ONLINE"="NOGPS","GPS Antiguo","En línea")</f>
      </c>
      <c r="AF39">
        <f>IF(0=0,"Sin atender", IF(0=1,"Atendida","Atendida y Reportada"))</f>
      </c>
      <c r="AG39" t="str">
        <v/>
      </c>
      <c r="AH39" t="str">
        <v/>
      </c>
      <c r="AI39" t="str">
        <v/>
      </c>
      <c r="AJ39" t="str">
        <v/>
      </c>
      <c r="AK39" t="str">
        <v>01/10/2026 08:31:16</v>
      </c>
      <c r="AL39" t="str">
        <v>08:31:16</v>
      </c>
      <c r="AM39" t="str">
        <v/>
      </c>
    </row>
    <row r="40">
      <c r="A40">
        <v>39</v>
      </c>
      <c r="B40" t="str">
        <v>MASS BSF</v>
      </c>
      <c r="C40" t="str">
        <v>F6V-794</v>
      </c>
      <c r="D40" t="str">
        <v>F6V-794</v>
      </c>
      <c r="E40" t="str">
        <v/>
      </c>
      <c r="F40" t="str">
        <v>865235053167082</v>
      </c>
      <c r="G40" t="str">
        <v>TBD</v>
      </c>
      <c r="H40" t="str">
        <v/>
      </c>
      <c r="I40" t="str">
        <v/>
      </c>
      <c r="J40" t="str">
        <v>01/10/2026</v>
      </c>
      <c r="K40" t="str">
        <v>08:33:27</v>
      </c>
      <c r="L40">
        <v>-12.139047</v>
      </c>
      <c r="M40">
        <v>-76.95909</v>
      </c>
      <c r="N40">
        <f>HYPERLINK("https://www.google.com/maps/search/?api=1&amp;query=-12.139047,-76.95909","Avenida Centenario, San Juan de Miraflores, Lima")</f>
      </c>
      <c r="O40" t="str">
        <v>Bache</v>
      </c>
      <c r="P40" t="str">
        <v/>
      </c>
      <c r="Q40">
        <v>135478.5</v>
      </c>
      <c r="R40" t="str">
        <v/>
      </c>
      <c r="S40">
        <v>6.4</v>
      </c>
      <c r="T40">
        <v>0</v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>
        <v>99</v>
      </c>
      <c r="AC40" t="str">
        <v>01/10/2026</v>
      </c>
      <c r="AD40" t="str">
        <v>08:33:27</v>
      </c>
      <c r="AE40">
        <f>IF("ONLINE"="NOGPS","GPS Antiguo","En línea")</f>
      </c>
      <c r="AF40">
        <f>IF(0=0,"Sin atender", IF(0=1,"Atendida","Atendida y Reportada"))</f>
      </c>
      <c r="AG40" t="str">
        <v/>
      </c>
      <c r="AH40" t="str">
        <v/>
      </c>
      <c r="AI40" t="str">
        <v/>
      </c>
      <c r="AJ40" t="str">
        <v/>
      </c>
      <c r="AK40" t="str">
        <v>01/10/2026 08:33:42</v>
      </c>
      <c r="AL40" t="str">
        <v>08:33:42</v>
      </c>
      <c r="AM40" t="str">
        <v/>
      </c>
    </row>
    <row r="41">
      <c r="A41">
        <v>40</v>
      </c>
      <c r="B41" t="str">
        <v>MASS BSF</v>
      </c>
      <c r="C41" t="str">
        <v>F6V-794</v>
      </c>
      <c r="D41" t="str">
        <v>F6V-794</v>
      </c>
      <c r="E41" t="str">
        <v/>
      </c>
      <c r="F41" t="str">
        <v>865235053167082</v>
      </c>
      <c r="G41" t="str">
        <v>TBD</v>
      </c>
      <c r="H41" t="str">
        <v/>
      </c>
      <c r="I41" t="str">
        <v/>
      </c>
      <c r="J41" t="str">
        <v>01/10/2026</v>
      </c>
      <c r="K41" t="str">
        <v>08:33:30</v>
      </c>
      <c r="L41">
        <v>-12.139071</v>
      </c>
      <c r="M41">
        <v>-76.95914</v>
      </c>
      <c r="N41">
        <f>HYPERLINK("https://www.google.com/maps/search/?api=1&amp;query=-12.139071,-76.95914","Avenida Centenario, San Juan de Miraflores, Lima")</f>
      </c>
      <c r="O41" t="str">
        <v>Bache</v>
      </c>
      <c r="P41" t="str">
        <v/>
      </c>
      <c r="Q41">
        <v>135478.5</v>
      </c>
      <c r="R41" t="str">
        <v/>
      </c>
      <c r="S41">
        <v>9.2</v>
      </c>
      <c r="T41">
        <v>0</v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>
        <v>99</v>
      </c>
      <c r="AC41" t="str">
        <v>01/10/2026</v>
      </c>
      <c r="AD41" t="str">
        <v>08:33:30</v>
      </c>
      <c r="AE41">
        <f>IF("ONLINE"="NOGPS","GPS Antiguo","En línea")</f>
      </c>
      <c r="AF41">
        <f>IF(0=0,"Sin atender", IF(0=1,"Atendida","Atendida y Reportada"))</f>
      </c>
      <c r="AG41" t="str">
        <v/>
      </c>
      <c r="AH41" t="str">
        <v/>
      </c>
      <c r="AI41" t="str">
        <v/>
      </c>
      <c r="AJ41" t="str">
        <v/>
      </c>
      <c r="AK41" t="str">
        <v>01/10/2026 08:33:42</v>
      </c>
      <c r="AL41" t="str">
        <v>08:33:42</v>
      </c>
      <c r="AM41" t="str">
        <v/>
      </c>
    </row>
    <row r="42">
      <c r="A42">
        <v>41</v>
      </c>
      <c r="B42" t="str">
        <v>MASS BSF</v>
      </c>
      <c r="C42" t="str">
        <v>F6V-794</v>
      </c>
      <c r="D42" t="str">
        <v>F6V-794</v>
      </c>
      <c r="E42" t="str">
        <v/>
      </c>
      <c r="F42" t="str">
        <v>865235053167082</v>
      </c>
      <c r="G42" t="str">
        <v>TBD</v>
      </c>
      <c r="H42" t="str">
        <v/>
      </c>
      <c r="I42" t="str">
        <v/>
      </c>
      <c r="J42" t="str">
        <v>01/10/2026</v>
      </c>
      <c r="K42" t="str">
        <v>08:34:05</v>
      </c>
      <c r="L42">
        <v>-12.139737</v>
      </c>
      <c r="M42">
        <v>-76.96024</v>
      </c>
      <c r="N42">
        <f>HYPERLINK("https://www.google.com/maps/search/?api=1&amp;query=-12.139737,-76.96024","Avenida Centenario, San Juan de Miraflores, Lima")</f>
      </c>
      <c r="O42" t="str">
        <v>Ingreso a camino vecinal</v>
      </c>
      <c r="P42" t="str">
        <v/>
      </c>
      <c r="Q42">
        <v>135478.6</v>
      </c>
      <c r="R42" t="str">
        <v/>
      </c>
      <c r="S42">
        <v>22.7</v>
      </c>
      <c r="T42">
        <v>0</v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>
        <v>99</v>
      </c>
      <c r="AC42" t="str">
        <v>01/10/2026</v>
      </c>
      <c r="AD42" t="str">
        <v>08:34:04</v>
      </c>
      <c r="AE42">
        <f>IF("ONLINE"="NOGPS","GPS Antiguo","En línea")</f>
      </c>
      <c r="AF42">
        <f>IF(0=0,"Sin atender", IF(0=1,"Atendida","Atendida y Reportada"))</f>
      </c>
      <c r="AG42" t="str">
        <v/>
      </c>
      <c r="AH42" t="str">
        <v/>
      </c>
      <c r="AI42" t="str">
        <v/>
      </c>
      <c r="AJ42" t="str">
        <v/>
      </c>
      <c r="AK42" t="str">
        <v>01/10/2026 08:34:32</v>
      </c>
      <c r="AL42" t="str">
        <v>08:34:32</v>
      </c>
      <c r="AM42" t="str">
        <v/>
      </c>
    </row>
    <row r="43">
      <c r="A43">
        <v>42</v>
      </c>
      <c r="B43" t="str">
        <v>MASS BSF</v>
      </c>
      <c r="C43" t="str">
        <v>F6V-794</v>
      </c>
      <c r="D43" t="str">
        <v>F6V-794</v>
      </c>
      <c r="E43" t="str">
        <v/>
      </c>
      <c r="F43" t="str">
        <v>865235053167082</v>
      </c>
      <c r="G43" t="str">
        <v>TBD</v>
      </c>
      <c r="H43" t="str">
        <v/>
      </c>
      <c r="I43" t="str">
        <v xml:space="preserve"> </v>
      </c>
      <c r="J43" t="str">
        <v>01/10/2026</v>
      </c>
      <c r="K43" t="str">
        <v>08:34:05</v>
      </c>
      <c r="L43">
        <v>-12.139737</v>
      </c>
      <c r="M43">
        <v>-76.96024</v>
      </c>
      <c r="N43">
        <f>HYPERLINK("https://www.google.com/maps/search/?api=1&amp;query=-12.139737,-76.96024","Avenida Centenario, San Juan de Miraflores, Lima")</f>
      </c>
      <c r="O43" t="str">
        <v>Llegó a la zona</v>
      </c>
      <c r="P43" t="str">
        <v/>
      </c>
      <c r="Q43">
        <v>135478.5</v>
      </c>
      <c r="R43" t="str">
        <v>1576-JULIO 4 SJM MS</v>
      </c>
      <c r="S43">
        <v>22.7</v>
      </c>
      <c r="T43">
        <v>0</v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>
        <v>100</v>
      </c>
      <c r="AC43" t="str">
        <v>01/10/2026</v>
      </c>
      <c r="AD43" t="str">
        <v>08:34:04</v>
      </c>
      <c r="AE43">
        <f>IF("ONLINE"="NOGPS","GPS Antiguo","En línea")</f>
      </c>
      <c r="AF43">
        <f>IF(0=0,"Sin atender", IF(0=1,"Atendida","Atendida y Reportada"))</f>
      </c>
      <c r="AG43" t="str">
        <v/>
      </c>
      <c r="AH43" t="str">
        <v/>
      </c>
      <c r="AI43" t="str">
        <v/>
      </c>
      <c r="AJ43" t="str">
        <v/>
      </c>
      <c r="AK43" t="str">
        <v>01/10/2026 08:34:28</v>
      </c>
      <c r="AL43" t="str">
        <v>08:34:28</v>
      </c>
      <c r="AM43" t="str">
        <v/>
      </c>
    </row>
    <row r="44">
      <c r="A44">
        <v>43</v>
      </c>
      <c r="B44" t="str">
        <v>MASS BSF</v>
      </c>
      <c r="C44" t="str">
        <v>F6V-794</v>
      </c>
      <c r="D44" t="str">
        <v>F6V-794</v>
      </c>
      <c r="E44" t="str">
        <v/>
      </c>
      <c r="F44" t="str">
        <v>865235053167082</v>
      </c>
      <c r="G44" t="str">
        <v>TBD</v>
      </c>
      <c r="H44" t="str">
        <v/>
      </c>
      <c r="I44" t="str">
        <v xml:space="preserve"> </v>
      </c>
      <c r="J44" t="str">
        <v>01/10/2026</v>
      </c>
      <c r="K44" t="str">
        <v>08:34:15</v>
      </c>
      <c r="L44">
        <v>-12.140088</v>
      </c>
      <c r="M44">
        <v>-76.96077</v>
      </c>
      <c r="N44">
        <f>HYPERLINK("https://www.google.com/maps/search/?api=1&amp;query=-12.140088,-76.96077","Avenida Centenario, San Juan de Miraflores, Lima")</f>
      </c>
      <c r="O44" t="str">
        <v>Salió de zona</v>
      </c>
      <c r="P44" t="str">
        <v/>
      </c>
      <c r="Q44">
        <v>135478.7</v>
      </c>
      <c r="R44" t="str">
        <v>1576-JULIO 4 SJM MS</v>
      </c>
      <c r="S44">
        <v>22.2</v>
      </c>
      <c r="T44">
        <v>0</v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>
        <v>98</v>
      </c>
      <c r="AC44" t="str">
        <v>01/10/2026</v>
      </c>
      <c r="AD44" t="str">
        <v>08:34:15</v>
      </c>
      <c r="AE44">
        <f>IF("ONLINE"="NOGPS","GPS Antiguo","En línea")</f>
      </c>
      <c r="AF44">
        <f>IF(0=0,"Sin atender", IF(0=1,"Atendida","Atendida y Reportada"))</f>
      </c>
      <c r="AG44" t="str">
        <v/>
      </c>
      <c r="AH44" t="str">
        <v/>
      </c>
      <c r="AI44" t="str">
        <v/>
      </c>
      <c r="AJ44" t="str">
        <v/>
      </c>
      <c r="AK44" t="str">
        <v>01/10/2026 08:34:28</v>
      </c>
      <c r="AL44" t="str">
        <v>08:34:28</v>
      </c>
      <c r="AM44" t="str">
        <v/>
      </c>
    </row>
    <row r="45">
      <c r="A45">
        <v>44</v>
      </c>
      <c r="B45" t="str">
        <v>MASS BSF</v>
      </c>
      <c r="C45" t="str">
        <v>F6V-794</v>
      </c>
      <c r="D45" t="str">
        <v>F6V-794</v>
      </c>
      <c r="E45" t="str">
        <v/>
      </c>
      <c r="F45" t="str">
        <v>865235053167082</v>
      </c>
      <c r="G45" t="str">
        <v>TBD</v>
      </c>
      <c r="H45" t="str">
        <v/>
      </c>
      <c r="I45" t="str">
        <v/>
      </c>
      <c r="J45" t="str">
        <v>01/10/2026</v>
      </c>
      <c r="K45" t="str">
        <v>08:35:05</v>
      </c>
      <c r="L45">
        <v>-12.139869</v>
      </c>
      <c r="M45">
        <v>-76.96194</v>
      </c>
      <c r="N45">
        <f>HYPERLINK("https://www.google.com/maps/search/?api=1&amp;query=-12.139869,-76.96194","Altiplano, San Juan de Miraflores, Lima")</f>
      </c>
      <c r="O45" t="str">
        <v>Salida de camino vecinal</v>
      </c>
      <c r="P45" t="str">
        <v/>
      </c>
      <c r="Q45">
        <v>135478.8</v>
      </c>
      <c r="R45" t="str">
        <v/>
      </c>
      <c r="S45">
        <v>8.8</v>
      </c>
      <c r="T45">
        <v>0</v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>
        <v>98</v>
      </c>
      <c r="AC45" t="str">
        <v>01/10/2026</v>
      </c>
      <c r="AD45" t="str">
        <v>08:35:05</v>
      </c>
      <c r="AE45">
        <f>IF("ONLINE"="NOGPS","GPS Antiguo","En línea")</f>
      </c>
      <c r="AF45">
        <f>IF(0=0,"Sin atender", IF(0=1,"Atendida","Atendida y Reportada"))</f>
      </c>
      <c r="AG45" t="str">
        <v/>
      </c>
      <c r="AH45" t="str">
        <v/>
      </c>
      <c r="AI45" t="str">
        <v/>
      </c>
      <c r="AJ45" t="str">
        <v/>
      </c>
      <c r="AK45" t="str">
        <v>01/10/2026 08:35:13</v>
      </c>
      <c r="AL45" t="str">
        <v>08:35:13</v>
      </c>
      <c r="AM45" t="str">
        <v/>
      </c>
    </row>
    <row r="46">
      <c r="A46">
        <v>45</v>
      </c>
      <c r="B46" t="str">
        <v>MASS BSF</v>
      </c>
      <c r="C46" t="str">
        <v>F6V-794</v>
      </c>
      <c r="D46" t="str">
        <v>F6V-794</v>
      </c>
      <c r="E46" t="str">
        <v/>
      </c>
      <c r="F46" t="str">
        <v>865235053167082</v>
      </c>
      <c r="G46" t="str">
        <v>TBD</v>
      </c>
      <c r="H46" t="str">
        <v/>
      </c>
      <c r="I46" t="str">
        <v/>
      </c>
      <c r="J46" t="str">
        <v>01/10/2026</v>
      </c>
      <c r="K46" t="str">
        <v>08:35:35</v>
      </c>
      <c r="L46">
        <v>-12.13974</v>
      </c>
      <c r="M46">
        <v>-76.962425</v>
      </c>
      <c r="N46">
        <f>HYPERLINK("https://www.google.com/maps/search/?api=1&amp;query=-12.13974,-76.962425","Avenida San Juan, San Juan de Miraflores, Lima")</f>
      </c>
      <c r="O46" t="str">
        <v>Bache</v>
      </c>
      <c r="P46" t="str">
        <v/>
      </c>
      <c r="Q46">
        <v>135478.9</v>
      </c>
      <c r="R46" t="str">
        <v/>
      </c>
      <c r="S46">
        <v>6.4</v>
      </c>
      <c r="T46">
        <v>0</v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>
        <v>98</v>
      </c>
      <c r="AC46" t="str">
        <v>01/10/2026</v>
      </c>
      <c r="AD46" t="str">
        <v>08:35:34</v>
      </c>
      <c r="AE46">
        <f>IF("ONLINE"="NOGPS","GPS Antiguo","En línea")</f>
      </c>
      <c r="AF46">
        <f>IF(0=0,"Sin atender", IF(0=1,"Atendida","Atendida y Reportada"))</f>
      </c>
      <c r="AG46" t="str">
        <v/>
      </c>
      <c r="AH46" t="str">
        <v/>
      </c>
      <c r="AI46" t="str">
        <v/>
      </c>
      <c r="AJ46" t="str">
        <v/>
      </c>
      <c r="AK46" t="str">
        <v>01/10/2026 08:35:40</v>
      </c>
      <c r="AL46" t="str">
        <v>08:35:40</v>
      </c>
      <c r="AM46" t="str">
        <v/>
      </c>
    </row>
    <row r="47">
      <c r="A47">
        <v>46</v>
      </c>
      <c r="B47" t="str">
        <v>MASS BSF</v>
      </c>
      <c r="C47" t="str">
        <v>F6V-794</v>
      </c>
      <c r="D47" t="str">
        <v>F6V-794</v>
      </c>
      <c r="E47" t="str">
        <v/>
      </c>
      <c r="F47" t="str">
        <v>865235053167082</v>
      </c>
      <c r="G47" t="str">
        <v>TBD</v>
      </c>
      <c r="H47" t="str">
        <v/>
      </c>
      <c r="I47" t="str">
        <v/>
      </c>
      <c r="J47" t="str">
        <v>01/10/2026</v>
      </c>
      <c r="K47" t="str">
        <v>08:36:22</v>
      </c>
      <c r="L47">
        <v>-12.141777</v>
      </c>
      <c r="M47">
        <v>-76.96389</v>
      </c>
      <c r="N47">
        <f>HYPERLINK("https://www.google.com/maps/search/?api=1&amp;query=-12.141777,-76.96389","Avenida San Juan, San Juan de Miraflores, Lima")</f>
      </c>
      <c r="O47" t="str">
        <v>Bache</v>
      </c>
      <c r="P47" t="str">
        <v/>
      </c>
      <c r="Q47">
        <v>135479.2</v>
      </c>
      <c r="R47" t="str">
        <v/>
      </c>
      <c r="S47">
        <v>7.2</v>
      </c>
      <c r="T47">
        <v>0</v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>
        <v>98</v>
      </c>
      <c r="AC47" t="str">
        <v>01/10/2026</v>
      </c>
      <c r="AD47" t="str">
        <v>08:36:22</v>
      </c>
      <c r="AE47">
        <f>IF("ONLINE"="NOGPS","GPS Antiguo","En línea")</f>
      </c>
      <c r="AF47">
        <f>IF(0=0,"Sin atender", IF(0=1,"Atendida","Atendida y Reportada"))</f>
      </c>
      <c r="AG47" t="str">
        <v/>
      </c>
      <c r="AH47" t="str">
        <v/>
      </c>
      <c r="AI47" t="str">
        <v/>
      </c>
      <c r="AJ47" t="str">
        <v/>
      </c>
      <c r="AK47" t="str">
        <v>01/10/2026 08:36:29</v>
      </c>
      <c r="AL47" t="str">
        <v>08:36:29</v>
      </c>
      <c r="AM47" t="str">
        <v/>
      </c>
    </row>
    <row r="48">
      <c r="A48">
        <v>47</v>
      </c>
      <c r="B48" t="str">
        <v>MASS BSF</v>
      </c>
      <c r="C48" t="str">
        <v>F6V-794</v>
      </c>
      <c r="D48" t="str">
        <v>F6V-794</v>
      </c>
      <c r="E48" t="str">
        <v/>
      </c>
      <c r="F48" t="str">
        <v>865235053167082</v>
      </c>
      <c r="G48" t="str">
        <v>TBD</v>
      </c>
      <c r="H48" t="str">
        <v/>
      </c>
      <c r="I48" t="str">
        <v/>
      </c>
      <c r="J48" t="str">
        <v>01/10/2026</v>
      </c>
      <c r="K48" t="str">
        <v>08:37:13</v>
      </c>
      <c r="L48">
        <v>-12.14359</v>
      </c>
      <c r="M48">
        <v>-76.964676</v>
      </c>
      <c r="N48">
        <f>HYPERLINK("https://www.google.com/maps/search/?api=1&amp;query=-12.14359,-76.964676","Avenida San Juan, San Juan de Miraflores, Lima")</f>
      </c>
      <c r="O48" t="str">
        <v>Bache</v>
      </c>
      <c r="P48" t="str">
        <v/>
      </c>
      <c r="Q48">
        <v>135479.4</v>
      </c>
      <c r="R48" t="str">
        <v/>
      </c>
      <c r="S48">
        <v>4.6</v>
      </c>
      <c r="T48">
        <v>0</v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>
        <v>98</v>
      </c>
      <c r="AC48" t="str">
        <v>01/10/2026</v>
      </c>
      <c r="AD48" t="str">
        <v>08:37:13</v>
      </c>
      <c r="AE48">
        <f>IF("ONLINE"="NOGPS","GPS Antiguo","En línea")</f>
      </c>
      <c r="AF48">
        <f>IF(0=0,"Sin atender", IF(0=1,"Atendida","Atendida y Reportada"))</f>
      </c>
      <c r="AG48" t="str">
        <v/>
      </c>
      <c r="AH48" t="str">
        <v/>
      </c>
      <c r="AI48" t="str">
        <v/>
      </c>
      <c r="AJ48" t="str">
        <v/>
      </c>
      <c r="AK48" t="str">
        <v>01/10/2026 08:37:24</v>
      </c>
      <c r="AL48" t="str">
        <v>08:37:24</v>
      </c>
      <c r="AM48" t="str">
        <v/>
      </c>
    </row>
    <row r="49">
      <c r="A49">
        <v>48</v>
      </c>
      <c r="B49" t="str">
        <v>MASS BSF</v>
      </c>
      <c r="C49" t="str">
        <v>F6V-794</v>
      </c>
      <c r="D49" t="str">
        <v>F6V-794</v>
      </c>
      <c r="E49" t="str">
        <v/>
      </c>
      <c r="F49" t="str">
        <v>865235053167082</v>
      </c>
      <c r="G49" t="str">
        <v>TBD</v>
      </c>
      <c r="H49" t="str">
        <v/>
      </c>
      <c r="I49" t="str">
        <v/>
      </c>
      <c r="J49" t="str">
        <v>01/10/2026</v>
      </c>
      <c r="K49" t="str">
        <v>08:37:17</v>
      </c>
      <c r="L49">
        <v>-12.143639</v>
      </c>
      <c r="M49">
        <v>-76.96471</v>
      </c>
      <c r="N49">
        <f>HYPERLINK("https://www.google.com/maps/search/?api=1&amp;query=-12.143639,-76.96471","Avenida San Juan, San Juan de Miraflores, Lima")</f>
      </c>
      <c r="O49" t="str">
        <v>Bache</v>
      </c>
      <c r="P49" t="str">
        <v/>
      </c>
      <c r="Q49">
        <v>135479.4</v>
      </c>
      <c r="R49" t="str">
        <v/>
      </c>
      <c r="S49">
        <v>9.8</v>
      </c>
      <c r="T49">
        <v>0</v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>
        <v>98</v>
      </c>
      <c r="AC49" t="str">
        <v>01/10/2026</v>
      </c>
      <c r="AD49" t="str">
        <v>08:37:16</v>
      </c>
      <c r="AE49">
        <f>IF("ONLINE"="NOGPS","GPS Antiguo","En línea")</f>
      </c>
      <c r="AF49">
        <f>IF(0=0,"Sin atender", IF(0=1,"Atendida","Atendida y Reportada"))</f>
      </c>
      <c r="AG49" t="str">
        <v/>
      </c>
      <c r="AH49" t="str">
        <v/>
      </c>
      <c r="AI49" t="str">
        <v/>
      </c>
      <c r="AJ49" t="str">
        <v/>
      </c>
      <c r="AK49" t="str">
        <v>01/10/2026 08:37:27</v>
      </c>
      <c r="AL49" t="str">
        <v>08:37:27</v>
      </c>
      <c r="AM49" t="str">
        <v/>
      </c>
    </row>
    <row r="50">
      <c r="A50">
        <v>49</v>
      </c>
      <c r="B50" t="str">
        <v>MASS BSF</v>
      </c>
      <c r="C50" t="str">
        <v>F6V-794</v>
      </c>
      <c r="D50" t="str">
        <v>F6V-794</v>
      </c>
      <c r="E50" t="str">
        <v/>
      </c>
      <c r="F50" t="str">
        <v>865235053167082</v>
      </c>
      <c r="G50" t="str">
        <v>TBD</v>
      </c>
      <c r="H50" t="str">
        <v/>
      </c>
      <c r="I50" t="str">
        <v xml:space="preserve"> </v>
      </c>
      <c r="J50" t="str">
        <v>01/10/2026</v>
      </c>
      <c r="K50" t="str">
        <v>08:46:49</v>
      </c>
      <c r="L50">
        <v>-12.15808</v>
      </c>
      <c r="M50">
        <v>-76.97323</v>
      </c>
      <c r="N50">
        <f>HYPERLINK("https://www.google.com/maps/search/?api=1&amp;query=-12.15808,-76.97323","Avenida San Juan, San Juan de Miraflores, Lima")</f>
      </c>
      <c r="O50" t="str">
        <v>Llegó a la zona</v>
      </c>
      <c r="P50" t="str">
        <v/>
      </c>
      <c r="Q50">
        <v>135480.8</v>
      </c>
      <c r="R50" t="str">
        <v>335-SAN JUAN 9</v>
      </c>
      <c r="S50">
        <v>19.4</v>
      </c>
      <c r="T50">
        <v>0</v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>
        <v>97</v>
      </c>
      <c r="AC50" t="str">
        <v>01/10/2026</v>
      </c>
      <c r="AD50" t="str">
        <v>08:46:49</v>
      </c>
      <c r="AE50">
        <f>IF("ONLINE"="NOGPS","GPS Antiguo","En línea")</f>
      </c>
      <c r="AF50">
        <f>IF(0=0,"Sin atender", IF(0=1,"Atendida","Atendida y Reportada"))</f>
      </c>
      <c r="AG50" t="str">
        <v/>
      </c>
      <c r="AH50" t="str">
        <v/>
      </c>
      <c r="AI50" t="str">
        <v/>
      </c>
      <c r="AJ50" t="str">
        <v/>
      </c>
      <c r="AK50" t="str">
        <v>01/10/2026 08:47:03</v>
      </c>
      <c r="AL50" t="str">
        <v>08:47:03</v>
      </c>
      <c r="AM50" t="str">
        <v/>
      </c>
    </row>
    <row r="51">
      <c r="A51">
        <v>50</v>
      </c>
      <c r="B51" t="str">
        <v>MASS BSF</v>
      </c>
      <c r="C51" t="str">
        <v>F6V-794</v>
      </c>
      <c r="D51" t="str">
        <v>F6V-794</v>
      </c>
      <c r="E51" t="str">
        <v/>
      </c>
      <c r="F51" t="str">
        <v>865235053167082</v>
      </c>
      <c r="G51" t="str">
        <v>TBD</v>
      </c>
      <c r="H51" t="str">
        <v/>
      </c>
      <c r="I51" t="str">
        <v xml:space="preserve"> </v>
      </c>
      <c r="J51" t="str">
        <v>01/10/2026</v>
      </c>
      <c r="K51" t="str">
        <v>08:47:30</v>
      </c>
      <c r="L51">
        <v>-12.159737</v>
      </c>
      <c r="M51">
        <v>-76.97336</v>
      </c>
      <c r="N51">
        <f>HYPERLINK("https://www.google.com/maps/search/?api=1&amp;query=-12.159737,-76.97336","Avenida San Juan, San Juan de Miraflores, Lima")</f>
      </c>
      <c r="O51" t="str">
        <v>Salió de zona</v>
      </c>
      <c r="P51" t="str">
        <v/>
      </c>
      <c r="Q51">
        <v>135481.5</v>
      </c>
      <c r="R51" t="str">
        <v>335-SAN JUAN 9</v>
      </c>
      <c r="S51">
        <v>35.3</v>
      </c>
      <c r="T51">
        <v>0</v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>
        <v>98</v>
      </c>
      <c r="AC51" t="str">
        <v>01/10/2026</v>
      </c>
      <c r="AD51" t="str">
        <v>08:47:30</v>
      </c>
      <c r="AE51">
        <f>IF("ONLINE"="NOGPS","GPS Antiguo","En línea")</f>
      </c>
      <c r="AF51">
        <f>IF(0=0,"Sin atender", IF(0=1,"Atendida","Atendida y Reportada"))</f>
      </c>
      <c r="AG51" t="str">
        <v/>
      </c>
      <c r="AH51" t="str">
        <v/>
      </c>
      <c r="AI51" t="str">
        <v/>
      </c>
      <c r="AJ51" t="str">
        <v/>
      </c>
      <c r="AK51" t="str">
        <v>01/10/2026 08:47:43</v>
      </c>
      <c r="AL51" t="str">
        <v>08:47:43</v>
      </c>
      <c r="AM51" t="str">
        <v/>
      </c>
    </row>
    <row r="52">
      <c r="A52">
        <v>51</v>
      </c>
      <c r="B52" t="str">
        <v>MASS BSF</v>
      </c>
      <c r="C52" t="str">
        <v>F6V-794</v>
      </c>
      <c r="D52" t="str">
        <v>F6V-794</v>
      </c>
      <c r="E52" t="str">
        <v/>
      </c>
      <c r="F52" t="str">
        <v>865235053167082</v>
      </c>
      <c r="G52" t="str">
        <v>TBD</v>
      </c>
      <c r="H52" t="str">
        <v/>
      </c>
      <c r="I52" t="str">
        <v/>
      </c>
      <c r="J52" t="str">
        <v>01/10/2026</v>
      </c>
      <c r="K52" t="str">
        <v>08:47:40</v>
      </c>
      <c r="L52">
        <v>-12.160115</v>
      </c>
      <c r="M52">
        <v>-76.973335</v>
      </c>
      <c r="N52">
        <f>HYPERLINK("https://www.google.com/maps/search/?api=1&amp;query=-12.160115,-76.973335","Avenida San Juan, San Juan de Miraflores, Lima")</f>
      </c>
      <c r="O52" t="str">
        <v>Bache</v>
      </c>
      <c r="P52" t="str">
        <v/>
      </c>
      <c r="Q52">
        <v>135481.5</v>
      </c>
      <c r="R52" t="str">
        <v/>
      </c>
      <c r="S52">
        <v>10</v>
      </c>
      <c r="T52">
        <v>0</v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>
        <v>97</v>
      </c>
      <c r="AC52" t="str">
        <v>01/10/2026</v>
      </c>
      <c r="AD52" t="str">
        <v>08:47:39</v>
      </c>
      <c r="AE52">
        <f>IF("ONLINE"="NOGPS","GPS Antiguo","En línea")</f>
      </c>
      <c r="AF52">
        <f>IF(0=0,"Sin atender", IF(0=1,"Atendida","Atendida y Reportada"))</f>
      </c>
      <c r="AG52" t="str">
        <v/>
      </c>
      <c r="AH52" t="str">
        <v/>
      </c>
      <c r="AI52" t="str">
        <v/>
      </c>
      <c r="AJ52" t="str">
        <v/>
      </c>
      <c r="AK52" t="str">
        <v>01/10/2026 08:48:02</v>
      </c>
      <c r="AL52" t="str">
        <v>08:48:02</v>
      </c>
      <c r="AM52" t="str">
        <v/>
      </c>
    </row>
    <row r="53">
      <c r="A53">
        <v>52</v>
      </c>
      <c r="B53" t="str">
        <v>MASS BSF</v>
      </c>
      <c r="C53" t="str">
        <v>F6V-794</v>
      </c>
      <c r="D53" t="str">
        <v>F6V-794</v>
      </c>
      <c r="E53" t="str">
        <v/>
      </c>
      <c r="F53" t="str">
        <v>865235053167082</v>
      </c>
      <c r="G53" t="str">
        <v>TBD</v>
      </c>
      <c r="H53" t="str">
        <v/>
      </c>
      <c r="I53" t="str">
        <v/>
      </c>
      <c r="J53" t="str">
        <v>01/10/2026</v>
      </c>
      <c r="K53" t="str">
        <v>08:48:42</v>
      </c>
      <c r="L53">
        <v>-12.163769</v>
      </c>
      <c r="M53">
        <v>-76.972946</v>
      </c>
      <c r="N53">
        <f>HYPERLINK("https://www.google.com/maps/search/?api=1&amp;query=-12.163769,-76.972946","Avenida San Juan, San Juan de Miraflores, Lima")</f>
      </c>
      <c r="O53" t="str">
        <v>Bache</v>
      </c>
      <c r="P53" t="str">
        <v/>
      </c>
      <c r="Q53">
        <v>135481.9</v>
      </c>
      <c r="R53" t="str">
        <v/>
      </c>
      <c r="S53">
        <v>6.6</v>
      </c>
      <c r="T53">
        <v>0</v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>
        <v>97</v>
      </c>
      <c r="AC53" t="str">
        <v>01/10/2026</v>
      </c>
      <c r="AD53" t="str">
        <v>08:48:42</v>
      </c>
      <c r="AE53">
        <f>IF("ONLINE"="NOGPS","GPS Antiguo","En línea")</f>
      </c>
      <c r="AF53">
        <f>IF(0=0,"Sin atender", IF(0=1,"Atendida","Atendida y Reportada"))</f>
      </c>
      <c r="AG53" t="str">
        <v/>
      </c>
      <c r="AH53" t="str">
        <v/>
      </c>
      <c r="AI53" t="str">
        <v/>
      </c>
      <c r="AJ53" t="str">
        <v/>
      </c>
      <c r="AK53" t="str">
        <v>01/10/2026 08:49:02</v>
      </c>
      <c r="AL53" t="str">
        <v>08:49:02</v>
      </c>
      <c r="AM53" t="str">
        <v/>
      </c>
    </row>
    <row r="54">
      <c r="A54">
        <v>53</v>
      </c>
      <c r="B54" t="str">
        <v>MASS BSF</v>
      </c>
      <c r="C54" t="str">
        <v>F6V-794</v>
      </c>
      <c r="D54" t="str">
        <v>F6V-794</v>
      </c>
      <c r="E54" t="str">
        <v/>
      </c>
      <c r="F54" t="str">
        <v>865235053167082</v>
      </c>
      <c r="G54" t="str">
        <v>TBD</v>
      </c>
      <c r="H54" t="str">
        <v/>
      </c>
      <c r="I54" t="str">
        <v/>
      </c>
      <c r="J54" t="str">
        <v>01/10/2026</v>
      </c>
      <c r="K54" t="str">
        <v>08:49:02</v>
      </c>
      <c r="L54">
        <v>-12.164113</v>
      </c>
      <c r="M54">
        <v>-76.97348</v>
      </c>
      <c r="N54">
        <f>HYPERLINK("https://www.google.com/maps/search/?api=1&amp;query=-12.164113,-76.97348","Avenida Lizardo Montero, San Juan de Miraflores, Lima")</f>
      </c>
      <c r="O54" t="str">
        <v>Bache</v>
      </c>
      <c r="P54" t="str">
        <v/>
      </c>
      <c r="Q54">
        <v>135482</v>
      </c>
      <c r="R54" t="str">
        <v/>
      </c>
      <c r="S54">
        <v>7.2</v>
      </c>
      <c r="T54">
        <v>0</v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>
        <v>97</v>
      </c>
      <c r="AC54" t="str">
        <v>01/10/2026</v>
      </c>
      <c r="AD54" t="str">
        <v>08:49:02</v>
      </c>
      <c r="AE54">
        <f>IF("ONLINE"="NOGPS","GPS Antiguo","En línea")</f>
      </c>
      <c r="AF54">
        <f>IF(0=0,"Sin atender", IF(0=1,"Atendida","Atendida y Reportada"))</f>
      </c>
      <c r="AG54" t="str">
        <v/>
      </c>
      <c r="AH54" t="str">
        <v/>
      </c>
      <c r="AI54" t="str">
        <v/>
      </c>
      <c r="AJ54" t="str">
        <v/>
      </c>
      <c r="AK54" t="str">
        <v>01/10/2026 08:49:23</v>
      </c>
      <c r="AL54" t="str">
        <v>08:49:23</v>
      </c>
      <c r="AM54" t="str">
        <v/>
      </c>
    </row>
    <row r="55">
      <c r="A55">
        <v>54</v>
      </c>
      <c r="B55" t="str">
        <v>MASS BSF</v>
      </c>
      <c r="C55" t="str">
        <v>F6V-794</v>
      </c>
      <c r="D55" t="str">
        <v>F6V-794</v>
      </c>
      <c r="E55" t="str">
        <v/>
      </c>
      <c r="F55" t="str">
        <v>865235053167082</v>
      </c>
      <c r="G55" t="str">
        <v>TBD</v>
      </c>
      <c r="H55" t="str">
        <v/>
      </c>
      <c r="I55" t="str">
        <v xml:space="preserve"> </v>
      </c>
      <c r="J55" t="str">
        <v>01/10/2026</v>
      </c>
      <c r="K55" t="str">
        <v>08:49:53</v>
      </c>
      <c r="L55">
        <v>-12.165586</v>
      </c>
      <c r="M55">
        <v>-76.974014</v>
      </c>
      <c r="N55">
        <f>HYPERLINK("https://www.google.com/maps/search/?api=1&amp;query=-12.165586,-76.974014","Avenida Ramón Vargas Machuca, San Juan de Miraflores, Lima")</f>
      </c>
      <c r="O55" t="str">
        <v>Llegó a la zona</v>
      </c>
      <c r="P55" t="str">
        <v/>
      </c>
      <c r="Q55">
        <v>135482.2</v>
      </c>
      <c r="R55" t="str">
        <v>40-VARGAS MACHUCA</v>
      </c>
      <c r="S55">
        <v>18.7</v>
      </c>
      <c r="T55">
        <v>0</v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>
        <v>98</v>
      </c>
      <c r="AC55" t="str">
        <v>01/10/2026</v>
      </c>
      <c r="AD55" t="str">
        <v>08:49:53</v>
      </c>
      <c r="AE55">
        <f>IF("ONLINE"="NOGPS","GPS Antiguo","En línea")</f>
      </c>
      <c r="AF55">
        <f>IF(0=0,"Sin atender", IF(0=1,"Atendida","Atendida y Reportada"))</f>
      </c>
      <c r="AG55" t="str">
        <v/>
      </c>
      <c r="AH55" t="str">
        <v/>
      </c>
      <c r="AI55" t="str">
        <v/>
      </c>
      <c r="AJ55" t="str">
        <v/>
      </c>
      <c r="AK55" t="str">
        <v>01/10/2026 08:49:56</v>
      </c>
      <c r="AL55" t="str">
        <v>08:49:56</v>
      </c>
      <c r="AM55" t="str">
        <v/>
      </c>
    </row>
    <row r="56">
      <c r="A56">
        <v>55</v>
      </c>
      <c r="B56" t="str">
        <v>MASS BSF</v>
      </c>
      <c r="C56" t="str">
        <v>F6V-794</v>
      </c>
      <c r="D56" t="str">
        <v>F6V-794</v>
      </c>
      <c r="E56" t="str">
        <v/>
      </c>
      <c r="F56" t="str">
        <v>865235053167082</v>
      </c>
      <c r="G56" t="str">
        <v>TBD</v>
      </c>
      <c r="H56" t="str">
        <v/>
      </c>
      <c r="I56" t="str">
        <v xml:space="preserve"> </v>
      </c>
      <c r="J56" t="str">
        <v>01/10/2026</v>
      </c>
      <c r="K56" t="str">
        <v>08:50:53</v>
      </c>
      <c r="L56">
        <v>-12.166277</v>
      </c>
      <c r="M56">
        <v>-76.97678</v>
      </c>
      <c r="N56">
        <f>HYPERLINK("https://www.google.com/maps/search/?api=1&amp;query=-12.166277,-76.97678","Calle José Mendizabal, San Juan de Miraflores, Lima")</f>
      </c>
      <c r="O56" t="str">
        <v>Salió de zona</v>
      </c>
      <c r="P56" t="str">
        <v/>
      </c>
      <c r="Q56">
        <v>135482.2</v>
      </c>
      <c r="R56" t="str">
        <v>40-VARGAS MACHUCA</v>
      </c>
      <c r="S56">
        <v>1.8</v>
      </c>
      <c r="T56">
        <v>0</v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>
        <v>98</v>
      </c>
      <c r="AC56" t="str">
        <v>01/10/2026</v>
      </c>
      <c r="AD56" t="str">
        <v>08:50:52</v>
      </c>
      <c r="AE56">
        <f>IF("ONLINE"="NOGPS","GPS Antiguo","En línea")</f>
      </c>
      <c r="AF56">
        <f>IF(0=0,"Sin atender", IF(0=1,"Atendida","Atendida y Reportada"))</f>
      </c>
      <c r="AG56" t="str">
        <v/>
      </c>
      <c r="AH56" t="str">
        <v/>
      </c>
      <c r="AI56" t="str">
        <v/>
      </c>
      <c r="AJ56" t="str">
        <v/>
      </c>
      <c r="AK56" t="str">
        <v>01/10/2026 08:51:04</v>
      </c>
      <c r="AL56" t="str">
        <v>08:51:04</v>
      </c>
      <c r="AM56" t="str">
        <v/>
      </c>
    </row>
    <row r="57">
      <c r="A57">
        <v>56</v>
      </c>
      <c r="B57" t="str">
        <v>MASS BSF</v>
      </c>
      <c r="C57" t="str">
        <v>F6V-794</v>
      </c>
      <c r="D57" t="str">
        <v>F6V-794</v>
      </c>
      <c r="E57" t="str">
        <v/>
      </c>
      <c r="F57" t="str">
        <v>865235053167082</v>
      </c>
      <c r="G57" t="str">
        <v>TBD</v>
      </c>
      <c r="H57" t="str">
        <v/>
      </c>
      <c r="I57" t="str">
        <v/>
      </c>
      <c r="J57" t="str">
        <v>01/10/2026</v>
      </c>
      <c r="K57" t="str">
        <v>08:55:25</v>
      </c>
      <c r="L57">
        <v>-12.172075</v>
      </c>
      <c r="M57">
        <v>-76.97916</v>
      </c>
      <c r="N57">
        <f>HYPERLINK("https://www.google.com/maps/search/?api=1&amp;query=-12.172075,-76.97916","Avenida El Triunfo, San Juan de Miraflores, Lima")</f>
      </c>
      <c r="O57" t="str">
        <v>Bache</v>
      </c>
      <c r="P57" t="str">
        <v/>
      </c>
      <c r="Q57">
        <v>135483.9</v>
      </c>
      <c r="R57" t="str">
        <v/>
      </c>
      <c r="S57">
        <v>14</v>
      </c>
      <c r="T57">
        <v>0</v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>
        <v>100</v>
      </c>
      <c r="AC57" t="str">
        <v>01/10/2026</v>
      </c>
      <c r="AD57" t="str">
        <v>08:55:24</v>
      </c>
      <c r="AE57">
        <f>IF("ONLINE"="NOGPS","GPS Antiguo","En línea")</f>
      </c>
      <c r="AF57">
        <f>IF(0=0,"Sin atender", IF(0=1,"Atendida","Atendida y Reportada"))</f>
      </c>
      <c r="AG57" t="str">
        <v/>
      </c>
      <c r="AH57" t="str">
        <v/>
      </c>
      <c r="AI57" t="str">
        <v/>
      </c>
      <c r="AJ57" t="str">
        <v/>
      </c>
      <c r="AK57" t="str">
        <v>01/10/2026 08:55:48</v>
      </c>
      <c r="AL57" t="str">
        <v>08:55:48</v>
      </c>
      <c r="AM57" t="str">
        <v/>
      </c>
    </row>
    <row r="58">
      <c r="A58">
        <v>57</v>
      </c>
      <c r="B58" t="str">
        <v>MASS BSF</v>
      </c>
      <c r="C58" t="str">
        <v>F6V-794</v>
      </c>
      <c r="D58" t="str">
        <v>F6V-794</v>
      </c>
      <c r="E58" t="str">
        <v/>
      </c>
      <c r="F58" t="str">
        <v>865235053167082</v>
      </c>
      <c r="G58" t="str">
        <v>TBD</v>
      </c>
      <c r="H58" t="str">
        <v/>
      </c>
      <c r="I58" t="str">
        <v/>
      </c>
      <c r="J58" t="str">
        <v>01/10/2026</v>
      </c>
      <c r="K58" t="str">
        <v>08:55:37</v>
      </c>
      <c r="L58">
        <v>-12.172745</v>
      </c>
      <c r="M58">
        <v>-76.97894</v>
      </c>
      <c r="N58">
        <f>HYPERLINK("https://www.google.com/maps/search/?api=1&amp;query=-12.172745,-76.97894","Avenida El Triunfo, San Juan de Miraflores, Lima")</f>
      </c>
      <c r="O58" t="str">
        <v>Bache</v>
      </c>
      <c r="P58" t="str">
        <v/>
      </c>
      <c r="Q58">
        <v>135483.9</v>
      </c>
      <c r="R58" t="str">
        <v/>
      </c>
      <c r="S58">
        <v>25.7</v>
      </c>
      <c r="T58">
        <v>0</v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>
        <v>99</v>
      </c>
      <c r="AC58" t="str">
        <v>01/10/2026</v>
      </c>
      <c r="AD58" t="str">
        <v>08:55:37</v>
      </c>
      <c r="AE58">
        <f>IF("ONLINE"="NOGPS","GPS Antiguo","En línea")</f>
      </c>
      <c r="AF58">
        <f>IF(0=0,"Sin atender", IF(0=1,"Atendida","Atendida y Reportada"))</f>
      </c>
      <c r="AG58" t="str">
        <v/>
      </c>
      <c r="AH58" t="str">
        <v/>
      </c>
      <c r="AI58" t="str">
        <v/>
      </c>
      <c r="AJ58" t="str">
        <v/>
      </c>
      <c r="AK58" t="str">
        <v>01/10/2026 08:55:53</v>
      </c>
      <c r="AL58" t="str">
        <v>08:55:53</v>
      </c>
      <c r="AM58" t="str">
        <v/>
      </c>
    </row>
    <row r="59">
      <c r="A59">
        <v>58</v>
      </c>
      <c r="B59" t="str">
        <v>MASS BSF</v>
      </c>
      <c r="C59" t="str">
        <v>F6V-794</v>
      </c>
      <c r="D59" t="str">
        <v>F6V-794</v>
      </c>
      <c r="E59" t="str">
        <v/>
      </c>
      <c r="F59" t="str">
        <v>865235053167082</v>
      </c>
      <c r="G59" t="str">
        <v>TBD</v>
      </c>
      <c r="H59" t="str">
        <v/>
      </c>
      <c r="I59" t="str">
        <v/>
      </c>
      <c r="J59" t="str">
        <v>01/10/2026</v>
      </c>
      <c r="K59" t="str">
        <v>08:56:11</v>
      </c>
      <c r="L59">
        <v>-12.175232</v>
      </c>
      <c r="M59">
        <v>-76.97813</v>
      </c>
      <c r="N59">
        <f>HYPERLINK("https://www.google.com/maps/search/?api=1&amp;query=-12.175232,-76.97813","Avenida El Triunfo, San Juan de Miraflores, Lima")</f>
      </c>
      <c r="O59" t="str">
        <v>Bache</v>
      </c>
      <c r="P59" t="str">
        <v/>
      </c>
      <c r="Q59">
        <v>135484.2</v>
      </c>
      <c r="R59" t="str">
        <v/>
      </c>
      <c r="S59">
        <v>11.2</v>
      </c>
      <c r="T59">
        <v>0</v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>
        <v>99</v>
      </c>
      <c r="AC59" t="str">
        <v>01/10/2026</v>
      </c>
      <c r="AD59" t="str">
        <v>08:56:10</v>
      </c>
      <c r="AE59">
        <f>IF("ONLINE"="NOGPS","GPS Antiguo","En línea")</f>
      </c>
      <c r="AF59">
        <f>IF(0=0,"Sin atender", IF(0=1,"Atendida","Atendida y Reportada"))</f>
      </c>
      <c r="AG59" t="str">
        <v/>
      </c>
      <c r="AH59" t="str">
        <v/>
      </c>
      <c r="AI59" t="str">
        <v/>
      </c>
      <c r="AJ59" t="str">
        <v/>
      </c>
      <c r="AK59" t="str">
        <v>01/10/2026 08:56:31</v>
      </c>
      <c r="AL59" t="str">
        <v>08:56:31</v>
      </c>
      <c r="AM59" t="str">
        <v/>
      </c>
    </row>
    <row r="60">
      <c r="A60">
        <v>59</v>
      </c>
      <c r="B60" t="str">
        <v>MASS BSF</v>
      </c>
      <c r="C60" t="str">
        <v>F6V-794</v>
      </c>
      <c r="D60" t="str">
        <v>F6V-794</v>
      </c>
      <c r="E60" t="str">
        <v/>
      </c>
      <c r="F60" t="str">
        <v>865235053167082</v>
      </c>
      <c r="G60" t="str">
        <v>TBD</v>
      </c>
      <c r="H60" t="str">
        <v/>
      </c>
      <c r="I60" t="str">
        <v/>
      </c>
      <c r="J60" t="str">
        <v>01/10/2026</v>
      </c>
      <c r="K60" t="str">
        <v>08:57:16</v>
      </c>
      <c r="L60">
        <v>-12.17916</v>
      </c>
      <c r="M60">
        <v>-76.976875</v>
      </c>
      <c r="N60">
        <f>HYPERLINK("https://www.google.com/maps/search/?api=1&amp;query=-12.17916,-76.976875","Avenida El Triunfo, San Juan de Miraflores, Lima")</f>
      </c>
      <c r="O60" t="str">
        <v>Ingreso a camino vecinal</v>
      </c>
      <c r="P60" t="str">
        <v/>
      </c>
      <c r="Q60">
        <v>135484.7</v>
      </c>
      <c r="R60" t="str">
        <v/>
      </c>
      <c r="S60">
        <v>37</v>
      </c>
      <c r="T60">
        <v>0</v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>
        <v>99</v>
      </c>
      <c r="AC60" t="str">
        <v>01/10/2026</v>
      </c>
      <c r="AD60" t="str">
        <v>08:57:15</v>
      </c>
      <c r="AE60">
        <f>IF("ONLINE"="NOGPS","GPS Antiguo","En línea")</f>
      </c>
      <c r="AF60">
        <f>IF(0=0,"Sin atender", IF(0=1,"Atendida","Atendida y Reportada"))</f>
      </c>
      <c r="AG60" t="str">
        <v/>
      </c>
      <c r="AH60" t="str">
        <v/>
      </c>
      <c r="AI60" t="str">
        <v/>
      </c>
      <c r="AJ60" t="str">
        <v/>
      </c>
      <c r="AK60" t="str">
        <v>01/10/2026 08:57:23</v>
      </c>
      <c r="AL60" t="str">
        <v>08:57:23</v>
      </c>
      <c r="AM60" t="str">
        <v/>
      </c>
    </row>
    <row r="61">
      <c r="A61">
        <v>60</v>
      </c>
      <c r="B61" t="str">
        <v>MASS BSF</v>
      </c>
      <c r="C61" t="str">
        <v>F6V-794</v>
      </c>
      <c r="D61" t="str">
        <v>F6V-794</v>
      </c>
      <c r="E61" t="str">
        <v/>
      </c>
      <c r="F61" t="str">
        <v>865235053167082</v>
      </c>
      <c r="G61" t="str">
        <v>TBD</v>
      </c>
      <c r="H61" t="str">
        <v/>
      </c>
      <c r="I61" t="str">
        <v/>
      </c>
      <c r="J61" t="str">
        <v>01/10/2026</v>
      </c>
      <c r="K61" t="str">
        <v>09:01:18</v>
      </c>
      <c r="L61">
        <v>-12.186325</v>
      </c>
      <c r="M61">
        <v>-76.97438</v>
      </c>
      <c r="N61">
        <f>HYPERLINK("https://www.google.com/maps/search/?api=1&amp;query=-12.186325,-76.97438","Avenida Panamericana Sur, San Juan de Miraflores, Lima")</f>
      </c>
      <c r="O61" t="str">
        <v>Salida de camino vecinal</v>
      </c>
      <c r="P61" t="str">
        <v/>
      </c>
      <c r="Q61">
        <v>135485.5</v>
      </c>
      <c r="R61" t="str">
        <v/>
      </c>
      <c r="S61">
        <v>14.4</v>
      </c>
      <c r="T61">
        <v>0</v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>
        <v>100</v>
      </c>
      <c r="AC61" t="str">
        <v>01/10/2026</v>
      </c>
      <c r="AD61" t="str">
        <v>09:01:17</v>
      </c>
      <c r="AE61">
        <f>IF("ONLINE"="NOGPS","GPS Antiguo","En línea")</f>
      </c>
      <c r="AF61">
        <f>IF(0=0,"Sin atender", IF(0=1,"Atendida","Atendida y Reportada"))</f>
      </c>
      <c r="AG61" t="str">
        <v/>
      </c>
      <c r="AH61" t="str">
        <v/>
      </c>
      <c r="AI61" t="str">
        <v/>
      </c>
      <c r="AJ61" t="str">
        <v/>
      </c>
      <c r="AK61" t="str">
        <v>01/10/2026 09:01:30</v>
      </c>
      <c r="AL61" t="str">
        <v>09:01:30</v>
      </c>
      <c r="AM61" t="str">
        <v/>
      </c>
    </row>
    <row r="62">
      <c r="A62">
        <v>61</v>
      </c>
      <c r="B62" t="str">
        <v>MASS BSF</v>
      </c>
      <c r="C62" t="str">
        <v>F6V-794</v>
      </c>
      <c r="D62" t="str">
        <v>F6V-794</v>
      </c>
      <c r="E62" t="str">
        <v/>
      </c>
      <c r="F62" t="str">
        <v>865235053167082</v>
      </c>
      <c r="G62" t="str">
        <v>TBD</v>
      </c>
      <c r="H62" t="str">
        <v/>
      </c>
      <c r="I62" t="str">
        <v/>
      </c>
      <c r="J62" t="str">
        <v>01/10/2026</v>
      </c>
      <c r="K62" t="str">
        <v>09:26:20</v>
      </c>
      <c r="L62">
        <v>-12.335892</v>
      </c>
      <c r="M62">
        <v>-76.819115</v>
      </c>
      <c r="N62">
        <f>HYPERLINK("https://www.google.com/maps/search/?api=1&amp;query=-12.335892,-76.819115","Antigua Panamericana Sur, Punta Hermosa, Lima")</f>
      </c>
      <c r="O62" t="str">
        <v>Acelerado y giro brusco</v>
      </c>
      <c r="P62" t="str">
        <v/>
      </c>
      <c r="Q62">
        <v>135511</v>
      </c>
      <c r="R62" t="str">
        <v/>
      </c>
      <c r="S62">
        <v>17.2</v>
      </c>
      <c r="T62">
        <v>0</v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>
        <v>98</v>
      </c>
      <c r="AC62" t="str">
        <v>01/10/2026</v>
      </c>
      <c r="AD62" t="str">
        <v>09:26:20</v>
      </c>
      <c r="AE62">
        <f>IF("ONLINE"="NOGPS","GPS Antiguo","En línea")</f>
      </c>
      <c r="AF62">
        <f>IF(0=0,"Sin atender", IF(0=1,"Atendida","Atendida y Reportada"))</f>
      </c>
      <c r="AG62" t="str">
        <v/>
      </c>
      <c r="AH62" t="str">
        <v/>
      </c>
      <c r="AI62" t="str">
        <v/>
      </c>
      <c r="AJ62" t="str">
        <v/>
      </c>
      <c r="AK62" t="str">
        <v>01/10/2026 09:26:47</v>
      </c>
      <c r="AL62" t="str">
        <v>09:26:47</v>
      </c>
      <c r="AM62" t="str">
        <v/>
      </c>
    </row>
    <row r="63">
      <c r="A63">
        <v>62</v>
      </c>
      <c r="B63" t="str">
        <v>MASS BSF</v>
      </c>
      <c r="C63" t="str">
        <v>F6V-794</v>
      </c>
      <c r="D63" t="str">
        <v>F6V-794</v>
      </c>
      <c r="E63" t="str">
        <v/>
      </c>
      <c r="F63" t="str">
        <v>865235053167082</v>
      </c>
      <c r="G63" t="str">
        <v>TBD</v>
      </c>
      <c r="H63" t="str">
        <v/>
      </c>
      <c r="I63" t="str">
        <v xml:space="preserve"> </v>
      </c>
      <c r="J63" t="str">
        <v>01/10/2026</v>
      </c>
      <c r="K63" t="str">
        <v>09:30:26</v>
      </c>
      <c r="L63">
        <v>-12.317552</v>
      </c>
      <c r="M63">
        <v>-76.82956</v>
      </c>
      <c r="N63">
        <f>HYPERLINK("https://www.google.com/maps/search/?api=1&amp;query=-12.317552,-76.82956","Punta Hermosa, Lima")</f>
      </c>
      <c r="O63" t="str">
        <v>Llegó a la zona</v>
      </c>
      <c r="P63" t="str">
        <v/>
      </c>
      <c r="Q63">
        <v>135513.5</v>
      </c>
      <c r="R63" t="str">
        <v>MASS BSF 1</v>
      </c>
      <c r="S63">
        <v>13.8</v>
      </c>
      <c r="T63">
        <v>0</v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>
        <v>98</v>
      </c>
      <c r="AC63" t="str">
        <v>01/10/2026</v>
      </c>
      <c r="AD63" t="str">
        <v>09:30:26</v>
      </c>
      <c r="AE63">
        <f>IF("ONLINE"="NOGPS","GPS Antiguo","En línea")</f>
      </c>
      <c r="AF63">
        <f>IF(0=0,"Sin atender", IF(0=1,"Atendida","Atendida y Reportada"))</f>
      </c>
      <c r="AG63" t="str">
        <v/>
      </c>
      <c r="AH63" t="str">
        <v/>
      </c>
      <c r="AI63" t="str">
        <v/>
      </c>
      <c r="AJ63" t="str">
        <v/>
      </c>
      <c r="AK63" t="str">
        <v>01/10/2026 09:30:47</v>
      </c>
      <c r="AL63" t="str">
        <v>09:30:47</v>
      </c>
      <c r="AM63" t="str">
        <v/>
      </c>
    </row>
    <row r="64">
      <c r="A64">
        <v>63</v>
      </c>
      <c r="B64" t="str">
        <v>MASS BSF</v>
      </c>
      <c r="C64" t="str">
        <v>F6V-794</v>
      </c>
      <c r="D64" t="str">
        <v>F6V-794</v>
      </c>
      <c r="E64" t="str">
        <v/>
      </c>
      <c r="F64" t="str">
        <v>865235053167082</v>
      </c>
      <c r="G64" t="str">
        <v>TBD</v>
      </c>
      <c r="H64" t="str">
        <v/>
      </c>
      <c r="I64" t="str">
        <v/>
      </c>
      <c r="J64" t="str">
        <v>01/10/2026</v>
      </c>
      <c r="K64" t="str">
        <v>09:35:17</v>
      </c>
      <c r="L64">
        <v>-12.317483</v>
      </c>
      <c r="M64">
        <v>-76.82446</v>
      </c>
      <c r="N64">
        <f>HYPERLINK("https://www.google.com/maps/search/?api=1&amp;query=-12.317483,-76.82446","Punta Hermosa, Lima")</f>
      </c>
      <c r="O64" t="str">
        <v>Vehículo apagado</v>
      </c>
      <c r="P64" t="str">
        <v>Vehículo Apagado</v>
      </c>
      <c r="Q64">
        <v>135514.3</v>
      </c>
      <c r="R64" t="str">
        <v/>
      </c>
      <c r="S64">
        <v>0</v>
      </c>
      <c r="T64">
        <v>0</v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>
        <v>100</v>
      </c>
      <c r="AC64" t="str">
        <v>01/10/2026</v>
      </c>
      <c r="AD64" t="str">
        <v>09:35:16</v>
      </c>
      <c r="AE64">
        <f>IF("ONLINE"="NOGPS","GPS Antiguo","En línea")</f>
      </c>
      <c r="AF64">
        <f>IF(0=0,"Sin atender", IF(0=1,"Atendida","Atendida y Reportada"))</f>
      </c>
      <c r="AG64" t="str">
        <v/>
      </c>
      <c r="AH64" t="str">
        <v/>
      </c>
      <c r="AI64" t="str">
        <v/>
      </c>
      <c r="AJ64" t="str">
        <v/>
      </c>
      <c r="AK64" t="str">
        <v>01/10/2026 09:35:48</v>
      </c>
      <c r="AL64" t="str">
        <v>09:35:48</v>
      </c>
      <c r="AM64" t="str">
        <v/>
      </c>
    </row>
    <row r="65">
      <c r="A65">
        <v>64</v>
      </c>
      <c r="B65" t="str">
        <v>MASS BSF</v>
      </c>
      <c r="C65" t="str">
        <v>F6V-794</v>
      </c>
      <c r="D65" t="str">
        <v>F6V-794</v>
      </c>
      <c r="E65" t="str">
        <v/>
      </c>
      <c r="F65" t="str">
        <v>865235053167082</v>
      </c>
      <c r="G65" t="str">
        <v>TBD</v>
      </c>
      <c r="H65" t="str">
        <v/>
      </c>
      <c r="I65" t="str">
        <v/>
      </c>
      <c r="J65" t="str">
        <v>01/10/2026</v>
      </c>
      <c r="K65" t="str">
        <v>09:38:25</v>
      </c>
      <c r="L65">
        <v>-12.317483</v>
      </c>
      <c r="M65">
        <v>-76.82446</v>
      </c>
      <c r="N65">
        <f>HYPERLINK("https://www.google.com/maps/search/?api=1&amp;query=-12.317483,-76.82446","Punta Hermosa, Lima")</f>
      </c>
      <c r="O65" t="str">
        <v>Vehículo encendido</v>
      </c>
      <c r="P65" t="str">
        <v/>
      </c>
      <c r="Q65">
        <v>135514.3</v>
      </c>
      <c r="R65" t="str">
        <v/>
      </c>
      <c r="S65">
        <v>0</v>
      </c>
      <c r="T65">
        <v>0</v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>
        <v>100</v>
      </c>
      <c r="AC65" t="str">
        <v>01/10/2026</v>
      </c>
      <c r="AD65" t="str">
        <v>09:38:24</v>
      </c>
      <c r="AE65">
        <f>IF("ONLINE"="NOGPS","GPS Antiguo","En línea")</f>
      </c>
      <c r="AF65">
        <f>IF(0=0,"Sin atender", IF(0=1,"Atendida","Atendida y Reportada"))</f>
      </c>
      <c r="AG65" t="str">
        <v/>
      </c>
      <c r="AH65" t="str">
        <v/>
      </c>
      <c r="AI65" t="str">
        <v/>
      </c>
      <c r="AJ65" t="str">
        <v/>
      </c>
      <c r="AK65" t="str">
        <v>01/10/2026 09:38:35</v>
      </c>
      <c r="AL65" t="str">
        <v>09:38:35</v>
      </c>
      <c r="AM65" t="str">
        <v/>
      </c>
    </row>
    <row r="66">
      <c r="A66">
        <v>65</v>
      </c>
      <c r="B66" t="str">
        <v>MASS BSF</v>
      </c>
      <c r="C66" t="str">
        <v>F6V-794</v>
      </c>
      <c r="D66" t="str">
        <v>F6V-794</v>
      </c>
      <c r="E66" t="str">
        <v/>
      </c>
      <c r="F66" t="str">
        <v>865235053167082</v>
      </c>
      <c r="G66" t="str">
        <v>TBD</v>
      </c>
      <c r="H66" t="str">
        <v/>
      </c>
      <c r="I66" t="str">
        <v/>
      </c>
      <c r="J66" t="str">
        <v>01/10/2026</v>
      </c>
      <c r="K66" t="str">
        <v>09:39:42</v>
      </c>
      <c r="L66">
        <v>-12.317483</v>
      </c>
      <c r="M66">
        <v>-76.82446</v>
      </c>
      <c r="N66">
        <f>HYPERLINK("https://www.google.com/maps/search/?api=1&amp;query=-12.317483,-76.82446","Punta Hermosa, Lima")</f>
      </c>
      <c r="O66" t="str">
        <v>Vehículo apagado</v>
      </c>
      <c r="P66" t="str">
        <v>Vehículo Apagado</v>
      </c>
      <c r="Q66">
        <v>135514.3</v>
      </c>
      <c r="R66" t="str">
        <v/>
      </c>
      <c r="S66">
        <v>0</v>
      </c>
      <c r="T66">
        <v>0</v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>
        <v>100</v>
      </c>
      <c r="AC66" t="str">
        <v>01/10/2026</v>
      </c>
      <c r="AD66" t="str">
        <v>09:39:41</v>
      </c>
      <c r="AE66">
        <f>IF("ONLINE"="NOGPS","GPS Antiguo","En línea")</f>
      </c>
      <c r="AF66">
        <f>IF(0=0,"Sin atender", IF(0=1,"Atendida","Atendida y Reportada"))</f>
      </c>
      <c r="AG66" t="str">
        <v/>
      </c>
      <c r="AH66" t="str">
        <v/>
      </c>
      <c r="AI66" t="str">
        <v/>
      </c>
      <c r="AJ66" t="str">
        <v/>
      </c>
      <c r="AK66" t="str">
        <v>01/10/2026 09:40:04</v>
      </c>
      <c r="AL66" t="str">
        <v>09:40:04</v>
      </c>
      <c r="AM66" t="str">
        <v/>
      </c>
    </row>
    <row r="67">
      <c r="A67">
        <v>66</v>
      </c>
      <c r="B67" t="str">
        <v>MASS BSF</v>
      </c>
      <c r="C67" t="str">
        <v>F6V-794</v>
      </c>
      <c r="D67" t="str">
        <v>F6V-794</v>
      </c>
      <c r="E67" t="str">
        <v/>
      </c>
      <c r="F67" t="str">
        <v>865235053167082</v>
      </c>
      <c r="G67" t="str">
        <v>TBD</v>
      </c>
      <c r="H67" t="str">
        <v/>
      </c>
      <c r="I67" t="str">
        <v/>
      </c>
      <c r="J67" t="str">
        <v>01/10/2026</v>
      </c>
      <c r="K67" t="str">
        <v>09:44:27</v>
      </c>
      <c r="L67">
        <v>-12.317483</v>
      </c>
      <c r="M67">
        <v>-76.82446</v>
      </c>
      <c r="N67">
        <f>HYPERLINK("https://www.google.com/maps/search/?api=1&amp;query=-12.317483,-76.82446","Punta Hermosa, Lima")</f>
      </c>
      <c r="O67" t="str">
        <v>Vehículo encendido</v>
      </c>
      <c r="P67" t="str">
        <v/>
      </c>
      <c r="Q67">
        <v>135514.3</v>
      </c>
      <c r="R67" t="str">
        <v/>
      </c>
      <c r="S67">
        <v>0</v>
      </c>
      <c r="T67">
        <v>0</v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>
        <v>100</v>
      </c>
      <c r="AC67" t="str">
        <v>01/10/2026</v>
      </c>
      <c r="AD67" t="str">
        <v>09:44:26</v>
      </c>
      <c r="AE67">
        <f>IF("ONLINE"="NOGPS","GPS Antiguo","En línea")</f>
      </c>
      <c r="AF67">
        <f>IF(0=0,"Sin atender", IF(0=1,"Atendida","Atendida y Reportada"))</f>
      </c>
      <c r="AG67" t="str">
        <v/>
      </c>
      <c r="AH67" t="str">
        <v/>
      </c>
      <c r="AI67" t="str">
        <v/>
      </c>
      <c r="AJ67" t="str">
        <v/>
      </c>
      <c r="AK67" t="str">
        <v>01/10/2026 09:44:44</v>
      </c>
      <c r="AL67" t="str">
        <v>09:44:44</v>
      </c>
      <c r="AM67" t="str">
        <v/>
      </c>
    </row>
    <row r="68">
      <c r="A68">
        <v>67</v>
      </c>
      <c r="B68" t="str">
        <v>MASS BSF</v>
      </c>
      <c r="C68" t="str">
        <v>F6V-794</v>
      </c>
      <c r="D68" t="str">
        <v>F6V-794</v>
      </c>
      <c r="E68" t="str">
        <v/>
      </c>
      <c r="F68" t="str">
        <v>865235053167082</v>
      </c>
      <c r="G68" t="str">
        <v>TBD</v>
      </c>
      <c r="H68" t="str">
        <v/>
      </c>
      <c r="I68" t="str">
        <v/>
      </c>
      <c r="J68" t="str">
        <v>01/10/2026</v>
      </c>
      <c r="K68" t="str">
        <v>09:46:02</v>
      </c>
      <c r="L68">
        <v>-12.317596</v>
      </c>
      <c r="M68">
        <v>-76.824394</v>
      </c>
      <c r="N68">
        <f>HYPERLINK("https://www.google.com/maps/search/?api=1&amp;query=-12.317596,-76.824394","Punta Hermosa, Lima")</f>
      </c>
      <c r="O68" t="str">
        <v>Vehículo apagado</v>
      </c>
      <c r="P68" t="str">
        <v>Vehículo Apagado</v>
      </c>
      <c r="Q68">
        <v>135514.3</v>
      </c>
      <c r="R68" t="str">
        <v/>
      </c>
      <c r="S68">
        <v>0</v>
      </c>
      <c r="T68">
        <v>0</v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>
        <v>97</v>
      </c>
      <c r="AC68" t="str">
        <v>01/10/2026</v>
      </c>
      <c r="AD68" t="str">
        <v>09:46:01</v>
      </c>
      <c r="AE68">
        <f>IF("ONLINE"="NOGPS","GPS Antiguo","En línea")</f>
      </c>
      <c r="AF68">
        <f>IF(0=0,"Sin atender", IF(0=1,"Atendida","Atendida y Reportada"))</f>
      </c>
      <c r="AG68" t="str">
        <v/>
      </c>
      <c r="AH68" t="str">
        <v/>
      </c>
      <c r="AI68" t="str">
        <v/>
      </c>
      <c r="AJ68" t="str">
        <v/>
      </c>
      <c r="AK68" t="str">
        <v>01/10/2026 09:46:17</v>
      </c>
      <c r="AL68" t="str">
        <v>09:46:17</v>
      </c>
      <c r="AM68" t="str">
        <v/>
      </c>
    </row>
    <row r="69">
      <c r="A69">
        <v>68</v>
      </c>
      <c r="B69" t="str">
        <v>MASS BSF</v>
      </c>
      <c r="C69" t="str">
        <v>F6V-794</v>
      </c>
      <c r="D69" t="str">
        <v>F6V-794</v>
      </c>
      <c r="E69" t="str">
        <v/>
      </c>
      <c r="F69" t="str">
        <v>865235053167082</v>
      </c>
      <c r="G69" t="str">
        <v>TBD</v>
      </c>
      <c r="H69" t="str">
        <v/>
      </c>
      <c r="I69" t="str">
        <v/>
      </c>
      <c r="J69" t="str">
        <v>01/10/2026</v>
      </c>
      <c r="K69" t="str">
        <v>09:47:29</v>
      </c>
      <c r="L69">
        <v>-12.317596</v>
      </c>
      <c r="M69">
        <v>-76.824394</v>
      </c>
      <c r="N69">
        <f>HYPERLINK("https://www.google.com/maps/search/?api=1&amp;query=-12.317596,-76.824394","Punta Hermosa, Lima")</f>
      </c>
      <c r="O69" t="str">
        <v>Se detuvo</v>
      </c>
      <c r="P69" t="str">
        <v>Unidad se detuvo</v>
      </c>
      <c r="Q69">
        <v>135514.3</v>
      </c>
      <c r="R69" t="str">
        <v/>
      </c>
      <c r="S69">
        <v>0</v>
      </c>
      <c r="T69">
        <v>0</v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>
        <v>97</v>
      </c>
      <c r="AC69" t="str">
        <v>01/10/2026</v>
      </c>
      <c r="AD69" t="str">
        <v>09:47:28</v>
      </c>
      <c r="AE69">
        <f>IF("ONLINE"="NOGPS","GPS Antiguo","En línea")</f>
      </c>
      <c r="AF69">
        <f>IF(0=0,"Sin atender", IF(0=1,"Atendida","Atendida y Reportada"))</f>
      </c>
      <c r="AG69" t="str">
        <v/>
      </c>
      <c r="AH69" t="str">
        <v/>
      </c>
      <c r="AI69" t="str">
        <v/>
      </c>
      <c r="AJ69" t="str">
        <v/>
      </c>
      <c r="AK69" t="str">
        <v>01/10/2026 09:48:41</v>
      </c>
      <c r="AL69" t="str">
        <v>09:48:41</v>
      </c>
      <c r="AM69" t="str">
        <v/>
      </c>
    </row>
    <row r="70">
      <c r="A70">
        <v>69</v>
      </c>
      <c r="B70" t="str">
        <v>MASS BSF</v>
      </c>
      <c r="C70" t="str">
        <v>F6V-794</v>
      </c>
      <c r="D70" t="str">
        <v>F6V-794</v>
      </c>
      <c r="E70" t="str">
        <v/>
      </c>
      <c r="F70" t="str">
        <v>865235053167082</v>
      </c>
      <c r="G70" t="str">
        <v>TBD</v>
      </c>
      <c r="H70" t="str">
        <v/>
      </c>
      <c r="I70" t="str">
        <v/>
      </c>
      <c r="J70" t="str">
        <v>01/10/2026</v>
      </c>
      <c r="K70" t="str">
        <v>09:47:45</v>
      </c>
      <c r="L70">
        <v>-12.317596</v>
      </c>
      <c r="M70">
        <v>-76.824394</v>
      </c>
      <c r="N70">
        <f>HYPERLINK("https://www.google.com/maps/search/?api=1&amp;query=-12.317596,-76.824394","Punta Hermosa, Lima")</f>
      </c>
      <c r="O70" t="str">
        <v>Vehículo encendido</v>
      </c>
      <c r="P70" t="str">
        <v/>
      </c>
      <c r="Q70">
        <v>135514.3</v>
      </c>
      <c r="R70" t="str">
        <v/>
      </c>
      <c r="S70">
        <v>0</v>
      </c>
      <c r="T70">
        <v>0</v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>
        <v>97</v>
      </c>
      <c r="AC70" t="str">
        <v>01/10/2026</v>
      </c>
      <c r="AD70" t="str">
        <v>09:47:44</v>
      </c>
      <c r="AE70">
        <f>IF("ONLINE"="NOGPS","GPS Antiguo","En línea")</f>
      </c>
      <c r="AF70">
        <f>IF(0=0,"Sin atender", IF(0=1,"Atendida","Atendida y Reportada"))</f>
      </c>
      <c r="AG70" t="str">
        <v/>
      </c>
      <c r="AH70" t="str">
        <v/>
      </c>
      <c r="AI70" t="str">
        <v/>
      </c>
      <c r="AJ70" t="str">
        <v/>
      </c>
      <c r="AK70" t="str">
        <v>01/10/2026 09:48:41</v>
      </c>
      <c r="AL70" t="str">
        <v>09:48:41</v>
      </c>
      <c r="AM70" t="str">
        <v/>
      </c>
    </row>
    <row r="71">
      <c r="A71">
        <v>70</v>
      </c>
      <c r="B71" t="str">
        <v>MASS BSF</v>
      </c>
      <c r="C71" t="str">
        <v>F6V-794</v>
      </c>
      <c r="D71" t="str">
        <v>F6V-794</v>
      </c>
      <c r="E71" t="str">
        <v/>
      </c>
      <c r="F71" t="str">
        <v>865235053167082</v>
      </c>
      <c r="G71" t="str">
        <v>TBD</v>
      </c>
      <c r="H71" t="str">
        <v/>
      </c>
      <c r="I71" t="str">
        <v/>
      </c>
      <c r="J71" t="str">
        <v>01/10/2026</v>
      </c>
      <c r="K71" t="str">
        <v>09:48:41</v>
      </c>
      <c r="L71">
        <v>-12.317581</v>
      </c>
      <c r="M71">
        <v>-76.82439</v>
      </c>
      <c r="N71">
        <f>HYPERLINK("https://www.google.com/maps/search/?api=1&amp;query=-12.317581,-76.82439","Punta Hermosa, Lima")</f>
      </c>
      <c r="O71" t="str">
        <v>Vehículo apagado</v>
      </c>
      <c r="P71" t="str">
        <v>Vehículo Apagado</v>
      </c>
      <c r="Q71">
        <v>135514.3</v>
      </c>
      <c r="R71" t="str">
        <v/>
      </c>
      <c r="S71">
        <v>0</v>
      </c>
      <c r="T71">
        <v>0</v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>
        <v>97</v>
      </c>
      <c r="AC71" t="str">
        <v>01/10/2026</v>
      </c>
      <c r="AD71" t="str">
        <v>09:48:40</v>
      </c>
      <c r="AE71">
        <f>IF("ONLINE"="NOGPS","GPS Antiguo","En línea")</f>
      </c>
      <c r="AF71">
        <f>IF(0=0,"Sin atender", IF(0=1,"Atendida","Atendida y Reportada"))</f>
      </c>
      <c r="AG71" t="str">
        <v/>
      </c>
      <c r="AH71" t="str">
        <v/>
      </c>
      <c r="AI71" t="str">
        <v/>
      </c>
      <c r="AJ71" t="str">
        <v/>
      </c>
      <c r="AK71" t="str">
        <v>01/10/2026 09:49:03</v>
      </c>
      <c r="AL71" t="str">
        <v>09:49:03</v>
      </c>
      <c r="AM71" t="str">
        <v/>
      </c>
    </row>
    <row r="72">
      <c r="A72">
        <v>71</v>
      </c>
      <c r="B72" t="str">
        <v>MASS BSF</v>
      </c>
      <c r="C72" t="str">
        <v>F6V-794</v>
      </c>
      <c r="D72" t="str">
        <v>F6V-794</v>
      </c>
      <c r="E72" t="str">
        <v/>
      </c>
      <c r="F72" t="str">
        <v>865235053167082</v>
      </c>
      <c r="G72" t="str">
        <v>TBD</v>
      </c>
      <c r="H72" t="str">
        <v/>
      </c>
      <c r="I72" t="str">
        <v/>
      </c>
      <c r="J72" t="str">
        <v>01/10/2026</v>
      </c>
      <c r="K72" t="str">
        <v>09:51:58</v>
      </c>
      <c r="L72">
        <v>-12.317581</v>
      </c>
      <c r="M72">
        <v>-76.82439</v>
      </c>
      <c r="N72">
        <f>HYPERLINK("https://www.google.com/maps/search/?api=1&amp;query=-12.317581,-76.82439","Punta Hermosa, Lima")</f>
      </c>
      <c r="O72" t="str">
        <v>Inicio de ralentí</v>
      </c>
      <c r="P72" t="str">
        <v>Vehículo Detenido</v>
      </c>
      <c r="Q72">
        <v>135514.3</v>
      </c>
      <c r="R72" t="str">
        <v/>
      </c>
      <c r="S72">
        <v>0</v>
      </c>
      <c r="T72">
        <v>0</v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>
        <v>97</v>
      </c>
      <c r="AC72" t="str">
        <v>01/10/2026</v>
      </c>
      <c r="AD72" t="str">
        <v>09:51:57</v>
      </c>
      <c r="AE72">
        <f>IF("ONLINE"="NOGPS","GPS Antiguo","En línea")</f>
      </c>
      <c r="AF72">
        <f>IF(0=0,"Sin atender", IF(0=1,"Atendida","Atendida y Reportada"))</f>
      </c>
      <c r="AG72" t="str">
        <v/>
      </c>
      <c r="AH72" t="str">
        <v/>
      </c>
      <c r="AI72" t="str">
        <v/>
      </c>
      <c r="AJ72" t="str">
        <v/>
      </c>
      <c r="AK72" t="str">
        <v>01/10/2026 09:52:21</v>
      </c>
      <c r="AL72" t="str">
        <v>09:52:21</v>
      </c>
      <c r="AM72" t="str">
        <v/>
      </c>
    </row>
    <row r="73">
      <c r="A73">
        <v>72</v>
      </c>
      <c r="B73" t="str">
        <v>MASS BSF</v>
      </c>
      <c r="C73" t="str">
        <v>F6V-794</v>
      </c>
      <c r="D73" t="str">
        <v>F6V-794</v>
      </c>
      <c r="E73" t="str">
        <v/>
      </c>
      <c r="F73" t="str">
        <v>865235053167082</v>
      </c>
      <c r="G73" t="str">
        <v>TBD</v>
      </c>
      <c r="H73" t="str">
        <v/>
      </c>
      <c r="I73" t="str">
        <v/>
      </c>
      <c r="J73" t="str">
        <v>01/10/2026</v>
      </c>
      <c r="K73" t="str">
        <v>10:25:14</v>
      </c>
      <c r="L73">
        <v>-12.317581</v>
      </c>
      <c r="M73">
        <v>-76.82439</v>
      </c>
      <c r="N73">
        <f>HYPERLINK("https://www.google.com/maps/search/?api=1&amp;query=-12.317581,-76.82439","Punta Hermosa, Lima")</f>
      </c>
      <c r="O73" t="str">
        <v>Vehículo encendido</v>
      </c>
      <c r="P73" t="str">
        <v/>
      </c>
      <c r="Q73">
        <v>135514.3</v>
      </c>
      <c r="R73" t="str">
        <v/>
      </c>
      <c r="S73">
        <v>0</v>
      </c>
      <c r="T73">
        <v>0</v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>
        <v>98</v>
      </c>
      <c r="AC73" t="str">
        <v>01/10/2026</v>
      </c>
      <c r="AD73" t="str">
        <v>10:25:13</v>
      </c>
      <c r="AE73">
        <f>IF("ONLINE"="NOGPS","GPS Antiguo","En línea")</f>
      </c>
      <c r="AF73">
        <f>IF(0=0,"Sin atender", IF(0=1,"Atendida","Atendida y Reportada"))</f>
      </c>
      <c r="AG73" t="str">
        <v/>
      </c>
      <c r="AH73" t="str">
        <v/>
      </c>
      <c r="AI73" t="str">
        <v/>
      </c>
      <c r="AJ73" t="str">
        <v/>
      </c>
      <c r="AK73" t="str">
        <v>01/10/2026 10:25:25</v>
      </c>
      <c r="AL73" t="str">
        <v>10:25:25</v>
      </c>
      <c r="AM73" t="str">
        <v/>
      </c>
    </row>
    <row r="74">
      <c r="A74">
        <v>73</v>
      </c>
      <c r="B74" t="str">
        <v>MASS BSF</v>
      </c>
      <c r="C74" t="str">
        <v>F6V-794</v>
      </c>
      <c r="D74" t="str">
        <v>F6V-794</v>
      </c>
      <c r="E74" t="str">
        <v/>
      </c>
      <c r="F74" t="str">
        <v>865235053167082</v>
      </c>
      <c r="G74" t="str">
        <v>TBD</v>
      </c>
      <c r="H74" t="str">
        <v/>
      </c>
      <c r="I74" t="str">
        <v/>
      </c>
      <c r="J74" t="str">
        <v>01/10/2026</v>
      </c>
      <c r="K74" t="str">
        <v>10:25:32</v>
      </c>
      <c r="L74">
        <v>-12.317581</v>
      </c>
      <c r="M74">
        <v>-76.82438</v>
      </c>
      <c r="N74">
        <f>HYPERLINK("https://www.google.com/maps/search/?api=1&amp;query=-12.317581,-76.82438","Punta Hermosa, Lima")</f>
      </c>
      <c r="O74" t="str">
        <v>Vehículo apagado</v>
      </c>
      <c r="P74" t="str">
        <v>Vehículo Apagado</v>
      </c>
      <c r="Q74">
        <v>135514.3</v>
      </c>
      <c r="R74" t="str">
        <v/>
      </c>
      <c r="S74">
        <v>0</v>
      </c>
      <c r="T74">
        <v>0</v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>
        <v>98</v>
      </c>
      <c r="AC74" t="str">
        <v>01/10/2026</v>
      </c>
      <c r="AD74" t="str">
        <v>10:25:31</v>
      </c>
      <c r="AE74">
        <f>IF("ONLINE"="NOGPS","GPS Antiguo","En línea")</f>
      </c>
      <c r="AF74">
        <f>IF(0=0,"Sin atender", IF(0=1,"Atendida","Atendida y Reportada"))</f>
      </c>
      <c r="AG74" t="str">
        <v/>
      </c>
      <c r="AH74" t="str">
        <v/>
      </c>
      <c r="AI74" t="str">
        <v/>
      </c>
      <c r="AJ74" t="str">
        <v/>
      </c>
      <c r="AK74" t="str">
        <v>01/10/2026 10:25:44</v>
      </c>
      <c r="AL74" t="str">
        <v>10:25:44</v>
      </c>
      <c r="AM74" t="str">
        <v/>
      </c>
    </row>
    <row r="75">
      <c r="A75">
        <v>74</v>
      </c>
      <c r="B75" t="str">
        <v>MASS BSF</v>
      </c>
      <c r="C75" t="str">
        <v>F6V-794</v>
      </c>
      <c r="D75" t="str">
        <v>F6V-794</v>
      </c>
      <c r="E75" t="str">
        <v/>
      </c>
      <c r="F75" t="str">
        <v>865235053167082</v>
      </c>
      <c r="G75" t="str">
        <v>TBD</v>
      </c>
      <c r="H75" t="str">
        <v/>
      </c>
      <c r="I75" t="str">
        <v/>
      </c>
      <c r="J75" t="str">
        <v>01/10/2026</v>
      </c>
      <c r="K75" t="str">
        <v>10:25:32</v>
      </c>
      <c r="L75">
        <v>-12.317581</v>
      </c>
      <c r="M75">
        <v>-76.82438</v>
      </c>
      <c r="N75">
        <f>HYPERLINK("https://www.google.com/maps/search/?api=1&amp;query=-12.317581,-76.82438","Punta Hermosa, Lima")</f>
      </c>
      <c r="O75" t="str">
        <v>Fin de ralentí</v>
      </c>
      <c r="P75" t="str">
        <v/>
      </c>
      <c r="Q75">
        <v>135514.3</v>
      </c>
      <c r="R75" t="str">
        <v/>
      </c>
      <c r="S75">
        <v>0</v>
      </c>
      <c r="T75">
        <v>0</v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>
        <v>98</v>
      </c>
      <c r="AC75" t="str">
        <v>01/10/2026</v>
      </c>
      <c r="AD75" t="str">
        <v>10:25:31</v>
      </c>
      <c r="AE75">
        <f>IF("ONLINE"="NOGPS","GPS Antiguo","En línea")</f>
      </c>
      <c r="AF75">
        <f>IF(0=0,"Sin atender", IF(0=1,"Atendida","Atendida y Reportada"))</f>
      </c>
      <c r="AG75" t="str">
        <v/>
      </c>
      <c r="AH75" t="str">
        <v/>
      </c>
      <c r="AI75" t="str">
        <v/>
      </c>
      <c r="AJ75" t="str">
        <v/>
      </c>
      <c r="AK75" t="str">
        <v>01/10/2026 10:25:52</v>
      </c>
      <c r="AL75" t="str">
        <v>10:25:52</v>
      </c>
      <c r="AM75" t="str">
        <v/>
      </c>
    </row>
    <row r="76">
      <c r="A76">
        <v>75</v>
      </c>
      <c r="B76" t="str">
        <v>MASS BSF</v>
      </c>
      <c r="C76" t="str">
        <v>F6V-794</v>
      </c>
      <c r="D76" t="str">
        <v>F6V-794</v>
      </c>
      <c r="E76" t="str">
        <v/>
      </c>
      <c r="F76" t="str">
        <v>865235053167082</v>
      </c>
      <c r="G76" t="str">
        <v>TBD</v>
      </c>
      <c r="H76" t="str">
        <v/>
      </c>
      <c r="I76" t="str">
        <v/>
      </c>
      <c r="J76" t="str">
        <v>01/10/2026</v>
      </c>
      <c r="K76" t="str">
        <v>10:27:45</v>
      </c>
      <c r="L76">
        <v>-12.317581</v>
      </c>
      <c r="M76">
        <v>-76.82438</v>
      </c>
      <c r="N76">
        <f>HYPERLINK("https://www.google.com/maps/search/?api=1&amp;query=-12.317581,-76.82438","Punta Hermosa, Lima")</f>
      </c>
      <c r="O76" t="str">
        <v>Vehículo encendido</v>
      </c>
      <c r="P76" t="str">
        <v/>
      </c>
      <c r="Q76">
        <v>135514.3</v>
      </c>
      <c r="R76" t="str">
        <v/>
      </c>
      <c r="S76">
        <v>0</v>
      </c>
      <c r="T76">
        <v>0</v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>
        <v>98</v>
      </c>
      <c r="AC76" t="str">
        <v>01/10/2026</v>
      </c>
      <c r="AD76" t="str">
        <v>10:27:44</v>
      </c>
      <c r="AE76">
        <f>IF("ONLINE"="NOGPS","GPS Antiguo","En línea")</f>
      </c>
      <c r="AF76">
        <f>IF(0=0,"Sin atender", IF(0=1,"Atendida","Atendida y Reportada"))</f>
      </c>
      <c r="AG76" t="str">
        <v/>
      </c>
      <c r="AH76" t="str">
        <v/>
      </c>
      <c r="AI76" t="str">
        <v/>
      </c>
      <c r="AJ76" t="str">
        <v/>
      </c>
      <c r="AK76" t="str">
        <v>01/10/2026 10:28:05</v>
      </c>
      <c r="AL76" t="str">
        <v>10:28:05</v>
      </c>
      <c r="AM76" t="str">
        <v/>
      </c>
    </row>
    <row r="77">
      <c r="A77">
        <v>76</v>
      </c>
      <c r="B77" t="str">
        <v>MASS BSF</v>
      </c>
      <c r="C77" t="str">
        <v>F6V-794</v>
      </c>
      <c r="D77" t="str">
        <v>F6V-794</v>
      </c>
      <c r="E77" t="str">
        <v/>
      </c>
      <c r="F77" t="str">
        <v>865235053167082</v>
      </c>
      <c r="G77" t="str">
        <v>TBD</v>
      </c>
      <c r="H77" t="str">
        <v/>
      </c>
      <c r="I77" t="str">
        <v xml:space="preserve"> </v>
      </c>
      <c r="J77" t="str">
        <v>01/10/2026</v>
      </c>
      <c r="K77" t="str">
        <v>10:35:45</v>
      </c>
      <c r="L77">
        <v>-12.317273</v>
      </c>
      <c r="M77">
        <v>-76.83045</v>
      </c>
      <c r="N77">
        <f>HYPERLINK("https://www.google.com/maps/search/?api=1&amp;query=-12.317273,-76.83045","Carretera Panamericana Sur, Punta Hermosa, Lima")</f>
      </c>
      <c r="O77" t="str">
        <v>Salió de zona</v>
      </c>
      <c r="P77" t="str">
        <v/>
      </c>
      <c r="Q77">
        <v>135515.2</v>
      </c>
      <c r="R77" t="str">
        <v>MASS BSF 1</v>
      </c>
      <c r="S77">
        <v>24</v>
      </c>
      <c r="T77">
        <v>0</v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>
        <v>100</v>
      </c>
      <c r="AC77" t="str">
        <v>01/10/2026</v>
      </c>
      <c r="AD77" t="str">
        <v>10:35:44</v>
      </c>
      <c r="AE77">
        <f>IF("ONLINE"="NOGPS","GPS Antiguo","En línea")</f>
      </c>
      <c r="AF77">
        <f>IF(0=0,"Sin atender", IF(0=1,"Atendida","Atendida y Reportada"))</f>
      </c>
      <c r="AG77" t="str">
        <v/>
      </c>
      <c r="AH77" t="str">
        <v/>
      </c>
      <c r="AI77" t="str">
        <v/>
      </c>
      <c r="AJ77" t="str">
        <v/>
      </c>
      <c r="AK77" t="str">
        <v>01/10/2026 10:35:54</v>
      </c>
      <c r="AL77" t="str">
        <v>10:35:54</v>
      </c>
      <c r="AM77" t="str">
        <v/>
      </c>
    </row>
    <row r="78">
      <c r="A78">
        <v>77</v>
      </c>
      <c r="B78" t="str">
        <v>MASS BSF</v>
      </c>
      <c r="C78" t="str">
        <v>F6V-794</v>
      </c>
      <c r="D78" t="str">
        <v>F6V-794</v>
      </c>
      <c r="E78" t="str">
        <v/>
      </c>
      <c r="F78" t="str">
        <v>865235053167082</v>
      </c>
      <c r="G78" t="str">
        <v>TBD</v>
      </c>
      <c r="H78" t="str">
        <v/>
      </c>
      <c r="I78" t="str">
        <v/>
      </c>
      <c r="J78" t="str">
        <v>01/10/2026</v>
      </c>
      <c r="K78" t="str">
        <v>10:48:42</v>
      </c>
      <c r="L78">
        <v>-12.254329</v>
      </c>
      <c r="M78">
        <v>-76.920044</v>
      </c>
      <c r="N78">
        <f>HYPERLINK("https://www.google.com/maps/search/?api=1&amp;query=-12.254329,-76.920044","Antigua Panamericana Sur, Lurín, Lima")</f>
      </c>
      <c r="O78" t="str">
        <v>Bache</v>
      </c>
      <c r="P78" t="str">
        <v/>
      </c>
      <c r="Q78">
        <v>135527.4</v>
      </c>
      <c r="R78" t="str">
        <v/>
      </c>
      <c r="S78">
        <v>15.5</v>
      </c>
      <c r="T78">
        <v>0</v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>
        <v>100</v>
      </c>
      <c r="AC78" t="str">
        <v>01/10/2026</v>
      </c>
      <c r="AD78" t="str">
        <v>10:48:41</v>
      </c>
      <c r="AE78">
        <f>IF("ONLINE"="NOGPS","GPS Antiguo","En línea")</f>
      </c>
      <c r="AF78">
        <f>IF(0=0,"Sin atender", IF(0=1,"Atendida","Atendida y Reportada"))</f>
      </c>
      <c r="AG78" t="str">
        <v/>
      </c>
      <c r="AH78" t="str">
        <v/>
      </c>
      <c r="AI78" t="str">
        <v/>
      </c>
      <c r="AJ78" t="str">
        <v/>
      </c>
      <c r="AK78" t="str">
        <v>01/10/2026 10:48:53</v>
      </c>
      <c r="AL78" t="str">
        <v>10:48:53</v>
      </c>
      <c r="AM78" t="str">
        <v/>
      </c>
    </row>
    <row r="79">
      <c r="A79">
        <v>78</v>
      </c>
      <c r="B79" t="str">
        <v>MASS BSF</v>
      </c>
      <c r="C79" t="str">
        <v>F6V-794</v>
      </c>
      <c r="D79" t="str">
        <v>F6V-794</v>
      </c>
      <c r="E79" t="str">
        <v/>
      </c>
      <c r="F79" t="str">
        <v>865235053167082</v>
      </c>
      <c r="G79" t="str">
        <v>TBD</v>
      </c>
      <c r="H79" t="str">
        <v/>
      </c>
      <c r="I79" t="str">
        <v/>
      </c>
      <c r="J79" t="str">
        <v>01/10/2026</v>
      </c>
      <c r="K79" t="str">
        <v>10:49:56</v>
      </c>
      <c r="L79">
        <v>-12.254831</v>
      </c>
      <c r="M79">
        <v>-76.91541</v>
      </c>
      <c r="N79">
        <f>HYPERLINK("https://www.google.com/maps/search/?api=1&amp;query=-12.254831,-76.91541","Antigua Panamericana Sur, Lurín, Lima")</f>
      </c>
      <c r="O79" t="str">
        <v>Bache</v>
      </c>
      <c r="P79" t="str">
        <v/>
      </c>
      <c r="Q79">
        <v>135527.9</v>
      </c>
      <c r="R79" t="str">
        <v/>
      </c>
      <c r="S79">
        <v>13.8</v>
      </c>
      <c r="T79">
        <v>0</v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>
        <v>100</v>
      </c>
      <c r="AC79" t="str">
        <v>01/10/2026</v>
      </c>
      <c r="AD79" t="str">
        <v>10:49:54</v>
      </c>
      <c r="AE79">
        <f>IF("ONLINE"="NOGPS","GPS Antiguo","En línea")</f>
      </c>
      <c r="AF79">
        <f>IF(0=0,"Sin atender", IF(0=1,"Atendida","Atendida y Reportada"))</f>
      </c>
      <c r="AG79" t="str">
        <v/>
      </c>
      <c r="AH79" t="str">
        <v/>
      </c>
      <c r="AI79" t="str">
        <v/>
      </c>
      <c r="AJ79" t="str">
        <v/>
      </c>
      <c r="AK79" t="str">
        <v>01/10/2026 10:50:13</v>
      </c>
      <c r="AL79" t="str">
        <v>10:50:13</v>
      </c>
      <c r="AM79" t="str">
        <v/>
      </c>
    </row>
    <row r="80">
      <c r="A80">
        <v>79</v>
      </c>
      <c r="B80" t="str">
        <v>MASS BSF</v>
      </c>
      <c r="C80" t="str">
        <v>F6V-794</v>
      </c>
      <c r="D80" t="str">
        <v>F6V-794</v>
      </c>
      <c r="E80" t="str">
        <v/>
      </c>
      <c r="F80" t="str">
        <v>865235053167082</v>
      </c>
      <c r="G80" t="str">
        <v>TBD</v>
      </c>
      <c r="H80" t="str">
        <v/>
      </c>
      <c r="I80" t="str">
        <v/>
      </c>
      <c r="J80" t="str">
        <v>01/10/2026</v>
      </c>
      <c r="K80" t="str">
        <v>10:52:17</v>
      </c>
      <c r="L80">
        <v>-12.254285</v>
      </c>
      <c r="M80">
        <v>-76.90469</v>
      </c>
      <c r="N80">
        <f>HYPERLINK("https://www.google.com/maps/search/?api=1&amp;query=-12.254285,-76.90469","Antigua Panamericana Sur, Lurín, Lima")</f>
      </c>
      <c r="O80" t="str">
        <v>Aceleración brusca</v>
      </c>
      <c r="P80" t="str">
        <v>CMT-910</v>
      </c>
      <c r="Q80">
        <v>135529.1</v>
      </c>
      <c r="R80" t="str">
        <v/>
      </c>
      <c r="S80">
        <v>8.1</v>
      </c>
      <c r="T80">
        <v>0</v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>
        <v>100</v>
      </c>
      <c r="AC80" t="str">
        <v>01/10/2026</v>
      </c>
      <c r="AD80" t="str">
        <v>10:52:16</v>
      </c>
      <c r="AE80">
        <f>IF("ONLINE"="NOGPS","GPS Antiguo","En línea")</f>
      </c>
      <c r="AF80">
        <f>IF(0=0,"Sin atender", IF(0=1,"Atendida","Atendida y Reportada"))</f>
      </c>
      <c r="AG80" t="str">
        <v/>
      </c>
      <c r="AH80" t="str">
        <v/>
      </c>
      <c r="AI80" t="str">
        <v/>
      </c>
      <c r="AJ80" t="str">
        <v/>
      </c>
      <c r="AK80" t="str">
        <v>01/10/2026 10:52:25</v>
      </c>
      <c r="AL80" t="str">
        <v>10:52:25</v>
      </c>
      <c r="AM80" t="str">
        <v/>
      </c>
    </row>
    <row r="81">
      <c r="A81">
        <v>80</v>
      </c>
      <c r="B81" t="str">
        <v>MASS BSF</v>
      </c>
      <c r="C81" t="str">
        <v>F6V-794</v>
      </c>
      <c r="D81" t="str">
        <v>F6V-794</v>
      </c>
      <c r="E81" t="str">
        <v/>
      </c>
      <c r="F81" t="str">
        <v>865235053167082</v>
      </c>
      <c r="G81" t="str">
        <v>TBD</v>
      </c>
      <c r="H81" t="str">
        <v/>
      </c>
      <c r="I81" t="str">
        <v/>
      </c>
      <c r="J81" t="str">
        <v>01/10/2026</v>
      </c>
      <c r="K81" t="str">
        <v>11:08:59</v>
      </c>
      <c r="L81">
        <v>-12.234444</v>
      </c>
      <c r="M81">
        <v>-76.93408</v>
      </c>
      <c r="N81">
        <f>HYPERLINK("https://www.google.com/maps/search/?api=1&amp;query=-12.234444,-76.93408","Avenida Prolongación Mariano Pastor Sevilla, Villa El Salvador, Lima")</f>
      </c>
      <c r="O81" t="str">
        <v>Bache</v>
      </c>
      <c r="P81" t="str">
        <v/>
      </c>
      <c r="Q81">
        <v>135534.1</v>
      </c>
      <c r="R81" t="str">
        <v/>
      </c>
      <c r="S81">
        <v>6.2</v>
      </c>
      <c r="T81">
        <v>0</v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>
        <v>99</v>
      </c>
      <c r="AC81" t="str">
        <v>01/10/2026</v>
      </c>
      <c r="AD81" t="str">
        <v>11:08:57</v>
      </c>
      <c r="AE81">
        <f>IF("ONLINE"="NOGPS","GPS Antiguo","En línea")</f>
      </c>
      <c r="AF81">
        <f>IF(0=0,"Sin atender", IF(0=1,"Atendida","Atendida y Reportada"))</f>
      </c>
      <c r="AG81" t="str">
        <v/>
      </c>
      <c r="AH81" t="str">
        <v/>
      </c>
      <c r="AI81" t="str">
        <v/>
      </c>
      <c r="AJ81" t="str">
        <v/>
      </c>
      <c r="AK81" t="str">
        <v>01/10/2026 11:09:11</v>
      </c>
      <c r="AL81" t="str">
        <v>11:09:11</v>
      </c>
      <c r="AM81" t="str">
        <v/>
      </c>
    </row>
    <row r="82">
      <c r="A82">
        <v>81</v>
      </c>
      <c r="B82" t="str">
        <v>MASS BSF</v>
      </c>
      <c r="C82" t="str">
        <v>F6V-794</v>
      </c>
      <c r="D82" t="str">
        <v>F6V-794</v>
      </c>
      <c r="E82" t="str">
        <v/>
      </c>
      <c r="F82" t="str">
        <v>865235053167082</v>
      </c>
      <c r="G82" t="str">
        <v>TBD</v>
      </c>
      <c r="H82" t="str">
        <v/>
      </c>
      <c r="I82" t="str">
        <v xml:space="preserve"> </v>
      </c>
      <c r="J82" t="str">
        <v>01/10/2026</v>
      </c>
      <c r="K82" t="str">
        <v>11:12:21</v>
      </c>
      <c r="L82">
        <v>-12.227016</v>
      </c>
      <c r="M82">
        <v>-76.93095</v>
      </c>
      <c r="N82">
        <f>HYPERLINK("https://www.google.com/maps/search/?api=1&amp;query=-12.227016,-76.93095","Avenida Talara, Villa El Salvador, Lima")</f>
      </c>
      <c r="O82" t="str">
        <v>Llegó a la zona</v>
      </c>
      <c r="P82" t="str">
        <v/>
      </c>
      <c r="Q82">
        <v>135535.2</v>
      </c>
      <c r="R82" t="str">
        <v>1150-TALARA12NVES MS</v>
      </c>
      <c r="S82">
        <v>11.8</v>
      </c>
      <c r="T82">
        <v>0</v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>
        <v>99</v>
      </c>
      <c r="AC82" t="str">
        <v>01/10/2026</v>
      </c>
      <c r="AD82" t="str">
        <v>11:12:20</v>
      </c>
      <c r="AE82">
        <f>IF("ONLINE"="NOGPS","GPS Antiguo","En línea")</f>
      </c>
      <c r="AF82">
        <f>IF(0=0,"Sin atender", IF(0=1,"Atendida","Atendida y Reportada"))</f>
      </c>
      <c r="AG82" t="str">
        <v/>
      </c>
      <c r="AH82" t="str">
        <v/>
      </c>
      <c r="AI82" t="str">
        <v/>
      </c>
      <c r="AJ82" t="str">
        <v/>
      </c>
      <c r="AK82" t="str">
        <v>01/10/2026 11:12:33</v>
      </c>
      <c r="AL82" t="str">
        <v>11:12:33</v>
      </c>
      <c r="AM82" t="str">
        <v/>
      </c>
    </row>
    <row r="83">
      <c r="A83">
        <v>82</v>
      </c>
      <c r="B83" t="str">
        <v>MASS BSF</v>
      </c>
      <c r="C83" t="str">
        <v>F6V-794</v>
      </c>
      <c r="D83" t="str">
        <v>F6V-794</v>
      </c>
      <c r="E83" t="str">
        <v/>
      </c>
      <c r="F83" t="str">
        <v>865235053167082</v>
      </c>
      <c r="G83" t="str">
        <v>TBD</v>
      </c>
      <c r="H83" t="str">
        <v/>
      </c>
      <c r="I83" t="str">
        <v/>
      </c>
      <c r="J83" t="str">
        <v>01/10/2026</v>
      </c>
      <c r="K83" t="str">
        <v>11:13:19</v>
      </c>
      <c r="L83">
        <v>-12.227014</v>
      </c>
      <c r="M83">
        <v>-76.9309</v>
      </c>
      <c r="N83">
        <f>HYPERLINK("https://www.google.com/maps/search/?api=1&amp;query=-12.227014,-76.9309","Avenida Talara, Villa El Salvador, Lima")</f>
      </c>
      <c r="O83" t="str">
        <v>Vehículo apagado</v>
      </c>
      <c r="P83" t="str">
        <v>Vehículo Apagado</v>
      </c>
      <c r="Q83">
        <v>135535.2</v>
      </c>
      <c r="R83" t="str">
        <v/>
      </c>
      <c r="S83">
        <v>0</v>
      </c>
      <c r="T83">
        <v>0</v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>
        <v>99</v>
      </c>
      <c r="AC83" t="str">
        <v>01/10/2026</v>
      </c>
      <c r="AD83" t="str">
        <v>11:13:18</v>
      </c>
      <c r="AE83">
        <f>IF("ONLINE"="NOGPS","GPS Antiguo","En línea")</f>
      </c>
      <c r="AF83">
        <f>IF(0=0,"Sin atender", IF(0=1,"Atendida","Atendida y Reportada"))</f>
      </c>
      <c r="AG83" t="str">
        <v/>
      </c>
      <c r="AH83" t="str">
        <v/>
      </c>
      <c r="AI83" t="str">
        <v/>
      </c>
      <c r="AJ83" t="str">
        <v/>
      </c>
      <c r="AK83" t="str">
        <v>01/10/2026 11:13:44</v>
      </c>
      <c r="AL83" t="str">
        <v>11:13:44</v>
      </c>
      <c r="AM83" t="str">
        <v/>
      </c>
    </row>
    <row r="84">
      <c r="A84">
        <v>83</v>
      </c>
      <c r="B84" t="str">
        <v>MASS BSF</v>
      </c>
      <c r="C84" t="str">
        <v>F6V-794</v>
      </c>
      <c r="D84" t="str">
        <v>F6V-794</v>
      </c>
      <c r="E84" t="str">
        <v/>
      </c>
      <c r="F84" t="str">
        <v>865235053167082</v>
      </c>
      <c r="G84" t="str">
        <v>TBD</v>
      </c>
      <c r="H84" t="str">
        <v/>
      </c>
      <c r="I84" t="str">
        <v/>
      </c>
      <c r="J84" t="str">
        <v>01/10/2026</v>
      </c>
      <c r="K84" t="str">
        <v>11:19:39</v>
      </c>
      <c r="L84">
        <v>-12.227014</v>
      </c>
      <c r="M84">
        <v>-76.9309</v>
      </c>
      <c r="N84">
        <f>HYPERLINK("https://www.google.com/maps/search/?api=1&amp;query=-12.227014,-76.9309","Avenida Talara, Villa El Salvador, Lima")</f>
      </c>
      <c r="O84" t="str">
        <v>Se detuvo</v>
      </c>
      <c r="P84" t="str">
        <v>Unidad se detuvo</v>
      </c>
      <c r="Q84">
        <v>135535.2</v>
      </c>
      <c r="R84" t="str">
        <v/>
      </c>
      <c r="S84">
        <v>0</v>
      </c>
      <c r="T84">
        <v>0</v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>
        <v>99</v>
      </c>
      <c r="AC84" t="str">
        <v>01/10/2026</v>
      </c>
      <c r="AD84" t="str">
        <v>11:19:37</v>
      </c>
      <c r="AE84">
        <f>IF("ONLINE"="NOGPS","GPS Antiguo","En línea")</f>
      </c>
      <c r="AF84">
        <f>IF(0=0,"Sin atender", IF(0=1,"Atendida","Atendida y Reportada"))</f>
      </c>
      <c r="AG84" t="str">
        <v/>
      </c>
      <c r="AH84" t="str">
        <v/>
      </c>
      <c r="AI84" t="str">
        <v/>
      </c>
      <c r="AJ84" t="str">
        <v/>
      </c>
      <c r="AK84" t="str">
        <v>01/10/2026 11:19:40</v>
      </c>
      <c r="AL84" t="str">
        <v>11:19:40</v>
      </c>
      <c r="AM84" t="str">
        <v/>
      </c>
    </row>
    <row r="85">
      <c r="A85">
        <v>84</v>
      </c>
      <c r="B85" t="str">
        <v>MASS BSF</v>
      </c>
      <c r="C85" t="str">
        <v>F6V-794</v>
      </c>
      <c r="D85" t="str">
        <v>F6V-794</v>
      </c>
      <c r="E85" t="str">
        <v/>
      </c>
      <c r="F85" t="str">
        <v>865235053167082</v>
      </c>
      <c r="G85" t="str">
        <v>TBD</v>
      </c>
      <c r="H85" t="str">
        <v/>
      </c>
      <c r="I85" t="str">
        <v/>
      </c>
      <c r="J85" t="str">
        <v>01/10/2026</v>
      </c>
      <c r="K85" t="str">
        <v>11:35:39</v>
      </c>
      <c r="L85">
        <v>-12.227014</v>
      </c>
      <c r="M85">
        <v>-76.9309</v>
      </c>
      <c r="N85">
        <f>HYPERLINK("https://www.google.com/maps/search/?api=1&amp;query=-12.227014,-76.9309","Avenida Talara, Villa El Salvador, Lima")</f>
      </c>
      <c r="O85" t="str">
        <v>Vehículo encendido</v>
      </c>
      <c r="P85" t="str">
        <v/>
      </c>
      <c r="Q85">
        <v>135535.2</v>
      </c>
      <c r="R85" t="str">
        <v/>
      </c>
      <c r="S85">
        <v>0</v>
      </c>
      <c r="T85">
        <v>0</v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>
        <v>99</v>
      </c>
      <c r="AC85" t="str">
        <v>01/10/2026</v>
      </c>
      <c r="AD85" t="str">
        <v>11:35:37</v>
      </c>
      <c r="AE85">
        <f>IF("ONLINE"="NOGPS","GPS Antiguo","En línea")</f>
      </c>
      <c r="AF85">
        <f>IF(0=0,"Sin atender", IF(0=1,"Atendida","Atendida y Reportada"))</f>
      </c>
      <c r="AG85" t="str">
        <v/>
      </c>
      <c r="AH85" t="str">
        <v/>
      </c>
      <c r="AI85" t="str">
        <v/>
      </c>
      <c r="AJ85" t="str">
        <v/>
      </c>
      <c r="AK85" t="str">
        <v>01/10/2026 11:35:43</v>
      </c>
      <c r="AL85" t="str">
        <v>11:35:43</v>
      </c>
      <c r="AM85" t="str">
        <v/>
      </c>
    </row>
    <row r="86">
      <c r="A86">
        <v>85</v>
      </c>
      <c r="B86" t="str">
        <v>MASS BSF</v>
      </c>
      <c r="C86" t="str">
        <v>F6V-794</v>
      </c>
      <c r="D86" t="str">
        <v>F6V-794</v>
      </c>
      <c r="E86" t="str">
        <v/>
      </c>
      <c r="F86" t="str">
        <v>865235053167082</v>
      </c>
      <c r="G86" t="str">
        <v>TBD</v>
      </c>
      <c r="H86" t="str">
        <v/>
      </c>
      <c r="I86" t="str">
        <v xml:space="preserve"> </v>
      </c>
      <c r="J86" t="str">
        <v>01/10/2026</v>
      </c>
      <c r="K86" t="str">
        <v>11:35:57</v>
      </c>
      <c r="L86">
        <v>-12.226953</v>
      </c>
      <c r="M86">
        <v>-76.93089</v>
      </c>
      <c r="N86">
        <f>HYPERLINK("https://www.google.com/maps/search/?api=1&amp;query=-12.226953,-76.93089","Avenida Talara, Villa El Salvador, Lima")</f>
      </c>
      <c r="O86" t="str">
        <v>Llegó a la zona</v>
      </c>
      <c r="P86" t="str">
        <v/>
      </c>
      <c r="Q86">
        <v>135535.3</v>
      </c>
      <c r="R86" t="str">
        <v>1150-TALARA12NVES MS</v>
      </c>
      <c r="S86">
        <v>9</v>
      </c>
      <c r="T86">
        <v>0</v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>
        <v>98</v>
      </c>
      <c r="AC86" t="str">
        <v>01/10/2026</v>
      </c>
      <c r="AD86" t="str">
        <v>11:35:56</v>
      </c>
      <c r="AE86">
        <f>IF("ONLINE"="NOGPS","GPS Antiguo","En línea")</f>
      </c>
      <c r="AF86">
        <f>IF(0=0,"Sin atender", IF(0=1,"Atendida","Atendida y Reportada"))</f>
      </c>
      <c r="AG86" t="str">
        <v/>
      </c>
      <c r="AH86" t="str">
        <v/>
      </c>
      <c r="AI86" t="str">
        <v/>
      </c>
      <c r="AJ86" t="str">
        <v/>
      </c>
      <c r="AK86" t="str">
        <v>01/10/2026 11:36:13</v>
      </c>
      <c r="AL86" t="str">
        <v>11:36:13</v>
      </c>
      <c r="AM86" t="str">
        <v/>
      </c>
    </row>
    <row r="87">
      <c r="A87">
        <v>86</v>
      </c>
      <c r="B87" t="str">
        <v>MASS BSF</v>
      </c>
      <c r="C87" t="str">
        <v>F6V-794</v>
      </c>
      <c r="D87" t="str">
        <v>F6V-794</v>
      </c>
      <c r="E87" t="str">
        <v/>
      </c>
      <c r="F87" t="str">
        <v>865235053167082</v>
      </c>
      <c r="G87" t="str">
        <v>TBD</v>
      </c>
      <c r="H87" t="str">
        <v/>
      </c>
      <c r="I87" t="str">
        <v xml:space="preserve"> </v>
      </c>
      <c r="J87" t="str">
        <v>01/10/2026</v>
      </c>
      <c r="K87" t="str">
        <v>11:36:02</v>
      </c>
      <c r="L87">
        <v>-12.226863</v>
      </c>
      <c r="M87">
        <v>-76.93074</v>
      </c>
      <c r="N87">
        <f>HYPERLINK("https://www.google.com/maps/search/?api=1&amp;query=-12.226863,-76.93074","Avenida Talara, Villa El Salvador, Lima")</f>
      </c>
      <c r="O87" t="str">
        <v>Salió de zona</v>
      </c>
      <c r="P87" t="str">
        <v/>
      </c>
      <c r="Q87">
        <v>135535.3</v>
      </c>
      <c r="R87" t="str">
        <v>1150-TALARA12NVES MS</v>
      </c>
      <c r="S87">
        <v>16.1</v>
      </c>
      <c r="T87">
        <v>0</v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>
        <v>98</v>
      </c>
      <c r="AC87" t="str">
        <v>01/10/2026</v>
      </c>
      <c r="AD87" t="str">
        <v>11:36:01</v>
      </c>
      <c r="AE87">
        <f>IF("ONLINE"="NOGPS","GPS Antiguo","En línea")</f>
      </c>
      <c r="AF87">
        <f>IF(0=0,"Sin atender", IF(0=1,"Atendida","Atendida y Reportada"))</f>
      </c>
      <c r="AG87" t="str">
        <v/>
      </c>
      <c r="AH87" t="str">
        <v/>
      </c>
      <c r="AI87" t="str">
        <v/>
      </c>
      <c r="AJ87" t="str">
        <v/>
      </c>
      <c r="AK87" t="str">
        <v>01/10/2026 11:36:13</v>
      </c>
      <c r="AL87" t="str">
        <v>11:36:13</v>
      </c>
      <c r="AM87" t="str">
        <v/>
      </c>
    </row>
    <row r="88">
      <c r="A88">
        <v>87</v>
      </c>
      <c r="B88" t="str">
        <v>MASS BSF</v>
      </c>
      <c r="C88" t="str">
        <v>F6V-794</v>
      </c>
      <c r="D88" t="str">
        <v>F6V-794</v>
      </c>
      <c r="E88" t="str">
        <v/>
      </c>
      <c r="F88" t="str">
        <v>865235053167082</v>
      </c>
      <c r="G88" t="str">
        <v>TBD</v>
      </c>
      <c r="H88" t="str">
        <v/>
      </c>
      <c r="I88" t="str">
        <v xml:space="preserve"> </v>
      </c>
      <c r="J88" t="str">
        <v>01/10/2026</v>
      </c>
      <c r="K88" t="str">
        <v>11:36:14</v>
      </c>
      <c r="L88">
        <v>-12.226602</v>
      </c>
      <c r="M88">
        <v>-76.930275</v>
      </c>
      <c r="N88">
        <f>HYPERLINK("https://www.google.com/maps/search/?api=1&amp;query=-12.226602,-76.930275","Avenida Talara, Villa El Salvador, Lima")</f>
      </c>
      <c r="O88" t="str">
        <v>Salió de zona</v>
      </c>
      <c r="P88" t="str">
        <v/>
      </c>
      <c r="Q88">
        <v>135535.3</v>
      </c>
      <c r="R88" t="str">
        <v>1150-TALARA12NVES MS</v>
      </c>
      <c r="S88">
        <v>20.3</v>
      </c>
      <c r="T88">
        <v>0</v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>
        <v>98</v>
      </c>
      <c r="AC88" t="str">
        <v>01/10/2026</v>
      </c>
      <c r="AD88" t="str">
        <v>11:36:12</v>
      </c>
      <c r="AE88">
        <f>IF("ONLINE"="NOGPS","GPS Antiguo","En línea")</f>
      </c>
      <c r="AF88">
        <f>IF(0=0,"Sin atender", IF(0=1,"Atendida","Atendida y Reportada"))</f>
      </c>
      <c r="AG88" t="str">
        <v/>
      </c>
      <c r="AH88" t="str">
        <v/>
      </c>
      <c r="AI88" t="str">
        <v/>
      </c>
      <c r="AJ88" t="str">
        <v/>
      </c>
      <c r="AK88" t="str">
        <v>01/10/2026 11:36:19</v>
      </c>
      <c r="AL88" t="str">
        <v>11:36:19</v>
      </c>
      <c r="AM88" t="str">
        <v/>
      </c>
    </row>
    <row r="89">
      <c r="A89">
        <v>88</v>
      </c>
      <c r="B89" t="str">
        <v>MASS BSF</v>
      </c>
      <c r="C89" t="str">
        <v>F6V-794</v>
      </c>
      <c r="D89" t="str">
        <v>F6V-794</v>
      </c>
      <c r="E89" t="str">
        <v/>
      </c>
      <c r="F89" t="str">
        <v>865235053167082</v>
      </c>
      <c r="G89" t="str">
        <v>TBD</v>
      </c>
      <c r="H89" t="str">
        <v/>
      </c>
      <c r="I89" t="str">
        <v/>
      </c>
      <c r="J89" t="str">
        <v>01/10/2026</v>
      </c>
      <c r="K89" t="str">
        <v>11:37:56</v>
      </c>
      <c r="L89">
        <v>-12.22897</v>
      </c>
      <c r="M89">
        <v>-76.9281</v>
      </c>
      <c r="N89">
        <f>HYPERLINK("https://www.google.com/maps/search/?api=1&amp;query=-12.22897,-76.9281","Avenida 200 Millas, Villa El Salvador, Lima")</f>
      </c>
      <c r="O89" t="str">
        <v>Bache</v>
      </c>
      <c r="P89" t="str">
        <v/>
      </c>
      <c r="Q89">
        <v>135535.8</v>
      </c>
      <c r="R89" t="str">
        <v/>
      </c>
      <c r="S89">
        <v>9.6</v>
      </c>
      <c r="T89">
        <v>0</v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>
        <v>100</v>
      </c>
      <c r="AC89" t="str">
        <v>01/10/2026</v>
      </c>
      <c r="AD89" t="str">
        <v>11:37:54</v>
      </c>
      <c r="AE89">
        <f>IF("ONLINE"="NOGPS","GPS Antiguo","En línea")</f>
      </c>
      <c r="AF89">
        <f>IF(0=0,"Sin atender", IF(0=1,"Atendida","Atendida y Reportada"))</f>
      </c>
      <c r="AG89" t="str">
        <v/>
      </c>
      <c r="AH89" t="str">
        <v/>
      </c>
      <c r="AI89" t="str">
        <v/>
      </c>
      <c r="AJ89" t="str">
        <v/>
      </c>
      <c r="AK89" t="str">
        <v>01/10/2026 11:38:05</v>
      </c>
      <c r="AL89" t="str">
        <v>11:38:05</v>
      </c>
      <c r="AM89" t="str">
        <v/>
      </c>
    </row>
    <row r="90">
      <c r="A90">
        <v>89</v>
      </c>
      <c r="B90" t="str">
        <v>MASS BSF</v>
      </c>
      <c r="C90" t="str">
        <v>F6V-794</v>
      </c>
      <c r="D90" t="str">
        <v>F6V-794</v>
      </c>
      <c r="E90" t="str">
        <v/>
      </c>
      <c r="F90" t="str">
        <v>865235053167082</v>
      </c>
      <c r="G90" t="str">
        <v>TBD</v>
      </c>
      <c r="H90" t="str">
        <v/>
      </c>
      <c r="I90" t="str">
        <v/>
      </c>
      <c r="J90" t="str">
        <v>01/10/2026</v>
      </c>
      <c r="K90" t="str">
        <v>11:42:12</v>
      </c>
      <c r="L90">
        <v>-12.22869</v>
      </c>
      <c r="M90">
        <v>-76.93912</v>
      </c>
      <c r="N90">
        <f>HYPERLINK("https://www.google.com/maps/search/?api=1&amp;query=-12.22869,-76.93912","Avenida Mariano Pastor Sevilla, Villa El Salvador, Lima")</f>
      </c>
      <c r="O90" t="str">
        <v>Bache</v>
      </c>
      <c r="P90" t="str">
        <v/>
      </c>
      <c r="Q90">
        <v>135537.5</v>
      </c>
      <c r="R90" t="str">
        <v/>
      </c>
      <c r="S90">
        <v>9.8</v>
      </c>
      <c r="T90">
        <v>0</v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>
        <v>98</v>
      </c>
      <c r="AC90" t="str">
        <v>01/10/2026</v>
      </c>
      <c r="AD90" t="str">
        <v>11:42:10</v>
      </c>
      <c r="AE90">
        <f>IF("ONLINE"="NOGPS","GPS Antiguo","En línea")</f>
      </c>
      <c r="AF90">
        <f>IF(0=0,"Sin atender", IF(0=1,"Atendida","Atendida y Reportada"))</f>
      </c>
      <c r="AG90" t="str">
        <v/>
      </c>
      <c r="AH90" t="str">
        <v/>
      </c>
      <c r="AI90" t="str">
        <v/>
      </c>
      <c r="AJ90" t="str">
        <v/>
      </c>
      <c r="AK90" t="str">
        <v>01/10/2026 11:42:30</v>
      </c>
      <c r="AL90" t="str">
        <v>11:42:30</v>
      </c>
      <c r="AM90" t="str">
        <v/>
      </c>
    </row>
    <row r="91">
      <c r="A91">
        <v>90</v>
      </c>
      <c r="B91" t="str">
        <v>MASS BSF</v>
      </c>
      <c r="C91" t="str">
        <v>F6V-794</v>
      </c>
      <c r="D91" t="str">
        <v>F6V-794</v>
      </c>
      <c r="E91" t="str">
        <v/>
      </c>
      <c r="F91" t="str">
        <v>865235053167082</v>
      </c>
      <c r="G91" t="str">
        <v>TBD</v>
      </c>
      <c r="H91" t="str">
        <v/>
      </c>
      <c r="I91" t="str">
        <v/>
      </c>
      <c r="J91" t="str">
        <v>01/10/2026</v>
      </c>
      <c r="K91" t="str">
        <v>11:44:16</v>
      </c>
      <c r="L91">
        <v>-12.227857</v>
      </c>
      <c r="M91">
        <v>-76.944565</v>
      </c>
      <c r="N91">
        <f>HYPERLINK("https://www.google.com/maps/search/?api=1&amp;query=-12.227857,-76.944565","Avenida José Carlos Mariátegui, Villa El Salvador, Lima")</f>
      </c>
      <c r="O91" t="str">
        <v>Bache</v>
      </c>
      <c r="P91" t="str">
        <v/>
      </c>
      <c r="Q91">
        <v>135538.4</v>
      </c>
      <c r="R91" t="str">
        <v/>
      </c>
      <c r="S91">
        <v>6.4</v>
      </c>
      <c r="T91">
        <v>0</v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>
        <v>100</v>
      </c>
      <c r="AC91" t="str">
        <v>01/10/2026</v>
      </c>
      <c r="AD91" t="str">
        <v>11:44:15</v>
      </c>
      <c r="AE91">
        <f>IF("ONLINE"="NOGPS","GPS Antiguo","En línea")</f>
      </c>
      <c r="AF91">
        <f>IF(0=0,"Sin atender", IF(0=1,"Atendida","Atendida y Reportada"))</f>
      </c>
      <c r="AG91" t="str">
        <v/>
      </c>
      <c r="AH91" t="str">
        <v/>
      </c>
      <c r="AI91" t="str">
        <v/>
      </c>
      <c r="AJ91" t="str">
        <v/>
      </c>
      <c r="AK91" t="str">
        <v>01/10/2026 11:44:33</v>
      </c>
      <c r="AL91" t="str">
        <v>11:44:33</v>
      </c>
      <c r="AM91" t="str">
        <v/>
      </c>
    </row>
    <row r="92">
      <c r="A92">
        <v>91</v>
      </c>
      <c r="B92" t="str">
        <v>MASS BSF</v>
      </c>
      <c r="C92" t="str">
        <v>F6V-794</v>
      </c>
      <c r="D92" t="str">
        <v>F6V-794</v>
      </c>
      <c r="E92" t="str">
        <v/>
      </c>
      <c r="F92" t="str">
        <v>865235053167082</v>
      </c>
      <c r="G92" t="str">
        <v>TBD</v>
      </c>
      <c r="H92" t="str">
        <v/>
      </c>
      <c r="I92" t="str">
        <v/>
      </c>
      <c r="J92" t="str">
        <v>01/10/2026</v>
      </c>
      <c r="K92" t="str">
        <v>11:45:47</v>
      </c>
      <c r="L92">
        <v>-12.224042</v>
      </c>
      <c r="M92">
        <v>-76.94722</v>
      </c>
      <c r="N92">
        <f>HYPERLINK("https://www.google.com/maps/search/?api=1&amp;query=-12.224042,-76.94722","Avenida María Elena Moyano, Villa El Salvador, Lima")</f>
      </c>
      <c r="O92" t="str">
        <v>Bache</v>
      </c>
      <c r="P92" t="str">
        <v/>
      </c>
      <c r="Q92">
        <v>135538.9</v>
      </c>
      <c r="R92" t="str">
        <v/>
      </c>
      <c r="S92">
        <v>9</v>
      </c>
      <c r="T92">
        <v>0</v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>
        <v>100</v>
      </c>
      <c r="AC92" t="str">
        <v>01/10/2026</v>
      </c>
      <c r="AD92" t="str">
        <v>11:45:46</v>
      </c>
      <c r="AE92">
        <f>IF("ONLINE"="NOGPS","GPS Antiguo","En línea")</f>
      </c>
      <c r="AF92">
        <f>IF(0=0,"Sin atender", IF(0=1,"Atendida","Atendida y Reportada"))</f>
      </c>
      <c r="AG92" t="str">
        <v/>
      </c>
      <c r="AH92" t="str">
        <v/>
      </c>
      <c r="AI92" t="str">
        <v/>
      </c>
      <c r="AJ92" t="str">
        <v/>
      </c>
      <c r="AK92" t="str">
        <v>01/10/2026 11:45:55</v>
      </c>
      <c r="AL92" t="str">
        <v>11:45:55</v>
      </c>
      <c r="AM92" t="str">
        <v/>
      </c>
    </row>
    <row r="93">
      <c r="A93">
        <v>92</v>
      </c>
      <c r="B93" t="str">
        <v>MASS BSF</v>
      </c>
      <c r="C93" t="str">
        <v>F6V-794</v>
      </c>
      <c r="D93" t="str">
        <v>F6V-794</v>
      </c>
      <c r="E93" t="str">
        <v/>
      </c>
      <c r="F93" t="str">
        <v>865235053167082</v>
      </c>
      <c r="G93" t="str">
        <v>TBD</v>
      </c>
      <c r="H93" t="str">
        <v/>
      </c>
      <c r="I93" t="str">
        <v xml:space="preserve"> </v>
      </c>
      <c r="J93" t="str">
        <v>01/10/2026</v>
      </c>
      <c r="K93" t="str">
        <v>11:47:37</v>
      </c>
      <c r="L93">
        <v>-12.217983</v>
      </c>
      <c r="M93">
        <v>-76.95088</v>
      </c>
      <c r="N93">
        <f>HYPERLINK("https://www.google.com/maps/search/?api=1&amp;query=-12.217983,-76.95088","Avenida María Elena Moyano, Villa El Salvador, Lima")</f>
      </c>
      <c r="O93" t="str">
        <v>Llegó a la zona</v>
      </c>
      <c r="P93" t="str">
        <v/>
      </c>
      <c r="Q93">
        <v>135539.7</v>
      </c>
      <c r="R93" t="str">
        <v>1063-CHAVEZ 1F VES MS</v>
      </c>
      <c r="S93">
        <v>17.7</v>
      </c>
      <c r="T93">
        <v>0</v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>
        <v>100</v>
      </c>
      <c r="AC93" t="str">
        <v>01/10/2026</v>
      </c>
      <c r="AD93" t="str">
        <v>11:47:36</v>
      </c>
      <c r="AE93">
        <f>IF("ONLINE"="NOGPS","GPS Antiguo","En línea")</f>
      </c>
      <c r="AF93">
        <f>IF(0=0,"Sin atender", IF(0=1,"Atendida","Atendida y Reportada"))</f>
      </c>
      <c r="AG93" t="str">
        <v/>
      </c>
      <c r="AH93" t="str">
        <v/>
      </c>
      <c r="AI93" t="str">
        <v/>
      </c>
      <c r="AJ93" t="str">
        <v/>
      </c>
      <c r="AK93" t="str">
        <v>01/10/2026 11:47:51</v>
      </c>
      <c r="AL93" t="str">
        <v>11:47:51</v>
      </c>
      <c r="AM93" t="str">
        <v/>
      </c>
    </row>
    <row r="94">
      <c r="A94">
        <v>93</v>
      </c>
      <c r="B94" t="str">
        <v>MASS BSF</v>
      </c>
      <c r="C94" t="str">
        <v>F6V-794</v>
      </c>
      <c r="D94" t="str">
        <v>F6V-794</v>
      </c>
      <c r="E94" t="str">
        <v/>
      </c>
      <c r="F94" t="str">
        <v>865235053167082</v>
      </c>
      <c r="G94" t="str">
        <v>TBD</v>
      </c>
      <c r="H94" t="str">
        <v/>
      </c>
      <c r="I94" t="str">
        <v/>
      </c>
      <c r="J94" t="str">
        <v>01/10/2026</v>
      </c>
      <c r="K94" t="str">
        <v>11:49:33</v>
      </c>
      <c r="L94">
        <v>-12.217805</v>
      </c>
      <c r="M94">
        <v>-76.95092</v>
      </c>
      <c r="N94">
        <f>HYPERLINK("https://www.google.com/maps/search/?api=1&amp;query=-12.217805,-76.95092","Avenida María Elena Moyano, Villa El Salvador, Lima")</f>
      </c>
      <c r="O94" t="str">
        <v>Vehículo apagado</v>
      </c>
      <c r="P94" t="str">
        <v>Vehículo Apagado</v>
      </c>
      <c r="Q94">
        <v>135539.7</v>
      </c>
      <c r="R94" t="str">
        <v/>
      </c>
      <c r="S94">
        <v>0</v>
      </c>
      <c r="T94">
        <v>0</v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>
        <v>100</v>
      </c>
      <c r="AC94" t="str">
        <v>01/10/2026</v>
      </c>
      <c r="AD94" t="str">
        <v>11:49:31</v>
      </c>
      <c r="AE94">
        <f>IF("ONLINE"="NOGPS","GPS Antiguo","En línea")</f>
      </c>
      <c r="AF94">
        <f>IF(0=0,"Sin atender", IF(0=1,"Atendida","Atendida y Reportada"))</f>
      </c>
      <c r="AG94" t="str">
        <v/>
      </c>
      <c r="AH94" t="str">
        <v/>
      </c>
      <c r="AI94" t="str">
        <v/>
      </c>
      <c r="AJ94" t="str">
        <v/>
      </c>
      <c r="AK94" t="str">
        <v>01/10/2026 11:49:52</v>
      </c>
      <c r="AL94" t="str">
        <v>11:49:52</v>
      </c>
      <c r="AM94" t="str">
        <v/>
      </c>
    </row>
    <row r="95">
      <c r="A95">
        <v>94</v>
      </c>
      <c r="B95" t="str">
        <v>MASS BSF</v>
      </c>
      <c r="C95" t="str">
        <v>F6V-794</v>
      </c>
      <c r="D95" t="str">
        <v>F6V-794</v>
      </c>
      <c r="E95" t="str">
        <v/>
      </c>
      <c r="F95" t="str">
        <v>865235053167082</v>
      </c>
      <c r="G95" t="str">
        <v>TBD</v>
      </c>
      <c r="H95" t="str">
        <v/>
      </c>
      <c r="I95" t="str">
        <v/>
      </c>
      <c r="J95" t="str">
        <v>01/10/2026</v>
      </c>
      <c r="K95" t="str">
        <v>11:55:03</v>
      </c>
      <c r="L95">
        <v>-12.217805</v>
      </c>
      <c r="M95">
        <v>-76.95092</v>
      </c>
      <c r="N95">
        <f>HYPERLINK("https://www.google.com/maps/search/?api=1&amp;query=-12.217805,-76.95092","Avenida María Elena Moyano, Villa El Salvador, Lima")</f>
      </c>
      <c r="O95" t="str">
        <v>Se detuvo</v>
      </c>
      <c r="P95" t="str">
        <v>Unidad se detuvo</v>
      </c>
      <c r="Q95">
        <v>135539.7</v>
      </c>
      <c r="R95" t="str">
        <v/>
      </c>
      <c r="S95">
        <v>0</v>
      </c>
      <c r="T95">
        <v>0</v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>
        <v>100</v>
      </c>
      <c r="AC95" t="str">
        <v>01/10/2026</v>
      </c>
      <c r="AD95" t="str">
        <v>11:55:01</v>
      </c>
      <c r="AE95">
        <f>IF("ONLINE"="NOGPS","GPS Antiguo","En línea")</f>
      </c>
      <c r="AF95">
        <f>IF(0=0,"Sin atender", IF(0=1,"Atendida","Atendida y Reportada"))</f>
      </c>
      <c r="AG95" t="str">
        <v/>
      </c>
      <c r="AH95" t="str">
        <v/>
      </c>
      <c r="AI95" t="str">
        <v/>
      </c>
      <c r="AJ95" t="str">
        <v/>
      </c>
      <c r="AK95" t="str">
        <v>01/10/2026 11:55:10</v>
      </c>
      <c r="AL95" t="str">
        <v>11:55:10</v>
      </c>
      <c r="AM95" t="str">
        <v/>
      </c>
    </row>
    <row r="96">
      <c r="A96">
        <v>95</v>
      </c>
      <c r="B96" t="str">
        <v>MASS BSF</v>
      </c>
      <c r="C96" t="str">
        <v>F6V-794</v>
      </c>
      <c r="D96" t="str">
        <v>F6V-794</v>
      </c>
      <c r="E96" t="str">
        <v/>
      </c>
      <c r="F96" t="str">
        <v>865235053167082</v>
      </c>
      <c r="G96" t="str">
        <v>TBD</v>
      </c>
      <c r="H96" t="str">
        <v/>
      </c>
      <c r="I96" t="str">
        <v/>
      </c>
      <c r="J96" t="str">
        <v>01/10/2026</v>
      </c>
      <c r="K96" t="str">
        <v>12:12:11</v>
      </c>
      <c r="L96">
        <v>-12.217805</v>
      </c>
      <c r="M96">
        <v>-76.95092</v>
      </c>
      <c r="N96">
        <f>HYPERLINK("https://www.google.com/maps/search/?api=1&amp;query=-12.217805,-76.95092","Avenida María Elena Moyano, Villa El Salvador, Lima")</f>
      </c>
      <c r="O96" t="str">
        <v>Vehículo encendido</v>
      </c>
      <c r="P96" t="str">
        <v/>
      </c>
      <c r="Q96">
        <v>135539.7</v>
      </c>
      <c r="R96" t="str">
        <v/>
      </c>
      <c r="S96">
        <v>0</v>
      </c>
      <c r="T96">
        <v>0</v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>
        <v>100</v>
      </c>
      <c r="AC96" t="str">
        <v>01/10/2026</v>
      </c>
      <c r="AD96" t="str">
        <v>12:12:09</v>
      </c>
      <c r="AE96">
        <f>IF("ONLINE"="NOGPS","GPS Antiguo","En línea")</f>
      </c>
      <c r="AF96">
        <f>IF(0=0,"Sin atender", IF(0=1,"Atendida","Atendida y Reportada"))</f>
      </c>
      <c r="AG96" t="str">
        <v/>
      </c>
      <c r="AH96" t="str">
        <v/>
      </c>
      <c r="AI96" t="str">
        <v/>
      </c>
      <c r="AJ96" t="str">
        <v/>
      </c>
      <c r="AK96" t="str">
        <v>01/10/2026 12:12:27</v>
      </c>
      <c r="AL96" t="str">
        <v>12:12:27</v>
      </c>
      <c r="AM96" t="str">
        <v/>
      </c>
    </row>
    <row r="97">
      <c r="A97">
        <v>96</v>
      </c>
      <c r="B97" t="str">
        <v>MASS BSF</v>
      </c>
      <c r="C97" t="str">
        <v>F6V-794</v>
      </c>
      <c r="D97" t="str">
        <v>F6V-794</v>
      </c>
      <c r="E97" t="str">
        <v/>
      </c>
      <c r="F97" t="str">
        <v>865235053167082</v>
      </c>
      <c r="G97" t="str">
        <v>TBD</v>
      </c>
      <c r="H97" t="str">
        <v/>
      </c>
      <c r="I97" t="str">
        <v xml:space="preserve"> </v>
      </c>
      <c r="J97" t="str">
        <v>01/10/2026</v>
      </c>
      <c r="K97" t="str">
        <v>12:13:16</v>
      </c>
      <c r="L97">
        <v>-12.215695</v>
      </c>
      <c r="M97">
        <v>-76.95225</v>
      </c>
      <c r="N97">
        <f>HYPERLINK("https://www.google.com/maps/search/?api=1&amp;query=-12.215695,-76.95225","Avenida María Elena Moyano, Villa El Salvador, Lima")</f>
      </c>
      <c r="O97" t="str">
        <v>Salió de zona</v>
      </c>
      <c r="P97" t="str">
        <v/>
      </c>
      <c r="Q97">
        <v>135540</v>
      </c>
      <c r="R97" t="str">
        <v>1063-CHAVEZ 1F VES MS</v>
      </c>
      <c r="S97">
        <v>15.5</v>
      </c>
      <c r="T97">
        <v>0</v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>
        <v>98</v>
      </c>
      <c r="AC97" t="str">
        <v>01/10/2026</v>
      </c>
      <c r="AD97" t="str">
        <v>12:13:15</v>
      </c>
      <c r="AE97">
        <f>IF("ONLINE"="NOGPS","GPS Antiguo","En línea")</f>
      </c>
      <c r="AF97">
        <f>IF(0=0,"Sin atender", IF(0=1,"Atendida","Atendida y Reportada"))</f>
      </c>
      <c r="AG97" t="str">
        <v/>
      </c>
      <c r="AH97" t="str">
        <v/>
      </c>
      <c r="AI97" t="str">
        <v/>
      </c>
      <c r="AJ97" t="str">
        <v/>
      </c>
      <c r="AK97" t="str">
        <v>01/10/2026 12:13:30</v>
      </c>
      <c r="AL97" t="str">
        <v>12:13:30</v>
      </c>
      <c r="AM97" t="str">
        <v/>
      </c>
    </row>
    <row r="98">
      <c r="A98">
        <v>97</v>
      </c>
      <c r="B98" t="str">
        <v>MASS BSF</v>
      </c>
      <c r="C98" t="str">
        <v>F6V-794</v>
      </c>
      <c r="D98" t="str">
        <v>F6V-794</v>
      </c>
      <c r="E98" t="str">
        <v/>
      </c>
      <c r="F98" t="str">
        <v>865235053167082</v>
      </c>
      <c r="G98" t="str">
        <v>TBD</v>
      </c>
      <c r="H98" t="str">
        <v/>
      </c>
      <c r="I98" t="str">
        <v/>
      </c>
      <c r="J98" t="str">
        <v>01/10/2026</v>
      </c>
      <c r="K98" t="str">
        <v>12:13:42</v>
      </c>
      <c r="L98">
        <v>-12.215067</v>
      </c>
      <c r="M98">
        <v>-76.951195</v>
      </c>
      <c r="N98">
        <f>HYPERLINK("https://www.google.com/maps/search/?api=1&amp;query=-12.215067,-76.951195","Avenida Juan Velasco Alvarado, Villa El Salvador, Lima")</f>
      </c>
      <c r="O98" t="str">
        <v>Bache</v>
      </c>
      <c r="P98" t="str">
        <v/>
      </c>
      <c r="Q98">
        <v>135540.1</v>
      </c>
      <c r="R98" t="str">
        <v/>
      </c>
      <c r="S98">
        <v>6.8</v>
      </c>
      <c r="T98">
        <v>0</v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>
        <v>98</v>
      </c>
      <c r="AC98" t="str">
        <v>01/10/2026</v>
      </c>
      <c r="AD98" t="str">
        <v>12:13:40</v>
      </c>
      <c r="AE98">
        <f>IF("ONLINE"="NOGPS","GPS Antiguo","En línea")</f>
      </c>
      <c r="AF98">
        <f>IF(0=0,"Sin atender", IF(0=1,"Atendida","Atendida y Reportada"))</f>
      </c>
      <c r="AG98" t="str">
        <v/>
      </c>
      <c r="AH98" t="str">
        <v/>
      </c>
      <c r="AI98" t="str">
        <v/>
      </c>
      <c r="AJ98" t="str">
        <v/>
      </c>
      <c r="AK98" t="str">
        <v>01/10/2026 12:13:49</v>
      </c>
      <c r="AL98" t="str">
        <v>12:13:49</v>
      </c>
      <c r="AM98" t="str">
        <v/>
      </c>
    </row>
    <row r="99">
      <c r="A99">
        <v>98</v>
      </c>
      <c r="B99" t="str">
        <v>MASS BSF</v>
      </c>
      <c r="C99" t="str">
        <v>F6V-794</v>
      </c>
      <c r="D99" t="str">
        <v>F6V-794</v>
      </c>
      <c r="E99" t="str">
        <v/>
      </c>
      <c r="F99" t="str">
        <v>865235053167082</v>
      </c>
      <c r="G99" t="str">
        <v>TBD</v>
      </c>
      <c r="H99" t="str">
        <v/>
      </c>
      <c r="I99" t="str">
        <v/>
      </c>
      <c r="J99" t="str">
        <v>01/10/2026</v>
      </c>
      <c r="K99" t="str">
        <v>12:15:41</v>
      </c>
      <c r="L99">
        <v>-12.21326</v>
      </c>
      <c r="M99">
        <v>-76.94812</v>
      </c>
      <c r="N99">
        <f>HYPERLINK("https://www.google.com/maps/search/?api=1&amp;query=-12.21326,-76.94812","Avenida Juan Velasco Alvarado, Villa El Salvador, Lima")</f>
      </c>
      <c r="O99" t="str">
        <v>Bache</v>
      </c>
      <c r="P99" t="str">
        <v/>
      </c>
      <c r="Q99">
        <v>135540.5</v>
      </c>
      <c r="R99" t="str">
        <v/>
      </c>
      <c r="S99">
        <v>13.5</v>
      </c>
      <c r="T99">
        <v>0</v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>
        <v>98</v>
      </c>
      <c r="AC99" t="str">
        <v>01/10/2026</v>
      </c>
      <c r="AD99" t="str">
        <v>12:15:39</v>
      </c>
      <c r="AE99">
        <f>IF("ONLINE"="NOGPS","GPS Antiguo","En línea")</f>
      </c>
      <c r="AF99">
        <f>IF(0=0,"Sin atender", IF(0=1,"Atendida","Atendida y Reportada"))</f>
      </c>
      <c r="AG99" t="str">
        <v/>
      </c>
      <c r="AH99" t="str">
        <v/>
      </c>
      <c r="AI99" t="str">
        <v/>
      </c>
      <c r="AJ99" t="str">
        <v/>
      </c>
      <c r="AK99" t="str">
        <v>01/10/2026 12:15:49</v>
      </c>
      <c r="AL99" t="str">
        <v>12:15:49</v>
      </c>
      <c r="AM99" t="str">
        <v/>
      </c>
    </row>
    <row r="100">
      <c r="A100">
        <v>99</v>
      </c>
      <c r="B100" t="str">
        <v>MASS BSF</v>
      </c>
      <c r="C100" t="str">
        <v>F6V-794</v>
      </c>
      <c r="D100" t="str">
        <v>F6V-794</v>
      </c>
      <c r="E100" t="str">
        <v/>
      </c>
      <c r="F100" t="str">
        <v>865235053167082</v>
      </c>
      <c r="G100" t="str">
        <v>TBD</v>
      </c>
      <c r="H100" t="str">
        <v/>
      </c>
      <c r="I100" t="str">
        <v/>
      </c>
      <c r="J100" t="str">
        <v>01/10/2026</v>
      </c>
      <c r="K100" t="str">
        <v>12:21:46</v>
      </c>
      <c r="L100">
        <v>-12.210665</v>
      </c>
      <c r="M100">
        <v>-76.93838</v>
      </c>
      <c r="N100">
        <f>HYPERLINK("https://www.google.com/maps/search/?api=1&amp;query=-12.210665,-76.93838","Avenida Revolución, Villa El Salvador, Lima")</f>
      </c>
      <c r="O100" t="str">
        <v>Aceleración brusca</v>
      </c>
      <c r="P100" t="str">
        <v>CMT-910</v>
      </c>
      <c r="Q100">
        <v>135541.8</v>
      </c>
      <c r="R100" t="str">
        <v/>
      </c>
      <c r="S100">
        <v>17.4</v>
      </c>
      <c r="T100">
        <v>0</v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>
        <v>100</v>
      </c>
      <c r="AC100" t="str">
        <v>01/10/2026</v>
      </c>
      <c r="AD100" t="str">
        <v>12:21:44</v>
      </c>
      <c r="AE100">
        <f>IF("ONLINE"="NOGPS","GPS Antiguo","En línea")</f>
      </c>
      <c r="AF100">
        <f>IF(0=0,"Sin atender", IF(0=1,"Atendida","Atendida y Reportada"))</f>
      </c>
      <c r="AG100" t="str">
        <v/>
      </c>
      <c r="AH100" t="str">
        <v/>
      </c>
      <c r="AI100" t="str">
        <v/>
      </c>
      <c r="AJ100" t="str">
        <v/>
      </c>
      <c r="AK100" t="str">
        <v>01/10/2026 12:22:08</v>
      </c>
      <c r="AL100" t="str">
        <v>12:22:08</v>
      </c>
      <c r="AM100" t="str">
        <v/>
      </c>
    </row>
    <row r="101">
      <c r="A101">
        <v>100</v>
      </c>
      <c r="B101" t="str">
        <v>MASS BSF</v>
      </c>
      <c r="C101" t="str">
        <v>F6V-794</v>
      </c>
      <c r="D101" t="str">
        <v>F6V-794</v>
      </c>
      <c r="E101" t="str">
        <v/>
      </c>
      <c r="F101" t="str">
        <v>865235053167082</v>
      </c>
      <c r="G101" t="str">
        <v>TBD</v>
      </c>
      <c r="H101" t="str">
        <v/>
      </c>
      <c r="I101" t="str">
        <v/>
      </c>
      <c r="J101" t="str">
        <v>01/10/2026</v>
      </c>
      <c r="K101" t="str">
        <v>12:21:48</v>
      </c>
      <c r="L101">
        <v>-12.210733</v>
      </c>
      <c r="M101">
        <v>-76.93833</v>
      </c>
      <c r="N101">
        <f>HYPERLINK("https://www.google.com/maps/search/?api=1&amp;query=-12.210733,-76.93833","Avenida Revolución, Villa El Salvador, Lima")</f>
      </c>
      <c r="O101" t="str">
        <v>Bache</v>
      </c>
      <c r="P101" t="str">
        <v/>
      </c>
      <c r="Q101">
        <v>135541.8</v>
      </c>
      <c r="R101" t="str">
        <v/>
      </c>
      <c r="S101">
        <v>8.5</v>
      </c>
      <c r="T101">
        <v>0</v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>
        <v>100</v>
      </c>
      <c r="AC101" t="str">
        <v>01/10/2026</v>
      </c>
      <c r="AD101" t="str">
        <v>12:21:47</v>
      </c>
      <c r="AE101">
        <f>IF("ONLINE"="NOGPS","GPS Antiguo","En línea")</f>
      </c>
      <c r="AF101">
        <f>IF(0=0,"Sin atender", IF(0=1,"Atendida","Atendida y Reportada"))</f>
      </c>
      <c r="AG101" t="str">
        <v/>
      </c>
      <c r="AH101" t="str">
        <v/>
      </c>
      <c r="AI101" t="str">
        <v/>
      </c>
      <c r="AJ101" t="str">
        <v/>
      </c>
      <c r="AK101" t="str">
        <v>01/10/2026 12:22:07</v>
      </c>
      <c r="AL101" t="str">
        <v>12:22:07</v>
      </c>
      <c r="AM101" t="str">
        <v/>
      </c>
    </row>
    <row r="102">
      <c r="A102">
        <v>101</v>
      </c>
      <c r="B102" t="str">
        <v>MASS BSF</v>
      </c>
      <c r="C102" t="str">
        <v>F6V-794</v>
      </c>
      <c r="D102" t="str">
        <v>F6V-794</v>
      </c>
      <c r="E102" t="str">
        <v/>
      </c>
      <c r="F102" t="str">
        <v>865235053167082</v>
      </c>
      <c r="G102" t="str">
        <v>TBD</v>
      </c>
      <c r="H102" t="str">
        <v/>
      </c>
      <c r="I102" t="str">
        <v/>
      </c>
      <c r="J102" t="str">
        <v>01/10/2026</v>
      </c>
      <c r="K102" t="str">
        <v>12:22:16</v>
      </c>
      <c r="L102">
        <v>-12.211895</v>
      </c>
      <c r="M102">
        <v>-76.937645</v>
      </c>
      <c r="N102">
        <f>HYPERLINK("https://www.google.com/maps/search/?api=1&amp;query=-12.211895,-76.937645","Avenida Revolución, Villa El Salvador, Lima")</f>
      </c>
      <c r="O102" t="str">
        <v>Aceleración brusca</v>
      </c>
      <c r="P102" t="str">
        <v>CMT-910</v>
      </c>
      <c r="Q102">
        <v>135542</v>
      </c>
      <c r="R102" t="str">
        <v/>
      </c>
      <c r="S102">
        <v>13.1</v>
      </c>
      <c r="T102">
        <v>0</v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>
        <v>100</v>
      </c>
      <c r="AC102" t="str">
        <v>01/10/2026</v>
      </c>
      <c r="AD102" t="str">
        <v>12:22:14</v>
      </c>
      <c r="AE102">
        <f>IF("ONLINE"="NOGPS","GPS Antiguo","En línea")</f>
      </c>
      <c r="AF102">
        <f>IF(0=0,"Sin atender", IF(0=1,"Atendida","Atendida y Reportada"))</f>
      </c>
      <c r="AG102" t="str">
        <v/>
      </c>
      <c r="AH102" t="str">
        <v/>
      </c>
      <c r="AI102" t="str">
        <v/>
      </c>
      <c r="AJ102" t="str">
        <v/>
      </c>
      <c r="AK102" t="str">
        <v>01/10/2026 12:22:29</v>
      </c>
      <c r="AL102" t="str">
        <v>12:22:29</v>
      </c>
      <c r="AM102" t="str">
        <v/>
      </c>
    </row>
    <row r="103">
      <c r="A103">
        <v>102</v>
      </c>
      <c r="B103" t="str">
        <v>MASS BSF</v>
      </c>
      <c r="C103" t="str">
        <v>F6V-794</v>
      </c>
      <c r="D103" t="str">
        <v>F6V-794</v>
      </c>
      <c r="E103" t="str">
        <v/>
      </c>
      <c r="F103" t="str">
        <v>865235053167082</v>
      </c>
      <c r="G103" t="str">
        <v>TBD</v>
      </c>
      <c r="H103" t="str">
        <v/>
      </c>
      <c r="I103" t="str">
        <v/>
      </c>
      <c r="J103" t="str">
        <v>01/10/2026</v>
      </c>
      <c r="K103" t="str">
        <v>12:22:57</v>
      </c>
      <c r="L103">
        <v>-12.213015</v>
      </c>
      <c r="M103">
        <v>-76.93699</v>
      </c>
      <c r="N103">
        <f>HYPERLINK("https://www.google.com/maps/search/?api=1&amp;query=-12.213015,-76.93699","Avenida Revolución, Villa El Salvador, Lima")</f>
      </c>
      <c r="O103" t="str">
        <v>Vehículo apagado</v>
      </c>
      <c r="P103" t="str">
        <v>Vehículo Apagado</v>
      </c>
      <c r="Q103">
        <v>135542.1</v>
      </c>
      <c r="R103" t="str">
        <v/>
      </c>
      <c r="S103">
        <v>0</v>
      </c>
      <c r="T103">
        <v>0</v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>
        <v>98</v>
      </c>
      <c r="AC103" t="str">
        <v>01/10/2026</v>
      </c>
      <c r="AD103" t="str">
        <v>12:22:55</v>
      </c>
      <c r="AE103">
        <f>IF("ONLINE"="NOGPS","GPS Antiguo","En línea")</f>
      </c>
      <c r="AF103">
        <f>IF(0=0,"Sin atender", IF(0=1,"Atendida","Atendida y Reportada"))</f>
      </c>
      <c r="AG103" t="str">
        <v/>
      </c>
      <c r="AH103" t="str">
        <v/>
      </c>
      <c r="AI103" t="str">
        <v/>
      </c>
      <c r="AJ103" t="str">
        <v/>
      </c>
      <c r="AK103" t="str">
        <v>01/10/2026 12:23:09</v>
      </c>
      <c r="AL103" t="str">
        <v>12:23:09</v>
      </c>
      <c r="AM103" t="str">
        <v/>
      </c>
    </row>
    <row r="104">
      <c r="A104">
        <v>103</v>
      </c>
      <c r="B104" t="str">
        <v>MASS BSF</v>
      </c>
      <c r="C104" t="str">
        <v>F6V-794</v>
      </c>
      <c r="D104" t="str">
        <v>F6V-794</v>
      </c>
      <c r="E104" t="str">
        <v/>
      </c>
      <c r="F104" t="str">
        <v>865235053167082</v>
      </c>
      <c r="G104" t="str">
        <v>TBD</v>
      </c>
      <c r="H104" t="str">
        <v/>
      </c>
      <c r="I104" t="str">
        <v/>
      </c>
      <c r="J104" t="str">
        <v>01/10/2026</v>
      </c>
      <c r="K104" t="str">
        <v>12:22:59</v>
      </c>
      <c r="L104">
        <v>-12.213015</v>
      </c>
      <c r="M104">
        <v>-76.93699</v>
      </c>
      <c r="N104">
        <f>HYPERLINK("https://www.google.com/maps/search/?api=1&amp;query=-12.213015,-76.93699","Avenida Revolución, Villa El Salvador, Lima")</f>
      </c>
      <c r="O104" t="str">
        <v>Vehículo encendido</v>
      </c>
      <c r="P104" t="str">
        <v/>
      </c>
      <c r="Q104">
        <v>135542.1</v>
      </c>
      <c r="R104" t="str">
        <v/>
      </c>
      <c r="S104">
        <v>0</v>
      </c>
      <c r="T104">
        <v>0</v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>
        <v>100</v>
      </c>
      <c r="AC104" t="str">
        <v>01/10/2026</v>
      </c>
      <c r="AD104" t="str">
        <v>12:22:57</v>
      </c>
      <c r="AE104">
        <f>IF("ONLINE"="NOGPS","GPS Antiguo","En línea")</f>
      </c>
      <c r="AF104">
        <f>IF(0=0,"Sin atender", IF(0=1,"Atendida","Atendida y Reportada"))</f>
      </c>
      <c r="AG104" t="str">
        <v/>
      </c>
      <c r="AH104" t="str">
        <v/>
      </c>
      <c r="AI104" t="str">
        <v/>
      </c>
      <c r="AJ104" t="str">
        <v/>
      </c>
      <c r="AK104" t="str">
        <v>01/10/2026 12:23:19</v>
      </c>
      <c r="AL104" t="str">
        <v>12:23:19</v>
      </c>
      <c r="AM104" t="str">
        <v/>
      </c>
    </row>
    <row r="105">
      <c r="A105">
        <v>104</v>
      </c>
      <c r="B105" t="str">
        <v>MASS BSF</v>
      </c>
      <c r="C105" t="str">
        <v>F6V-794</v>
      </c>
      <c r="D105" t="str">
        <v>F6V-794</v>
      </c>
      <c r="E105" t="str">
        <v/>
      </c>
      <c r="F105" t="str">
        <v>865235053167082</v>
      </c>
      <c r="G105" t="str">
        <v>TBD</v>
      </c>
      <c r="H105" t="str">
        <v/>
      </c>
      <c r="I105" t="str">
        <v/>
      </c>
      <c r="J105" t="str">
        <v>01/10/2026</v>
      </c>
      <c r="K105" t="str">
        <v>12:24:15</v>
      </c>
      <c r="L105">
        <v>-12.21346</v>
      </c>
      <c r="M105">
        <v>-76.937294</v>
      </c>
      <c r="N105">
        <f>HYPERLINK("https://www.google.com/maps/search/?api=1&amp;query=-12.21346,-76.937294","Avenida César Vallejo, Villa El Salvador, Lima")</f>
      </c>
      <c r="O105" t="str">
        <v>Vehículo apagado</v>
      </c>
      <c r="P105" t="str">
        <v>Vehículo Apagado</v>
      </c>
      <c r="Q105">
        <v>135542.2</v>
      </c>
      <c r="R105" t="str">
        <v/>
      </c>
      <c r="S105">
        <v>0</v>
      </c>
      <c r="T105">
        <v>0</v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>
        <v>100</v>
      </c>
      <c r="AC105" t="str">
        <v>01/10/2026</v>
      </c>
      <c r="AD105" t="str">
        <v>12:24:13</v>
      </c>
      <c r="AE105">
        <f>IF("ONLINE"="NOGPS","GPS Antiguo","En línea")</f>
      </c>
      <c r="AF105">
        <f>IF(0=0,"Sin atender", IF(0=1,"Atendida","Atendida y Reportada"))</f>
      </c>
      <c r="AG105" t="str">
        <v/>
      </c>
      <c r="AH105" t="str">
        <v/>
      </c>
      <c r="AI105" t="str">
        <v/>
      </c>
      <c r="AJ105" t="str">
        <v/>
      </c>
      <c r="AK105" t="str">
        <v>01/10/2026 12:24:29</v>
      </c>
      <c r="AL105" t="str">
        <v>12:24:29</v>
      </c>
      <c r="AM105" t="str">
        <v/>
      </c>
    </row>
    <row r="106">
      <c r="A106">
        <v>105</v>
      </c>
      <c r="B106" t="str">
        <v>MASS BSF</v>
      </c>
      <c r="C106" t="str">
        <v>F6V-794</v>
      </c>
      <c r="D106" t="str">
        <v>F6V-794</v>
      </c>
      <c r="E106" t="str">
        <v/>
      </c>
      <c r="F106" t="str">
        <v>865235053167082</v>
      </c>
      <c r="G106" t="str">
        <v>TBD</v>
      </c>
      <c r="H106" t="str">
        <v/>
      </c>
      <c r="I106" t="str">
        <v/>
      </c>
      <c r="J106" t="str">
        <v>01/10/2026</v>
      </c>
      <c r="K106" t="str">
        <v>12:32:08</v>
      </c>
      <c r="L106">
        <v>-12.21346</v>
      </c>
      <c r="M106">
        <v>-76.937294</v>
      </c>
      <c r="N106">
        <f>HYPERLINK("https://www.google.com/maps/search/?api=1&amp;query=-12.21346,-76.937294","Avenida César Vallejo, Villa El Salvador, Lima")</f>
      </c>
      <c r="O106" t="str">
        <v>Se detuvo</v>
      </c>
      <c r="P106" t="str">
        <v>Unidad se detuvo</v>
      </c>
      <c r="Q106">
        <v>135542.2</v>
      </c>
      <c r="R106" t="str">
        <v/>
      </c>
      <c r="S106">
        <v>0</v>
      </c>
      <c r="T106">
        <v>0</v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>
        <v>100</v>
      </c>
      <c r="AC106" t="str">
        <v>01/10/2026</v>
      </c>
      <c r="AD106" t="str">
        <v>12:32:06</v>
      </c>
      <c r="AE106">
        <f>IF("ONLINE"="NOGPS","GPS Antiguo","En línea")</f>
      </c>
      <c r="AF106">
        <f>IF(0=0,"Sin atender", IF(0=1,"Atendida","Atendida y Reportada"))</f>
      </c>
      <c r="AG106" t="str">
        <v/>
      </c>
      <c r="AH106" t="str">
        <v/>
      </c>
      <c r="AI106" t="str">
        <v/>
      </c>
      <c r="AJ106" t="str">
        <v/>
      </c>
      <c r="AK106" t="str">
        <v>01/10/2026 12:32:15</v>
      </c>
      <c r="AL106" t="str">
        <v>12:32:15</v>
      </c>
      <c r="AM106" t="str">
        <v/>
      </c>
    </row>
    <row r="107">
      <c r="A107">
        <v>106</v>
      </c>
      <c r="B107" t="str">
        <v>MASS BSF</v>
      </c>
      <c r="C107" t="str">
        <v>F6V-794</v>
      </c>
      <c r="D107" t="str">
        <v>F6V-794</v>
      </c>
      <c r="E107" t="str">
        <v/>
      </c>
      <c r="F107" t="str">
        <v>865235053167082</v>
      </c>
      <c r="G107" t="str">
        <v>TBD</v>
      </c>
      <c r="H107" t="str">
        <v/>
      </c>
      <c r="I107" t="str">
        <v/>
      </c>
      <c r="J107" t="str">
        <v>01/10/2026</v>
      </c>
      <c r="K107" t="str">
        <v>12:36:06</v>
      </c>
      <c r="L107">
        <v>-12.21346</v>
      </c>
      <c r="M107">
        <v>-76.937294</v>
      </c>
      <c r="N107">
        <f>HYPERLINK("https://www.google.com/maps/search/?api=1&amp;query=-12.21346,-76.937294","Avenida César Vallejo, Villa El Salvador, Lima")</f>
      </c>
      <c r="O107" t="str">
        <v>Vehículo encendido</v>
      </c>
      <c r="P107" t="str">
        <v/>
      </c>
      <c r="Q107">
        <v>135542.2</v>
      </c>
      <c r="R107" t="str">
        <v/>
      </c>
      <c r="S107">
        <v>0</v>
      </c>
      <c r="T107">
        <v>0</v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>
        <v>100</v>
      </c>
      <c r="AC107" t="str">
        <v>01/10/2026</v>
      </c>
      <c r="AD107" t="str">
        <v>12:36:04</v>
      </c>
      <c r="AE107">
        <f>IF("ONLINE"="NOGPS","GPS Antiguo","En línea")</f>
      </c>
      <c r="AF107">
        <f>IF(0=0,"Sin atender", IF(0=1,"Atendida","Atendida y Reportada"))</f>
      </c>
      <c r="AG107" t="str">
        <v/>
      </c>
      <c r="AH107" t="str">
        <v/>
      </c>
      <c r="AI107" t="str">
        <v/>
      </c>
      <c r="AJ107" t="str">
        <v/>
      </c>
      <c r="AK107" t="str">
        <v>01/10/2026 12:36:23</v>
      </c>
      <c r="AL107" t="str">
        <v>12:36:23</v>
      </c>
      <c r="AM107" t="str">
        <v/>
      </c>
    </row>
    <row r="108">
      <c r="A108">
        <v>107</v>
      </c>
      <c r="B108" t="str">
        <v>MASS BSF</v>
      </c>
      <c r="C108" t="str">
        <v>F6V-794</v>
      </c>
      <c r="D108" t="str">
        <v>F6V-794</v>
      </c>
      <c r="E108" t="str">
        <v/>
      </c>
      <c r="F108" t="str">
        <v>865235053167082</v>
      </c>
      <c r="G108" t="str">
        <v>TBD</v>
      </c>
      <c r="H108" t="str">
        <v/>
      </c>
      <c r="I108" t="str">
        <v xml:space="preserve"> </v>
      </c>
      <c r="J108" t="str">
        <v>01/10/2026</v>
      </c>
      <c r="K108" t="str">
        <v>12:41:30</v>
      </c>
      <c r="L108">
        <v>-12.221005</v>
      </c>
      <c r="M108">
        <v>-76.94412</v>
      </c>
      <c r="N108">
        <f>HYPERLINK("https://www.google.com/maps/search/?api=1&amp;query=-12.221005,-76.94412","Avenida Bolívar, Villa El Salvador, Lima")</f>
      </c>
      <c r="O108" t="str">
        <v>Llegó a la zona</v>
      </c>
      <c r="P108" t="str">
        <v/>
      </c>
      <c r="Q108">
        <v>135543.2</v>
      </c>
      <c r="R108" t="str">
        <v>343-PASTOR SEVILLA 1</v>
      </c>
      <c r="S108">
        <v>15.7</v>
      </c>
      <c r="T108">
        <v>0</v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>
        <v>100</v>
      </c>
      <c r="AC108" t="str">
        <v>01/10/2026</v>
      </c>
      <c r="AD108" t="str">
        <v>12:41:27</v>
      </c>
      <c r="AE108">
        <f>IF("ONLINE"="NOGPS","GPS Antiguo","En línea")</f>
      </c>
      <c r="AF108">
        <f>IF(0=0,"Sin atender", IF(0=1,"Atendida","Atendida y Reportada"))</f>
      </c>
      <c r="AG108" t="str">
        <v/>
      </c>
      <c r="AH108" t="str">
        <v/>
      </c>
      <c r="AI108" t="str">
        <v/>
      </c>
      <c r="AJ108" t="str">
        <v/>
      </c>
      <c r="AK108" t="str">
        <v>01/10/2026 12:41:39</v>
      </c>
      <c r="AL108" t="str">
        <v>12:41:39</v>
      </c>
      <c r="AM108" t="str">
        <v/>
      </c>
    </row>
    <row r="109">
      <c r="A109">
        <v>108</v>
      </c>
      <c r="B109" t="str">
        <v>MASS BSF</v>
      </c>
      <c r="C109" t="str">
        <v>F6V-794</v>
      </c>
      <c r="D109" t="str">
        <v>F6V-794</v>
      </c>
      <c r="E109" t="str">
        <v/>
      </c>
      <c r="F109" t="str">
        <v>865235053167082</v>
      </c>
      <c r="G109" t="str">
        <v>TBD</v>
      </c>
      <c r="H109" t="str">
        <v/>
      </c>
      <c r="I109" t="str">
        <v xml:space="preserve"> </v>
      </c>
      <c r="J109" t="str">
        <v>01/10/2026</v>
      </c>
      <c r="K109" t="str">
        <v>12:42:02</v>
      </c>
      <c r="L109">
        <v>-12.223534</v>
      </c>
      <c r="M109">
        <v>-76.94262</v>
      </c>
      <c r="N109">
        <f>HYPERLINK("https://www.google.com/maps/search/?api=1&amp;query=-12.223534,-76.94262","Avenida 3 de Octubre, Villa El Salvador, Lima")</f>
      </c>
      <c r="O109" t="str">
        <v>Salió de zona</v>
      </c>
      <c r="P109" t="str">
        <v/>
      </c>
      <c r="Q109">
        <v>135543.6</v>
      </c>
      <c r="R109" t="str">
        <v>343-PASTOR SEVILLA 1</v>
      </c>
      <c r="S109">
        <v>39.8</v>
      </c>
      <c r="T109">
        <v>0</v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>
        <v>100</v>
      </c>
      <c r="AC109" t="str">
        <v>01/10/2026</v>
      </c>
      <c r="AD109" t="str">
        <v>12:42:00</v>
      </c>
      <c r="AE109">
        <f>IF("ONLINE"="NOGPS","GPS Antiguo","En línea")</f>
      </c>
      <c r="AF109">
        <f>IF(0=0,"Sin atender", IF(0=1,"Atendida","Atendida y Reportada"))</f>
      </c>
      <c r="AG109" t="str">
        <v/>
      </c>
      <c r="AH109" t="str">
        <v/>
      </c>
      <c r="AI109" t="str">
        <v/>
      </c>
      <c r="AJ109" t="str">
        <v/>
      </c>
      <c r="AK109" t="str">
        <v>01/10/2026 12:42:14</v>
      </c>
      <c r="AL109" t="str">
        <v>12:42:14</v>
      </c>
      <c r="AM109" t="str">
        <v/>
      </c>
    </row>
    <row r="110">
      <c r="A110">
        <v>109</v>
      </c>
      <c r="B110" t="str">
        <v>MASS BSF</v>
      </c>
      <c r="C110" t="str">
        <v>F6V-794</v>
      </c>
      <c r="D110" t="str">
        <v>F6V-794</v>
      </c>
      <c r="E110" t="str">
        <v/>
      </c>
      <c r="F110" t="str">
        <v>865235053167082</v>
      </c>
      <c r="G110" t="str">
        <v>TBD</v>
      </c>
      <c r="H110" t="str">
        <v/>
      </c>
      <c r="I110" t="str">
        <v/>
      </c>
      <c r="J110" t="str">
        <v>01/10/2026</v>
      </c>
      <c r="K110" t="str">
        <v>12:42:02</v>
      </c>
      <c r="L110">
        <v>-12.223534</v>
      </c>
      <c r="M110">
        <v>-76.94262</v>
      </c>
      <c r="N110">
        <f>HYPERLINK("https://www.google.com/maps/search/?api=1&amp;query=-12.223534,-76.94262","Avenida 3 de Octubre, Villa El Salvador, Lima")</f>
      </c>
      <c r="O110" t="str">
        <v>Bache</v>
      </c>
      <c r="P110" t="str">
        <v/>
      </c>
      <c r="Q110">
        <v>135543.9</v>
      </c>
      <c r="R110" t="str">
        <v/>
      </c>
      <c r="S110">
        <v>39.8</v>
      </c>
      <c r="T110">
        <v>0</v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>
        <v>100</v>
      </c>
      <c r="AC110" t="str">
        <v>01/10/2026</v>
      </c>
      <c r="AD110" t="str">
        <v>12:42:00</v>
      </c>
      <c r="AE110">
        <f>IF("ONLINE"="NOGPS","GPS Antiguo","En línea")</f>
      </c>
      <c r="AF110">
        <f>IF(0=0,"Sin atender", IF(0=1,"Atendida","Atendida y Reportada"))</f>
      </c>
      <c r="AG110" t="str">
        <v/>
      </c>
      <c r="AH110" t="str">
        <v/>
      </c>
      <c r="AI110" t="str">
        <v/>
      </c>
      <c r="AJ110" t="str">
        <v/>
      </c>
      <c r="AK110" t="str">
        <v>01/10/2026 12:42:18</v>
      </c>
      <c r="AL110" t="str">
        <v>12:42:18</v>
      </c>
      <c r="AM110" t="str">
        <v/>
      </c>
    </row>
    <row r="111">
      <c r="A111">
        <v>110</v>
      </c>
      <c r="B111" t="str">
        <v>MASS BSF</v>
      </c>
      <c r="C111" t="str">
        <v>F6V-794</v>
      </c>
      <c r="D111" t="str">
        <v>F6V-794</v>
      </c>
      <c r="E111" t="str">
        <v/>
      </c>
      <c r="F111" t="str">
        <v>865235053167082</v>
      </c>
      <c r="G111" t="str">
        <v>TBD</v>
      </c>
      <c r="H111" t="str">
        <v/>
      </c>
      <c r="I111" t="str">
        <v/>
      </c>
      <c r="J111" t="str">
        <v>01/10/2026</v>
      </c>
      <c r="K111" t="str">
        <v>12:42:32</v>
      </c>
      <c r="L111">
        <v>-12.225725</v>
      </c>
      <c r="M111">
        <v>-76.941246</v>
      </c>
      <c r="N111">
        <f>HYPERLINK("https://www.google.com/maps/search/?api=1&amp;query=-12.225725,-76.941246","Avenida Mariano Pastor Sevilla, Villa El Salvador, Lima")</f>
      </c>
      <c r="O111" t="str">
        <v>Bache</v>
      </c>
      <c r="P111" t="str">
        <v/>
      </c>
      <c r="Q111">
        <v>135544.2</v>
      </c>
      <c r="R111" t="str">
        <v/>
      </c>
      <c r="S111">
        <v>12.2</v>
      </c>
      <c r="T111">
        <v>0</v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>
        <v>100</v>
      </c>
      <c r="AC111" t="str">
        <v>01/10/2026</v>
      </c>
      <c r="AD111" t="str">
        <v>12:42:30</v>
      </c>
      <c r="AE111">
        <f>IF("ONLINE"="NOGPS","GPS Antiguo","En línea")</f>
      </c>
      <c r="AF111">
        <f>IF(0=0,"Sin atender", IF(0=1,"Atendida","Atendida y Reportada"))</f>
      </c>
      <c r="AG111" t="str">
        <v/>
      </c>
      <c r="AH111" t="str">
        <v/>
      </c>
      <c r="AI111" t="str">
        <v/>
      </c>
      <c r="AJ111" t="str">
        <v/>
      </c>
      <c r="AK111" t="str">
        <v>01/10/2026 12:42:34</v>
      </c>
      <c r="AL111" t="str">
        <v>12:42:34</v>
      </c>
      <c r="AM111" t="str">
        <v/>
      </c>
    </row>
    <row r="112">
      <c r="A112">
        <v>111</v>
      </c>
      <c r="B112" t="str">
        <v>MASS BSF</v>
      </c>
      <c r="C112" t="str">
        <v>F6V-794</v>
      </c>
      <c r="D112" t="str">
        <v>F6V-794</v>
      </c>
      <c r="E112" t="str">
        <v/>
      </c>
      <c r="F112" t="str">
        <v>865235053167082</v>
      </c>
      <c r="G112" t="str">
        <v>TBD</v>
      </c>
      <c r="H112" t="str">
        <v/>
      </c>
      <c r="I112" t="str">
        <v/>
      </c>
      <c r="J112" t="str">
        <v>01/10/2026</v>
      </c>
      <c r="K112" t="str">
        <v>12:48:44</v>
      </c>
      <c r="L112">
        <v>-12.247085</v>
      </c>
      <c r="M112">
        <v>-76.92841</v>
      </c>
      <c r="N112">
        <f>HYPERLINK("https://www.google.com/maps/search/?api=1&amp;query=-12.247085,-76.92841","Avenida María Reiche, Villa El Salvador, Lima")</f>
      </c>
      <c r="O112" t="str">
        <v>Bache</v>
      </c>
      <c r="P112" t="str">
        <v/>
      </c>
      <c r="Q112">
        <v>135547.7</v>
      </c>
      <c r="R112" t="str">
        <v/>
      </c>
      <c r="S112">
        <v>7</v>
      </c>
      <c r="T112">
        <v>0</v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>
        <v>98</v>
      </c>
      <c r="AC112" t="str">
        <v>01/10/2026</v>
      </c>
      <c r="AD112" t="str">
        <v>12:48:42</v>
      </c>
      <c r="AE112">
        <f>IF("ONLINE"="NOGPS","GPS Antiguo","En línea")</f>
      </c>
      <c r="AF112">
        <f>IF(0=0,"Sin atender", IF(0=1,"Atendida","Atendida y Reportada"))</f>
      </c>
      <c r="AG112" t="str">
        <v/>
      </c>
      <c r="AH112" t="str">
        <v/>
      </c>
      <c r="AI112" t="str">
        <v/>
      </c>
      <c r="AJ112" t="str">
        <v/>
      </c>
      <c r="AK112" t="str">
        <v>01/10/2026 12:49:02</v>
      </c>
      <c r="AL112" t="str">
        <v>12:49:02</v>
      </c>
      <c r="AM112" t="str">
        <v/>
      </c>
    </row>
    <row r="113">
      <c r="A113">
        <v>112</v>
      </c>
      <c r="B113" t="str">
        <v>MASS BSF</v>
      </c>
      <c r="C113" t="str">
        <v>F6V-794</v>
      </c>
      <c r="D113" t="str">
        <v>F6V-794</v>
      </c>
      <c r="E113" t="str">
        <v/>
      </c>
      <c r="F113" t="str">
        <v>865235053167082</v>
      </c>
      <c r="G113" t="str">
        <v>TBD</v>
      </c>
      <c r="H113" t="str">
        <v/>
      </c>
      <c r="I113" t="str">
        <v/>
      </c>
      <c r="J113" t="str">
        <v>01/10/2026</v>
      </c>
      <c r="K113" t="str">
        <v>12:49:30</v>
      </c>
      <c r="L113">
        <v>-12.246737</v>
      </c>
      <c r="M113">
        <v>-76.93076</v>
      </c>
      <c r="N113">
        <f>HYPERLINK("https://www.google.com/maps/search/?api=1&amp;query=-12.246737,-76.93076","Avenida María Reiche, Villa El Salvador, Lima")</f>
      </c>
      <c r="O113" t="str">
        <v>Bache</v>
      </c>
      <c r="P113" t="str">
        <v/>
      </c>
      <c r="Q113">
        <v>135547.9</v>
      </c>
      <c r="R113" t="str">
        <v/>
      </c>
      <c r="S113">
        <v>7.7</v>
      </c>
      <c r="T113">
        <v>0</v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>
        <v>98</v>
      </c>
      <c r="AC113" t="str">
        <v>01/10/2026</v>
      </c>
      <c r="AD113" t="str">
        <v>12:49:28</v>
      </c>
      <c r="AE113">
        <f>IF("ONLINE"="NOGPS","GPS Antiguo","En línea")</f>
      </c>
      <c r="AF113">
        <f>IF(0=0,"Sin atender", IF(0=1,"Atendida","Atendida y Reportada"))</f>
      </c>
      <c r="AG113" t="str">
        <v/>
      </c>
      <c r="AH113" t="str">
        <v/>
      </c>
      <c r="AI113" t="str">
        <v/>
      </c>
      <c r="AJ113" t="str">
        <v/>
      </c>
      <c r="AK113" t="str">
        <v>01/10/2026 12:49:53</v>
      </c>
      <c r="AL113" t="str">
        <v>12:49:53</v>
      </c>
      <c r="AM113" t="str">
        <v/>
      </c>
    </row>
    <row r="114">
      <c r="A114">
        <v>113</v>
      </c>
      <c r="B114" t="str">
        <v>MASS BSF</v>
      </c>
      <c r="C114" t="str">
        <v>F6V-794</v>
      </c>
      <c r="D114" t="str">
        <v>F6V-794</v>
      </c>
      <c r="E114" t="str">
        <v/>
      </c>
      <c r="F114" t="str">
        <v>865235053167082</v>
      </c>
      <c r="G114" t="str">
        <v>TBD</v>
      </c>
      <c r="H114" t="str">
        <v/>
      </c>
      <c r="I114" t="str">
        <v/>
      </c>
      <c r="J114" t="str">
        <v>01/10/2026</v>
      </c>
      <c r="K114" t="str">
        <v>12:50:25</v>
      </c>
      <c r="L114">
        <v>-12.247355</v>
      </c>
      <c r="M114">
        <v>-76.93254</v>
      </c>
      <c r="N114">
        <f>HYPERLINK("https://www.google.com/maps/search/?api=1&amp;query=-12.247355,-76.93254","Avenida María Reiche, Villa El Salvador, Lima")</f>
      </c>
      <c r="O114" t="str">
        <v>Bache</v>
      </c>
      <c r="P114" t="str">
        <v/>
      </c>
      <c r="Q114">
        <v>135548.2</v>
      </c>
      <c r="R114" t="str">
        <v/>
      </c>
      <c r="S114">
        <v>7.9</v>
      </c>
      <c r="T114">
        <v>0</v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>
        <v>98</v>
      </c>
      <c r="AC114" t="str">
        <v>01/10/2026</v>
      </c>
      <c r="AD114" t="str">
        <v>12:50:23</v>
      </c>
      <c r="AE114">
        <f>IF("ONLINE"="NOGPS","GPS Antiguo","En línea")</f>
      </c>
      <c r="AF114">
        <f>IF(0=0,"Sin atender", IF(0=1,"Atendida","Atendida y Reportada"))</f>
      </c>
      <c r="AG114" t="str">
        <v/>
      </c>
      <c r="AH114" t="str">
        <v/>
      </c>
      <c r="AI114" t="str">
        <v/>
      </c>
      <c r="AJ114" t="str">
        <v/>
      </c>
      <c r="AK114" t="str">
        <v>01/10/2026 12:50:29</v>
      </c>
      <c r="AL114" t="str">
        <v>12:50:29</v>
      </c>
      <c r="AM114" t="str">
        <v/>
      </c>
    </row>
    <row r="115">
      <c r="A115">
        <v>114</v>
      </c>
      <c r="B115" t="str">
        <v>MASS BSF</v>
      </c>
      <c r="C115" t="str">
        <v>F6V-794</v>
      </c>
      <c r="D115" t="str">
        <v>F6V-794</v>
      </c>
      <c r="E115" t="str">
        <v/>
      </c>
      <c r="F115" t="str">
        <v>865235053167082</v>
      </c>
      <c r="G115" t="str">
        <v>TBD</v>
      </c>
      <c r="H115" t="str">
        <v/>
      </c>
      <c r="I115" t="str">
        <v/>
      </c>
      <c r="J115" t="str">
        <v>01/10/2026</v>
      </c>
      <c r="K115" t="str">
        <v>12:51:35</v>
      </c>
      <c r="L115">
        <v>-12.250102</v>
      </c>
      <c r="M115">
        <v>-76.93054</v>
      </c>
      <c r="N115">
        <f>HYPERLINK("https://www.google.com/maps/search/?api=1&amp;query=-12.250102,-76.93054","Antigua Panamericana Sur, Villa El Salvador, Lima")</f>
      </c>
      <c r="O115" t="str">
        <v>Bache</v>
      </c>
      <c r="P115" t="str">
        <v/>
      </c>
      <c r="Q115">
        <v>135548.6</v>
      </c>
      <c r="R115" t="str">
        <v/>
      </c>
      <c r="S115">
        <v>13.8</v>
      </c>
      <c r="T115">
        <v>0</v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>
        <v>100</v>
      </c>
      <c r="AC115" t="str">
        <v>01/10/2026</v>
      </c>
      <c r="AD115" t="str">
        <v>12:51:33</v>
      </c>
      <c r="AE115">
        <f>IF("ONLINE"="NOGPS","GPS Antiguo","En línea")</f>
      </c>
      <c r="AF115">
        <f>IF(0=0,"Sin atender", IF(0=1,"Atendida","Atendida y Reportada"))</f>
      </c>
      <c r="AG115" t="str">
        <v/>
      </c>
      <c r="AH115" t="str">
        <v/>
      </c>
      <c r="AI115" t="str">
        <v/>
      </c>
      <c r="AJ115" t="str">
        <v/>
      </c>
      <c r="AK115" t="str">
        <v>01/10/2026 12:51:37</v>
      </c>
      <c r="AL115" t="str">
        <v>12:51:37</v>
      </c>
      <c r="AM115" t="str">
        <v/>
      </c>
    </row>
    <row r="116">
      <c r="A116">
        <v>115</v>
      </c>
      <c r="B116" t="str">
        <v>MASS BSF</v>
      </c>
      <c r="C116" t="str">
        <v>F6V-794</v>
      </c>
      <c r="D116" t="str">
        <v>F6V-794</v>
      </c>
      <c r="E116" t="str">
        <v/>
      </c>
      <c r="F116" t="str">
        <v>865235053167082</v>
      </c>
      <c r="G116" t="str">
        <v>TBD</v>
      </c>
      <c r="H116" t="str">
        <v/>
      </c>
      <c r="I116" t="str">
        <v/>
      </c>
      <c r="J116" t="str">
        <v>01/10/2026</v>
      </c>
      <c r="K116" t="str">
        <v>12:52:52</v>
      </c>
      <c r="L116">
        <v>-12.253866</v>
      </c>
      <c r="M116">
        <v>-76.9231</v>
      </c>
      <c r="N116">
        <f>HYPERLINK("https://www.google.com/maps/search/?api=1&amp;query=-12.253866,-76.9231","Antigua Panamericana Sur, Lurín, Lima")</f>
      </c>
      <c r="O116" t="str">
        <v>Bache</v>
      </c>
      <c r="P116" t="str">
        <v/>
      </c>
      <c r="Q116">
        <v>135549.5</v>
      </c>
      <c r="R116" t="str">
        <v/>
      </c>
      <c r="S116">
        <v>14.8</v>
      </c>
      <c r="T116">
        <v>0</v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>
        <v>100</v>
      </c>
      <c r="AC116" t="str">
        <v>01/10/2026</v>
      </c>
      <c r="AD116" t="str">
        <v>12:52:50</v>
      </c>
      <c r="AE116">
        <f>IF("ONLINE"="NOGPS","GPS Antiguo","En línea")</f>
      </c>
      <c r="AF116">
        <f>IF(0=0,"Sin atender", IF(0=1,"Atendida","Atendida y Reportada"))</f>
      </c>
      <c r="AG116" t="str">
        <v/>
      </c>
      <c r="AH116" t="str">
        <v/>
      </c>
      <c r="AI116" t="str">
        <v/>
      </c>
      <c r="AJ116" t="str">
        <v/>
      </c>
      <c r="AK116" t="str">
        <v>01/10/2026 12:52:58</v>
      </c>
      <c r="AL116" t="str">
        <v>12:52:58</v>
      </c>
      <c r="AM116" t="str">
        <v/>
      </c>
    </row>
    <row r="117">
      <c r="A117">
        <v>116</v>
      </c>
      <c r="B117" t="str">
        <v>MASS BSF</v>
      </c>
      <c r="C117" t="str">
        <v>F6V-794</v>
      </c>
      <c r="D117" t="str">
        <v>F6V-794</v>
      </c>
      <c r="E117" t="str">
        <v/>
      </c>
      <c r="F117" t="str">
        <v>865235053167082</v>
      </c>
      <c r="G117" t="str">
        <v>TBD</v>
      </c>
      <c r="H117" t="str">
        <v/>
      </c>
      <c r="I117" t="str">
        <v/>
      </c>
      <c r="J117" t="str">
        <v>01/10/2026</v>
      </c>
      <c r="K117" t="str">
        <v>12:53:43</v>
      </c>
      <c r="L117">
        <v>-12.255185</v>
      </c>
      <c r="M117">
        <v>-76.92098</v>
      </c>
      <c r="N117">
        <f>HYPERLINK("https://www.google.com/maps/search/?api=1&amp;query=-12.255185,-76.92098","Lurín, Lima")</f>
      </c>
      <c r="O117" t="str">
        <v>Bache</v>
      </c>
      <c r="P117" t="str">
        <v/>
      </c>
      <c r="Q117">
        <v>135549.9</v>
      </c>
      <c r="R117" t="str">
        <v/>
      </c>
      <c r="S117">
        <v>28.8</v>
      </c>
      <c r="T117">
        <v>0</v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>
        <v>99</v>
      </c>
      <c r="AC117" t="str">
        <v>01/10/2026</v>
      </c>
      <c r="AD117" t="str">
        <v>12:53:41</v>
      </c>
      <c r="AE117">
        <f>IF("ONLINE"="NOGPS","GPS Antiguo","En línea")</f>
      </c>
      <c r="AF117">
        <f>IF(0=0,"Sin atender", IF(0=1,"Atendida","Atendida y Reportada"))</f>
      </c>
      <c r="AG117" t="str">
        <v/>
      </c>
      <c r="AH117" t="str">
        <v/>
      </c>
      <c r="AI117" t="str">
        <v/>
      </c>
      <c r="AJ117" t="str">
        <v/>
      </c>
      <c r="AK117" t="str">
        <v>01/10/2026 12:53:49</v>
      </c>
      <c r="AL117" t="str">
        <v>12:53:49</v>
      </c>
      <c r="AM117" t="str">
        <v/>
      </c>
    </row>
    <row r="118">
      <c r="A118">
        <v>117</v>
      </c>
      <c r="B118" t="str">
        <v>MASS BSF</v>
      </c>
      <c r="C118" t="str">
        <v>F6V-794</v>
      </c>
      <c r="D118" t="str">
        <v>F6V-794</v>
      </c>
      <c r="E118" t="str">
        <v/>
      </c>
      <c r="F118" t="str">
        <v>865235053167082</v>
      </c>
      <c r="G118" t="str">
        <v>TBD</v>
      </c>
      <c r="H118" t="str">
        <v/>
      </c>
      <c r="I118" t="str">
        <v/>
      </c>
      <c r="J118" t="str">
        <v>01/10/2026</v>
      </c>
      <c r="K118" t="str">
        <v>13:09:09</v>
      </c>
      <c r="L118">
        <v>-12.334902</v>
      </c>
      <c r="M118">
        <v>-76.819824</v>
      </c>
      <c r="N118">
        <f>HYPERLINK("https://www.google.com/maps/search/?api=1&amp;query=-12.334902,-76.819824","Antigua Panamericana Sur, Punta Hermosa, Lima")</f>
      </c>
      <c r="O118" t="str">
        <v>Bache</v>
      </c>
      <c r="P118" t="str">
        <v/>
      </c>
      <c r="Q118">
        <v>135565.2</v>
      </c>
      <c r="R118" t="str">
        <v/>
      </c>
      <c r="S118">
        <v>22.4</v>
      </c>
      <c r="T118">
        <v>0</v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>
        <v>98</v>
      </c>
      <c r="AC118" t="str">
        <v>01/10/2026</v>
      </c>
      <c r="AD118" t="str">
        <v>13:09:07</v>
      </c>
      <c r="AE118">
        <f>IF("ONLINE"="NOGPS","GPS Antiguo","En línea")</f>
      </c>
      <c r="AF118">
        <f>IF(0=0,"Sin atender", IF(0=1,"Atendida","Atendida y Reportada"))</f>
      </c>
      <c r="AG118" t="str">
        <v/>
      </c>
      <c r="AH118" t="str">
        <v/>
      </c>
      <c r="AI118" t="str">
        <v/>
      </c>
      <c r="AJ118" t="str">
        <v/>
      </c>
      <c r="AK118" t="str">
        <v>01/10/2026 13:09:30</v>
      </c>
      <c r="AL118" t="str">
        <v>13:09:30</v>
      </c>
      <c r="AM118" t="str">
        <v/>
      </c>
    </row>
    <row r="119">
      <c r="A119">
        <v>118</v>
      </c>
      <c r="B119" t="str">
        <v>MASS BSF</v>
      </c>
      <c r="C119" t="str">
        <v>F6V-794</v>
      </c>
      <c r="D119" t="str">
        <v>F6V-794</v>
      </c>
      <c r="E119" t="str">
        <v/>
      </c>
      <c r="F119" t="str">
        <v>865235053167082</v>
      </c>
      <c r="G119" t="str">
        <v>TBD</v>
      </c>
      <c r="H119" t="str">
        <v/>
      </c>
      <c r="I119" t="str">
        <v/>
      </c>
      <c r="J119" t="str">
        <v>01/10/2026</v>
      </c>
      <c r="K119" t="str">
        <v>13:09:47</v>
      </c>
      <c r="L119">
        <v>-12.333165</v>
      </c>
      <c r="M119">
        <v>-76.81967</v>
      </c>
      <c r="N119">
        <f>HYPERLINK("https://www.google.com/maps/search/?api=1&amp;query=-12.333165,-76.81967","Punta Hermosa, Lima")</f>
      </c>
      <c r="O119" t="str">
        <v>Frenado y giro brusco</v>
      </c>
      <c r="P119" t="str">
        <v/>
      </c>
      <c r="Q119">
        <v>135565.5</v>
      </c>
      <c r="R119" t="str">
        <v/>
      </c>
      <c r="S119">
        <v>29</v>
      </c>
      <c r="T119">
        <v>0</v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>
        <v>100</v>
      </c>
      <c r="AC119" t="str">
        <v>01/10/2026</v>
      </c>
      <c r="AD119" t="str">
        <v>13:09:44</v>
      </c>
      <c r="AE119">
        <f>IF("ONLINE"="NOGPS","GPS Antiguo","En línea")</f>
      </c>
      <c r="AF119">
        <f>IF(0=0,"Sin atender", IF(0=1,"Atendida","Atendida y Reportada"))</f>
      </c>
      <c r="AG119" t="str">
        <v/>
      </c>
      <c r="AH119" t="str">
        <v/>
      </c>
      <c r="AI119" t="str">
        <v/>
      </c>
      <c r="AJ119" t="str">
        <v/>
      </c>
      <c r="AK119" t="str">
        <v>01/10/2026 13:10:07</v>
      </c>
      <c r="AL119" t="str">
        <v>13:10:07</v>
      </c>
      <c r="AM119" t="str">
        <v/>
      </c>
    </row>
    <row r="120">
      <c r="A120">
        <v>119</v>
      </c>
      <c r="B120" t="str">
        <v>MASS BSF</v>
      </c>
      <c r="C120" t="str">
        <v>F6V-794</v>
      </c>
      <c r="D120" t="str">
        <v>F6V-794</v>
      </c>
      <c r="E120" t="str">
        <v/>
      </c>
      <c r="F120" t="str">
        <v>865235053167082</v>
      </c>
      <c r="G120" t="str">
        <v>TBD</v>
      </c>
      <c r="H120" t="str">
        <v/>
      </c>
      <c r="I120" t="str">
        <v/>
      </c>
      <c r="J120" t="str">
        <v>01/10/2026</v>
      </c>
      <c r="K120" t="str">
        <v>13:09:55</v>
      </c>
      <c r="L120">
        <v>-12.33266</v>
      </c>
      <c r="M120">
        <v>-76.82015</v>
      </c>
      <c r="N120">
        <f>HYPERLINK("https://www.google.com/maps/search/?api=1&amp;query=-12.33266,-76.82015","Carretera Panamericana Sur, Punta Hermosa, Lima")</f>
      </c>
      <c r="O120" t="str">
        <v>Bache</v>
      </c>
      <c r="P120" t="str">
        <v/>
      </c>
      <c r="Q120">
        <v>135565.6</v>
      </c>
      <c r="R120" t="str">
        <v/>
      </c>
      <c r="S120">
        <v>30.3</v>
      </c>
      <c r="T120">
        <v>0</v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>
        <v>100</v>
      </c>
      <c r="AC120" t="str">
        <v>01/10/2026</v>
      </c>
      <c r="AD120" t="str">
        <v>13:09:53</v>
      </c>
      <c r="AE120">
        <f>IF("ONLINE"="NOGPS","GPS Antiguo","En línea")</f>
      </c>
      <c r="AF120">
        <f>IF(0=0,"Sin atender", IF(0=1,"Atendida","Atendida y Reportada"))</f>
      </c>
      <c r="AG120" t="str">
        <v/>
      </c>
      <c r="AH120" t="str">
        <v/>
      </c>
      <c r="AI120" t="str">
        <v/>
      </c>
      <c r="AJ120" t="str">
        <v/>
      </c>
      <c r="AK120" t="str">
        <v>01/10/2026 13:10:09</v>
      </c>
      <c r="AL120" t="str">
        <v>13:10:09</v>
      </c>
      <c r="AM120" t="str">
        <v/>
      </c>
    </row>
    <row r="121">
      <c r="A121">
        <v>120</v>
      </c>
      <c r="B121" t="str">
        <v>MASS BSF</v>
      </c>
      <c r="C121" t="str">
        <v>F6V-794</v>
      </c>
      <c r="D121" t="str">
        <v>F6V-794</v>
      </c>
      <c r="E121" t="str">
        <v/>
      </c>
      <c r="F121" t="str">
        <v>865235053167082</v>
      </c>
      <c r="G121" t="str">
        <v>TBD</v>
      </c>
      <c r="H121" t="str">
        <v/>
      </c>
      <c r="I121" t="str">
        <v/>
      </c>
      <c r="J121" t="str">
        <v>01/10/2026</v>
      </c>
      <c r="K121" t="str">
        <v>13:11:50</v>
      </c>
      <c r="L121">
        <v>-12.318807</v>
      </c>
      <c r="M121">
        <v>-76.82954</v>
      </c>
      <c r="N121">
        <f>HYPERLINK("https://www.google.com/maps/search/?api=1&amp;query=-12.318807,-76.82954","Carretera Panamericana Sur, Punta Hermosa, Lima")</f>
      </c>
      <c r="O121" t="str">
        <v>Bache</v>
      </c>
      <c r="P121" t="str">
        <v/>
      </c>
      <c r="Q121">
        <v>135567.5</v>
      </c>
      <c r="R121" t="str">
        <v/>
      </c>
      <c r="S121">
        <v>49.2</v>
      </c>
      <c r="T121">
        <v>0</v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>
        <v>98</v>
      </c>
      <c r="AC121" t="str">
        <v>01/10/2026</v>
      </c>
      <c r="AD121" t="str">
        <v>13:11:48</v>
      </c>
      <c r="AE121">
        <f>IF("ONLINE"="NOGPS","GPS Antiguo","En línea")</f>
      </c>
      <c r="AF121">
        <f>IF(0=0,"Sin atender", IF(0=1,"Atendida","Atendida y Reportada"))</f>
      </c>
      <c r="AG121" t="str">
        <v/>
      </c>
      <c r="AH121" t="str">
        <v/>
      </c>
      <c r="AI121" t="str">
        <v/>
      </c>
      <c r="AJ121" t="str">
        <v/>
      </c>
      <c r="AK121" t="str">
        <v>01/10/2026 13:12:00</v>
      </c>
      <c r="AL121" t="str">
        <v>13:12:00</v>
      </c>
      <c r="AM121" t="str">
        <v/>
      </c>
    </row>
    <row r="122">
      <c r="A122">
        <v>121</v>
      </c>
      <c r="B122" t="str">
        <v>MASS BSF</v>
      </c>
      <c r="C122" t="str">
        <v>F6V-794</v>
      </c>
      <c r="D122" t="str">
        <v>F6V-794</v>
      </c>
      <c r="E122" t="str">
        <v/>
      </c>
      <c r="F122" t="str">
        <v>865235053167082</v>
      </c>
      <c r="G122" t="str">
        <v>TBD</v>
      </c>
      <c r="H122" t="str">
        <v/>
      </c>
      <c r="I122" t="str">
        <v xml:space="preserve"> </v>
      </c>
      <c r="J122" t="str">
        <v>01/10/2026</v>
      </c>
      <c r="K122" t="str">
        <v>13:12:16</v>
      </c>
      <c r="L122">
        <v>-12.317575</v>
      </c>
      <c r="M122">
        <v>-76.8297</v>
      </c>
      <c r="N122">
        <f>HYPERLINK("https://www.google.com/maps/search/?api=1&amp;query=-12.317575,-76.8297","Punta Hermosa, Lima")</f>
      </c>
      <c r="O122" t="str">
        <v>Llegó a la zona</v>
      </c>
      <c r="P122" t="str">
        <v/>
      </c>
      <c r="Q122">
        <v>135567.6</v>
      </c>
      <c r="R122" t="str">
        <v>MASS BSF 1</v>
      </c>
      <c r="S122">
        <v>9.4</v>
      </c>
      <c r="T122">
        <v>0</v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>
        <v>100</v>
      </c>
      <c r="AC122" t="str">
        <v>01/10/2026</v>
      </c>
      <c r="AD122" t="str">
        <v>13:12:14</v>
      </c>
      <c r="AE122">
        <f>IF("ONLINE"="NOGPS","GPS Antiguo","En línea")</f>
      </c>
      <c r="AF122">
        <f>IF(0=0,"Sin atender", IF(0=1,"Atendida","Atendida y Reportada"))</f>
      </c>
      <c r="AG122" t="str">
        <v/>
      </c>
      <c r="AH122" t="str">
        <v/>
      </c>
      <c r="AI122" t="str">
        <v/>
      </c>
      <c r="AJ122" t="str">
        <v/>
      </c>
      <c r="AK122" t="str">
        <v>01/10/2026 13:12:29</v>
      </c>
      <c r="AL122" t="str">
        <v>13:12:29</v>
      </c>
      <c r="AM122" t="str">
        <v/>
      </c>
    </row>
    <row r="123">
      <c r="A123">
        <v>122</v>
      </c>
      <c r="B123" t="str">
        <v>MASS BSF</v>
      </c>
      <c r="C123" t="str">
        <v>F6V-794</v>
      </c>
      <c r="D123" t="str">
        <v>F6V-794</v>
      </c>
      <c r="E123" t="str">
        <v/>
      </c>
      <c r="F123" t="str">
        <v>865235053167082</v>
      </c>
      <c r="G123" t="str">
        <v>TBD</v>
      </c>
      <c r="H123" t="str">
        <v/>
      </c>
      <c r="I123" t="str">
        <v/>
      </c>
      <c r="J123" t="str">
        <v>01/10/2026</v>
      </c>
      <c r="K123" t="str">
        <v>13:20:11</v>
      </c>
      <c r="L123">
        <v>-12.317382</v>
      </c>
      <c r="M123">
        <v>-76.822975</v>
      </c>
      <c r="N123">
        <f>HYPERLINK("https://www.google.com/maps/search/?api=1&amp;query=-12.317382,-76.822975","Punta Hermosa, Lima")</f>
      </c>
      <c r="O123" t="str">
        <v>Vehículo apagado</v>
      </c>
      <c r="P123" t="str">
        <v>Vehículo Apagado</v>
      </c>
      <c r="Q123">
        <v>135568.7</v>
      </c>
      <c r="R123" t="str">
        <v/>
      </c>
      <c r="S123">
        <v>0</v>
      </c>
      <c r="T123">
        <v>0</v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>
        <v>100</v>
      </c>
      <c r="AC123" t="str">
        <v>01/10/2026</v>
      </c>
      <c r="AD123" t="str">
        <v>13:20:08</v>
      </c>
      <c r="AE123">
        <f>IF("ONLINE"="NOGPS","GPS Antiguo","En línea")</f>
      </c>
      <c r="AF123">
        <f>IF(0=0,"Sin atender", IF(0=1,"Atendida","Atendida y Reportada"))</f>
      </c>
      <c r="AG123" t="str">
        <v/>
      </c>
      <c r="AH123" t="str">
        <v/>
      </c>
      <c r="AI123" t="str">
        <v/>
      </c>
      <c r="AJ123" t="str">
        <v/>
      </c>
      <c r="AK123" t="str">
        <v>01/10/2026 13:20:19</v>
      </c>
      <c r="AL123" t="str">
        <v>13:20:19</v>
      </c>
      <c r="AM123" t="str">
        <v/>
      </c>
    </row>
    <row r="124">
      <c r="A124">
        <v>123</v>
      </c>
      <c r="B124" t="str">
        <v>MASS BSF</v>
      </c>
      <c r="C124" t="str">
        <v>F6V-794</v>
      </c>
      <c r="D124" t="str">
        <v>F6V-794</v>
      </c>
      <c r="E124" t="str">
        <v/>
      </c>
      <c r="F124" t="str">
        <v>865235053167082</v>
      </c>
      <c r="G124" t="str">
        <v>TBD</v>
      </c>
      <c r="H124" t="str">
        <v/>
      </c>
      <c r="I124" t="str">
        <v/>
      </c>
      <c r="J124" t="str">
        <v>01/10/2026</v>
      </c>
      <c r="K124" t="str">
        <v>13:27:07</v>
      </c>
      <c r="L124">
        <v>-12.317382</v>
      </c>
      <c r="M124">
        <v>-76.822975</v>
      </c>
      <c r="N124">
        <f>HYPERLINK("https://www.google.com/maps/search/?api=1&amp;query=-12.317382,-76.822975","Punta Hermosa, Lima")</f>
      </c>
      <c r="O124" t="str">
        <v>Se detuvo</v>
      </c>
      <c r="P124" t="str">
        <v>Unidad se detuvo</v>
      </c>
      <c r="Q124">
        <v>135568.7</v>
      </c>
      <c r="R124" t="str">
        <v/>
      </c>
      <c r="S124">
        <v>0</v>
      </c>
      <c r="T124">
        <v>0</v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>
        <v>100</v>
      </c>
      <c r="AC124" t="str">
        <v>01/10/2026</v>
      </c>
      <c r="AD124" t="str">
        <v>13:27:04</v>
      </c>
      <c r="AE124">
        <f>IF("ONLINE"="NOGPS","GPS Antiguo","En línea")</f>
      </c>
      <c r="AF124">
        <f>IF(0=0,"Sin atender", IF(0=1,"Atendida","Atendida y Reportada"))</f>
      </c>
      <c r="AG124" t="str">
        <v/>
      </c>
      <c r="AH124" t="str">
        <v/>
      </c>
      <c r="AI124" t="str">
        <v/>
      </c>
      <c r="AJ124" t="str">
        <v/>
      </c>
      <c r="AK124" t="str">
        <v>01/10/2026 13:27:20</v>
      </c>
      <c r="AL124" t="str">
        <v>13:27:20</v>
      </c>
      <c r="AM124" t="str">
        <v/>
      </c>
    </row>
    <row r="125">
      <c r="A125">
        <v>124</v>
      </c>
      <c r="B125" t="str">
        <v>MASS BSF</v>
      </c>
      <c r="C125" t="str">
        <v>F6V-794</v>
      </c>
      <c r="D125" t="str">
        <v>F6V-794</v>
      </c>
      <c r="E125" t="str">
        <v/>
      </c>
      <c r="F125" t="str">
        <v>865235053167082</v>
      </c>
      <c r="G125" t="str">
        <v>TBD</v>
      </c>
      <c r="H125" t="str">
        <v/>
      </c>
      <c r="I125" t="str">
        <v/>
      </c>
      <c r="J125" t="str">
        <v>01/10/2026</v>
      </c>
      <c r="K125" t="str">
        <v>13:45:12</v>
      </c>
      <c r="L125">
        <v>-12.317382</v>
      </c>
      <c r="M125">
        <v>-76.822975</v>
      </c>
      <c r="N125">
        <f>HYPERLINK("https://www.google.com/maps/search/?api=1&amp;query=-12.317382,-76.822975","Punta Hermosa, Lima")</f>
      </c>
      <c r="O125" t="str">
        <v>Vehículo encendido</v>
      </c>
      <c r="P125" t="str">
        <v/>
      </c>
      <c r="Q125">
        <v>135568.7</v>
      </c>
      <c r="R125" t="str">
        <v/>
      </c>
      <c r="S125">
        <v>0</v>
      </c>
      <c r="T125">
        <v>0</v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>
        <v>100</v>
      </c>
      <c r="AC125" t="str">
        <v>01/10/2026</v>
      </c>
      <c r="AD125" t="str">
        <v>13:45:09</v>
      </c>
      <c r="AE125">
        <f>IF("ONLINE"="NOGPS","GPS Antiguo","En línea")</f>
      </c>
      <c r="AF125">
        <f>IF(0=0,"Sin atender", IF(0=1,"Atendida","Atendida y Reportada"))</f>
      </c>
      <c r="AG125" t="str">
        <v/>
      </c>
      <c r="AH125" t="str">
        <v/>
      </c>
      <c r="AI125" t="str">
        <v/>
      </c>
      <c r="AJ125" t="str">
        <v/>
      </c>
      <c r="AK125" t="str">
        <v>01/10/2026 13:45:16</v>
      </c>
      <c r="AL125" t="str">
        <v>13:45:16</v>
      </c>
      <c r="AM125" t="str">
        <v/>
      </c>
    </row>
    <row r="126">
      <c r="A126">
        <v>125</v>
      </c>
      <c r="B126" t="str">
        <v>MASS BSF</v>
      </c>
      <c r="C126" t="str">
        <v>F6V-794</v>
      </c>
      <c r="D126" t="str">
        <v>F6V-794</v>
      </c>
      <c r="E126" t="str">
        <v/>
      </c>
      <c r="F126" t="str">
        <v>865235053167082</v>
      </c>
      <c r="G126" t="str">
        <v>TBD</v>
      </c>
      <c r="H126" t="str">
        <v/>
      </c>
      <c r="I126" t="str">
        <v/>
      </c>
      <c r="J126" t="str">
        <v>01/10/2026</v>
      </c>
      <c r="K126" t="str">
        <v>13:47:40</v>
      </c>
      <c r="L126">
        <v>-12.317607</v>
      </c>
      <c r="M126">
        <v>-76.82442</v>
      </c>
      <c r="N126">
        <f>HYPERLINK("https://www.google.com/maps/search/?api=1&amp;query=-12.317607,-76.82442","Punta Hermosa, Lima")</f>
      </c>
      <c r="O126" t="str">
        <v>Vehículo apagado</v>
      </c>
      <c r="P126" t="str">
        <v>Vehículo Apagado</v>
      </c>
      <c r="Q126">
        <v>135569</v>
      </c>
      <c r="R126" t="str">
        <v/>
      </c>
      <c r="S126">
        <v>0</v>
      </c>
      <c r="T126">
        <v>0</v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>
        <v>100</v>
      </c>
      <c r="AC126" t="str">
        <v>01/10/2026</v>
      </c>
      <c r="AD126" t="str">
        <v>13:47:38</v>
      </c>
      <c r="AE126">
        <f>IF("ONLINE"="NOGPS","GPS Antiguo","En línea")</f>
      </c>
      <c r="AF126">
        <f>IF(0=0,"Sin atender", IF(0=1,"Atendida","Atendida y Reportada"))</f>
      </c>
      <c r="AG126" t="str">
        <v/>
      </c>
      <c r="AH126" t="str">
        <v/>
      </c>
      <c r="AI126" t="str">
        <v/>
      </c>
      <c r="AJ126" t="str">
        <v/>
      </c>
      <c r="AK126" t="str">
        <v>01/10/2026 13:47:53</v>
      </c>
      <c r="AL126" t="str">
        <v>13:47:53</v>
      </c>
      <c r="AM126" t="str">
        <v/>
      </c>
    </row>
    <row r="127">
      <c r="A127">
        <v>126</v>
      </c>
      <c r="B127" t="str">
        <v>MASS BSF</v>
      </c>
      <c r="C127" t="str">
        <v>F6V-794</v>
      </c>
      <c r="D127" t="str">
        <v>F6V-794</v>
      </c>
      <c r="E127" t="str">
        <v/>
      </c>
      <c r="F127" t="str">
        <v>865235053167082</v>
      </c>
      <c r="G127" t="str">
        <v>TBD</v>
      </c>
      <c r="H127" t="str">
        <v/>
      </c>
      <c r="I127" t="str">
        <v/>
      </c>
      <c r="J127" t="str">
        <v>01/10/2026</v>
      </c>
      <c r="K127" t="str">
        <v>13:54:35</v>
      </c>
      <c r="L127">
        <v>-12.317607</v>
      </c>
      <c r="M127">
        <v>-76.82442</v>
      </c>
      <c r="N127">
        <f>HYPERLINK("https://www.google.com/maps/search/?api=1&amp;query=-12.317607,-76.82442","Punta Hermosa, Lima")</f>
      </c>
      <c r="O127" t="str">
        <v>Se detuvo</v>
      </c>
      <c r="P127" t="str">
        <v>Unidad se detuvo</v>
      </c>
      <c r="Q127">
        <v>135569</v>
      </c>
      <c r="R127" t="str">
        <v/>
      </c>
      <c r="S127">
        <v>0</v>
      </c>
      <c r="T127">
        <v>0</v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>
        <v>100</v>
      </c>
      <c r="AC127" t="str">
        <v>01/10/2026</v>
      </c>
      <c r="AD127" t="str">
        <v>13:54:32</v>
      </c>
      <c r="AE127">
        <f>IF("ONLINE"="NOGPS","GPS Antiguo","En línea")</f>
      </c>
      <c r="AF127">
        <f>IF(0=0,"Sin atender", IF(0=1,"Atendida","Atendida y Reportada"))</f>
      </c>
      <c r="AG127" t="str">
        <v/>
      </c>
      <c r="AH127" t="str">
        <v/>
      </c>
      <c r="AI127" t="str">
        <v/>
      </c>
      <c r="AJ127" t="str">
        <v/>
      </c>
      <c r="AK127" t="str">
        <v>01/10/2026 13:54:56</v>
      </c>
      <c r="AL127" t="str">
        <v>13:54:56</v>
      </c>
      <c r="AM127" t="str">
        <v/>
      </c>
    </row>
    <row r="128">
      <c r="A128">
        <v>127</v>
      </c>
      <c r="B128" t="str">
        <v>MASS BSF</v>
      </c>
      <c r="C128" t="str">
        <v>F6V-794</v>
      </c>
      <c r="D128" t="str">
        <v>F6V-794</v>
      </c>
      <c r="E128" t="str">
        <v/>
      </c>
      <c r="F128" t="str">
        <v>865235053167082</v>
      </c>
      <c r="G128" t="str">
        <v>TBD</v>
      </c>
      <c r="H128" t="str">
        <v/>
      </c>
      <c r="I128" t="str">
        <v/>
      </c>
      <c r="J128" t="str">
        <v>01/10/2026</v>
      </c>
      <c r="K128" t="str">
        <v>15:53:18</v>
      </c>
      <c r="L128">
        <v>-12.317607</v>
      </c>
      <c r="M128">
        <v>-76.82442</v>
      </c>
      <c r="N128">
        <f>HYPERLINK("https://www.google.com/maps/search/?api=1&amp;query=-12.317607,-76.82442","Punta Hermosa, Lima")</f>
      </c>
      <c r="O128" t="str">
        <v>Vehículo encendido</v>
      </c>
      <c r="P128" t="str">
        <v/>
      </c>
      <c r="Q128">
        <v>135569</v>
      </c>
      <c r="R128" t="str">
        <v/>
      </c>
      <c r="S128">
        <v>0</v>
      </c>
      <c r="T128">
        <v>0</v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>
        <v>100</v>
      </c>
      <c r="AC128" t="str">
        <v>01/10/2026</v>
      </c>
      <c r="AD128" t="str">
        <v>15:53:15</v>
      </c>
      <c r="AE128">
        <f>IF("ONLINE"="NOGPS","GPS Antiguo","En línea")</f>
      </c>
      <c r="AF128">
        <f>IF(0=0,"Sin atender", IF(0=1,"Atendida","Atendida y Reportada"))</f>
      </c>
      <c r="AG128" t="str">
        <v/>
      </c>
      <c r="AH128" t="str">
        <v/>
      </c>
      <c r="AI128" t="str">
        <v/>
      </c>
      <c r="AJ128" t="str">
        <v/>
      </c>
      <c r="AK128" t="str">
        <v>01/10/2026 15:53:41</v>
      </c>
      <c r="AL128" t="str">
        <v>15:53:41</v>
      </c>
      <c r="AM128" t="str">
        <v/>
      </c>
    </row>
    <row r="129">
      <c r="A129">
        <v>128</v>
      </c>
      <c r="B129" t="str">
        <v>MASS BSF</v>
      </c>
      <c r="C129" t="str">
        <v>F6V-794</v>
      </c>
      <c r="D129" t="str">
        <v>F6V-794</v>
      </c>
      <c r="E129" t="str">
        <v/>
      </c>
      <c r="F129" t="str">
        <v>865235053167082</v>
      </c>
      <c r="G129" t="str">
        <v>TBD</v>
      </c>
      <c r="H129" t="str">
        <v/>
      </c>
      <c r="I129" t="str">
        <v/>
      </c>
      <c r="J129" t="str">
        <v>01/10/2026</v>
      </c>
      <c r="K129" t="str">
        <v>15:54:18</v>
      </c>
      <c r="L129">
        <v>-12.317743</v>
      </c>
      <c r="M129">
        <v>-76.82427</v>
      </c>
      <c r="N129">
        <f>HYPERLINK("https://www.google.com/maps/search/?api=1&amp;query=-12.317743,-76.82427","Punta Hermosa, Lima")</f>
      </c>
      <c r="O129" t="str">
        <v>Vehículo apagado</v>
      </c>
      <c r="P129" t="str">
        <v>Vehículo Apagado</v>
      </c>
      <c r="Q129">
        <v>135569</v>
      </c>
      <c r="R129" t="str">
        <v/>
      </c>
      <c r="S129">
        <v>0</v>
      </c>
      <c r="T129">
        <v>0</v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>
        <v>100</v>
      </c>
      <c r="AC129" t="str">
        <v>01/10/2026</v>
      </c>
      <c r="AD129" t="str">
        <v>15:54:15</v>
      </c>
      <c r="AE129">
        <f>IF("ONLINE"="NOGPS","GPS Antiguo","En línea")</f>
      </c>
      <c r="AF129">
        <f>IF(0=0,"Sin atender", IF(0=1,"Atendida","Atendida y Reportada"))</f>
      </c>
      <c r="AG129" t="str">
        <v/>
      </c>
      <c r="AH129" t="str">
        <v/>
      </c>
      <c r="AI129" t="str">
        <v/>
      </c>
      <c r="AJ129" t="str">
        <v/>
      </c>
      <c r="AK129" t="str">
        <v>01/10/2026 15:54:35</v>
      </c>
      <c r="AL129" t="str">
        <v>15:54:35</v>
      </c>
      <c r="AM129" t="str">
        <v/>
      </c>
    </row>
    <row r="130">
      <c r="A130">
        <v>129</v>
      </c>
      <c r="B130" t="str">
        <v>MASS BSF</v>
      </c>
      <c r="C130" t="str">
        <v>F6V-794</v>
      </c>
      <c r="D130" t="str">
        <v>F6V-794</v>
      </c>
      <c r="E130" t="str">
        <v/>
      </c>
      <c r="F130" t="str">
        <v>865235053167082</v>
      </c>
      <c r="G130" t="str">
        <v>TBD</v>
      </c>
      <c r="H130" t="str">
        <v/>
      </c>
      <c r="I130" t="str">
        <v/>
      </c>
      <c r="J130" t="str">
        <v>01/10/2026</v>
      </c>
      <c r="K130" t="str">
        <v>15:56:10</v>
      </c>
      <c r="L130">
        <v>-12.317743</v>
      </c>
      <c r="M130">
        <v>-76.82427</v>
      </c>
      <c r="N130">
        <f>HYPERLINK("https://www.google.com/maps/search/?api=1&amp;query=-12.317743,-76.82427","Punta Hermosa, Lima")</f>
      </c>
      <c r="O130" t="str">
        <v>Vehículo encendido</v>
      </c>
      <c r="P130" t="str">
        <v/>
      </c>
      <c r="Q130">
        <v>135569</v>
      </c>
      <c r="R130" t="str">
        <v/>
      </c>
      <c r="S130">
        <v>0</v>
      </c>
      <c r="T130">
        <v>0</v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>
        <v>100</v>
      </c>
      <c r="AC130" t="str">
        <v>01/10/2026</v>
      </c>
      <c r="AD130" t="str">
        <v>15:56:07</v>
      </c>
      <c r="AE130">
        <f>IF("ONLINE"="NOGPS","GPS Antiguo","En línea")</f>
      </c>
      <c r="AF130">
        <f>IF(0=0,"Sin atender", IF(0=1,"Atendida","Atendida y Reportada"))</f>
      </c>
      <c r="AG130" t="str">
        <v/>
      </c>
      <c r="AH130" t="str">
        <v/>
      </c>
      <c r="AI130" t="str">
        <v/>
      </c>
      <c r="AJ130" t="str">
        <v/>
      </c>
      <c r="AK130" t="str">
        <v>01/10/2026 15:56:22</v>
      </c>
      <c r="AL130" t="str">
        <v>15:56:22</v>
      </c>
      <c r="AM130" t="str">
        <v/>
      </c>
    </row>
    <row r="131">
      <c r="A131">
        <v>130</v>
      </c>
      <c r="B131" t="str">
        <v>MASS BSF</v>
      </c>
      <c r="C131" t="str">
        <v>F6V-794</v>
      </c>
      <c r="D131" t="str">
        <v>F6V-794</v>
      </c>
      <c r="E131" t="str">
        <v/>
      </c>
      <c r="F131" t="str">
        <v>865235053167082</v>
      </c>
      <c r="G131" t="str">
        <v>TBD</v>
      </c>
      <c r="H131" t="str">
        <v/>
      </c>
      <c r="I131" t="str">
        <v/>
      </c>
      <c r="J131" t="str">
        <v>01/10/2026</v>
      </c>
      <c r="K131" t="str">
        <v>15:57:19</v>
      </c>
      <c r="L131">
        <v>-12.317743</v>
      </c>
      <c r="M131">
        <v>-76.82427</v>
      </c>
      <c r="N131">
        <f>HYPERLINK("https://www.google.com/maps/search/?api=1&amp;query=-12.317743,-76.82427","Punta Hermosa, Lima")</f>
      </c>
      <c r="O131" t="str">
        <v>Vehículo apagado</v>
      </c>
      <c r="P131" t="str">
        <v>Vehículo Apagado</v>
      </c>
      <c r="Q131">
        <v>135569</v>
      </c>
      <c r="R131" t="str">
        <v/>
      </c>
      <c r="S131">
        <v>0</v>
      </c>
      <c r="T131">
        <v>0</v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>
        <v>100</v>
      </c>
      <c r="AC131" t="str">
        <v>01/10/2026</v>
      </c>
      <c r="AD131" t="str">
        <v>15:57:16</v>
      </c>
      <c r="AE131">
        <f>IF("ONLINE"="NOGPS","GPS Antiguo","En línea")</f>
      </c>
      <c r="AF131">
        <f>IF(0=0,"Sin atender", IF(0=1,"Atendida","Atendida y Reportada"))</f>
      </c>
      <c r="AG131" t="str">
        <v/>
      </c>
      <c r="AH131" t="str">
        <v/>
      </c>
      <c r="AI131" t="str">
        <v/>
      </c>
      <c r="AJ131" t="str">
        <v/>
      </c>
      <c r="AK131" t="str">
        <v>01/10/2026 15:57:34</v>
      </c>
      <c r="AL131" t="str">
        <v>15:57:34</v>
      </c>
      <c r="AM131" t="str">
        <v/>
      </c>
    </row>
    <row r="132">
      <c r="A132">
        <v>131</v>
      </c>
      <c r="B132" t="str">
        <v>MASS BSF</v>
      </c>
      <c r="C132" t="str">
        <v>F6V-794</v>
      </c>
      <c r="D132" t="str">
        <v>F6V-794</v>
      </c>
      <c r="E132" t="str">
        <v/>
      </c>
      <c r="F132" t="str">
        <v>865235053167082</v>
      </c>
      <c r="G132" t="str">
        <v>TBD</v>
      </c>
      <c r="H132" t="str">
        <v/>
      </c>
      <c r="I132" t="str">
        <v/>
      </c>
      <c r="J132" t="str">
        <v>01/10/2026</v>
      </c>
      <c r="K132" t="str">
        <v>16:38:25</v>
      </c>
      <c r="L132">
        <v>-12.317743</v>
      </c>
      <c r="M132">
        <v>-76.82427</v>
      </c>
      <c r="N132">
        <f>HYPERLINK("https://www.google.com/maps/search/?api=1&amp;query=-12.317743,-76.82427","Punta Hermosa, Lima")</f>
      </c>
      <c r="O132" t="str">
        <v>Vehículo encendido</v>
      </c>
      <c r="P132" t="str">
        <v/>
      </c>
      <c r="Q132">
        <v>135569</v>
      </c>
      <c r="R132" t="str">
        <v/>
      </c>
      <c r="S132">
        <v>0</v>
      </c>
      <c r="T132">
        <v>0</v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>
        <v>100</v>
      </c>
      <c r="AC132" t="str">
        <v>01/10/2026</v>
      </c>
      <c r="AD132" t="str">
        <v>16:38:21</v>
      </c>
      <c r="AE132">
        <f>IF("ONLINE"="NOGPS","GPS Antiguo","En línea")</f>
      </c>
      <c r="AF132">
        <f>IF(0=0,"Sin atender", IF(0=1,"Atendida","Atendida y Reportada"))</f>
      </c>
      <c r="AG132" t="str">
        <v/>
      </c>
      <c r="AH132" t="str">
        <v/>
      </c>
      <c r="AI132" t="str">
        <v/>
      </c>
      <c r="AJ132" t="str">
        <v/>
      </c>
      <c r="AK132" t="str">
        <v>01/10/2026 16:38:30</v>
      </c>
      <c r="AL132" t="str">
        <v>16:38:30</v>
      </c>
      <c r="AM132" t="str">
        <v/>
      </c>
    </row>
    <row r="133">
      <c r="A133">
        <v>132</v>
      </c>
      <c r="B133" t="str">
        <v>MASS BSF</v>
      </c>
      <c r="C133" t="str">
        <v>F6V-794</v>
      </c>
      <c r="D133" t="str">
        <v>F6V-794</v>
      </c>
      <c r="E133" t="str">
        <v/>
      </c>
      <c r="F133" t="str">
        <v>865235053167082</v>
      </c>
      <c r="G133" t="str">
        <v>TBD</v>
      </c>
      <c r="H133" t="str">
        <v/>
      </c>
      <c r="I133" t="str">
        <v/>
      </c>
      <c r="J133" t="str">
        <v>01/10/2026</v>
      </c>
      <c r="K133" t="str">
        <v>16:38:42</v>
      </c>
      <c r="L133">
        <v>-12.31778</v>
      </c>
      <c r="M133">
        <v>-76.8243</v>
      </c>
      <c r="N133">
        <f>HYPERLINK("https://www.google.com/maps/search/?api=1&amp;query=-12.31778,-76.8243","Punta Hermosa, Lima")</f>
      </c>
      <c r="O133" t="str">
        <v>Vehículo apagado</v>
      </c>
      <c r="P133" t="str">
        <v>Vehículo Apagado</v>
      </c>
      <c r="Q133">
        <v>135569.1</v>
      </c>
      <c r="R133" t="str">
        <v/>
      </c>
      <c r="S133">
        <v>0</v>
      </c>
      <c r="T133">
        <v>0</v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>
        <v>100</v>
      </c>
      <c r="AC133" t="str">
        <v>01/10/2026</v>
      </c>
      <c r="AD133" t="str">
        <v>16:38:38</v>
      </c>
      <c r="AE133">
        <f>IF("ONLINE"="NOGPS","GPS Antiguo","En línea")</f>
      </c>
      <c r="AF133">
        <f>IF(0=0,"Sin atender", IF(0=1,"Atendida","Atendida y Reportada"))</f>
      </c>
      <c r="AG133" t="str">
        <v/>
      </c>
      <c r="AH133" t="str">
        <v/>
      </c>
      <c r="AI133" t="str">
        <v/>
      </c>
      <c r="AJ133" t="str">
        <v/>
      </c>
      <c r="AK133" t="str">
        <v>01/10/2026 16:39:01</v>
      </c>
      <c r="AL133" t="str">
        <v>16:39:01</v>
      </c>
      <c r="AM133" t="str">
        <v/>
      </c>
    </row>
    <row r="134">
      <c r="A134">
        <v>133</v>
      </c>
      <c r="B134" t="str">
        <v>MASS BSF</v>
      </c>
      <c r="C134" t="str">
        <v>F6V-794</v>
      </c>
      <c r="D134" t="str">
        <v>F6V-794</v>
      </c>
      <c r="E134" t="str">
        <v/>
      </c>
      <c r="F134" t="str">
        <v>865235053167082</v>
      </c>
      <c r="G134" t="str">
        <v>TBD</v>
      </c>
      <c r="H134" t="str">
        <v/>
      </c>
      <c r="I134" t="str">
        <v/>
      </c>
      <c r="J134" t="str">
        <v>01/10/2026</v>
      </c>
      <c r="K134" t="str">
        <v>16:40:21</v>
      </c>
      <c r="L134">
        <v>-12.31778</v>
      </c>
      <c r="M134">
        <v>-76.8243</v>
      </c>
      <c r="N134">
        <f>HYPERLINK("https://www.google.com/maps/search/?api=1&amp;query=-12.31778,-76.8243","Punta Hermosa, Lima")</f>
      </c>
      <c r="O134" t="str">
        <v>Vehículo encendido</v>
      </c>
      <c r="P134" t="str">
        <v/>
      </c>
      <c r="Q134">
        <v>135569.1</v>
      </c>
      <c r="R134" t="str">
        <v/>
      </c>
      <c r="S134">
        <v>0</v>
      </c>
      <c r="T134">
        <v>0</v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>
        <v>100</v>
      </c>
      <c r="AC134" t="str">
        <v>01/10/2026</v>
      </c>
      <c r="AD134" t="str">
        <v>16:40:18</v>
      </c>
      <c r="AE134">
        <f>IF("ONLINE"="NOGPS","GPS Antiguo","En línea")</f>
      </c>
      <c r="AF134">
        <f>IF(0=0,"Sin atender", IF(0=1,"Atendida","Atendida y Reportada"))</f>
      </c>
      <c r="AG134" t="str">
        <v/>
      </c>
      <c r="AH134" t="str">
        <v/>
      </c>
      <c r="AI134" t="str">
        <v/>
      </c>
      <c r="AJ134" t="str">
        <v/>
      </c>
      <c r="AK134" t="str">
        <v>01/10/2026 16:40:42</v>
      </c>
      <c r="AL134" t="str">
        <v>16:40:42</v>
      </c>
      <c r="AM134" t="str">
        <v/>
      </c>
    </row>
    <row r="135">
      <c r="A135">
        <v>134</v>
      </c>
      <c r="B135" t="str">
        <v>MASS BSF</v>
      </c>
      <c r="C135" t="str">
        <v>F6V-794</v>
      </c>
      <c r="D135" t="str">
        <v>F6V-794</v>
      </c>
      <c r="E135" t="str">
        <v/>
      </c>
      <c r="F135" t="str">
        <v>865235053167082</v>
      </c>
      <c r="G135" t="str">
        <v>TBD</v>
      </c>
      <c r="H135" t="str">
        <v/>
      </c>
      <c r="I135" t="str">
        <v xml:space="preserve"> </v>
      </c>
      <c r="J135" t="str">
        <v>01/10/2026</v>
      </c>
      <c r="K135" t="str">
        <v>16:45:39</v>
      </c>
      <c r="L135">
        <v>-12.317553</v>
      </c>
      <c r="M135">
        <v>-76.82998</v>
      </c>
      <c r="N135">
        <f>HYPERLINK("https://www.google.com/maps/search/?api=1&amp;query=-12.317553,-76.82998","Punta Hermosa, Lima")</f>
      </c>
      <c r="O135" t="str">
        <v>Salió de zona</v>
      </c>
      <c r="P135" t="str">
        <v/>
      </c>
      <c r="Q135">
        <v>135569.8</v>
      </c>
      <c r="R135" t="str">
        <v>MASS BSF 1</v>
      </c>
      <c r="S135">
        <v>20.3</v>
      </c>
      <c r="T135">
        <v>0</v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>
        <v>100</v>
      </c>
      <c r="AC135" t="str">
        <v>01/10/2026</v>
      </c>
      <c r="AD135" t="str">
        <v>16:45:36</v>
      </c>
      <c r="AE135">
        <f>IF("ONLINE"="NOGPS","GPS Antiguo","En línea")</f>
      </c>
      <c r="AF135">
        <f>IF(0=0,"Sin atender", IF(0=1,"Atendida","Atendida y Reportada"))</f>
      </c>
      <c r="AG135" t="str">
        <v/>
      </c>
      <c r="AH135" t="str">
        <v/>
      </c>
      <c r="AI135" t="str">
        <v/>
      </c>
      <c r="AJ135" t="str">
        <v/>
      </c>
      <c r="AK135" t="str">
        <v>01/10/2026 16:45:49</v>
      </c>
      <c r="AL135" t="str">
        <v>16:45:49</v>
      </c>
      <c r="AM135" t="str">
        <v/>
      </c>
    </row>
    <row r="136">
      <c r="A136">
        <v>135</v>
      </c>
      <c r="B136" t="str">
        <v>MASS BSF</v>
      </c>
      <c r="C136" t="str">
        <v>F6V-794</v>
      </c>
      <c r="D136" t="str">
        <v>F6V-794</v>
      </c>
      <c r="E136" t="str">
        <v/>
      </c>
      <c r="F136" t="str">
        <v>865235053167082</v>
      </c>
      <c r="G136" t="str">
        <v>TBD</v>
      </c>
      <c r="H136" t="str">
        <v/>
      </c>
      <c r="I136" t="str">
        <v/>
      </c>
      <c r="J136" t="str">
        <v>01/10/2026</v>
      </c>
      <c r="K136" t="str">
        <v>17:00:26</v>
      </c>
      <c r="L136">
        <v>-12.254848</v>
      </c>
      <c r="M136">
        <v>-76.9154</v>
      </c>
      <c r="N136">
        <f>HYPERLINK("https://www.google.com/maps/search/?api=1&amp;query=-12.254848,-76.9154","Antigua Panamericana Sur, Lurín, Lima")</f>
      </c>
      <c r="O136" t="str">
        <v>Bache</v>
      </c>
      <c r="P136" t="str">
        <v/>
      </c>
      <c r="Q136">
        <v>135582.7</v>
      </c>
      <c r="R136" t="str">
        <v/>
      </c>
      <c r="S136">
        <v>14.4</v>
      </c>
      <c r="T136">
        <v>0</v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>
        <v>100</v>
      </c>
      <c r="AC136" t="str">
        <v>01/10/2026</v>
      </c>
      <c r="AD136" t="str">
        <v>17:00:22</v>
      </c>
      <c r="AE136">
        <f>IF("ONLINE"="NOGPS","GPS Antiguo","En línea")</f>
      </c>
      <c r="AF136">
        <f>IF(0=0,"Sin atender", IF(0=1,"Atendida","Atendida y Reportada"))</f>
      </c>
      <c r="AG136" t="str">
        <v/>
      </c>
      <c r="AH136" t="str">
        <v/>
      </c>
      <c r="AI136" t="str">
        <v/>
      </c>
      <c r="AJ136" t="str">
        <v/>
      </c>
      <c r="AK136" t="str">
        <v>01/10/2026 17:00:31</v>
      </c>
      <c r="AL136" t="str">
        <v>17:00:31</v>
      </c>
      <c r="AM136" t="str">
        <v/>
      </c>
    </row>
    <row r="137">
      <c r="A137">
        <v>136</v>
      </c>
      <c r="B137" t="str">
        <v>MASS BSF</v>
      </c>
      <c r="C137" t="str">
        <v>F6V-794</v>
      </c>
      <c r="D137" t="str">
        <v>F6V-794</v>
      </c>
      <c r="E137" t="str">
        <v/>
      </c>
      <c r="F137" t="str">
        <v>865235053167082</v>
      </c>
      <c r="G137" t="str">
        <v>TBD</v>
      </c>
      <c r="H137" t="str">
        <v/>
      </c>
      <c r="I137" t="str">
        <v/>
      </c>
      <c r="J137" t="str">
        <v>01/10/2026</v>
      </c>
      <c r="K137" t="str">
        <v>17:01:54</v>
      </c>
      <c r="L137">
        <v>-12.255143</v>
      </c>
      <c r="M137">
        <v>-76.90818</v>
      </c>
      <c r="N137">
        <f>HYPERLINK("https://www.google.com/maps/search/?api=1&amp;query=-12.255143,-76.90818","Antigua Panamericana Sur, Lurín, Lima")</f>
      </c>
      <c r="O137" t="str">
        <v>Bache</v>
      </c>
      <c r="P137" t="str">
        <v/>
      </c>
      <c r="Q137">
        <v>135583.4</v>
      </c>
      <c r="R137" t="str">
        <v/>
      </c>
      <c r="S137">
        <v>38.7</v>
      </c>
      <c r="T137">
        <v>0</v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>
        <v>100</v>
      </c>
      <c r="AC137" t="str">
        <v>01/10/2026</v>
      </c>
      <c r="AD137" t="str">
        <v>17:01:50</v>
      </c>
      <c r="AE137">
        <f>IF("ONLINE"="NOGPS","GPS Antiguo","En línea")</f>
      </c>
      <c r="AF137">
        <f>IF(0=0,"Sin atender", IF(0=1,"Atendida","Atendida y Reportada"))</f>
      </c>
      <c r="AG137" t="str">
        <v/>
      </c>
      <c r="AH137" t="str">
        <v/>
      </c>
      <c r="AI137" t="str">
        <v/>
      </c>
      <c r="AJ137" t="str">
        <v/>
      </c>
      <c r="AK137" t="str">
        <v>01/10/2026 17:02:09</v>
      </c>
      <c r="AL137" t="str">
        <v>17:02:09</v>
      </c>
      <c r="AM137" t="str">
        <v/>
      </c>
    </row>
    <row r="138">
      <c r="A138">
        <v>137</v>
      </c>
      <c r="B138" t="str">
        <v>MASS BSF</v>
      </c>
      <c r="C138" t="str">
        <v>F6V-794</v>
      </c>
      <c r="D138" t="str">
        <v>F6V-794</v>
      </c>
      <c r="E138" t="str">
        <v/>
      </c>
      <c r="F138" t="str">
        <v>865235053167082</v>
      </c>
      <c r="G138" t="str">
        <v>TBD</v>
      </c>
      <c r="H138" t="str">
        <v/>
      </c>
      <c r="I138" t="str">
        <v/>
      </c>
      <c r="J138" t="str">
        <v>01/10/2026</v>
      </c>
      <c r="K138" t="str">
        <v>17:01:58</v>
      </c>
      <c r="L138">
        <v>-12.255033</v>
      </c>
      <c r="M138">
        <v>-76.90771</v>
      </c>
      <c r="N138">
        <f>HYPERLINK("https://www.google.com/maps/search/?api=1&amp;query=-12.255033,-76.90771","Antigua Panamericana Sur, Lurín, Lima")</f>
      </c>
      <c r="O138" t="str">
        <v>Bache</v>
      </c>
      <c r="P138" t="str">
        <v/>
      </c>
      <c r="Q138">
        <v>135583.5</v>
      </c>
      <c r="R138" t="str">
        <v/>
      </c>
      <c r="S138">
        <v>38.3</v>
      </c>
      <c r="T138">
        <v>0</v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>
        <v>100</v>
      </c>
      <c r="AC138" t="str">
        <v>01/10/2026</v>
      </c>
      <c r="AD138" t="str">
        <v>17:01:55</v>
      </c>
      <c r="AE138">
        <f>IF("ONLINE"="NOGPS","GPS Antiguo","En línea")</f>
      </c>
      <c r="AF138">
        <f>IF(0=0,"Sin atender", IF(0=1,"Atendida","Atendida y Reportada"))</f>
      </c>
      <c r="AG138" t="str">
        <v/>
      </c>
      <c r="AH138" t="str">
        <v/>
      </c>
      <c r="AI138" t="str">
        <v/>
      </c>
      <c r="AJ138" t="str">
        <v/>
      </c>
      <c r="AK138" t="str">
        <v>01/10/2026 17:02:09</v>
      </c>
      <c r="AL138" t="str">
        <v>17:02:09</v>
      </c>
      <c r="AM138" t="str">
        <v/>
      </c>
    </row>
    <row r="139">
      <c r="A139">
        <v>138</v>
      </c>
      <c r="B139" t="str">
        <v>MASS BSF</v>
      </c>
      <c r="C139" t="str">
        <v>F6V-794</v>
      </c>
      <c r="D139" t="str">
        <v>F6V-794</v>
      </c>
      <c r="E139" t="str">
        <v/>
      </c>
      <c r="F139" t="str">
        <v>865235053167082</v>
      </c>
      <c r="G139" t="str">
        <v>TBD</v>
      </c>
      <c r="H139" t="str">
        <v/>
      </c>
      <c r="I139" t="str">
        <v/>
      </c>
      <c r="J139" t="str">
        <v>01/10/2026</v>
      </c>
      <c r="K139" t="str">
        <v>17:15:18</v>
      </c>
      <c r="L139">
        <v>-12.234495</v>
      </c>
      <c r="M139">
        <v>-76.93407</v>
      </c>
      <c r="N139">
        <f>HYPERLINK("https://www.google.com/maps/search/?api=1&amp;query=-12.234495,-76.93407","Avenida Prolongación Mariano Pastor Sevilla, Villa El Salvador, Lima")</f>
      </c>
      <c r="O139" t="str">
        <v>Bache</v>
      </c>
      <c r="P139" t="str">
        <v/>
      </c>
      <c r="Q139">
        <v>135588.8</v>
      </c>
      <c r="R139" t="str">
        <v/>
      </c>
      <c r="S139">
        <v>7</v>
      </c>
      <c r="T139">
        <v>0</v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>
        <v>98</v>
      </c>
      <c r="AC139" t="str">
        <v>01/10/2026</v>
      </c>
      <c r="AD139" t="str">
        <v>17:15:14</v>
      </c>
      <c r="AE139">
        <f>IF("ONLINE"="NOGPS","GPS Antiguo","En línea")</f>
      </c>
      <c r="AF139">
        <f>IF(0=0,"Sin atender", IF(0=1,"Atendida","Atendida y Reportada"))</f>
      </c>
      <c r="AG139" t="str">
        <v/>
      </c>
      <c r="AH139" t="str">
        <v/>
      </c>
      <c r="AI139" t="str">
        <v/>
      </c>
      <c r="AJ139" t="str">
        <v/>
      </c>
      <c r="AK139" t="str">
        <v>01/10/2026 17:15:45</v>
      </c>
      <c r="AL139" t="str">
        <v>17:15:45</v>
      </c>
      <c r="AM139" t="str">
        <v/>
      </c>
    </row>
    <row r="140">
      <c r="A140">
        <v>139</v>
      </c>
      <c r="B140" t="str">
        <v>MASS BSF</v>
      </c>
      <c r="C140" t="str">
        <v>F6V-794</v>
      </c>
      <c r="D140" t="str">
        <v>F6V-794</v>
      </c>
      <c r="E140" t="str">
        <v/>
      </c>
      <c r="F140" t="str">
        <v>865235053167082</v>
      </c>
      <c r="G140" t="str">
        <v>TBD</v>
      </c>
      <c r="H140" t="str">
        <v/>
      </c>
      <c r="I140" t="str">
        <v/>
      </c>
      <c r="J140" t="str">
        <v>01/10/2026</v>
      </c>
      <c r="K140" t="str">
        <v>17:22:28</v>
      </c>
      <c r="L140">
        <v>-12.221182</v>
      </c>
      <c r="M140">
        <v>-76.952515</v>
      </c>
      <c r="N140">
        <f>HYPERLINK("https://www.google.com/maps/search/?api=1&amp;query=-12.221182,-76.952515","Avenida Separadora Agroindustrial, Villa El Salvador, Lima")</f>
      </c>
      <c r="O140" t="str">
        <v>Bache</v>
      </c>
      <c r="P140" t="str">
        <v/>
      </c>
      <c r="Q140">
        <v>135591.9</v>
      </c>
      <c r="R140" t="str">
        <v/>
      </c>
      <c r="S140">
        <v>6.2</v>
      </c>
      <c r="T140">
        <v>0</v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>
        <v>98</v>
      </c>
      <c r="AC140" t="str">
        <v>01/10/2026</v>
      </c>
      <c r="AD140" t="str">
        <v>17:22:24</v>
      </c>
      <c r="AE140">
        <f>IF("ONLINE"="NOGPS","GPS Antiguo","En línea")</f>
      </c>
      <c r="AF140">
        <f>IF(0=0,"Sin atender", IF(0=1,"Atendida","Atendida y Reportada"))</f>
      </c>
      <c r="AG140" t="str">
        <v/>
      </c>
      <c r="AH140" t="str">
        <v/>
      </c>
      <c r="AI140" t="str">
        <v/>
      </c>
      <c r="AJ140" t="str">
        <v/>
      </c>
      <c r="AK140" t="str">
        <v>01/10/2026 17:22:39</v>
      </c>
      <c r="AL140" t="str">
        <v>17:22:39</v>
      </c>
      <c r="AM140" t="str">
        <v/>
      </c>
    </row>
    <row r="141">
      <c r="A141">
        <v>140</v>
      </c>
      <c r="B141" t="str">
        <v>MASS BSF</v>
      </c>
      <c r="C141" t="str">
        <v>F6V-794</v>
      </c>
      <c r="D141" t="str">
        <v>F6V-794</v>
      </c>
      <c r="E141" t="str">
        <v/>
      </c>
      <c r="F141" t="str">
        <v>865235053167082</v>
      </c>
      <c r="G141" t="str">
        <v>TBD</v>
      </c>
      <c r="H141" t="str">
        <v/>
      </c>
      <c r="I141" t="str">
        <v xml:space="preserve"> </v>
      </c>
      <c r="J141" t="str">
        <v>01/10/2026</v>
      </c>
      <c r="K141" t="str">
        <v>17:30:41</v>
      </c>
      <c r="L141">
        <v>-12.212858</v>
      </c>
      <c r="M141">
        <v>-76.9593</v>
      </c>
      <c r="N141">
        <f>HYPERLINK("https://www.google.com/maps/search/?api=1&amp;query=-12.212858,-76.9593","Avenida Villa del Mar, Villa El Salvador, Lima")</f>
      </c>
      <c r="O141" t="str">
        <v>Llegó a la zona</v>
      </c>
      <c r="P141" t="str">
        <v/>
      </c>
      <c r="Q141">
        <v>135593.8</v>
      </c>
      <c r="R141" t="str">
        <v>BASE-OSLOGISTICS</v>
      </c>
      <c r="S141">
        <v>8.7</v>
      </c>
      <c r="T141">
        <v>0</v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>
        <v>99</v>
      </c>
      <c r="AC141" t="str">
        <v>01/10/2026</v>
      </c>
      <c r="AD141" t="str">
        <v>17:30:38</v>
      </c>
      <c r="AE141">
        <f>IF("ONLINE"="NOGPS","GPS Antiguo","En línea")</f>
      </c>
      <c r="AF141">
        <f>IF(0=0,"Sin atender", IF(0=1,"Atendida","Atendida y Reportada"))</f>
      </c>
      <c r="AG141" t="str">
        <v/>
      </c>
      <c r="AH141" t="str">
        <v/>
      </c>
      <c r="AI141" t="str">
        <v/>
      </c>
      <c r="AJ141" t="str">
        <v/>
      </c>
      <c r="AK141" t="str">
        <v>01/10/2026 17:30:51</v>
      </c>
      <c r="AL141" t="str">
        <v>17:30:51</v>
      </c>
      <c r="AM141" t="str">
        <v/>
      </c>
    </row>
    <row r="142">
      <c r="A142">
        <v>141</v>
      </c>
      <c r="B142" t="str">
        <v>MASS BSF</v>
      </c>
      <c r="C142" t="str">
        <v>F6V-794</v>
      </c>
      <c r="D142" t="str">
        <v>F6V-794</v>
      </c>
      <c r="E142" t="str">
        <v/>
      </c>
      <c r="F142" t="str">
        <v>865235053167082</v>
      </c>
      <c r="G142" t="str">
        <v>TBD</v>
      </c>
      <c r="H142" t="str">
        <v/>
      </c>
      <c r="I142" t="str">
        <v/>
      </c>
      <c r="J142" t="str">
        <v>01/10/2026</v>
      </c>
      <c r="K142" t="str">
        <v>17:32:03</v>
      </c>
      <c r="L142">
        <v>-12.212858</v>
      </c>
      <c r="M142">
        <v>-76.95888</v>
      </c>
      <c r="N142">
        <f>HYPERLINK("https://www.google.com/maps/search/?api=1&amp;query=-12.212858,-76.95888","Avenida Villa del Mar, Villa El Salvador, Lima")</f>
      </c>
      <c r="O142" t="str">
        <v>Vehículo apagado</v>
      </c>
      <c r="P142" t="str">
        <v>Vehículo Apagado</v>
      </c>
      <c r="Q142">
        <v>135593.9</v>
      </c>
      <c r="R142" t="str">
        <v/>
      </c>
      <c r="S142">
        <v>0</v>
      </c>
      <c r="T142">
        <v>0</v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>
        <v>98</v>
      </c>
      <c r="AC142" t="str">
        <v>01/10/2026</v>
      </c>
      <c r="AD142" t="str">
        <v>17:31:59</v>
      </c>
      <c r="AE142">
        <f>IF("ONLINE"="NOGPS","GPS Antiguo","En línea")</f>
      </c>
      <c r="AF142">
        <f>IF(0=0,"Sin atender", IF(0=1,"Atendida","Atendida y Reportada"))</f>
      </c>
      <c r="AG142" t="str">
        <v/>
      </c>
      <c r="AH142" t="str">
        <v/>
      </c>
      <c r="AI142" t="str">
        <v/>
      </c>
      <c r="AJ142" t="str">
        <v/>
      </c>
      <c r="AK142" t="str">
        <v>01/10/2026 17:32:16</v>
      </c>
      <c r="AL142" t="str">
        <v>17:32:16</v>
      </c>
      <c r="AM142" t="str">
        <v/>
      </c>
    </row>
    <row r="143">
      <c r="A143">
        <v>142</v>
      </c>
      <c r="B143" t="str">
        <v>MASS BSF</v>
      </c>
      <c r="C143" t="str">
        <v>F6V-794</v>
      </c>
      <c r="D143" t="str">
        <v>F6V-794</v>
      </c>
      <c r="E143" t="str">
        <v/>
      </c>
      <c r="F143" t="str">
        <v>865235053167082</v>
      </c>
      <c r="G143" t="str">
        <v>TBD</v>
      </c>
      <c r="H143" t="str">
        <v/>
      </c>
      <c r="I143" t="str">
        <v/>
      </c>
      <c r="J143" t="str">
        <v>01/10/2026</v>
      </c>
      <c r="K143" t="str">
        <v>17:36:57</v>
      </c>
      <c r="L143">
        <v>-12.212858</v>
      </c>
      <c r="M143">
        <v>-76.95888</v>
      </c>
      <c r="N143">
        <f>HYPERLINK("https://www.google.com/maps/search/?api=1&amp;query=-12.212858,-76.95888","Avenida Villa del Mar, Villa El Salvador, Lima")</f>
      </c>
      <c r="O143" t="str">
        <v>Vehículo encendido</v>
      </c>
      <c r="P143" t="str">
        <v/>
      </c>
      <c r="Q143">
        <v>135593.9</v>
      </c>
      <c r="R143" t="str">
        <v/>
      </c>
      <c r="S143">
        <v>0</v>
      </c>
      <c r="T143">
        <v>0</v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>
        <v>98</v>
      </c>
      <c r="AC143" t="str">
        <v>01/10/2026</v>
      </c>
      <c r="AD143" t="str">
        <v>17:36:53</v>
      </c>
      <c r="AE143">
        <f>IF("ONLINE"="NOGPS","GPS Antiguo","En línea")</f>
      </c>
      <c r="AF143">
        <f>IF(0=0,"Sin atender", IF(0=1,"Atendida","Atendida y Reportada"))</f>
      </c>
      <c r="AG143" t="str">
        <v/>
      </c>
      <c r="AH143" t="str">
        <v/>
      </c>
      <c r="AI143" t="str">
        <v/>
      </c>
      <c r="AJ143" t="str">
        <v/>
      </c>
      <c r="AK143" t="str">
        <v>01/10/2026 17:37:10</v>
      </c>
      <c r="AL143" t="str">
        <v>17:37:10</v>
      </c>
      <c r="AM143" t="str">
        <v/>
      </c>
    </row>
    <row r="144">
      <c r="A144">
        <v>143</v>
      </c>
      <c r="B144" t="str">
        <v>MASS BSF</v>
      </c>
      <c r="C144" t="str">
        <v>F6V-794</v>
      </c>
      <c r="D144" t="str">
        <v>F6V-794</v>
      </c>
      <c r="E144" t="str">
        <v/>
      </c>
      <c r="F144" t="str">
        <v>865235053167082</v>
      </c>
      <c r="G144" t="str">
        <v>TBD</v>
      </c>
      <c r="H144" t="str">
        <v/>
      </c>
      <c r="I144" t="str">
        <v/>
      </c>
      <c r="J144" t="str">
        <v>01/10/2026</v>
      </c>
      <c r="K144" t="str">
        <v>17:38:14</v>
      </c>
      <c r="L144">
        <v>-12.212988</v>
      </c>
      <c r="M144">
        <v>-76.95904</v>
      </c>
      <c r="N144">
        <f>HYPERLINK("https://www.google.com/maps/search/?api=1&amp;query=-12.212988,-76.95904","Avenida Villa del Mar, Villa El Salvador, Lima")</f>
      </c>
      <c r="O144" t="str">
        <v>Se detuvo</v>
      </c>
      <c r="P144" t="str">
        <v>Unidad se detuvo</v>
      </c>
      <c r="Q144">
        <v>135593.9</v>
      </c>
      <c r="R144" t="str">
        <v/>
      </c>
      <c r="S144">
        <v>0</v>
      </c>
      <c r="T144">
        <v>0</v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>
        <v>98</v>
      </c>
      <c r="AC144" t="str">
        <v>01/10/2026</v>
      </c>
      <c r="AD144" t="str">
        <v>17:38:10</v>
      </c>
      <c r="AE144">
        <f>IF("ONLINE"="NOGPS","GPS Antiguo","En línea")</f>
      </c>
      <c r="AF144">
        <f>IF(0=0,"Sin atender", IF(0=1,"Atendida","Atendida y Reportada"))</f>
      </c>
      <c r="AG144" t="str">
        <v/>
      </c>
      <c r="AH144" t="str">
        <v/>
      </c>
      <c r="AI144" t="str">
        <v/>
      </c>
      <c r="AJ144" t="str">
        <v/>
      </c>
      <c r="AK144" t="str">
        <v>01/10/2026 17:38:35</v>
      </c>
      <c r="AL144" t="str">
        <v>17:38:35</v>
      </c>
      <c r="AM144" t="str">
        <v/>
      </c>
    </row>
    <row r="145">
      <c r="A145">
        <v>144</v>
      </c>
      <c r="B145" t="str">
        <v>MASS BSF</v>
      </c>
      <c r="C145" t="str">
        <v>F6V-794</v>
      </c>
      <c r="D145" t="str">
        <v>F6V-794</v>
      </c>
      <c r="E145" t="str">
        <v/>
      </c>
      <c r="F145" t="str">
        <v>865235053167082</v>
      </c>
      <c r="G145" t="str">
        <v>TBD</v>
      </c>
      <c r="H145" t="str">
        <v/>
      </c>
      <c r="I145" t="str">
        <v/>
      </c>
      <c r="J145" t="str">
        <v>01/10/2026</v>
      </c>
      <c r="K145" t="str">
        <v>17:38:36</v>
      </c>
      <c r="L145">
        <v>-12.212988</v>
      </c>
      <c r="M145">
        <v>-76.95904</v>
      </c>
      <c r="N145">
        <f>HYPERLINK("https://www.google.com/maps/search/?api=1&amp;query=-12.212988,-76.95904","Avenida Villa del Mar, Villa El Salvador, Lima")</f>
      </c>
      <c r="O145" t="str">
        <v>Vehículo apagado</v>
      </c>
      <c r="P145" t="str">
        <v>Vehículo Apagado</v>
      </c>
      <c r="Q145">
        <v>135593.9</v>
      </c>
      <c r="R145" t="str">
        <v/>
      </c>
      <c r="S145">
        <v>0</v>
      </c>
      <c r="T145">
        <v>0</v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>
        <v>98</v>
      </c>
      <c r="AC145" t="str">
        <v>01/10/2026</v>
      </c>
      <c r="AD145" t="str">
        <v>17:38:32</v>
      </c>
      <c r="AE145">
        <f>IF("ONLINE"="NOGPS","GPS Antiguo","En línea")</f>
      </c>
      <c r="AF145">
        <f>IF(0=0,"Sin atender", IF(0=1,"Atendida","Atendida y Reportada"))</f>
      </c>
      <c r="AG145" t="str">
        <v/>
      </c>
      <c r="AH145" t="str">
        <v/>
      </c>
      <c r="AI145" t="str">
        <v/>
      </c>
      <c r="AJ145" t="str">
        <v/>
      </c>
      <c r="AK145" t="str">
        <v>01/10/2026 17:38:56</v>
      </c>
      <c r="AL145" t="str">
        <v>17:38:56</v>
      </c>
      <c r="AM145" t="str">
        <v/>
      </c>
    </row>
  </sheetData>
  <ignoredErrors>
    <ignoredError numberStoredAsText="1" sqref="A1:AM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