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porte.ope4\Pictures\AS\Automatizaciones\MASS\REPORTE ALERTAS ONWAY\alertas_onway\setiembre\01-10-2026\"/>
    </mc:Choice>
  </mc:AlternateContent>
  <xr:revisionPtr revIDLastSave="0" documentId="13_ncr:1_{A2B5C632-CE10-4207-A4DC-A2D35647A7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1" i="1" l="1"/>
  <c r="AE81" i="1"/>
  <c r="N81" i="1"/>
  <c r="AF80" i="1"/>
  <c r="AE80" i="1"/>
  <c r="N80" i="1"/>
  <c r="AF79" i="1"/>
  <c r="AE79" i="1"/>
  <c r="N79" i="1"/>
  <c r="AF78" i="1"/>
  <c r="AE78" i="1"/>
  <c r="N78" i="1"/>
  <c r="AF77" i="1"/>
  <c r="AE77" i="1"/>
  <c r="N77" i="1"/>
  <c r="AF76" i="1"/>
  <c r="AE76" i="1"/>
  <c r="N76" i="1"/>
  <c r="AF75" i="1"/>
  <c r="AE75" i="1"/>
  <c r="N75" i="1"/>
  <c r="AF74" i="1"/>
  <c r="AE74" i="1"/>
  <c r="N74" i="1"/>
  <c r="AF73" i="1"/>
  <c r="AE73" i="1"/>
  <c r="N73" i="1"/>
  <c r="AF72" i="1"/>
  <c r="AE72" i="1"/>
  <c r="N72" i="1"/>
  <c r="AF71" i="1"/>
  <c r="AE71" i="1"/>
  <c r="N71" i="1"/>
  <c r="AF70" i="1"/>
  <c r="AE70" i="1"/>
  <c r="N70" i="1"/>
  <c r="AF69" i="1"/>
  <c r="AE69" i="1"/>
  <c r="N69" i="1"/>
  <c r="AF68" i="1"/>
  <c r="AE68" i="1"/>
  <c r="N68" i="1"/>
  <c r="AF67" i="1"/>
  <c r="AE67" i="1"/>
  <c r="N67" i="1"/>
  <c r="AF66" i="1"/>
  <c r="AE66" i="1"/>
  <c r="N66" i="1"/>
  <c r="AF65" i="1"/>
  <c r="AE65" i="1"/>
  <c r="N65" i="1"/>
  <c r="AF64" i="1"/>
  <c r="AE64" i="1"/>
  <c r="N64" i="1"/>
  <c r="AF63" i="1"/>
  <c r="AE63" i="1"/>
  <c r="N63" i="1"/>
  <c r="AF62" i="1"/>
  <c r="AE62" i="1"/>
  <c r="N62" i="1"/>
  <c r="AF61" i="1"/>
  <c r="AE61" i="1"/>
  <c r="N61" i="1"/>
  <c r="AF60" i="1"/>
  <c r="AE60" i="1"/>
  <c r="N60" i="1"/>
  <c r="AF59" i="1"/>
  <c r="AE59" i="1"/>
  <c r="N59" i="1"/>
  <c r="AF58" i="1"/>
  <c r="AE58" i="1"/>
  <c r="N58" i="1"/>
  <c r="AF57" i="1"/>
  <c r="AE57" i="1"/>
  <c r="N57" i="1"/>
  <c r="AF56" i="1"/>
  <c r="AE56" i="1"/>
  <c r="N56" i="1"/>
  <c r="AF55" i="1"/>
  <c r="AE55" i="1"/>
  <c r="N55" i="1"/>
  <c r="AF54" i="1"/>
  <c r="AE54" i="1"/>
  <c r="N54" i="1"/>
  <c r="AF53" i="1"/>
  <c r="AE53" i="1"/>
  <c r="N53" i="1"/>
  <c r="AF52" i="1"/>
  <c r="AE52" i="1"/>
  <c r="N52" i="1"/>
  <c r="AF51" i="1"/>
  <c r="AE51" i="1"/>
  <c r="N51" i="1"/>
  <c r="AF50" i="1"/>
  <c r="AE50" i="1"/>
  <c r="N50" i="1"/>
  <c r="AF49" i="1"/>
  <c r="AE49" i="1"/>
  <c r="N49" i="1"/>
  <c r="AF48" i="1"/>
  <c r="AE48" i="1"/>
  <c r="N48" i="1"/>
  <c r="AF47" i="1"/>
  <c r="AE47" i="1"/>
  <c r="N47" i="1"/>
  <c r="AF46" i="1"/>
  <c r="AE46" i="1"/>
  <c r="N46" i="1"/>
  <c r="AF45" i="1"/>
  <c r="AE45" i="1"/>
  <c r="N45" i="1"/>
  <c r="AF44" i="1"/>
  <c r="AE44" i="1"/>
  <c r="N44" i="1"/>
  <c r="AF43" i="1"/>
  <c r="AE43" i="1"/>
  <c r="N43" i="1"/>
  <c r="AF42" i="1"/>
  <c r="AE42" i="1"/>
  <c r="N42" i="1"/>
  <c r="AF41" i="1"/>
  <c r="AE41" i="1"/>
  <c r="N41" i="1"/>
  <c r="AF40" i="1"/>
  <c r="AE40" i="1"/>
  <c r="N40" i="1"/>
  <c r="AF39" i="1"/>
  <c r="AE39" i="1"/>
  <c r="N39" i="1"/>
  <c r="AF38" i="1"/>
  <c r="AE38" i="1"/>
  <c r="N38" i="1"/>
  <c r="AF37" i="1"/>
  <c r="AE37" i="1"/>
  <c r="N37" i="1"/>
  <c r="AF36" i="1"/>
  <c r="AE36" i="1"/>
  <c r="N36" i="1"/>
  <c r="AF35" i="1"/>
  <c r="AE35" i="1"/>
  <c r="N35" i="1"/>
  <c r="AF34" i="1"/>
  <c r="AE34" i="1"/>
  <c r="N34" i="1"/>
  <c r="AF33" i="1"/>
  <c r="AE33" i="1"/>
  <c r="N33" i="1"/>
  <c r="AF32" i="1"/>
  <c r="AE32" i="1"/>
  <c r="N32" i="1"/>
  <c r="AF31" i="1"/>
  <c r="AE31" i="1"/>
  <c r="N31" i="1"/>
  <c r="AF30" i="1"/>
  <c r="AE30" i="1"/>
  <c r="N30" i="1"/>
  <c r="AF29" i="1"/>
  <c r="AE29" i="1"/>
  <c r="N29" i="1"/>
  <c r="AF28" i="1"/>
  <c r="AE28" i="1"/>
  <c r="N28" i="1"/>
  <c r="AF27" i="1"/>
  <c r="AE27" i="1"/>
  <c r="N27" i="1"/>
  <c r="AF26" i="1"/>
  <c r="AE26" i="1"/>
  <c r="N26" i="1"/>
  <c r="AF25" i="1"/>
  <c r="AE25" i="1"/>
  <c r="N25" i="1"/>
  <c r="AF24" i="1"/>
  <c r="AE24" i="1"/>
  <c r="N24" i="1"/>
  <c r="AF23" i="1"/>
  <c r="AE23" i="1"/>
  <c r="N23" i="1"/>
  <c r="AF22" i="1"/>
  <c r="AE22" i="1"/>
  <c r="N22" i="1"/>
  <c r="AF21" i="1"/>
  <c r="AE21" i="1"/>
  <c r="N21" i="1"/>
  <c r="AF20" i="1"/>
  <c r="AE20" i="1"/>
  <c r="N20" i="1"/>
  <c r="AF19" i="1"/>
  <c r="AE19" i="1"/>
  <c r="N19" i="1"/>
  <c r="AF18" i="1"/>
  <c r="AE18" i="1"/>
  <c r="N18" i="1"/>
  <c r="AF17" i="1"/>
  <c r="AE17" i="1"/>
  <c r="N17" i="1"/>
  <c r="AF16" i="1"/>
  <c r="AE16" i="1"/>
  <c r="N16" i="1"/>
  <c r="AF15" i="1"/>
  <c r="AE15" i="1"/>
  <c r="N15" i="1"/>
  <c r="AF14" i="1"/>
  <c r="AE14" i="1"/>
  <c r="N14" i="1"/>
  <c r="AF13" i="1"/>
  <c r="AE13" i="1"/>
  <c r="N13" i="1"/>
  <c r="AF12" i="1"/>
  <c r="AE12" i="1"/>
  <c r="N12" i="1"/>
  <c r="AF11" i="1"/>
  <c r="AE11" i="1"/>
  <c r="N11" i="1"/>
  <c r="AF10" i="1"/>
  <c r="AE10" i="1"/>
  <c r="N10" i="1"/>
  <c r="AF9" i="1"/>
  <c r="AE9" i="1"/>
  <c r="N9" i="1"/>
  <c r="AF8" i="1"/>
  <c r="AE8" i="1"/>
  <c r="N8" i="1"/>
  <c r="AF7" i="1"/>
  <c r="AE7" i="1"/>
  <c r="N7" i="1"/>
  <c r="AF6" i="1"/>
  <c r="AE6" i="1"/>
  <c r="N6" i="1"/>
  <c r="AF5" i="1"/>
  <c r="AE5" i="1"/>
  <c r="N5" i="1"/>
  <c r="AF4" i="1"/>
  <c r="AE4" i="1"/>
  <c r="N4" i="1"/>
  <c r="AF3" i="1"/>
  <c r="AE3" i="1"/>
  <c r="N3" i="1"/>
  <c r="AF2" i="1"/>
  <c r="AE2" i="1"/>
  <c r="N2" i="1"/>
</calcChain>
</file>

<file path=xl/sharedStrings.xml><?xml version="1.0" encoding="utf-8"?>
<sst xmlns="http://schemas.openxmlformats.org/spreadsheetml/2006/main" count="2359" uniqueCount="451">
  <si>
    <t>Secuencia</t>
  </si>
  <si>
    <t>Grupo</t>
  </si>
  <si>
    <t>Alias</t>
  </si>
  <si>
    <t>Placa/Patente</t>
  </si>
  <si>
    <t>Etiquetas</t>
  </si>
  <si>
    <t>IMEI</t>
  </si>
  <si>
    <t>Tipo de carrocería</t>
  </si>
  <si>
    <t>Empresa</t>
  </si>
  <si>
    <t>Conductor</t>
  </si>
  <si>
    <t>Fecha</t>
  </si>
  <si>
    <t>Hora</t>
  </si>
  <si>
    <t>Latitud</t>
  </si>
  <si>
    <t>Longitud</t>
  </si>
  <si>
    <t>Dirección</t>
  </si>
  <si>
    <t>Alerta</t>
  </si>
  <si>
    <t>Alerta alias</t>
  </si>
  <si>
    <t>Odómetro (Km)</t>
  </si>
  <si>
    <t>Zona</t>
  </si>
  <si>
    <t>Velocidad (Km/h)</t>
  </si>
  <si>
    <t>Horómetro (Hrs)</t>
  </si>
  <si>
    <t>Velocidad máxima permitida</t>
  </si>
  <si>
    <t>Velocidad máxima alcanzada</t>
  </si>
  <si>
    <t>Velocidad promedio</t>
  </si>
  <si>
    <t>Duración (segundos)</t>
  </si>
  <si>
    <t>Severidad de la alerta</t>
  </si>
  <si>
    <t>Fecha y hora de inicio del exceso</t>
  </si>
  <si>
    <t>Fecha y hora de fin del exceso</t>
  </si>
  <si>
    <t>% Batería</t>
  </si>
  <si>
    <t>Fecha GPS</t>
  </si>
  <si>
    <t>Hora GPS</t>
  </si>
  <si>
    <t>Estado GPS</t>
  </si>
  <si>
    <t>Atención Alerta</t>
  </si>
  <si>
    <t>Reporte de Alerta</t>
  </si>
  <si>
    <t>Fecha Reporte Al.</t>
  </si>
  <si>
    <t>Hora Reporte Al.</t>
  </si>
  <si>
    <t>Registro de Atención</t>
  </si>
  <si>
    <t>Fecha Registro At.</t>
  </si>
  <si>
    <t>Hora Registro At.</t>
  </si>
  <si>
    <t>Notas</t>
  </si>
  <si>
    <t>MASS BSF</t>
  </si>
  <si>
    <t>CPH-709</t>
  </si>
  <si>
    <t/>
  </si>
  <si>
    <t>867162029835154</t>
  </si>
  <si>
    <t>TBD</t>
  </si>
  <si>
    <t>01/10/2026</t>
  </si>
  <si>
    <t>05:42:08</t>
  </si>
  <si>
    <t>Vehículo encendido</t>
  </si>
  <si>
    <t>05:29:10</t>
  </si>
  <si>
    <t>01/10/2026 05:42:24</t>
  </si>
  <si>
    <t>05:42:24</t>
  </si>
  <si>
    <t>05:46:30</t>
  </si>
  <si>
    <t>Vehículo apagado</t>
  </si>
  <si>
    <t>Vehículo Apagado</t>
  </si>
  <si>
    <t>05:46:32</t>
  </si>
  <si>
    <t>01/10/2026 05:47:15</t>
  </si>
  <si>
    <t>05:47:15</t>
  </si>
  <si>
    <t>06:04:52</t>
  </si>
  <si>
    <t>01/10/2026 06:05:05</t>
  </si>
  <si>
    <t>06:05:05</t>
  </si>
  <si>
    <t xml:space="preserve"> </t>
  </si>
  <si>
    <t>06:16:00</t>
  </si>
  <si>
    <t>Salió de zona</t>
  </si>
  <si>
    <t>BASE-OSLOGISTICS</t>
  </si>
  <si>
    <t>06:15:51</t>
  </si>
  <si>
    <t>01/10/2026 06:16:13</t>
  </si>
  <si>
    <t>06:16:13</t>
  </si>
  <si>
    <t>06:43:04</t>
  </si>
  <si>
    <t>Excedió el límite de velocidad</t>
  </si>
  <si>
    <t>06:43:03</t>
  </si>
  <si>
    <t>01/10/2026 06:43:15</t>
  </si>
  <si>
    <t>06:43:15</t>
  </si>
  <si>
    <t>06:44:13</t>
  </si>
  <si>
    <t>06:44:12</t>
  </si>
  <si>
    <t>01/10/2026 06:44:32</t>
  </si>
  <si>
    <t>06:44:32</t>
  </si>
  <si>
    <t>06:53:57</t>
  </si>
  <si>
    <t>Llegó a la zona</t>
  </si>
  <si>
    <t>MASS BSF 1</t>
  </si>
  <si>
    <t>01/10/2026 06:54:11</t>
  </si>
  <si>
    <t>06:54:11</t>
  </si>
  <si>
    <t>07:00:21</t>
  </si>
  <si>
    <t>06:59:51</t>
  </si>
  <si>
    <t>01/10/2026 07:00:39</t>
  </si>
  <si>
    <t>07:00:39</t>
  </si>
  <si>
    <t>07:04:47</t>
  </si>
  <si>
    <t>07:00:23</t>
  </si>
  <si>
    <t>01/10/2026 07:05:07</t>
  </si>
  <si>
    <t>07:05:07</t>
  </si>
  <si>
    <t>07:14:31</t>
  </si>
  <si>
    <t>07:14:03</t>
  </si>
  <si>
    <t>01/10/2026 07:14:40</t>
  </si>
  <si>
    <t>07:14:40</t>
  </si>
  <si>
    <t>07:50:25</t>
  </si>
  <si>
    <t>07:42:01</t>
  </si>
  <si>
    <t>01/10/2026 07:50:39</t>
  </si>
  <si>
    <t>07:50:39</t>
  </si>
  <si>
    <t>07:55:20</t>
  </si>
  <si>
    <t>07:55:22</t>
  </si>
  <si>
    <t>01/10/2026 07:55:44</t>
  </si>
  <si>
    <t>07:55:44</t>
  </si>
  <si>
    <t>08:28:58</t>
  </si>
  <si>
    <t>08:22:49</t>
  </si>
  <si>
    <t>01/10/2026 08:29:15</t>
  </si>
  <si>
    <t>08:29:15</t>
  </si>
  <si>
    <t>08:35:03</t>
  </si>
  <si>
    <t>08:35:00</t>
  </si>
  <si>
    <t>01/10/2026 08:35:17</t>
  </si>
  <si>
    <t>08:35:17</t>
  </si>
  <si>
    <t>08:44:37</t>
  </si>
  <si>
    <t>08:44:36</t>
  </si>
  <si>
    <t>01/10/2026 08:45:01</t>
  </si>
  <si>
    <t>08:45:01</t>
  </si>
  <si>
    <t>08:46:40</t>
  </si>
  <si>
    <t>08:46:39</t>
  </si>
  <si>
    <t>01/10/2026 08:47:04</t>
  </si>
  <si>
    <t>08:47:04</t>
  </si>
  <si>
    <t>09:06:03</t>
  </si>
  <si>
    <t>793-CANEVARO4SJM MS</t>
  </si>
  <si>
    <t>09:06:00</t>
  </si>
  <si>
    <t>01/10/2026 09:06:15</t>
  </si>
  <si>
    <t>09:06:15</t>
  </si>
  <si>
    <t>09:07:14</t>
  </si>
  <si>
    <t>09:07:17</t>
  </si>
  <si>
    <t>01/10/2026 09:07:30</t>
  </si>
  <si>
    <t>09:07:30</t>
  </si>
  <si>
    <t>09:10:48</t>
  </si>
  <si>
    <t>01/10/2026 09:11:07</t>
  </si>
  <si>
    <t>09:11:07</t>
  </si>
  <si>
    <t>09:11:58</t>
  </si>
  <si>
    <t>09:11:01</t>
  </si>
  <si>
    <t>01/10/2026 09:12:07</t>
  </si>
  <si>
    <t>09:12:07</t>
  </si>
  <si>
    <t>09:44:31</t>
  </si>
  <si>
    <t>09:39:25</t>
  </si>
  <si>
    <t>01/10/2026 09:44:46</t>
  </si>
  <si>
    <t>09:44:46</t>
  </si>
  <si>
    <t>09:45:44</t>
  </si>
  <si>
    <t>09:45:29</t>
  </si>
  <si>
    <t>01/10/2026 09:45:53</t>
  </si>
  <si>
    <t>09:45:53</t>
  </si>
  <si>
    <t>09:46:44</t>
  </si>
  <si>
    <t>2766-GUILLE7 SJM MS</t>
  </si>
  <si>
    <t>09:46:29</t>
  </si>
  <si>
    <t>01/10/2026 09:46:53</t>
  </si>
  <si>
    <t>09:46:53</t>
  </si>
  <si>
    <t>09:47:44</t>
  </si>
  <si>
    <t>09:47:29</t>
  </si>
  <si>
    <t>01/10/2026 09:48:02</t>
  </si>
  <si>
    <t>09:48:02</t>
  </si>
  <si>
    <t>09:48:26</t>
  </si>
  <si>
    <t>335-SAN JUAN 9</t>
  </si>
  <si>
    <t>01/10/2026 09:48:39</t>
  </si>
  <si>
    <t>09:48:39</t>
  </si>
  <si>
    <t>09:49:44</t>
  </si>
  <si>
    <t>09:49:29</t>
  </si>
  <si>
    <t>01/10/2026 09:49:59</t>
  </si>
  <si>
    <t>09:49:59</t>
  </si>
  <si>
    <t>10:03:52</t>
  </si>
  <si>
    <t>10:03:29</t>
  </si>
  <si>
    <t>01/10/2026 10:03:56</t>
  </si>
  <si>
    <t>10:03:56</t>
  </si>
  <si>
    <t>10:23:41</t>
  </si>
  <si>
    <t>10:03:55</t>
  </si>
  <si>
    <t>01/10/2026 10:23:51</t>
  </si>
  <si>
    <t>10:23:51</t>
  </si>
  <si>
    <t>10:23:56</t>
  </si>
  <si>
    <t>1307-CANEVAC31SJM MS</t>
  </si>
  <si>
    <t>01/10/2026 10:24:12</t>
  </si>
  <si>
    <t>10:24:12</t>
  </si>
  <si>
    <t>10:24:38</t>
  </si>
  <si>
    <t>01/10/2026 10:24:58</t>
  </si>
  <si>
    <t>10:24:58</t>
  </si>
  <si>
    <t>10:33:12</t>
  </si>
  <si>
    <t>1317-UMAMAC17 SJM MS</t>
  </si>
  <si>
    <t>10:33:11</t>
  </si>
  <si>
    <t>01/10/2026 10:33:17</t>
  </si>
  <si>
    <t>10:33:17</t>
  </si>
  <si>
    <t>10:33:23</t>
  </si>
  <si>
    <t>01/10/2026 10:33:34</t>
  </si>
  <si>
    <t>10:33:34</t>
  </si>
  <si>
    <t>10:45:18</t>
  </si>
  <si>
    <t>10:33:25</t>
  </si>
  <si>
    <t>01/10/2026 10:45:26</t>
  </si>
  <si>
    <t>10:45:26</t>
  </si>
  <si>
    <t>10:46:56</t>
  </si>
  <si>
    <t>10:46:55</t>
  </si>
  <si>
    <t>01/10/2026 10:47:07</t>
  </si>
  <si>
    <t>10:47:07</t>
  </si>
  <si>
    <t>10:50:30</t>
  </si>
  <si>
    <t>Exceso de velocidad en segmento vial</t>
  </si>
  <si>
    <t>10:50:16</t>
  </si>
  <si>
    <t>01/10/2026 10:50:55</t>
  </si>
  <si>
    <t>10:50:55</t>
  </si>
  <si>
    <t>11:00:08</t>
  </si>
  <si>
    <t>11:00:07</t>
  </si>
  <si>
    <t>01/10/2026 11:00:20</t>
  </si>
  <si>
    <t>11:00:20</t>
  </si>
  <si>
    <t>11:00:58</t>
  </si>
  <si>
    <t>01/10/2026 11:01:12</t>
  </si>
  <si>
    <t>11:01:12</t>
  </si>
  <si>
    <t>11:01:29</t>
  </si>
  <si>
    <t>11:01:28</t>
  </si>
  <si>
    <t>01/10/2026 11:02:16</t>
  </si>
  <si>
    <t>11:02:16</t>
  </si>
  <si>
    <t>11:01:59</t>
  </si>
  <si>
    <t>11:01:58</t>
  </si>
  <si>
    <t>01/10/2026 11:02:23</t>
  </si>
  <si>
    <t>11:02:23</t>
  </si>
  <si>
    <t>11:02:26</t>
  </si>
  <si>
    <t>11:02:25</t>
  </si>
  <si>
    <t>01/10/2026 11:02:36</t>
  </si>
  <si>
    <t>11:02:36</t>
  </si>
  <si>
    <t>11:04:53</t>
  </si>
  <si>
    <t>11:04:52</t>
  </si>
  <si>
    <t>01/10/2026 11:05:03</t>
  </si>
  <si>
    <t>11:05:03</t>
  </si>
  <si>
    <t>11:08:56</t>
  </si>
  <si>
    <t>11:08:55</t>
  </si>
  <si>
    <t>01/10/2026 11:09:04</t>
  </si>
  <si>
    <t>11:09:04</t>
  </si>
  <si>
    <t>11:09:35</t>
  </si>
  <si>
    <t>11:09:34</t>
  </si>
  <si>
    <t>01/10/2026 11:09:54</t>
  </si>
  <si>
    <t>11:09:54</t>
  </si>
  <si>
    <t>11:10:30</t>
  </si>
  <si>
    <t>11:10:16</t>
  </si>
  <si>
    <t>01/10/2026 11:10:42</t>
  </si>
  <si>
    <t>11:10:42</t>
  </si>
  <si>
    <t>11:14:29</t>
  </si>
  <si>
    <t>11:14:28</t>
  </si>
  <si>
    <t>01/10/2026 11:14:44</t>
  </si>
  <si>
    <t>11:14:44</t>
  </si>
  <si>
    <t>11:18:39</t>
  </si>
  <si>
    <t>11:17:16</t>
  </si>
  <si>
    <t>01/10/2026 11:18:45</t>
  </si>
  <si>
    <t>11:18:45</t>
  </si>
  <si>
    <t>11:36:28</t>
  </si>
  <si>
    <t>11:18:42</t>
  </si>
  <si>
    <t>01/10/2026 11:36:47</t>
  </si>
  <si>
    <t>11:36:47</t>
  </si>
  <si>
    <t>11:59:30</t>
  </si>
  <si>
    <t>11:58:57</t>
  </si>
  <si>
    <t>01/10/2026 11:59:44</t>
  </si>
  <si>
    <t>11:59:44</t>
  </si>
  <si>
    <t>12:01:32</t>
  </si>
  <si>
    <t>11:59:32</t>
  </si>
  <si>
    <t>01/10/2026 12:01:46</t>
  </si>
  <si>
    <t>12:01:46</t>
  </si>
  <si>
    <t>12:05:48</t>
  </si>
  <si>
    <t>12:05:33</t>
  </si>
  <si>
    <t>01/10/2026 12:05:55</t>
  </si>
  <si>
    <t>12:05:55</t>
  </si>
  <si>
    <t>12:33:47</t>
  </si>
  <si>
    <t>12:33:20</t>
  </si>
  <si>
    <t>01/10/2026 12:33:58</t>
  </si>
  <si>
    <t>12:33:58</t>
  </si>
  <si>
    <t>12:50:20</t>
  </si>
  <si>
    <t>12:50:19</t>
  </si>
  <si>
    <t>01/10/2026 12:50:31</t>
  </si>
  <si>
    <t>12:50:31</t>
  </si>
  <si>
    <t>13:18:52</t>
  </si>
  <si>
    <t>328-OASIS</t>
  </si>
  <si>
    <t>13:18:49</t>
  </si>
  <si>
    <t>01/10/2026 13:19:12</t>
  </si>
  <si>
    <t>13:19:12</t>
  </si>
  <si>
    <t>13:19:41</t>
  </si>
  <si>
    <t>13:19:45</t>
  </si>
  <si>
    <t>01/10/2026 13:19:53</t>
  </si>
  <si>
    <t>13:19:53</t>
  </si>
  <si>
    <t>13:58:11</t>
  </si>
  <si>
    <t>13:47:09</t>
  </si>
  <si>
    <t>01/10/2026 13:58:30</t>
  </si>
  <si>
    <t>13:58:30</t>
  </si>
  <si>
    <t>13:59:17</t>
  </si>
  <si>
    <t>13:59:09</t>
  </si>
  <si>
    <t>01/10/2026 13:59:31</t>
  </si>
  <si>
    <t>13:59:31</t>
  </si>
  <si>
    <t>14:08:32</t>
  </si>
  <si>
    <t>14:08:35</t>
  </si>
  <si>
    <t>01/10/2026 14:08:58</t>
  </si>
  <si>
    <t>14:08:58</t>
  </si>
  <si>
    <t>14:08:36</t>
  </si>
  <si>
    <t>319-ROOX</t>
  </si>
  <si>
    <t>01/10/2026 14:08:55</t>
  </si>
  <si>
    <t>14:08:55</t>
  </si>
  <si>
    <t>14:21:01</t>
  </si>
  <si>
    <t>01/10/2026 14:21:13</t>
  </si>
  <si>
    <t>14:21:13</t>
  </si>
  <si>
    <t>14:21:54</t>
  </si>
  <si>
    <t>14:21:53</t>
  </si>
  <si>
    <t>01/10/2026 14:22:08</t>
  </si>
  <si>
    <t>14:22:08</t>
  </si>
  <si>
    <t>14:27:08</t>
  </si>
  <si>
    <t>2278-ALAMOS17 VES MS</t>
  </si>
  <si>
    <t>14:26:59</t>
  </si>
  <si>
    <t>01/10/2026 14:27:34</t>
  </si>
  <si>
    <t>14:27:34</t>
  </si>
  <si>
    <t>14:27:57</t>
  </si>
  <si>
    <t>14:27:56</t>
  </si>
  <si>
    <t>01/10/2026 14:28:09</t>
  </si>
  <si>
    <t>14:28:09</t>
  </si>
  <si>
    <t>14:29:46</t>
  </si>
  <si>
    <t>14:29:17</t>
  </si>
  <si>
    <t>01/10/2026 14:29:56</t>
  </si>
  <si>
    <t>14:29:56</t>
  </si>
  <si>
    <t>14:29:50</t>
  </si>
  <si>
    <t>322-VIDRERIA</t>
  </si>
  <si>
    <t>14:29:49</t>
  </si>
  <si>
    <t>01/10/2026 14:30:05</t>
  </si>
  <si>
    <t>14:30:05</t>
  </si>
  <si>
    <t>14:35:11</t>
  </si>
  <si>
    <t>01/10/2026 14:35:40</t>
  </si>
  <si>
    <t>14:35:40</t>
  </si>
  <si>
    <t>14:36:13</t>
  </si>
  <si>
    <t>14:36:10</t>
  </si>
  <si>
    <t>01/10/2026 14:36:19</t>
  </si>
  <si>
    <t>14:36:19</t>
  </si>
  <si>
    <t>14:40:47</t>
  </si>
  <si>
    <t>324-MASS SAN JUAN</t>
  </si>
  <si>
    <t>14:40:46</t>
  </si>
  <si>
    <t>01/10/2026 14:40:54</t>
  </si>
  <si>
    <t>14:40:54</t>
  </si>
  <si>
    <t>14:41:04</t>
  </si>
  <si>
    <t>01/10/2026 14:41:22</t>
  </si>
  <si>
    <t>14:41:22</t>
  </si>
  <si>
    <t>14:58:17</t>
  </si>
  <si>
    <t>14:41:06</t>
  </si>
  <si>
    <t>01/10/2026 14:58:33</t>
  </si>
  <si>
    <t>14:58:33</t>
  </si>
  <si>
    <t>14:59:23</t>
  </si>
  <si>
    <t>14:59:14</t>
  </si>
  <si>
    <t>01/10/2026 14:59:43</t>
  </si>
  <si>
    <t>14:59:43</t>
  </si>
  <si>
    <t>15:07:40</t>
  </si>
  <si>
    <t>15:07:43</t>
  </si>
  <si>
    <t>01/10/2026 15:07:53</t>
  </si>
  <si>
    <t>15:07:53</t>
  </si>
  <si>
    <t>15:26:20</t>
  </si>
  <si>
    <t>01/10/2026 15:26:36</t>
  </si>
  <si>
    <t>15:26:36</t>
  </si>
  <si>
    <t>15:32:57</t>
  </si>
  <si>
    <t>15:32:20</t>
  </si>
  <si>
    <t>01/10/2026 15:33:06</t>
  </si>
  <si>
    <t>15:33:06</t>
  </si>
  <si>
    <t>15:33:02</t>
  </si>
  <si>
    <t>1070-SEVILLAD7VES MS</t>
  </si>
  <si>
    <t>15:33:01</t>
  </si>
  <si>
    <t>01/10/2026 15:33:13</t>
  </si>
  <si>
    <t>15:33:13</t>
  </si>
  <si>
    <t>15:40:02</t>
  </si>
  <si>
    <t>01/10/2026 15:40:22</t>
  </si>
  <si>
    <t>15:40:22</t>
  </si>
  <si>
    <t>15:41:09</t>
  </si>
  <si>
    <t>15:41:01</t>
  </si>
  <si>
    <t>01/10/2026 15:41:18</t>
  </si>
  <si>
    <t>15:41:18</t>
  </si>
  <si>
    <t>16:04:09</t>
  </si>
  <si>
    <t>16:04:01</t>
  </si>
  <si>
    <t>01/10/2026 16:04:25</t>
  </si>
  <si>
    <t>16:04:25</t>
  </si>
  <si>
    <t>16:06:47</t>
  </si>
  <si>
    <t>16:06:07</t>
  </si>
  <si>
    <t>01/10/2026 16:07:05</t>
  </si>
  <si>
    <t>16:07:05</t>
  </si>
  <si>
    <t>16:16:48</t>
  </si>
  <si>
    <t>16:06:51</t>
  </si>
  <si>
    <t>01/10/2026 16:17:03</t>
  </si>
  <si>
    <t>16:17:03</t>
  </si>
  <si>
    <t>16:19:22</t>
  </si>
  <si>
    <t>16:19:25</t>
  </si>
  <si>
    <t>01/10/2026 16:19:44</t>
  </si>
  <si>
    <t>16:19:44</t>
  </si>
  <si>
    <t>CPH-710</t>
  </si>
  <si>
    <t>CPH-711</t>
  </si>
  <si>
    <t>CPH-712</t>
  </si>
  <si>
    <t>CPH-713</t>
  </si>
  <si>
    <t>CPH-714</t>
  </si>
  <si>
    <t>CPH-715</t>
  </si>
  <si>
    <t>CPH-716</t>
  </si>
  <si>
    <t>CPH-717</t>
  </si>
  <si>
    <t>CPH-718</t>
  </si>
  <si>
    <t>CPH-719</t>
  </si>
  <si>
    <t>CPH-720</t>
  </si>
  <si>
    <t>CPH-721</t>
  </si>
  <si>
    <t>CPH-722</t>
  </si>
  <si>
    <t>CPH-723</t>
  </si>
  <si>
    <t>CPH-724</t>
  </si>
  <si>
    <t>CPH-725</t>
  </si>
  <si>
    <t>CPH-726</t>
  </si>
  <si>
    <t>CPH-727</t>
  </si>
  <si>
    <t>CPH-728</t>
  </si>
  <si>
    <t>CPH-729</t>
  </si>
  <si>
    <t>CPH-730</t>
  </si>
  <si>
    <t>CPH-731</t>
  </si>
  <si>
    <t>CPH-732</t>
  </si>
  <si>
    <t>CPH-733</t>
  </si>
  <si>
    <t>CPH-734</t>
  </si>
  <si>
    <t>CPH-735</t>
  </si>
  <si>
    <t>CPH-736</t>
  </si>
  <si>
    <t>CPH-737</t>
  </si>
  <si>
    <t>CPH-738</t>
  </si>
  <si>
    <t>CPH-739</t>
  </si>
  <si>
    <t>CPH-740</t>
  </si>
  <si>
    <t>CPH-741</t>
  </si>
  <si>
    <t>CPH-742</t>
  </si>
  <si>
    <t>CPH-743</t>
  </si>
  <si>
    <t>CPH-744</t>
  </si>
  <si>
    <t>CPH-745</t>
  </si>
  <si>
    <t>CPH-746</t>
  </si>
  <si>
    <t>CPH-747</t>
  </si>
  <si>
    <t>CPH-748</t>
  </si>
  <si>
    <t>CPH-749</t>
  </si>
  <si>
    <t>CPH-750</t>
  </si>
  <si>
    <t>CPH-751</t>
  </si>
  <si>
    <t>CPH-752</t>
  </si>
  <si>
    <t>CPH-753</t>
  </si>
  <si>
    <t>CPH-754</t>
  </si>
  <si>
    <t>CPH-755</t>
  </si>
  <si>
    <t>CPH-756</t>
  </si>
  <si>
    <t>CPH-757</t>
  </si>
  <si>
    <t>CPH-758</t>
  </si>
  <si>
    <t>CPH-759</t>
  </si>
  <si>
    <t>CPH-760</t>
  </si>
  <si>
    <t>CPH-761</t>
  </si>
  <si>
    <t>CPH-762</t>
  </si>
  <si>
    <t>CPH-763</t>
  </si>
  <si>
    <t>CPH-764</t>
  </si>
  <si>
    <t>CPH-765</t>
  </si>
  <si>
    <t>CPH-766</t>
  </si>
  <si>
    <t>CPH-767</t>
  </si>
  <si>
    <t>CPH-768</t>
  </si>
  <si>
    <t>CPH-769</t>
  </si>
  <si>
    <t>CPH-770</t>
  </si>
  <si>
    <t>CPH-771</t>
  </si>
  <si>
    <t>CPH-772</t>
  </si>
  <si>
    <t>CPH-773</t>
  </si>
  <si>
    <t>CPH-774</t>
  </si>
  <si>
    <t>CPH-775</t>
  </si>
  <si>
    <t>CPH-776</t>
  </si>
  <si>
    <t>CPH-777</t>
  </si>
  <si>
    <t>CPH-778</t>
  </si>
  <si>
    <t>CPH-779</t>
  </si>
  <si>
    <t>CPH-780</t>
  </si>
  <si>
    <t>CPH-781</t>
  </si>
  <si>
    <t>CPH-782</t>
  </si>
  <si>
    <t>CPH-783</t>
  </si>
  <si>
    <t>CPH-784</t>
  </si>
  <si>
    <t>CPH-785</t>
  </si>
  <si>
    <t>CPH-786</t>
  </si>
  <si>
    <t>CPH-787</t>
  </si>
  <si>
    <t>CPH-788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</si>
</sst>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1"/>
  <sheetViews>
    <sheetView tabSelected="1" workbookViewId="0">
      <selection activeCell="D2" sqref="D2:D81"/>
    </sheetView>
  </sheetViews>
  <sheetFormatPr baseColWidth="10" defaultRowHeight="15" x14ac:dyDescent="0.25"/>
  <sheetData>
    <row r="1" spans="1:3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5.75" x14ac:dyDescent="0.25">
      <c r="A2">
        <v>1</v>
      </c>
      <c r="B2" t="s">
        <v>39</v>
      </c>
      <c r="C2" t="s">
        <v>40</v>
      </c>
      <c r="D2" t="s">
        <v>40</v>
      </c>
      <c r="E2" t="s">
        <v>41</v>
      </c>
      <c r="F2" t="s">
        <v>42</v>
      </c>
      <c r="G2" t="s">
        <v>43</v>
      </c>
      <c r="H2" t="s">
        <v>41</v>
      </c>
      <c r="I2" t="s">
        <v>41</v>
      </c>
      <c r="J2" t="s">
        <v>44</v>
      </c>
      <c r="K2" t="s">
        <v>45</v>
      </c>
      <c r="L2">
        <v>-12.21294</v>
      </c>
      <c r="M2">
        <v>-76.958979999999997</v>
      </c>
      <c r="N2" t="str">
        <f>HYPERLINK("https://www.google.com/maps/search/?api=1&amp;query=-12.21294,-76.95898","Avenida Villa del Mar, Villa El Salvador, Lima")</f>
        <v>Avenida Villa del Mar, Villa El Salvador, Lima</v>
      </c>
      <c r="O2" t="s">
        <v>46</v>
      </c>
      <c r="P2" t="s">
        <v>41</v>
      </c>
      <c r="Q2">
        <v>1781.5</v>
      </c>
      <c r="R2" t="s">
        <v>41</v>
      </c>
      <c r="S2">
        <v>0</v>
      </c>
      <c r="T2">
        <v>0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>
        <v>100</v>
      </c>
      <c r="AC2" t="s">
        <v>44</v>
      </c>
      <c r="AD2" t="s">
        <v>47</v>
      </c>
      <c r="AE2" t="str">
        <f>IF("NOGPS"="NOGPS","GPS Antiguo","En línea")</f>
        <v>GPS Antiguo</v>
      </c>
      <c r="AF2" t="str">
        <f t="shared" ref="AF2:AF33" si="0">IF(0=0,"Sin atender", IF(0=1,"Atendida","Atendida y Reportada"))</f>
        <v>Sin atender</v>
      </c>
      <c r="AG2" t="s">
        <v>41</v>
      </c>
      <c r="AH2" t="s">
        <v>41</v>
      </c>
      <c r="AI2" t="s">
        <v>41</v>
      </c>
      <c r="AJ2" t="s">
        <v>41</v>
      </c>
      <c r="AK2" t="s">
        <v>48</v>
      </c>
      <c r="AL2" t="s">
        <v>49</v>
      </c>
      <c r="AM2" t="s">
        <v>41</v>
      </c>
    </row>
    <row r="3" spans="1:39" ht="15.75" x14ac:dyDescent="0.25">
      <c r="A3">
        <v>2</v>
      </c>
      <c r="B3" t="s">
        <v>39</v>
      </c>
      <c r="C3" t="s">
        <v>40</v>
      </c>
      <c r="D3" t="s">
        <v>372</v>
      </c>
      <c r="E3" t="s">
        <v>41</v>
      </c>
      <c r="F3" t="s">
        <v>42</v>
      </c>
      <c r="G3" t="s">
        <v>43</v>
      </c>
      <c r="H3" t="s">
        <v>41</v>
      </c>
      <c r="I3" t="s">
        <v>41</v>
      </c>
      <c r="J3" t="s">
        <v>44</v>
      </c>
      <c r="K3" t="s">
        <v>50</v>
      </c>
      <c r="L3">
        <v>-12.212992</v>
      </c>
      <c r="M3">
        <v>-76.959010000000006</v>
      </c>
      <c r="N3" t="str">
        <f>HYPERLINK("https://www.google.com/maps/search/?api=1&amp;query=-12.212992,-76.95901","Avenida Villa del Mar, Villa El Salvador, Lima")</f>
        <v>Avenida Villa del Mar, Villa El Salvador, Lima</v>
      </c>
      <c r="O3" t="s">
        <v>51</v>
      </c>
      <c r="P3" t="s">
        <v>52</v>
      </c>
      <c r="Q3">
        <v>1781.6</v>
      </c>
      <c r="R3" t="s">
        <v>41</v>
      </c>
      <c r="S3">
        <v>0</v>
      </c>
      <c r="T3">
        <v>0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>
        <v>100</v>
      </c>
      <c r="AC3" t="s">
        <v>44</v>
      </c>
      <c r="AD3" t="s">
        <v>53</v>
      </c>
      <c r="AE3" t="str">
        <f>IF("ONLINE"="NOGPS","GPS Antiguo","En línea")</f>
        <v>En línea</v>
      </c>
      <c r="AF3" t="str">
        <f t="shared" si="0"/>
        <v>Sin atender</v>
      </c>
      <c r="AG3" t="s">
        <v>41</v>
      </c>
      <c r="AH3" t="s">
        <v>41</v>
      </c>
      <c r="AI3" t="s">
        <v>41</v>
      </c>
      <c r="AJ3" t="s">
        <v>41</v>
      </c>
      <c r="AK3" t="s">
        <v>54</v>
      </c>
      <c r="AL3" t="s">
        <v>55</v>
      </c>
      <c r="AM3" t="s">
        <v>41</v>
      </c>
    </row>
    <row r="4" spans="1:39" ht="15.75" x14ac:dyDescent="0.25">
      <c r="A4">
        <v>3</v>
      </c>
      <c r="B4" t="s">
        <v>39</v>
      </c>
      <c r="C4" t="s">
        <v>40</v>
      </c>
      <c r="D4" t="s">
        <v>373</v>
      </c>
      <c r="E4" t="s">
        <v>41</v>
      </c>
      <c r="F4" t="s">
        <v>42</v>
      </c>
      <c r="G4" t="s">
        <v>43</v>
      </c>
      <c r="H4" t="s">
        <v>41</v>
      </c>
      <c r="I4" t="s">
        <v>41</v>
      </c>
      <c r="J4" t="s">
        <v>44</v>
      </c>
      <c r="K4" t="s">
        <v>56</v>
      </c>
      <c r="L4">
        <v>-12.212992</v>
      </c>
      <c r="M4">
        <v>-76.959010000000006</v>
      </c>
      <c r="N4" t="str">
        <f>HYPERLINK("https://www.google.com/maps/search/?api=1&amp;query=-12.212992,-76.95901","Avenida Villa del Mar, Villa El Salvador, Lima")</f>
        <v>Avenida Villa del Mar, Villa El Salvador, Lima</v>
      </c>
      <c r="O4" t="s">
        <v>46</v>
      </c>
      <c r="P4" t="s">
        <v>41</v>
      </c>
      <c r="Q4">
        <v>1781.6</v>
      </c>
      <c r="R4" t="s">
        <v>41</v>
      </c>
      <c r="S4">
        <v>0</v>
      </c>
      <c r="T4">
        <v>0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>
        <v>100</v>
      </c>
      <c r="AC4" t="s">
        <v>44</v>
      </c>
      <c r="AD4" t="s">
        <v>53</v>
      </c>
      <c r="AE4" t="str">
        <f>IF("NOGPS"="NOGPS","GPS Antiguo","En línea")</f>
        <v>GPS Antiguo</v>
      </c>
      <c r="AF4" t="str">
        <f t="shared" si="0"/>
        <v>Sin atender</v>
      </c>
      <c r="AG4" t="s">
        <v>41</v>
      </c>
      <c r="AH4" t="s">
        <v>41</v>
      </c>
      <c r="AI4" t="s">
        <v>41</v>
      </c>
      <c r="AJ4" t="s">
        <v>41</v>
      </c>
      <c r="AK4" t="s">
        <v>57</v>
      </c>
      <c r="AL4" t="s">
        <v>58</v>
      </c>
      <c r="AM4" t="s">
        <v>41</v>
      </c>
    </row>
    <row r="5" spans="1:39" ht="15.75" x14ac:dyDescent="0.25">
      <c r="A5">
        <v>4</v>
      </c>
      <c r="B5" t="s">
        <v>39</v>
      </c>
      <c r="C5" t="s">
        <v>40</v>
      </c>
      <c r="D5" t="s">
        <v>374</v>
      </c>
      <c r="E5" t="s">
        <v>41</v>
      </c>
      <c r="F5" t="s">
        <v>42</v>
      </c>
      <c r="G5" t="s">
        <v>43</v>
      </c>
      <c r="H5" t="s">
        <v>41</v>
      </c>
      <c r="I5" t="s">
        <v>59</v>
      </c>
      <c r="J5" t="s">
        <v>44</v>
      </c>
      <c r="K5" t="s">
        <v>60</v>
      </c>
      <c r="L5">
        <v>-12.213713</v>
      </c>
      <c r="M5">
        <v>-76.960624999999993</v>
      </c>
      <c r="N5" t="str">
        <f>HYPERLINK("https://www.google.com/maps/search/?api=1&amp;query=-12.213713,-76.960625","Avenida Villa del Mar, Villa El Salvador, Lima")</f>
        <v>Avenida Villa del Mar, Villa El Salvador, Lima</v>
      </c>
      <c r="O5" t="s">
        <v>61</v>
      </c>
      <c r="P5" t="s">
        <v>41</v>
      </c>
      <c r="Q5">
        <v>1781.8</v>
      </c>
      <c r="R5" t="s">
        <v>62</v>
      </c>
      <c r="S5">
        <v>9.6999999999999993</v>
      </c>
      <c r="T5">
        <v>0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>
        <v>100</v>
      </c>
      <c r="AC5" t="s">
        <v>44</v>
      </c>
      <c r="AD5" t="s">
        <v>63</v>
      </c>
      <c r="AE5" t="str">
        <f t="shared" ref="AE5:AE11" si="1">IF("ONLINE"="NOGPS","GPS Antiguo","En línea")</f>
        <v>En línea</v>
      </c>
      <c r="AF5" t="str">
        <f t="shared" si="0"/>
        <v>Sin atender</v>
      </c>
      <c r="AG5" t="s">
        <v>41</v>
      </c>
      <c r="AH5" t="s">
        <v>41</v>
      </c>
      <c r="AI5" t="s">
        <v>41</v>
      </c>
      <c r="AJ5" t="s">
        <v>41</v>
      </c>
      <c r="AK5" t="s">
        <v>64</v>
      </c>
      <c r="AL5" t="s">
        <v>65</v>
      </c>
      <c r="AM5" t="s">
        <v>41</v>
      </c>
    </row>
    <row r="6" spans="1:39" ht="15.75" x14ac:dyDescent="0.25">
      <c r="A6">
        <v>5</v>
      </c>
      <c r="B6" t="s">
        <v>39</v>
      </c>
      <c r="C6" t="s">
        <v>40</v>
      </c>
      <c r="D6" t="s">
        <v>375</v>
      </c>
      <c r="E6" t="s">
        <v>41</v>
      </c>
      <c r="F6" t="s">
        <v>42</v>
      </c>
      <c r="G6" t="s">
        <v>43</v>
      </c>
      <c r="H6" t="s">
        <v>41</v>
      </c>
      <c r="I6" t="s">
        <v>41</v>
      </c>
      <c r="J6" t="s">
        <v>44</v>
      </c>
      <c r="K6" t="s">
        <v>66</v>
      </c>
      <c r="L6">
        <v>-12.285021</v>
      </c>
      <c r="M6">
        <v>-76.875659999999996</v>
      </c>
      <c r="N6" t="str">
        <f>HYPERLINK("https://www.google.com/maps/search/?api=1&amp;query=-12.285021,-76.87566","Carretera Panamericana Sur, Lurín, Lima")</f>
        <v>Carretera Panamericana Sur, Lurín, Lima</v>
      </c>
      <c r="O6" t="s">
        <v>67</v>
      </c>
      <c r="P6" t="s">
        <v>41</v>
      </c>
      <c r="Q6">
        <v>1797.7</v>
      </c>
      <c r="R6" t="s">
        <v>41</v>
      </c>
      <c r="S6">
        <v>80.7</v>
      </c>
      <c r="T6">
        <v>0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>
        <v>100</v>
      </c>
      <c r="AC6" t="s">
        <v>44</v>
      </c>
      <c r="AD6" t="s">
        <v>68</v>
      </c>
      <c r="AE6" t="str">
        <f t="shared" si="1"/>
        <v>En línea</v>
      </c>
      <c r="AF6" t="str">
        <f t="shared" si="0"/>
        <v>Sin atender</v>
      </c>
      <c r="AG6" t="s">
        <v>41</v>
      </c>
      <c r="AH6" t="s">
        <v>41</v>
      </c>
      <c r="AI6" t="s">
        <v>41</v>
      </c>
      <c r="AJ6" t="s">
        <v>41</v>
      </c>
      <c r="AK6" t="s">
        <v>69</v>
      </c>
      <c r="AL6" t="s">
        <v>70</v>
      </c>
      <c r="AM6" t="s">
        <v>41</v>
      </c>
    </row>
    <row r="7" spans="1:39" ht="15.75" x14ac:dyDescent="0.25">
      <c r="A7">
        <v>6</v>
      </c>
      <c r="B7" t="s">
        <v>39</v>
      </c>
      <c r="C7" t="s">
        <v>40</v>
      </c>
      <c r="D7" t="s">
        <v>376</v>
      </c>
      <c r="E7" t="s">
        <v>41</v>
      </c>
      <c r="F7" t="s">
        <v>42</v>
      </c>
      <c r="G7" t="s">
        <v>43</v>
      </c>
      <c r="H7" t="s">
        <v>41</v>
      </c>
      <c r="I7" t="s">
        <v>41</v>
      </c>
      <c r="J7" t="s">
        <v>44</v>
      </c>
      <c r="K7" t="s">
        <v>71</v>
      </c>
      <c r="L7">
        <v>-12.292070000000001</v>
      </c>
      <c r="M7">
        <v>-76.864469999999997</v>
      </c>
      <c r="N7" t="str">
        <f>HYPERLINK("https://www.google.com/maps/search/?api=1&amp;query=-12.29207,-76.86447","Carretera Panamericana Sur, Lurín, Lima")</f>
        <v>Carretera Panamericana Sur, Lurín, Lima</v>
      </c>
      <c r="O7" t="s">
        <v>67</v>
      </c>
      <c r="P7" t="s">
        <v>41</v>
      </c>
      <c r="Q7">
        <v>1800.3</v>
      </c>
      <c r="R7" t="s">
        <v>41</v>
      </c>
      <c r="S7">
        <v>81</v>
      </c>
      <c r="T7">
        <v>0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>
        <v>100</v>
      </c>
      <c r="AC7" t="s">
        <v>44</v>
      </c>
      <c r="AD7" t="s">
        <v>72</v>
      </c>
      <c r="AE7" t="str">
        <f t="shared" si="1"/>
        <v>En línea</v>
      </c>
      <c r="AF7" t="str">
        <f t="shared" si="0"/>
        <v>Sin atender</v>
      </c>
      <c r="AG7" t="s">
        <v>41</v>
      </c>
      <c r="AH7" t="s">
        <v>41</v>
      </c>
      <c r="AI7" t="s">
        <v>41</v>
      </c>
      <c r="AJ7" t="s">
        <v>41</v>
      </c>
      <c r="AK7" t="s">
        <v>73</v>
      </c>
      <c r="AL7" t="s">
        <v>74</v>
      </c>
      <c r="AM7" t="s">
        <v>41</v>
      </c>
    </row>
    <row r="8" spans="1:39" ht="15.75" x14ac:dyDescent="0.25">
      <c r="A8">
        <v>7</v>
      </c>
      <c r="B8" t="s">
        <v>39</v>
      </c>
      <c r="C8" t="s">
        <v>40</v>
      </c>
      <c r="D8" t="s">
        <v>377</v>
      </c>
      <c r="E8" t="s">
        <v>41</v>
      </c>
      <c r="F8" t="s">
        <v>42</v>
      </c>
      <c r="G8" t="s">
        <v>43</v>
      </c>
      <c r="H8" t="s">
        <v>41</v>
      </c>
      <c r="I8" t="s">
        <v>59</v>
      </c>
      <c r="J8" t="s">
        <v>44</v>
      </c>
      <c r="K8" t="s">
        <v>75</v>
      </c>
      <c r="L8">
        <v>-12.317558999999999</v>
      </c>
      <c r="M8">
        <v>-76.829589999999996</v>
      </c>
      <c r="N8" t="str">
        <f>HYPERLINK("https://www.google.com/maps/search/?api=1&amp;query=-12.317559,-76.82959","Punta Hermosa, Lima")</f>
        <v>Punta Hermosa, Lima</v>
      </c>
      <c r="O8" t="s">
        <v>76</v>
      </c>
      <c r="P8" t="s">
        <v>41</v>
      </c>
      <c r="Q8">
        <v>1809.5</v>
      </c>
      <c r="R8" t="s">
        <v>77</v>
      </c>
      <c r="S8">
        <v>8.4</v>
      </c>
      <c r="T8">
        <v>0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>
        <v>100</v>
      </c>
      <c r="AC8" t="s">
        <v>44</v>
      </c>
      <c r="AD8" t="s">
        <v>75</v>
      </c>
      <c r="AE8" t="str">
        <f t="shared" si="1"/>
        <v>En línea</v>
      </c>
      <c r="AF8" t="str">
        <f t="shared" si="0"/>
        <v>Sin atender</v>
      </c>
      <c r="AG8" t="s">
        <v>41</v>
      </c>
      <c r="AH8" t="s">
        <v>41</v>
      </c>
      <c r="AI8" t="s">
        <v>41</v>
      </c>
      <c r="AJ8" t="s">
        <v>41</v>
      </c>
      <c r="AK8" t="s">
        <v>78</v>
      </c>
      <c r="AL8" t="s">
        <v>79</v>
      </c>
      <c r="AM8" t="s">
        <v>41</v>
      </c>
    </row>
    <row r="9" spans="1:39" ht="15.75" x14ac:dyDescent="0.25">
      <c r="A9">
        <v>8</v>
      </c>
      <c r="B9" t="s">
        <v>39</v>
      </c>
      <c r="C9" t="s">
        <v>40</v>
      </c>
      <c r="D9" t="s">
        <v>378</v>
      </c>
      <c r="E9" t="s">
        <v>41</v>
      </c>
      <c r="F9" t="s">
        <v>42</v>
      </c>
      <c r="G9" t="s">
        <v>43</v>
      </c>
      <c r="H9" t="s">
        <v>41</v>
      </c>
      <c r="I9" t="s">
        <v>41</v>
      </c>
      <c r="J9" t="s">
        <v>44</v>
      </c>
      <c r="K9" t="s">
        <v>80</v>
      </c>
      <c r="L9">
        <v>-12.317505000000001</v>
      </c>
      <c r="M9">
        <v>-76.824425000000005</v>
      </c>
      <c r="N9" t="str">
        <f>HYPERLINK("https://www.google.com/maps/search/?api=1&amp;query=-12.317505,-76.824425","Punta Hermosa, Lima")</f>
        <v>Punta Hermosa, Lima</v>
      </c>
      <c r="O9" t="s">
        <v>51</v>
      </c>
      <c r="P9" t="s">
        <v>52</v>
      </c>
      <c r="Q9">
        <v>1811.3</v>
      </c>
      <c r="R9" t="s">
        <v>41</v>
      </c>
      <c r="S9">
        <v>0</v>
      </c>
      <c r="T9">
        <v>0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>
        <v>100</v>
      </c>
      <c r="AC9" t="s">
        <v>44</v>
      </c>
      <c r="AD9" t="s">
        <v>81</v>
      </c>
      <c r="AE9" t="str">
        <f t="shared" si="1"/>
        <v>En línea</v>
      </c>
      <c r="AF9" t="str">
        <f t="shared" si="0"/>
        <v>Sin atender</v>
      </c>
      <c r="AG9" t="s">
        <v>41</v>
      </c>
      <c r="AH9" t="s">
        <v>41</v>
      </c>
      <c r="AI9" t="s">
        <v>41</v>
      </c>
      <c r="AJ9" t="s">
        <v>41</v>
      </c>
      <c r="AK9" t="s">
        <v>82</v>
      </c>
      <c r="AL9" t="s">
        <v>83</v>
      </c>
      <c r="AM9" t="s">
        <v>41</v>
      </c>
    </row>
    <row r="10" spans="1:39" ht="15.75" x14ac:dyDescent="0.25">
      <c r="A10">
        <v>9</v>
      </c>
      <c r="B10" t="s">
        <v>39</v>
      </c>
      <c r="C10" t="s">
        <v>40</v>
      </c>
      <c r="D10" t="s">
        <v>379</v>
      </c>
      <c r="E10" t="s">
        <v>41</v>
      </c>
      <c r="F10" t="s">
        <v>42</v>
      </c>
      <c r="G10" t="s">
        <v>43</v>
      </c>
      <c r="H10" t="s">
        <v>41</v>
      </c>
      <c r="I10" t="s">
        <v>41</v>
      </c>
      <c r="J10" t="s">
        <v>44</v>
      </c>
      <c r="K10" t="s">
        <v>84</v>
      </c>
      <c r="L10">
        <v>-12.317505000000001</v>
      </c>
      <c r="M10">
        <v>-76.824425000000005</v>
      </c>
      <c r="N10" t="str">
        <f>HYPERLINK("https://www.google.com/maps/search/?api=1&amp;query=-12.317505,-76.824425","Punta Hermosa, Lima")</f>
        <v>Punta Hermosa, Lima</v>
      </c>
      <c r="O10" t="s">
        <v>46</v>
      </c>
      <c r="P10" t="s">
        <v>41</v>
      </c>
      <c r="Q10">
        <v>1811.3</v>
      </c>
      <c r="R10" t="s">
        <v>41</v>
      </c>
      <c r="S10">
        <v>0</v>
      </c>
      <c r="T10">
        <v>0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>
        <v>100</v>
      </c>
      <c r="AC10" t="s">
        <v>44</v>
      </c>
      <c r="AD10" t="s">
        <v>85</v>
      </c>
      <c r="AE10" t="str">
        <f t="shared" si="1"/>
        <v>En línea</v>
      </c>
      <c r="AF10" t="str">
        <f t="shared" si="0"/>
        <v>Sin atender</v>
      </c>
      <c r="AG10" t="s">
        <v>41</v>
      </c>
      <c r="AH10" t="s">
        <v>41</v>
      </c>
      <c r="AI10" t="s">
        <v>41</v>
      </c>
      <c r="AJ10" t="s">
        <v>41</v>
      </c>
      <c r="AK10" t="s">
        <v>86</v>
      </c>
      <c r="AL10" t="s">
        <v>87</v>
      </c>
      <c r="AM10" t="s">
        <v>41</v>
      </c>
    </row>
    <row r="11" spans="1:39" ht="15.75" x14ac:dyDescent="0.25">
      <c r="A11">
        <v>10</v>
      </c>
      <c r="B11" t="s">
        <v>39</v>
      </c>
      <c r="C11" t="s">
        <v>40</v>
      </c>
      <c r="D11" t="s">
        <v>380</v>
      </c>
      <c r="E11" t="s">
        <v>41</v>
      </c>
      <c r="F11" t="s">
        <v>42</v>
      </c>
      <c r="G11" t="s">
        <v>43</v>
      </c>
      <c r="H11" t="s">
        <v>41</v>
      </c>
      <c r="I11" t="s">
        <v>41</v>
      </c>
      <c r="J11" t="s">
        <v>44</v>
      </c>
      <c r="K11" t="s">
        <v>88</v>
      </c>
      <c r="L11">
        <v>-12.31785</v>
      </c>
      <c r="M11">
        <v>-76.824295000000006</v>
      </c>
      <c r="N11" t="str">
        <f>HYPERLINK("https://www.google.com/maps/search/?api=1&amp;query=-12.31785,-76.824295","Punta Hermosa, Lima")</f>
        <v>Punta Hermosa, Lima</v>
      </c>
      <c r="O11" t="s">
        <v>51</v>
      </c>
      <c r="P11" t="s">
        <v>52</v>
      </c>
      <c r="Q11">
        <v>1811.4</v>
      </c>
      <c r="R11" t="s">
        <v>41</v>
      </c>
      <c r="S11">
        <v>3.6</v>
      </c>
      <c r="T11">
        <v>0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>
        <v>100</v>
      </c>
      <c r="AC11" t="s">
        <v>44</v>
      </c>
      <c r="AD11" t="s">
        <v>89</v>
      </c>
      <c r="AE11" t="str">
        <f t="shared" si="1"/>
        <v>En línea</v>
      </c>
      <c r="AF11" t="str">
        <f t="shared" si="0"/>
        <v>Sin atender</v>
      </c>
      <c r="AG11" t="s">
        <v>41</v>
      </c>
      <c r="AH11" t="s">
        <v>41</v>
      </c>
      <c r="AI11" t="s">
        <v>41</v>
      </c>
      <c r="AJ11" t="s">
        <v>41</v>
      </c>
      <c r="AK11" t="s">
        <v>90</v>
      </c>
      <c r="AL11" t="s">
        <v>91</v>
      </c>
      <c r="AM11" t="s">
        <v>41</v>
      </c>
    </row>
    <row r="12" spans="1:39" ht="15.75" x14ac:dyDescent="0.25">
      <c r="A12">
        <v>11</v>
      </c>
      <c r="B12" t="s">
        <v>39</v>
      </c>
      <c r="C12" t="s">
        <v>40</v>
      </c>
      <c r="D12" t="s">
        <v>381</v>
      </c>
      <c r="E12" t="s">
        <v>41</v>
      </c>
      <c r="F12" t="s">
        <v>42</v>
      </c>
      <c r="G12" t="s">
        <v>43</v>
      </c>
      <c r="H12" t="s">
        <v>41</v>
      </c>
      <c r="I12" t="s">
        <v>41</v>
      </c>
      <c r="J12" t="s">
        <v>44</v>
      </c>
      <c r="K12" t="s">
        <v>92</v>
      </c>
      <c r="L12">
        <v>-12.317850999999999</v>
      </c>
      <c r="M12">
        <v>-76.824309999999997</v>
      </c>
      <c r="N12" t="str">
        <f>HYPERLINK("https://www.google.com/maps/search/?api=1&amp;query=-12.317851,-76.82431","Punta Hermosa, Lima")</f>
        <v>Punta Hermosa, Lima</v>
      </c>
      <c r="O12" t="s">
        <v>46</v>
      </c>
      <c r="P12" t="s">
        <v>41</v>
      </c>
      <c r="Q12">
        <v>1811.4</v>
      </c>
      <c r="R12" t="s">
        <v>41</v>
      </c>
      <c r="S12">
        <v>0</v>
      </c>
      <c r="T12">
        <v>0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>
        <v>100</v>
      </c>
      <c r="AC12" t="s">
        <v>44</v>
      </c>
      <c r="AD12" t="s">
        <v>93</v>
      </c>
      <c r="AE12" t="str">
        <f>IF("NOGPS"="NOGPS","GPS Antiguo","En línea")</f>
        <v>GPS Antiguo</v>
      </c>
      <c r="AF12" t="str">
        <f t="shared" si="0"/>
        <v>Sin atender</v>
      </c>
      <c r="AG12" t="s">
        <v>41</v>
      </c>
      <c r="AH12" t="s">
        <v>41</v>
      </c>
      <c r="AI12" t="s">
        <v>41</v>
      </c>
      <c r="AJ12" t="s">
        <v>41</v>
      </c>
      <c r="AK12" t="s">
        <v>94</v>
      </c>
      <c r="AL12" t="s">
        <v>95</v>
      </c>
      <c r="AM12" t="s">
        <v>41</v>
      </c>
    </row>
    <row r="13" spans="1:39" ht="15.75" x14ac:dyDescent="0.25">
      <c r="A13">
        <v>12</v>
      </c>
      <c r="B13" t="s">
        <v>39</v>
      </c>
      <c r="C13" t="s">
        <v>40</v>
      </c>
      <c r="D13" t="s">
        <v>382</v>
      </c>
      <c r="E13" t="s">
        <v>41</v>
      </c>
      <c r="F13" t="s">
        <v>42</v>
      </c>
      <c r="G13" t="s">
        <v>43</v>
      </c>
      <c r="H13" t="s">
        <v>41</v>
      </c>
      <c r="I13" t="s">
        <v>41</v>
      </c>
      <c r="J13" t="s">
        <v>44</v>
      </c>
      <c r="K13" t="s">
        <v>96</v>
      </c>
      <c r="L13">
        <v>-12.317742000000001</v>
      </c>
      <c r="M13">
        <v>-76.824359999999999</v>
      </c>
      <c r="N13" t="str">
        <f>HYPERLINK("https://www.google.com/maps/search/?api=1&amp;query=-12.317742,-76.82436","Punta Hermosa, Lima")</f>
        <v>Punta Hermosa, Lima</v>
      </c>
      <c r="O13" t="s">
        <v>51</v>
      </c>
      <c r="P13" t="s">
        <v>52</v>
      </c>
      <c r="Q13">
        <v>1811.4</v>
      </c>
      <c r="R13" t="s">
        <v>41</v>
      </c>
      <c r="S13">
        <v>0</v>
      </c>
      <c r="T13">
        <v>0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>
        <v>100</v>
      </c>
      <c r="AC13" t="s">
        <v>44</v>
      </c>
      <c r="AD13" t="s">
        <v>97</v>
      </c>
      <c r="AE13" t="str">
        <f>IF("ONLINE"="NOGPS","GPS Antiguo","En línea")</f>
        <v>En línea</v>
      </c>
      <c r="AF13" t="str">
        <f t="shared" si="0"/>
        <v>Sin atender</v>
      </c>
      <c r="AG13" t="s">
        <v>41</v>
      </c>
      <c r="AH13" t="s">
        <v>41</v>
      </c>
      <c r="AI13" t="s">
        <v>41</v>
      </c>
      <c r="AJ13" t="s">
        <v>41</v>
      </c>
      <c r="AK13" t="s">
        <v>98</v>
      </c>
      <c r="AL13" t="s">
        <v>99</v>
      </c>
      <c r="AM13" t="s">
        <v>41</v>
      </c>
    </row>
    <row r="14" spans="1:39" ht="15.75" x14ac:dyDescent="0.25">
      <c r="A14">
        <v>13</v>
      </c>
      <c r="B14" t="s">
        <v>39</v>
      </c>
      <c r="C14" t="s">
        <v>40</v>
      </c>
      <c r="D14" t="s">
        <v>383</v>
      </c>
      <c r="E14" t="s">
        <v>41</v>
      </c>
      <c r="F14" t="s">
        <v>42</v>
      </c>
      <c r="G14" t="s">
        <v>43</v>
      </c>
      <c r="H14" t="s">
        <v>41</v>
      </c>
      <c r="I14" t="s">
        <v>41</v>
      </c>
      <c r="J14" t="s">
        <v>44</v>
      </c>
      <c r="K14" t="s">
        <v>100</v>
      </c>
      <c r="L14">
        <v>-12.317742000000001</v>
      </c>
      <c r="M14">
        <v>-76.824359999999999</v>
      </c>
      <c r="N14" t="str">
        <f>HYPERLINK("https://www.google.com/maps/search/?api=1&amp;query=-12.317742,-76.82436","Punta Hermosa, Lima")</f>
        <v>Punta Hermosa, Lima</v>
      </c>
      <c r="O14" t="s">
        <v>46</v>
      </c>
      <c r="P14" t="s">
        <v>41</v>
      </c>
      <c r="Q14">
        <v>1811.4</v>
      </c>
      <c r="R14" t="s">
        <v>41</v>
      </c>
      <c r="S14">
        <v>0</v>
      </c>
      <c r="T14">
        <v>0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>
        <v>100</v>
      </c>
      <c r="AC14" t="s">
        <v>44</v>
      </c>
      <c r="AD14" t="s">
        <v>101</v>
      </c>
      <c r="AE14" t="str">
        <f>IF("NOGPS"="NOGPS","GPS Antiguo","En línea")</f>
        <v>GPS Antiguo</v>
      </c>
      <c r="AF14" t="str">
        <f t="shared" si="0"/>
        <v>Sin atender</v>
      </c>
      <c r="AG14" t="s">
        <v>41</v>
      </c>
      <c r="AH14" t="s">
        <v>41</v>
      </c>
      <c r="AI14" t="s">
        <v>41</v>
      </c>
      <c r="AJ14" t="s">
        <v>41</v>
      </c>
      <c r="AK14" t="s">
        <v>102</v>
      </c>
      <c r="AL14" t="s">
        <v>103</v>
      </c>
      <c r="AM14" t="s">
        <v>41</v>
      </c>
    </row>
    <row r="15" spans="1:39" ht="15.75" x14ac:dyDescent="0.25">
      <c r="A15">
        <v>14</v>
      </c>
      <c r="B15" t="s">
        <v>39</v>
      </c>
      <c r="C15" t="s">
        <v>40</v>
      </c>
      <c r="D15" t="s">
        <v>384</v>
      </c>
      <c r="E15" t="s">
        <v>41</v>
      </c>
      <c r="F15" t="s">
        <v>42</v>
      </c>
      <c r="G15" t="s">
        <v>43</v>
      </c>
      <c r="H15" t="s">
        <v>41</v>
      </c>
      <c r="I15" t="s">
        <v>59</v>
      </c>
      <c r="J15" t="s">
        <v>44</v>
      </c>
      <c r="K15" t="s">
        <v>104</v>
      </c>
      <c r="L15">
        <v>-12.317539999999999</v>
      </c>
      <c r="M15">
        <v>-76.82978</v>
      </c>
      <c r="N15" t="str">
        <f>HYPERLINK("https://www.google.com/maps/search/?api=1&amp;query=-12.31754,-76.82978","Punta Hermosa, Lima")</f>
        <v>Punta Hermosa, Lima</v>
      </c>
      <c r="O15" t="s">
        <v>61</v>
      </c>
      <c r="P15" t="s">
        <v>41</v>
      </c>
      <c r="Q15">
        <v>1812.1</v>
      </c>
      <c r="R15" t="s">
        <v>77</v>
      </c>
      <c r="S15">
        <v>14.3</v>
      </c>
      <c r="T15">
        <v>0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>
        <v>100</v>
      </c>
      <c r="AC15" t="s">
        <v>44</v>
      </c>
      <c r="AD15" t="s">
        <v>105</v>
      </c>
      <c r="AE15" t="str">
        <f t="shared" ref="AE15:AE21" si="2">IF("ONLINE"="NOGPS","GPS Antiguo","En línea")</f>
        <v>En línea</v>
      </c>
      <c r="AF15" t="str">
        <f t="shared" si="0"/>
        <v>Sin atender</v>
      </c>
      <c r="AG15" t="s">
        <v>41</v>
      </c>
      <c r="AH15" t="s">
        <v>41</v>
      </c>
      <c r="AI15" t="s">
        <v>41</v>
      </c>
      <c r="AJ15" t="s">
        <v>41</v>
      </c>
      <c r="AK15" t="s">
        <v>106</v>
      </c>
      <c r="AL15" t="s">
        <v>107</v>
      </c>
      <c r="AM15" t="s">
        <v>41</v>
      </c>
    </row>
    <row r="16" spans="1:39" ht="15.75" x14ac:dyDescent="0.25">
      <c r="A16">
        <v>15</v>
      </c>
      <c r="B16" t="s">
        <v>39</v>
      </c>
      <c r="C16" t="s">
        <v>40</v>
      </c>
      <c r="D16" t="s">
        <v>385</v>
      </c>
      <c r="E16" t="s">
        <v>41</v>
      </c>
      <c r="F16" t="s">
        <v>42</v>
      </c>
      <c r="G16" t="s">
        <v>43</v>
      </c>
      <c r="H16" t="s">
        <v>41</v>
      </c>
      <c r="I16" t="s">
        <v>41</v>
      </c>
      <c r="J16" t="s">
        <v>44</v>
      </c>
      <c r="K16" t="s">
        <v>108</v>
      </c>
      <c r="L16">
        <v>-12.261824000000001</v>
      </c>
      <c r="M16">
        <v>-76.912369999999996</v>
      </c>
      <c r="N16" t="str">
        <f>HYPERLINK("https://www.google.com/maps/search/?api=1&amp;query=-12.261824,-76.91237","Carretera Panamericana Sur, Lurín, Lima")</f>
        <v>Carretera Panamericana Sur, Lurín, Lima</v>
      </c>
      <c r="O16" t="s">
        <v>67</v>
      </c>
      <c r="P16" t="s">
        <v>41</v>
      </c>
      <c r="Q16">
        <v>1822.5</v>
      </c>
      <c r="R16" t="s">
        <v>41</v>
      </c>
      <c r="S16">
        <v>82.2</v>
      </c>
      <c r="T16">
        <v>0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>
        <v>100</v>
      </c>
      <c r="AC16" t="s">
        <v>44</v>
      </c>
      <c r="AD16" t="s">
        <v>109</v>
      </c>
      <c r="AE16" t="str">
        <f t="shared" si="2"/>
        <v>En línea</v>
      </c>
      <c r="AF16" t="str">
        <f t="shared" si="0"/>
        <v>Sin atender</v>
      </c>
      <c r="AG16" t="s">
        <v>41</v>
      </c>
      <c r="AH16" t="s">
        <v>41</v>
      </c>
      <c r="AI16" t="s">
        <v>41</v>
      </c>
      <c r="AJ16" t="s">
        <v>41</v>
      </c>
      <c r="AK16" t="s">
        <v>110</v>
      </c>
      <c r="AL16" t="s">
        <v>111</v>
      </c>
      <c r="AM16" t="s">
        <v>41</v>
      </c>
    </row>
    <row r="17" spans="1:39" ht="15.75" x14ac:dyDescent="0.25">
      <c r="A17">
        <v>16</v>
      </c>
      <c r="B17" t="s">
        <v>39</v>
      </c>
      <c r="C17" t="s">
        <v>40</v>
      </c>
      <c r="D17" t="s">
        <v>386</v>
      </c>
      <c r="E17" t="s">
        <v>41</v>
      </c>
      <c r="F17" t="s">
        <v>42</v>
      </c>
      <c r="G17" t="s">
        <v>43</v>
      </c>
      <c r="H17" t="s">
        <v>41</v>
      </c>
      <c r="I17" t="s">
        <v>41</v>
      </c>
      <c r="J17" t="s">
        <v>44</v>
      </c>
      <c r="K17" t="s">
        <v>112</v>
      </c>
      <c r="L17">
        <v>-12.248652</v>
      </c>
      <c r="M17">
        <v>-76.932699999999997</v>
      </c>
      <c r="N17" t="str">
        <f>HYPERLINK("https://www.google.com/maps/search/?api=1&amp;query=-12.248652,-76.9327","Carretera Panamericana Sur, Villa El Salvador, Lima")</f>
        <v>Carretera Panamericana Sur, Villa El Salvador, Lima</v>
      </c>
      <c r="O17" t="s">
        <v>67</v>
      </c>
      <c r="P17" t="s">
        <v>41</v>
      </c>
      <c r="Q17">
        <v>1825.1</v>
      </c>
      <c r="R17" t="s">
        <v>41</v>
      </c>
      <c r="S17">
        <v>80.3</v>
      </c>
      <c r="T17">
        <v>0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>
        <v>100</v>
      </c>
      <c r="AC17" t="s">
        <v>44</v>
      </c>
      <c r="AD17" t="s">
        <v>113</v>
      </c>
      <c r="AE17" t="str">
        <f t="shared" si="2"/>
        <v>En línea</v>
      </c>
      <c r="AF17" t="str">
        <f t="shared" si="0"/>
        <v>Sin atender</v>
      </c>
      <c r="AG17" t="s">
        <v>41</v>
      </c>
      <c r="AH17" t="s">
        <v>41</v>
      </c>
      <c r="AI17" t="s">
        <v>41</v>
      </c>
      <c r="AJ17" t="s">
        <v>41</v>
      </c>
      <c r="AK17" t="s">
        <v>114</v>
      </c>
      <c r="AL17" t="s">
        <v>115</v>
      </c>
      <c r="AM17" t="s">
        <v>41</v>
      </c>
    </row>
    <row r="18" spans="1:39" ht="15.75" x14ac:dyDescent="0.25">
      <c r="A18">
        <v>17</v>
      </c>
      <c r="B18" t="s">
        <v>39</v>
      </c>
      <c r="C18" t="s">
        <v>40</v>
      </c>
      <c r="D18" t="s">
        <v>387</v>
      </c>
      <c r="E18" t="s">
        <v>41</v>
      </c>
      <c r="F18" t="s">
        <v>42</v>
      </c>
      <c r="G18" t="s">
        <v>43</v>
      </c>
      <c r="H18" t="s">
        <v>41</v>
      </c>
      <c r="I18" t="s">
        <v>59</v>
      </c>
      <c r="J18" t="s">
        <v>44</v>
      </c>
      <c r="K18" t="s">
        <v>116</v>
      </c>
      <c r="L18">
        <v>-12.164127000000001</v>
      </c>
      <c r="M18">
        <v>-76.969110000000001</v>
      </c>
      <c r="N18" t="str">
        <f>HYPERLINK("https://www.google.com/maps/search/?api=1&amp;query=-12.164127,-76.96911","Avenida César Canevaro, San Juan de Miraflores, Lima")</f>
        <v>Avenida César Canevaro, San Juan de Miraflores, Lima</v>
      </c>
      <c r="O18" t="s">
        <v>76</v>
      </c>
      <c r="P18" t="s">
        <v>41</v>
      </c>
      <c r="Q18">
        <v>1839.4</v>
      </c>
      <c r="R18" t="s">
        <v>117</v>
      </c>
      <c r="S18">
        <v>0</v>
      </c>
      <c r="T18">
        <v>0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>
        <v>100</v>
      </c>
      <c r="AC18" t="s">
        <v>44</v>
      </c>
      <c r="AD18" t="s">
        <v>118</v>
      </c>
      <c r="AE18" t="str">
        <f t="shared" si="2"/>
        <v>En línea</v>
      </c>
      <c r="AF18" t="str">
        <f t="shared" si="0"/>
        <v>Sin atender</v>
      </c>
      <c r="AG18" t="s">
        <v>41</v>
      </c>
      <c r="AH18" t="s">
        <v>41</v>
      </c>
      <c r="AI18" t="s">
        <v>41</v>
      </c>
      <c r="AJ18" t="s">
        <v>41</v>
      </c>
      <c r="AK18" t="s">
        <v>119</v>
      </c>
      <c r="AL18" t="s">
        <v>120</v>
      </c>
      <c r="AM18" t="s">
        <v>41</v>
      </c>
    </row>
    <row r="19" spans="1:39" ht="15.75" x14ac:dyDescent="0.25">
      <c r="A19">
        <v>18</v>
      </c>
      <c r="B19" t="s">
        <v>39</v>
      </c>
      <c r="C19" t="s">
        <v>40</v>
      </c>
      <c r="D19" t="s">
        <v>388</v>
      </c>
      <c r="E19" t="s">
        <v>41</v>
      </c>
      <c r="F19" t="s">
        <v>42</v>
      </c>
      <c r="G19" t="s">
        <v>43</v>
      </c>
      <c r="H19" t="s">
        <v>41</v>
      </c>
      <c r="I19" t="s">
        <v>41</v>
      </c>
      <c r="J19" t="s">
        <v>44</v>
      </c>
      <c r="K19" t="s">
        <v>121</v>
      </c>
      <c r="L19">
        <v>-12.164127000000001</v>
      </c>
      <c r="M19">
        <v>-76.969110000000001</v>
      </c>
      <c r="N19" t="str">
        <f>HYPERLINK("https://www.google.com/maps/search/?api=1&amp;query=-12.164127,-76.96911","Avenida César Canevaro, San Juan de Miraflores, Lima")</f>
        <v>Avenida César Canevaro, San Juan de Miraflores, Lima</v>
      </c>
      <c r="O19" t="s">
        <v>51</v>
      </c>
      <c r="P19" t="s">
        <v>52</v>
      </c>
      <c r="Q19">
        <v>1839.5</v>
      </c>
      <c r="R19" t="s">
        <v>41</v>
      </c>
      <c r="S19">
        <v>0</v>
      </c>
      <c r="T19">
        <v>0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>
        <v>100</v>
      </c>
      <c r="AC19" t="s">
        <v>44</v>
      </c>
      <c r="AD19" t="s">
        <v>122</v>
      </c>
      <c r="AE19" t="str">
        <f t="shared" si="2"/>
        <v>En línea</v>
      </c>
      <c r="AF19" t="str">
        <f t="shared" si="0"/>
        <v>Sin atender</v>
      </c>
      <c r="AG19" t="s">
        <v>41</v>
      </c>
      <c r="AH19" t="s">
        <v>41</v>
      </c>
      <c r="AI19" t="s">
        <v>41</v>
      </c>
      <c r="AJ19" t="s">
        <v>41</v>
      </c>
      <c r="AK19" t="s">
        <v>123</v>
      </c>
      <c r="AL19" t="s">
        <v>124</v>
      </c>
      <c r="AM19" t="s">
        <v>41</v>
      </c>
    </row>
    <row r="20" spans="1:39" ht="15.75" x14ac:dyDescent="0.25">
      <c r="A20">
        <v>19</v>
      </c>
      <c r="B20" t="s">
        <v>39</v>
      </c>
      <c r="C20" t="s">
        <v>40</v>
      </c>
      <c r="D20" t="s">
        <v>389</v>
      </c>
      <c r="E20" t="s">
        <v>41</v>
      </c>
      <c r="F20" t="s">
        <v>42</v>
      </c>
      <c r="G20" t="s">
        <v>43</v>
      </c>
      <c r="H20" t="s">
        <v>41</v>
      </c>
      <c r="I20" t="s">
        <v>41</v>
      </c>
      <c r="J20" t="s">
        <v>44</v>
      </c>
      <c r="K20" t="s">
        <v>125</v>
      </c>
      <c r="L20">
        <v>-12.164127000000001</v>
      </c>
      <c r="M20">
        <v>-76.969110000000001</v>
      </c>
      <c r="N20" t="str">
        <f>HYPERLINK("https://www.google.com/maps/search/?api=1&amp;query=-12.164127,-76.96911","Avenida César Canevaro, San Juan de Miraflores, Lima")</f>
        <v>Avenida César Canevaro, San Juan de Miraflores, Lima</v>
      </c>
      <c r="O20" t="s">
        <v>46</v>
      </c>
      <c r="P20" t="s">
        <v>41</v>
      </c>
      <c r="Q20">
        <v>1839.5</v>
      </c>
      <c r="R20" t="s">
        <v>41</v>
      </c>
      <c r="S20">
        <v>0</v>
      </c>
      <c r="T20">
        <v>0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>
        <v>100</v>
      </c>
      <c r="AC20" t="s">
        <v>44</v>
      </c>
      <c r="AD20" t="s">
        <v>122</v>
      </c>
      <c r="AE20" t="str">
        <f t="shared" si="2"/>
        <v>En línea</v>
      </c>
      <c r="AF20" t="str">
        <f t="shared" si="0"/>
        <v>Sin atender</v>
      </c>
      <c r="AG20" t="s">
        <v>41</v>
      </c>
      <c r="AH20" t="s">
        <v>41</v>
      </c>
      <c r="AI20" t="s">
        <v>41</v>
      </c>
      <c r="AJ20" t="s">
        <v>41</v>
      </c>
      <c r="AK20" t="s">
        <v>126</v>
      </c>
      <c r="AL20" t="s">
        <v>127</v>
      </c>
      <c r="AM20" t="s">
        <v>41</v>
      </c>
    </row>
    <row r="21" spans="1:39" ht="15.75" x14ac:dyDescent="0.25">
      <c r="A21">
        <v>20</v>
      </c>
      <c r="B21" t="s">
        <v>39</v>
      </c>
      <c r="C21" t="s">
        <v>40</v>
      </c>
      <c r="D21" t="s">
        <v>390</v>
      </c>
      <c r="E21" t="s">
        <v>41</v>
      </c>
      <c r="F21" t="s">
        <v>42</v>
      </c>
      <c r="G21" t="s">
        <v>43</v>
      </c>
      <c r="H21" t="s">
        <v>41</v>
      </c>
      <c r="I21" t="s">
        <v>41</v>
      </c>
      <c r="J21" t="s">
        <v>44</v>
      </c>
      <c r="K21" t="s">
        <v>128</v>
      </c>
      <c r="L21">
        <v>-12.163887000000001</v>
      </c>
      <c r="M21">
        <v>-76.969080000000005</v>
      </c>
      <c r="N21" t="str">
        <f>HYPERLINK("https://www.google.com/maps/search/?api=1&amp;query=-12.163887,-76.96908","Avenida César Canevaro, San Juan de Miraflores, Lima")</f>
        <v>Avenida César Canevaro, San Juan de Miraflores, Lima</v>
      </c>
      <c r="O21" t="s">
        <v>51</v>
      </c>
      <c r="P21" t="s">
        <v>52</v>
      </c>
      <c r="Q21">
        <v>1839.5</v>
      </c>
      <c r="R21" t="s">
        <v>41</v>
      </c>
      <c r="S21">
        <v>0</v>
      </c>
      <c r="T21">
        <v>0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>
        <v>100</v>
      </c>
      <c r="AC21" t="s">
        <v>44</v>
      </c>
      <c r="AD21" t="s">
        <v>129</v>
      </c>
      <c r="AE21" t="str">
        <f t="shared" si="2"/>
        <v>En línea</v>
      </c>
      <c r="AF21" t="str">
        <f t="shared" si="0"/>
        <v>Sin atender</v>
      </c>
      <c r="AG21" t="s">
        <v>41</v>
      </c>
      <c r="AH21" t="s">
        <v>41</v>
      </c>
      <c r="AI21" t="s">
        <v>41</v>
      </c>
      <c r="AJ21" t="s">
        <v>41</v>
      </c>
      <c r="AK21" t="s">
        <v>130</v>
      </c>
      <c r="AL21" t="s">
        <v>131</v>
      </c>
      <c r="AM21" t="s">
        <v>41</v>
      </c>
    </row>
    <row r="22" spans="1:39" ht="15.75" x14ac:dyDescent="0.25">
      <c r="A22">
        <v>21</v>
      </c>
      <c r="B22" t="s">
        <v>39</v>
      </c>
      <c r="C22" t="s">
        <v>40</v>
      </c>
      <c r="D22" t="s">
        <v>391</v>
      </c>
      <c r="E22" t="s">
        <v>41</v>
      </c>
      <c r="F22" t="s">
        <v>42</v>
      </c>
      <c r="G22" t="s">
        <v>43</v>
      </c>
      <c r="H22" t="s">
        <v>41</v>
      </c>
      <c r="I22" t="s">
        <v>41</v>
      </c>
      <c r="J22" t="s">
        <v>44</v>
      </c>
      <c r="K22" t="s">
        <v>132</v>
      </c>
      <c r="L22">
        <v>-12.163887000000001</v>
      </c>
      <c r="M22">
        <v>-76.969080000000005</v>
      </c>
      <c r="N22" t="str">
        <f>HYPERLINK("https://www.google.com/maps/search/?api=1&amp;query=-12.163887,-76.96908","Avenida César Canevaro, San Juan de Miraflores, Lima")</f>
        <v>Avenida César Canevaro, San Juan de Miraflores, Lima</v>
      </c>
      <c r="O22" t="s">
        <v>46</v>
      </c>
      <c r="P22" t="s">
        <v>41</v>
      </c>
      <c r="Q22">
        <v>1839.5</v>
      </c>
      <c r="R22" t="s">
        <v>41</v>
      </c>
      <c r="S22">
        <v>0</v>
      </c>
      <c r="T22">
        <v>0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>
        <v>100</v>
      </c>
      <c r="AC22" t="s">
        <v>44</v>
      </c>
      <c r="AD22" t="s">
        <v>133</v>
      </c>
      <c r="AE22" t="str">
        <f>IF("NOGPS"="NOGPS","GPS Antiguo","En línea")</f>
        <v>GPS Antiguo</v>
      </c>
      <c r="AF22" t="str">
        <f t="shared" si="0"/>
        <v>Sin atender</v>
      </c>
      <c r="AG22" t="s">
        <v>41</v>
      </c>
      <c r="AH22" t="s">
        <v>41</v>
      </c>
      <c r="AI22" t="s">
        <v>41</v>
      </c>
      <c r="AJ22" t="s">
        <v>41</v>
      </c>
      <c r="AK22" t="s">
        <v>134</v>
      </c>
      <c r="AL22" t="s">
        <v>135</v>
      </c>
      <c r="AM22" t="s">
        <v>41</v>
      </c>
    </row>
    <row r="23" spans="1:39" ht="15.75" x14ac:dyDescent="0.25">
      <c r="A23">
        <v>22</v>
      </c>
      <c r="B23" t="s">
        <v>39</v>
      </c>
      <c r="C23" t="s">
        <v>40</v>
      </c>
      <c r="D23" t="s">
        <v>392</v>
      </c>
      <c r="E23" t="s">
        <v>41</v>
      </c>
      <c r="F23" t="s">
        <v>42</v>
      </c>
      <c r="G23" t="s">
        <v>43</v>
      </c>
      <c r="H23" t="s">
        <v>41</v>
      </c>
      <c r="I23" t="s">
        <v>59</v>
      </c>
      <c r="J23" t="s">
        <v>44</v>
      </c>
      <c r="K23" t="s">
        <v>136</v>
      </c>
      <c r="L23">
        <v>-12.162011</v>
      </c>
      <c r="M23">
        <v>-76.968609999999998</v>
      </c>
      <c r="N23" t="str">
        <f>HYPERLINK("https://www.google.com/maps/search/?api=1&amp;query=-12.162011,-76.96861","Avenida César Canevaro, San Juan de Miraflores, Lima")</f>
        <v>Avenida César Canevaro, San Juan de Miraflores, Lima</v>
      </c>
      <c r="O23" t="s">
        <v>61</v>
      </c>
      <c r="P23" t="s">
        <v>41</v>
      </c>
      <c r="Q23">
        <v>1839.5</v>
      </c>
      <c r="R23" t="s">
        <v>117</v>
      </c>
      <c r="S23">
        <v>27.8</v>
      </c>
      <c r="T23">
        <v>0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>
        <v>100</v>
      </c>
      <c r="AC23" t="s">
        <v>44</v>
      </c>
      <c r="AD23" t="s">
        <v>137</v>
      </c>
      <c r="AE23" t="str">
        <f t="shared" ref="AE23:AE28" si="3">IF("ONLINE"="NOGPS","GPS Antiguo","En línea")</f>
        <v>En línea</v>
      </c>
      <c r="AF23" t="str">
        <f t="shared" si="0"/>
        <v>Sin atender</v>
      </c>
      <c r="AG23" t="s">
        <v>41</v>
      </c>
      <c r="AH23" t="s">
        <v>41</v>
      </c>
      <c r="AI23" t="s">
        <v>41</v>
      </c>
      <c r="AJ23" t="s">
        <v>41</v>
      </c>
      <c r="AK23" t="s">
        <v>138</v>
      </c>
      <c r="AL23" t="s">
        <v>139</v>
      </c>
      <c r="AM23" t="s">
        <v>41</v>
      </c>
    </row>
    <row r="24" spans="1:39" ht="15.75" x14ac:dyDescent="0.25">
      <c r="A24">
        <v>23</v>
      </c>
      <c r="B24" t="s">
        <v>39</v>
      </c>
      <c r="C24" t="s">
        <v>40</v>
      </c>
      <c r="D24" t="s">
        <v>393</v>
      </c>
      <c r="E24" t="s">
        <v>41</v>
      </c>
      <c r="F24" t="s">
        <v>42</v>
      </c>
      <c r="G24" t="s">
        <v>43</v>
      </c>
      <c r="H24" t="s">
        <v>41</v>
      </c>
      <c r="I24" t="s">
        <v>59</v>
      </c>
      <c r="J24" t="s">
        <v>44</v>
      </c>
      <c r="K24" t="s">
        <v>140</v>
      </c>
      <c r="L24">
        <v>-12.160011000000001</v>
      </c>
      <c r="M24">
        <v>-76.968940000000003</v>
      </c>
      <c r="N24" t="str">
        <f>HYPERLINK("https://www.google.com/maps/search/?api=1&amp;query=-12.160011,-76.96894","Avenida Guillermo Billinghurst, San Juan de Miraflores, Lima")</f>
        <v>Avenida Guillermo Billinghurst, San Juan de Miraflores, Lima</v>
      </c>
      <c r="O24" t="s">
        <v>76</v>
      </c>
      <c r="P24" t="s">
        <v>41</v>
      </c>
      <c r="Q24">
        <v>1839.7</v>
      </c>
      <c r="R24" t="s">
        <v>141</v>
      </c>
      <c r="S24">
        <v>30.8</v>
      </c>
      <c r="T24">
        <v>0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>
        <v>100</v>
      </c>
      <c r="AC24" t="s">
        <v>44</v>
      </c>
      <c r="AD24" t="s">
        <v>142</v>
      </c>
      <c r="AE24" t="str">
        <f t="shared" si="3"/>
        <v>En línea</v>
      </c>
      <c r="AF24" t="str">
        <f t="shared" si="0"/>
        <v>Sin atender</v>
      </c>
      <c r="AG24" t="s">
        <v>41</v>
      </c>
      <c r="AH24" t="s">
        <v>41</v>
      </c>
      <c r="AI24" t="s">
        <v>41</v>
      </c>
      <c r="AJ24" t="s">
        <v>41</v>
      </c>
      <c r="AK24" t="s">
        <v>143</v>
      </c>
      <c r="AL24" t="s">
        <v>144</v>
      </c>
      <c r="AM24" t="s">
        <v>41</v>
      </c>
    </row>
    <row r="25" spans="1:39" ht="15.75" x14ac:dyDescent="0.25">
      <c r="A25">
        <v>24</v>
      </c>
      <c r="B25" t="s">
        <v>39</v>
      </c>
      <c r="C25" t="s">
        <v>40</v>
      </c>
      <c r="D25" t="s">
        <v>394</v>
      </c>
      <c r="E25" t="s">
        <v>41</v>
      </c>
      <c r="F25" t="s">
        <v>42</v>
      </c>
      <c r="G25" t="s">
        <v>43</v>
      </c>
      <c r="H25" t="s">
        <v>41</v>
      </c>
      <c r="I25" t="s">
        <v>59</v>
      </c>
      <c r="J25" t="s">
        <v>44</v>
      </c>
      <c r="K25" t="s">
        <v>145</v>
      </c>
      <c r="L25">
        <v>-12.158467999999999</v>
      </c>
      <c r="M25">
        <v>-76.972899999999996</v>
      </c>
      <c r="N25" t="str">
        <f>HYPERLINK("https://www.google.com/maps/search/?api=1&amp;query=-12.158468,-76.9729","Avenida Guillermo Billinghurst, San Juan de Miraflores, Lima")</f>
        <v>Avenida Guillermo Billinghurst, San Juan de Miraflores, Lima</v>
      </c>
      <c r="O25" t="s">
        <v>61</v>
      </c>
      <c r="P25" t="s">
        <v>41</v>
      </c>
      <c r="Q25">
        <v>1840</v>
      </c>
      <c r="R25" t="s">
        <v>141</v>
      </c>
      <c r="S25">
        <v>6</v>
      </c>
      <c r="T25">
        <v>0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>
        <v>100</v>
      </c>
      <c r="AC25" t="s">
        <v>44</v>
      </c>
      <c r="AD25" t="s">
        <v>146</v>
      </c>
      <c r="AE25" t="str">
        <f t="shared" si="3"/>
        <v>En línea</v>
      </c>
      <c r="AF25" t="str">
        <f t="shared" si="0"/>
        <v>Sin atender</v>
      </c>
      <c r="AG25" t="s">
        <v>41</v>
      </c>
      <c r="AH25" t="s">
        <v>41</v>
      </c>
      <c r="AI25" t="s">
        <v>41</v>
      </c>
      <c r="AJ25" t="s">
        <v>41</v>
      </c>
      <c r="AK25" t="s">
        <v>147</v>
      </c>
      <c r="AL25" t="s">
        <v>148</v>
      </c>
      <c r="AM25" t="s">
        <v>41</v>
      </c>
    </row>
    <row r="26" spans="1:39" ht="15.75" x14ac:dyDescent="0.25">
      <c r="A26">
        <v>25</v>
      </c>
      <c r="B26" t="s">
        <v>39</v>
      </c>
      <c r="C26" t="s">
        <v>40</v>
      </c>
      <c r="D26" t="s">
        <v>395</v>
      </c>
      <c r="E26" t="s">
        <v>41</v>
      </c>
      <c r="F26" t="s">
        <v>42</v>
      </c>
      <c r="G26" t="s">
        <v>43</v>
      </c>
      <c r="H26" t="s">
        <v>41</v>
      </c>
      <c r="I26" t="s">
        <v>59</v>
      </c>
      <c r="J26" t="s">
        <v>44</v>
      </c>
      <c r="K26" t="s">
        <v>149</v>
      </c>
      <c r="L26">
        <v>-12.158364000000001</v>
      </c>
      <c r="M26">
        <v>-76.973145000000002</v>
      </c>
      <c r="N26" t="str">
        <f>HYPERLINK("https://www.google.com/maps/search/?api=1&amp;query=-12.158364,-76.973145","Avenida San Juan, San Juan de Miraflores, Lima")</f>
        <v>Avenida San Juan, San Juan de Miraflores, Lima</v>
      </c>
      <c r="O26" t="s">
        <v>76</v>
      </c>
      <c r="P26" t="s">
        <v>41</v>
      </c>
      <c r="Q26">
        <v>1840.5</v>
      </c>
      <c r="R26" t="s">
        <v>150</v>
      </c>
      <c r="S26">
        <v>10.4</v>
      </c>
      <c r="T26">
        <v>0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>
        <v>100</v>
      </c>
      <c r="AC26" t="s">
        <v>44</v>
      </c>
      <c r="AD26" t="s">
        <v>149</v>
      </c>
      <c r="AE26" t="str">
        <f t="shared" si="3"/>
        <v>En línea</v>
      </c>
      <c r="AF26" t="str">
        <f t="shared" si="0"/>
        <v>Sin atender</v>
      </c>
      <c r="AG26" t="s">
        <v>41</v>
      </c>
      <c r="AH26" t="s">
        <v>41</v>
      </c>
      <c r="AI26" t="s">
        <v>41</v>
      </c>
      <c r="AJ26" t="s">
        <v>41</v>
      </c>
      <c r="AK26" t="s">
        <v>151</v>
      </c>
      <c r="AL26" t="s">
        <v>152</v>
      </c>
      <c r="AM26" t="s">
        <v>41</v>
      </c>
    </row>
    <row r="27" spans="1:39" ht="15.75" x14ac:dyDescent="0.25">
      <c r="A27">
        <v>26</v>
      </c>
      <c r="B27" t="s">
        <v>39</v>
      </c>
      <c r="C27" t="s">
        <v>40</v>
      </c>
      <c r="D27" t="s">
        <v>396</v>
      </c>
      <c r="E27" t="s">
        <v>41</v>
      </c>
      <c r="F27" t="s">
        <v>42</v>
      </c>
      <c r="G27" t="s">
        <v>43</v>
      </c>
      <c r="H27" t="s">
        <v>41</v>
      </c>
      <c r="I27" t="s">
        <v>59</v>
      </c>
      <c r="J27" t="s">
        <v>44</v>
      </c>
      <c r="K27" t="s">
        <v>153</v>
      </c>
      <c r="L27">
        <v>-12.155503</v>
      </c>
      <c r="M27">
        <v>-76.97242</v>
      </c>
      <c r="N27" t="str">
        <f>HYPERLINK("https://www.google.com/maps/search/?api=1&amp;query=-12.155503,-76.97242","Avenida San Juan, San Juan de Miraflores, Lima")</f>
        <v>Avenida San Juan, San Juan de Miraflores, Lima</v>
      </c>
      <c r="O27" t="s">
        <v>61</v>
      </c>
      <c r="P27" t="s">
        <v>41</v>
      </c>
      <c r="Q27">
        <v>1840.9</v>
      </c>
      <c r="R27" t="s">
        <v>150</v>
      </c>
      <c r="S27">
        <v>0</v>
      </c>
      <c r="T27">
        <v>0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>
        <v>100</v>
      </c>
      <c r="AC27" t="s">
        <v>44</v>
      </c>
      <c r="AD27" t="s">
        <v>154</v>
      </c>
      <c r="AE27" t="str">
        <f t="shared" si="3"/>
        <v>En línea</v>
      </c>
      <c r="AF27" t="str">
        <f t="shared" si="0"/>
        <v>Sin atender</v>
      </c>
      <c r="AG27" t="s">
        <v>41</v>
      </c>
      <c r="AH27" t="s">
        <v>41</v>
      </c>
      <c r="AI27" t="s">
        <v>41</v>
      </c>
      <c r="AJ27" t="s">
        <v>41</v>
      </c>
      <c r="AK27" t="s">
        <v>155</v>
      </c>
      <c r="AL27" t="s">
        <v>156</v>
      </c>
      <c r="AM27" t="s">
        <v>41</v>
      </c>
    </row>
    <row r="28" spans="1:39" ht="15.75" x14ac:dyDescent="0.25">
      <c r="A28">
        <v>27</v>
      </c>
      <c r="B28" t="s">
        <v>39</v>
      </c>
      <c r="C28" t="s">
        <v>40</v>
      </c>
      <c r="D28" t="s">
        <v>397</v>
      </c>
      <c r="E28" t="s">
        <v>41</v>
      </c>
      <c r="F28" t="s">
        <v>42</v>
      </c>
      <c r="G28" t="s">
        <v>43</v>
      </c>
      <c r="H28" t="s">
        <v>41</v>
      </c>
      <c r="I28" t="s">
        <v>41</v>
      </c>
      <c r="J28" t="s">
        <v>44</v>
      </c>
      <c r="K28" t="s">
        <v>157</v>
      </c>
      <c r="L28">
        <v>-12.161504000000001</v>
      </c>
      <c r="M28">
        <v>-76.982650000000007</v>
      </c>
      <c r="N28" t="str">
        <f>HYPERLINK("https://www.google.com/maps/search/?api=1&amp;query=-12.161504,-76.98265","Calle Los Girasoles, San Juan de Miraflores, Lima")</f>
        <v>Calle Los Girasoles, San Juan de Miraflores, Lima</v>
      </c>
      <c r="O28" t="s">
        <v>51</v>
      </c>
      <c r="P28" t="s">
        <v>52</v>
      </c>
      <c r="Q28">
        <v>1843.9</v>
      </c>
      <c r="R28" t="s">
        <v>41</v>
      </c>
      <c r="S28">
        <v>0</v>
      </c>
      <c r="T28">
        <v>0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>
        <v>100</v>
      </c>
      <c r="AC28" t="s">
        <v>44</v>
      </c>
      <c r="AD28" t="s">
        <v>158</v>
      </c>
      <c r="AE28" t="str">
        <f t="shared" si="3"/>
        <v>En línea</v>
      </c>
      <c r="AF28" t="str">
        <f t="shared" si="0"/>
        <v>Sin atender</v>
      </c>
      <c r="AG28" t="s">
        <v>41</v>
      </c>
      <c r="AH28" t="s">
        <v>41</v>
      </c>
      <c r="AI28" t="s">
        <v>41</v>
      </c>
      <c r="AJ28" t="s">
        <v>41</v>
      </c>
      <c r="AK28" t="s">
        <v>159</v>
      </c>
      <c r="AL28" t="s">
        <v>160</v>
      </c>
      <c r="AM28" t="s">
        <v>41</v>
      </c>
    </row>
    <row r="29" spans="1:39" ht="15.75" x14ac:dyDescent="0.25">
      <c r="A29">
        <v>28</v>
      </c>
      <c r="B29" t="s">
        <v>39</v>
      </c>
      <c r="C29" t="s">
        <v>40</v>
      </c>
      <c r="D29" t="s">
        <v>398</v>
      </c>
      <c r="E29" t="s">
        <v>41</v>
      </c>
      <c r="F29" t="s">
        <v>42</v>
      </c>
      <c r="G29" t="s">
        <v>43</v>
      </c>
      <c r="H29" t="s">
        <v>41</v>
      </c>
      <c r="I29" t="s">
        <v>41</v>
      </c>
      <c r="J29" t="s">
        <v>44</v>
      </c>
      <c r="K29" t="s">
        <v>161</v>
      </c>
      <c r="L29">
        <v>-12.161504000000001</v>
      </c>
      <c r="M29">
        <v>-76.982650000000007</v>
      </c>
      <c r="N29" t="str">
        <f>HYPERLINK("https://www.google.com/maps/search/?api=1&amp;query=-12.161504,-76.98265","Calle Los Girasoles, San Juan de Miraflores, Lima")</f>
        <v>Calle Los Girasoles, San Juan de Miraflores, Lima</v>
      </c>
      <c r="O29" t="s">
        <v>46</v>
      </c>
      <c r="P29" t="s">
        <v>41</v>
      </c>
      <c r="Q29">
        <v>1844.1</v>
      </c>
      <c r="R29" t="s">
        <v>41</v>
      </c>
      <c r="S29">
        <v>0</v>
      </c>
      <c r="T29">
        <v>0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>
        <v>100</v>
      </c>
      <c r="AC29" t="s">
        <v>44</v>
      </c>
      <c r="AD29" t="s">
        <v>162</v>
      </c>
      <c r="AE29" t="str">
        <f>IF("NOGPS"="NOGPS","GPS Antiguo","En línea")</f>
        <v>GPS Antiguo</v>
      </c>
      <c r="AF29" t="str">
        <f t="shared" si="0"/>
        <v>Sin atender</v>
      </c>
      <c r="AG29" t="s">
        <v>41</v>
      </c>
      <c r="AH29" t="s">
        <v>41</v>
      </c>
      <c r="AI29" t="s">
        <v>41</v>
      </c>
      <c r="AJ29" t="s">
        <v>41</v>
      </c>
      <c r="AK29" t="s">
        <v>163</v>
      </c>
      <c r="AL29" t="s">
        <v>164</v>
      </c>
      <c r="AM29" t="s">
        <v>41</v>
      </c>
    </row>
    <row r="30" spans="1:39" ht="15.75" x14ac:dyDescent="0.25">
      <c r="A30">
        <v>29</v>
      </c>
      <c r="B30" t="s">
        <v>39</v>
      </c>
      <c r="C30" t="s">
        <v>40</v>
      </c>
      <c r="D30" t="s">
        <v>399</v>
      </c>
      <c r="E30" t="s">
        <v>41</v>
      </c>
      <c r="F30" t="s">
        <v>42</v>
      </c>
      <c r="G30" t="s">
        <v>43</v>
      </c>
      <c r="H30" t="s">
        <v>41</v>
      </c>
      <c r="I30" t="s">
        <v>59</v>
      </c>
      <c r="J30" t="s">
        <v>44</v>
      </c>
      <c r="K30" t="s">
        <v>165</v>
      </c>
      <c r="L30">
        <v>-12.161458</v>
      </c>
      <c r="M30">
        <v>-76.982830000000007</v>
      </c>
      <c r="N30" t="str">
        <f>HYPERLINK("https://www.google.com/maps/search/?api=1&amp;query=-12.161458,-76.98283","Calle Los Girasoles, San Juan de Miraflores, Lima")</f>
        <v>Calle Los Girasoles, San Juan de Miraflores, Lima</v>
      </c>
      <c r="O30" t="s">
        <v>76</v>
      </c>
      <c r="P30" t="s">
        <v>41</v>
      </c>
      <c r="Q30">
        <v>1844.1</v>
      </c>
      <c r="R30" t="s">
        <v>166</v>
      </c>
      <c r="S30">
        <v>0</v>
      </c>
      <c r="T30">
        <v>0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>
        <v>100</v>
      </c>
      <c r="AC30" t="s">
        <v>44</v>
      </c>
      <c r="AD30" t="s">
        <v>165</v>
      </c>
      <c r="AE30" t="str">
        <f>IF("ONLINE"="NOGPS","GPS Antiguo","En línea")</f>
        <v>En línea</v>
      </c>
      <c r="AF30" t="str">
        <f t="shared" si="0"/>
        <v>Sin atender</v>
      </c>
      <c r="AG30" t="s">
        <v>41</v>
      </c>
      <c r="AH30" t="s">
        <v>41</v>
      </c>
      <c r="AI30" t="s">
        <v>41</v>
      </c>
      <c r="AJ30" t="s">
        <v>41</v>
      </c>
      <c r="AK30" t="s">
        <v>167</v>
      </c>
      <c r="AL30" t="s">
        <v>168</v>
      </c>
      <c r="AM30" t="s">
        <v>41</v>
      </c>
    </row>
    <row r="31" spans="1:39" ht="15.75" x14ac:dyDescent="0.25">
      <c r="A31">
        <v>30</v>
      </c>
      <c r="B31" t="s">
        <v>39</v>
      </c>
      <c r="C31" t="s">
        <v>40</v>
      </c>
      <c r="D31" t="s">
        <v>400</v>
      </c>
      <c r="E31" t="s">
        <v>41</v>
      </c>
      <c r="F31" t="s">
        <v>42</v>
      </c>
      <c r="G31" t="s">
        <v>43</v>
      </c>
      <c r="H31" t="s">
        <v>41</v>
      </c>
      <c r="I31" t="s">
        <v>59</v>
      </c>
      <c r="J31" t="s">
        <v>44</v>
      </c>
      <c r="K31" t="s">
        <v>169</v>
      </c>
      <c r="L31">
        <v>-12.161320999999999</v>
      </c>
      <c r="M31">
        <v>-76.983490000000003</v>
      </c>
      <c r="N31" t="str">
        <f>HYPERLINK("https://www.google.com/maps/search/?api=1&amp;query=-12.161321,-76.98349","Calle Los Girasoles, San Juan de Miraflores, Lima")</f>
        <v>Calle Los Girasoles, San Juan de Miraflores, Lima</v>
      </c>
      <c r="O31" t="s">
        <v>61</v>
      </c>
      <c r="P31" t="s">
        <v>41</v>
      </c>
      <c r="Q31">
        <v>1844.1</v>
      </c>
      <c r="R31" t="s">
        <v>166</v>
      </c>
      <c r="S31">
        <v>10.5</v>
      </c>
      <c r="T31">
        <v>0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>
        <v>100</v>
      </c>
      <c r="AC31" t="s">
        <v>44</v>
      </c>
      <c r="AD31" t="s">
        <v>169</v>
      </c>
      <c r="AE31" t="str">
        <f>IF("ONLINE"="NOGPS","GPS Antiguo","En línea")</f>
        <v>En línea</v>
      </c>
      <c r="AF31" t="str">
        <f t="shared" si="0"/>
        <v>Sin atender</v>
      </c>
      <c r="AG31" t="s">
        <v>41</v>
      </c>
      <c r="AH31" t="s">
        <v>41</v>
      </c>
      <c r="AI31" t="s">
        <v>41</v>
      </c>
      <c r="AJ31" t="s">
        <v>41</v>
      </c>
      <c r="AK31" t="s">
        <v>170</v>
      </c>
      <c r="AL31" t="s">
        <v>171</v>
      </c>
      <c r="AM31" t="s">
        <v>41</v>
      </c>
    </row>
    <row r="32" spans="1:39" ht="15.75" x14ac:dyDescent="0.25">
      <c r="A32">
        <v>31</v>
      </c>
      <c r="B32" t="s">
        <v>39</v>
      </c>
      <c r="C32" t="s">
        <v>40</v>
      </c>
      <c r="D32" t="s">
        <v>401</v>
      </c>
      <c r="E32" t="s">
        <v>41</v>
      </c>
      <c r="F32" t="s">
        <v>42</v>
      </c>
      <c r="G32" t="s">
        <v>43</v>
      </c>
      <c r="H32" t="s">
        <v>41</v>
      </c>
      <c r="I32" t="s">
        <v>59</v>
      </c>
      <c r="J32" t="s">
        <v>44</v>
      </c>
      <c r="K32" t="s">
        <v>172</v>
      </c>
      <c r="L32">
        <v>-12.180543999999999</v>
      </c>
      <c r="M32">
        <v>-76.978189999999998</v>
      </c>
      <c r="N32" t="str">
        <f>HYPERLINK("https://www.google.com/maps/search/?api=1&amp;query=-12.180544,-76.97819","Avenida Cesar Vallejo, San Juan de Miraflores, Lima")</f>
        <v>Avenida Cesar Vallejo, San Juan de Miraflores, Lima</v>
      </c>
      <c r="O32" t="s">
        <v>76</v>
      </c>
      <c r="P32" t="s">
        <v>41</v>
      </c>
      <c r="Q32">
        <v>1847.6</v>
      </c>
      <c r="R32" t="s">
        <v>173</v>
      </c>
      <c r="S32">
        <v>7.8</v>
      </c>
      <c r="T32">
        <v>0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>
        <v>100</v>
      </c>
      <c r="AC32" t="s">
        <v>44</v>
      </c>
      <c r="AD32" t="s">
        <v>174</v>
      </c>
      <c r="AE32" t="str">
        <f>IF("ONLINE"="NOGPS","GPS Antiguo","En línea")</f>
        <v>En línea</v>
      </c>
      <c r="AF32" t="str">
        <f t="shared" si="0"/>
        <v>Sin atender</v>
      </c>
      <c r="AG32" t="s">
        <v>41</v>
      </c>
      <c r="AH32" t="s">
        <v>41</v>
      </c>
      <c r="AI32" t="s">
        <v>41</v>
      </c>
      <c r="AJ32" t="s">
        <v>41</v>
      </c>
      <c r="AK32" t="s">
        <v>175</v>
      </c>
      <c r="AL32" t="s">
        <v>176</v>
      </c>
      <c r="AM32" t="s">
        <v>41</v>
      </c>
    </row>
    <row r="33" spans="1:39" ht="15.75" x14ac:dyDescent="0.25">
      <c r="A33">
        <v>32</v>
      </c>
      <c r="B33" t="s">
        <v>39</v>
      </c>
      <c r="C33" t="s">
        <v>40</v>
      </c>
      <c r="D33" t="s">
        <v>402</v>
      </c>
      <c r="E33" t="s">
        <v>41</v>
      </c>
      <c r="F33" t="s">
        <v>42</v>
      </c>
      <c r="G33" t="s">
        <v>43</v>
      </c>
      <c r="H33" t="s">
        <v>41</v>
      </c>
      <c r="I33" t="s">
        <v>41</v>
      </c>
      <c r="J33" t="s">
        <v>44</v>
      </c>
      <c r="K33" t="s">
        <v>177</v>
      </c>
      <c r="L33">
        <v>-12.180543999999999</v>
      </c>
      <c r="M33">
        <v>-76.978189999999998</v>
      </c>
      <c r="N33" t="str">
        <f>HYPERLINK("https://www.google.com/maps/search/?api=1&amp;query=-12.180544,-76.97819","Avenida Cesar Vallejo, San Juan de Miraflores, Lima")</f>
        <v>Avenida Cesar Vallejo, San Juan de Miraflores, Lima</v>
      </c>
      <c r="O33" t="s">
        <v>51</v>
      </c>
      <c r="P33" t="s">
        <v>52</v>
      </c>
      <c r="Q33">
        <v>1847.6</v>
      </c>
      <c r="R33" t="s">
        <v>41</v>
      </c>
      <c r="S33">
        <v>7.8</v>
      </c>
      <c r="T33">
        <v>0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>
        <v>100</v>
      </c>
      <c r="AC33" t="s">
        <v>44</v>
      </c>
      <c r="AD33" t="s">
        <v>174</v>
      </c>
      <c r="AE33" t="str">
        <f>IF("ONLINE"="NOGPS","GPS Antiguo","En línea")</f>
        <v>En línea</v>
      </c>
      <c r="AF33" t="str">
        <f t="shared" si="0"/>
        <v>Sin atender</v>
      </c>
      <c r="AG33" t="s">
        <v>41</v>
      </c>
      <c r="AH33" t="s">
        <v>41</v>
      </c>
      <c r="AI33" t="s">
        <v>41</v>
      </c>
      <c r="AJ33" t="s">
        <v>41</v>
      </c>
      <c r="AK33" t="s">
        <v>178</v>
      </c>
      <c r="AL33" t="s">
        <v>179</v>
      </c>
      <c r="AM33" t="s">
        <v>41</v>
      </c>
    </row>
    <row r="34" spans="1:39" ht="15.75" x14ac:dyDescent="0.25">
      <c r="A34">
        <v>33</v>
      </c>
      <c r="B34" t="s">
        <v>39</v>
      </c>
      <c r="C34" t="s">
        <v>40</v>
      </c>
      <c r="D34" t="s">
        <v>403</v>
      </c>
      <c r="E34" t="s">
        <v>41</v>
      </c>
      <c r="F34" t="s">
        <v>42</v>
      </c>
      <c r="G34" t="s">
        <v>43</v>
      </c>
      <c r="H34" t="s">
        <v>41</v>
      </c>
      <c r="I34" t="s">
        <v>41</v>
      </c>
      <c r="J34" t="s">
        <v>44</v>
      </c>
      <c r="K34" t="s">
        <v>180</v>
      </c>
      <c r="L34">
        <v>-12.180664</v>
      </c>
      <c r="M34">
        <v>-76.978160000000003</v>
      </c>
      <c r="N34" t="str">
        <f>HYPERLINK("https://www.google.com/maps/search/?api=1&amp;query=-12.180664,-76.97816","Calle Los Pinos, San Juan de Miraflores, Lima")</f>
        <v>Calle Los Pinos, San Juan de Miraflores, Lima</v>
      </c>
      <c r="O34" t="s">
        <v>46</v>
      </c>
      <c r="P34" t="s">
        <v>41</v>
      </c>
      <c r="Q34">
        <v>1847.6</v>
      </c>
      <c r="R34" t="s">
        <v>41</v>
      </c>
      <c r="S34">
        <v>0</v>
      </c>
      <c r="T34">
        <v>0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>
        <v>100</v>
      </c>
      <c r="AC34" t="s">
        <v>44</v>
      </c>
      <c r="AD34" t="s">
        <v>181</v>
      </c>
      <c r="AE34" t="str">
        <f>IF("NOGPS"="NOGPS","GPS Antiguo","En línea")</f>
        <v>GPS Antiguo</v>
      </c>
      <c r="AF34" t="str">
        <f t="shared" ref="AF34:AF65" si="4">IF(0=0,"Sin atender", IF(0=1,"Atendida","Atendida y Reportada"))</f>
        <v>Sin atender</v>
      </c>
      <c r="AG34" t="s">
        <v>41</v>
      </c>
      <c r="AH34" t="s">
        <v>41</v>
      </c>
      <c r="AI34" t="s">
        <v>41</v>
      </c>
      <c r="AJ34" t="s">
        <v>41</v>
      </c>
      <c r="AK34" t="s">
        <v>182</v>
      </c>
      <c r="AL34" t="s">
        <v>183</v>
      </c>
      <c r="AM34" t="s">
        <v>41</v>
      </c>
    </row>
    <row r="35" spans="1:39" ht="15.75" x14ac:dyDescent="0.25">
      <c r="A35">
        <v>34</v>
      </c>
      <c r="B35" t="s">
        <v>39</v>
      </c>
      <c r="C35" t="s">
        <v>40</v>
      </c>
      <c r="D35" t="s">
        <v>404</v>
      </c>
      <c r="E35" t="s">
        <v>41</v>
      </c>
      <c r="F35" t="s">
        <v>42</v>
      </c>
      <c r="G35" t="s">
        <v>43</v>
      </c>
      <c r="H35" t="s">
        <v>41</v>
      </c>
      <c r="I35" t="s">
        <v>59</v>
      </c>
      <c r="J35" t="s">
        <v>44</v>
      </c>
      <c r="K35" t="s">
        <v>184</v>
      </c>
      <c r="L35">
        <v>-12.180236000000001</v>
      </c>
      <c r="M35">
        <v>-76.976944000000003</v>
      </c>
      <c r="N35" t="str">
        <f>HYPERLINK("https://www.google.com/maps/search/?api=1&amp;query=-12.180236,-76.976944","Avenida Cesar Vallejo, San Juan de Miraflores, Lima")</f>
        <v>Avenida Cesar Vallejo, San Juan de Miraflores, Lima</v>
      </c>
      <c r="O35" t="s">
        <v>61</v>
      </c>
      <c r="P35" t="s">
        <v>41</v>
      </c>
      <c r="Q35">
        <v>1847.8</v>
      </c>
      <c r="R35" t="s">
        <v>173</v>
      </c>
      <c r="S35">
        <v>9.6</v>
      </c>
      <c r="T35">
        <v>0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>
        <v>100</v>
      </c>
      <c r="AC35" t="s">
        <v>44</v>
      </c>
      <c r="AD35" t="s">
        <v>185</v>
      </c>
      <c r="AE35" t="str">
        <f t="shared" ref="AE35:AE47" si="5">IF("ONLINE"="NOGPS","GPS Antiguo","En línea")</f>
        <v>En línea</v>
      </c>
      <c r="AF35" t="str">
        <f t="shared" si="4"/>
        <v>Sin atender</v>
      </c>
      <c r="AG35" t="s">
        <v>41</v>
      </c>
      <c r="AH35" t="s">
        <v>41</v>
      </c>
      <c r="AI35" t="s">
        <v>41</v>
      </c>
      <c r="AJ35" t="s">
        <v>41</v>
      </c>
      <c r="AK35" t="s">
        <v>186</v>
      </c>
      <c r="AL35" t="s">
        <v>187</v>
      </c>
      <c r="AM35" t="s">
        <v>41</v>
      </c>
    </row>
    <row r="36" spans="1:39" ht="15.75" x14ac:dyDescent="0.25">
      <c r="A36">
        <v>35</v>
      </c>
      <c r="B36" t="s">
        <v>39</v>
      </c>
      <c r="C36" t="s">
        <v>40</v>
      </c>
      <c r="D36" t="s">
        <v>405</v>
      </c>
      <c r="E36" t="s">
        <v>41</v>
      </c>
      <c r="F36" t="s">
        <v>42</v>
      </c>
      <c r="G36" t="s">
        <v>43</v>
      </c>
      <c r="H36" t="s">
        <v>41</v>
      </c>
      <c r="I36" t="s">
        <v>41</v>
      </c>
      <c r="J36" t="s">
        <v>44</v>
      </c>
      <c r="K36" t="s">
        <v>188</v>
      </c>
      <c r="L36">
        <v>-12.192059</v>
      </c>
      <c r="M36">
        <v>-76.972740000000002</v>
      </c>
      <c r="N36" t="str">
        <f>HYPERLINK("https://www.google.com/maps/search/?api=1&amp;query=-12.192059,-76.97274","Carretera Panamericana Sur, San Juan de Miraflores, Lima")</f>
        <v>Carretera Panamericana Sur, San Juan de Miraflores, Lima</v>
      </c>
      <c r="O36" t="s">
        <v>189</v>
      </c>
      <c r="P36" t="s">
        <v>41</v>
      </c>
      <c r="Q36">
        <v>1849.3</v>
      </c>
      <c r="R36" t="s">
        <v>41</v>
      </c>
      <c r="S36">
        <v>70.8</v>
      </c>
      <c r="T36">
        <v>0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>
        <v>100</v>
      </c>
      <c r="AC36" t="s">
        <v>44</v>
      </c>
      <c r="AD36" t="s">
        <v>190</v>
      </c>
      <c r="AE36" t="str">
        <f t="shared" si="5"/>
        <v>En línea</v>
      </c>
      <c r="AF36" t="str">
        <f t="shared" si="4"/>
        <v>Sin atender</v>
      </c>
      <c r="AG36" t="s">
        <v>41</v>
      </c>
      <c r="AH36" t="s">
        <v>41</v>
      </c>
      <c r="AI36" t="s">
        <v>41</v>
      </c>
      <c r="AJ36" t="s">
        <v>41</v>
      </c>
      <c r="AK36" t="s">
        <v>191</v>
      </c>
      <c r="AL36" t="s">
        <v>192</v>
      </c>
      <c r="AM36" t="s">
        <v>41</v>
      </c>
    </row>
    <row r="37" spans="1:39" ht="15.75" x14ac:dyDescent="0.25">
      <c r="A37">
        <v>36</v>
      </c>
      <c r="B37" t="s">
        <v>39</v>
      </c>
      <c r="C37" t="s">
        <v>40</v>
      </c>
      <c r="D37" t="s">
        <v>406</v>
      </c>
      <c r="E37" t="s">
        <v>41</v>
      </c>
      <c r="F37" t="s">
        <v>42</v>
      </c>
      <c r="G37" t="s">
        <v>43</v>
      </c>
      <c r="H37" t="s">
        <v>41</v>
      </c>
      <c r="I37" t="s">
        <v>41</v>
      </c>
      <c r="J37" t="s">
        <v>44</v>
      </c>
      <c r="K37" t="s">
        <v>193</v>
      </c>
      <c r="L37">
        <v>-12.259188</v>
      </c>
      <c r="M37">
        <v>-76.916799999999995</v>
      </c>
      <c r="N37" t="str">
        <f>HYPERLINK("https://www.google.com/maps/search/?api=1&amp;query=-12.259188,-76.9168","Carretera Panamericana Sur, Lurín, Lima")</f>
        <v>Carretera Panamericana Sur, Lurín, Lima</v>
      </c>
      <c r="O37" t="s">
        <v>67</v>
      </c>
      <c r="P37" t="s">
        <v>41</v>
      </c>
      <c r="Q37">
        <v>1859.3</v>
      </c>
      <c r="R37" t="s">
        <v>41</v>
      </c>
      <c r="S37">
        <v>82.5</v>
      </c>
      <c r="T37">
        <v>0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>
        <v>100</v>
      </c>
      <c r="AC37" t="s">
        <v>44</v>
      </c>
      <c r="AD37" t="s">
        <v>194</v>
      </c>
      <c r="AE37" t="str">
        <f t="shared" si="5"/>
        <v>En línea</v>
      </c>
      <c r="AF37" t="str">
        <f t="shared" si="4"/>
        <v>Sin atender</v>
      </c>
      <c r="AG37" t="s">
        <v>41</v>
      </c>
      <c r="AH37" t="s">
        <v>41</v>
      </c>
      <c r="AI37" t="s">
        <v>41</v>
      </c>
      <c r="AJ37" t="s">
        <v>41</v>
      </c>
      <c r="AK37" t="s">
        <v>195</v>
      </c>
      <c r="AL37" t="s">
        <v>196</v>
      </c>
      <c r="AM37" t="s">
        <v>41</v>
      </c>
    </row>
    <row r="38" spans="1:39" ht="15.75" x14ac:dyDescent="0.25">
      <c r="A38">
        <v>37</v>
      </c>
      <c r="B38" t="s">
        <v>39</v>
      </c>
      <c r="C38" t="s">
        <v>40</v>
      </c>
      <c r="D38" t="s">
        <v>407</v>
      </c>
      <c r="E38" t="s">
        <v>41</v>
      </c>
      <c r="F38" t="s">
        <v>42</v>
      </c>
      <c r="G38" t="s">
        <v>43</v>
      </c>
      <c r="H38" t="s">
        <v>41</v>
      </c>
      <c r="I38" t="s">
        <v>41</v>
      </c>
      <c r="J38" t="s">
        <v>44</v>
      </c>
      <c r="K38" t="s">
        <v>197</v>
      </c>
      <c r="L38">
        <v>-12.264775</v>
      </c>
      <c r="M38">
        <v>-76.907929999999993</v>
      </c>
      <c r="N38" t="str">
        <f>HYPERLINK("https://www.google.com/maps/search/?api=1&amp;query=-12.264775,-76.90793","Carretera Panamericana Sur, Lurín, Lima")</f>
        <v>Carretera Panamericana Sur, Lurín, Lima</v>
      </c>
      <c r="O38" t="s">
        <v>67</v>
      </c>
      <c r="P38" t="s">
        <v>41</v>
      </c>
      <c r="Q38">
        <v>1860.6</v>
      </c>
      <c r="R38" t="s">
        <v>41</v>
      </c>
      <c r="S38">
        <v>81</v>
      </c>
      <c r="T38">
        <v>0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>
        <v>100</v>
      </c>
      <c r="AC38" t="s">
        <v>44</v>
      </c>
      <c r="AD38" t="s">
        <v>197</v>
      </c>
      <c r="AE38" t="str">
        <f t="shared" si="5"/>
        <v>En línea</v>
      </c>
      <c r="AF38" t="str">
        <f t="shared" si="4"/>
        <v>Sin atender</v>
      </c>
      <c r="AG38" t="s">
        <v>41</v>
      </c>
      <c r="AH38" t="s">
        <v>41</v>
      </c>
      <c r="AI38" t="s">
        <v>41</v>
      </c>
      <c r="AJ38" t="s">
        <v>41</v>
      </c>
      <c r="AK38" t="s">
        <v>198</v>
      </c>
      <c r="AL38" t="s">
        <v>199</v>
      </c>
      <c r="AM38" t="s">
        <v>41</v>
      </c>
    </row>
    <row r="39" spans="1:39" ht="15.75" x14ac:dyDescent="0.25">
      <c r="A39">
        <v>38</v>
      </c>
      <c r="B39" t="s">
        <v>39</v>
      </c>
      <c r="C39" t="s">
        <v>40</v>
      </c>
      <c r="D39" t="s">
        <v>408</v>
      </c>
      <c r="E39" t="s">
        <v>41</v>
      </c>
      <c r="F39" t="s">
        <v>42</v>
      </c>
      <c r="G39" t="s">
        <v>43</v>
      </c>
      <c r="H39" t="s">
        <v>41</v>
      </c>
      <c r="I39" t="s">
        <v>41</v>
      </c>
      <c r="J39" t="s">
        <v>44</v>
      </c>
      <c r="K39" t="s">
        <v>200</v>
      </c>
      <c r="L39">
        <v>-12.268055</v>
      </c>
      <c r="M39">
        <v>-76.902699999999996</v>
      </c>
      <c r="N39" t="str">
        <f>HYPERLINK("https://www.google.com/maps/search/?api=1&amp;query=-12.268055,-76.9027","Carretera Panamericana Sur, Lurín, Lima")</f>
        <v>Carretera Panamericana Sur, Lurín, Lima</v>
      </c>
      <c r="O39" t="s">
        <v>67</v>
      </c>
      <c r="P39" t="s">
        <v>41</v>
      </c>
      <c r="Q39">
        <v>1862</v>
      </c>
      <c r="R39" t="s">
        <v>41</v>
      </c>
      <c r="S39">
        <v>80.3</v>
      </c>
      <c r="T39">
        <v>0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>
        <v>100</v>
      </c>
      <c r="AC39" t="s">
        <v>44</v>
      </c>
      <c r="AD39" t="s">
        <v>201</v>
      </c>
      <c r="AE39" t="str">
        <f t="shared" si="5"/>
        <v>En línea</v>
      </c>
      <c r="AF39" t="str">
        <f t="shared" si="4"/>
        <v>Sin atender</v>
      </c>
      <c r="AG39" t="s">
        <v>41</v>
      </c>
      <c r="AH39" t="s">
        <v>41</v>
      </c>
      <c r="AI39" t="s">
        <v>41</v>
      </c>
      <c r="AJ39" t="s">
        <v>41</v>
      </c>
      <c r="AK39" t="s">
        <v>202</v>
      </c>
      <c r="AL39" t="s">
        <v>203</v>
      </c>
      <c r="AM39" t="s">
        <v>41</v>
      </c>
    </row>
    <row r="40" spans="1:39" ht="15.75" x14ac:dyDescent="0.25">
      <c r="A40">
        <v>39</v>
      </c>
      <c r="B40" t="s">
        <v>39</v>
      </c>
      <c r="C40" t="s">
        <v>40</v>
      </c>
      <c r="D40" t="s">
        <v>409</v>
      </c>
      <c r="E40" t="s">
        <v>41</v>
      </c>
      <c r="F40" t="s">
        <v>42</v>
      </c>
      <c r="G40" t="s">
        <v>43</v>
      </c>
      <c r="H40" t="s">
        <v>41</v>
      </c>
      <c r="I40" t="s">
        <v>41</v>
      </c>
      <c r="J40" t="s">
        <v>44</v>
      </c>
      <c r="K40" t="s">
        <v>204</v>
      </c>
      <c r="L40">
        <v>-12.271304000000001</v>
      </c>
      <c r="M40">
        <v>-76.897540000000006</v>
      </c>
      <c r="N40" t="str">
        <f>HYPERLINK("https://www.google.com/maps/search/?api=1&amp;query=-12.271304,-76.89754","Carretera Panamericana Sur, Lurín, Lima")</f>
        <v>Carretera Panamericana Sur, Lurín, Lima</v>
      </c>
      <c r="O40" t="s">
        <v>67</v>
      </c>
      <c r="P40" t="s">
        <v>41</v>
      </c>
      <c r="Q40">
        <v>1862</v>
      </c>
      <c r="R40" t="s">
        <v>41</v>
      </c>
      <c r="S40">
        <v>80.2</v>
      </c>
      <c r="T40">
        <v>0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>
        <v>100</v>
      </c>
      <c r="AC40" t="s">
        <v>44</v>
      </c>
      <c r="AD40" t="s">
        <v>205</v>
      </c>
      <c r="AE40" t="str">
        <f t="shared" si="5"/>
        <v>En línea</v>
      </c>
      <c r="AF40" t="str">
        <f t="shared" si="4"/>
        <v>Sin atender</v>
      </c>
      <c r="AG40" t="s">
        <v>41</v>
      </c>
      <c r="AH40" t="s">
        <v>41</v>
      </c>
      <c r="AI40" t="s">
        <v>41</v>
      </c>
      <c r="AJ40" t="s">
        <v>41</v>
      </c>
      <c r="AK40" t="s">
        <v>206</v>
      </c>
      <c r="AL40" t="s">
        <v>207</v>
      </c>
      <c r="AM40" t="s">
        <v>41</v>
      </c>
    </row>
    <row r="41" spans="1:39" ht="15.75" x14ac:dyDescent="0.25">
      <c r="A41">
        <v>40</v>
      </c>
      <c r="B41" t="s">
        <v>39</v>
      </c>
      <c r="C41" t="s">
        <v>40</v>
      </c>
      <c r="D41" t="s">
        <v>410</v>
      </c>
      <c r="E41" t="s">
        <v>41</v>
      </c>
      <c r="F41" t="s">
        <v>42</v>
      </c>
      <c r="G41" t="s">
        <v>43</v>
      </c>
      <c r="H41" t="s">
        <v>41</v>
      </c>
      <c r="I41" t="s">
        <v>41</v>
      </c>
      <c r="J41" t="s">
        <v>44</v>
      </c>
      <c r="K41" t="s">
        <v>208</v>
      </c>
      <c r="L41">
        <v>-12.274248</v>
      </c>
      <c r="M41">
        <v>-76.892914000000005</v>
      </c>
      <c r="N41" t="str">
        <f>HYPERLINK("https://www.google.com/maps/search/?api=1&amp;query=-12.274248,-76.892914","Carretera Panamericana Sur, Lurín, Lima")</f>
        <v>Carretera Panamericana Sur, Lurín, Lima</v>
      </c>
      <c r="O41" t="s">
        <v>67</v>
      </c>
      <c r="P41" t="s">
        <v>41</v>
      </c>
      <c r="Q41">
        <v>1862</v>
      </c>
      <c r="R41" t="s">
        <v>41</v>
      </c>
      <c r="S41">
        <v>81.099999999999994</v>
      </c>
      <c r="T41">
        <v>0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>
        <v>100</v>
      </c>
      <c r="AC41" t="s">
        <v>44</v>
      </c>
      <c r="AD41" t="s">
        <v>209</v>
      </c>
      <c r="AE41" t="str">
        <f t="shared" si="5"/>
        <v>En línea</v>
      </c>
      <c r="AF41" t="str">
        <f t="shared" si="4"/>
        <v>Sin atender</v>
      </c>
      <c r="AG41" t="s">
        <v>41</v>
      </c>
      <c r="AH41" t="s">
        <v>41</v>
      </c>
      <c r="AI41" t="s">
        <v>41</v>
      </c>
      <c r="AJ41" t="s">
        <v>41</v>
      </c>
      <c r="AK41" t="s">
        <v>210</v>
      </c>
      <c r="AL41" t="s">
        <v>211</v>
      </c>
      <c r="AM41" t="s">
        <v>41</v>
      </c>
    </row>
    <row r="42" spans="1:39" ht="15.75" x14ac:dyDescent="0.25">
      <c r="A42">
        <v>41</v>
      </c>
      <c r="B42" t="s">
        <v>39</v>
      </c>
      <c r="C42" t="s">
        <v>40</v>
      </c>
      <c r="D42" t="s">
        <v>411</v>
      </c>
      <c r="E42" t="s">
        <v>41</v>
      </c>
      <c r="F42" t="s">
        <v>42</v>
      </c>
      <c r="G42" t="s">
        <v>43</v>
      </c>
      <c r="H42" t="s">
        <v>41</v>
      </c>
      <c r="I42" t="s">
        <v>41</v>
      </c>
      <c r="J42" t="s">
        <v>44</v>
      </c>
      <c r="K42" t="s">
        <v>212</v>
      </c>
      <c r="L42">
        <v>-12.290331999999999</v>
      </c>
      <c r="M42">
        <v>-76.86721</v>
      </c>
      <c r="N42" t="str">
        <f>HYPERLINK("https://www.google.com/maps/search/?api=1&amp;query=-12.290332,-76.86721","Carretera Panamericana Sur, Lurín, Lima")</f>
        <v>Carretera Panamericana Sur, Lurín, Lima</v>
      </c>
      <c r="O42" t="s">
        <v>67</v>
      </c>
      <c r="P42" t="s">
        <v>41</v>
      </c>
      <c r="Q42">
        <v>1866</v>
      </c>
      <c r="R42" t="s">
        <v>41</v>
      </c>
      <c r="S42">
        <v>81.2</v>
      </c>
      <c r="T42">
        <v>0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>
        <v>100</v>
      </c>
      <c r="AC42" t="s">
        <v>44</v>
      </c>
      <c r="AD42" t="s">
        <v>213</v>
      </c>
      <c r="AE42" t="str">
        <f t="shared" si="5"/>
        <v>En línea</v>
      </c>
      <c r="AF42" t="str">
        <f t="shared" si="4"/>
        <v>Sin atender</v>
      </c>
      <c r="AG42" t="s">
        <v>41</v>
      </c>
      <c r="AH42" t="s">
        <v>41</v>
      </c>
      <c r="AI42" t="s">
        <v>41</v>
      </c>
      <c r="AJ42" t="s">
        <v>41</v>
      </c>
      <c r="AK42" t="s">
        <v>214</v>
      </c>
      <c r="AL42" t="s">
        <v>215</v>
      </c>
      <c r="AM42" t="s">
        <v>41</v>
      </c>
    </row>
    <row r="43" spans="1:39" ht="15.75" x14ac:dyDescent="0.25">
      <c r="A43">
        <v>42</v>
      </c>
      <c r="B43" t="s">
        <v>39</v>
      </c>
      <c r="C43" t="s">
        <v>40</v>
      </c>
      <c r="D43" t="s">
        <v>412</v>
      </c>
      <c r="E43" t="s">
        <v>41</v>
      </c>
      <c r="F43" t="s">
        <v>42</v>
      </c>
      <c r="G43" t="s">
        <v>43</v>
      </c>
      <c r="H43" t="s">
        <v>41</v>
      </c>
      <c r="I43" t="s">
        <v>41</v>
      </c>
      <c r="J43" t="s">
        <v>44</v>
      </c>
      <c r="K43" t="s">
        <v>216</v>
      </c>
      <c r="L43">
        <v>-12.317368</v>
      </c>
      <c r="M43">
        <v>-76.830680000000001</v>
      </c>
      <c r="N43" t="str">
        <f>HYPERLINK("https://www.google.com/maps/search/?api=1&amp;query=-12.317368,-76.83068","Carretera Panamericana Sur, Punta Hermosa, Lima")</f>
        <v>Carretera Panamericana Sur, Punta Hermosa, Lima</v>
      </c>
      <c r="O43" t="s">
        <v>67</v>
      </c>
      <c r="P43" t="s">
        <v>41</v>
      </c>
      <c r="Q43">
        <v>1871.1</v>
      </c>
      <c r="R43" t="s">
        <v>41</v>
      </c>
      <c r="S43">
        <v>80.900000000000006</v>
      </c>
      <c r="T43">
        <v>0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>
        <v>100</v>
      </c>
      <c r="AC43" t="s">
        <v>44</v>
      </c>
      <c r="AD43" t="s">
        <v>217</v>
      </c>
      <c r="AE43" t="str">
        <f t="shared" si="5"/>
        <v>En línea</v>
      </c>
      <c r="AF43" t="str">
        <f t="shared" si="4"/>
        <v>Sin atender</v>
      </c>
      <c r="AG43" t="s">
        <v>41</v>
      </c>
      <c r="AH43" t="s">
        <v>41</v>
      </c>
      <c r="AI43" t="s">
        <v>41</v>
      </c>
      <c r="AJ43" t="s">
        <v>41</v>
      </c>
      <c r="AK43" t="s">
        <v>218</v>
      </c>
      <c r="AL43" t="s">
        <v>219</v>
      </c>
      <c r="AM43" t="s">
        <v>41</v>
      </c>
    </row>
    <row r="44" spans="1:39" ht="15.75" x14ac:dyDescent="0.25">
      <c r="A44">
        <v>43</v>
      </c>
      <c r="B44" t="s">
        <v>39</v>
      </c>
      <c r="C44" t="s">
        <v>40</v>
      </c>
      <c r="D44" t="s">
        <v>413</v>
      </c>
      <c r="E44" t="s">
        <v>41</v>
      </c>
      <c r="F44" t="s">
        <v>42</v>
      </c>
      <c r="G44" t="s">
        <v>43</v>
      </c>
      <c r="H44" t="s">
        <v>41</v>
      </c>
      <c r="I44" t="s">
        <v>41</v>
      </c>
      <c r="J44" t="s">
        <v>44</v>
      </c>
      <c r="K44" t="s">
        <v>220</v>
      </c>
      <c r="L44">
        <v>-12.323931</v>
      </c>
      <c r="M44">
        <v>-76.826294000000004</v>
      </c>
      <c r="N44" t="str">
        <f>HYPERLINK("https://www.google.com/maps/search/?api=1&amp;query=-12.323931,-76.826294","Carretera Panamericana Sur, Punta Hermosa, Lima")</f>
        <v>Carretera Panamericana Sur, Punta Hermosa, Lima</v>
      </c>
      <c r="O44" t="s">
        <v>67</v>
      </c>
      <c r="P44" t="s">
        <v>41</v>
      </c>
      <c r="Q44">
        <v>1871.1</v>
      </c>
      <c r="R44" t="s">
        <v>41</v>
      </c>
      <c r="S44">
        <v>82.5</v>
      </c>
      <c r="T44">
        <v>0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>
        <v>100</v>
      </c>
      <c r="AC44" t="s">
        <v>44</v>
      </c>
      <c r="AD44" t="s">
        <v>221</v>
      </c>
      <c r="AE44" t="str">
        <f t="shared" si="5"/>
        <v>En línea</v>
      </c>
      <c r="AF44" t="str">
        <f t="shared" si="4"/>
        <v>Sin atender</v>
      </c>
      <c r="AG44" t="s">
        <v>41</v>
      </c>
      <c r="AH44" t="s">
        <v>41</v>
      </c>
      <c r="AI44" t="s">
        <v>41</v>
      </c>
      <c r="AJ44" t="s">
        <v>41</v>
      </c>
      <c r="AK44" t="s">
        <v>222</v>
      </c>
      <c r="AL44" t="s">
        <v>223</v>
      </c>
      <c r="AM44" t="s">
        <v>41</v>
      </c>
    </row>
    <row r="45" spans="1:39" ht="15.75" x14ac:dyDescent="0.25">
      <c r="A45">
        <v>44</v>
      </c>
      <c r="B45" t="s">
        <v>39</v>
      </c>
      <c r="C45" t="s">
        <v>40</v>
      </c>
      <c r="D45" t="s">
        <v>414</v>
      </c>
      <c r="E45" t="s">
        <v>41</v>
      </c>
      <c r="F45" t="s">
        <v>42</v>
      </c>
      <c r="G45" t="s">
        <v>43</v>
      </c>
      <c r="H45" t="s">
        <v>41</v>
      </c>
      <c r="I45" t="s">
        <v>41</v>
      </c>
      <c r="J45" t="s">
        <v>44</v>
      </c>
      <c r="K45" t="s">
        <v>224</v>
      </c>
      <c r="L45">
        <v>-12.331397000000001</v>
      </c>
      <c r="M45">
        <v>-76.821309999999997</v>
      </c>
      <c r="N45" t="str">
        <f>HYPERLINK("https://www.google.com/maps/search/?api=1&amp;query=-12.331397,-76.82131","Carretera Panamericana Sur, Punta Hermosa, Lima")</f>
        <v>Carretera Panamericana Sur, Punta Hermosa, Lima</v>
      </c>
      <c r="O45" t="s">
        <v>189</v>
      </c>
      <c r="P45" t="s">
        <v>41</v>
      </c>
      <c r="Q45">
        <v>1873.8</v>
      </c>
      <c r="R45" t="s">
        <v>41</v>
      </c>
      <c r="S45">
        <v>80.3</v>
      </c>
      <c r="T45">
        <v>0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>
        <v>100</v>
      </c>
      <c r="AC45" t="s">
        <v>44</v>
      </c>
      <c r="AD45" t="s">
        <v>225</v>
      </c>
      <c r="AE45" t="str">
        <f t="shared" si="5"/>
        <v>En línea</v>
      </c>
      <c r="AF45" t="str">
        <f t="shared" si="4"/>
        <v>Sin atender</v>
      </c>
      <c r="AG45" t="s">
        <v>41</v>
      </c>
      <c r="AH45" t="s">
        <v>41</v>
      </c>
      <c r="AI45" t="s">
        <v>41</v>
      </c>
      <c r="AJ45" t="s">
        <v>41</v>
      </c>
      <c r="AK45" t="s">
        <v>226</v>
      </c>
      <c r="AL45" t="s">
        <v>227</v>
      </c>
      <c r="AM45" t="s">
        <v>41</v>
      </c>
    </row>
    <row r="46" spans="1:39" ht="15.75" x14ac:dyDescent="0.25">
      <c r="A46">
        <v>45</v>
      </c>
      <c r="B46" t="s">
        <v>39</v>
      </c>
      <c r="C46" t="s">
        <v>40</v>
      </c>
      <c r="D46" t="s">
        <v>415</v>
      </c>
      <c r="E46" t="s">
        <v>41</v>
      </c>
      <c r="F46" t="s">
        <v>42</v>
      </c>
      <c r="G46" t="s">
        <v>43</v>
      </c>
      <c r="H46" t="s">
        <v>41</v>
      </c>
      <c r="I46" t="s">
        <v>59</v>
      </c>
      <c r="J46" t="s">
        <v>44</v>
      </c>
      <c r="K46" t="s">
        <v>228</v>
      </c>
      <c r="L46">
        <v>-12.317605</v>
      </c>
      <c r="M46">
        <v>-76.829660000000004</v>
      </c>
      <c r="N46" t="str">
        <f>HYPERLINK("https://www.google.com/maps/search/?api=1&amp;query=-12.317605,-76.82966","Punta Hermosa, Lima")</f>
        <v>Punta Hermosa, Lima</v>
      </c>
      <c r="O46" t="s">
        <v>76</v>
      </c>
      <c r="P46" t="s">
        <v>41</v>
      </c>
      <c r="Q46">
        <v>1876.8</v>
      </c>
      <c r="R46" t="s">
        <v>77</v>
      </c>
      <c r="S46">
        <v>19.7</v>
      </c>
      <c r="T46">
        <v>0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>
        <v>100</v>
      </c>
      <c r="AC46" t="s">
        <v>44</v>
      </c>
      <c r="AD46" t="s">
        <v>229</v>
      </c>
      <c r="AE46" t="str">
        <f t="shared" si="5"/>
        <v>En línea</v>
      </c>
      <c r="AF46" t="str">
        <f t="shared" si="4"/>
        <v>Sin atender</v>
      </c>
      <c r="AG46" t="s">
        <v>41</v>
      </c>
      <c r="AH46" t="s">
        <v>41</v>
      </c>
      <c r="AI46" t="s">
        <v>41</v>
      </c>
      <c r="AJ46" t="s">
        <v>41</v>
      </c>
      <c r="AK46" t="s">
        <v>230</v>
      </c>
      <c r="AL46" t="s">
        <v>231</v>
      </c>
      <c r="AM46" t="s">
        <v>41</v>
      </c>
    </row>
    <row r="47" spans="1:39" ht="15.75" x14ac:dyDescent="0.25">
      <c r="A47">
        <v>46</v>
      </c>
      <c r="B47" t="s">
        <v>39</v>
      </c>
      <c r="C47" t="s">
        <v>40</v>
      </c>
      <c r="D47" t="s">
        <v>416</v>
      </c>
      <c r="E47" t="s">
        <v>41</v>
      </c>
      <c r="F47" t="s">
        <v>42</v>
      </c>
      <c r="G47" t="s">
        <v>43</v>
      </c>
      <c r="H47" t="s">
        <v>41</v>
      </c>
      <c r="I47" t="s">
        <v>41</v>
      </c>
      <c r="J47" t="s">
        <v>44</v>
      </c>
      <c r="K47" t="s">
        <v>232</v>
      </c>
      <c r="L47">
        <v>-12.31743</v>
      </c>
      <c r="M47">
        <v>-76.824554000000006</v>
      </c>
      <c r="N47" t="str">
        <f>HYPERLINK("https://www.google.com/maps/search/?api=1&amp;query=-12.31743,-76.824554","Punta Hermosa, Lima")</f>
        <v>Punta Hermosa, Lima</v>
      </c>
      <c r="O47" t="s">
        <v>51</v>
      </c>
      <c r="P47" t="s">
        <v>52</v>
      </c>
      <c r="Q47">
        <v>1877.6</v>
      </c>
      <c r="R47" t="s">
        <v>41</v>
      </c>
      <c r="S47">
        <v>3</v>
      </c>
      <c r="T47">
        <v>0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>
        <v>100</v>
      </c>
      <c r="AC47" t="s">
        <v>44</v>
      </c>
      <c r="AD47" t="s">
        <v>233</v>
      </c>
      <c r="AE47" t="str">
        <f t="shared" si="5"/>
        <v>En línea</v>
      </c>
      <c r="AF47" t="str">
        <f t="shared" si="4"/>
        <v>Sin atender</v>
      </c>
      <c r="AG47" t="s">
        <v>41</v>
      </c>
      <c r="AH47" t="s">
        <v>41</v>
      </c>
      <c r="AI47" t="s">
        <v>41</v>
      </c>
      <c r="AJ47" t="s">
        <v>41</v>
      </c>
      <c r="AK47" t="s">
        <v>234</v>
      </c>
      <c r="AL47" t="s">
        <v>235</v>
      </c>
      <c r="AM47" t="s">
        <v>41</v>
      </c>
    </row>
    <row r="48" spans="1:39" ht="15.75" x14ac:dyDescent="0.25">
      <c r="A48">
        <v>47</v>
      </c>
      <c r="B48" t="s">
        <v>39</v>
      </c>
      <c r="C48" t="s">
        <v>40</v>
      </c>
      <c r="D48" t="s">
        <v>417</v>
      </c>
      <c r="E48" t="s">
        <v>41</v>
      </c>
      <c r="F48" t="s">
        <v>42</v>
      </c>
      <c r="G48" t="s">
        <v>43</v>
      </c>
      <c r="H48" t="s">
        <v>41</v>
      </c>
      <c r="I48" t="s">
        <v>41</v>
      </c>
      <c r="J48" t="s">
        <v>44</v>
      </c>
      <c r="K48" t="s">
        <v>236</v>
      </c>
      <c r="L48">
        <v>-12.317432999999999</v>
      </c>
      <c r="M48">
        <v>-76.824554000000006</v>
      </c>
      <c r="N48" t="str">
        <f>HYPERLINK("https://www.google.com/maps/search/?api=1&amp;query=-12.317433,-76.824554","Punta Hermosa, Lima")</f>
        <v>Punta Hermosa, Lima</v>
      </c>
      <c r="O48" t="s">
        <v>46</v>
      </c>
      <c r="P48" t="s">
        <v>41</v>
      </c>
      <c r="Q48">
        <v>1877.7</v>
      </c>
      <c r="R48" t="s">
        <v>41</v>
      </c>
      <c r="S48">
        <v>0</v>
      </c>
      <c r="T48">
        <v>0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>
        <v>100</v>
      </c>
      <c r="AC48" t="s">
        <v>44</v>
      </c>
      <c r="AD48" t="s">
        <v>237</v>
      </c>
      <c r="AE48" t="str">
        <f>IF("NOGPS"="NOGPS","GPS Antiguo","En línea")</f>
        <v>GPS Antiguo</v>
      </c>
      <c r="AF48" t="str">
        <f t="shared" si="4"/>
        <v>Sin atender</v>
      </c>
      <c r="AG48" t="s">
        <v>41</v>
      </c>
      <c r="AH48" t="s">
        <v>41</v>
      </c>
      <c r="AI48" t="s">
        <v>41</v>
      </c>
      <c r="AJ48" t="s">
        <v>41</v>
      </c>
      <c r="AK48" t="s">
        <v>238</v>
      </c>
      <c r="AL48" t="s">
        <v>239</v>
      </c>
      <c r="AM48" t="s">
        <v>41</v>
      </c>
    </row>
    <row r="49" spans="1:39" ht="15.75" x14ac:dyDescent="0.25">
      <c r="A49">
        <v>48</v>
      </c>
      <c r="B49" t="s">
        <v>39</v>
      </c>
      <c r="C49" t="s">
        <v>40</v>
      </c>
      <c r="D49" t="s">
        <v>418</v>
      </c>
      <c r="E49" t="s">
        <v>41</v>
      </c>
      <c r="F49" t="s">
        <v>42</v>
      </c>
      <c r="G49" t="s">
        <v>43</v>
      </c>
      <c r="H49" t="s">
        <v>41</v>
      </c>
      <c r="I49" t="s">
        <v>41</v>
      </c>
      <c r="J49" t="s">
        <v>44</v>
      </c>
      <c r="K49" t="s">
        <v>240</v>
      </c>
      <c r="L49">
        <v>-12.317842000000001</v>
      </c>
      <c r="M49">
        <v>-76.824370000000002</v>
      </c>
      <c r="N49" t="str">
        <f>HYPERLINK("https://www.google.com/maps/search/?api=1&amp;query=-12.317842,-76.82437","Punta Hermosa, Lima")</f>
        <v>Punta Hermosa, Lima</v>
      </c>
      <c r="O49" t="s">
        <v>51</v>
      </c>
      <c r="P49" t="s">
        <v>52</v>
      </c>
      <c r="Q49">
        <v>1877.8</v>
      </c>
      <c r="R49" t="s">
        <v>41</v>
      </c>
      <c r="S49">
        <v>5.7</v>
      </c>
      <c r="T49">
        <v>0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>
        <v>100</v>
      </c>
      <c r="AC49" t="s">
        <v>44</v>
      </c>
      <c r="AD49" t="s">
        <v>241</v>
      </c>
      <c r="AE49" t="str">
        <f t="shared" ref="AE49:AE55" si="6">IF("ONLINE"="NOGPS","GPS Antiguo","En línea")</f>
        <v>En línea</v>
      </c>
      <c r="AF49" t="str">
        <f t="shared" si="4"/>
        <v>Sin atender</v>
      </c>
      <c r="AG49" t="s">
        <v>41</v>
      </c>
      <c r="AH49" t="s">
        <v>41</v>
      </c>
      <c r="AI49" t="s">
        <v>41</v>
      </c>
      <c r="AJ49" t="s">
        <v>41</v>
      </c>
      <c r="AK49" t="s">
        <v>242</v>
      </c>
      <c r="AL49" t="s">
        <v>243</v>
      </c>
      <c r="AM49" t="s">
        <v>41</v>
      </c>
    </row>
    <row r="50" spans="1:39" ht="15.75" x14ac:dyDescent="0.25">
      <c r="A50">
        <v>49</v>
      </c>
      <c r="B50" t="s">
        <v>39</v>
      </c>
      <c r="C50" t="s">
        <v>40</v>
      </c>
      <c r="D50" t="s">
        <v>419</v>
      </c>
      <c r="E50" t="s">
        <v>41</v>
      </c>
      <c r="F50" t="s">
        <v>42</v>
      </c>
      <c r="G50" t="s">
        <v>43</v>
      </c>
      <c r="H50" t="s">
        <v>41</v>
      </c>
      <c r="I50" t="s">
        <v>41</v>
      </c>
      <c r="J50" t="s">
        <v>44</v>
      </c>
      <c r="K50" t="s">
        <v>244</v>
      </c>
      <c r="L50">
        <v>-12.317857999999999</v>
      </c>
      <c r="M50">
        <v>-76.824420000000003</v>
      </c>
      <c r="N50" t="str">
        <f>HYPERLINK("https://www.google.com/maps/search/?api=1&amp;query=-12.317858,-76.82442","Punta Hermosa, Lima")</f>
        <v>Punta Hermosa, Lima</v>
      </c>
      <c r="O50" t="s">
        <v>46</v>
      </c>
      <c r="P50" t="s">
        <v>41</v>
      </c>
      <c r="Q50">
        <v>1877.9</v>
      </c>
      <c r="R50" t="s">
        <v>41</v>
      </c>
      <c r="S50">
        <v>0</v>
      </c>
      <c r="T50">
        <v>0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>
        <v>100</v>
      </c>
      <c r="AC50" t="s">
        <v>44</v>
      </c>
      <c r="AD50" t="s">
        <v>245</v>
      </c>
      <c r="AE50" t="str">
        <f t="shared" si="6"/>
        <v>En línea</v>
      </c>
      <c r="AF50" t="str">
        <f t="shared" si="4"/>
        <v>Sin atender</v>
      </c>
      <c r="AG50" t="s">
        <v>41</v>
      </c>
      <c r="AH50" t="s">
        <v>41</v>
      </c>
      <c r="AI50" t="s">
        <v>41</v>
      </c>
      <c r="AJ50" t="s">
        <v>41</v>
      </c>
      <c r="AK50" t="s">
        <v>246</v>
      </c>
      <c r="AL50" t="s">
        <v>247</v>
      </c>
      <c r="AM50" t="s">
        <v>41</v>
      </c>
    </row>
    <row r="51" spans="1:39" ht="15.75" x14ac:dyDescent="0.25">
      <c r="A51">
        <v>50</v>
      </c>
      <c r="B51" t="s">
        <v>39</v>
      </c>
      <c r="C51" t="s">
        <v>40</v>
      </c>
      <c r="D51" t="s">
        <v>420</v>
      </c>
      <c r="E51" t="s">
        <v>41</v>
      </c>
      <c r="F51" t="s">
        <v>42</v>
      </c>
      <c r="G51" t="s">
        <v>43</v>
      </c>
      <c r="H51" t="s">
        <v>41</v>
      </c>
      <c r="I51" t="s">
        <v>41</v>
      </c>
      <c r="J51" t="s">
        <v>44</v>
      </c>
      <c r="K51" t="s">
        <v>248</v>
      </c>
      <c r="L51">
        <v>-12.317679999999999</v>
      </c>
      <c r="M51">
        <v>-76.824520000000007</v>
      </c>
      <c r="N51" t="str">
        <f>HYPERLINK("https://www.google.com/maps/search/?api=1&amp;query=-12.31768,-76.82452","Punta Hermosa, Lima")</f>
        <v>Punta Hermosa, Lima</v>
      </c>
      <c r="O51" t="s">
        <v>51</v>
      </c>
      <c r="P51" t="s">
        <v>52</v>
      </c>
      <c r="Q51">
        <v>1877.9</v>
      </c>
      <c r="R51" t="s">
        <v>41</v>
      </c>
      <c r="S51">
        <v>0</v>
      </c>
      <c r="T51">
        <v>0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>
        <v>100</v>
      </c>
      <c r="AC51" t="s">
        <v>44</v>
      </c>
      <c r="AD51" t="s">
        <v>249</v>
      </c>
      <c r="AE51" t="str">
        <f t="shared" si="6"/>
        <v>En línea</v>
      </c>
      <c r="AF51" t="str">
        <f t="shared" si="4"/>
        <v>Sin atender</v>
      </c>
      <c r="AG51" t="s">
        <v>41</v>
      </c>
      <c r="AH51" t="s">
        <v>41</v>
      </c>
      <c r="AI51" t="s">
        <v>41</v>
      </c>
      <c r="AJ51" t="s">
        <v>41</v>
      </c>
      <c r="AK51" t="s">
        <v>250</v>
      </c>
      <c r="AL51" t="s">
        <v>251</v>
      </c>
      <c r="AM51" t="s">
        <v>41</v>
      </c>
    </row>
    <row r="52" spans="1:39" ht="15.75" x14ac:dyDescent="0.25">
      <c r="A52">
        <v>51</v>
      </c>
      <c r="B52" t="s">
        <v>39</v>
      </c>
      <c r="C52" t="s">
        <v>40</v>
      </c>
      <c r="D52" t="s">
        <v>421</v>
      </c>
      <c r="E52" t="s">
        <v>41</v>
      </c>
      <c r="F52" t="s">
        <v>42</v>
      </c>
      <c r="G52" t="s">
        <v>43</v>
      </c>
      <c r="H52" t="s">
        <v>41</v>
      </c>
      <c r="I52" t="s">
        <v>41</v>
      </c>
      <c r="J52" t="s">
        <v>44</v>
      </c>
      <c r="K52" t="s">
        <v>252</v>
      </c>
      <c r="L52">
        <v>-12.317679999999999</v>
      </c>
      <c r="M52">
        <v>-76.824520000000007</v>
      </c>
      <c r="N52" t="str">
        <f>HYPERLINK("https://www.google.com/maps/search/?api=1&amp;query=-12.31768,-76.82452","Punta Hermosa, Lima")</f>
        <v>Punta Hermosa, Lima</v>
      </c>
      <c r="O52" t="s">
        <v>46</v>
      </c>
      <c r="P52" t="s">
        <v>41</v>
      </c>
      <c r="Q52">
        <v>1878</v>
      </c>
      <c r="R52" t="s">
        <v>41</v>
      </c>
      <c r="S52">
        <v>0</v>
      </c>
      <c r="T52">
        <v>0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>
        <v>100</v>
      </c>
      <c r="AC52" t="s">
        <v>44</v>
      </c>
      <c r="AD52" t="s">
        <v>253</v>
      </c>
      <c r="AE52" t="str">
        <f t="shared" si="6"/>
        <v>En línea</v>
      </c>
      <c r="AF52" t="str">
        <f t="shared" si="4"/>
        <v>Sin atender</v>
      </c>
      <c r="AG52" t="s">
        <v>41</v>
      </c>
      <c r="AH52" t="s">
        <v>41</v>
      </c>
      <c r="AI52" t="s">
        <v>41</v>
      </c>
      <c r="AJ52" t="s">
        <v>41</v>
      </c>
      <c r="AK52" t="s">
        <v>254</v>
      </c>
      <c r="AL52" t="s">
        <v>255</v>
      </c>
      <c r="AM52" t="s">
        <v>41</v>
      </c>
    </row>
    <row r="53" spans="1:39" ht="15.75" x14ac:dyDescent="0.25">
      <c r="A53">
        <v>52</v>
      </c>
      <c r="B53" t="s">
        <v>39</v>
      </c>
      <c r="C53" t="s">
        <v>40</v>
      </c>
      <c r="D53" t="s">
        <v>422</v>
      </c>
      <c r="E53" t="s">
        <v>41</v>
      </c>
      <c r="F53" t="s">
        <v>42</v>
      </c>
      <c r="G53" t="s">
        <v>43</v>
      </c>
      <c r="H53" t="s">
        <v>41</v>
      </c>
      <c r="I53" t="s">
        <v>59</v>
      </c>
      <c r="J53" t="s">
        <v>44</v>
      </c>
      <c r="K53" t="s">
        <v>256</v>
      </c>
      <c r="L53">
        <v>-12.317505000000001</v>
      </c>
      <c r="M53">
        <v>-76.830150000000003</v>
      </c>
      <c r="N53" t="str">
        <f>HYPERLINK("https://www.google.com/maps/search/?api=1&amp;query=-12.317505,-76.83015","Carretera Panamericana Sur, Punta Hermosa, Lima")</f>
        <v>Carretera Panamericana Sur, Punta Hermosa, Lima</v>
      </c>
      <c r="O53" t="s">
        <v>61</v>
      </c>
      <c r="P53" t="s">
        <v>41</v>
      </c>
      <c r="Q53">
        <v>1878.7</v>
      </c>
      <c r="R53" t="s">
        <v>77</v>
      </c>
      <c r="S53">
        <v>22.2</v>
      </c>
      <c r="T53">
        <v>0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>
        <v>100</v>
      </c>
      <c r="AC53" t="s">
        <v>44</v>
      </c>
      <c r="AD53" t="s">
        <v>257</v>
      </c>
      <c r="AE53" t="str">
        <f t="shared" si="6"/>
        <v>En línea</v>
      </c>
      <c r="AF53" t="str">
        <f t="shared" si="4"/>
        <v>Sin atender</v>
      </c>
      <c r="AG53" t="s">
        <v>41</v>
      </c>
      <c r="AH53" t="s">
        <v>41</v>
      </c>
      <c r="AI53" t="s">
        <v>41</v>
      </c>
      <c r="AJ53" t="s">
        <v>41</v>
      </c>
      <c r="AK53" t="s">
        <v>258</v>
      </c>
      <c r="AL53" t="s">
        <v>259</v>
      </c>
      <c r="AM53" t="s">
        <v>41</v>
      </c>
    </row>
    <row r="54" spans="1:39" ht="15.75" x14ac:dyDescent="0.25">
      <c r="A54">
        <v>53</v>
      </c>
      <c r="B54" t="s">
        <v>39</v>
      </c>
      <c r="C54" t="s">
        <v>40</v>
      </c>
      <c r="D54" t="s">
        <v>423</v>
      </c>
      <c r="E54" t="s">
        <v>41</v>
      </c>
      <c r="F54" t="s">
        <v>42</v>
      </c>
      <c r="G54" t="s">
        <v>43</v>
      </c>
      <c r="H54" t="s">
        <v>41</v>
      </c>
      <c r="I54" t="s">
        <v>59</v>
      </c>
      <c r="J54" t="s">
        <v>44</v>
      </c>
      <c r="K54" t="s">
        <v>260</v>
      </c>
      <c r="L54">
        <v>-12.237639</v>
      </c>
      <c r="M54">
        <v>-76.936790000000002</v>
      </c>
      <c r="N54" t="str">
        <f>HYPERLINK("https://www.google.com/maps/search/?api=1&amp;query=-12.237639,-76.93679","Avenida 200 Millas, Villa El Salvador, Lima")</f>
        <v>Avenida 200 Millas, Villa El Salvador, Lima</v>
      </c>
      <c r="O54" t="s">
        <v>76</v>
      </c>
      <c r="P54" t="s">
        <v>41</v>
      </c>
      <c r="Q54">
        <v>1898.4</v>
      </c>
      <c r="R54" t="s">
        <v>261</v>
      </c>
      <c r="S54">
        <v>0</v>
      </c>
      <c r="T54">
        <v>0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>
        <v>100</v>
      </c>
      <c r="AC54" t="s">
        <v>44</v>
      </c>
      <c r="AD54" t="s">
        <v>262</v>
      </c>
      <c r="AE54" t="str">
        <f t="shared" si="6"/>
        <v>En línea</v>
      </c>
      <c r="AF54" t="str">
        <f t="shared" si="4"/>
        <v>Sin atender</v>
      </c>
      <c r="AG54" t="s">
        <v>41</v>
      </c>
      <c r="AH54" t="s">
        <v>41</v>
      </c>
      <c r="AI54" t="s">
        <v>41</v>
      </c>
      <c r="AJ54" t="s">
        <v>41</v>
      </c>
      <c r="AK54" t="s">
        <v>263</v>
      </c>
      <c r="AL54" t="s">
        <v>264</v>
      </c>
      <c r="AM54" t="s">
        <v>41</v>
      </c>
    </row>
    <row r="55" spans="1:39" ht="15.75" x14ac:dyDescent="0.25">
      <c r="A55">
        <v>54</v>
      </c>
      <c r="B55" t="s">
        <v>39</v>
      </c>
      <c r="C55" t="s">
        <v>40</v>
      </c>
      <c r="D55" t="s">
        <v>424</v>
      </c>
      <c r="E55" t="s">
        <v>41</v>
      </c>
      <c r="F55" t="s">
        <v>42</v>
      </c>
      <c r="G55" t="s">
        <v>43</v>
      </c>
      <c r="H55" t="s">
        <v>41</v>
      </c>
      <c r="I55" t="s">
        <v>41</v>
      </c>
      <c r="J55" t="s">
        <v>44</v>
      </c>
      <c r="K55" t="s">
        <v>265</v>
      </c>
      <c r="L55">
        <v>-12.237639</v>
      </c>
      <c r="M55">
        <v>-76.936790000000002</v>
      </c>
      <c r="N55" t="str">
        <f>HYPERLINK("https://www.google.com/maps/search/?api=1&amp;query=-12.237639,-76.93679","Avenida 200 Millas, Villa El Salvador, Lima")</f>
        <v>Avenida 200 Millas, Villa El Salvador, Lima</v>
      </c>
      <c r="O55" t="s">
        <v>51</v>
      </c>
      <c r="P55" t="s">
        <v>52</v>
      </c>
      <c r="Q55">
        <v>1898.7</v>
      </c>
      <c r="R55" t="s">
        <v>41</v>
      </c>
      <c r="S55">
        <v>0</v>
      </c>
      <c r="T55">
        <v>0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>
        <v>100</v>
      </c>
      <c r="AC55" t="s">
        <v>44</v>
      </c>
      <c r="AD55" t="s">
        <v>266</v>
      </c>
      <c r="AE55" t="str">
        <f t="shared" si="6"/>
        <v>En línea</v>
      </c>
      <c r="AF55" t="str">
        <f t="shared" si="4"/>
        <v>Sin atender</v>
      </c>
      <c r="AG55" t="s">
        <v>41</v>
      </c>
      <c r="AH55" t="s">
        <v>41</v>
      </c>
      <c r="AI55" t="s">
        <v>41</v>
      </c>
      <c r="AJ55" t="s">
        <v>41</v>
      </c>
      <c r="AK55" t="s">
        <v>267</v>
      </c>
      <c r="AL55" t="s">
        <v>268</v>
      </c>
      <c r="AM55" t="s">
        <v>41</v>
      </c>
    </row>
    <row r="56" spans="1:39" ht="15.75" x14ac:dyDescent="0.25">
      <c r="A56">
        <v>55</v>
      </c>
      <c r="B56" t="s">
        <v>39</v>
      </c>
      <c r="C56" t="s">
        <v>40</v>
      </c>
      <c r="D56" t="s">
        <v>425</v>
      </c>
      <c r="E56" t="s">
        <v>41</v>
      </c>
      <c r="F56" t="s">
        <v>42</v>
      </c>
      <c r="G56" t="s">
        <v>43</v>
      </c>
      <c r="H56" t="s">
        <v>41</v>
      </c>
      <c r="I56" t="s">
        <v>41</v>
      </c>
      <c r="J56" t="s">
        <v>44</v>
      </c>
      <c r="K56" t="s">
        <v>269</v>
      </c>
      <c r="L56">
        <v>-12.237639</v>
      </c>
      <c r="M56">
        <v>-76.936790000000002</v>
      </c>
      <c r="N56" t="str">
        <f>HYPERLINK("https://www.google.com/maps/search/?api=1&amp;query=-12.237639,-76.93679","Avenida 200 Millas, Villa El Salvador, Lima")</f>
        <v>Avenida 200 Millas, Villa El Salvador, Lima</v>
      </c>
      <c r="O56" t="s">
        <v>46</v>
      </c>
      <c r="P56" t="s">
        <v>41</v>
      </c>
      <c r="Q56">
        <v>1898.7</v>
      </c>
      <c r="R56" t="s">
        <v>41</v>
      </c>
      <c r="S56">
        <v>0</v>
      </c>
      <c r="T56">
        <v>0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>
        <v>100</v>
      </c>
      <c r="AC56" t="s">
        <v>44</v>
      </c>
      <c r="AD56" t="s">
        <v>270</v>
      </c>
      <c r="AE56" t="str">
        <f>IF("NOGPS"="NOGPS","GPS Antiguo","En línea")</f>
        <v>GPS Antiguo</v>
      </c>
      <c r="AF56" t="str">
        <f t="shared" si="4"/>
        <v>Sin atender</v>
      </c>
      <c r="AG56" t="s">
        <v>41</v>
      </c>
      <c r="AH56" t="s">
        <v>41</v>
      </c>
      <c r="AI56" t="s">
        <v>41</v>
      </c>
      <c r="AJ56" t="s">
        <v>41</v>
      </c>
      <c r="AK56" t="s">
        <v>271</v>
      </c>
      <c r="AL56" t="s">
        <v>272</v>
      </c>
      <c r="AM56" t="s">
        <v>41</v>
      </c>
    </row>
    <row r="57" spans="1:39" ht="15.75" x14ac:dyDescent="0.25">
      <c r="A57">
        <v>56</v>
      </c>
      <c r="B57" t="s">
        <v>39</v>
      </c>
      <c r="C57" t="s">
        <v>40</v>
      </c>
      <c r="D57" t="s">
        <v>426</v>
      </c>
      <c r="E57" t="s">
        <v>41</v>
      </c>
      <c r="F57" t="s">
        <v>42</v>
      </c>
      <c r="G57" t="s">
        <v>43</v>
      </c>
      <c r="H57" t="s">
        <v>41</v>
      </c>
      <c r="I57" t="s">
        <v>59</v>
      </c>
      <c r="J57" t="s">
        <v>44</v>
      </c>
      <c r="K57" t="s">
        <v>273</v>
      </c>
      <c r="L57">
        <v>-12.236947000000001</v>
      </c>
      <c r="M57">
        <v>-76.936369999999997</v>
      </c>
      <c r="N57" t="str">
        <f>HYPERLINK("https://www.google.com/maps/search/?api=1&amp;query=-12.236947,-76.93637","Avenida 200 Millas, Villa El Salvador, Lima")</f>
        <v>Avenida 200 Millas, Villa El Salvador, Lima</v>
      </c>
      <c r="O57" t="s">
        <v>61</v>
      </c>
      <c r="P57" t="s">
        <v>41</v>
      </c>
      <c r="Q57">
        <v>1898.7</v>
      </c>
      <c r="R57" t="s">
        <v>261</v>
      </c>
      <c r="S57">
        <v>23</v>
      </c>
      <c r="T57">
        <v>0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>
        <v>100</v>
      </c>
      <c r="AC57" t="s">
        <v>44</v>
      </c>
      <c r="AD57" t="s">
        <v>274</v>
      </c>
      <c r="AE57" t="str">
        <f>IF("ONLINE"="NOGPS","GPS Antiguo","En línea")</f>
        <v>En línea</v>
      </c>
      <c r="AF57" t="str">
        <f t="shared" si="4"/>
        <v>Sin atender</v>
      </c>
      <c r="AG57" t="s">
        <v>41</v>
      </c>
      <c r="AH57" t="s">
        <v>41</v>
      </c>
      <c r="AI57" t="s">
        <v>41</v>
      </c>
      <c r="AJ57" t="s">
        <v>41</v>
      </c>
      <c r="AK57" t="s">
        <v>275</v>
      </c>
      <c r="AL57" t="s">
        <v>276</v>
      </c>
      <c r="AM57" t="s">
        <v>41</v>
      </c>
    </row>
    <row r="58" spans="1:39" ht="15.75" x14ac:dyDescent="0.25">
      <c r="A58">
        <v>57</v>
      </c>
      <c r="B58" t="s">
        <v>39</v>
      </c>
      <c r="C58" t="s">
        <v>40</v>
      </c>
      <c r="D58" t="s">
        <v>427</v>
      </c>
      <c r="E58" t="s">
        <v>41</v>
      </c>
      <c r="F58" t="s">
        <v>42</v>
      </c>
      <c r="G58" t="s">
        <v>43</v>
      </c>
      <c r="H58" t="s">
        <v>41</v>
      </c>
      <c r="I58" t="s">
        <v>41</v>
      </c>
      <c r="J58" t="s">
        <v>44</v>
      </c>
      <c r="K58" t="s">
        <v>277</v>
      </c>
      <c r="L58">
        <v>-12.212298000000001</v>
      </c>
      <c r="M58">
        <v>-76.934600000000003</v>
      </c>
      <c r="N58" t="str">
        <f>HYPERLINK("https://www.google.com/maps/search/?api=1&amp;query=-12.212298,-76.9346","Avenida César Vallejo, Villa El Salvador, Lima")</f>
        <v>Avenida César Vallejo, Villa El Salvador, Lima</v>
      </c>
      <c r="O58" t="s">
        <v>51</v>
      </c>
      <c r="P58" t="s">
        <v>52</v>
      </c>
      <c r="Q58">
        <v>1902.6</v>
      </c>
      <c r="R58" t="s">
        <v>41</v>
      </c>
      <c r="S58">
        <v>0</v>
      </c>
      <c r="T58">
        <v>0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>
        <v>100</v>
      </c>
      <c r="AC58" t="s">
        <v>44</v>
      </c>
      <c r="AD58" t="s">
        <v>278</v>
      </c>
      <c r="AE58" t="str">
        <f>IF("ONLINE"="NOGPS","GPS Antiguo","En línea")</f>
        <v>En línea</v>
      </c>
      <c r="AF58" t="str">
        <f t="shared" si="4"/>
        <v>Sin atender</v>
      </c>
      <c r="AG58" t="s">
        <v>41</v>
      </c>
      <c r="AH58" t="s">
        <v>41</v>
      </c>
      <c r="AI58" t="s">
        <v>41</v>
      </c>
      <c r="AJ58" t="s">
        <v>41</v>
      </c>
      <c r="AK58" t="s">
        <v>279</v>
      </c>
      <c r="AL58" t="s">
        <v>280</v>
      </c>
      <c r="AM58" t="s">
        <v>41</v>
      </c>
    </row>
    <row r="59" spans="1:39" ht="15.75" x14ac:dyDescent="0.25">
      <c r="A59">
        <v>58</v>
      </c>
      <c r="B59" t="s">
        <v>39</v>
      </c>
      <c r="C59" t="s">
        <v>40</v>
      </c>
      <c r="D59" t="s">
        <v>428</v>
      </c>
      <c r="E59" t="s">
        <v>41</v>
      </c>
      <c r="F59" t="s">
        <v>42</v>
      </c>
      <c r="G59" t="s">
        <v>43</v>
      </c>
      <c r="H59" t="s">
        <v>41</v>
      </c>
      <c r="I59" t="s">
        <v>59</v>
      </c>
      <c r="J59" t="s">
        <v>44</v>
      </c>
      <c r="K59" t="s">
        <v>281</v>
      </c>
      <c r="L59">
        <v>-12.212298000000001</v>
      </c>
      <c r="M59">
        <v>-76.934600000000003</v>
      </c>
      <c r="N59" t="str">
        <f>HYPERLINK("https://www.google.com/maps/search/?api=1&amp;query=-12.212298,-76.9346","Avenida César Vallejo, Villa El Salvador, Lima")</f>
        <v>Avenida César Vallejo, Villa El Salvador, Lima</v>
      </c>
      <c r="O59" t="s">
        <v>76</v>
      </c>
      <c r="P59" t="s">
        <v>41</v>
      </c>
      <c r="Q59">
        <v>1902.6</v>
      </c>
      <c r="R59" t="s">
        <v>282</v>
      </c>
      <c r="S59">
        <v>0</v>
      </c>
      <c r="T59">
        <v>0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>
        <v>100</v>
      </c>
      <c r="AC59" t="s">
        <v>44</v>
      </c>
      <c r="AD59" t="s">
        <v>278</v>
      </c>
      <c r="AE59" t="str">
        <f>IF("ONLINE"="NOGPS","GPS Antiguo","En línea")</f>
        <v>En línea</v>
      </c>
      <c r="AF59" t="str">
        <f t="shared" si="4"/>
        <v>Sin atender</v>
      </c>
      <c r="AG59" t="s">
        <v>41</v>
      </c>
      <c r="AH59" t="s">
        <v>41</v>
      </c>
      <c r="AI59" t="s">
        <v>41</v>
      </c>
      <c r="AJ59" t="s">
        <v>41</v>
      </c>
      <c r="AK59" t="s">
        <v>283</v>
      </c>
      <c r="AL59" t="s">
        <v>284</v>
      </c>
      <c r="AM59" t="s">
        <v>41</v>
      </c>
    </row>
    <row r="60" spans="1:39" ht="15.75" x14ac:dyDescent="0.25">
      <c r="A60">
        <v>59</v>
      </c>
      <c r="B60" t="s">
        <v>39</v>
      </c>
      <c r="C60" t="s">
        <v>40</v>
      </c>
      <c r="D60" t="s">
        <v>429</v>
      </c>
      <c r="E60" t="s">
        <v>41</v>
      </c>
      <c r="F60" t="s">
        <v>42</v>
      </c>
      <c r="G60" t="s">
        <v>43</v>
      </c>
      <c r="H60" t="s">
        <v>41</v>
      </c>
      <c r="I60" t="s">
        <v>41</v>
      </c>
      <c r="J60" t="s">
        <v>44</v>
      </c>
      <c r="K60" t="s">
        <v>285</v>
      </c>
      <c r="L60">
        <v>-12.212298000000001</v>
      </c>
      <c r="M60">
        <v>-76.934600000000003</v>
      </c>
      <c r="N60" t="str">
        <f>HYPERLINK("https://www.google.com/maps/search/?api=1&amp;query=-12.212298,-76.9346","Avenida César Vallejo, Villa El Salvador, Lima")</f>
        <v>Avenida César Vallejo, Villa El Salvador, Lima</v>
      </c>
      <c r="O60" t="s">
        <v>46</v>
      </c>
      <c r="P60" t="s">
        <v>41</v>
      </c>
      <c r="Q60">
        <v>1902.6</v>
      </c>
      <c r="R60" t="s">
        <v>41</v>
      </c>
      <c r="S60">
        <v>0</v>
      </c>
      <c r="T60">
        <v>0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>
        <v>100</v>
      </c>
      <c r="AC60" t="s">
        <v>44</v>
      </c>
      <c r="AD60" t="s">
        <v>278</v>
      </c>
      <c r="AE60" t="str">
        <f>IF("NOGPS"="NOGPS","GPS Antiguo","En línea")</f>
        <v>GPS Antiguo</v>
      </c>
      <c r="AF60" t="str">
        <f t="shared" si="4"/>
        <v>Sin atender</v>
      </c>
      <c r="AG60" t="s">
        <v>41</v>
      </c>
      <c r="AH60" t="s">
        <v>41</v>
      </c>
      <c r="AI60" t="s">
        <v>41</v>
      </c>
      <c r="AJ60" t="s">
        <v>41</v>
      </c>
      <c r="AK60" t="s">
        <v>286</v>
      </c>
      <c r="AL60" t="s">
        <v>287</v>
      </c>
      <c r="AM60" t="s">
        <v>41</v>
      </c>
    </row>
    <row r="61" spans="1:39" ht="15.75" x14ac:dyDescent="0.25">
      <c r="A61">
        <v>60</v>
      </c>
      <c r="B61" t="s">
        <v>39</v>
      </c>
      <c r="C61" t="s">
        <v>40</v>
      </c>
      <c r="D61" t="s">
        <v>430</v>
      </c>
      <c r="E61" t="s">
        <v>41</v>
      </c>
      <c r="F61" t="s">
        <v>42</v>
      </c>
      <c r="G61" t="s">
        <v>43</v>
      </c>
      <c r="H61" t="s">
        <v>41</v>
      </c>
      <c r="I61" t="s">
        <v>59</v>
      </c>
      <c r="J61" t="s">
        <v>44</v>
      </c>
      <c r="K61" t="s">
        <v>288</v>
      </c>
      <c r="L61">
        <v>-12.211955</v>
      </c>
      <c r="M61">
        <v>-76.934269999999998</v>
      </c>
      <c r="N61" t="str">
        <f>HYPERLINK("https://www.google.com/maps/search/?api=1&amp;query=-12.211955,-76.93427","Avenida Central, Villa El Salvador, Lima")</f>
        <v>Avenida Central, Villa El Salvador, Lima</v>
      </c>
      <c r="O61" t="s">
        <v>61</v>
      </c>
      <c r="P61" t="s">
        <v>41</v>
      </c>
      <c r="Q61">
        <v>1902.6</v>
      </c>
      <c r="R61" t="s">
        <v>282</v>
      </c>
      <c r="S61">
        <v>7.2</v>
      </c>
      <c r="T61">
        <v>0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>
        <v>100</v>
      </c>
      <c r="AC61" t="s">
        <v>44</v>
      </c>
      <c r="AD61" t="s">
        <v>289</v>
      </c>
      <c r="AE61" t="str">
        <f>IF("ONLINE"="NOGPS","GPS Antiguo","En línea")</f>
        <v>En línea</v>
      </c>
      <c r="AF61" t="str">
        <f t="shared" si="4"/>
        <v>Sin atender</v>
      </c>
      <c r="AG61" t="s">
        <v>41</v>
      </c>
      <c r="AH61" t="s">
        <v>41</v>
      </c>
      <c r="AI61" t="s">
        <v>41</v>
      </c>
      <c r="AJ61" t="s">
        <v>41</v>
      </c>
      <c r="AK61" t="s">
        <v>290</v>
      </c>
      <c r="AL61" t="s">
        <v>291</v>
      </c>
      <c r="AM61" t="s">
        <v>41</v>
      </c>
    </row>
    <row r="62" spans="1:39" ht="15.75" x14ac:dyDescent="0.25">
      <c r="A62">
        <v>61</v>
      </c>
      <c r="B62" t="s">
        <v>39</v>
      </c>
      <c r="C62" t="s">
        <v>40</v>
      </c>
      <c r="D62" t="s">
        <v>431</v>
      </c>
      <c r="E62" t="s">
        <v>41</v>
      </c>
      <c r="F62" t="s">
        <v>42</v>
      </c>
      <c r="G62" t="s">
        <v>43</v>
      </c>
      <c r="H62" t="s">
        <v>41</v>
      </c>
      <c r="I62" t="s">
        <v>59</v>
      </c>
      <c r="J62" t="s">
        <v>44</v>
      </c>
      <c r="K62" t="s">
        <v>292</v>
      </c>
      <c r="L62">
        <v>-12.209618000000001</v>
      </c>
      <c r="M62">
        <v>-76.942490000000006</v>
      </c>
      <c r="N62" t="str">
        <f>HYPERLINK("https://www.google.com/maps/search/?api=1&amp;query=-12.209618,-76.94249","Avenida Juan Velasco Alvarado, Villa El Salvador, Lima")</f>
        <v>Avenida Juan Velasco Alvarado, Villa El Salvador, Lima</v>
      </c>
      <c r="O62" t="s">
        <v>76</v>
      </c>
      <c r="P62" t="s">
        <v>41</v>
      </c>
      <c r="Q62">
        <v>1904</v>
      </c>
      <c r="R62" t="s">
        <v>293</v>
      </c>
      <c r="S62">
        <v>23.3</v>
      </c>
      <c r="T62">
        <v>0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>
        <v>100</v>
      </c>
      <c r="AC62" t="s">
        <v>44</v>
      </c>
      <c r="AD62" t="s">
        <v>294</v>
      </c>
      <c r="AE62" t="str">
        <f>IF("ONLINE"="NOGPS","GPS Antiguo","En línea")</f>
        <v>En línea</v>
      </c>
      <c r="AF62" t="str">
        <f t="shared" si="4"/>
        <v>Sin atender</v>
      </c>
      <c r="AG62" t="s">
        <v>41</v>
      </c>
      <c r="AH62" t="s">
        <v>41</v>
      </c>
      <c r="AI62" t="s">
        <v>41</v>
      </c>
      <c r="AJ62" t="s">
        <v>41</v>
      </c>
      <c r="AK62" t="s">
        <v>295</v>
      </c>
      <c r="AL62" t="s">
        <v>296</v>
      </c>
      <c r="AM62" t="s">
        <v>41</v>
      </c>
    </row>
    <row r="63" spans="1:39" ht="15.75" x14ac:dyDescent="0.25">
      <c r="A63">
        <v>62</v>
      </c>
      <c r="B63" t="s">
        <v>39</v>
      </c>
      <c r="C63" t="s">
        <v>40</v>
      </c>
      <c r="D63" t="s">
        <v>432</v>
      </c>
      <c r="E63" t="s">
        <v>41</v>
      </c>
      <c r="F63" t="s">
        <v>42</v>
      </c>
      <c r="G63" t="s">
        <v>43</v>
      </c>
      <c r="H63" t="s">
        <v>41</v>
      </c>
      <c r="I63" t="s">
        <v>59</v>
      </c>
      <c r="J63" t="s">
        <v>44</v>
      </c>
      <c r="K63" t="s">
        <v>297</v>
      </c>
      <c r="L63">
        <v>-12.211038</v>
      </c>
      <c r="M63">
        <v>-76.944710000000001</v>
      </c>
      <c r="N63" t="str">
        <f>HYPERLINK("https://www.google.com/maps/search/?api=1&amp;query=-12.211038,-76.94471","Avenida Micaela Bastidas, Villa El Salvador, Lima")</f>
        <v>Avenida Micaela Bastidas, Villa El Salvador, Lima</v>
      </c>
      <c r="O63" t="s">
        <v>61</v>
      </c>
      <c r="P63" t="s">
        <v>41</v>
      </c>
      <c r="Q63">
        <v>1904</v>
      </c>
      <c r="R63" t="s">
        <v>293</v>
      </c>
      <c r="S63">
        <v>9.6</v>
      </c>
      <c r="T63">
        <v>0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>
        <v>100</v>
      </c>
      <c r="AC63" t="s">
        <v>44</v>
      </c>
      <c r="AD63" t="s">
        <v>298</v>
      </c>
      <c r="AE63" t="str">
        <f>IF("ONLINE"="NOGPS","GPS Antiguo","En línea")</f>
        <v>En línea</v>
      </c>
      <c r="AF63" t="str">
        <f t="shared" si="4"/>
        <v>Sin atender</v>
      </c>
      <c r="AG63" t="s">
        <v>41</v>
      </c>
      <c r="AH63" t="s">
        <v>41</v>
      </c>
      <c r="AI63" t="s">
        <v>41</v>
      </c>
      <c r="AJ63" t="s">
        <v>41</v>
      </c>
      <c r="AK63" t="s">
        <v>299</v>
      </c>
      <c r="AL63" t="s">
        <v>300</v>
      </c>
      <c r="AM63" t="s">
        <v>41</v>
      </c>
    </row>
    <row r="64" spans="1:39" ht="15.75" x14ac:dyDescent="0.25">
      <c r="A64">
        <v>63</v>
      </c>
      <c r="B64" t="s">
        <v>39</v>
      </c>
      <c r="C64" t="s">
        <v>40</v>
      </c>
      <c r="D64" t="s">
        <v>433</v>
      </c>
      <c r="E64" t="s">
        <v>41</v>
      </c>
      <c r="F64" t="s">
        <v>42</v>
      </c>
      <c r="G64" t="s">
        <v>43</v>
      </c>
      <c r="H64" t="s">
        <v>41</v>
      </c>
      <c r="I64" t="s">
        <v>41</v>
      </c>
      <c r="J64" t="s">
        <v>44</v>
      </c>
      <c r="K64" t="s">
        <v>301</v>
      </c>
      <c r="L64">
        <v>-12.211144000000001</v>
      </c>
      <c r="M64">
        <v>-76.944595000000007</v>
      </c>
      <c r="N64" t="str">
        <f>HYPERLINK("https://www.google.com/maps/search/?api=1&amp;query=-12.211144,-76.944595","Avenida Micaela Bastidas, Villa El Salvador, Lima")</f>
        <v>Avenida Micaela Bastidas, Villa El Salvador, Lima</v>
      </c>
      <c r="O64" t="s">
        <v>51</v>
      </c>
      <c r="P64" t="s">
        <v>52</v>
      </c>
      <c r="Q64">
        <v>1904.4</v>
      </c>
      <c r="R64" t="s">
        <v>41</v>
      </c>
      <c r="S64">
        <v>8.1</v>
      </c>
      <c r="T64">
        <v>0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>
        <v>100</v>
      </c>
      <c r="AC64" t="s">
        <v>44</v>
      </c>
      <c r="AD64" t="s">
        <v>302</v>
      </c>
      <c r="AE64" t="str">
        <f>IF("ONLINE"="NOGPS","GPS Antiguo","En línea")</f>
        <v>En línea</v>
      </c>
      <c r="AF64" t="str">
        <f t="shared" si="4"/>
        <v>Sin atender</v>
      </c>
      <c r="AG64" t="s">
        <v>41</v>
      </c>
      <c r="AH64" t="s">
        <v>41</v>
      </c>
      <c r="AI64" t="s">
        <v>41</v>
      </c>
      <c r="AJ64" t="s">
        <v>41</v>
      </c>
      <c r="AK64" t="s">
        <v>303</v>
      </c>
      <c r="AL64" t="s">
        <v>304</v>
      </c>
      <c r="AM64" t="s">
        <v>41</v>
      </c>
    </row>
    <row r="65" spans="1:39" ht="15.75" x14ac:dyDescent="0.25">
      <c r="A65">
        <v>64</v>
      </c>
      <c r="B65" t="s">
        <v>39</v>
      </c>
      <c r="C65" t="s">
        <v>40</v>
      </c>
      <c r="D65" t="s">
        <v>434</v>
      </c>
      <c r="E65" t="s">
        <v>41</v>
      </c>
      <c r="F65" t="s">
        <v>42</v>
      </c>
      <c r="G65" t="s">
        <v>43</v>
      </c>
      <c r="H65" t="s">
        <v>41</v>
      </c>
      <c r="I65" t="s">
        <v>59</v>
      </c>
      <c r="J65" t="s">
        <v>44</v>
      </c>
      <c r="K65" t="s">
        <v>305</v>
      </c>
      <c r="L65">
        <v>-12.211062999999999</v>
      </c>
      <c r="M65">
        <v>-76.944339999999997</v>
      </c>
      <c r="N65" t="str">
        <f>HYPERLINK("https://www.google.com/maps/search/?api=1&amp;query=-12.211063,-76.94434","Avenida Juan Velasco Alvarado, Villa El Salvador, Lima")</f>
        <v>Avenida Juan Velasco Alvarado, Villa El Salvador, Lima</v>
      </c>
      <c r="O65" t="s">
        <v>76</v>
      </c>
      <c r="P65" t="s">
        <v>41</v>
      </c>
      <c r="Q65">
        <v>1904.4</v>
      </c>
      <c r="R65" t="s">
        <v>306</v>
      </c>
      <c r="S65">
        <v>0</v>
      </c>
      <c r="T65">
        <v>0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>
        <v>100</v>
      </c>
      <c r="AC65" t="s">
        <v>44</v>
      </c>
      <c r="AD65" t="s">
        <v>307</v>
      </c>
      <c r="AE65" t="str">
        <f>IF("ONLINE"="NOGPS","GPS Antiguo","En línea")</f>
        <v>En línea</v>
      </c>
      <c r="AF65" t="str">
        <f t="shared" si="4"/>
        <v>Sin atender</v>
      </c>
      <c r="AG65" t="s">
        <v>41</v>
      </c>
      <c r="AH65" t="s">
        <v>41</v>
      </c>
      <c r="AI65" t="s">
        <v>41</v>
      </c>
      <c r="AJ65" t="s">
        <v>41</v>
      </c>
      <c r="AK65" t="s">
        <v>308</v>
      </c>
      <c r="AL65" t="s">
        <v>309</v>
      </c>
      <c r="AM65" t="s">
        <v>41</v>
      </c>
    </row>
    <row r="66" spans="1:39" ht="15.75" x14ac:dyDescent="0.25">
      <c r="A66">
        <v>65</v>
      </c>
      <c r="B66" t="s">
        <v>39</v>
      </c>
      <c r="C66" t="s">
        <v>40</v>
      </c>
      <c r="D66" t="s">
        <v>435</v>
      </c>
      <c r="E66" t="s">
        <v>41</v>
      </c>
      <c r="F66" t="s">
        <v>42</v>
      </c>
      <c r="G66" t="s">
        <v>43</v>
      </c>
      <c r="H66" t="s">
        <v>41</v>
      </c>
      <c r="I66" t="s">
        <v>41</v>
      </c>
      <c r="J66" t="s">
        <v>44</v>
      </c>
      <c r="K66" t="s">
        <v>310</v>
      </c>
      <c r="L66">
        <v>-12.211062999999999</v>
      </c>
      <c r="M66">
        <v>-76.944339999999997</v>
      </c>
      <c r="N66" t="str">
        <f>HYPERLINK("https://www.google.com/maps/search/?api=1&amp;query=-12.211063,-76.94434","Avenida Juan Velasco Alvarado, Villa El Salvador, Lima")</f>
        <v>Avenida Juan Velasco Alvarado, Villa El Salvador, Lima</v>
      </c>
      <c r="O66" t="s">
        <v>46</v>
      </c>
      <c r="P66" t="s">
        <v>41</v>
      </c>
      <c r="Q66">
        <v>1904.4</v>
      </c>
      <c r="R66" t="s">
        <v>41</v>
      </c>
      <c r="S66">
        <v>0</v>
      </c>
      <c r="T66">
        <v>0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>
        <v>100</v>
      </c>
      <c r="AC66" t="s">
        <v>44</v>
      </c>
      <c r="AD66" t="s">
        <v>307</v>
      </c>
      <c r="AE66" t="str">
        <f>IF("NOGPS"="NOGPS","GPS Antiguo","En línea")</f>
        <v>GPS Antiguo</v>
      </c>
      <c r="AF66" t="str">
        <f t="shared" ref="AF66:AF81" si="7">IF(0=0,"Sin atender", IF(0=1,"Atendida","Atendida y Reportada"))</f>
        <v>Sin atender</v>
      </c>
      <c r="AG66" t="s">
        <v>41</v>
      </c>
      <c r="AH66" t="s">
        <v>41</v>
      </c>
      <c r="AI66" t="s">
        <v>41</v>
      </c>
      <c r="AJ66" t="s">
        <v>41</v>
      </c>
      <c r="AK66" t="s">
        <v>311</v>
      </c>
      <c r="AL66" t="s">
        <v>312</v>
      </c>
      <c r="AM66" t="s">
        <v>41</v>
      </c>
    </row>
    <row r="67" spans="1:39" ht="15.75" x14ac:dyDescent="0.25">
      <c r="A67">
        <v>66</v>
      </c>
      <c r="B67" t="s">
        <v>39</v>
      </c>
      <c r="C67" t="s">
        <v>40</v>
      </c>
      <c r="D67" t="s">
        <v>436</v>
      </c>
      <c r="E67" t="s">
        <v>41</v>
      </c>
      <c r="F67" t="s">
        <v>42</v>
      </c>
      <c r="G67" t="s">
        <v>43</v>
      </c>
      <c r="H67" t="s">
        <v>41</v>
      </c>
      <c r="I67" t="s">
        <v>59</v>
      </c>
      <c r="J67" t="s">
        <v>44</v>
      </c>
      <c r="K67" t="s">
        <v>313</v>
      </c>
      <c r="L67">
        <v>-12.210660000000001</v>
      </c>
      <c r="M67">
        <v>-76.943664999999996</v>
      </c>
      <c r="N67" t="str">
        <f>HYPERLINK("https://www.google.com/maps/search/?api=1&amp;query=-12.21066,-76.943665","Avenida Juan Velasco Alvarado, Villa El Salvador, Lima")</f>
        <v>Avenida Juan Velasco Alvarado, Villa El Salvador, Lima</v>
      </c>
      <c r="O67" t="s">
        <v>61</v>
      </c>
      <c r="P67" t="s">
        <v>41</v>
      </c>
      <c r="Q67">
        <v>1904.5</v>
      </c>
      <c r="R67" t="s">
        <v>306</v>
      </c>
      <c r="S67">
        <v>20.399999999999999</v>
      </c>
      <c r="T67">
        <v>0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>
        <v>100</v>
      </c>
      <c r="AC67" t="s">
        <v>44</v>
      </c>
      <c r="AD67" t="s">
        <v>314</v>
      </c>
      <c r="AE67" t="str">
        <f>IF("ONLINE"="NOGPS","GPS Antiguo","En línea")</f>
        <v>En línea</v>
      </c>
      <c r="AF67" t="str">
        <f t="shared" si="7"/>
        <v>Sin atender</v>
      </c>
      <c r="AG67" t="s">
        <v>41</v>
      </c>
      <c r="AH67" t="s">
        <v>41</v>
      </c>
      <c r="AI67" t="s">
        <v>41</v>
      </c>
      <c r="AJ67" t="s">
        <v>41</v>
      </c>
      <c r="AK67" t="s">
        <v>315</v>
      </c>
      <c r="AL67" t="s">
        <v>316</v>
      </c>
      <c r="AM67" t="s">
        <v>41</v>
      </c>
    </row>
    <row r="68" spans="1:39" ht="15.75" x14ac:dyDescent="0.25">
      <c r="A68">
        <v>67</v>
      </c>
      <c r="B68" t="s">
        <v>39</v>
      </c>
      <c r="C68" t="s">
        <v>40</v>
      </c>
      <c r="D68" t="s">
        <v>437</v>
      </c>
      <c r="E68" t="s">
        <v>41</v>
      </c>
      <c r="F68" t="s">
        <v>42</v>
      </c>
      <c r="G68" t="s">
        <v>43</v>
      </c>
      <c r="H68" t="s">
        <v>41</v>
      </c>
      <c r="I68" t="s">
        <v>59</v>
      </c>
      <c r="J68" t="s">
        <v>44</v>
      </c>
      <c r="K68" t="s">
        <v>317</v>
      </c>
      <c r="L68">
        <v>-12.203336999999999</v>
      </c>
      <c r="M68">
        <v>-76.949295000000006</v>
      </c>
      <c r="N68" t="str">
        <f>HYPERLINK("https://www.google.com/maps/search/?api=1&amp;query=-12.203337,-76.949295","Avenida Micaela Bastidas, Villa El Salvador, Lima")</f>
        <v>Avenida Micaela Bastidas, Villa El Salvador, Lima</v>
      </c>
      <c r="O68" t="s">
        <v>76</v>
      </c>
      <c r="P68" t="s">
        <v>41</v>
      </c>
      <c r="Q68">
        <v>1905.6</v>
      </c>
      <c r="R68" t="s">
        <v>318</v>
      </c>
      <c r="S68">
        <v>6.9</v>
      </c>
      <c r="T68">
        <v>0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  <c r="AB68">
        <v>100</v>
      </c>
      <c r="AC68" t="s">
        <v>44</v>
      </c>
      <c r="AD68" t="s">
        <v>319</v>
      </c>
      <c r="AE68" t="str">
        <f>IF("ONLINE"="NOGPS","GPS Antiguo","En línea")</f>
        <v>En línea</v>
      </c>
      <c r="AF68" t="str">
        <f t="shared" si="7"/>
        <v>Sin atender</v>
      </c>
      <c r="AG68" t="s">
        <v>41</v>
      </c>
      <c r="AH68" t="s">
        <v>41</v>
      </c>
      <c r="AI68" t="s">
        <v>41</v>
      </c>
      <c r="AJ68" t="s">
        <v>41</v>
      </c>
      <c r="AK68" t="s">
        <v>320</v>
      </c>
      <c r="AL68" t="s">
        <v>321</v>
      </c>
      <c r="AM68" t="s">
        <v>41</v>
      </c>
    </row>
    <row r="69" spans="1:39" ht="15.75" x14ac:dyDescent="0.25">
      <c r="A69">
        <v>68</v>
      </c>
      <c r="B69" t="s">
        <v>39</v>
      </c>
      <c r="C69" t="s">
        <v>40</v>
      </c>
      <c r="D69" t="s">
        <v>438</v>
      </c>
      <c r="E69" t="s">
        <v>41</v>
      </c>
      <c r="F69" t="s">
        <v>42</v>
      </c>
      <c r="G69" t="s">
        <v>43</v>
      </c>
      <c r="H69" t="s">
        <v>41</v>
      </c>
      <c r="I69" t="s">
        <v>41</v>
      </c>
      <c r="J69" t="s">
        <v>44</v>
      </c>
      <c r="K69" t="s">
        <v>322</v>
      </c>
      <c r="L69">
        <v>-12.203336999999999</v>
      </c>
      <c r="M69">
        <v>-76.949295000000006</v>
      </c>
      <c r="N69" t="str">
        <f>HYPERLINK("https://www.google.com/maps/search/?api=1&amp;query=-12.203337,-76.949295","Avenida Micaela Bastidas, Villa El Salvador, Lima")</f>
        <v>Avenida Micaela Bastidas, Villa El Salvador, Lima</v>
      </c>
      <c r="O69" t="s">
        <v>51</v>
      </c>
      <c r="P69" t="s">
        <v>52</v>
      </c>
      <c r="Q69">
        <v>1905.6</v>
      </c>
      <c r="R69" t="s">
        <v>41</v>
      </c>
      <c r="S69">
        <v>6.9</v>
      </c>
      <c r="T69">
        <v>0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>
        <v>100</v>
      </c>
      <c r="AC69" t="s">
        <v>44</v>
      </c>
      <c r="AD69" t="s">
        <v>319</v>
      </c>
      <c r="AE69" t="str">
        <f>IF("ONLINE"="NOGPS","GPS Antiguo","En línea")</f>
        <v>En línea</v>
      </c>
      <c r="AF69" t="str">
        <f t="shared" si="7"/>
        <v>Sin atender</v>
      </c>
      <c r="AG69" t="s">
        <v>41</v>
      </c>
      <c r="AH69" t="s">
        <v>41</v>
      </c>
      <c r="AI69" t="s">
        <v>41</v>
      </c>
      <c r="AJ69" t="s">
        <v>41</v>
      </c>
      <c r="AK69" t="s">
        <v>323</v>
      </c>
      <c r="AL69" t="s">
        <v>324</v>
      </c>
      <c r="AM69" t="s">
        <v>41</v>
      </c>
    </row>
    <row r="70" spans="1:39" ht="15.75" x14ac:dyDescent="0.25">
      <c r="A70">
        <v>69</v>
      </c>
      <c r="B70" t="s">
        <v>39</v>
      </c>
      <c r="C70" t="s">
        <v>40</v>
      </c>
      <c r="D70" t="s">
        <v>439</v>
      </c>
      <c r="E70" t="s">
        <v>41</v>
      </c>
      <c r="F70" t="s">
        <v>42</v>
      </c>
      <c r="G70" t="s">
        <v>43</v>
      </c>
      <c r="H70" t="s">
        <v>41</v>
      </c>
      <c r="I70" t="s">
        <v>41</v>
      </c>
      <c r="J70" t="s">
        <v>44</v>
      </c>
      <c r="K70" t="s">
        <v>325</v>
      </c>
      <c r="L70">
        <v>-12.203436</v>
      </c>
      <c r="M70">
        <v>-76.949579999999997</v>
      </c>
      <c r="N70" t="str">
        <f>HYPERLINK("https://www.google.com/maps/search/?api=1&amp;query=-12.203436,-76.94958","Avenida El Sol, Villa El Salvador, Lima")</f>
        <v>Avenida El Sol, Villa El Salvador, Lima</v>
      </c>
      <c r="O70" t="s">
        <v>46</v>
      </c>
      <c r="P70" t="s">
        <v>41</v>
      </c>
      <c r="Q70">
        <v>1905.6</v>
      </c>
      <c r="R70" t="s">
        <v>41</v>
      </c>
      <c r="S70">
        <v>0</v>
      </c>
      <c r="T70">
        <v>0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>
        <v>100</v>
      </c>
      <c r="AC70" t="s">
        <v>44</v>
      </c>
      <c r="AD70" t="s">
        <v>326</v>
      </c>
      <c r="AE70" t="str">
        <f>IF("NOGPS"="NOGPS","GPS Antiguo","En línea")</f>
        <v>GPS Antiguo</v>
      </c>
      <c r="AF70" t="str">
        <f t="shared" si="7"/>
        <v>Sin atender</v>
      </c>
      <c r="AG70" t="s">
        <v>41</v>
      </c>
      <c r="AH70" t="s">
        <v>41</v>
      </c>
      <c r="AI70" t="s">
        <v>41</v>
      </c>
      <c r="AJ70" t="s">
        <v>41</v>
      </c>
      <c r="AK70" t="s">
        <v>327</v>
      </c>
      <c r="AL70" t="s">
        <v>328</v>
      </c>
      <c r="AM70" t="s">
        <v>41</v>
      </c>
    </row>
    <row r="71" spans="1:39" ht="15.75" x14ac:dyDescent="0.25">
      <c r="A71">
        <v>70</v>
      </c>
      <c r="B71" t="s">
        <v>39</v>
      </c>
      <c r="C71" t="s">
        <v>40</v>
      </c>
      <c r="D71" t="s">
        <v>440</v>
      </c>
      <c r="E71" t="s">
        <v>41</v>
      </c>
      <c r="F71" t="s">
        <v>42</v>
      </c>
      <c r="G71" t="s">
        <v>43</v>
      </c>
      <c r="H71" t="s">
        <v>41</v>
      </c>
      <c r="I71" t="s">
        <v>59</v>
      </c>
      <c r="J71" t="s">
        <v>44</v>
      </c>
      <c r="K71" t="s">
        <v>329</v>
      </c>
      <c r="L71">
        <v>-12.205261999999999</v>
      </c>
      <c r="M71">
        <v>-76.952659999999995</v>
      </c>
      <c r="N71" t="str">
        <f>HYPERLINK("https://www.google.com/maps/search/?api=1&amp;query=-12.205262,-76.95266","Avenida El Sol, Villa El Salvador, Lima")</f>
        <v>Avenida El Sol, Villa El Salvador, Lima</v>
      </c>
      <c r="O71" t="s">
        <v>61</v>
      </c>
      <c r="P71" t="s">
        <v>41</v>
      </c>
      <c r="Q71">
        <v>1905.6</v>
      </c>
      <c r="R71" t="s">
        <v>318</v>
      </c>
      <c r="S71">
        <v>35.4</v>
      </c>
      <c r="T71">
        <v>0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>
        <v>100</v>
      </c>
      <c r="AC71" t="s">
        <v>44</v>
      </c>
      <c r="AD71" t="s">
        <v>330</v>
      </c>
      <c r="AE71" t="str">
        <f>IF("ONLINE"="NOGPS","GPS Antiguo","En línea")</f>
        <v>En línea</v>
      </c>
      <c r="AF71" t="str">
        <f t="shared" si="7"/>
        <v>Sin atender</v>
      </c>
      <c r="AG71" t="s">
        <v>41</v>
      </c>
      <c r="AH71" t="s">
        <v>41</v>
      </c>
      <c r="AI71" t="s">
        <v>41</v>
      </c>
      <c r="AJ71" t="s">
        <v>41</v>
      </c>
      <c r="AK71" t="s">
        <v>331</v>
      </c>
      <c r="AL71" t="s">
        <v>332</v>
      </c>
      <c r="AM71" t="s">
        <v>41</v>
      </c>
    </row>
    <row r="72" spans="1:39" ht="15.75" x14ac:dyDescent="0.25">
      <c r="A72">
        <v>71</v>
      </c>
      <c r="B72" t="s">
        <v>39</v>
      </c>
      <c r="C72" t="s">
        <v>40</v>
      </c>
      <c r="D72" t="s">
        <v>441</v>
      </c>
      <c r="E72" t="s">
        <v>41</v>
      </c>
      <c r="F72" t="s">
        <v>42</v>
      </c>
      <c r="G72" t="s">
        <v>43</v>
      </c>
      <c r="H72" t="s">
        <v>41</v>
      </c>
      <c r="I72" t="s">
        <v>41</v>
      </c>
      <c r="J72" t="s">
        <v>44</v>
      </c>
      <c r="K72" t="s">
        <v>333</v>
      </c>
      <c r="L72">
        <v>-12.197901999999999</v>
      </c>
      <c r="M72">
        <v>-76.966200000000001</v>
      </c>
      <c r="N72" t="str">
        <f>HYPERLINK("https://www.google.com/maps/search/?api=1&amp;query=-12.197902,-76.9662","Avenida Primero de Mayo, Villa El Salvador, Lima")</f>
        <v>Avenida Primero de Mayo, Villa El Salvador, Lima</v>
      </c>
      <c r="O72" t="s">
        <v>51</v>
      </c>
      <c r="P72" t="s">
        <v>52</v>
      </c>
      <c r="Q72">
        <v>1909.8</v>
      </c>
      <c r="R72" t="s">
        <v>41</v>
      </c>
      <c r="S72">
        <v>0</v>
      </c>
      <c r="T72">
        <v>0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>
        <v>100</v>
      </c>
      <c r="AC72" t="s">
        <v>44</v>
      </c>
      <c r="AD72" t="s">
        <v>334</v>
      </c>
      <c r="AE72" t="str">
        <f>IF("ONLINE"="NOGPS","GPS Antiguo","En línea")</f>
        <v>En línea</v>
      </c>
      <c r="AF72" t="str">
        <f t="shared" si="7"/>
        <v>Sin atender</v>
      </c>
      <c r="AG72" t="s">
        <v>41</v>
      </c>
      <c r="AH72" t="s">
        <v>41</v>
      </c>
      <c r="AI72" t="s">
        <v>41</v>
      </c>
      <c r="AJ72" t="s">
        <v>41</v>
      </c>
      <c r="AK72" t="s">
        <v>335</v>
      </c>
      <c r="AL72" t="s">
        <v>336</v>
      </c>
      <c r="AM72" t="s">
        <v>41</v>
      </c>
    </row>
    <row r="73" spans="1:39" ht="15.75" x14ac:dyDescent="0.25">
      <c r="A73">
        <v>72</v>
      </c>
      <c r="B73" t="s">
        <v>39</v>
      </c>
      <c r="C73" t="s">
        <v>40</v>
      </c>
      <c r="D73" t="s">
        <v>442</v>
      </c>
      <c r="E73" t="s">
        <v>41</v>
      </c>
      <c r="F73" t="s">
        <v>42</v>
      </c>
      <c r="G73" t="s">
        <v>43</v>
      </c>
      <c r="H73" t="s">
        <v>41</v>
      </c>
      <c r="I73" t="s">
        <v>41</v>
      </c>
      <c r="J73" t="s">
        <v>44</v>
      </c>
      <c r="K73" t="s">
        <v>337</v>
      </c>
      <c r="L73">
        <v>-12.197901999999999</v>
      </c>
      <c r="M73">
        <v>-76.966200000000001</v>
      </c>
      <c r="N73" t="str">
        <f>HYPERLINK("https://www.google.com/maps/search/?api=1&amp;query=-12.197902,-76.9662","Avenida Primero de Mayo, Villa El Salvador, Lima")</f>
        <v>Avenida Primero de Mayo, Villa El Salvador, Lima</v>
      </c>
      <c r="O73" t="s">
        <v>46</v>
      </c>
      <c r="P73" t="s">
        <v>41</v>
      </c>
      <c r="Q73">
        <v>1909.8</v>
      </c>
      <c r="R73" t="s">
        <v>41</v>
      </c>
      <c r="S73">
        <v>0</v>
      </c>
      <c r="T73">
        <v>0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>
        <v>100</v>
      </c>
      <c r="AC73" t="s">
        <v>44</v>
      </c>
      <c r="AD73" t="s">
        <v>334</v>
      </c>
      <c r="AE73" t="str">
        <f>IF("NOGPS"="NOGPS","GPS Antiguo","En línea")</f>
        <v>GPS Antiguo</v>
      </c>
      <c r="AF73" t="str">
        <f t="shared" si="7"/>
        <v>Sin atender</v>
      </c>
      <c r="AG73" t="s">
        <v>41</v>
      </c>
      <c r="AH73" t="s">
        <v>41</v>
      </c>
      <c r="AI73" t="s">
        <v>41</v>
      </c>
      <c r="AJ73" t="s">
        <v>41</v>
      </c>
      <c r="AK73" t="s">
        <v>338</v>
      </c>
      <c r="AL73" t="s">
        <v>339</v>
      </c>
      <c r="AM73" t="s">
        <v>41</v>
      </c>
    </row>
    <row r="74" spans="1:39" ht="15.75" x14ac:dyDescent="0.25">
      <c r="A74">
        <v>73</v>
      </c>
      <c r="B74" t="s">
        <v>39</v>
      </c>
      <c r="C74" t="s">
        <v>40</v>
      </c>
      <c r="D74" t="s">
        <v>443</v>
      </c>
      <c r="E74" t="s">
        <v>41</v>
      </c>
      <c r="F74" t="s">
        <v>42</v>
      </c>
      <c r="G74" t="s">
        <v>43</v>
      </c>
      <c r="H74" t="s">
        <v>41</v>
      </c>
      <c r="I74" t="s">
        <v>41</v>
      </c>
      <c r="J74" t="s">
        <v>44</v>
      </c>
      <c r="K74" t="s">
        <v>340</v>
      </c>
      <c r="L74">
        <v>-12.194172999999999</v>
      </c>
      <c r="M74">
        <v>-76.960434000000006</v>
      </c>
      <c r="N74" t="str">
        <f>HYPERLINK("https://www.google.com/maps/search/?api=1&amp;query=-12.194173,-76.960434","Calle 10, Villa El Salvador, Lima")</f>
        <v>Calle 10, Villa El Salvador, Lima</v>
      </c>
      <c r="O74" t="s">
        <v>51</v>
      </c>
      <c r="P74" t="s">
        <v>52</v>
      </c>
      <c r="Q74">
        <v>1911.5</v>
      </c>
      <c r="R74" t="s">
        <v>41</v>
      </c>
      <c r="S74">
        <v>37.1</v>
      </c>
      <c r="T74">
        <v>0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>
        <v>100</v>
      </c>
      <c r="AC74" t="s">
        <v>44</v>
      </c>
      <c r="AD74" t="s">
        <v>341</v>
      </c>
      <c r="AE74" t="str">
        <f>IF("ONLINE"="NOGPS","GPS Antiguo","En línea")</f>
        <v>En línea</v>
      </c>
      <c r="AF74" t="str">
        <f t="shared" si="7"/>
        <v>Sin atender</v>
      </c>
      <c r="AG74" t="s">
        <v>41</v>
      </c>
      <c r="AH74" t="s">
        <v>41</v>
      </c>
      <c r="AI74" t="s">
        <v>41</v>
      </c>
      <c r="AJ74" t="s">
        <v>41</v>
      </c>
      <c r="AK74" t="s">
        <v>342</v>
      </c>
      <c r="AL74" t="s">
        <v>343</v>
      </c>
      <c r="AM74" t="s">
        <v>41</v>
      </c>
    </row>
    <row r="75" spans="1:39" ht="15.75" x14ac:dyDescent="0.25">
      <c r="A75">
        <v>74</v>
      </c>
      <c r="B75" t="s">
        <v>39</v>
      </c>
      <c r="C75" t="s">
        <v>40</v>
      </c>
      <c r="D75" t="s">
        <v>444</v>
      </c>
      <c r="E75" t="s">
        <v>41</v>
      </c>
      <c r="F75" t="s">
        <v>42</v>
      </c>
      <c r="G75" t="s">
        <v>43</v>
      </c>
      <c r="H75" t="s">
        <v>41</v>
      </c>
      <c r="I75" t="s">
        <v>59</v>
      </c>
      <c r="J75" t="s">
        <v>44</v>
      </c>
      <c r="K75" t="s">
        <v>344</v>
      </c>
      <c r="L75">
        <v>-12.194927</v>
      </c>
      <c r="M75">
        <v>-76.959980000000002</v>
      </c>
      <c r="N75" t="str">
        <f>HYPERLINK("https://www.google.com/maps/search/?api=1&amp;query=-12.194927,-76.95998","Avenida Mariano Pastor Sevilla, Villa El Salvador, Lima")</f>
        <v>Avenida Mariano Pastor Sevilla, Villa El Salvador, Lima</v>
      </c>
      <c r="O75" t="s">
        <v>76</v>
      </c>
      <c r="P75" t="s">
        <v>41</v>
      </c>
      <c r="Q75">
        <v>1911.5</v>
      </c>
      <c r="R75" t="s">
        <v>345</v>
      </c>
      <c r="S75">
        <v>0</v>
      </c>
      <c r="T75">
        <v>0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>
        <v>100</v>
      </c>
      <c r="AC75" t="s">
        <v>44</v>
      </c>
      <c r="AD75" t="s">
        <v>346</v>
      </c>
      <c r="AE75" t="str">
        <f>IF("ONLINE"="NOGPS","GPS Antiguo","En línea")</f>
        <v>En línea</v>
      </c>
      <c r="AF75" t="str">
        <f t="shared" si="7"/>
        <v>Sin atender</v>
      </c>
      <c r="AG75" t="s">
        <v>41</v>
      </c>
      <c r="AH75" t="s">
        <v>41</v>
      </c>
      <c r="AI75" t="s">
        <v>41</v>
      </c>
      <c r="AJ75" t="s">
        <v>41</v>
      </c>
      <c r="AK75" t="s">
        <v>347</v>
      </c>
      <c r="AL75" t="s">
        <v>348</v>
      </c>
      <c r="AM75" t="s">
        <v>41</v>
      </c>
    </row>
    <row r="76" spans="1:39" ht="15.75" x14ac:dyDescent="0.25">
      <c r="A76">
        <v>75</v>
      </c>
      <c r="B76" t="s">
        <v>39</v>
      </c>
      <c r="C76" t="s">
        <v>40</v>
      </c>
      <c r="D76" t="s">
        <v>445</v>
      </c>
      <c r="E76" t="s">
        <v>41</v>
      </c>
      <c r="F76" t="s">
        <v>42</v>
      </c>
      <c r="G76" t="s">
        <v>43</v>
      </c>
      <c r="H76" t="s">
        <v>41</v>
      </c>
      <c r="I76" t="s">
        <v>41</v>
      </c>
      <c r="J76" t="s">
        <v>44</v>
      </c>
      <c r="K76" t="s">
        <v>349</v>
      </c>
      <c r="L76">
        <v>-12.194927</v>
      </c>
      <c r="M76">
        <v>-76.959980000000002</v>
      </c>
      <c r="N76" t="str">
        <f>HYPERLINK("https://www.google.com/maps/search/?api=1&amp;query=-12.194927,-76.95998","Avenida Mariano Pastor Sevilla, Villa El Salvador, Lima")</f>
        <v>Avenida Mariano Pastor Sevilla, Villa El Salvador, Lima</v>
      </c>
      <c r="O76" t="s">
        <v>46</v>
      </c>
      <c r="P76" t="s">
        <v>41</v>
      </c>
      <c r="Q76">
        <v>1911.5</v>
      </c>
      <c r="R76" t="s">
        <v>41</v>
      </c>
      <c r="S76">
        <v>0</v>
      </c>
      <c r="T76">
        <v>0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>
        <v>100</v>
      </c>
      <c r="AC76" t="s">
        <v>44</v>
      </c>
      <c r="AD76" t="s">
        <v>346</v>
      </c>
      <c r="AE76" t="str">
        <f>IF("NOGPS"="NOGPS","GPS Antiguo","En línea")</f>
        <v>GPS Antiguo</v>
      </c>
      <c r="AF76" t="str">
        <f t="shared" si="7"/>
        <v>Sin atender</v>
      </c>
      <c r="AG76" t="s">
        <v>41</v>
      </c>
      <c r="AH76" t="s">
        <v>41</v>
      </c>
      <c r="AI76" t="s">
        <v>41</v>
      </c>
      <c r="AJ76" t="s">
        <v>41</v>
      </c>
      <c r="AK76" t="s">
        <v>350</v>
      </c>
      <c r="AL76" t="s">
        <v>351</v>
      </c>
      <c r="AM76" t="s">
        <v>41</v>
      </c>
    </row>
    <row r="77" spans="1:39" ht="15.75" x14ac:dyDescent="0.25">
      <c r="A77">
        <v>76</v>
      </c>
      <c r="B77" t="s">
        <v>39</v>
      </c>
      <c r="C77" t="s">
        <v>40</v>
      </c>
      <c r="D77" t="s">
        <v>446</v>
      </c>
      <c r="E77" t="s">
        <v>41</v>
      </c>
      <c r="F77" t="s">
        <v>42</v>
      </c>
      <c r="G77" t="s">
        <v>43</v>
      </c>
      <c r="H77" t="s">
        <v>41</v>
      </c>
      <c r="I77" t="s">
        <v>59</v>
      </c>
      <c r="J77" t="s">
        <v>44</v>
      </c>
      <c r="K77" t="s">
        <v>352</v>
      </c>
      <c r="L77">
        <v>-12.195399999999999</v>
      </c>
      <c r="M77">
        <v>-76.959680000000006</v>
      </c>
      <c r="N77" t="str">
        <f>HYPERLINK("https://www.google.com/maps/search/?api=1&amp;query=-12.1954,-76.95968","Avenida Mariano Pastor Sevilla, Villa El Salvador, Lima")</f>
        <v>Avenida Mariano Pastor Sevilla, Villa El Salvador, Lima</v>
      </c>
      <c r="O77" t="s">
        <v>61</v>
      </c>
      <c r="P77" t="s">
        <v>41</v>
      </c>
      <c r="Q77">
        <v>1911.7</v>
      </c>
      <c r="R77" t="s">
        <v>345</v>
      </c>
      <c r="S77">
        <v>15</v>
      </c>
      <c r="T77">
        <v>0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>
        <v>100</v>
      </c>
      <c r="AC77" t="s">
        <v>44</v>
      </c>
      <c r="AD77" t="s">
        <v>353</v>
      </c>
      <c r="AE77" t="str">
        <f>IF("ONLINE"="NOGPS","GPS Antiguo","En línea")</f>
        <v>En línea</v>
      </c>
      <c r="AF77" t="str">
        <f t="shared" si="7"/>
        <v>Sin atender</v>
      </c>
      <c r="AG77" t="s">
        <v>41</v>
      </c>
      <c r="AH77" t="s">
        <v>41</v>
      </c>
      <c r="AI77" t="s">
        <v>41</v>
      </c>
      <c r="AJ77" t="s">
        <v>41</v>
      </c>
      <c r="AK77" t="s">
        <v>354</v>
      </c>
      <c r="AL77" t="s">
        <v>355</v>
      </c>
      <c r="AM77" t="s">
        <v>41</v>
      </c>
    </row>
    <row r="78" spans="1:39" ht="15.75" x14ac:dyDescent="0.25">
      <c r="A78">
        <v>77</v>
      </c>
      <c r="B78" t="s">
        <v>39</v>
      </c>
      <c r="C78" t="s">
        <v>40</v>
      </c>
      <c r="D78" t="s">
        <v>447</v>
      </c>
      <c r="E78" t="s">
        <v>41</v>
      </c>
      <c r="F78" t="s">
        <v>42</v>
      </c>
      <c r="G78" t="s">
        <v>43</v>
      </c>
      <c r="H78" t="s">
        <v>41</v>
      </c>
      <c r="I78" t="s">
        <v>59</v>
      </c>
      <c r="J78" t="s">
        <v>44</v>
      </c>
      <c r="K78" t="s">
        <v>356</v>
      </c>
      <c r="L78">
        <v>-12.213153</v>
      </c>
      <c r="M78">
        <v>-76.959810000000004</v>
      </c>
      <c r="N78" t="str">
        <f>HYPERLINK("https://www.google.com/maps/search/?api=1&amp;query=-12.213153,-76.95981","Avenida Villa del Mar, Villa El Salvador, Lima")</f>
        <v>Avenida Villa del Mar, Villa El Salvador, Lima</v>
      </c>
      <c r="O78" t="s">
        <v>76</v>
      </c>
      <c r="P78" t="s">
        <v>41</v>
      </c>
      <c r="Q78">
        <v>1915.3</v>
      </c>
      <c r="R78" t="s">
        <v>62</v>
      </c>
      <c r="S78">
        <v>8.6999999999999993</v>
      </c>
      <c r="T78">
        <v>0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>
        <v>100</v>
      </c>
      <c r="AC78" t="s">
        <v>44</v>
      </c>
      <c r="AD78" t="s">
        <v>357</v>
      </c>
      <c r="AE78" t="str">
        <f>IF("ONLINE"="NOGPS","GPS Antiguo","En línea")</f>
        <v>En línea</v>
      </c>
      <c r="AF78" t="str">
        <f t="shared" si="7"/>
        <v>Sin atender</v>
      </c>
      <c r="AG78" t="s">
        <v>41</v>
      </c>
      <c r="AH78" t="s">
        <v>41</v>
      </c>
      <c r="AI78" t="s">
        <v>41</v>
      </c>
      <c r="AJ78" t="s">
        <v>41</v>
      </c>
      <c r="AK78" t="s">
        <v>358</v>
      </c>
      <c r="AL78" t="s">
        <v>359</v>
      </c>
      <c r="AM78" t="s">
        <v>41</v>
      </c>
    </row>
    <row r="79" spans="1:39" ht="15.75" x14ac:dyDescent="0.25">
      <c r="A79">
        <v>78</v>
      </c>
      <c r="B79" t="s">
        <v>39</v>
      </c>
      <c r="C79" t="s">
        <v>40</v>
      </c>
      <c r="D79" t="s">
        <v>448</v>
      </c>
      <c r="E79" t="s">
        <v>41</v>
      </c>
      <c r="F79" t="s">
        <v>42</v>
      </c>
      <c r="G79" t="s">
        <v>43</v>
      </c>
      <c r="H79" t="s">
        <v>41</v>
      </c>
      <c r="I79" t="s">
        <v>41</v>
      </c>
      <c r="J79" t="s">
        <v>44</v>
      </c>
      <c r="K79" t="s">
        <v>360</v>
      </c>
      <c r="L79">
        <v>-12.212889000000001</v>
      </c>
      <c r="M79">
        <v>-76.959270000000004</v>
      </c>
      <c r="N79" t="str">
        <f>HYPERLINK("https://www.google.com/maps/search/?api=1&amp;query=-12.212889,-76.95927","Avenida Villa del Mar, Villa El Salvador, Lima")</f>
        <v>Avenida Villa del Mar, Villa El Salvador, Lima</v>
      </c>
      <c r="O79" t="s">
        <v>51</v>
      </c>
      <c r="P79" t="s">
        <v>52</v>
      </c>
      <c r="Q79">
        <v>1915.4</v>
      </c>
      <c r="R79" t="s">
        <v>41</v>
      </c>
      <c r="S79">
        <v>4</v>
      </c>
      <c r="T79">
        <v>0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>
        <v>100</v>
      </c>
      <c r="AC79" t="s">
        <v>44</v>
      </c>
      <c r="AD79" t="s">
        <v>361</v>
      </c>
      <c r="AE79" t="str">
        <f>IF("ONLINE"="NOGPS","GPS Antiguo","En línea")</f>
        <v>En línea</v>
      </c>
      <c r="AF79" t="str">
        <f t="shared" si="7"/>
        <v>Sin atender</v>
      </c>
      <c r="AG79" t="s">
        <v>41</v>
      </c>
      <c r="AH79" t="s">
        <v>41</v>
      </c>
      <c r="AI79" t="s">
        <v>41</v>
      </c>
      <c r="AJ79" t="s">
        <v>41</v>
      </c>
      <c r="AK79" t="s">
        <v>362</v>
      </c>
      <c r="AL79" t="s">
        <v>363</v>
      </c>
      <c r="AM79" t="s">
        <v>41</v>
      </c>
    </row>
    <row r="80" spans="1:39" ht="15.75" x14ac:dyDescent="0.25">
      <c r="A80">
        <v>79</v>
      </c>
      <c r="B80" t="s">
        <v>39</v>
      </c>
      <c r="C80" t="s">
        <v>40</v>
      </c>
      <c r="D80" t="s">
        <v>449</v>
      </c>
      <c r="E80" t="s">
        <v>41</v>
      </c>
      <c r="F80" t="s">
        <v>42</v>
      </c>
      <c r="G80" t="s">
        <v>43</v>
      </c>
      <c r="H80" t="s">
        <v>41</v>
      </c>
      <c r="I80" t="s">
        <v>41</v>
      </c>
      <c r="J80" t="s">
        <v>44</v>
      </c>
      <c r="K80" t="s">
        <v>364</v>
      </c>
      <c r="L80">
        <v>-12.212942999999999</v>
      </c>
      <c r="M80">
        <v>-76.959220000000002</v>
      </c>
      <c r="N80" t="str">
        <f>HYPERLINK("https://www.google.com/maps/search/?api=1&amp;query=-12.212943,-76.95922","Avenida Villa del Mar, Villa El Salvador, Lima")</f>
        <v>Avenida Villa del Mar, Villa El Salvador, Lima</v>
      </c>
      <c r="O80" t="s">
        <v>46</v>
      </c>
      <c r="P80" t="s">
        <v>41</v>
      </c>
      <c r="Q80">
        <v>1915.4</v>
      </c>
      <c r="R80" t="s">
        <v>41</v>
      </c>
      <c r="S80">
        <v>0</v>
      </c>
      <c r="T80">
        <v>0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>
        <v>100</v>
      </c>
      <c r="AC80" t="s">
        <v>44</v>
      </c>
      <c r="AD80" t="s">
        <v>365</v>
      </c>
      <c r="AE80" t="str">
        <f>IF("NOGPS"="NOGPS","GPS Antiguo","En línea")</f>
        <v>GPS Antiguo</v>
      </c>
      <c r="AF80" t="str">
        <f t="shared" si="7"/>
        <v>Sin atender</v>
      </c>
      <c r="AG80" t="s">
        <v>41</v>
      </c>
      <c r="AH80" t="s">
        <v>41</v>
      </c>
      <c r="AI80" t="s">
        <v>41</v>
      </c>
      <c r="AJ80" t="s">
        <v>41</v>
      </c>
      <c r="AK80" t="s">
        <v>366</v>
      </c>
      <c r="AL80" t="s">
        <v>367</v>
      </c>
      <c r="AM80" t="s">
        <v>41</v>
      </c>
    </row>
    <row r="81" spans="1:39" ht="15.75" x14ac:dyDescent="0.25">
      <c r="A81">
        <v>80</v>
      </c>
      <c r="B81" t="s">
        <v>39</v>
      </c>
      <c r="C81" t="s">
        <v>40</v>
      </c>
      <c r="D81" t="s">
        <v>450</v>
      </c>
      <c r="E81" t="s">
        <v>41</v>
      </c>
      <c r="F81" t="s">
        <v>42</v>
      </c>
      <c r="G81" t="s">
        <v>43</v>
      </c>
      <c r="H81" t="s">
        <v>41</v>
      </c>
      <c r="I81" t="s">
        <v>41</v>
      </c>
      <c r="J81" t="s">
        <v>44</v>
      </c>
      <c r="K81" t="s">
        <v>368</v>
      </c>
      <c r="L81">
        <v>-12.212999999999999</v>
      </c>
      <c r="M81">
        <v>-76.958820000000003</v>
      </c>
      <c r="N81" t="str">
        <f>HYPERLINK("https://www.google.com/maps/search/?api=1&amp;query=-12.213,-76.95882","Villa El Salvador, Lima")</f>
        <v>Villa El Salvador, Lima</v>
      </c>
      <c r="O81" t="s">
        <v>51</v>
      </c>
      <c r="P81" t="s">
        <v>52</v>
      </c>
      <c r="Q81">
        <v>1915.5</v>
      </c>
      <c r="R81" t="s">
        <v>41</v>
      </c>
      <c r="S81">
        <v>0</v>
      </c>
      <c r="T81">
        <v>0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>
        <v>100</v>
      </c>
      <c r="AC81" t="s">
        <v>44</v>
      </c>
      <c r="AD81" t="s">
        <v>369</v>
      </c>
      <c r="AE81" t="str">
        <f>IF("ONLINE"="NOGPS","GPS Antiguo","En línea")</f>
        <v>En línea</v>
      </c>
      <c r="AF81" t="str">
        <f t="shared" si="7"/>
        <v>Sin atender</v>
      </c>
      <c r="AG81" t="s">
        <v>41</v>
      </c>
      <c r="AH81" t="s">
        <v>41</v>
      </c>
      <c r="AI81" t="s">
        <v>41</v>
      </c>
      <c r="AJ81" t="s">
        <v>41</v>
      </c>
      <c r="AK81" t="s">
        <v>370</v>
      </c>
      <c r="AL81" t="s">
        <v>371</v>
      </c>
      <c r="AM81" t="s">
        <v>41</v>
      </c>
    </row>
  </sheetData>
  <phoneticPr fontId="1" type="noConversion"/>
  <pageMargins left="0.7" right="0.7" top="0.75" bottom="0.75" header="0.3" footer="0.3"/>
  <ignoredErrors>
    <ignoredError sqref="A1:AM1 A3:C81 A2:B2 E2:AM2 E3:AM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Alerts</dc:title>
  <dc:subject>Report Alerts</dc:subject>
  <dc:creator>Location World</dc:creator>
  <cp:lastModifiedBy>Operaciones 4 SLI Perú</cp:lastModifiedBy>
  <dcterms:modified xsi:type="dcterms:W3CDTF">2026-10-02T20:05:44Z</dcterms:modified>
</cp:coreProperties>
</file>