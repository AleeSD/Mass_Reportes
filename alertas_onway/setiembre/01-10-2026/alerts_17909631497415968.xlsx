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/>
      </c>
      <c r="J2" t="str">
        <v>01/10/2026</v>
      </c>
      <c r="K2" t="str">
        <v>05:47:55</v>
      </c>
      <c r="L2">
        <v>-12.213048</v>
      </c>
      <c r="M2">
        <v>-76.958916</v>
      </c>
      <c r="N2">
        <f>HYPERLINK("https://www.google.com/maps/search/?api=1&amp;query=-12.213048,-76.958916","Villa El Salvador, Lima")</f>
      </c>
      <c r="O2" t="str">
        <v>Vehículo encendido</v>
      </c>
      <c r="P2" t="str">
        <v/>
      </c>
      <c r="Q2">
        <v>1052995.8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92</v>
      </c>
      <c r="AC2" t="str">
        <v>01/10/2026</v>
      </c>
      <c r="AD2" t="str">
        <v>05:30:01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05:48:01</v>
      </c>
      <c r="AL2" t="str">
        <v>05:48:01</v>
      </c>
      <c r="AM2" t="str">
        <v/>
      </c>
    </row>
    <row r="3">
      <c r="A3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/>
      </c>
      <c r="J3" t="str">
        <v>01/10/2026</v>
      </c>
      <c r="K3" t="str">
        <v>05:52:51</v>
      </c>
      <c r="L3">
        <v>-12.212951</v>
      </c>
      <c r="M3">
        <v>-76.95889</v>
      </c>
      <c r="N3">
        <f>HYPERLINK("https://www.google.com/maps/search/?api=1&amp;query=-12.212951,-76.95889","Avenida Villa del Mar, Villa El Salvador, Lima")</f>
      </c>
      <c r="O3" t="str">
        <v>Vehículo apagado</v>
      </c>
      <c r="P3" t="str">
        <v>Vehículo Apagado</v>
      </c>
      <c r="Q3">
        <v>1052995.8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92</v>
      </c>
      <c r="AC3" t="str">
        <v>01/10/2026</v>
      </c>
      <c r="AD3" t="str">
        <v>05:52:55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05:53:13</v>
      </c>
      <c r="AL3" t="str">
        <v>05:53:13</v>
      </c>
      <c r="AM3" t="str">
        <v/>
      </c>
    </row>
    <row r="4">
      <c r="A4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/>
      </c>
      <c r="J4" t="str">
        <v>01/10/2026</v>
      </c>
      <c r="K4" t="str">
        <v>05:55:58</v>
      </c>
      <c r="L4">
        <v>-12.212951</v>
      </c>
      <c r="M4">
        <v>-76.95889</v>
      </c>
      <c r="N4">
        <f>HYPERLINK("https://www.google.com/maps/search/?api=1&amp;query=-12.212951,-76.95889","Avenida Villa del Mar, Villa El Salvador, Lima")</f>
      </c>
      <c r="O4" t="str">
        <v>Vehículo encendido</v>
      </c>
      <c r="P4" t="str">
        <v/>
      </c>
      <c r="Q4">
        <v>1052995.8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92</v>
      </c>
      <c r="AC4" t="str">
        <v>01/10/2026</v>
      </c>
      <c r="AD4" t="str">
        <v>05:52:55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05:56:21</v>
      </c>
      <c r="AL4" t="str">
        <v>05:56:21</v>
      </c>
      <c r="AM4" t="str">
        <v/>
      </c>
    </row>
    <row r="5">
      <c r="A5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 xml:space="preserve"> </v>
      </c>
      <c r="J5" t="str">
        <v>01/10/2026</v>
      </c>
      <c r="K5" t="str">
        <v>05:58:57</v>
      </c>
      <c r="L5">
        <v>-12.21353</v>
      </c>
      <c r="M5">
        <v>-76.96051</v>
      </c>
      <c r="N5">
        <f>HYPERLINK("https://www.google.com/maps/search/?api=1&amp;query=-12.21353,-76.96051","Calle 1, Villa El Salvador, Lima")</f>
      </c>
      <c r="O5" t="str">
        <v>Salió de zona</v>
      </c>
      <c r="P5" t="str">
        <v/>
      </c>
      <c r="Q5">
        <v>1052995.8</v>
      </c>
      <c r="R5" t="str">
        <v>BASE-OSLOGISTICS</v>
      </c>
      <c r="S5">
        <v>9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92</v>
      </c>
      <c r="AC5" t="str">
        <v>01/10/2026</v>
      </c>
      <c r="AD5" t="str">
        <v>05:58:57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05:59:12</v>
      </c>
      <c r="AL5" t="str">
        <v>05:59:12</v>
      </c>
      <c r="AM5" t="str">
        <v/>
      </c>
    </row>
    <row r="6">
      <c r="A6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 xml:space="preserve"> </v>
      </c>
      <c r="J6" t="str">
        <v>01/10/2026</v>
      </c>
      <c r="K6" t="str">
        <v>06:22:22</v>
      </c>
      <c r="L6">
        <v>-12.167573</v>
      </c>
      <c r="M6">
        <v>-76.92003</v>
      </c>
      <c r="N6">
        <f>HYPERLINK("https://www.google.com/maps/search/?api=1&amp;query=-12.167573,-76.92003","Jirón San Pedro, Villa María del Triunfo, Lima")</f>
      </c>
      <c r="O6" t="str">
        <v>Llegó a la zona</v>
      </c>
      <c r="P6" t="str">
        <v/>
      </c>
      <c r="Q6">
        <v>1053004.1</v>
      </c>
      <c r="R6" t="str">
        <v>370-26 DE NOVIEMBRE 19</v>
      </c>
      <c r="S6">
        <v>10.3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90</v>
      </c>
      <c r="AC6" t="str">
        <v>01/10/2026</v>
      </c>
      <c r="AD6" t="str">
        <v>06:22:21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06:22:34</v>
      </c>
      <c r="AL6" t="str">
        <v>06:22:34</v>
      </c>
      <c r="AM6" t="str">
        <v/>
      </c>
    </row>
    <row r="7">
      <c r="A7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/>
      </c>
      <c r="J7" t="str">
        <v>01/10/2026</v>
      </c>
      <c r="K7" t="str">
        <v>06:23:07</v>
      </c>
      <c r="L7">
        <v>-12.167184</v>
      </c>
      <c r="M7">
        <v>-76.919815</v>
      </c>
      <c r="N7">
        <f>HYPERLINK("https://www.google.com/maps/search/?api=1&amp;query=-12.167184,-76.919815","Jirón San Pedro, Villa María del Triunfo, Lima")</f>
      </c>
      <c r="O7" t="str">
        <v>Vehículo apagado</v>
      </c>
      <c r="P7" t="str">
        <v>Vehículo Apagado</v>
      </c>
      <c r="Q7">
        <v>1053004.8</v>
      </c>
      <c r="R7" t="str">
        <v/>
      </c>
      <c r="S7">
        <v>5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90</v>
      </c>
      <c r="AC7" t="str">
        <v>01/10/2026</v>
      </c>
      <c r="AD7" t="str">
        <v>06:23:03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06:23:23</v>
      </c>
      <c r="AL7" t="str">
        <v>06:23:23</v>
      </c>
      <c r="AM7" t="str">
        <v/>
      </c>
    </row>
    <row r="8">
      <c r="A8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/>
      </c>
      <c r="J8" t="str">
        <v>01/10/2026</v>
      </c>
      <c r="K8" t="str">
        <v>07:56:29</v>
      </c>
      <c r="L8">
        <v>-12.167153</v>
      </c>
      <c r="M8">
        <v>-76.919846</v>
      </c>
      <c r="N8">
        <f>HYPERLINK("https://www.google.com/maps/search/?api=1&amp;query=-12.167153,-76.919846","Jirón San Pedro, Villa María del Triunfo, Lima")</f>
      </c>
      <c r="O8" t="str">
        <v>Vehículo encendido</v>
      </c>
      <c r="P8" t="str">
        <v/>
      </c>
      <c r="Q8">
        <v>1053004.8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90</v>
      </c>
      <c r="AC8" t="str">
        <v>01/10/2026</v>
      </c>
      <c r="AD8" t="str">
        <v>07:52:00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07:56:42</v>
      </c>
      <c r="AL8" t="str">
        <v>07:56:42</v>
      </c>
      <c r="AM8" t="str">
        <v/>
      </c>
    </row>
    <row r="9">
      <c r="A9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 xml:space="preserve"> </v>
      </c>
      <c r="J9" t="str">
        <v>01/10/2026</v>
      </c>
      <c r="K9" t="str">
        <v>07:56:58</v>
      </c>
      <c r="L9">
        <v>-12.167002</v>
      </c>
      <c r="M9">
        <v>-76.91997</v>
      </c>
      <c r="N9">
        <f>HYPERLINK("https://www.google.com/maps/search/?api=1&amp;query=-12.167002,-76.91997","Jirón San Pedro, Villa María del Triunfo, Lima")</f>
      </c>
      <c r="O9" t="str">
        <v>Salió de zona</v>
      </c>
      <c r="P9" t="str">
        <v/>
      </c>
      <c r="Q9">
        <v>1053004.8</v>
      </c>
      <c r="R9" t="str">
        <v>370-26 DE NOVIEMBRE 19</v>
      </c>
      <c r="S9">
        <v>20.3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90</v>
      </c>
      <c r="AC9" t="str">
        <v>01/10/2026</v>
      </c>
      <c r="AD9" t="str">
        <v>07:56:57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07:57:17</v>
      </c>
      <c r="AL9" t="str">
        <v>07:57:17</v>
      </c>
      <c r="AM9" t="str">
        <v/>
      </c>
    </row>
    <row r="10">
      <c r="A10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/>
      </c>
      <c r="J10" t="str">
        <v>01/10/2026</v>
      </c>
      <c r="K10" t="str">
        <v>07:57:04</v>
      </c>
      <c r="L10">
        <v>-12.166602</v>
      </c>
      <c r="M10">
        <v>-76.92033</v>
      </c>
      <c r="N10">
        <f>HYPERLINK("https://www.google.com/maps/search/?api=1&amp;query=-12.166602,-76.92033","Jirón San Pedro, Villa María del Triunfo, Lima")</f>
      </c>
      <c r="O10" t="str">
        <v>Aceleración brusca</v>
      </c>
      <c r="P10" t="str">
        <v>CMT-910</v>
      </c>
      <c r="Q10">
        <v>1053004.8</v>
      </c>
      <c r="R10" t="str">
        <v/>
      </c>
      <c r="S10">
        <v>46.3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90</v>
      </c>
      <c r="AC10" t="str">
        <v>01/10/2026</v>
      </c>
      <c r="AD10" t="str">
        <v>07:57:04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07:57:18</v>
      </c>
      <c r="AL10" t="str">
        <v>07:57:18</v>
      </c>
      <c r="AM10" t="str">
        <v/>
      </c>
    </row>
    <row r="11">
      <c r="A11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/>
      </c>
      <c r="J11" t="str">
        <v>01/10/2026</v>
      </c>
      <c r="K11" t="str">
        <v>07:57:11</v>
      </c>
      <c r="L11">
        <v>-12.166202</v>
      </c>
      <c r="M11">
        <v>-76.920395</v>
      </c>
      <c r="N11">
        <f>HYPERLINK("https://www.google.com/maps/search/?api=1&amp;query=-12.166202,-76.920395","Calle Caraz, Villa María del Triunfo, Lima")</f>
      </c>
      <c r="O11" t="str">
        <v>Frenado Brusco</v>
      </c>
      <c r="P11" t="str">
        <v/>
      </c>
      <c r="Q11">
        <v>1053004.8</v>
      </c>
      <c r="R11" t="str">
        <v/>
      </c>
      <c r="S11">
        <v>16.4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90</v>
      </c>
      <c r="AC11" t="str">
        <v>01/10/2026</v>
      </c>
      <c r="AD11" t="str">
        <v>07:57:10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07:57:30</v>
      </c>
      <c r="AL11" t="str">
        <v>07:57:30</v>
      </c>
      <c r="AM11" t="str">
        <v/>
      </c>
    </row>
    <row r="12">
      <c r="A12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 xml:space="preserve"> </v>
      </c>
      <c r="J12" t="str">
        <v>01/10/2026</v>
      </c>
      <c r="K12" t="str">
        <v>08:00:56</v>
      </c>
      <c r="L12">
        <v>-12.167185</v>
      </c>
      <c r="M12">
        <v>-76.92459</v>
      </c>
      <c r="N12">
        <f>HYPERLINK("https://www.google.com/maps/search/?api=1&amp;query=-12.167185,-76.92459","Avenida 26 de Noviembre, Villa María del Triunfo, Lima")</f>
      </c>
      <c r="O12" t="str">
        <v>Llegó a la zona</v>
      </c>
      <c r="P12" t="str">
        <v/>
      </c>
      <c r="Q12">
        <v>1053005</v>
      </c>
      <c r="R12" t="str">
        <v>1050-26NOV94 VMT MS</v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90</v>
      </c>
      <c r="AC12" t="str">
        <v>01/10/2026</v>
      </c>
      <c r="AD12" t="str">
        <v>08:00:27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08:01:05</v>
      </c>
      <c r="AL12" t="str">
        <v>08:01:05</v>
      </c>
      <c r="AM12" t="str">
        <v/>
      </c>
    </row>
    <row r="13">
      <c r="A13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/>
      </c>
      <c r="J13" t="str">
        <v>01/10/2026</v>
      </c>
      <c r="K13" t="str">
        <v>08:03:23</v>
      </c>
      <c r="L13">
        <v>-12.167185</v>
      </c>
      <c r="M13">
        <v>-76.92459</v>
      </c>
      <c r="N13">
        <f>HYPERLINK("https://www.google.com/maps/search/?api=1&amp;query=-12.167185,-76.92459","Avenida 26 de Noviembre, Villa María del Triunfo, Lima")</f>
      </c>
      <c r="O13" t="str">
        <v>Vehículo apagado</v>
      </c>
      <c r="P13" t="str">
        <v>Vehículo Apagado</v>
      </c>
      <c r="Q13">
        <v>1053005.5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90</v>
      </c>
      <c r="AC13" t="str">
        <v>01/10/2026</v>
      </c>
      <c r="AD13" t="str">
        <v>08:02:27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08:03:33</v>
      </c>
      <c r="AL13" t="str">
        <v>08:03:33</v>
      </c>
      <c r="AM13" t="str">
        <v/>
      </c>
    </row>
    <row r="14">
      <c r="A14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/>
      </c>
      <c r="J14" t="str">
        <v>01/10/2026</v>
      </c>
      <c r="K14" t="str">
        <v>08:03:36</v>
      </c>
      <c r="L14">
        <v>-12.167165</v>
      </c>
      <c r="M14">
        <v>-76.92459</v>
      </c>
      <c r="N14">
        <f>HYPERLINK("https://www.google.com/maps/search/?api=1&amp;query=-12.167165,-76.92459","Avenida 26 de Noviembre, Villa María del Triunfo, Lima")</f>
      </c>
      <c r="O14" t="str">
        <v>Vehículo encendido</v>
      </c>
      <c r="P14" t="str">
        <v/>
      </c>
      <c r="Q14">
        <v>1053005.5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90</v>
      </c>
      <c r="AC14" t="str">
        <v>01/10/2026</v>
      </c>
      <c r="AD14" t="str">
        <v>08:03:26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08:03:52</v>
      </c>
      <c r="AL14" t="str">
        <v>08:03:52</v>
      </c>
      <c r="AM14" t="str">
        <v/>
      </c>
    </row>
    <row r="15">
      <c r="A15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/>
      </c>
      <c r="J15" t="str">
        <v>01/10/2026</v>
      </c>
      <c r="K15" t="str">
        <v>08:04:16</v>
      </c>
      <c r="L15">
        <v>-12.167123</v>
      </c>
      <c r="M15">
        <v>-76.92462</v>
      </c>
      <c r="N15">
        <f>HYPERLINK("https://www.google.com/maps/search/?api=1&amp;query=-12.167123,-76.92462","Avenida 26 de Noviembre, Villa María del Triunfo, Lima")</f>
      </c>
      <c r="O15" t="str">
        <v>Vehículo apagado</v>
      </c>
      <c r="P15" t="str">
        <v>Vehículo Apagado</v>
      </c>
      <c r="Q15">
        <v>1053005.6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90</v>
      </c>
      <c r="AC15" t="str">
        <v>01/10/2026</v>
      </c>
      <c r="AD15" t="str">
        <v>08:04:18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08:04:29</v>
      </c>
      <c r="AL15" t="str">
        <v>08:04:29</v>
      </c>
      <c r="AM15" t="str">
        <v/>
      </c>
    </row>
    <row r="16">
      <c r="A16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/>
      </c>
      <c r="J16" t="str">
        <v>01/10/2026</v>
      </c>
      <c r="K16" t="str">
        <v>08:22:12</v>
      </c>
      <c r="L16">
        <v>-12.167123</v>
      </c>
      <c r="M16">
        <v>-76.92462</v>
      </c>
      <c r="N16">
        <f>HYPERLINK("https://www.google.com/maps/search/?api=1&amp;query=-12.167123,-76.92462","Avenida 26 de Noviembre, Villa María del Triunfo, Lima")</f>
      </c>
      <c r="O16" t="str">
        <v>Vehículo encendido</v>
      </c>
      <c r="P16" t="str">
        <v/>
      </c>
      <c r="Q16">
        <v>1053005.6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90</v>
      </c>
      <c r="AC16" t="str">
        <v>01/10/2026</v>
      </c>
      <c r="AD16" t="str">
        <v>08:04:18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08:22:28</v>
      </c>
      <c r="AL16" t="str">
        <v>08:22:28</v>
      </c>
      <c r="AM16" t="str">
        <v/>
      </c>
    </row>
    <row r="17">
      <c r="A17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 xml:space="preserve"> </v>
      </c>
      <c r="J17" t="str">
        <v>01/10/2026</v>
      </c>
      <c r="K17" t="str">
        <v>08:23:12</v>
      </c>
      <c r="L17">
        <v>-12.167212</v>
      </c>
      <c r="M17">
        <v>-76.925125</v>
      </c>
      <c r="N17">
        <f>HYPERLINK("https://www.google.com/maps/search/?api=1&amp;query=-12.167212,-76.925125","Avenida 26 de Noviembre, Villa María del Triunfo, Lima")</f>
      </c>
      <c r="O17" t="str">
        <v>Salió de zona</v>
      </c>
      <c r="P17" t="str">
        <v/>
      </c>
      <c r="Q17">
        <v>1053005.6</v>
      </c>
      <c r="R17" t="str">
        <v>1050-26NOV94 VMT MS</v>
      </c>
      <c r="S17">
        <v>26.7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90</v>
      </c>
      <c r="AC17" t="str">
        <v>01/10/2026</v>
      </c>
      <c r="AD17" t="str">
        <v>08:23:09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08:23:24</v>
      </c>
      <c r="AL17" t="str">
        <v>08:23:24</v>
      </c>
      <c r="AM17" t="str">
        <v/>
      </c>
    </row>
    <row r="18">
      <c r="A18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 xml:space="preserve"> </v>
      </c>
      <c r="J18" t="str">
        <v>01/10/2026</v>
      </c>
      <c r="K18" t="str">
        <v>08:36:29</v>
      </c>
      <c r="L18">
        <v>-12.190872</v>
      </c>
      <c r="M18">
        <v>-76.93133</v>
      </c>
      <c r="N18">
        <f>HYPERLINK("https://www.google.com/maps/search/?api=1&amp;query=-12.190872,-76.93133","Avenida 27 de Diciembre, Villa María del Triunfo, Lima")</f>
      </c>
      <c r="O18" t="str">
        <v>Llegó a la zona</v>
      </c>
      <c r="P18" t="str">
        <v/>
      </c>
      <c r="Q18">
        <v>1053009.6</v>
      </c>
      <c r="R18" t="str">
        <v>2428-27DIC5 VMT MS</v>
      </c>
      <c r="S18">
        <v>5.4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90</v>
      </c>
      <c r="AC18" t="str">
        <v>01/10/2026</v>
      </c>
      <c r="AD18" t="str">
        <v>08:36:09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08:37:11</v>
      </c>
      <c r="AL18" t="str">
        <v>08:37:11</v>
      </c>
      <c r="AM18" t="str">
        <v/>
      </c>
    </row>
    <row r="19">
      <c r="A19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/>
      </c>
      <c r="J19" t="str">
        <v>01/10/2026</v>
      </c>
      <c r="K19" t="str">
        <v>08:36:38</v>
      </c>
      <c r="L19">
        <v>-12.190838</v>
      </c>
      <c r="M19">
        <v>-76.93122</v>
      </c>
      <c r="N19">
        <f>HYPERLINK("https://www.google.com/maps/search/?api=1&amp;query=-12.190838,-76.93122","Avenida 27 de Diciembre, Villa María del Triunfo, Lima")</f>
      </c>
      <c r="O19" t="str">
        <v>Vehículo apagado</v>
      </c>
      <c r="P19" t="str">
        <v>Vehículo Apagado</v>
      </c>
      <c r="Q19">
        <v>1053009.9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90</v>
      </c>
      <c r="AC19" t="str">
        <v>01/10/2026</v>
      </c>
      <c r="AD19" t="str">
        <v>08:36:41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08:37:13</v>
      </c>
      <c r="AL19" t="str">
        <v>08:37:13</v>
      </c>
      <c r="AM19" t="str">
        <v/>
      </c>
    </row>
    <row r="20">
      <c r="A20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/>
      </c>
      <c r="J20" t="str">
        <v>01/10/2026</v>
      </c>
      <c r="K20" t="str">
        <v>09:01:36</v>
      </c>
      <c r="L20">
        <v>-12.190838</v>
      </c>
      <c r="M20">
        <v>-76.93122</v>
      </c>
      <c r="N20">
        <f>HYPERLINK("https://www.google.com/maps/search/?api=1&amp;query=-12.190838,-76.93122","Avenida 27 de Diciembre, Villa María del Triunfo, Lima")</f>
      </c>
      <c r="O20" t="str">
        <v>Vehículo encendido</v>
      </c>
      <c r="P20" t="str">
        <v/>
      </c>
      <c r="Q20">
        <v>1053009.9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90</v>
      </c>
      <c r="AC20" t="str">
        <v>01/10/2026</v>
      </c>
      <c r="AD20" t="str">
        <v>08:36:41</v>
      </c>
      <c r="AE20">
        <f>IF("NOGPS"="NOGPS","GPS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09:01:48</v>
      </c>
      <c r="AL20" t="str">
        <v>09:01:48</v>
      </c>
      <c r="AM20" t="str">
        <v/>
      </c>
    </row>
    <row r="21">
      <c r="A21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 xml:space="preserve"> </v>
      </c>
      <c r="J21" t="str">
        <v>01/10/2026</v>
      </c>
      <c r="K21" t="str">
        <v>09:07:00</v>
      </c>
      <c r="L21">
        <v>-12.189924</v>
      </c>
      <c r="M21">
        <v>-76.929344</v>
      </c>
      <c r="N21">
        <f>HYPERLINK("https://www.google.com/maps/search/?api=1&amp;query=-12.189924,-76.929344","Avenida 27 de Diciembre, Villa María del Triunfo, Lima")</f>
      </c>
      <c r="O21" t="str">
        <v>Salió de zona</v>
      </c>
      <c r="P21" t="str">
        <v/>
      </c>
      <c r="Q21">
        <v>1053010.2</v>
      </c>
      <c r="R21" t="str">
        <v>2428-27DIC5 VMT MS</v>
      </c>
      <c r="S21">
        <v>16.3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90</v>
      </c>
      <c r="AC21" t="str">
        <v>01/10/2026</v>
      </c>
      <c r="AD21" t="str">
        <v>09:06:37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09:07:17</v>
      </c>
      <c r="AL21" t="str">
        <v>09:07:17</v>
      </c>
      <c r="AM21" t="str">
        <v/>
      </c>
    </row>
    <row r="22">
      <c r="A22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 xml:space="preserve"> </v>
      </c>
      <c r="J22" t="str">
        <v>01/10/2026</v>
      </c>
      <c r="K22" t="str">
        <v>09:07:35</v>
      </c>
      <c r="L22">
        <v>-12.188719</v>
      </c>
      <c r="M22">
        <v>-76.92733</v>
      </c>
      <c r="N22">
        <f>HYPERLINK("https://www.google.com/maps/search/?api=1&amp;query=-12.188719,-76.92733","Avenida 27 de Diciembre, Villa María del Triunfo, Lima")</f>
      </c>
      <c r="O22" t="str">
        <v>Llegó a la zona</v>
      </c>
      <c r="P22" t="str">
        <v/>
      </c>
      <c r="Q22">
        <v>1053010.2</v>
      </c>
      <c r="R22" t="str">
        <v>2720-27DICI9 VMT MS</v>
      </c>
      <c r="S22">
        <v>7.6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90</v>
      </c>
      <c r="AC22" t="str">
        <v>01/10/2026</v>
      </c>
      <c r="AD22" t="str">
        <v>09:07:34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09:07:51</v>
      </c>
      <c r="AL22" t="str">
        <v>09:07:51</v>
      </c>
      <c r="AM22" t="str">
        <v/>
      </c>
    </row>
    <row r="23">
      <c r="A23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/>
      </c>
      <c r="J23" t="str">
        <v>01/10/2026</v>
      </c>
      <c r="K23" t="str">
        <v>09:10:20</v>
      </c>
      <c r="L23">
        <v>-12.188883</v>
      </c>
      <c r="M23">
        <v>-76.927666</v>
      </c>
      <c r="N23">
        <f>HYPERLINK("https://www.google.com/maps/search/?api=1&amp;query=-12.188883,-76.927666","Avenida 27 de Diciembre, Villa María del Triunfo, Lima")</f>
      </c>
      <c r="O23" t="str">
        <v>Vehículo apagado</v>
      </c>
      <c r="P23" t="str">
        <v>Vehículo Apagado</v>
      </c>
      <c r="Q23">
        <v>1053010.4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90</v>
      </c>
      <c r="AC23" t="str">
        <v>01/10/2026</v>
      </c>
      <c r="AD23" t="str">
        <v>09:10:24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09:10:54</v>
      </c>
      <c r="AL23" t="str">
        <v>09:10:54</v>
      </c>
      <c r="AM23" t="str">
        <v/>
      </c>
    </row>
    <row r="24">
      <c r="A24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/>
      </c>
      <c r="J24" t="str">
        <v>01/10/2026</v>
      </c>
      <c r="K24" t="str">
        <v>09:24:07</v>
      </c>
      <c r="L24">
        <v>-12.188883</v>
      </c>
      <c r="M24">
        <v>-76.927666</v>
      </c>
      <c r="N24">
        <f>HYPERLINK("https://www.google.com/maps/search/?api=1&amp;query=-12.188883,-76.927666","Avenida 27 de Diciembre, Villa María del Triunfo, Lima")</f>
      </c>
      <c r="O24" t="str">
        <v>Vehículo encendido</v>
      </c>
      <c r="P24" t="str">
        <v/>
      </c>
      <c r="Q24">
        <v>1053010.4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90</v>
      </c>
      <c r="AC24" t="str">
        <v>01/10/2026</v>
      </c>
      <c r="AD24" t="str">
        <v>09:10:24</v>
      </c>
      <c r="AE24">
        <f>IF("NOGPS"="NOGPS","GPS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09:24:20</v>
      </c>
      <c r="AL24" t="str">
        <v>09:24:20</v>
      </c>
      <c r="AM24" t="str">
        <v/>
      </c>
    </row>
    <row r="25">
      <c r="A25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 xml:space="preserve"> </v>
      </c>
      <c r="J25" t="str">
        <v>01/10/2026</v>
      </c>
      <c r="K25" t="str">
        <v>09:24:26</v>
      </c>
      <c r="L25">
        <v>-12.18925</v>
      </c>
      <c r="M25">
        <v>-76.92829</v>
      </c>
      <c r="N25">
        <f>HYPERLINK("https://www.google.com/maps/search/?api=1&amp;query=-12.18925,-76.92829","Avenida 27 de Diciembre, Villa María del Triunfo, Lima")</f>
      </c>
      <c r="O25" t="str">
        <v>Salió de zona</v>
      </c>
      <c r="P25" t="str">
        <v/>
      </c>
      <c r="Q25">
        <v>1053010.4</v>
      </c>
      <c r="R25" t="str">
        <v>2720-27DICI9 VMT MS</v>
      </c>
      <c r="S25">
        <v>29.5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90</v>
      </c>
      <c r="AC25" t="str">
        <v>01/10/2026</v>
      </c>
      <c r="AD25" t="str">
        <v>09:24:25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09:24:36</v>
      </c>
      <c r="AL25" t="str">
        <v>09:24:36</v>
      </c>
      <c r="AM25" t="str">
        <v/>
      </c>
    </row>
    <row r="26">
      <c r="A26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 xml:space="preserve"> </v>
      </c>
      <c r="J26" t="str">
        <v>01/10/2026</v>
      </c>
      <c r="K26" t="str">
        <v>09:25:22</v>
      </c>
      <c r="L26">
        <v>-12.190691</v>
      </c>
      <c r="M26">
        <v>-76.93094</v>
      </c>
      <c r="N26">
        <f>HYPERLINK("https://www.google.com/maps/search/?api=1&amp;query=-12.190691,-76.93094","Avenida 27 de Diciembre, Villa María del Triunfo, Lima")</f>
      </c>
      <c r="O26" t="str">
        <v>Llegó a la zona</v>
      </c>
      <c r="P26" t="str">
        <v/>
      </c>
      <c r="Q26">
        <v>1053010.4</v>
      </c>
      <c r="R26" t="str">
        <v>2428-27DIC5 VMT MS</v>
      </c>
      <c r="S26">
        <v>37.1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90</v>
      </c>
      <c r="AC26" t="str">
        <v>01/10/2026</v>
      </c>
      <c r="AD26" t="str">
        <v>09:25:04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09:25:36</v>
      </c>
      <c r="AL26" t="str">
        <v>09:25:36</v>
      </c>
      <c r="AM26" t="str">
        <v/>
      </c>
    </row>
    <row r="27">
      <c r="A27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 xml:space="preserve"> </v>
      </c>
      <c r="J27" t="str">
        <v>01/10/2026</v>
      </c>
      <c r="K27" t="str">
        <v>09:25:50</v>
      </c>
      <c r="L27">
        <v>-12.191986</v>
      </c>
      <c r="M27">
        <v>-76.93392</v>
      </c>
      <c r="N27">
        <f>HYPERLINK("https://www.google.com/maps/search/?api=1&amp;query=-12.191986,-76.93392","Avenida 27 de Diciembre, Villa María del Triunfo, Lima")</f>
      </c>
      <c r="O27" t="str">
        <v>Salió de zona</v>
      </c>
      <c r="P27" t="str">
        <v/>
      </c>
      <c r="Q27">
        <v>1053010.4</v>
      </c>
      <c r="R27" t="str">
        <v>2428-27DIC5 VMT MS</v>
      </c>
      <c r="S27">
        <v>30.1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90</v>
      </c>
      <c r="AC27" t="str">
        <v>01/10/2026</v>
      </c>
      <c r="AD27" t="str">
        <v>09:25:49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09:26:02</v>
      </c>
      <c r="AL27" t="str">
        <v>09:26:02</v>
      </c>
      <c r="AM27" t="str">
        <v/>
      </c>
    </row>
    <row r="28">
      <c r="A28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 xml:space="preserve"> </v>
      </c>
      <c r="J28" t="str">
        <v>01/10/2026</v>
      </c>
      <c r="K28" t="str">
        <v>10:05:20</v>
      </c>
      <c r="L28">
        <v>-12.317485</v>
      </c>
      <c r="M28">
        <v>-76.829544</v>
      </c>
      <c r="N28">
        <f>HYPERLINK("https://www.google.com/maps/search/?api=1&amp;query=-12.317485,-76.829544","Punta Hermosa, Lima")</f>
      </c>
      <c r="O28" t="str">
        <v>Llegó a la zona</v>
      </c>
      <c r="P28" t="str">
        <v/>
      </c>
      <c r="Q28">
        <v>1053039.8</v>
      </c>
      <c r="R28" t="str">
        <v>MASS BSF 1</v>
      </c>
      <c r="S28">
        <v>10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90</v>
      </c>
      <c r="AC28" t="str">
        <v>01/10/2026</v>
      </c>
      <c r="AD28" t="str">
        <v>10:05:19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10:05:33</v>
      </c>
      <c r="AL28" t="str">
        <v>10:05:33</v>
      </c>
      <c r="AM28" t="str">
        <v/>
      </c>
    </row>
    <row r="29">
      <c r="A29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/>
      </c>
      <c r="J29" t="str">
        <v>01/10/2026</v>
      </c>
      <c r="K29" t="str">
        <v>10:09:23</v>
      </c>
      <c r="L29">
        <v>-12.317518</v>
      </c>
      <c r="M29">
        <v>-76.82448</v>
      </c>
      <c r="N29">
        <f>HYPERLINK("https://www.google.com/maps/search/?api=1&amp;query=-12.317518,-76.82448","Punta Hermosa, Lima")</f>
      </c>
      <c r="O29" t="str">
        <v>Vehículo apagado</v>
      </c>
      <c r="P29" t="str">
        <v>Vehículo Apagado</v>
      </c>
      <c r="Q29">
        <v>1053040.6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90</v>
      </c>
      <c r="AC29" t="str">
        <v>01/10/2026</v>
      </c>
      <c r="AD29" t="str">
        <v>10:09:27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10:10:00</v>
      </c>
      <c r="AL29" t="str">
        <v>10:10:00</v>
      </c>
      <c r="AM29" t="str">
        <v/>
      </c>
    </row>
    <row r="30">
      <c r="A30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/>
      </c>
      <c r="J30" t="str">
        <v>01/10/2026</v>
      </c>
      <c r="K30" t="str">
        <v>10:16:03</v>
      </c>
      <c r="L30">
        <v>-12.317518</v>
      </c>
      <c r="M30">
        <v>-76.82448</v>
      </c>
      <c r="N30">
        <f>HYPERLINK("https://www.google.com/maps/search/?api=1&amp;query=-12.317518,-76.82448","Punta Hermosa, Lima")</f>
      </c>
      <c r="O30" t="str">
        <v>Vehículo encendido</v>
      </c>
      <c r="P30" t="str">
        <v/>
      </c>
      <c r="Q30">
        <v>1053040.6</v>
      </c>
      <c r="R30" t="str">
        <v/>
      </c>
      <c r="S30">
        <v>0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90</v>
      </c>
      <c r="AC30" t="str">
        <v>01/10/2026</v>
      </c>
      <c r="AD30" t="str">
        <v>10:09:27</v>
      </c>
      <c r="AE30">
        <f>IF("NOGPS"="NOGPS","GPS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10:16:21</v>
      </c>
      <c r="AL30" t="str">
        <v>10:16:21</v>
      </c>
      <c r="AM30" t="str">
        <v/>
      </c>
    </row>
    <row r="31">
      <c r="A31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/>
      </c>
      <c r="J31" t="str">
        <v>01/10/2026</v>
      </c>
      <c r="K31" t="str">
        <v>10:20:59</v>
      </c>
      <c r="L31">
        <v>-12.317682</v>
      </c>
      <c r="M31">
        <v>-76.82436</v>
      </c>
      <c r="N31">
        <f>HYPERLINK("https://www.google.com/maps/search/?api=1&amp;query=-12.317682,-76.82436","Punta Hermosa, Lima")</f>
      </c>
      <c r="O31" t="str">
        <v>Vehículo apagado</v>
      </c>
      <c r="P31" t="str">
        <v>Vehículo Apagado</v>
      </c>
      <c r="Q31">
        <v>1053040.6</v>
      </c>
      <c r="R31" t="str">
        <v/>
      </c>
      <c r="S31">
        <v>0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90</v>
      </c>
      <c r="AC31" t="str">
        <v>01/10/2026</v>
      </c>
      <c r="AD31" t="str">
        <v>10:21:01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10:21:18</v>
      </c>
      <c r="AL31" t="str">
        <v>10:21:18</v>
      </c>
      <c r="AM31" t="str">
        <v/>
      </c>
    </row>
    <row r="32">
      <c r="A32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/>
      </c>
      <c r="J32" t="str">
        <v>01/10/2026</v>
      </c>
      <c r="K32" t="str">
        <v>11:22:34</v>
      </c>
      <c r="L32">
        <v>-12.317682</v>
      </c>
      <c r="M32">
        <v>-76.82436</v>
      </c>
      <c r="N32">
        <f>HYPERLINK("https://www.google.com/maps/search/?api=1&amp;query=-12.317682,-76.82436","Punta Hermosa, Lima")</f>
      </c>
      <c r="O32" t="str">
        <v>Vehículo encendido</v>
      </c>
      <c r="P32" t="str">
        <v/>
      </c>
      <c r="Q32">
        <v>1053040.6</v>
      </c>
      <c r="R32" t="str">
        <v/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90</v>
      </c>
      <c r="AC32" t="str">
        <v>01/10/2026</v>
      </c>
      <c r="AD32" t="str">
        <v>11:18:47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11:23:05</v>
      </c>
      <c r="AL32" t="str">
        <v>11:23:05</v>
      </c>
      <c r="AM32" t="str">
        <v/>
      </c>
    </row>
    <row r="33">
      <c r="A33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 xml:space="preserve"> </v>
      </c>
      <c r="J33" t="str">
        <v>01/10/2026</v>
      </c>
      <c r="K33" t="str">
        <v>11:36:51</v>
      </c>
      <c r="L33">
        <v>-12.317486</v>
      </c>
      <c r="M33">
        <v>-76.83001</v>
      </c>
      <c r="N33">
        <f>HYPERLINK("https://www.google.com/maps/search/?api=1&amp;query=-12.317486,-76.83001","Punta Hermosa, Lima")</f>
      </c>
      <c r="O33" t="str">
        <v>Salió de zona</v>
      </c>
      <c r="P33" t="str">
        <v/>
      </c>
      <c r="Q33">
        <v>1053041.5</v>
      </c>
      <c r="R33" t="str">
        <v>MASS BSF 1</v>
      </c>
      <c r="S33">
        <v>15.5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90</v>
      </c>
      <c r="AC33" t="str">
        <v>01/10/2026</v>
      </c>
      <c r="AD33" t="str">
        <v>11:36:50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11:37:12</v>
      </c>
      <c r="AL33" t="str">
        <v>11:37:12</v>
      </c>
      <c r="AM33" t="str">
        <v/>
      </c>
    </row>
    <row r="34">
      <c r="A34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 xml:space="preserve"> </v>
      </c>
      <c r="J34" t="str">
        <v>01/10/2026</v>
      </c>
      <c r="K34" t="str">
        <v>12:02:09</v>
      </c>
      <c r="L34">
        <v>-12.248706</v>
      </c>
      <c r="M34">
        <v>-76.89765</v>
      </c>
      <c r="N34">
        <f>HYPERLINK("https://www.google.com/maps/search/?api=1&amp;query=-12.248706,-76.89765","Jirón Los Sauces, Lurín, Lima")</f>
      </c>
      <c r="O34" t="str">
        <v>Llegó a la zona</v>
      </c>
      <c r="P34" t="str">
        <v/>
      </c>
      <c r="Q34">
        <v>1053053.8</v>
      </c>
      <c r="R34" t="str">
        <v>405-TIPAC 1</v>
      </c>
      <c r="S34">
        <v>8.5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90</v>
      </c>
      <c r="AC34" t="str">
        <v>01/10/2026</v>
      </c>
      <c r="AD34" t="str">
        <v>12:02:08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12:02:19</v>
      </c>
      <c r="AL34" t="str">
        <v>12:02:19</v>
      </c>
      <c r="AM34" t="str">
        <v/>
      </c>
    </row>
    <row r="35">
      <c r="A35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/>
      </c>
      <c r="J35" t="str">
        <v>01/10/2026</v>
      </c>
      <c r="K35" t="str">
        <v>12:07:04</v>
      </c>
      <c r="L35">
        <v>-12.248948</v>
      </c>
      <c r="M35">
        <v>-76.897484</v>
      </c>
      <c r="N35">
        <f>HYPERLINK("https://www.google.com/maps/search/?api=1&amp;query=-12.248948,-76.897484","Jirón Los Sauces, Lurín, Lima")</f>
      </c>
      <c r="O35" t="str">
        <v>Vehículo apagado</v>
      </c>
      <c r="P35" t="str">
        <v>Vehículo Apagado</v>
      </c>
      <c r="Q35">
        <v>1053054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90</v>
      </c>
      <c r="AC35" t="str">
        <v>01/10/2026</v>
      </c>
      <c r="AD35" t="str">
        <v>12:07:07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12:07:17</v>
      </c>
      <c r="AL35" t="str">
        <v>12:07:17</v>
      </c>
      <c r="AM35" t="str">
        <v/>
      </c>
    </row>
    <row r="36">
      <c r="A36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/>
      </c>
      <c r="J36" t="str">
        <v>01/10/2026</v>
      </c>
      <c r="K36" t="str">
        <v>12:12:08</v>
      </c>
      <c r="L36">
        <v>-12.248948</v>
      </c>
      <c r="M36">
        <v>-76.897484</v>
      </c>
      <c r="N36">
        <f>HYPERLINK("https://www.google.com/maps/search/?api=1&amp;query=-12.248948,-76.897484","Jirón Los Sauces, Lurín, Lima")</f>
      </c>
      <c r="O36" t="str">
        <v>Vehículo encendido</v>
      </c>
      <c r="P36" t="str">
        <v/>
      </c>
      <c r="Q36">
        <v>1053054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90</v>
      </c>
      <c r="AC36" t="str">
        <v>01/10/2026</v>
      </c>
      <c r="AD36" t="str">
        <v>12:07:07</v>
      </c>
      <c r="AE36">
        <f>IF("NOGPS"="NOGPS","GPS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12:12:13</v>
      </c>
      <c r="AL36" t="str">
        <v>12:12:13</v>
      </c>
      <c r="AM36" t="str">
        <v/>
      </c>
    </row>
    <row r="37">
      <c r="A37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/>
      </c>
      <c r="J37" t="str">
        <v>01/10/2026</v>
      </c>
      <c r="K37" t="str">
        <v>12:12:29</v>
      </c>
      <c r="L37">
        <v>-12.248908</v>
      </c>
      <c r="M37">
        <v>-76.89757</v>
      </c>
      <c r="N37">
        <f>HYPERLINK("https://www.google.com/maps/search/?api=1&amp;query=-12.248908,-76.89757","Jirón Los Sauces, Lurín, Lima")</f>
      </c>
      <c r="O37" t="str">
        <v>Vehículo apagado</v>
      </c>
      <c r="P37" t="str">
        <v>Vehículo Apagado</v>
      </c>
      <c r="Q37">
        <v>1053054</v>
      </c>
      <c r="R37" t="str">
        <v/>
      </c>
      <c r="S37">
        <v>0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90</v>
      </c>
      <c r="AC37" t="str">
        <v>01/10/2026</v>
      </c>
      <c r="AD37" t="str">
        <v>12:12:33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12:13:03</v>
      </c>
      <c r="AL37" t="str">
        <v>12:13:03</v>
      </c>
      <c r="AM37" t="str">
        <v/>
      </c>
    </row>
    <row r="38">
      <c r="A38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 xml:space="preserve"> </v>
      </c>
      <c r="J38" t="str">
        <v>01/10/2026</v>
      </c>
      <c r="K38" t="str">
        <v>12:12:34</v>
      </c>
      <c r="L38">
        <v>-12.248908</v>
      </c>
      <c r="M38">
        <v>-76.89757</v>
      </c>
      <c r="N38">
        <f>HYPERLINK("https://www.google.com/maps/search/?api=1&amp;query=-12.248908,-76.89757","Jirón Los Sauces, Lurín, Lima")</f>
      </c>
      <c r="O38" t="str">
        <v>Salió de zona</v>
      </c>
      <c r="P38" t="str">
        <v/>
      </c>
      <c r="Q38">
        <v>1053054</v>
      </c>
      <c r="R38" t="str">
        <v>405-TIPAC 1</v>
      </c>
      <c r="S38">
        <v>0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90</v>
      </c>
      <c r="AC38" t="str">
        <v>01/10/2026</v>
      </c>
      <c r="AD38" t="str">
        <v>12:12:33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12:12:42</v>
      </c>
      <c r="AL38" t="str">
        <v>12:12:42</v>
      </c>
      <c r="AM38" t="str">
        <v/>
      </c>
    </row>
    <row r="39">
      <c r="A39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/>
      </c>
      <c r="J39" t="str">
        <v>01/10/2026</v>
      </c>
      <c r="K39" t="str">
        <v>13:12:14</v>
      </c>
      <c r="L39">
        <v>-12.248908</v>
      </c>
      <c r="M39">
        <v>-76.89757</v>
      </c>
      <c r="N39">
        <f>HYPERLINK("https://www.google.com/maps/search/?api=1&amp;query=-12.248908,-76.89757","Jirón Los Sauces, Lurín, Lima")</f>
      </c>
      <c r="O39" t="str">
        <v>Vehículo encendido</v>
      </c>
      <c r="P39" t="str">
        <v/>
      </c>
      <c r="Q39">
        <v>1053054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90</v>
      </c>
      <c r="AC39" t="str">
        <v>01/10/2026</v>
      </c>
      <c r="AD39" t="str">
        <v>13:10:15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13:12:33</v>
      </c>
      <c r="AL39" t="str">
        <v>13:12:33</v>
      </c>
      <c r="AM39" t="str">
        <v/>
      </c>
    </row>
    <row r="40">
      <c r="A40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 xml:space="preserve"> </v>
      </c>
      <c r="J40" t="str">
        <v>01/10/2026</v>
      </c>
      <c r="K40" t="str">
        <v>13:12:28</v>
      </c>
      <c r="L40">
        <v>-12.248874</v>
      </c>
      <c r="M40">
        <v>-76.89756</v>
      </c>
      <c r="N40">
        <f>HYPERLINK("https://www.google.com/maps/search/?api=1&amp;query=-12.248874,-76.89756","Jirón Los Sauces, Lurín, Lima")</f>
      </c>
      <c r="O40" t="str">
        <v>Llegó a la zona</v>
      </c>
      <c r="P40" t="str">
        <v/>
      </c>
      <c r="Q40">
        <v>1053054</v>
      </c>
      <c r="R40" t="str">
        <v>405-TIPAC 1</v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90</v>
      </c>
      <c r="AC40" t="str">
        <v>01/10/2026</v>
      </c>
      <c r="AD40" t="str">
        <v>13:12:27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13:12:34</v>
      </c>
      <c r="AL40" t="str">
        <v>13:12:34</v>
      </c>
      <c r="AM40" t="str">
        <v/>
      </c>
    </row>
    <row r="41">
      <c r="A41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 xml:space="preserve"> </v>
      </c>
      <c r="J41" t="str">
        <v>01/10/2026</v>
      </c>
      <c r="K41" t="str">
        <v>13:12:55</v>
      </c>
      <c r="L41">
        <v>-12.248728</v>
      </c>
      <c r="M41">
        <v>-76.897804</v>
      </c>
      <c r="N41">
        <f>HYPERLINK("https://www.google.com/maps/search/?api=1&amp;query=-12.248728,-76.897804","Avenida Los Cedros, Lurín, Lima")</f>
      </c>
      <c r="O41" t="str">
        <v>Salió de zona</v>
      </c>
      <c r="P41" t="str">
        <v/>
      </c>
      <c r="Q41">
        <v>1053054</v>
      </c>
      <c r="R41" t="str">
        <v>405-TIPAC 1</v>
      </c>
      <c r="S41">
        <v>8.4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90</v>
      </c>
      <c r="AC41" t="str">
        <v>01/10/2026</v>
      </c>
      <c r="AD41" t="str">
        <v>13:12:54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13:13:06</v>
      </c>
      <c r="AL41" t="str">
        <v>13:13:06</v>
      </c>
      <c r="AM41" t="str">
        <v/>
      </c>
    </row>
    <row r="42">
      <c r="A42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/>
      </c>
      <c r="J42" t="str">
        <v>01/10/2026</v>
      </c>
      <c r="K42" t="str">
        <v>13:41:13</v>
      </c>
      <c r="L42">
        <v>-12.332656</v>
      </c>
      <c r="M42">
        <v>-76.82305</v>
      </c>
      <c r="N42">
        <f>HYPERLINK("https://www.google.com/maps/search/?api=1&amp;query=-12.332656,-76.82305","Avenida Colonel Juan Valer Sandoval, Punta Hermosa, Lima")</f>
      </c>
      <c r="O42" t="str">
        <v>Vehículo apagado</v>
      </c>
      <c r="P42" t="str">
        <v>Vehículo Apagado</v>
      </c>
      <c r="Q42">
        <v>1053074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90</v>
      </c>
      <c r="AC42" t="str">
        <v>01/10/2026</v>
      </c>
      <c r="AD42" t="str">
        <v>13:41:17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13:41:29</v>
      </c>
      <c r="AL42" t="str">
        <v>13:41:29</v>
      </c>
      <c r="AM42" t="str">
        <v/>
      </c>
    </row>
    <row r="43">
      <c r="A43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/>
      </c>
      <c r="J43" t="str">
        <v>01/10/2026</v>
      </c>
      <c r="K43" t="str">
        <v>14:11:36</v>
      </c>
      <c r="L43">
        <v>-12.332656</v>
      </c>
      <c r="M43">
        <v>-76.82305</v>
      </c>
      <c r="N43">
        <f>HYPERLINK("https://www.google.com/maps/search/?api=1&amp;query=-12.332656,-76.82305","Avenida Colonel Juan Valer Sandoval, Punta Hermosa, Lima")</f>
      </c>
      <c r="O43" t="str">
        <v>Vehículo encendido</v>
      </c>
      <c r="P43" t="str">
        <v/>
      </c>
      <c r="Q43">
        <v>1053074</v>
      </c>
      <c r="R43" t="str">
        <v/>
      </c>
      <c r="S43">
        <v>0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90</v>
      </c>
      <c r="AC43" t="str">
        <v>01/10/2026</v>
      </c>
      <c r="AD43" t="str">
        <v>14:09:02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14:11:43</v>
      </c>
      <c r="AL43" t="str">
        <v>14:11:43</v>
      </c>
      <c r="AM43" t="str">
        <v/>
      </c>
    </row>
    <row r="44">
      <c r="A44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/>
      </c>
      <c r="J44" t="str">
        <v>01/10/2026</v>
      </c>
      <c r="K44" t="str">
        <v>14:15:32</v>
      </c>
      <c r="L44">
        <v>-12.333254</v>
      </c>
      <c r="M44">
        <v>-76.824936</v>
      </c>
      <c r="N44">
        <f>HYPERLINK("https://www.google.com/maps/search/?api=1&amp;query=-12.333254,-76.824936","Avenida Gaston Garcia Rada, Punta Hermosa, Lima")</f>
      </c>
      <c r="O44" t="str">
        <v>Vehículo apagado</v>
      </c>
      <c r="P44" t="str">
        <v>Vehículo Apagado</v>
      </c>
      <c r="Q44">
        <v>1053074.2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90</v>
      </c>
      <c r="AC44" t="str">
        <v>01/10/2026</v>
      </c>
      <c r="AD44" t="str">
        <v>14:15:34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14:15:54</v>
      </c>
      <c r="AL44" t="str">
        <v>14:15:54</v>
      </c>
      <c r="AM44" t="str">
        <v/>
      </c>
    </row>
    <row r="45">
      <c r="A45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/>
      </c>
      <c r="J45" t="str">
        <v>01/10/2026</v>
      </c>
      <c r="K45" t="str">
        <v>14:57:17</v>
      </c>
      <c r="L45">
        <v>-12.333254</v>
      </c>
      <c r="M45">
        <v>-76.824936</v>
      </c>
      <c r="N45">
        <f>HYPERLINK("https://www.google.com/maps/search/?api=1&amp;query=-12.333254,-76.824936","Avenida Gaston Garcia Rada, Punta Hermosa, Lima")</f>
      </c>
      <c r="O45" t="str">
        <v>Vehículo encendido</v>
      </c>
      <c r="P45" t="str">
        <v/>
      </c>
      <c r="Q45">
        <v>1053074.2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90</v>
      </c>
      <c r="AC45" t="str">
        <v>01/10/2026</v>
      </c>
      <c r="AD45" t="str">
        <v>14:43:19</v>
      </c>
      <c r="AE45">
        <f>IF("NOGPS"="NOGPS","GPS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14:57:38</v>
      </c>
      <c r="AL45" t="str">
        <v>14:57:38</v>
      </c>
      <c r="AM45" t="str">
        <v/>
      </c>
    </row>
    <row r="46">
      <c r="A46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 xml:space="preserve"> </v>
      </c>
      <c r="J46" t="str">
        <v>01/10/2026</v>
      </c>
      <c r="K46" t="str">
        <v>15:32:36</v>
      </c>
      <c r="L46">
        <v>-12.21308</v>
      </c>
      <c r="M46">
        <v>-76.95969</v>
      </c>
      <c r="N46">
        <f>HYPERLINK("https://www.google.com/maps/search/?api=1&amp;query=-12.21308,-76.95969","Avenida Villa del Mar, Villa El Salvador, Lima")</f>
      </c>
      <c r="O46" t="str">
        <v>Llegó a la zona</v>
      </c>
      <c r="P46" t="str">
        <v/>
      </c>
      <c r="Q46">
        <v>1053098.8</v>
      </c>
      <c r="R46" t="str">
        <v>BASE-OSLOGISTICS</v>
      </c>
      <c r="S46">
        <v>13.1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90</v>
      </c>
      <c r="AC46" t="str">
        <v>01/10/2026</v>
      </c>
      <c r="AD46" t="str">
        <v>15:32:35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15:32:56</v>
      </c>
      <c r="AL46" t="str">
        <v>15:32:56</v>
      </c>
      <c r="AM46" t="str">
        <v/>
      </c>
    </row>
    <row r="47">
      <c r="A47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/>
      </c>
      <c r="J47" t="str">
        <v>01/10/2026</v>
      </c>
      <c r="K47" t="str">
        <v>15:35:41</v>
      </c>
      <c r="L47">
        <v>-12.212851</v>
      </c>
      <c r="M47">
        <v>-76.95906</v>
      </c>
      <c r="N47">
        <f>HYPERLINK("https://www.google.com/maps/search/?api=1&amp;query=-12.212851,-76.95906","Avenida Villa del Mar, Villa El Salvador, Lima")</f>
      </c>
      <c r="O47" t="str">
        <v>Vehículo apagado</v>
      </c>
      <c r="P47" t="str">
        <v>Vehículo Apagado</v>
      </c>
      <c r="Q47">
        <v>1053099</v>
      </c>
      <c r="R47" t="str">
        <v/>
      </c>
      <c r="S47">
        <v>0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90</v>
      </c>
      <c r="AC47" t="str">
        <v>01/10/2026</v>
      </c>
      <c r="AD47" t="str">
        <v>15:35:43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15:35:59</v>
      </c>
      <c r="AL47" t="str">
        <v>15:35:59</v>
      </c>
      <c r="AM47" t="str">
        <v/>
      </c>
    </row>
    <row r="48">
      <c r="A48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/>
      </c>
      <c r="J48" t="str">
        <v>01/10/2026</v>
      </c>
      <c r="K48" t="str">
        <v>15:43:00</v>
      </c>
      <c r="L48">
        <v>-12.212851</v>
      </c>
      <c r="M48">
        <v>-76.95906</v>
      </c>
      <c r="N48">
        <f>HYPERLINK("https://www.google.com/maps/search/?api=1&amp;query=-12.212851,-76.95906","Avenida Villa del Mar, Villa El Salvador, Lima")</f>
      </c>
      <c r="O48" t="str">
        <v>Vehículo encendido</v>
      </c>
      <c r="P48" t="str">
        <v/>
      </c>
      <c r="Q48">
        <v>1053099</v>
      </c>
      <c r="R48" t="str">
        <v/>
      </c>
      <c r="S48">
        <v>0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90</v>
      </c>
      <c r="AC48" t="str">
        <v>01/10/2026</v>
      </c>
      <c r="AD48" t="str">
        <v>15:35:43</v>
      </c>
      <c r="AE48">
        <f>IF("NOGPS"="NOGPS","GPS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15:43:08</v>
      </c>
      <c r="AL48" t="str">
        <v>15:43:08</v>
      </c>
      <c r="AM48" t="str">
        <v/>
      </c>
    </row>
    <row r="49">
      <c r="A49">
        <v>48</v>
      </c>
      <c r="B49" t="str">
        <v>MASS BSF</v>
      </c>
      <c r="C49" t="str">
        <v>B1Y-801</v>
      </c>
      <c r="D49" t="str">
        <v>B1Y-801</v>
      </c>
      <c r="E49" t="str">
        <v/>
      </c>
      <c r="F49" t="str">
        <v>867162025907676</v>
      </c>
      <c r="G49" t="str">
        <v>Bus pequeño</v>
      </c>
      <c r="H49" t="str">
        <v/>
      </c>
      <c r="I49" t="str">
        <v/>
      </c>
      <c r="J49" t="str">
        <v>01/10/2026</v>
      </c>
      <c r="K49" t="str">
        <v>15:44:24</v>
      </c>
      <c r="L49">
        <v>-12.212902</v>
      </c>
      <c r="M49">
        <v>-76.95893</v>
      </c>
      <c r="N49">
        <f>HYPERLINK("https://www.google.com/maps/search/?api=1&amp;query=-12.212902,-76.95893","Avenida Villa del Mar, Villa El Salvador, Lima")</f>
      </c>
      <c r="O49" t="str">
        <v>Vehículo apagado</v>
      </c>
      <c r="P49" t="str">
        <v>Vehículo Apagado</v>
      </c>
      <c r="Q49">
        <v>1053099.1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90</v>
      </c>
      <c r="AC49" t="str">
        <v>01/10/2026</v>
      </c>
      <c r="AD49" t="str">
        <v>15:44:27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15:44:43</v>
      </c>
      <c r="AL49" t="str">
        <v>15:44:43</v>
      </c>
      <c r="AM49" t="str">
        <v/>
      </c>
    </row>
  </sheetData>
  <ignoredErrors>
    <ignoredError numberStoredAsText="1" sqref="A1:AM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