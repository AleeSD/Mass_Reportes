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/>
      </c>
      <c r="J2" t="str">
        <v>01/10/2026</v>
      </c>
      <c r="K2" t="str">
        <v>05:58:22</v>
      </c>
      <c r="L2">
        <v>-12.212882</v>
      </c>
      <c r="M2">
        <v>-76.958916</v>
      </c>
      <c r="N2">
        <f>HYPERLINK("https://www.google.com/maps/search/?api=1&amp;query=-12.212882,-76.958916","Avenida Villa del Mar, Villa El Salvador, Lima")</f>
      </c>
      <c r="O2" t="str">
        <v>Vehículo encendido</v>
      </c>
      <c r="P2" t="str">
        <v/>
      </c>
      <c r="Q2">
        <v>562344.3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96</v>
      </c>
      <c r="AC2" t="str">
        <v>01/10/2026</v>
      </c>
      <c r="AD2" t="str">
        <v>05:29:44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05:58:51</v>
      </c>
      <c r="AL2" t="str">
        <v>05:58:51</v>
      </c>
      <c r="AM2" t="str">
        <v/>
      </c>
    </row>
    <row r="3">
      <c r="A3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/>
      </c>
      <c r="J3" t="str">
        <v>01/10/2026</v>
      </c>
      <c r="K3" t="str">
        <v>05:58:38</v>
      </c>
      <c r="L3">
        <v>-12.212814</v>
      </c>
      <c r="M3">
        <v>-76.95886</v>
      </c>
      <c r="N3">
        <f>HYPERLINK("https://www.google.com/maps/search/?api=1&amp;query=-12.212814,-76.95886","Avenida Villa del Mar, Villa El Salvador, Lima")</f>
      </c>
      <c r="O3" t="str">
        <v>Vehículo apagado</v>
      </c>
      <c r="P3" t="str">
        <v>Vehículo Apagado</v>
      </c>
      <c r="Q3">
        <v>562344.3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96</v>
      </c>
      <c r="AC3" t="str">
        <v>01/10/2026</v>
      </c>
      <c r="AD3" t="str">
        <v>05:58:41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05:59:14</v>
      </c>
      <c r="AL3" t="str">
        <v>05:59:14</v>
      </c>
      <c r="AM3" t="str">
        <v/>
      </c>
    </row>
    <row r="4">
      <c r="A4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/>
      </c>
      <c r="J4" t="str">
        <v>01/10/2026</v>
      </c>
      <c r="K4" t="str">
        <v>06:05:53</v>
      </c>
      <c r="L4">
        <v>-12.212814</v>
      </c>
      <c r="M4">
        <v>-76.95886</v>
      </c>
      <c r="N4">
        <f>HYPERLINK("https://www.google.com/maps/search/?api=1&amp;query=-12.212814,-76.95886","Avenida Villa del Mar, Villa El Salvador, Lima")</f>
      </c>
      <c r="O4" t="str">
        <v>Vehículo encendido</v>
      </c>
      <c r="P4" t="str">
        <v/>
      </c>
      <c r="Q4">
        <v>562344.3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96</v>
      </c>
      <c r="AC4" t="str">
        <v>01/10/2026</v>
      </c>
      <c r="AD4" t="str">
        <v>05:58:41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06:06:10</v>
      </c>
      <c r="AL4" t="str">
        <v>06:06:10</v>
      </c>
      <c r="AM4" t="str">
        <v/>
      </c>
    </row>
    <row r="5">
      <c r="A5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/>
      </c>
      <c r="J5" t="str">
        <v>01/10/2026</v>
      </c>
      <c r="K5" t="str">
        <v>06:13:52</v>
      </c>
      <c r="L5">
        <v>-12.212973</v>
      </c>
      <c r="M5">
        <v>-76.95907</v>
      </c>
      <c r="N5">
        <f>HYPERLINK("https://www.google.com/maps/search/?api=1&amp;query=-12.212973,-76.95907","Avenida Villa del Mar, Villa El Salvador, Lima")</f>
      </c>
      <c r="O5" t="str">
        <v>Inicio de ralentí</v>
      </c>
      <c r="P5" t="str">
        <v>Vehículo Detenido</v>
      </c>
      <c r="Q5">
        <v>562344.3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96</v>
      </c>
      <c r="AC5" t="str">
        <v>01/10/2026</v>
      </c>
      <c r="AD5" t="str">
        <v>06:13:51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06:14:10</v>
      </c>
      <c r="AL5" t="str">
        <v>06:14:10</v>
      </c>
      <c r="AM5" t="str">
        <v/>
      </c>
    </row>
    <row r="6">
      <c r="A6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/>
      </c>
      <c r="J6" t="str">
        <v>01/10/2026</v>
      </c>
      <c r="K6" t="str">
        <v>06:15:59</v>
      </c>
      <c r="L6">
        <v>-12.212973</v>
      </c>
      <c r="M6">
        <v>-76.95907</v>
      </c>
      <c r="N6">
        <f>HYPERLINK("https://www.google.com/maps/search/?api=1&amp;query=-12.212973,-76.95907","Avenida Villa del Mar, Villa El Salvador, Lima")</f>
      </c>
      <c r="O6" t="str">
        <v>Vehículo apagado</v>
      </c>
      <c r="P6" t="str">
        <v>Vehículo Apagado</v>
      </c>
      <c r="Q6">
        <v>562344.3</v>
      </c>
      <c r="R6" t="str">
        <v/>
      </c>
      <c r="S6">
        <v>0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96</v>
      </c>
      <c r="AC6" t="str">
        <v>01/10/2026</v>
      </c>
      <c r="AD6" t="str">
        <v>06:15:51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06:16:11</v>
      </c>
      <c r="AL6" t="str">
        <v>06:16:11</v>
      </c>
      <c r="AM6" t="str">
        <v/>
      </c>
    </row>
    <row r="7">
      <c r="A7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/>
      </c>
      <c r="J7" t="str">
        <v>01/10/2026</v>
      </c>
      <c r="K7" t="str">
        <v>06:16:59</v>
      </c>
      <c r="L7">
        <v>-12.212973</v>
      </c>
      <c r="M7">
        <v>-76.95907</v>
      </c>
      <c r="N7">
        <f>HYPERLINK("https://www.google.com/maps/search/?api=1&amp;query=-12.212973,-76.95907","Avenida Villa del Mar, Villa El Salvador, Lima")</f>
      </c>
      <c r="O7" t="str">
        <v>Fin de ralentí</v>
      </c>
      <c r="P7" t="str">
        <v/>
      </c>
      <c r="Q7">
        <v>562344.3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95</v>
      </c>
      <c r="AC7" t="str">
        <v>01/10/2026</v>
      </c>
      <c r="AD7" t="str">
        <v>06:16:02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06:17:14</v>
      </c>
      <c r="AL7" t="str">
        <v>06:17:14</v>
      </c>
      <c r="AM7" t="str">
        <v/>
      </c>
    </row>
    <row r="8">
      <c r="A8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/>
      </c>
      <c r="J8" t="str">
        <v>01/10/2026</v>
      </c>
      <c r="K8" t="str">
        <v>06:25:01</v>
      </c>
      <c r="L8">
        <v>-12.212973</v>
      </c>
      <c r="M8">
        <v>-76.95907</v>
      </c>
      <c r="N8">
        <f>HYPERLINK("https://www.google.com/maps/search/?api=1&amp;query=-12.212973,-76.95907","Avenida Villa del Mar, Villa El Salvador, Lima")</f>
      </c>
      <c r="O8" t="str">
        <v>Vehículo encendido</v>
      </c>
      <c r="P8" t="str">
        <v/>
      </c>
      <c r="Q8">
        <v>562344.3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95</v>
      </c>
      <c r="AC8" t="str">
        <v>01/10/2026</v>
      </c>
      <c r="AD8" t="str">
        <v>06:16:02</v>
      </c>
      <c r="AE8">
        <f>IF("NOGPS"="NOGPS","GPS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06:25:13</v>
      </c>
      <c r="AL8" t="str">
        <v>06:25:13</v>
      </c>
      <c r="AM8" t="str">
        <v/>
      </c>
    </row>
    <row r="9">
      <c r="A9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 xml:space="preserve"> </v>
      </c>
      <c r="J9" t="str">
        <v>01/10/2026</v>
      </c>
      <c r="K9" t="str">
        <v>06:27:07</v>
      </c>
      <c r="L9">
        <v>-12.21336</v>
      </c>
      <c r="M9">
        <v>-76.960106</v>
      </c>
      <c r="N9">
        <f>HYPERLINK("https://www.google.com/maps/search/?api=1&amp;query=-12.21336,-76.960106","Avenida Villa del Mar, Villa El Salvador, Lima")</f>
      </c>
      <c r="O9" t="str">
        <v>Salió de zona</v>
      </c>
      <c r="P9" t="str">
        <v/>
      </c>
      <c r="Q9">
        <v>562344.4</v>
      </c>
      <c r="R9" t="str">
        <v>BASE-OSLOGISTICS</v>
      </c>
      <c r="S9">
        <v>12.9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95</v>
      </c>
      <c r="AC9" t="str">
        <v>01/10/2026</v>
      </c>
      <c r="AD9" t="str">
        <v>06:26:58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06:27:34</v>
      </c>
      <c r="AL9" t="str">
        <v>06:27:34</v>
      </c>
      <c r="AM9" t="str">
        <v/>
      </c>
    </row>
    <row r="10">
      <c r="A10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/>
      </c>
      <c r="J10" t="str">
        <v>01/10/2026</v>
      </c>
      <c r="K10" t="str">
        <v>06:44:02</v>
      </c>
      <c r="L10">
        <v>-12.255867</v>
      </c>
      <c r="M10">
        <v>-76.92206</v>
      </c>
      <c r="N10">
        <f>HYPERLINK("https://www.google.com/maps/search/?api=1&amp;query=-12.255867,-76.92206","Carretera Panamericana Sur, Lurín, Lima")</f>
      </c>
      <c r="O10" t="str">
        <v>Excedió el límite de velocidad</v>
      </c>
      <c r="P10" t="str">
        <v/>
      </c>
      <c r="Q10">
        <v>562355.9</v>
      </c>
      <c r="R10" t="str">
        <v/>
      </c>
      <c r="S10">
        <v>83.3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95</v>
      </c>
      <c r="AC10" t="str">
        <v>01/10/2026</v>
      </c>
      <c r="AD10" t="str">
        <v>06:44:01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06:44:23</v>
      </c>
      <c r="AL10" t="str">
        <v>06:44:23</v>
      </c>
      <c r="AM10" t="str">
        <v/>
      </c>
    </row>
    <row r="11">
      <c r="A11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/>
      </c>
      <c r="J11" t="str">
        <v>01/10/2026</v>
      </c>
      <c r="K11" t="str">
        <v>06:55:47</v>
      </c>
      <c r="L11">
        <v>-12.329725</v>
      </c>
      <c r="M11">
        <v>-76.82242</v>
      </c>
      <c r="N11">
        <f>HYPERLINK("https://www.google.com/maps/search/?api=1&amp;query=-12.329725,-76.82242","Carretera Panamericana Sur, Punta Hermosa, Lima")</f>
      </c>
      <c r="O11" t="str">
        <v>Excedió el límite de velocidad</v>
      </c>
      <c r="P11" t="str">
        <v/>
      </c>
      <c r="Q11">
        <v>562369.8</v>
      </c>
      <c r="R11" t="str">
        <v/>
      </c>
      <c r="S11">
        <v>82.1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95</v>
      </c>
      <c r="AC11" t="str">
        <v>01/10/2026</v>
      </c>
      <c r="AD11" t="str">
        <v>06:55:46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06:56:15</v>
      </c>
      <c r="AL11" t="str">
        <v>06:56:15</v>
      </c>
      <c r="AM11" t="str">
        <v/>
      </c>
    </row>
    <row r="12">
      <c r="A12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/>
      </c>
      <c r="J12" t="str">
        <v>01/10/2026</v>
      </c>
      <c r="K12" t="str">
        <v>06:58:44</v>
      </c>
      <c r="L12">
        <v>-12.323715</v>
      </c>
      <c r="M12">
        <v>-76.82635</v>
      </c>
      <c r="N12">
        <f>HYPERLINK("https://www.google.com/maps/search/?api=1&amp;query=-12.323715,-76.82635","Carretera Panamericana Sur, Punta Hermosa, Lima")</f>
      </c>
      <c r="O12" t="str">
        <v>Excedió el límite de velocidad</v>
      </c>
      <c r="P12" t="str">
        <v/>
      </c>
      <c r="Q12">
        <v>562372.3</v>
      </c>
      <c r="R12" t="str">
        <v/>
      </c>
      <c r="S12">
        <v>80.8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95</v>
      </c>
      <c r="AC12" t="str">
        <v>01/10/2026</v>
      </c>
      <c r="AD12" t="str">
        <v>06:58:43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06:59:09</v>
      </c>
      <c r="AL12" t="str">
        <v>06:59:09</v>
      </c>
      <c r="AM12" t="str">
        <v/>
      </c>
    </row>
    <row r="13">
      <c r="A13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 xml:space="preserve"> </v>
      </c>
      <c r="J13" t="str">
        <v>01/10/2026</v>
      </c>
      <c r="K13" t="str">
        <v>07:00:03</v>
      </c>
      <c r="L13">
        <v>-12.317536</v>
      </c>
      <c r="M13">
        <v>-76.82958</v>
      </c>
      <c r="N13">
        <f>HYPERLINK("https://www.google.com/maps/search/?api=1&amp;query=-12.317536,-76.82958","Punta Hermosa, Lima")</f>
      </c>
      <c r="O13" t="str">
        <v>Llegó a la zona</v>
      </c>
      <c r="P13" t="str">
        <v/>
      </c>
      <c r="Q13">
        <v>562371.5</v>
      </c>
      <c r="R13" t="str">
        <v>MASS BSF 1</v>
      </c>
      <c r="S13">
        <v>4.7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95</v>
      </c>
      <c r="AC13" t="str">
        <v>01/10/2026</v>
      </c>
      <c r="AD13" t="str">
        <v>06:59:58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07:00:29</v>
      </c>
      <c r="AL13" t="str">
        <v>07:00:29</v>
      </c>
      <c r="AM13" t="str">
        <v/>
      </c>
    </row>
    <row r="14">
      <c r="A14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/>
      </c>
      <c r="J14" t="str">
        <v>01/10/2026</v>
      </c>
      <c r="K14" t="str">
        <v>07:06:21</v>
      </c>
      <c r="L14">
        <v>-12.317506</v>
      </c>
      <c r="M14">
        <v>-76.82444</v>
      </c>
      <c r="N14">
        <f>HYPERLINK("https://www.google.com/maps/search/?api=1&amp;query=-12.317506,-76.82444","Punta Hermosa, Lima")</f>
      </c>
      <c r="O14" t="str">
        <v>Vehículo apagado</v>
      </c>
      <c r="P14" t="str">
        <v>Vehículo Apagado</v>
      </c>
      <c r="Q14">
        <v>562373.8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95</v>
      </c>
      <c r="AC14" t="str">
        <v>01/10/2026</v>
      </c>
      <c r="AD14" t="str">
        <v>07:05:58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07:06:31</v>
      </c>
      <c r="AL14" t="str">
        <v>07:06:31</v>
      </c>
      <c r="AM14" t="str">
        <v/>
      </c>
    </row>
    <row r="15">
      <c r="A15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/>
      </c>
      <c r="J15" t="str">
        <v>01/10/2026</v>
      </c>
      <c r="K15" t="str">
        <v>07:07:13</v>
      </c>
      <c r="L15">
        <v>-12.317485</v>
      </c>
      <c r="M15">
        <v>-76.82449</v>
      </c>
      <c r="N15">
        <f>HYPERLINK("https://www.google.com/maps/search/?api=1&amp;query=-12.317485,-76.82449","Punta Hermosa, Lima")</f>
      </c>
      <c r="O15" t="str">
        <v>Vehículo encendido</v>
      </c>
      <c r="P15" t="str">
        <v/>
      </c>
      <c r="Q15">
        <v>562373.8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93</v>
      </c>
      <c r="AC15" t="str">
        <v>01/10/2026</v>
      </c>
      <c r="AD15" t="str">
        <v>07:07:17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07:07:52</v>
      </c>
      <c r="AL15" t="str">
        <v>07:07:52</v>
      </c>
      <c r="AM15" t="str">
        <v/>
      </c>
    </row>
    <row r="16">
      <c r="A16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/>
      </c>
      <c r="J16" t="str">
        <v>01/10/2026</v>
      </c>
      <c r="K16" t="str">
        <v>07:11:43</v>
      </c>
      <c r="L16">
        <v>-12.317493</v>
      </c>
      <c r="M16">
        <v>-76.824486</v>
      </c>
      <c r="N16">
        <f>HYPERLINK("https://www.google.com/maps/search/?api=1&amp;query=-12.317493,-76.824486","Punta Hermosa, Lima")</f>
      </c>
      <c r="O16" t="str">
        <v>Inicio de ralentí</v>
      </c>
      <c r="P16" t="str">
        <v>Vehículo Detenido</v>
      </c>
      <c r="Q16">
        <v>562373.8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93</v>
      </c>
      <c r="AC16" t="str">
        <v>01/10/2026</v>
      </c>
      <c r="AD16" t="str">
        <v>07:11:14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07:12:07</v>
      </c>
      <c r="AL16" t="str">
        <v>07:12:07</v>
      </c>
      <c r="AM16" t="str">
        <v/>
      </c>
    </row>
    <row r="17">
      <c r="A17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/>
      </c>
      <c r="J17" t="str">
        <v>01/10/2026</v>
      </c>
      <c r="K17" t="str">
        <v>07:14:42</v>
      </c>
      <c r="L17">
        <v>-12.317535</v>
      </c>
      <c r="M17">
        <v>-76.82451</v>
      </c>
      <c r="N17">
        <f>HYPERLINK("https://www.google.com/maps/search/?api=1&amp;query=-12.317535,-76.82451","Punta Hermosa, Lima")</f>
      </c>
      <c r="O17" t="str">
        <v>Fin de ralentí</v>
      </c>
      <c r="P17" t="str">
        <v/>
      </c>
      <c r="Q17">
        <v>562373.8</v>
      </c>
      <c r="R17" t="str">
        <v/>
      </c>
      <c r="S17">
        <v>0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93</v>
      </c>
      <c r="AC17" t="str">
        <v>01/10/2026</v>
      </c>
      <c r="AD17" t="str">
        <v>07:14:14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07:15:06</v>
      </c>
      <c r="AL17" t="str">
        <v>07:15:06</v>
      </c>
      <c r="AM17" t="str">
        <v/>
      </c>
    </row>
    <row r="18">
      <c r="A18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/>
      </c>
      <c r="J18" t="str">
        <v>01/10/2026</v>
      </c>
      <c r="K18" t="str">
        <v>07:16:28</v>
      </c>
      <c r="L18">
        <v>-12.317535</v>
      </c>
      <c r="M18">
        <v>-76.82451</v>
      </c>
      <c r="N18">
        <f>HYPERLINK("https://www.google.com/maps/search/?api=1&amp;query=-12.317535,-76.82451","Punta Hermosa, Lima")</f>
      </c>
      <c r="O18" t="str">
        <v>Vehículo apagado</v>
      </c>
      <c r="P18" t="str">
        <v>Vehículo Apagado</v>
      </c>
      <c r="Q18">
        <v>562373.8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93</v>
      </c>
      <c r="AC18" t="str">
        <v>01/10/2026</v>
      </c>
      <c r="AD18" t="str">
        <v>07:15:14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07:16:37</v>
      </c>
      <c r="AL18" t="str">
        <v>07:16:37</v>
      </c>
      <c r="AM18" t="str">
        <v/>
      </c>
    </row>
    <row r="19">
      <c r="A19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/>
      </c>
      <c r="J19" t="str">
        <v>01/10/2026</v>
      </c>
      <c r="K19" t="str">
        <v>07:19:28</v>
      </c>
      <c r="L19">
        <v>-12.317535</v>
      </c>
      <c r="M19">
        <v>-76.82451</v>
      </c>
      <c r="N19">
        <f>HYPERLINK("https://www.google.com/maps/search/?api=1&amp;query=-12.317535,-76.82451","Punta Hermosa, Lima")</f>
      </c>
      <c r="O19" t="str">
        <v>Vehículo encendido</v>
      </c>
      <c r="P19" t="str">
        <v/>
      </c>
      <c r="Q19">
        <v>562373.8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93</v>
      </c>
      <c r="AC19" t="str">
        <v>01/10/2026</v>
      </c>
      <c r="AD19" t="str">
        <v>07:16:31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07:19:47</v>
      </c>
      <c r="AL19" t="str">
        <v>07:19:47</v>
      </c>
      <c r="AM19" t="str">
        <v/>
      </c>
    </row>
    <row r="20">
      <c r="A20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/>
      </c>
      <c r="J20" t="str">
        <v>01/10/2026</v>
      </c>
      <c r="K20" t="str">
        <v>07:22:30</v>
      </c>
      <c r="L20">
        <v>-12.317659</v>
      </c>
      <c r="M20">
        <v>-76.82433</v>
      </c>
      <c r="N20">
        <f>HYPERLINK("https://www.google.com/maps/search/?api=1&amp;query=-12.317659,-76.82433","Punta Hermosa, Lima")</f>
      </c>
      <c r="O20" t="str">
        <v>Vehículo apagado</v>
      </c>
      <c r="P20" t="str">
        <v>Vehículo Apagado</v>
      </c>
      <c r="Q20">
        <v>562373.8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93</v>
      </c>
      <c r="AC20" t="str">
        <v>01/10/2026</v>
      </c>
      <c r="AD20" t="str">
        <v>07:22:32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07:22:55</v>
      </c>
      <c r="AL20" t="str">
        <v>07:22:55</v>
      </c>
      <c r="AM20" t="str">
        <v/>
      </c>
    </row>
    <row r="21">
      <c r="A21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/>
      </c>
      <c r="J21" t="str">
        <v>01/10/2026</v>
      </c>
      <c r="K21" t="str">
        <v>07:40:32</v>
      </c>
      <c r="L21">
        <v>-12.317659</v>
      </c>
      <c r="M21">
        <v>-76.82433</v>
      </c>
      <c r="N21">
        <f>HYPERLINK("https://www.google.com/maps/search/?api=1&amp;query=-12.317659,-76.82433","Punta Hermosa, Lima")</f>
      </c>
      <c r="O21" t="str">
        <v>Vehículo encendido</v>
      </c>
      <c r="P21" t="str">
        <v/>
      </c>
      <c r="Q21">
        <v>562373.8</v>
      </c>
      <c r="R21" t="str">
        <v/>
      </c>
      <c r="S21">
        <v>0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93</v>
      </c>
      <c r="AC21" t="str">
        <v>01/10/2026</v>
      </c>
      <c r="AD21" t="str">
        <v>07:22:32</v>
      </c>
      <c r="AE21">
        <f>IF("NOGPS"="NOGPS","GPS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07:40:51</v>
      </c>
      <c r="AL21" t="str">
        <v>07:40:51</v>
      </c>
      <c r="AM21" t="str">
        <v/>
      </c>
    </row>
    <row r="22">
      <c r="A22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/>
      </c>
      <c r="J22" t="str">
        <v>01/10/2026</v>
      </c>
      <c r="K22" t="str">
        <v>07:44:41</v>
      </c>
      <c r="L22">
        <v>-12.31786</v>
      </c>
      <c r="M22">
        <v>-76.82428</v>
      </c>
      <c r="N22">
        <f>HYPERLINK("https://www.google.com/maps/search/?api=1&amp;query=-12.31786,-76.82428","Punta Hermosa, Lima")</f>
      </c>
      <c r="O22" t="str">
        <v>Vehículo apagado</v>
      </c>
      <c r="P22" t="str">
        <v>Vehículo Apagado</v>
      </c>
      <c r="Q22">
        <v>562373.9</v>
      </c>
      <c r="R22" t="str">
        <v/>
      </c>
      <c r="S22">
        <v>0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93</v>
      </c>
      <c r="AC22" t="str">
        <v>01/10/2026</v>
      </c>
      <c r="AD22" t="str">
        <v>07:44:45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07:45:03</v>
      </c>
      <c r="AL22" t="str">
        <v>07:45:03</v>
      </c>
      <c r="AM22" t="str">
        <v/>
      </c>
    </row>
    <row r="23">
      <c r="A23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/>
      </c>
      <c r="J23" t="str">
        <v>01/10/2026</v>
      </c>
      <c r="K23" t="str">
        <v>08:15:50</v>
      </c>
      <c r="L23">
        <v>-12.31786</v>
      </c>
      <c r="M23">
        <v>-76.82428</v>
      </c>
      <c r="N23">
        <f>HYPERLINK("https://www.google.com/maps/search/?api=1&amp;query=-12.31786,-76.82428","Punta Hermosa, Lima")</f>
      </c>
      <c r="O23" t="str">
        <v>Vehículo encendido</v>
      </c>
      <c r="P23" t="str">
        <v/>
      </c>
      <c r="Q23">
        <v>562373.9</v>
      </c>
      <c r="R23" t="str">
        <v/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93</v>
      </c>
      <c r="AC23" t="str">
        <v>01/10/2026</v>
      </c>
      <c r="AD23" t="str">
        <v>08:12:11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08:16:03</v>
      </c>
      <c r="AL23" t="str">
        <v>08:16:03</v>
      </c>
      <c r="AM23" t="str">
        <v/>
      </c>
    </row>
    <row r="24">
      <c r="A24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 xml:space="preserve"> </v>
      </c>
      <c r="J24" t="str">
        <v>01/10/2026</v>
      </c>
      <c r="K24" t="str">
        <v>08:21:09</v>
      </c>
      <c r="L24">
        <v>-12.317568</v>
      </c>
      <c r="M24">
        <v>-76.82994</v>
      </c>
      <c r="N24">
        <f>HYPERLINK("https://www.google.com/maps/search/?api=1&amp;query=-12.317568,-76.82994","Punta Hermosa, Lima")</f>
      </c>
      <c r="O24" t="str">
        <v>Salió de zona</v>
      </c>
      <c r="P24" t="str">
        <v/>
      </c>
      <c r="Q24">
        <v>562374.5</v>
      </c>
      <c r="R24" t="str">
        <v>MASS BSF 1</v>
      </c>
      <c r="S24">
        <v>13.4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93</v>
      </c>
      <c r="AC24" t="str">
        <v>01/10/2026</v>
      </c>
      <c r="AD24" t="str">
        <v>08:21:08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08:21:22</v>
      </c>
      <c r="AL24" t="str">
        <v>08:21:22</v>
      </c>
      <c r="AM24" t="str">
        <v/>
      </c>
    </row>
    <row r="25">
      <c r="A25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 xml:space="preserve"> </v>
      </c>
      <c r="J25" t="str">
        <v>01/10/2026</v>
      </c>
      <c r="K25" t="str">
        <v>08:48:55</v>
      </c>
      <c r="L25">
        <v>-12.165649</v>
      </c>
      <c r="M25">
        <v>-76.97408</v>
      </c>
      <c r="N25">
        <f>HYPERLINK("https://www.google.com/maps/search/?api=1&amp;query=-12.165649,-76.97408","Avenida Ramón Vargas Machuca, San Juan de Miraflores, Lima")</f>
      </c>
      <c r="O25" t="str">
        <v>Llegó a la zona</v>
      </c>
      <c r="P25" t="str">
        <v/>
      </c>
      <c r="Q25">
        <v>562400.8</v>
      </c>
      <c r="R25" t="str">
        <v>40-VARGAS MACHUCA</v>
      </c>
      <c r="S25">
        <v>16.5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93</v>
      </c>
      <c r="AC25" t="str">
        <v>01/10/2026</v>
      </c>
      <c r="AD25" t="str">
        <v>08:48:50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08:49:05</v>
      </c>
      <c r="AL25" t="str">
        <v>08:49:05</v>
      </c>
      <c r="AM25" t="str">
        <v/>
      </c>
    </row>
    <row r="26">
      <c r="A26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 xml:space="preserve"> </v>
      </c>
      <c r="J26" t="str">
        <v>01/10/2026</v>
      </c>
      <c r="K26" t="str">
        <v>08:49:17</v>
      </c>
      <c r="L26">
        <v>-12.165179</v>
      </c>
      <c r="M26">
        <v>-76.97269</v>
      </c>
      <c r="N26">
        <f>HYPERLINK("https://www.google.com/maps/search/?api=1&amp;query=-12.165179,-76.97269","Avenida Ramón Vargas Machuca, San Juan de Miraflores, Lima")</f>
      </c>
      <c r="O26" t="str">
        <v>Salió de zona</v>
      </c>
      <c r="P26" t="str">
        <v/>
      </c>
      <c r="Q26">
        <v>562400.8</v>
      </c>
      <c r="R26" t="str">
        <v>40-VARGAS MACHUCA</v>
      </c>
      <c r="S26">
        <v>15.8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93</v>
      </c>
      <c r="AC26" t="str">
        <v>01/10/2026</v>
      </c>
      <c r="AD26" t="str">
        <v>08:49:17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08:49:31</v>
      </c>
      <c r="AL26" t="str">
        <v>08:49:31</v>
      </c>
      <c r="AM26" t="str">
        <v/>
      </c>
    </row>
    <row r="27">
      <c r="A27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/>
      </c>
      <c r="J27" t="str">
        <v>01/10/2026</v>
      </c>
      <c r="K27" t="str">
        <v>09:09:01</v>
      </c>
      <c r="L27">
        <v>-12.139349</v>
      </c>
      <c r="M27">
        <v>-76.9597</v>
      </c>
      <c r="N27">
        <f>HYPERLINK("https://www.google.com/maps/search/?api=1&amp;query=-12.139349,-76.9597","Avenida Centenario, San Juan de Miraflores, Lima")</f>
      </c>
      <c r="O27" t="str">
        <v>Vehículo apagado</v>
      </c>
      <c r="P27" t="str">
        <v>Vehículo Apagado</v>
      </c>
      <c r="Q27">
        <v>562404.5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93</v>
      </c>
      <c r="AC27" t="str">
        <v>01/10/2026</v>
      </c>
      <c r="AD27" t="str">
        <v>09:09:04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09:09:29</v>
      </c>
      <c r="AL27" t="str">
        <v>09:09:29</v>
      </c>
      <c r="AM27" t="str">
        <v/>
      </c>
    </row>
    <row r="28">
      <c r="A28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/>
      </c>
      <c r="J28" t="str">
        <v>01/10/2026</v>
      </c>
      <c r="K28" t="str">
        <v>09:50:23</v>
      </c>
      <c r="L28">
        <v>-12.139349</v>
      </c>
      <c r="M28">
        <v>-76.9597</v>
      </c>
      <c r="N28">
        <f>HYPERLINK("https://www.google.com/maps/search/?api=1&amp;query=-12.139349,-76.9597","Avenida Centenario, San Juan de Miraflores, Lima")</f>
      </c>
      <c r="O28" t="str">
        <v>Vehículo encendido</v>
      </c>
      <c r="P28" t="str">
        <v/>
      </c>
      <c r="Q28">
        <v>562404.5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92</v>
      </c>
      <c r="AC28" t="str">
        <v>01/10/2026</v>
      </c>
      <c r="AD28" t="str">
        <v>09:36:39</v>
      </c>
      <c r="AE28">
        <f>IF("NOGPS"="NOGPS","GPS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09:50:45</v>
      </c>
      <c r="AL28" t="str">
        <v>09:50:45</v>
      </c>
      <c r="AM28" t="str">
        <v/>
      </c>
    </row>
    <row r="29">
      <c r="A29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 xml:space="preserve"> </v>
      </c>
      <c r="J29" t="str">
        <v>01/10/2026</v>
      </c>
      <c r="K29" t="str">
        <v>09:51:27</v>
      </c>
      <c r="L29">
        <v>-12.13962</v>
      </c>
      <c r="M29">
        <v>-76.96024</v>
      </c>
      <c r="N29">
        <f>HYPERLINK("https://www.google.com/maps/search/?api=1&amp;query=-12.13962,-76.96024","Avenida Centenario, San Juan de Miraflores, Lima")</f>
      </c>
      <c r="O29" t="str">
        <v>Llegó a la zona</v>
      </c>
      <c r="P29" t="str">
        <v/>
      </c>
      <c r="Q29">
        <v>562404.5</v>
      </c>
      <c r="R29" t="str">
        <v>1576-JULIO 4 SJM MS</v>
      </c>
      <c r="S29">
        <v>14.8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92</v>
      </c>
      <c r="AC29" t="str">
        <v>01/10/2026</v>
      </c>
      <c r="AD29" t="str">
        <v>09:51:25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09:51:34</v>
      </c>
      <c r="AL29" t="str">
        <v>09:51:34</v>
      </c>
      <c r="AM29" t="str">
        <v/>
      </c>
    </row>
    <row r="30">
      <c r="A30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09:51:56</v>
      </c>
      <c r="L30">
        <v>-12.140242</v>
      </c>
      <c r="M30">
        <v>-76.96131</v>
      </c>
      <c r="N30">
        <f>HYPERLINK("https://www.google.com/maps/search/?api=1&amp;query=-12.140242,-76.96131","Altiplano, San Juan de Miraflores, Lima")</f>
      </c>
      <c r="O30" t="str">
        <v>Salió de zona</v>
      </c>
      <c r="P30" t="str">
        <v/>
      </c>
      <c r="Q30">
        <v>562404.5</v>
      </c>
      <c r="R30" t="str">
        <v>1576-JULIO 4 SJM MS</v>
      </c>
      <c r="S30">
        <v>9.5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92</v>
      </c>
      <c r="AC30" t="str">
        <v>01/10/2026</v>
      </c>
      <c r="AD30" t="str">
        <v>09:51:55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09:52:05</v>
      </c>
      <c r="AL30" t="str">
        <v>09:52:05</v>
      </c>
      <c r="AM30" t="str">
        <v/>
      </c>
    </row>
    <row r="31">
      <c r="A31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 xml:space="preserve"> </v>
      </c>
      <c r="J31" t="str">
        <v>01/10/2026</v>
      </c>
      <c r="K31" t="str">
        <v>10:07:28</v>
      </c>
      <c r="L31">
        <v>-12.162289</v>
      </c>
      <c r="M31">
        <v>-76.96314</v>
      </c>
      <c r="N31">
        <f>HYPERLINK("https://www.google.com/maps/search/?api=1&amp;query=-12.162289,-76.96314","Avenida Guillermo Billinghurst, San Juan de Miraflores, Lima")</f>
      </c>
      <c r="O31" t="str">
        <v>Llegó a la zona</v>
      </c>
      <c r="P31" t="str">
        <v/>
      </c>
      <c r="Q31">
        <v>562408.7</v>
      </c>
      <c r="R31" t="str">
        <v>2003-GUILLERMO10 SJM MS</v>
      </c>
      <c r="S31">
        <v>0.5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92</v>
      </c>
      <c r="AC31" t="str">
        <v>01/10/2026</v>
      </c>
      <c r="AD31" t="str">
        <v>10:07:25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10:07:45</v>
      </c>
      <c r="AL31" t="str">
        <v>10:07:45</v>
      </c>
      <c r="AM31" t="str">
        <v/>
      </c>
    </row>
    <row r="32">
      <c r="A32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/>
      </c>
      <c r="J32" t="str">
        <v>01/10/2026</v>
      </c>
      <c r="K32" t="str">
        <v>10:10:40</v>
      </c>
      <c r="L32">
        <v>-12.16229</v>
      </c>
      <c r="M32">
        <v>-76.96314</v>
      </c>
      <c r="N32">
        <f>HYPERLINK("https://www.google.com/maps/search/?api=1&amp;query=-12.16229,-76.96314","Avenida Guillermo Billinghurst, San Juan de Miraflores, Lima")</f>
      </c>
      <c r="O32" t="str">
        <v>Vehículo apagado</v>
      </c>
      <c r="P32" t="str">
        <v>Vehículo Apagado</v>
      </c>
      <c r="Q32">
        <v>562408.7</v>
      </c>
      <c r="R32" t="str">
        <v/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92</v>
      </c>
      <c r="AC32" t="str">
        <v>01/10/2026</v>
      </c>
      <c r="AD32" t="str">
        <v>10:10:42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10:11:05</v>
      </c>
      <c r="AL32" t="str">
        <v>10:11:05</v>
      </c>
      <c r="AM32" t="str">
        <v/>
      </c>
    </row>
    <row r="33">
      <c r="A33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/>
      </c>
      <c r="J33" t="str">
        <v>01/10/2026</v>
      </c>
      <c r="K33" t="str">
        <v>10:28:42</v>
      </c>
      <c r="L33">
        <v>-12.16229</v>
      </c>
      <c r="M33">
        <v>-76.96314</v>
      </c>
      <c r="N33">
        <f>HYPERLINK("https://www.google.com/maps/search/?api=1&amp;query=-12.16229,-76.96314","Avenida Guillermo Billinghurst, San Juan de Miraflores, Lima")</f>
      </c>
      <c r="O33" t="str">
        <v>Vehículo encendido</v>
      </c>
      <c r="P33" t="str">
        <v/>
      </c>
      <c r="Q33">
        <v>562408.7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92</v>
      </c>
      <c r="AC33" t="str">
        <v>01/10/2026</v>
      </c>
      <c r="AD33" t="str">
        <v>10:10:42</v>
      </c>
      <c r="AE33">
        <f>IF("NOGPS"="NOGPS","GPS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10:28:54</v>
      </c>
      <c r="AL33" t="str">
        <v>10:28:54</v>
      </c>
      <c r="AM33" t="str">
        <v/>
      </c>
    </row>
    <row r="34">
      <c r="A34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 xml:space="preserve"> </v>
      </c>
      <c r="J34" t="str">
        <v>01/10/2026</v>
      </c>
      <c r="K34" t="str">
        <v>10:29:48</v>
      </c>
      <c r="L34">
        <v>-12.161521</v>
      </c>
      <c r="M34">
        <v>-76.965164</v>
      </c>
      <c r="N34">
        <f>HYPERLINK("https://www.google.com/maps/search/?api=1&amp;query=-12.161521,-76.965164","Avenida Guillermo Billinghurst, San Juan de Miraflores, Lima")</f>
      </c>
      <c r="O34" t="str">
        <v>Salió de zona</v>
      </c>
      <c r="P34" t="str">
        <v/>
      </c>
      <c r="Q34">
        <v>562408.7</v>
      </c>
      <c r="R34" t="str">
        <v>2003-GUILLERMO10 SJM MS</v>
      </c>
      <c r="S34">
        <v>26.1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92</v>
      </c>
      <c r="AC34" t="str">
        <v>01/10/2026</v>
      </c>
      <c r="AD34" t="str">
        <v>10:29:39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10:30:00</v>
      </c>
      <c r="AL34" t="str">
        <v>10:30:00</v>
      </c>
      <c r="AM34" t="str">
        <v/>
      </c>
    </row>
    <row r="35">
      <c r="A35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 xml:space="preserve"> </v>
      </c>
      <c r="J35" t="str">
        <v>01/10/2026</v>
      </c>
      <c r="K35" t="str">
        <v>10:32:16</v>
      </c>
      <c r="L35">
        <v>-12.163896</v>
      </c>
      <c r="M35">
        <v>-76.969154</v>
      </c>
      <c r="N35">
        <f>HYPERLINK("https://www.google.com/maps/search/?api=1&amp;query=-12.163896,-76.969154","Avenida César Canevaro, San Juan de Miraflores, Lima")</f>
      </c>
      <c r="O35" t="str">
        <v>Llegó a la zona</v>
      </c>
      <c r="P35" t="str">
        <v/>
      </c>
      <c r="Q35">
        <v>562409.3</v>
      </c>
      <c r="R35" t="str">
        <v>793-CANEVARO4SJM MS</v>
      </c>
      <c r="S35">
        <v>27.1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92</v>
      </c>
      <c r="AC35" t="str">
        <v>01/10/2026</v>
      </c>
      <c r="AD35" t="str">
        <v>10:31:39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10:32:27</v>
      </c>
      <c r="AL35" t="str">
        <v>10:32:27</v>
      </c>
      <c r="AM35" t="str">
        <v/>
      </c>
    </row>
    <row r="36">
      <c r="A36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 xml:space="preserve"> </v>
      </c>
      <c r="J36" t="str">
        <v>01/10/2026</v>
      </c>
      <c r="K36" t="str">
        <v>10:33:14</v>
      </c>
      <c r="L36">
        <v>-12.164849</v>
      </c>
      <c r="M36">
        <v>-76.97125</v>
      </c>
      <c r="N36">
        <f>HYPERLINK("https://www.google.com/maps/search/?api=1&amp;query=-12.164849,-76.97125","Avenida Ramón Vargas Machuca, San Juan de Miraflores, Lima")</f>
      </c>
      <c r="O36" t="str">
        <v>Salió de zona</v>
      </c>
      <c r="P36" t="str">
        <v/>
      </c>
      <c r="Q36">
        <v>562409.3</v>
      </c>
      <c r="R36" t="str">
        <v>793-CANEVARO4SJM MS</v>
      </c>
      <c r="S36">
        <v>34.2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92</v>
      </c>
      <c r="AC36" t="str">
        <v>01/10/2026</v>
      </c>
      <c r="AD36" t="str">
        <v>10:32:39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10:33:35</v>
      </c>
      <c r="AL36" t="str">
        <v>10:33:35</v>
      </c>
      <c r="AM36" t="str">
        <v/>
      </c>
    </row>
    <row r="37">
      <c r="A37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/>
      </c>
      <c r="J37" t="str">
        <v>01/10/2026</v>
      </c>
      <c r="K37" t="str">
        <v>10:43:39</v>
      </c>
      <c r="L37">
        <v>-12.182777</v>
      </c>
      <c r="M37">
        <v>-76.975716</v>
      </c>
      <c r="N37">
        <f>HYPERLINK("https://www.google.com/maps/search/?api=1&amp;query=-12.182777,-76.975716","Avenida El Triunfo, San Juan de Miraflores, Lima")</f>
      </c>
      <c r="O37" t="str">
        <v>Exceso de velocidad en segmento vial</v>
      </c>
      <c r="P37" t="str">
        <v/>
      </c>
      <c r="Q37">
        <v>562413.6</v>
      </c>
      <c r="R37" t="str">
        <v/>
      </c>
      <c r="S37">
        <v>50.1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92</v>
      </c>
      <c r="AC37" t="str">
        <v>01/10/2026</v>
      </c>
      <c r="AD37" t="str">
        <v>10:42:39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10:43:55</v>
      </c>
      <c r="AL37" t="str">
        <v>10:43:55</v>
      </c>
      <c r="AM37" t="str">
        <v/>
      </c>
    </row>
    <row r="38">
      <c r="A38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 xml:space="preserve"> </v>
      </c>
      <c r="J38" t="str">
        <v>01/10/2026</v>
      </c>
      <c r="K38" t="str">
        <v>11:09:42</v>
      </c>
      <c r="L38">
        <v>-12.317539</v>
      </c>
      <c r="M38">
        <v>-76.8296</v>
      </c>
      <c r="N38">
        <f>HYPERLINK("https://www.google.com/maps/search/?api=1&amp;query=-12.317539,-76.8296","Punta Hermosa, Lima")</f>
      </c>
      <c r="O38" t="str">
        <v>Llegó a la zona</v>
      </c>
      <c r="P38" t="str">
        <v/>
      </c>
      <c r="Q38">
        <v>562440.1</v>
      </c>
      <c r="R38" t="str">
        <v>MASS BSF 1</v>
      </c>
      <c r="S38">
        <v>11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90</v>
      </c>
      <c r="AC38" t="str">
        <v>01/10/2026</v>
      </c>
      <c r="AD38" t="str">
        <v>11:09:42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11:09:52</v>
      </c>
      <c r="AL38" t="str">
        <v>11:09:52</v>
      </c>
      <c r="AM38" t="str">
        <v/>
      </c>
    </row>
    <row r="39">
      <c r="A39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/>
      </c>
      <c r="J39" t="str">
        <v>01/10/2026</v>
      </c>
      <c r="K39" t="str">
        <v>11:28:08</v>
      </c>
      <c r="L39">
        <v>-12.317559</v>
      </c>
      <c r="M39">
        <v>-76.8245</v>
      </c>
      <c r="N39">
        <f>HYPERLINK("https://www.google.com/maps/search/?api=1&amp;query=-12.317559,-76.8245","Punta Hermosa, Lima")</f>
      </c>
      <c r="O39" t="str">
        <v>Vehículo apagado</v>
      </c>
      <c r="P39" t="str">
        <v>Vehículo Apagado</v>
      </c>
      <c r="Q39">
        <v>562442.6</v>
      </c>
      <c r="R39" t="str">
        <v/>
      </c>
      <c r="S39">
        <v>0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90</v>
      </c>
      <c r="AC39" t="str">
        <v>01/10/2026</v>
      </c>
      <c r="AD39" t="str">
        <v>11:27:39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11:28:27</v>
      </c>
      <c r="AL39" t="str">
        <v>11:28:27</v>
      </c>
      <c r="AM39" t="str">
        <v/>
      </c>
    </row>
    <row r="40">
      <c r="A40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/>
      </c>
      <c r="J40" t="str">
        <v>01/10/2026</v>
      </c>
      <c r="K40" t="str">
        <v>11:39:26</v>
      </c>
      <c r="L40">
        <v>-12.317559</v>
      </c>
      <c r="M40">
        <v>-76.8245</v>
      </c>
      <c r="N40">
        <f>HYPERLINK("https://www.google.com/maps/search/?api=1&amp;query=-12.317559,-76.8245","Punta Hermosa, Lima")</f>
      </c>
      <c r="O40" t="str">
        <v>Vehículo encendido</v>
      </c>
      <c r="P40" t="str">
        <v/>
      </c>
      <c r="Q40">
        <v>562442.6</v>
      </c>
      <c r="R40" t="str">
        <v/>
      </c>
      <c r="S40">
        <v>0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90</v>
      </c>
      <c r="AC40" t="str">
        <v>01/10/2026</v>
      </c>
      <c r="AD40" t="str">
        <v>11:28:11</v>
      </c>
      <c r="AE40">
        <f>IF("NOGPS"="NOGPS","GPS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11:39:43</v>
      </c>
      <c r="AL40" t="str">
        <v>11:39:43</v>
      </c>
      <c r="AM40" t="str">
        <v/>
      </c>
    </row>
    <row r="41">
      <c r="A41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/>
      </c>
      <c r="J41" t="str">
        <v>01/10/2026</v>
      </c>
      <c r="K41" t="str">
        <v>11:45:10</v>
      </c>
      <c r="L41">
        <v>-12.317522</v>
      </c>
      <c r="M41">
        <v>-76.8244</v>
      </c>
      <c r="N41">
        <f>HYPERLINK("https://www.google.com/maps/search/?api=1&amp;query=-12.317522,-76.8244","Punta Hermosa, Lima")</f>
      </c>
      <c r="O41" t="str">
        <v>Vehículo apagado</v>
      </c>
      <c r="P41" t="str">
        <v>Vehículo Apagado</v>
      </c>
      <c r="Q41">
        <v>562442.6</v>
      </c>
      <c r="R41" t="str">
        <v/>
      </c>
      <c r="S41">
        <v>0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90</v>
      </c>
      <c r="AC41" t="str">
        <v>01/10/2026</v>
      </c>
      <c r="AD41" t="str">
        <v>11:45:12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11:45:23</v>
      </c>
      <c r="AL41" t="str">
        <v>11:45:23</v>
      </c>
      <c r="AM41" t="str">
        <v/>
      </c>
    </row>
    <row r="42">
      <c r="A42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/>
      </c>
      <c r="J42" t="str">
        <v>01/10/2026</v>
      </c>
      <c r="K42" t="str">
        <v>12:13:01</v>
      </c>
      <c r="L42">
        <v>-12.317471</v>
      </c>
      <c r="M42">
        <v>-76.82441</v>
      </c>
      <c r="N42">
        <f>HYPERLINK("https://www.google.com/maps/search/?api=1&amp;query=-12.317471,-76.82441","Punta Hermosa, Lima")</f>
      </c>
      <c r="O42" t="str">
        <v>Vehículo encendido</v>
      </c>
      <c r="P42" t="str">
        <v/>
      </c>
      <c r="Q42">
        <v>562442.6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90</v>
      </c>
      <c r="AC42" t="str">
        <v>01/10/2026</v>
      </c>
      <c r="AD42" t="str">
        <v>12:13:05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12:13:15</v>
      </c>
      <c r="AL42" t="str">
        <v>12:13:15</v>
      </c>
      <c r="AM42" t="str">
        <v/>
      </c>
    </row>
    <row r="43">
      <c r="A43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 xml:space="preserve"> </v>
      </c>
      <c r="J43" t="str">
        <v>01/10/2026</v>
      </c>
      <c r="K43" t="str">
        <v>12:17:33</v>
      </c>
      <c r="L43">
        <v>-12.317504</v>
      </c>
      <c r="M43">
        <v>-76.83002</v>
      </c>
      <c r="N43">
        <f>HYPERLINK("https://www.google.com/maps/search/?api=1&amp;query=-12.317504,-76.83002","Punta Hermosa, Lima")</f>
      </c>
      <c r="O43" t="str">
        <v>Salió de zona</v>
      </c>
      <c r="P43" t="str">
        <v/>
      </c>
      <c r="Q43">
        <v>562443.3</v>
      </c>
      <c r="R43" t="str">
        <v>MASS BSF 1</v>
      </c>
      <c r="S43">
        <v>15.5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90</v>
      </c>
      <c r="AC43" t="str">
        <v>01/10/2026</v>
      </c>
      <c r="AD43" t="str">
        <v>12:17:32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12:17:42</v>
      </c>
      <c r="AL43" t="str">
        <v>12:17:42</v>
      </c>
      <c r="AM43" t="str">
        <v/>
      </c>
    </row>
    <row r="44">
      <c r="A44">
        <v>43</v>
      </c>
      <c r="B44" t="str">
        <v>MASS BSF</v>
      </c>
      <c r="C44" t="str">
        <v>AKO-712</v>
      </c>
      <c r="D44" t="str">
        <v>AKO-712</v>
      </c>
      <c r="E44" t="str">
        <v/>
      </c>
      <c r="F44" t="str">
        <v>867162027717156</v>
      </c>
      <c r="G44" t="str">
        <v>TBD</v>
      </c>
      <c r="H44" t="str">
        <v/>
      </c>
      <c r="I44" t="str">
        <v/>
      </c>
      <c r="J44" t="str">
        <v>01/10/2026</v>
      </c>
      <c r="K44" t="str">
        <v>12:21:27</v>
      </c>
      <c r="L44">
        <v>-12.295605</v>
      </c>
      <c r="M44">
        <v>-76.85856</v>
      </c>
      <c r="N44">
        <f>HYPERLINK("https://www.google.com/maps/search/?api=1&amp;query=-12.295605,-76.85856","Carretera Panamericana Sur, Lurín, Lima")</f>
      </c>
      <c r="O44" t="str">
        <v>Excedió el límite de velocidad</v>
      </c>
      <c r="P44" t="str">
        <v/>
      </c>
      <c r="Q44">
        <v>562447.5</v>
      </c>
      <c r="R44" t="str">
        <v/>
      </c>
      <c r="S44">
        <v>84.2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90</v>
      </c>
      <c r="AC44" t="str">
        <v>01/10/2026</v>
      </c>
      <c r="AD44" t="str">
        <v>12:21:26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12:21:46</v>
      </c>
      <c r="AL44" t="str">
        <v>12:21:46</v>
      </c>
      <c r="AM44" t="str">
        <v/>
      </c>
    </row>
    <row r="45">
      <c r="A45">
        <v>44</v>
      </c>
      <c r="B45" t="str">
        <v>MASS BSF</v>
      </c>
      <c r="C45" t="str">
        <v>AKO-712</v>
      </c>
      <c r="D45" t="str">
        <v>AKO-712</v>
      </c>
      <c r="E45" t="str">
        <v/>
      </c>
      <c r="F45" t="str">
        <v>867162027717156</v>
      </c>
      <c r="G45" t="str">
        <v>TBD</v>
      </c>
      <c r="H45" t="str">
        <v/>
      </c>
      <c r="I45" t="str">
        <v xml:space="preserve"> </v>
      </c>
      <c r="J45" t="str">
        <v>01/10/2026</v>
      </c>
      <c r="K45" t="str">
        <v>12:31:06</v>
      </c>
      <c r="L45">
        <v>-12.260542</v>
      </c>
      <c r="M45">
        <v>-76.883606</v>
      </c>
      <c r="N45">
        <f>HYPERLINK("https://www.google.com/maps/search/?api=1&amp;query=-12.260542,-76.883606","Avenida Manuel Valle, Lurín, Lima")</f>
      </c>
      <c r="O45" t="str">
        <v>Llegó a la zona</v>
      </c>
      <c r="P45" t="str">
        <v/>
      </c>
      <c r="Q45">
        <v>562453.2</v>
      </c>
      <c r="R45" t="str">
        <v>267-PACHACAMAC</v>
      </c>
      <c r="S45">
        <v>22.8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90</v>
      </c>
      <c r="AC45" t="str">
        <v>01/10/2026</v>
      </c>
      <c r="AD45" t="str">
        <v>12:31:02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12:31:28</v>
      </c>
      <c r="AL45" t="str">
        <v>12:31:28</v>
      </c>
      <c r="AM45" t="str">
        <v/>
      </c>
    </row>
    <row r="46">
      <c r="A46">
        <v>45</v>
      </c>
      <c r="B46" t="str">
        <v>MASS BSF</v>
      </c>
      <c r="C46" t="str">
        <v>AKO-712</v>
      </c>
      <c r="D46" t="str">
        <v>AKO-712</v>
      </c>
      <c r="E46" t="str">
        <v/>
      </c>
      <c r="F46" t="str">
        <v>867162027717156</v>
      </c>
      <c r="G46" t="str">
        <v>TBD</v>
      </c>
      <c r="H46" t="str">
        <v/>
      </c>
      <c r="I46" t="str">
        <v xml:space="preserve"> </v>
      </c>
      <c r="J46" t="str">
        <v>01/10/2026</v>
      </c>
      <c r="K46" t="str">
        <v>12:32:06</v>
      </c>
      <c r="L46">
        <v>-12.255903</v>
      </c>
      <c r="M46">
        <v>-76.87953</v>
      </c>
      <c r="N46">
        <f>HYPERLINK("https://www.google.com/maps/search/?api=1&amp;query=-12.255903,-76.87953","Avenida Manuel Valle, Lurín, Lima")</f>
      </c>
      <c r="O46" t="str">
        <v>Salió de zona</v>
      </c>
      <c r="P46" t="str">
        <v/>
      </c>
      <c r="Q46">
        <v>562453.2</v>
      </c>
      <c r="R46" t="str">
        <v>267-PACHACAMAC</v>
      </c>
      <c r="S46">
        <v>52.1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90</v>
      </c>
      <c r="AC46" t="str">
        <v>01/10/2026</v>
      </c>
      <c r="AD46" t="str">
        <v>12:32:02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12:32:21</v>
      </c>
      <c r="AL46" t="str">
        <v>12:32:21</v>
      </c>
      <c r="AM46" t="str">
        <v/>
      </c>
    </row>
    <row r="47">
      <c r="A47">
        <v>46</v>
      </c>
      <c r="B47" t="str">
        <v>MASS BSF</v>
      </c>
      <c r="C47" t="str">
        <v>AKO-712</v>
      </c>
      <c r="D47" t="str">
        <v>AKO-712</v>
      </c>
      <c r="E47" t="str">
        <v/>
      </c>
      <c r="F47" t="str">
        <v>867162027717156</v>
      </c>
      <c r="G47" t="str">
        <v>TBD</v>
      </c>
      <c r="H47" t="str">
        <v/>
      </c>
      <c r="I47" t="str">
        <v xml:space="preserve"> </v>
      </c>
      <c r="J47" t="str">
        <v>01/10/2026</v>
      </c>
      <c r="K47" t="str">
        <v>12:37:14</v>
      </c>
      <c r="L47">
        <v>-12.227335</v>
      </c>
      <c r="M47">
        <v>-76.86207</v>
      </c>
      <c r="N47">
        <f>HYPERLINK("https://www.google.com/maps/search/?api=1&amp;query=-12.227335,-76.86207","Jirón Miguel Grau, Pachacámac, Lima")</f>
      </c>
      <c r="O47" t="str">
        <v>Llegó a la zona</v>
      </c>
      <c r="P47" t="str">
        <v/>
      </c>
      <c r="Q47">
        <v>562457.6</v>
      </c>
      <c r="R47" t="str">
        <v>1953-GRAU10 PA MS</v>
      </c>
      <c r="S47">
        <v>12.8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90</v>
      </c>
      <c r="AC47" t="str">
        <v>01/10/2026</v>
      </c>
      <c r="AD47" t="str">
        <v>12:37:14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12:37:26</v>
      </c>
      <c r="AL47" t="str">
        <v>12:37:26</v>
      </c>
      <c r="AM47" t="str">
        <v/>
      </c>
    </row>
    <row r="48">
      <c r="A48">
        <v>47</v>
      </c>
      <c r="B48" t="str">
        <v>MASS BSF</v>
      </c>
      <c r="C48" t="str">
        <v>AKO-712</v>
      </c>
      <c r="D48" t="str">
        <v>AKO-712</v>
      </c>
      <c r="E48" t="str">
        <v/>
      </c>
      <c r="F48" t="str">
        <v>867162027717156</v>
      </c>
      <c r="G48" t="str">
        <v>TBD</v>
      </c>
      <c r="H48" t="str">
        <v/>
      </c>
      <c r="I48" t="str">
        <v xml:space="preserve"> </v>
      </c>
      <c r="J48" t="str">
        <v>01/10/2026</v>
      </c>
      <c r="K48" t="str">
        <v>12:38:06</v>
      </c>
      <c r="L48">
        <v>-12.227685</v>
      </c>
      <c r="M48">
        <v>-76.861755</v>
      </c>
      <c r="N48">
        <f>HYPERLINK("https://www.google.com/maps/search/?api=1&amp;query=-12.227685,-76.861755","Jirón Miguel Grau, Pachacámac, Lima")</f>
      </c>
      <c r="O48" t="str">
        <v>Salió de zona</v>
      </c>
      <c r="P48" t="str">
        <v/>
      </c>
      <c r="Q48">
        <v>562457.6</v>
      </c>
      <c r="R48" t="str">
        <v>1953-GRAU10 PA MS</v>
      </c>
      <c r="S48">
        <v>0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90</v>
      </c>
      <c r="AC48" t="str">
        <v>01/10/2026</v>
      </c>
      <c r="AD48" t="str">
        <v>12:38:02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12:38:23</v>
      </c>
      <c r="AL48" t="str">
        <v>12:38:23</v>
      </c>
      <c r="AM48" t="str">
        <v/>
      </c>
    </row>
    <row r="49">
      <c r="A49">
        <v>48</v>
      </c>
      <c r="B49" t="str">
        <v>MASS BSF</v>
      </c>
      <c r="C49" t="str">
        <v>AKO-712</v>
      </c>
      <c r="D49" t="str">
        <v>AKO-712</v>
      </c>
      <c r="E49" t="str">
        <v/>
      </c>
      <c r="F49" t="str">
        <v>867162027717156</v>
      </c>
      <c r="G49" t="str">
        <v>TBD</v>
      </c>
      <c r="H49" t="str">
        <v/>
      </c>
      <c r="I49" t="str">
        <v/>
      </c>
      <c r="J49" t="str">
        <v>01/10/2026</v>
      </c>
      <c r="K49" t="str">
        <v>12:39:08</v>
      </c>
      <c r="L49">
        <v>-12.227685</v>
      </c>
      <c r="M49">
        <v>-76.861755</v>
      </c>
      <c r="N49">
        <f>HYPERLINK("https://www.google.com/maps/search/?api=1&amp;query=-12.227685,-76.861755","Jirón Miguel Grau, Pachacámac, Lima")</f>
      </c>
      <c r="O49" t="str">
        <v>Vehículo apagado</v>
      </c>
      <c r="P49" t="str">
        <v>Vehículo Apagado</v>
      </c>
      <c r="Q49">
        <v>562457.7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90</v>
      </c>
      <c r="AC49" t="str">
        <v>01/10/2026</v>
      </c>
      <c r="AD49" t="str">
        <v>12:39:10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12:39:27</v>
      </c>
      <c r="AL49" t="str">
        <v>12:39:27</v>
      </c>
      <c r="AM49" t="str">
        <v/>
      </c>
    </row>
    <row r="50">
      <c r="A50">
        <v>49</v>
      </c>
      <c r="B50" t="str">
        <v>MASS BSF</v>
      </c>
      <c r="C50" t="str">
        <v>AKO-712</v>
      </c>
      <c r="D50" t="str">
        <v>AKO-712</v>
      </c>
      <c r="E50" t="str">
        <v/>
      </c>
      <c r="F50" t="str">
        <v>867162027717156</v>
      </c>
      <c r="G50" t="str">
        <v>TBD</v>
      </c>
      <c r="H50" t="str">
        <v/>
      </c>
      <c r="I50" t="str">
        <v/>
      </c>
      <c r="J50" t="str">
        <v>01/10/2026</v>
      </c>
      <c r="K50" t="str">
        <v>12:59:48</v>
      </c>
      <c r="L50">
        <v>-12.227685</v>
      </c>
      <c r="M50">
        <v>-76.861755</v>
      </c>
      <c r="N50">
        <f>HYPERLINK("https://www.google.com/maps/search/?api=1&amp;query=-12.227685,-76.861755","Jirón Miguel Grau, Pachacámac, Lima")</f>
      </c>
      <c r="O50" t="str">
        <v>Vehículo encendido</v>
      </c>
      <c r="P50" t="str">
        <v/>
      </c>
      <c r="Q50">
        <v>562457.7</v>
      </c>
      <c r="R50" t="str">
        <v/>
      </c>
      <c r="S50">
        <v>0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90</v>
      </c>
      <c r="AC50" t="str">
        <v>01/10/2026</v>
      </c>
      <c r="AD50" t="str">
        <v>12:39:10</v>
      </c>
      <c r="AE50">
        <f>IF("NOGPS"="NOGPS","GPS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13:00:09</v>
      </c>
      <c r="AL50" t="str">
        <v>13:00:09</v>
      </c>
      <c r="AM50" t="str">
        <v/>
      </c>
    </row>
    <row r="51">
      <c r="A51">
        <v>50</v>
      </c>
      <c r="B51" t="str">
        <v>MASS BSF</v>
      </c>
      <c r="C51" t="str">
        <v>AKO-712</v>
      </c>
      <c r="D51" t="str">
        <v>AKO-712</v>
      </c>
      <c r="E51" t="str">
        <v/>
      </c>
      <c r="F51" t="str">
        <v>867162027717156</v>
      </c>
      <c r="G51" t="str">
        <v>TBD</v>
      </c>
      <c r="H51" t="str">
        <v/>
      </c>
      <c r="I51" t="str">
        <v xml:space="preserve"> </v>
      </c>
      <c r="J51" t="str">
        <v>01/10/2026</v>
      </c>
      <c r="K51" t="str">
        <v>12:59:55</v>
      </c>
      <c r="L51">
        <v>-12.227682</v>
      </c>
      <c r="M51">
        <v>-76.86171</v>
      </c>
      <c r="N51">
        <f>HYPERLINK("https://www.google.com/maps/search/?api=1&amp;query=-12.227682,-76.86171","Jirón Miguel Grau, Pachacámac, Lima")</f>
      </c>
      <c r="O51" t="str">
        <v>Llegó a la zona</v>
      </c>
      <c r="P51" t="str">
        <v/>
      </c>
      <c r="Q51">
        <v>562457.6</v>
      </c>
      <c r="R51" t="str">
        <v>1953-GRAU10 PA MS</v>
      </c>
      <c r="S51">
        <v>1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90</v>
      </c>
      <c r="AC51" t="str">
        <v>01/10/2026</v>
      </c>
      <c r="AD51" t="str">
        <v>12:59:54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13:00:04</v>
      </c>
      <c r="AL51" t="str">
        <v>13:00:04</v>
      </c>
      <c r="AM51" t="str">
        <v/>
      </c>
    </row>
    <row r="52">
      <c r="A52">
        <v>51</v>
      </c>
      <c r="B52" t="str">
        <v>MASS BSF</v>
      </c>
      <c r="C52" t="str">
        <v>AKO-712</v>
      </c>
      <c r="D52" t="str">
        <v>AKO-712</v>
      </c>
      <c r="E52" t="str">
        <v/>
      </c>
      <c r="F52" t="str">
        <v>867162027717156</v>
      </c>
      <c r="G52" t="str">
        <v>TBD</v>
      </c>
      <c r="H52" t="str">
        <v/>
      </c>
      <c r="I52" t="str">
        <v xml:space="preserve"> </v>
      </c>
      <c r="J52" t="str">
        <v>01/10/2026</v>
      </c>
      <c r="K52" t="str">
        <v>13:00:30</v>
      </c>
      <c r="L52">
        <v>-12.228031</v>
      </c>
      <c r="M52">
        <v>-76.86128</v>
      </c>
      <c r="N52">
        <f>HYPERLINK("https://www.google.com/maps/search/?api=1&amp;query=-12.228031,-76.86128","Jirón Suspiros, Pachacámac, Lima")</f>
      </c>
      <c r="O52" t="str">
        <v>Salió de zona</v>
      </c>
      <c r="P52" t="str">
        <v/>
      </c>
      <c r="Q52">
        <v>562457.7</v>
      </c>
      <c r="R52" t="str">
        <v>1953-GRAU10 PA MS</v>
      </c>
      <c r="S52">
        <v>10.3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90</v>
      </c>
      <c r="AC52" t="str">
        <v>01/10/2026</v>
      </c>
      <c r="AD52" t="str">
        <v>13:00:30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13:00:48</v>
      </c>
      <c r="AL52" t="str">
        <v>13:00:48</v>
      </c>
      <c r="AM52" t="str">
        <v/>
      </c>
    </row>
    <row r="53">
      <c r="A53">
        <v>52</v>
      </c>
      <c r="B53" t="str">
        <v>MASS BSF</v>
      </c>
      <c r="C53" t="str">
        <v>AKO-712</v>
      </c>
      <c r="D53" t="str">
        <v>AKO-712</v>
      </c>
      <c r="E53" t="str">
        <v/>
      </c>
      <c r="F53" t="str">
        <v>867162027717156</v>
      </c>
      <c r="G53" t="str">
        <v>TBD</v>
      </c>
      <c r="H53" t="str">
        <v/>
      </c>
      <c r="I53" t="str">
        <v xml:space="preserve"> </v>
      </c>
      <c r="J53" t="str">
        <v>01/10/2026</v>
      </c>
      <c r="K53" t="str">
        <v>13:08:50</v>
      </c>
      <c r="L53">
        <v>-12.260432</v>
      </c>
      <c r="M53">
        <v>-76.88366</v>
      </c>
      <c r="N53">
        <f>HYPERLINK("https://www.google.com/maps/search/?api=1&amp;query=-12.260432,-76.88366","Avenida Manuel Valle, Lurín, Lima")</f>
      </c>
      <c r="O53" t="str">
        <v>Llegó a la zona</v>
      </c>
      <c r="P53" t="str">
        <v/>
      </c>
      <c r="Q53">
        <v>562461</v>
      </c>
      <c r="R53" t="str">
        <v>267-PACHACAMAC</v>
      </c>
      <c r="S53">
        <v>5.3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90</v>
      </c>
      <c r="AC53" t="str">
        <v>01/10/2026</v>
      </c>
      <c r="AD53" t="str">
        <v>13:08:45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13:09:00</v>
      </c>
      <c r="AL53" t="str">
        <v>13:09:00</v>
      </c>
      <c r="AM53" t="str">
        <v/>
      </c>
    </row>
    <row r="54">
      <c r="A54">
        <v>53</v>
      </c>
      <c r="B54" t="str">
        <v>MASS BSF</v>
      </c>
      <c r="C54" t="str">
        <v>AKO-712</v>
      </c>
      <c r="D54" t="str">
        <v>AKO-712</v>
      </c>
      <c r="E54" t="str">
        <v/>
      </c>
      <c r="F54" t="str">
        <v>867162027717156</v>
      </c>
      <c r="G54" t="str">
        <v>TBD</v>
      </c>
      <c r="H54" t="str">
        <v/>
      </c>
      <c r="I54" t="str">
        <v xml:space="preserve"> </v>
      </c>
      <c r="J54" t="str">
        <v>01/10/2026</v>
      </c>
      <c r="K54" t="str">
        <v>13:09:12</v>
      </c>
      <c r="L54">
        <v>-12.260702</v>
      </c>
      <c r="M54">
        <v>-76.88409</v>
      </c>
      <c r="N54">
        <f>HYPERLINK("https://www.google.com/maps/search/?api=1&amp;query=-12.260702,-76.88409","Lurín, Lima")</f>
      </c>
      <c r="O54" t="str">
        <v>Salió de zona</v>
      </c>
      <c r="P54" t="str">
        <v/>
      </c>
      <c r="Q54">
        <v>562462.5</v>
      </c>
      <c r="R54" t="str">
        <v>267-PACHACAMAC</v>
      </c>
      <c r="S54">
        <v>8.4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90</v>
      </c>
      <c r="AC54" t="str">
        <v>01/10/2026</v>
      </c>
      <c r="AD54" t="str">
        <v>13:09:12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13:09:37</v>
      </c>
      <c r="AL54" t="str">
        <v>13:09:37</v>
      </c>
      <c r="AM54" t="str">
        <v/>
      </c>
    </row>
    <row r="55">
      <c r="A55">
        <v>54</v>
      </c>
      <c r="B55" t="str">
        <v>MASS BSF</v>
      </c>
      <c r="C55" t="str">
        <v>AKO-712</v>
      </c>
      <c r="D55" t="str">
        <v>AKO-712</v>
      </c>
      <c r="E55" t="str">
        <v/>
      </c>
      <c r="F55" t="str">
        <v>867162027717156</v>
      </c>
      <c r="G55" t="str">
        <v>TBD</v>
      </c>
      <c r="H55" t="str">
        <v/>
      </c>
      <c r="I55" t="str">
        <v/>
      </c>
      <c r="J55" t="str">
        <v>01/10/2026</v>
      </c>
      <c r="K55" t="str">
        <v>13:23:25</v>
      </c>
      <c r="L55">
        <v>-12.288296</v>
      </c>
      <c r="M55">
        <v>-76.87061</v>
      </c>
      <c r="N55">
        <f>HYPERLINK("https://www.google.com/maps/search/?api=1&amp;query=-12.288296,-76.87061","Carretera Panamericana Sur, Lurín, Lima")</f>
      </c>
      <c r="O55" t="str">
        <v>Excedió el límite de velocidad</v>
      </c>
      <c r="P55" t="str">
        <v/>
      </c>
      <c r="Q55">
        <v>562467.1</v>
      </c>
      <c r="R55" t="str">
        <v/>
      </c>
      <c r="S55">
        <v>82.8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90</v>
      </c>
      <c r="AC55" t="str">
        <v>01/10/2026</v>
      </c>
      <c r="AD55" t="str">
        <v>13:23:24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13:23:42</v>
      </c>
      <c r="AL55" t="str">
        <v>13:23:42</v>
      </c>
      <c r="AM55" t="str">
        <v/>
      </c>
    </row>
    <row r="56">
      <c r="A56">
        <v>55</v>
      </c>
      <c r="B56" t="str">
        <v>MASS BSF</v>
      </c>
      <c r="C56" t="str">
        <v>AKO-712</v>
      </c>
      <c r="D56" t="str">
        <v>AKO-712</v>
      </c>
      <c r="E56" t="str">
        <v/>
      </c>
      <c r="F56" t="str">
        <v>867162027717156</v>
      </c>
      <c r="G56" t="str">
        <v>TBD</v>
      </c>
      <c r="H56" t="str">
        <v/>
      </c>
      <c r="I56" t="str">
        <v/>
      </c>
      <c r="J56" t="str">
        <v>01/10/2026</v>
      </c>
      <c r="K56" t="str">
        <v>13:30:14</v>
      </c>
      <c r="L56">
        <v>-12.315865</v>
      </c>
      <c r="M56">
        <v>-76.83296</v>
      </c>
      <c r="N56">
        <f>HYPERLINK("https://www.google.com/maps/search/?api=1&amp;query=-12.315865,-76.83296","Antigua Panamericana Sur, Punta Hermosa, Lima")</f>
      </c>
      <c r="O56" t="str">
        <v>Vehículo apagado</v>
      </c>
      <c r="P56" t="str">
        <v>Vehículo Apagado</v>
      </c>
      <c r="Q56">
        <v>562472.4</v>
      </c>
      <c r="R56" t="str">
        <v/>
      </c>
      <c r="S56">
        <v>0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89</v>
      </c>
      <c r="AC56" t="str">
        <v>01/10/2026</v>
      </c>
      <c r="AD56" t="str">
        <v>13:30:17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13:30:36</v>
      </c>
      <c r="AL56" t="str">
        <v>13:30:36</v>
      </c>
      <c r="AM56" t="str">
        <v/>
      </c>
    </row>
    <row r="57">
      <c r="A57">
        <v>56</v>
      </c>
      <c r="B57" t="str">
        <v>MASS BSF</v>
      </c>
      <c r="C57" t="str">
        <v>AKO-712</v>
      </c>
      <c r="D57" t="str">
        <v>AKO-712</v>
      </c>
      <c r="E57" t="str">
        <v/>
      </c>
      <c r="F57" t="str">
        <v>867162027717156</v>
      </c>
      <c r="G57" t="str">
        <v>TBD</v>
      </c>
      <c r="H57" t="str">
        <v/>
      </c>
      <c r="I57" t="str">
        <v/>
      </c>
      <c r="J57" t="str">
        <v>01/10/2026</v>
      </c>
      <c r="K57" t="str">
        <v>13:52:48</v>
      </c>
      <c r="L57">
        <v>-12.315865</v>
      </c>
      <c r="M57">
        <v>-76.83296</v>
      </c>
      <c r="N57">
        <f>HYPERLINK("https://www.google.com/maps/search/?api=1&amp;query=-12.315865,-76.83296","Antigua Panamericana Sur, Punta Hermosa, Lima")</f>
      </c>
      <c r="O57" t="str">
        <v>Vehículo encendido</v>
      </c>
      <c r="P57" t="str">
        <v/>
      </c>
      <c r="Q57">
        <v>562472.4</v>
      </c>
      <c r="R57" t="str">
        <v/>
      </c>
      <c r="S57">
        <v>0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89</v>
      </c>
      <c r="AC57" t="str">
        <v>01/10/2026</v>
      </c>
      <c r="AD57" t="str">
        <v>13:30:17</v>
      </c>
      <c r="AE57">
        <f>IF("NOGPS"="NOGPS","GPS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13:53:01</v>
      </c>
      <c r="AL57" t="str">
        <v>13:53:01</v>
      </c>
      <c r="AM57" t="str">
        <v/>
      </c>
    </row>
    <row r="58">
      <c r="A58">
        <v>57</v>
      </c>
      <c r="B58" t="str">
        <v>MASS BSF</v>
      </c>
      <c r="C58" t="str">
        <v>AKO-712</v>
      </c>
      <c r="D58" t="str">
        <v>AKO-712</v>
      </c>
      <c r="E58" t="str">
        <v/>
      </c>
      <c r="F58" t="str">
        <v>867162027717156</v>
      </c>
      <c r="G58" t="str">
        <v>TBD</v>
      </c>
      <c r="H58" t="str">
        <v/>
      </c>
      <c r="I58" t="str">
        <v xml:space="preserve"> </v>
      </c>
      <c r="J58" t="str">
        <v>01/10/2026</v>
      </c>
      <c r="K58" t="str">
        <v>14:04:09</v>
      </c>
      <c r="L58">
        <v>-12.332705</v>
      </c>
      <c r="M58">
        <v>-76.82781</v>
      </c>
      <c r="N58">
        <f>HYPERLINK("https://www.google.com/maps/search/?api=1&amp;query=-12.332705,-76.82781","Avenida Sunset, Punta Hermosa, Lima")</f>
      </c>
      <c r="O58" t="str">
        <v>Llegó a la zona</v>
      </c>
      <c r="P58" t="str">
        <v/>
      </c>
      <c r="Q58">
        <v>562476.4</v>
      </c>
      <c r="R58" t="str">
        <v>662- M. SUNSET1 PH</v>
      </c>
      <c r="S58">
        <v>0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89</v>
      </c>
      <c r="AC58" t="str">
        <v>01/10/2026</v>
      </c>
      <c r="AD58" t="str">
        <v>14:03:44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14:04:22</v>
      </c>
      <c r="AL58" t="str">
        <v>14:04:22</v>
      </c>
      <c r="AM58" t="str">
        <v/>
      </c>
    </row>
    <row r="59">
      <c r="A59">
        <v>58</v>
      </c>
      <c r="B59" t="str">
        <v>MASS BSF</v>
      </c>
      <c r="C59" t="str">
        <v>AKO-712</v>
      </c>
      <c r="D59" t="str">
        <v>AKO-712</v>
      </c>
      <c r="E59" t="str">
        <v/>
      </c>
      <c r="F59" t="str">
        <v>867162027717156</v>
      </c>
      <c r="G59" t="str">
        <v>TBD</v>
      </c>
      <c r="H59" t="str">
        <v/>
      </c>
      <c r="I59" t="str">
        <v/>
      </c>
      <c r="J59" t="str">
        <v>01/10/2026</v>
      </c>
      <c r="K59" t="str">
        <v>14:04:42</v>
      </c>
      <c r="L59">
        <v>-12.332705</v>
      </c>
      <c r="M59">
        <v>-76.82781</v>
      </c>
      <c r="N59">
        <f>HYPERLINK("https://www.google.com/maps/search/?api=1&amp;query=-12.332705,-76.82781","Avenida Sunset, Punta Hermosa, Lima")</f>
      </c>
      <c r="O59" t="str">
        <v>Vehículo apagado</v>
      </c>
      <c r="P59" t="str">
        <v>Vehículo Apagado</v>
      </c>
      <c r="Q59">
        <v>562476.4</v>
      </c>
      <c r="R59" t="str">
        <v/>
      </c>
      <c r="S59">
        <v>0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89</v>
      </c>
      <c r="AC59" t="str">
        <v>01/10/2026</v>
      </c>
      <c r="AD59" t="str">
        <v>14:03:44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14:04:49</v>
      </c>
      <c r="AL59" t="str">
        <v>14:04:49</v>
      </c>
      <c r="AM59" t="str">
        <v/>
      </c>
    </row>
    <row r="60">
      <c r="A60">
        <v>59</v>
      </c>
      <c r="B60" t="str">
        <v>MASS BSF</v>
      </c>
      <c r="C60" t="str">
        <v>AKO-712</v>
      </c>
      <c r="D60" t="str">
        <v>AKO-712</v>
      </c>
      <c r="E60" t="str">
        <v/>
      </c>
      <c r="F60" t="str">
        <v>867162027717156</v>
      </c>
      <c r="G60" t="str">
        <v>TBD</v>
      </c>
      <c r="H60" t="str">
        <v/>
      </c>
      <c r="I60" t="str">
        <v/>
      </c>
      <c r="J60" t="str">
        <v>01/10/2026</v>
      </c>
      <c r="K60" t="str">
        <v>14:21:48</v>
      </c>
      <c r="L60">
        <v>-12.332674</v>
      </c>
      <c r="M60">
        <v>-76.827774</v>
      </c>
      <c r="N60">
        <f>HYPERLINK("https://www.google.com/maps/search/?api=1&amp;query=-12.332674,-76.827774","Avenida Sunset, Punta Hermosa, Lima")</f>
      </c>
      <c r="O60" t="str">
        <v>Vehículo encendido</v>
      </c>
      <c r="P60" t="str">
        <v/>
      </c>
      <c r="Q60">
        <v>562476.4</v>
      </c>
      <c r="R60" t="str">
        <v/>
      </c>
      <c r="S60">
        <v>0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89</v>
      </c>
      <c r="AC60" t="str">
        <v>01/10/2026</v>
      </c>
      <c r="AD60" t="str">
        <v>14:04:46</v>
      </c>
      <c r="AE60">
        <f>IF("NOGPS"="NOGPS","GPS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14:22:05</v>
      </c>
      <c r="AL60" t="str">
        <v>14:22:05</v>
      </c>
      <c r="AM60" t="str">
        <v/>
      </c>
    </row>
    <row r="61">
      <c r="A61">
        <v>60</v>
      </c>
      <c r="B61" t="str">
        <v>MASS BSF</v>
      </c>
      <c r="C61" t="str">
        <v>AKO-712</v>
      </c>
      <c r="D61" t="str">
        <v>AKO-712</v>
      </c>
      <c r="E61" t="str">
        <v/>
      </c>
      <c r="F61" t="str">
        <v>867162027717156</v>
      </c>
      <c r="G61" t="str">
        <v>TBD</v>
      </c>
      <c r="H61" t="str">
        <v/>
      </c>
      <c r="I61" t="str">
        <v xml:space="preserve"> </v>
      </c>
      <c r="J61" t="str">
        <v>01/10/2026</v>
      </c>
      <c r="K61" t="str">
        <v>14:22:57</v>
      </c>
      <c r="L61">
        <v>-12.331911</v>
      </c>
      <c r="M61">
        <v>-76.82744</v>
      </c>
      <c r="N61">
        <f>HYPERLINK("https://www.google.com/maps/search/?api=1&amp;query=-12.331911,-76.82744","Avenida Sunset, Punta Hermosa, Lima")</f>
      </c>
      <c r="O61" t="str">
        <v>Salió de zona</v>
      </c>
      <c r="P61" t="str">
        <v/>
      </c>
      <c r="Q61">
        <v>562476.4</v>
      </c>
      <c r="R61" t="str">
        <v>662- M. SUNSET1 PH</v>
      </c>
      <c r="S61">
        <v>14.3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89</v>
      </c>
      <c r="AC61" t="str">
        <v>01/10/2026</v>
      </c>
      <c r="AD61" t="str">
        <v>14:22:48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14:23:12</v>
      </c>
      <c r="AL61" t="str">
        <v>14:23:12</v>
      </c>
      <c r="AM61" t="str">
        <v/>
      </c>
    </row>
    <row r="62">
      <c r="A62">
        <v>61</v>
      </c>
      <c r="B62" t="str">
        <v>MASS BSF</v>
      </c>
      <c r="C62" t="str">
        <v>AKO-712</v>
      </c>
      <c r="D62" t="str">
        <v>AKO-712</v>
      </c>
      <c r="E62" t="str">
        <v/>
      </c>
      <c r="F62" t="str">
        <v>867162027717156</v>
      </c>
      <c r="G62" t="str">
        <v>TBD</v>
      </c>
      <c r="H62" t="str">
        <v/>
      </c>
      <c r="I62" t="str">
        <v xml:space="preserve"> </v>
      </c>
      <c r="J62" t="str">
        <v>01/10/2026</v>
      </c>
      <c r="K62" t="str">
        <v>14:59:58</v>
      </c>
      <c r="L62">
        <v>-12.212919</v>
      </c>
      <c r="M62">
        <v>-76.95946</v>
      </c>
      <c r="N62">
        <f>HYPERLINK("https://www.google.com/maps/search/?api=1&amp;query=-12.212919,-76.95946","Avenida Villa del Mar, Villa El Salvador, Lima")</f>
      </c>
      <c r="O62" t="str">
        <v>Llegó a la zona</v>
      </c>
      <c r="P62" t="str">
        <v/>
      </c>
      <c r="Q62">
        <v>562501.6</v>
      </c>
      <c r="R62" t="str">
        <v>BASE-OSLOGISTICS</v>
      </c>
      <c r="S62">
        <v>11.2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89</v>
      </c>
      <c r="AC62" t="str">
        <v>01/10/2026</v>
      </c>
      <c r="AD62" t="str">
        <v>14:59:48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15:00:10</v>
      </c>
      <c r="AL62" t="str">
        <v>15:00:10</v>
      </c>
      <c r="AM62" t="str">
        <v/>
      </c>
    </row>
    <row r="63">
      <c r="A63">
        <v>62</v>
      </c>
      <c r="B63" t="str">
        <v>MASS BSF</v>
      </c>
      <c r="C63" t="str">
        <v>AKO-712</v>
      </c>
      <c r="D63" t="str">
        <v>AKO-712</v>
      </c>
      <c r="E63" t="str">
        <v/>
      </c>
      <c r="F63" t="str">
        <v>867162027717156</v>
      </c>
      <c r="G63" t="str">
        <v>TBD</v>
      </c>
      <c r="H63" t="str">
        <v/>
      </c>
      <c r="I63" t="str">
        <v/>
      </c>
      <c r="J63" t="str">
        <v>01/10/2026</v>
      </c>
      <c r="K63" t="str">
        <v>15:02:30</v>
      </c>
      <c r="L63">
        <v>-12.212892</v>
      </c>
      <c r="M63">
        <v>-76.95923</v>
      </c>
      <c r="N63">
        <f>HYPERLINK("https://www.google.com/maps/search/?api=1&amp;query=-12.212892,-76.95923","Avenida Villa del Mar, Villa El Salvador, Lima")</f>
      </c>
      <c r="O63" t="str">
        <v>Vehículo apagado</v>
      </c>
      <c r="P63" t="str">
        <v>Vehículo Apagado</v>
      </c>
      <c r="Q63">
        <v>562501.8</v>
      </c>
      <c r="R63" t="str">
        <v/>
      </c>
      <c r="S63">
        <v>0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89</v>
      </c>
      <c r="AC63" t="str">
        <v>01/10/2026</v>
      </c>
      <c r="AD63" t="str">
        <v>15:02:32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15:02:48</v>
      </c>
      <c r="AL63" t="str">
        <v>15:02:48</v>
      </c>
      <c r="AM63" t="str">
        <v/>
      </c>
    </row>
    <row r="64">
      <c r="A64">
        <v>63</v>
      </c>
      <c r="B64" t="str">
        <v>MASS BSF</v>
      </c>
      <c r="C64" t="str">
        <v>AKO-712</v>
      </c>
      <c r="D64" t="str">
        <v>AKO-712</v>
      </c>
      <c r="E64" t="str">
        <v/>
      </c>
      <c r="F64" t="str">
        <v>867162027717156</v>
      </c>
      <c r="G64" t="str">
        <v>TBD</v>
      </c>
      <c r="H64" t="str">
        <v/>
      </c>
      <c r="I64" t="str">
        <v/>
      </c>
      <c r="J64" t="str">
        <v>01/10/2026</v>
      </c>
      <c r="K64" t="str">
        <v>15:08:36</v>
      </c>
      <c r="L64">
        <v>-12.212892</v>
      </c>
      <c r="M64">
        <v>-76.95923</v>
      </c>
      <c r="N64">
        <f>HYPERLINK("https://www.google.com/maps/search/?api=1&amp;query=-12.212892,-76.95923","Avenida Villa del Mar, Villa El Salvador, Lima")</f>
      </c>
      <c r="O64" t="str">
        <v>Vehículo encendido</v>
      </c>
      <c r="P64" t="str">
        <v/>
      </c>
      <c r="Q64">
        <v>562501.9</v>
      </c>
      <c r="R64" t="str">
        <v/>
      </c>
      <c r="S64">
        <v>0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89</v>
      </c>
      <c r="AC64" t="str">
        <v>01/10/2026</v>
      </c>
      <c r="AD64" t="str">
        <v>15:02:32</v>
      </c>
      <c r="AE64">
        <f>IF("NOGPS"="NOGPS","GPS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15:08:59</v>
      </c>
      <c r="AL64" t="str">
        <v>15:08:59</v>
      </c>
      <c r="AM64" t="str">
        <v/>
      </c>
    </row>
    <row r="65">
      <c r="A65">
        <v>64</v>
      </c>
      <c r="B65" t="str">
        <v>MASS BSF</v>
      </c>
      <c r="C65" t="str">
        <v>AKO-712</v>
      </c>
      <c r="D65" t="str">
        <v>AKO-712</v>
      </c>
      <c r="E65" t="str">
        <v/>
      </c>
      <c r="F65" t="str">
        <v>867162027717156</v>
      </c>
      <c r="G65" t="str">
        <v>TBD</v>
      </c>
      <c r="H65" t="str">
        <v/>
      </c>
      <c r="I65" t="str">
        <v/>
      </c>
      <c r="J65" t="str">
        <v>01/10/2026</v>
      </c>
      <c r="K65" t="str">
        <v>15:09:18</v>
      </c>
      <c r="L65">
        <v>-12.212842</v>
      </c>
      <c r="M65">
        <v>-76.958916</v>
      </c>
      <c r="N65">
        <f>HYPERLINK("https://www.google.com/maps/search/?api=1&amp;query=-12.212842,-76.958916","Avenida Villa del Mar, Villa El Salvador, Lima")</f>
      </c>
      <c r="O65" t="str">
        <v>Vehículo apagado</v>
      </c>
      <c r="P65" t="str">
        <v>Vehículo Apagado</v>
      </c>
      <c r="Q65">
        <v>562501.9</v>
      </c>
      <c r="R65" t="str">
        <v/>
      </c>
      <c r="S65">
        <v>0.9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89</v>
      </c>
      <c r="AC65" t="str">
        <v>01/10/2026</v>
      </c>
      <c r="AD65" t="str">
        <v>15:08:40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15:09:36</v>
      </c>
      <c r="AL65" t="str">
        <v>15:09:36</v>
      </c>
      <c r="AM65" t="str">
        <v/>
      </c>
    </row>
    <row r="66">
      <c r="A66">
        <v>65</v>
      </c>
      <c r="B66" t="str">
        <v>MASS BSF</v>
      </c>
      <c r="C66" t="str">
        <v>AKO-712</v>
      </c>
      <c r="D66" t="str">
        <v>AKO-712</v>
      </c>
      <c r="E66" t="str">
        <v/>
      </c>
      <c r="F66" t="str">
        <v>867162027717156</v>
      </c>
      <c r="G66" t="str">
        <v>TBD</v>
      </c>
      <c r="H66" t="str">
        <v/>
      </c>
      <c r="I66" t="str">
        <v/>
      </c>
      <c r="J66" t="str">
        <v>01/10/2026</v>
      </c>
      <c r="K66" t="str">
        <v>15:11:32</v>
      </c>
      <c r="L66">
        <v>-12.21285</v>
      </c>
      <c r="M66">
        <v>-76.95892</v>
      </c>
      <c r="N66">
        <f>HYPERLINK("https://www.google.com/maps/search/?api=1&amp;query=-12.21285,-76.95892","Avenida Villa del Mar, Villa El Salvador, Lima")</f>
      </c>
      <c r="O66" t="str">
        <v>Vehículo encendido</v>
      </c>
      <c r="P66" t="str">
        <v/>
      </c>
      <c r="Q66">
        <v>562501.9</v>
      </c>
      <c r="R66" t="str">
        <v/>
      </c>
      <c r="S66">
        <v>0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89</v>
      </c>
      <c r="AC66" t="str">
        <v>01/10/2026</v>
      </c>
      <c r="AD66" t="str">
        <v>15:09:21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15:11:47</v>
      </c>
      <c r="AL66" t="str">
        <v>15:11:47</v>
      </c>
      <c r="AM66" t="str">
        <v/>
      </c>
    </row>
    <row r="67">
      <c r="A67">
        <v>66</v>
      </c>
      <c r="B67" t="str">
        <v>MASS BSF</v>
      </c>
      <c r="C67" t="str">
        <v>AKO-712</v>
      </c>
      <c r="D67" t="str">
        <v>AKO-712</v>
      </c>
      <c r="E67" t="str">
        <v/>
      </c>
      <c r="F67" t="str">
        <v>867162027717156</v>
      </c>
      <c r="G67" t="str">
        <v>TBD</v>
      </c>
      <c r="H67" t="str">
        <v/>
      </c>
      <c r="I67" t="str">
        <v/>
      </c>
      <c r="J67" t="str">
        <v>01/10/2026</v>
      </c>
      <c r="K67" t="str">
        <v>15:14:38</v>
      </c>
      <c r="L67">
        <v>-12.21283</v>
      </c>
      <c r="M67">
        <v>-76.95893</v>
      </c>
      <c r="N67">
        <f>HYPERLINK("https://www.google.com/maps/search/?api=1&amp;query=-12.21283,-76.95893","Avenida Villa del Mar, Villa El Salvador, Lima")</f>
      </c>
      <c r="O67" t="str">
        <v>Vehículo apagado</v>
      </c>
      <c r="P67" t="str">
        <v>Vehículo Apagado</v>
      </c>
      <c r="Q67">
        <v>562501.9</v>
      </c>
      <c r="R67" t="str">
        <v/>
      </c>
      <c r="S67">
        <v>0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89</v>
      </c>
      <c r="AC67" t="str">
        <v>01/10/2026</v>
      </c>
      <c r="AD67" t="str">
        <v>15:14:30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15:14:54</v>
      </c>
      <c r="AL67" t="str">
        <v>15:14:54</v>
      </c>
      <c r="AM67" t="str">
        <v/>
      </c>
    </row>
  </sheetData>
  <ignoredErrors>
    <ignoredError numberStoredAsText="1" sqref="A1:AM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