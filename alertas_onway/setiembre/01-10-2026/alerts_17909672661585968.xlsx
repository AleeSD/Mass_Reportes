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CLW-864</v>
      </c>
      <c r="D2" t="str">
        <v>CLW-864</v>
      </c>
      <c r="E2" t="str">
        <v/>
      </c>
      <c r="F2" t="str">
        <v>867162029823242</v>
      </c>
      <c r="G2" t="str">
        <v>TBD</v>
      </c>
      <c r="H2" t="str">
        <v/>
      </c>
      <c r="I2" t="str">
        <v/>
      </c>
      <c r="J2" t="str">
        <v>01/10/2026</v>
      </c>
      <c r="K2" t="str">
        <v>06:23:00</v>
      </c>
      <c r="L2">
        <v>-12.213149</v>
      </c>
      <c r="M2">
        <v>-76.95892</v>
      </c>
      <c r="N2">
        <f>HYPERLINK("https://www.google.com/maps/search/?api=1&amp;query=-12.213149,-76.95892","Villa El Salvador, Lima")</f>
      </c>
      <c r="O2" t="str">
        <v>Vehículo encendido</v>
      </c>
      <c r="P2" t="str">
        <v/>
      </c>
      <c r="Q2">
        <v>11542.4</v>
      </c>
      <c r="R2" t="str">
        <v/>
      </c>
      <c r="S2">
        <v>0</v>
      </c>
      <c r="T2">
        <v>138.45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06:00:08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06:23:09</v>
      </c>
      <c r="AL2" t="str">
        <v>06:23:09</v>
      </c>
      <c r="AM2" t="str">
        <v/>
      </c>
    </row>
    <row r="3">
      <c r="A3">
        <v>2</v>
      </c>
      <c r="B3" t="str">
        <v>MASS BSF</v>
      </c>
      <c r="C3" t="str">
        <v>CLW-864</v>
      </c>
      <c r="D3" t="str">
        <v>CLW-864</v>
      </c>
      <c r="E3" t="str">
        <v/>
      </c>
      <c r="F3" t="str">
        <v>867162029823242</v>
      </c>
      <c r="G3" t="str">
        <v>TBD</v>
      </c>
      <c r="H3" t="str">
        <v/>
      </c>
      <c r="I3" t="str">
        <v xml:space="preserve"> </v>
      </c>
      <c r="J3" t="str">
        <v>01/10/2026</v>
      </c>
      <c r="K3" t="str">
        <v>06:29:11</v>
      </c>
      <c r="L3">
        <v>-12.213811</v>
      </c>
      <c r="M3">
        <v>-76.96078</v>
      </c>
      <c r="N3">
        <f>HYPERLINK("https://www.google.com/maps/search/?api=1&amp;query=-12.213811,-76.96078","Avenida Villa del Mar, Villa El Salvador, Lima")</f>
      </c>
      <c r="O3" t="str">
        <v>Salió de zona</v>
      </c>
      <c r="P3" t="str">
        <v/>
      </c>
      <c r="Q3">
        <v>11542.5</v>
      </c>
      <c r="R3" t="str">
        <v>BASE-OSLOGISTICS</v>
      </c>
      <c r="S3">
        <v>9.2</v>
      </c>
      <c r="T3">
        <v>138.45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06:28:57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06:29:30</v>
      </c>
      <c r="AL3" t="str">
        <v>06:29:30</v>
      </c>
      <c r="AM3" t="str">
        <v/>
      </c>
    </row>
    <row r="4">
      <c r="A4">
        <v>3</v>
      </c>
      <c r="B4" t="str">
        <v>MASS BSF</v>
      </c>
      <c r="C4" t="str">
        <v>CLW-864</v>
      </c>
      <c r="D4" t="str">
        <v>CLW-864</v>
      </c>
      <c r="E4" t="str">
        <v/>
      </c>
      <c r="F4" t="str">
        <v>867162029823242</v>
      </c>
      <c r="G4" t="str">
        <v>TBD</v>
      </c>
      <c r="H4" t="str">
        <v/>
      </c>
      <c r="I4" t="str">
        <v/>
      </c>
      <c r="J4" t="str">
        <v>01/10/2026</v>
      </c>
      <c r="K4" t="str">
        <v>06:47:39</v>
      </c>
      <c r="L4">
        <v>-12.264177</v>
      </c>
      <c r="M4">
        <v>-76.90887</v>
      </c>
      <c r="N4">
        <f>HYPERLINK("https://www.google.com/maps/search/?api=1&amp;query=-12.264177,-76.90887","Carretera Panamericana Sur, Lurín, Lima")</f>
      </c>
      <c r="O4" t="str">
        <v>Excedió el límite de velocidad</v>
      </c>
      <c r="P4" t="str">
        <v/>
      </c>
      <c r="Q4">
        <v>11555.8</v>
      </c>
      <c r="R4" t="str">
        <v/>
      </c>
      <c r="S4">
        <v>84.8</v>
      </c>
      <c r="T4">
        <v>138.45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06:47:39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06:47:51</v>
      </c>
      <c r="AL4" t="str">
        <v>06:47:51</v>
      </c>
      <c r="AM4" t="str">
        <v/>
      </c>
    </row>
    <row r="5">
      <c r="A5">
        <v>4</v>
      </c>
      <c r="B5" t="str">
        <v>MASS BSF</v>
      </c>
      <c r="C5" t="str">
        <v>CLW-864</v>
      </c>
      <c r="D5" t="str">
        <v>CLW-864</v>
      </c>
      <c r="E5" t="str">
        <v/>
      </c>
      <c r="F5" t="str">
        <v>867162029823242</v>
      </c>
      <c r="G5" t="str">
        <v>TBD</v>
      </c>
      <c r="H5" t="str">
        <v/>
      </c>
      <c r="I5" t="str">
        <v/>
      </c>
      <c r="J5" t="str">
        <v>01/10/2026</v>
      </c>
      <c r="K5" t="str">
        <v>06:48:54</v>
      </c>
      <c r="L5">
        <v>-12.271688</v>
      </c>
      <c r="M5">
        <v>-76.89684</v>
      </c>
      <c r="N5">
        <f>HYPERLINK("https://www.google.com/maps/search/?api=1&amp;query=-12.271688,-76.89684","Carretera Panamericana Sur, Lurín, Lima")</f>
      </c>
      <c r="O5" t="str">
        <v>Excedió el límite de velocidad</v>
      </c>
      <c r="P5" t="str">
        <v/>
      </c>
      <c r="Q5">
        <v>11557.3</v>
      </c>
      <c r="R5" t="str">
        <v/>
      </c>
      <c r="S5">
        <v>84.1</v>
      </c>
      <c r="T5">
        <v>138.45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06:48:54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06:49:10</v>
      </c>
      <c r="AL5" t="str">
        <v>06:49:10</v>
      </c>
      <c r="AM5" t="str">
        <v/>
      </c>
    </row>
    <row r="6">
      <c r="A6">
        <v>5</v>
      </c>
      <c r="B6" t="str">
        <v>MASS BSF</v>
      </c>
      <c r="C6" t="str">
        <v>CLW-864</v>
      </c>
      <c r="D6" t="str">
        <v>CLW-864</v>
      </c>
      <c r="E6" t="str">
        <v/>
      </c>
      <c r="F6" t="str">
        <v>867162029823242</v>
      </c>
      <c r="G6" t="str">
        <v>TBD</v>
      </c>
      <c r="H6" t="str">
        <v/>
      </c>
      <c r="I6" t="str">
        <v/>
      </c>
      <c r="J6" t="str">
        <v>01/10/2026</v>
      </c>
      <c r="K6" t="str">
        <v>06:50:49</v>
      </c>
      <c r="L6">
        <v>-12.284121</v>
      </c>
      <c r="M6">
        <v>-76.877106</v>
      </c>
      <c r="N6">
        <f>HYPERLINK("https://www.google.com/maps/search/?api=1&amp;query=-12.284121,-76.877106","Carretera Panamericana Sur, Lurín, Lima")</f>
      </c>
      <c r="O6" t="str">
        <v>Excedió el límite de velocidad</v>
      </c>
      <c r="P6" t="str">
        <v/>
      </c>
      <c r="Q6">
        <v>11559.9</v>
      </c>
      <c r="R6" t="str">
        <v/>
      </c>
      <c r="S6">
        <v>83.3</v>
      </c>
      <c r="T6">
        <v>138.45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06:50:48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06:51:01</v>
      </c>
      <c r="AL6" t="str">
        <v>06:51:01</v>
      </c>
      <c r="AM6" t="str">
        <v/>
      </c>
    </row>
    <row r="7">
      <c r="A7">
        <v>6</v>
      </c>
      <c r="B7" t="str">
        <v>MASS BSF</v>
      </c>
      <c r="C7" t="str">
        <v>CLW-864</v>
      </c>
      <c r="D7" t="str">
        <v>CLW-864</v>
      </c>
      <c r="E7" t="str">
        <v/>
      </c>
      <c r="F7" t="str">
        <v>867162029823242</v>
      </c>
      <c r="G7" t="str">
        <v>TBD</v>
      </c>
      <c r="H7" t="str">
        <v/>
      </c>
      <c r="I7" t="str">
        <v/>
      </c>
      <c r="J7" t="str">
        <v>01/10/2026</v>
      </c>
      <c r="K7" t="str">
        <v>06:52:58</v>
      </c>
      <c r="L7">
        <v>-12.297047</v>
      </c>
      <c r="M7">
        <v>-76.855736</v>
      </c>
      <c r="N7">
        <f>HYPERLINK("https://www.google.com/maps/search/?api=1&amp;query=-12.297047,-76.855736","Carretera Panamericana Sur, Lurín, Lima")</f>
      </c>
      <c r="O7" t="str">
        <v>Excedió el límite de velocidad</v>
      </c>
      <c r="P7" t="str">
        <v/>
      </c>
      <c r="Q7">
        <v>11562.6</v>
      </c>
      <c r="R7" t="str">
        <v/>
      </c>
      <c r="S7">
        <v>82.1</v>
      </c>
      <c r="T7">
        <v>138.45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06:52:57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06:53:06</v>
      </c>
      <c r="AL7" t="str">
        <v>06:53:06</v>
      </c>
      <c r="AM7" t="str">
        <v/>
      </c>
    </row>
    <row r="8">
      <c r="A8">
        <v>7</v>
      </c>
      <c r="B8" t="str">
        <v>MASS BSF</v>
      </c>
      <c r="C8" t="str">
        <v>CLW-864</v>
      </c>
      <c r="D8" t="str">
        <v>CLW-864</v>
      </c>
      <c r="E8" t="str">
        <v/>
      </c>
      <c r="F8" t="str">
        <v>867162029823242</v>
      </c>
      <c r="G8" t="str">
        <v>TBD</v>
      </c>
      <c r="H8" t="str">
        <v/>
      </c>
      <c r="I8" t="str">
        <v/>
      </c>
      <c r="J8" t="str">
        <v>01/10/2026</v>
      </c>
      <c r="K8" t="str">
        <v>06:56:19</v>
      </c>
      <c r="L8">
        <v>-12.319021</v>
      </c>
      <c r="M8">
        <v>-76.829544</v>
      </c>
      <c r="N8">
        <f>HYPERLINK("https://www.google.com/maps/search/?api=1&amp;query=-12.319021,-76.829544","Carretera Panamericana Sur, Punta Hermosa, Lima")</f>
      </c>
      <c r="O8" t="str">
        <v>Excedió el límite de velocidad</v>
      </c>
      <c r="P8" t="str">
        <v/>
      </c>
      <c r="Q8">
        <v>11566.5</v>
      </c>
      <c r="R8" t="str">
        <v/>
      </c>
      <c r="S8">
        <v>80.3</v>
      </c>
      <c r="T8">
        <v>138.45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06:56:18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06:56:31</v>
      </c>
      <c r="AL8" t="str">
        <v>06:56:31</v>
      </c>
      <c r="AM8" t="str">
        <v/>
      </c>
    </row>
    <row r="9">
      <c r="A9">
        <v>8</v>
      </c>
      <c r="B9" t="str">
        <v>MASS BSF</v>
      </c>
      <c r="C9" t="str">
        <v>CLW-864</v>
      </c>
      <c r="D9" t="str">
        <v>CLW-864</v>
      </c>
      <c r="E9" t="str">
        <v/>
      </c>
      <c r="F9" t="str">
        <v>867162029823242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07:01:36</v>
      </c>
      <c r="L9">
        <v>-12.317483</v>
      </c>
      <c r="M9">
        <v>-76.82953</v>
      </c>
      <c r="N9">
        <f>HYPERLINK("https://www.google.com/maps/search/?api=1&amp;query=-12.317483,-76.82953","Punta Hermosa, Lima")</f>
      </c>
      <c r="O9" t="str">
        <v>Llegó a la zona</v>
      </c>
      <c r="P9" t="str">
        <v/>
      </c>
      <c r="Q9">
        <v>11571</v>
      </c>
      <c r="R9" t="str">
        <v>MASS BSF 1</v>
      </c>
      <c r="S9">
        <v>8.4</v>
      </c>
      <c r="T9">
        <v>138.45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07:01:36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07:01:57</v>
      </c>
      <c r="AL9" t="str">
        <v>07:01:57</v>
      </c>
      <c r="AM9" t="str">
        <v/>
      </c>
    </row>
    <row r="10">
      <c r="A10">
        <v>9</v>
      </c>
      <c r="B10" t="str">
        <v>MASS BSF</v>
      </c>
      <c r="C10" t="str">
        <v>CLW-864</v>
      </c>
      <c r="D10" t="str">
        <v>CLW-864</v>
      </c>
      <c r="E10" t="str">
        <v/>
      </c>
      <c r="F10" t="str">
        <v>867162029823242</v>
      </c>
      <c r="G10" t="str">
        <v>TBD</v>
      </c>
      <c r="H10" t="str">
        <v/>
      </c>
      <c r="I10" t="str">
        <v/>
      </c>
      <c r="J10" t="str">
        <v>01/10/2026</v>
      </c>
      <c r="K10" t="str">
        <v>07:09:02</v>
      </c>
      <c r="L10">
        <v>-12.317612</v>
      </c>
      <c r="M10">
        <v>-76.82442</v>
      </c>
      <c r="N10">
        <f>HYPERLINK("https://www.google.com/maps/search/?api=1&amp;query=-12.317612,-76.82442","Punta Hermosa, Lima")</f>
      </c>
      <c r="O10" t="str">
        <v>Inicio de ralentí</v>
      </c>
      <c r="P10" t="str">
        <v>Vehículo Detenido</v>
      </c>
      <c r="Q10">
        <v>11571.9</v>
      </c>
      <c r="R10" t="str">
        <v/>
      </c>
      <c r="S10">
        <v>0</v>
      </c>
      <c r="T10">
        <v>138.45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07:08:57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07:09:19</v>
      </c>
      <c r="AL10" t="str">
        <v>07:09:19</v>
      </c>
      <c r="AM10" t="str">
        <v/>
      </c>
    </row>
    <row r="11">
      <c r="A11">
        <v>10</v>
      </c>
      <c r="B11" t="str">
        <v>MASS BSF</v>
      </c>
      <c r="C11" t="str">
        <v>CLW-864</v>
      </c>
      <c r="D11" t="str">
        <v>CLW-864</v>
      </c>
      <c r="E11" t="str">
        <v/>
      </c>
      <c r="F11" t="str">
        <v>867162029823242</v>
      </c>
      <c r="G11" t="str">
        <v>TBD</v>
      </c>
      <c r="H11" t="str">
        <v/>
      </c>
      <c r="I11" t="str">
        <v/>
      </c>
      <c r="J11" t="str">
        <v>01/10/2026</v>
      </c>
      <c r="K11" t="str">
        <v>07:11:19</v>
      </c>
      <c r="L11">
        <v>-12.317612</v>
      </c>
      <c r="M11">
        <v>-76.82442</v>
      </c>
      <c r="N11">
        <f>HYPERLINK("https://www.google.com/maps/search/?api=1&amp;query=-12.317612,-76.82442","Punta Hermosa, Lima")</f>
      </c>
      <c r="O11" t="str">
        <v>Vehículo apagado</v>
      </c>
      <c r="P11" t="str">
        <v>Vehículo Apagado</v>
      </c>
      <c r="Q11">
        <v>11571.9</v>
      </c>
      <c r="R11" t="str">
        <v/>
      </c>
      <c r="S11">
        <v>0</v>
      </c>
      <c r="T11">
        <v>139.25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07:10:57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07:11:28</v>
      </c>
      <c r="AL11" t="str">
        <v>07:11:28</v>
      </c>
      <c r="AM11" t="str">
        <v/>
      </c>
    </row>
    <row r="12">
      <c r="A12">
        <v>11</v>
      </c>
      <c r="B12" t="str">
        <v>MASS BSF</v>
      </c>
      <c r="C12" t="str">
        <v>CLW-864</v>
      </c>
      <c r="D12" t="str">
        <v>CLW-864</v>
      </c>
      <c r="E12" t="str">
        <v/>
      </c>
      <c r="F12" t="str">
        <v>867162029823242</v>
      </c>
      <c r="G12" t="str">
        <v>TBD</v>
      </c>
      <c r="H12" t="str">
        <v/>
      </c>
      <c r="I12" t="str">
        <v/>
      </c>
      <c r="J12" t="str">
        <v>01/10/2026</v>
      </c>
      <c r="K12" t="str">
        <v>07:12:16</v>
      </c>
      <c r="L12">
        <v>-12.317745</v>
      </c>
      <c r="M12">
        <v>-76.82443</v>
      </c>
      <c r="N12">
        <f>HYPERLINK("https://www.google.com/maps/search/?api=1&amp;query=-12.317745,-76.82443","Punta Hermosa, Lima")</f>
      </c>
      <c r="O12" t="str">
        <v>Fin de ralentí</v>
      </c>
      <c r="P12" t="str">
        <v/>
      </c>
      <c r="Q12">
        <v>11571.9</v>
      </c>
      <c r="R12" t="str">
        <v/>
      </c>
      <c r="S12">
        <v>0</v>
      </c>
      <c r="T12">
        <v>139.25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07:11:23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07:12:31</v>
      </c>
      <c r="AL12" t="str">
        <v>07:12:31</v>
      </c>
      <c r="AM12" t="str">
        <v/>
      </c>
    </row>
    <row r="13">
      <c r="A13">
        <v>12</v>
      </c>
      <c r="B13" t="str">
        <v>MASS BSF</v>
      </c>
      <c r="C13" t="str">
        <v>CLW-864</v>
      </c>
      <c r="D13" t="str">
        <v>CLW-864</v>
      </c>
      <c r="E13" t="str">
        <v/>
      </c>
      <c r="F13" t="str">
        <v>867162029823242</v>
      </c>
      <c r="G13" t="str">
        <v>TBD</v>
      </c>
      <c r="H13" t="str">
        <v/>
      </c>
      <c r="I13" t="str">
        <v/>
      </c>
      <c r="J13" t="str">
        <v>01/10/2026</v>
      </c>
      <c r="K13" t="str">
        <v>07:13:14</v>
      </c>
      <c r="L13">
        <v>-12.317745</v>
      </c>
      <c r="M13">
        <v>-76.82443</v>
      </c>
      <c r="N13">
        <f>HYPERLINK("https://www.google.com/maps/search/?api=1&amp;query=-12.317745,-76.82443","Punta Hermosa, Lima")</f>
      </c>
      <c r="O13" t="str">
        <v>Vehículo encendido</v>
      </c>
      <c r="P13" t="str">
        <v/>
      </c>
      <c r="Q13">
        <v>11571.9</v>
      </c>
      <c r="R13" t="str">
        <v/>
      </c>
      <c r="S13">
        <v>0</v>
      </c>
      <c r="T13">
        <v>139.25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07:11:23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07:13:40</v>
      </c>
      <c r="AL13" t="str">
        <v>07:13:40</v>
      </c>
      <c r="AM13" t="str">
        <v/>
      </c>
    </row>
    <row r="14">
      <c r="A14">
        <v>13</v>
      </c>
      <c r="B14" t="str">
        <v>MASS BSF</v>
      </c>
      <c r="C14" t="str">
        <v>CLW-864</v>
      </c>
      <c r="D14" t="str">
        <v>CLW-864</v>
      </c>
      <c r="E14" t="str">
        <v/>
      </c>
      <c r="F14" t="str">
        <v>867162029823242</v>
      </c>
      <c r="G14" t="str">
        <v>TBD</v>
      </c>
      <c r="H14" t="str">
        <v/>
      </c>
      <c r="I14" t="str">
        <v/>
      </c>
      <c r="J14" t="str">
        <v>01/10/2026</v>
      </c>
      <c r="K14" t="str">
        <v>07:13:22</v>
      </c>
      <c r="L14">
        <v>-12.317677</v>
      </c>
      <c r="M14">
        <v>-76.82425</v>
      </c>
      <c r="N14">
        <f>HYPERLINK("https://www.google.com/maps/search/?api=1&amp;query=-12.317677,-76.82425","Punta Hermosa, Lima")</f>
      </c>
      <c r="O14" t="str">
        <v>Vehículo apagado</v>
      </c>
      <c r="P14" t="str">
        <v>Vehículo Apagado</v>
      </c>
      <c r="Q14">
        <v>11571.9</v>
      </c>
      <c r="R14" t="str">
        <v/>
      </c>
      <c r="S14">
        <v>0</v>
      </c>
      <c r="T14">
        <v>139.25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07:13:24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07:13:49</v>
      </c>
      <c r="AL14" t="str">
        <v>07:13:49</v>
      </c>
      <c r="AM14" t="str">
        <v/>
      </c>
    </row>
    <row r="15">
      <c r="A15">
        <v>14</v>
      </c>
      <c r="B15" t="str">
        <v>MASS BSF</v>
      </c>
      <c r="C15" t="str">
        <v>CLW-864</v>
      </c>
      <c r="D15" t="str">
        <v>CLW-864</v>
      </c>
      <c r="E15" t="str">
        <v/>
      </c>
      <c r="F15" t="str">
        <v>867162029823242</v>
      </c>
      <c r="G15" t="str">
        <v>TBD</v>
      </c>
      <c r="H15" t="str">
        <v/>
      </c>
      <c r="I15" t="str">
        <v/>
      </c>
      <c r="J15" t="str">
        <v>01/10/2026</v>
      </c>
      <c r="K15" t="str">
        <v>07:13:24</v>
      </c>
      <c r="L15">
        <v>-12.317677</v>
      </c>
      <c r="M15">
        <v>-76.82425</v>
      </c>
      <c r="N15">
        <f>HYPERLINK("https://www.google.com/maps/search/?api=1&amp;query=-12.317677,-76.82425","Punta Hermosa, Lima")</f>
      </c>
      <c r="O15" t="str">
        <v>Vehículo encendido</v>
      </c>
      <c r="P15" t="str">
        <v/>
      </c>
      <c r="Q15">
        <v>11571.9</v>
      </c>
      <c r="R15" t="str">
        <v/>
      </c>
      <c r="S15">
        <v>0</v>
      </c>
      <c r="T15">
        <v>139.25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07:13:24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07:13:51</v>
      </c>
      <c r="AL15" t="str">
        <v>07:13:51</v>
      </c>
      <c r="AM15" t="str">
        <v/>
      </c>
    </row>
    <row r="16">
      <c r="A16">
        <v>15</v>
      </c>
      <c r="B16" t="str">
        <v>MASS BSF</v>
      </c>
      <c r="C16" t="str">
        <v>CLW-864</v>
      </c>
      <c r="D16" t="str">
        <v>CLW-864</v>
      </c>
      <c r="E16" t="str">
        <v/>
      </c>
      <c r="F16" t="str">
        <v>867162029823242</v>
      </c>
      <c r="G16" t="str">
        <v>TBD</v>
      </c>
      <c r="H16" t="str">
        <v/>
      </c>
      <c r="I16" t="str">
        <v/>
      </c>
      <c r="J16" t="str">
        <v>01/10/2026</v>
      </c>
      <c r="K16" t="str">
        <v>07:16:48</v>
      </c>
      <c r="L16">
        <v>-12.31768</v>
      </c>
      <c r="M16">
        <v>-76.824265</v>
      </c>
      <c r="N16">
        <f>HYPERLINK("https://www.google.com/maps/search/?api=1&amp;query=-12.31768,-76.824265","Punta Hermosa, Lima")</f>
      </c>
      <c r="O16" t="str">
        <v>Vehículo apagado</v>
      </c>
      <c r="P16" t="str">
        <v>Vehículo Apagado</v>
      </c>
      <c r="Q16">
        <v>11571.9</v>
      </c>
      <c r="R16" t="str">
        <v/>
      </c>
      <c r="S16">
        <v>0</v>
      </c>
      <c r="T16">
        <v>139.3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07:16:50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07:17:08</v>
      </c>
      <c r="AL16" t="str">
        <v>07:17:08</v>
      </c>
      <c r="AM16" t="str">
        <v/>
      </c>
    </row>
    <row r="17">
      <c r="A17">
        <v>16</v>
      </c>
      <c r="B17" t="str">
        <v>MASS BSF</v>
      </c>
      <c r="C17" t="str">
        <v>CLW-864</v>
      </c>
      <c r="D17" t="str">
        <v>CLW-864</v>
      </c>
      <c r="E17" t="str">
        <v/>
      </c>
      <c r="F17" t="str">
        <v>867162029823242</v>
      </c>
      <c r="G17" t="str">
        <v>TBD</v>
      </c>
      <c r="H17" t="str">
        <v/>
      </c>
      <c r="I17" t="str">
        <v/>
      </c>
      <c r="J17" t="str">
        <v>01/10/2026</v>
      </c>
      <c r="K17" t="str">
        <v>07:19:47</v>
      </c>
      <c r="L17">
        <v>-12.31768</v>
      </c>
      <c r="M17">
        <v>-76.824265</v>
      </c>
      <c r="N17">
        <f>HYPERLINK("https://www.google.com/maps/search/?api=1&amp;query=-12.31768,-76.824265","Punta Hermosa, Lima")</f>
      </c>
      <c r="O17" t="str">
        <v>Vehículo encendido</v>
      </c>
      <c r="P17" t="str">
        <v/>
      </c>
      <c r="Q17">
        <v>11571.9</v>
      </c>
      <c r="R17" t="str">
        <v/>
      </c>
      <c r="S17">
        <v>0</v>
      </c>
      <c r="T17">
        <v>139.3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07:16:50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07:19:52</v>
      </c>
      <c r="AL17" t="str">
        <v>07:19:52</v>
      </c>
      <c r="AM17" t="str">
        <v/>
      </c>
    </row>
    <row r="18">
      <c r="A18">
        <v>17</v>
      </c>
      <c r="B18" t="str">
        <v>MASS BSF</v>
      </c>
      <c r="C18" t="str">
        <v>CLW-864</v>
      </c>
      <c r="D18" t="str">
        <v>CLW-864</v>
      </c>
      <c r="E18" t="str">
        <v/>
      </c>
      <c r="F18" t="str">
        <v>867162029823242</v>
      </c>
      <c r="G18" t="str">
        <v>TBD</v>
      </c>
      <c r="H18" t="str">
        <v/>
      </c>
      <c r="I18" t="str">
        <v/>
      </c>
      <c r="J18" t="str">
        <v>01/10/2026</v>
      </c>
      <c r="K18" t="str">
        <v>07:19:49</v>
      </c>
      <c r="L18">
        <v>-12.31768</v>
      </c>
      <c r="M18">
        <v>-76.824265</v>
      </c>
      <c r="N18">
        <f>HYPERLINK("https://www.google.com/maps/search/?api=1&amp;query=-12.31768,-76.824265","Punta Hermosa, Lima")</f>
      </c>
      <c r="O18" t="str">
        <v>Vehículo apagado</v>
      </c>
      <c r="P18" t="str">
        <v>Vehículo Apagado</v>
      </c>
      <c r="Q18">
        <v>11571.9</v>
      </c>
      <c r="R18" t="str">
        <v/>
      </c>
      <c r="S18">
        <v>0</v>
      </c>
      <c r="T18">
        <v>139.3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07:16:50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07:20:11</v>
      </c>
      <c r="AL18" t="str">
        <v>07:20:11</v>
      </c>
      <c r="AM18" t="str">
        <v/>
      </c>
    </row>
    <row r="19">
      <c r="A19">
        <v>18</v>
      </c>
      <c r="B19" t="str">
        <v>MASS BSF</v>
      </c>
      <c r="C19" t="str">
        <v>CLW-864</v>
      </c>
      <c r="D19" t="str">
        <v>CLW-864</v>
      </c>
      <c r="E19" t="str">
        <v/>
      </c>
      <c r="F19" t="str">
        <v>867162029823242</v>
      </c>
      <c r="G19" t="str">
        <v>TBD</v>
      </c>
      <c r="H19" t="str">
        <v/>
      </c>
      <c r="I19" t="str">
        <v/>
      </c>
      <c r="J19" t="str">
        <v>01/10/2026</v>
      </c>
      <c r="K19" t="str">
        <v>07:19:51</v>
      </c>
      <c r="L19">
        <v>-12.31768</v>
      </c>
      <c r="M19">
        <v>-76.824265</v>
      </c>
      <c r="N19">
        <f>HYPERLINK("https://www.google.com/maps/search/?api=1&amp;query=-12.31768,-76.824265","Punta Hermosa, Lima")</f>
      </c>
      <c r="O19" t="str">
        <v>Vehículo encendido</v>
      </c>
      <c r="P19" t="str">
        <v/>
      </c>
      <c r="Q19">
        <v>11571.9</v>
      </c>
      <c r="R19" t="str">
        <v/>
      </c>
      <c r="S19">
        <v>0</v>
      </c>
      <c r="T19">
        <v>139.3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07:16:50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07:20:08</v>
      </c>
      <c r="AL19" t="str">
        <v>07:20:08</v>
      </c>
      <c r="AM19" t="str">
        <v/>
      </c>
    </row>
    <row r="20">
      <c r="A20">
        <v>19</v>
      </c>
      <c r="B20" t="str">
        <v>MASS BSF</v>
      </c>
      <c r="C20" t="str">
        <v>CLW-864</v>
      </c>
      <c r="D20" t="str">
        <v>CLW-864</v>
      </c>
      <c r="E20" t="str">
        <v/>
      </c>
      <c r="F20" t="str">
        <v>867162029823242</v>
      </c>
      <c r="G20" t="str">
        <v>TBD</v>
      </c>
      <c r="H20" t="str">
        <v/>
      </c>
      <c r="I20" t="str">
        <v/>
      </c>
      <c r="J20" t="str">
        <v>01/10/2026</v>
      </c>
      <c r="K20" t="str">
        <v>07:27:12</v>
      </c>
      <c r="L20">
        <v>-12.317547</v>
      </c>
      <c r="M20">
        <v>-76.82435</v>
      </c>
      <c r="N20">
        <f>HYPERLINK("https://www.google.com/maps/search/?api=1&amp;query=-12.317547,-76.82435","Punta Hermosa, Lima")</f>
      </c>
      <c r="O20" t="str">
        <v>Vehículo apagado</v>
      </c>
      <c r="P20" t="str">
        <v>Vehículo Apagado</v>
      </c>
      <c r="Q20">
        <v>11571.9</v>
      </c>
      <c r="R20" t="str">
        <v/>
      </c>
      <c r="S20">
        <v>0</v>
      </c>
      <c r="T20">
        <v>139.33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07:27:15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07:27:34</v>
      </c>
      <c r="AL20" t="str">
        <v>07:27:34</v>
      </c>
      <c r="AM20" t="str">
        <v/>
      </c>
    </row>
    <row r="21">
      <c r="A21">
        <v>20</v>
      </c>
      <c r="B21" t="str">
        <v>MASS BSF</v>
      </c>
      <c r="C21" t="str">
        <v>CLW-864</v>
      </c>
      <c r="D21" t="str">
        <v>CLW-864</v>
      </c>
      <c r="E21" t="str">
        <v/>
      </c>
      <c r="F21" t="str">
        <v>867162029823242</v>
      </c>
      <c r="G21" t="str">
        <v>TBD</v>
      </c>
      <c r="H21" t="str">
        <v/>
      </c>
      <c r="I21" t="str">
        <v/>
      </c>
      <c r="J21" t="str">
        <v>01/10/2026</v>
      </c>
      <c r="K21" t="str">
        <v>07:31:57</v>
      </c>
      <c r="L21">
        <v>-12.317547</v>
      </c>
      <c r="M21">
        <v>-76.82435</v>
      </c>
      <c r="N21">
        <f>HYPERLINK("https://www.google.com/maps/search/?api=1&amp;query=-12.317547,-76.82435","Punta Hermosa, Lima")</f>
      </c>
      <c r="O21" t="str">
        <v>Vehículo encendido</v>
      </c>
      <c r="P21" t="str">
        <v/>
      </c>
      <c r="Q21">
        <v>11571.9</v>
      </c>
      <c r="R21" t="str">
        <v/>
      </c>
      <c r="S21">
        <v>0</v>
      </c>
      <c r="T21">
        <v>139.33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07:27:15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07:32:20</v>
      </c>
      <c r="AL21" t="str">
        <v>07:32:20</v>
      </c>
      <c r="AM21" t="str">
        <v/>
      </c>
    </row>
    <row r="22">
      <c r="A22">
        <v>21</v>
      </c>
      <c r="B22" t="str">
        <v>MASS BSF</v>
      </c>
      <c r="C22" t="str">
        <v>CLW-864</v>
      </c>
      <c r="D22" t="str">
        <v>CLW-864</v>
      </c>
      <c r="E22" t="str">
        <v/>
      </c>
      <c r="F22" t="str">
        <v>867162029823242</v>
      </c>
      <c r="G22" t="str">
        <v>TBD</v>
      </c>
      <c r="H22" t="str">
        <v/>
      </c>
      <c r="I22" t="str">
        <v/>
      </c>
      <c r="J22" t="str">
        <v>01/10/2026</v>
      </c>
      <c r="K22" t="str">
        <v>07:33:21</v>
      </c>
      <c r="L22">
        <v>-12.317585</v>
      </c>
      <c r="M22">
        <v>-76.82447</v>
      </c>
      <c r="N22">
        <f>HYPERLINK("https://www.google.com/maps/search/?api=1&amp;query=-12.317585,-76.82447","Punta Hermosa, Lima")</f>
      </c>
      <c r="O22" t="str">
        <v>Vehículo apagado</v>
      </c>
      <c r="P22" t="str">
        <v>Vehículo Apagado</v>
      </c>
      <c r="Q22">
        <v>11571.9</v>
      </c>
      <c r="R22" t="str">
        <v/>
      </c>
      <c r="S22">
        <v>0</v>
      </c>
      <c r="T22">
        <v>139.35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07:33:24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07:33:46</v>
      </c>
      <c r="AL22" t="str">
        <v>07:33:46</v>
      </c>
      <c r="AM22" t="str">
        <v/>
      </c>
    </row>
    <row r="23">
      <c r="A23">
        <v>22</v>
      </c>
      <c r="B23" t="str">
        <v>MASS BSF</v>
      </c>
      <c r="C23" t="str">
        <v>CLW-864</v>
      </c>
      <c r="D23" t="str">
        <v>CLW-864</v>
      </c>
      <c r="E23" t="str">
        <v/>
      </c>
      <c r="F23" t="str">
        <v>867162029823242</v>
      </c>
      <c r="G23" t="str">
        <v>TBD</v>
      </c>
      <c r="H23" t="str">
        <v/>
      </c>
      <c r="I23" t="str">
        <v/>
      </c>
      <c r="J23" t="str">
        <v>01/10/2026</v>
      </c>
      <c r="K23" t="str">
        <v>07:56:12</v>
      </c>
      <c r="L23">
        <v>-12.317585</v>
      </c>
      <c r="M23">
        <v>-76.82447</v>
      </c>
      <c r="N23">
        <f>HYPERLINK("https://www.google.com/maps/search/?api=1&amp;query=-12.317585,-76.82447","Punta Hermosa, Lima")</f>
      </c>
      <c r="O23" t="str">
        <v>Vehículo encendido</v>
      </c>
      <c r="P23" t="str">
        <v/>
      </c>
      <c r="Q23">
        <v>11571.9</v>
      </c>
      <c r="R23" t="str">
        <v/>
      </c>
      <c r="S23">
        <v>0</v>
      </c>
      <c r="T23">
        <v>139.35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07:33:24</v>
      </c>
      <c r="AE23">
        <f>IF("NOGPS"="NOGPS","GPS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07:56:29</v>
      </c>
      <c r="AL23" t="str">
        <v>07:56:29</v>
      </c>
      <c r="AM23" t="str">
        <v/>
      </c>
    </row>
    <row r="24">
      <c r="A24">
        <v>23</v>
      </c>
      <c r="B24" t="str">
        <v>MASS BSF</v>
      </c>
      <c r="C24" t="str">
        <v>CLW-864</v>
      </c>
      <c r="D24" t="str">
        <v>CLW-864</v>
      </c>
      <c r="E24" t="str">
        <v/>
      </c>
      <c r="F24" t="str">
        <v>867162029823242</v>
      </c>
      <c r="G24" t="str">
        <v>TBD</v>
      </c>
      <c r="H24" t="str">
        <v/>
      </c>
      <c r="I24" t="str">
        <v/>
      </c>
      <c r="J24" t="str">
        <v>01/10/2026</v>
      </c>
      <c r="K24" t="str">
        <v>07:56:16</v>
      </c>
      <c r="L24">
        <v>-12.317585</v>
      </c>
      <c r="M24">
        <v>-76.82447</v>
      </c>
      <c r="N24">
        <f>HYPERLINK("https://www.google.com/maps/search/?api=1&amp;query=-12.317585,-76.82447","Punta Hermosa, Lima")</f>
      </c>
      <c r="O24" t="str">
        <v>Vehículo apagado</v>
      </c>
      <c r="P24" t="str">
        <v>Vehículo Apagado</v>
      </c>
      <c r="Q24">
        <v>11571.9</v>
      </c>
      <c r="R24" t="str">
        <v/>
      </c>
      <c r="S24">
        <v>0</v>
      </c>
      <c r="T24">
        <v>139.35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07:33:24</v>
      </c>
      <c r="AE24">
        <f>IF("NOGPS"="NOGPS","GPS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07:56:33</v>
      </c>
      <c r="AL24" t="str">
        <v>07:56:33</v>
      </c>
      <c r="AM24" t="str">
        <v/>
      </c>
    </row>
    <row r="25">
      <c r="A25">
        <v>24</v>
      </c>
      <c r="B25" t="str">
        <v>MASS BSF</v>
      </c>
      <c r="C25" t="str">
        <v>CLW-864</v>
      </c>
      <c r="D25" t="str">
        <v>CLW-864</v>
      </c>
      <c r="E25" t="str">
        <v/>
      </c>
      <c r="F25" t="str">
        <v>867162029823242</v>
      </c>
      <c r="G25" t="str">
        <v>TBD</v>
      </c>
      <c r="H25" t="str">
        <v/>
      </c>
      <c r="I25" t="str">
        <v/>
      </c>
      <c r="J25" t="str">
        <v>01/10/2026</v>
      </c>
      <c r="K25" t="str">
        <v>07:56:18</v>
      </c>
      <c r="L25">
        <v>-12.317585</v>
      </c>
      <c r="M25">
        <v>-76.82447</v>
      </c>
      <c r="N25">
        <f>HYPERLINK("https://www.google.com/maps/search/?api=1&amp;query=-12.317585,-76.82447","Punta Hermosa, Lima")</f>
      </c>
      <c r="O25" t="str">
        <v>Vehículo encendido</v>
      </c>
      <c r="P25" t="str">
        <v/>
      </c>
      <c r="Q25">
        <v>11571.9</v>
      </c>
      <c r="R25" t="str">
        <v/>
      </c>
      <c r="S25">
        <v>0</v>
      </c>
      <c r="T25">
        <v>139.35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07:33:24</v>
      </c>
      <c r="AE25">
        <f>IF("NOGPS"="NOGPS","GPS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07:56:28</v>
      </c>
      <c r="AL25" t="str">
        <v>07:56:28</v>
      </c>
      <c r="AM25" t="str">
        <v/>
      </c>
    </row>
    <row r="26">
      <c r="A26">
        <v>25</v>
      </c>
      <c r="B26" t="str">
        <v>MASS BSF</v>
      </c>
      <c r="C26" t="str">
        <v>CLW-864</v>
      </c>
      <c r="D26" t="str">
        <v>CLW-864</v>
      </c>
      <c r="E26" t="str">
        <v/>
      </c>
      <c r="F26" t="str">
        <v>867162029823242</v>
      </c>
      <c r="G26" t="str">
        <v>TBD</v>
      </c>
      <c r="H26" t="str">
        <v/>
      </c>
      <c r="I26" t="str">
        <v/>
      </c>
      <c r="J26" t="str">
        <v>01/10/2026</v>
      </c>
      <c r="K26" t="str">
        <v>08:04:45</v>
      </c>
      <c r="L26">
        <v>-12.31787</v>
      </c>
      <c r="M26">
        <v>-76.82428</v>
      </c>
      <c r="N26">
        <f>HYPERLINK("https://www.google.com/maps/search/?api=1&amp;query=-12.31787,-76.82428","Punta Hermosa, Lima")</f>
      </c>
      <c r="O26" t="str">
        <v>Vehículo apagado</v>
      </c>
      <c r="P26" t="str">
        <v>Vehículo Apagado</v>
      </c>
      <c r="Q26">
        <v>11572</v>
      </c>
      <c r="R26" t="str">
        <v/>
      </c>
      <c r="S26">
        <v>0</v>
      </c>
      <c r="T26">
        <v>139.48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08:04:18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08:05:01</v>
      </c>
      <c r="AL26" t="str">
        <v>08:05:01</v>
      </c>
      <c r="AM26" t="str">
        <v/>
      </c>
    </row>
    <row r="27">
      <c r="A27">
        <v>26</v>
      </c>
      <c r="B27" t="str">
        <v>MASS BSF</v>
      </c>
      <c r="C27" t="str">
        <v>CLW-864</v>
      </c>
      <c r="D27" t="str">
        <v>CLW-864</v>
      </c>
      <c r="E27" t="str">
        <v/>
      </c>
      <c r="F27" t="str">
        <v>867162029823242</v>
      </c>
      <c r="G27" t="str">
        <v>TBD</v>
      </c>
      <c r="H27" t="str">
        <v/>
      </c>
      <c r="I27" t="str">
        <v/>
      </c>
      <c r="J27" t="str">
        <v>01/10/2026</v>
      </c>
      <c r="K27" t="str">
        <v>08:49:46</v>
      </c>
      <c r="L27">
        <v>-12.317778</v>
      </c>
      <c r="M27">
        <v>-76.82413</v>
      </c>
      <c r="N27">
        <f>HYPERLINK("https://www.google.com/maps/search/?api=1&amp;query=-12.317778,-76.82413","Punta Hermosa, Lima")</f>
      </c>
      <c r="O27" t="str">
        <v>Vehículo encendido</v>
      </c>
      <c r="P27" t="str">
        <v/>
      </c>
      <c r="Q27">
        <v>11572</v>
      </c>
      <c r="R27" t="str">
        <v/>
      </c>
      <c r="S27">
        <v>0</v>
      </c>
      <c r="T27">
        <v>139.48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08:32:16</v>
      </c>
      <c r="AE27">
        <f>IF("NOGPS"="NOGPS","GPS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08:49:58</v>
      </c>
      <c r="AL27" t="str">
        <v>08:49:58</v>
      </c>
      <c r="AM27" t="str">
        <v/>
      </c>
    </row>
    <row r="28">
      <c r="A28">
        <v>27</v>
      </c>
      <c r="B28" t="str">
        <v>MASS BSF</v>
      </c>
      <c r="C28" t="str">
        <v>CLW-864</v>
      </c>
      <c r="D28" t="str">
        <v>CLW-864</v>
      </c>
      <c r="E28" t="str">
        <v/>
      </c>
      <c r="F28" t="str">
        <v>867162029823242</v>
      </c>
      <c r="G28" t="str">
        <v>TBD</v>
      </c>
      <c r="H28" t="str">
        <v/>
      </c>
      <c r="I28" t="str">
        <v/>
      </c>
      <c r="J28" t="str">
        <v>01/10/2026</v>
      </c>
      <c r="K28" t="str">
        <v>08:59:31</v>
      </c>
      <c r="L28">
        <v>-12.317803</v>
      </c>
      <c r="M28">
        <v>-76.82424</v>
      </c>
      <c r="N28">
        <f>HYPERLINK("https://www.google.com/maps/search/?api=1&amp;query=-12.317803,-76.82424","Punta Hermosa, Lima")</f>
      </c>
      <c r="O28" t="str">
        <v>Inicio de ralentí</v>
      </c>
      <c r="P28" t="str">
        <v>Vehículo Detenido</v>
      </c>
      <c r="Q28">
        <v>11572</v>
      </c>
      <c r="R28" t="str">
        <v/>
      </c>
      <c r="S28">
        <v>0</v>
      </c>
      <c r="T28">
        <v>139.48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08:58:44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08:59:46</v>
      </c>
      <c r="AL28" t="str">
        <v>08:59:46</v>
      </c>
      <c r="AM28" t="str">
        <v/>
      </c>
    </row>
    <row r="29">
      <c r="A29">
        <v>28</v>
      </c>
      <c r="B29" t="str">
        <v>MASS BSF</v>
      </c>
      <c r="C29" t="str">
        <v>CLW-864</v>
      </c>
      <c r="D29" t="str">
        <v>CLW-864</v>
      </c>
      <c r="E29" t="str">
        <v/>
      </c>
      <c r="F29" t="str">
        <v>867162029823242</v>
      </c>
      <c r="G29" t="str">
        <v>TBD</v>
      </c>
      <c r="H29" t="str">
        <v/>
      </c>
      <c r="I29" t="str">
        <v/>
      </c>
      <c r="J29" t="str">
        <v>01/10/2026</v>
      </c>
      <c r="K29" t="str">
        <v>09:02:59</v>
      </c>
      <c r="L29">
        <v>-12.317544</v>
      </c>
      <c r="M29">
        <v>-76.824524</v>
      </c>
      <c r="N29">
        <f>HYPERLINK("https://www.google.com/maps/search/?api=1&amp;query=-12.317544,-76.824524","Punta Hermosa, Lima")</f>
      </c>
      <c r="O29" t="str">
        <v>Fin de ralentí</v>
      </c>
      <c r="P29" t="str">
        <v/>
      </c>
      <c r="Q29">
        <v>11572</v>
      </c>
      <c r="R29" t="str">
        <v/>
      </c>
      <c r="S29">
        <v>17.9</v>
      </c>
      <c r="T29">
        <v>139.48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09:02:44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09:03:28</v>
      </c>
      <c r="AL29" t="str">
        <v>09:03:28</v>
      </c>
      <c r="AM29" t="str">
        <v/>
      </c>
    </row>
    <row r="30">
      <c r="A30">
        <v>29</v>
      </c>
      <c r="B30" t="str">
        <v>MASS BSF</v>
      </c>
      <c r="C30" t="str">
        <v>CLW-864</v>
      </c>
      <c r="D30" t="str">
        <v>CLW-864</v>
      </c>
      <c r="E30" t="str">
        <v/>
      </c>
      <c r="F30" t="str">
        <v>867162029823242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09:07:30</v>
      </c>
      <c r="L30">
        <v>-12.317525</v>
      </c>
      <c r="M30">
        <v>-76.830025</v>
      </c>
      <c r="N30">
        <f>HYPERLINK("https://www.google.com/maps/search/?api=1&amp;query=-12.317525,-76.830025","Punta Hermosa, Lima")</f>
      </c>
      <c r="O30" t="str">
        <v>Salió de zona</v>
      </c>
      <c r="P30" t="str">
        <v/>
      </c>
      <c r="Q30">
        <v>11572.8</v>
      </c>
      <c r="R30" t="str">
        <v>MASS BSF 1</v>
      </c>
      <c r="S30">
        <v>18.5</v>
      </c>
      <c r="T30">
        <v>139.48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09:07:29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09:07:39</v>
      </c>
      <c r="AL30" t="str">
        <v>09:07:39</v>
      </c>
      <c r="AM30" t="str">
        <v/>
      </c>
    </row>
    <row r="31">
      <c r="A31">
        <v>30</v>
      </c>
      <c r="B31" t="str">
        <v>MASS BSF</v>
      </c>
      <c r="C31" t="str">
        <v>CLW-864</v>
      </c>
      <c r="D31" t="str">
        <v>CLW-864</v>
      </c>
      <c r="E31" t="str">
        <v/>
      </c>
      <c r="F31" t="str">
        <v>867162029823242</v>
      </c>
      <c r="G31" t="str">
        <v>TBD</v>
      </c>
      <c r="H31" t="str">
        <v/>
      </c>
      <c r="I31" t="str">
        <v/>
      </c>
      <c r="J31" t="str">
        <v>01/10/2026</v>
      </c>
      <c r="K31" t="str">
        <v>09:17:15</v>
      </c>
      <c r="L31">
        <v>-12.261641</v>
      </c>
      <c r="M31">
        <v>-76.91269</v>
      </c>
      <c r="N31">
        <f>HYPERLINK("https://www.google.com/maps/search/?api=1&amp;query=-12.261641,-76.91269","Carretera Panamericana Sur, Lurín, Lima")</f>
      </c>
      <c r="O31" t="str">
        <v>Excedió el límite de velocidad</v>
      </c>
      <c r="P31" t="str">
        <v/>
      </c>
      <c r="Q31">
        <v>11583.8</v>
      </c>
      <c r="R31" t="str">
        <v/>
      </c>
      <c r="S31">
        <v>80.6</v>
      </c>
      <c r="T31">
        <v>139.48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09:17:14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09:17:32</v>
      </c>
      <c r="AL31" t="str">
        <v>09:17:32</v>
      </c>
      <c r="AM31" t="str">
        <v/>
      </c>
    </row>
    <row r="32">
      <c r="A32">
        <v>31</v>
      </c>
      <c r="B32" t="str">
        <v>MASS BSF</v>
      </c>
      <c r="C32" t="str">
        <v>CLW-864</v>
      </c>
      <c r="D32" t="str">
        <v>CLW-864</v>
      </c>
      <c r="E32" t="str">
        <v/>
      </c>
      <c r="F32" t="str">
        <v>867162029823242</v>
      </c>
      <c r="G32" t="str">
        <v>TBD</v>
      </c>
      <c r="H32" t="str">
        <v/>
      </c>
      <c r="I32" t="str">
        <v/>
      </c>
      <c r="J32" t="str">
        <v>01/10/2026</v>
      </c>
      <c r="K32" t="str">
        <v>09:21:30</v>
      </c>
      <c r="L32">
        <v>-12.236241</v>
      </c>
      <c r="M32">
        <v>-76.95581</v>
      </c>
      <c r="N32">
        <f>HYPERLINK("https://www.google.com/maps/search/?api=1&amp;query=-12.236241,-76.95581","Carretera Panamericana Sur, Villa El Salvador, Lima")</f>
      </c>
      <c r="O32" t="str">
        <v>Excedió el límite de velocidad</v>
      </c>
      <c r="P32" t="str">
        <v/>
      </c>
      <c r="Q32">
        <v>11589.3</v>
      </c>
      <c r="R32" t="str">
        <v/>
      </c>
      <c r="S32">
        <v>80.3</v>
      </c>
      <c r="T32">
        <v>139.48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09:21:29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09:21:41</v>
      </c>
      <c r="AL32" t="str">
        <v>09:21:41</v>
      </c>
      <c r="AM32" t="str">
        <v/>
      </c>
    </row>
    <row r="33">
      <c r="A33">
        <v>32</v>
      </c>
      <c r="B33" t="str">
        <v>MASS BSF</v>
      </c>
      <c r="C33" t="str">
        <v>CLW-864</v>
      </c>
      <c r="D33" t="str">
        <v>CLW-864</v>
      </c>
      <c r="E33" t="str">
        <v/>
      </c>
      <c r="F33" t="str">
        <v>867162029823242</v>
      </c>
      <c r="G33" t="str">
        <v>TBD</v>
      </c>
      <c r="H33" t="str">
        <v/>
      </c>
      <c r="I33" t="str">
        <v/>
      </c>
      <c r="J33" t="str">
        <v>01/10/2026</v>
      </c>
      <c r="K33" t="str">
        <v>09:50:44</v>
      </c>
      <c r="L33">
        <v>-12.162749</v>
      </c>
      <c r="M33">
        <v>-76.959915</v>
      </c>
      <c r="N33">
        <f>HYPERLINK("https://www.google.com/maps/search/?api=1&amp;query=-12.162749,-76.959915","Avenida Miguel Iglesias, San Juan de Miraflores, Lima")</f>
      </c>
      <c r="O33" t="str">
        <v>Vehículo apagado</v>
      </c>
      <c r="P33" t="str">
        <v>Vehículo Apagado</v>
      </c>
      <c r="Q33">
        <v>11600.8</v>
      </c>
      <c r="R33" t="str">
        <v/>
      </c>
      <c r="S33">
        <v>0</v>
      </c>
      <c r="T33">
        <v>140.5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09:50:46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09:50:58</v>
      </c>
      <c r="AL33" t="str">
        <v>09:50:58</v>
      </c>
      <c r="AM33" t="str">
        <v/>
      </c>
    </row>
    <row r="34">
      <c r="A34">
        <v>33</v>
      </c>
      <c r="B34" t="str">
        <v>MASS BSF</v>
      </c>
      <c r="C34" t="str">
        <v>CLW-864</v>
      </c>
      <c r="D34" t="str">
        <v>CLW-864</v>
      </c>
      <c r="E34" t="str">
        <v/>
      </c>
      <c r="F34" t="str">
        <v>867162029823242</v>
      </c>
      <c r="G34" t="str">
        <v>TBD</v>
      </c>
      <c r="H34" t="str">
        <v/>
      </c>
      <c r="I34" t="str">
        <v/>
      </c>
      <c r="J34" t="str">
        <v>01/10/2026</v>
      </c>
      <c r="K34" t="str">
        <v>10:11:00</v>
      </c>
      <c r="L34">
        <v>-12.162749</v>
      </c>
      <c r="M34">
        <v>-76.959915</v>
      </c>
      <c r="N34">
        <f>HYPERLINK("https://www.google.com/maps/search/?api=1&amp;query=-12.162749,-76.959915","Avenida Miguel Iglesias, San Juan de Miraflores, Lima")</f>
      </c>
      <c r="O34" t="str">
        <v>Vehículo encendido</v>
      </c>
      <c r="P34" t="str">
        <v/>
      </c>
      <c r="Q34">
        <v>11600.8</v>
      </c>
      <c r="R34" t="str">
        <v/>
      </c>
      <c r="S34">
        <v>0</v>
      </c>
      <c r="T34">
        <v>140.5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09:50:46</v>
      </c>
      <c r="AE34">
        <f>IF("NOGPS"="NOGPS","GPS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10:11:21</v>
      </c>
      <c r="AL34" t="str">
        <v>10:11:21</v>
      </c>
      <c r="AM34" t="str">
        <v/>
      </c>
    </row>
    <row r="35">
      <c r="A35">
        <v>34</v>
      </c>
      <c r="B35" t="str">
        <v>MASS BSF</v>
      </c>
      <c r="C35" t="str">
        <v>CLW-864</v>
      </c>
      <c r="D35" t="str">
        <v>CLW-864</v>
      </c>
      <c r="E35" t="str">
        <v/>
      </c>
      <c r="F35" t="str">
        <v>867162029823242</v>
      </c>
      <c r="G35" t="str">
        <v>TBD</v>
      </c>
      <c r="H35" t="str">
        <v/>
      </c>
      <c r="I35" t="str">
        <v xml:space="preserve"> </v>
      </c>
      <c r="J35" t="str">
        <v>01/10/2026</v>
      </c>
      <c r="K35" t="str">
        <v>10:11:14</v>
      </c>
      <c r="L35">
        <v>-12.162671</v>
      </c>
      <c r="M35">
        <v>-76.96</v>
      </c>
      <c r="N35">
        <f>HYPERLINK("https://www.google.com/maps/search/?api=1&amp;query=-12.162671,-76.96","Avenida Miguel Iglesias, San Juan de Miraflores, Lima")</f>
      </c>
      <c r="O35" t="str">
        <v>Llegó a la zona</v>
      </c>
      <c r="P35" t="str">
        <v/>
      </c>
      <c r="Q35">
        <v>11600.8</v>
      </c>
      <c r="R35" t="str">
        <v>862-IGLESIA8 SJM MS</v>
      </c>
      <c r="S35">
        <v>0</v>
      </c>
      <c r="T35">
        <v>140.5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10:11:13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10:11:28</v>
      </c>
      <c r="AL35" t="str">
        <v>10:11:28</v>
      </c>
      <c r="AM35" t="str">
        <v/>
      </c>
    </row>
    <row r="36">
      <c r="A36">
        <v>35</v>
      </c>
      <c r="B36" t="str">
        <v>MASS BSF</v>
      </c>
      <c r="C36" t="str">
        <v>CLW-864</v>
      </c>
      <c r="D36" t="str">
        <v>CLW-864</v>
      </c>
      <c r="E36" t="str">
        <v/>
      </c>
      <c r="F36" t="str">
        <v>867162029823242</v>
      </c>
      <c r="G36" t="str">
        <v>TBD</v>
      </c>
      <c r="H36" t="str">
        <v/>
      </c>
      <c r="I36" t="str">
        <v xml:space="preserve"> </v>
      </c>
      <c r="J36" t="str">
        <v>01/10/2026</v>
      </c>
      <c r="K36" t="str">
        <v>10:15:14</v>
      </c>
      <c r="L36">
        <v>-12.161606</v>
      </c>
      <c r="M36">
        <v>-76.95951</v>
      </c>
      <c r="N36">
        <f>HYPERLINK("https://www.google.com/maps/search/?api=1&amp;query=-12.161606,-76.95951","Avenida Miguel Iglesias, San Juan de Miraflores, Lima")</f>
      </c>
      <c r="O36" t="str">
        <v>Salió de zona</v>
      </c>
      <c r="P36" t="str">
        <v/>
      </c>
      <c r="Q36">
        <v>11600.9</v>
      </c>
      <c r="R36" t="str">
        <v>862-IGLESIA8 SJM MS</v>
      </c>
      <c r="S36">
        <v>0</v>
      </c>
      <c r="T36">
        <v>140.5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10:15:01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10:15:30</v>
      </c>
      <c r="AL36" t="str">
        <v>10:15:30</v>
      </c>
      <c r="AM36" t="str">
        <v/>
      </c>
    </row>
    <row r="37">
      <c r="A37">
        <v>36</v>
      </c>
      <c r="B37" t="str">
        <v>MASS BSF</v>
      </c>
      <c r="C37" t="str">
        <v>CLW-864</v>
      </c>
      <c r="D37" t="str">
        <v>CLW-864</v>
      </c>
      <c r="E37" t="str">
        <v/>
      </c>
      <c r="F37" t="str">
        <v>867162029823242</v>
      </c>
      <c r="G37" t="str">
        <v>TBD</v>
      </c>
      <c r="H37" t="str">
        <v/>
      </c>
      <c r="I37" t="str">
        <v xml:space="preserve"> </v>
      </c>
      <c r="J37" t="str">
        <v>01/10/2026</v>
      </c>
      <c r="K37" t="str">
        <v>10:20:14</v>
      </c>
      <c r="L37">
        <v>-12.162833</v>
      </c>
      <c r="M37">
        <v>-76.96552</v>
      </c>
      <c r="N37">
        <f>HYPERLINK("https://www.google.com/maps/search/?api=1&amp;query=-12.162833,-76.96552","Avenida Belisario Suárez, San Juan de Miraflores, Lima")</f>
      </c>
      <c r="O37" t="str">
        <v>Llegó a la zona</v>
      </c>
      <c r="P37" t="str">
        <v/>
      </c>
      <c r="Q37">
        <v>11601.8</v>
      </c>
      <c r="R37" t="str">
        <v>310-BELISARIO SUAREZ</v>
      </c>
      <c r="S37">
        <v>0</v>
      </c>
      <c r="T37">
        <v>140.5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10:20:01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10:20:25</v>
      </c>
      <c r="AL37" t="str">
        <v>10:20:25</v>
      </c>
      <c r="AM37" t="str">
        <v/>
      </c>
    </row>
    <row r="38">
      <c r="A38">
        <v>37</v>
      </c>
      <c r="B38" t="str">
        <v>MASS BSF</v>
      </c>
      <c r="C38" t="str">
        <v>CLW-864</v>
      </c>
      <c r="D38" t="str">
        <v>CLW-864</v>
      </c>
      <c r="E38" t="str">
        <v/>
      </c>
      <c r="F38" t="str">
        <v>867162029823242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10:20:14</v>
      </c>
      <c r="L38">
        <v>-12.162833</v>
      </c>
      <c r="M38">
        <v>-76.96552</v>
      </c>
      <c r="N38">
        <f>HYPERLINK("https://www.google.com/maps/search/?api=1&amp;query=-12.162833,-76.96552","Avenida Belisario Suárez, San Juan de Miraflores, Lima")</f>
      </c>
      <c r="O38" t="str">
        <v>Llegó a la zona</v>
      </c>
      <c r="P38" t="str">
        <v/>
      </c>
      <c r="Q38">
        <v>11601.8</v>
      </c>
      <c r="R38" t="str">
        <v>691-M.BELISARIO 9 SJM</v>
      </c>
      <c r="S38">
        <v>0</v>
      </c>
      <c r="T38">
        <v>140.5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10:20:01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10:20:27</v>
      </c>
      <c r="AL38" t="str">
        <v>10:20:27</v>
      </c>
      <c r="AM38" t="str">
        <v/>
      </c>
    </row>
    <row r="39">
      <c r="A39">
        <v>38</v>
      </c>
      <c r="B39" t="str">
        <v>MASS BSF</v>
      </c>
      <c r="C39" t="str">
        <v>CLW-864</v>
      </c>
      <c r="D39" t="str">
        <v>CLW-864</v>
      </c>
      <c r="E39" t="str">
        <v/>
      </c>
      <c r="F39" t="str">
        <v>867162029823242</v>
      </c>
      <c r="G39" t="str">
        <v>TBD</v>
      </c>
      <c r="H39" t="str">
        <v/>
      </c>
      <c r="I39" t="str">
        <v/>
      </c>
      <c r="J39" t="str">
        <v>01/10/2026</v>
      </c>
      <c r="K39" t="str">
        <v>10:27:18</v>
      </c>
      <c r="L39">
        <v>-12.162798</v>
      </c>
      <c r="M39">
        <v>-76.965675</v>
      </c>
      <c r="N39">
        <f>HYPERLINK("https://www.google.com/maps/search/?api=1&amp;query=-12.162798,-76.965675","Avenida Belisario Suárez, San Juan de Miraflores, Lima")</f>
      </c>
      <c r="O39" t="str">
        <v>Vehículo apagado</v>
      </c>
      <c r="P39" t="str">
        <v>Vehículo Apagado</v>
      </c>
      <c r="Q39">
        <v>11601.9</v>
      </c>
      <c r="R39" t="str">
        <v/>
      </c>
      <c r="S39">
        <v>0</v>
      </c>
      <c r="T39">
        <v>140.77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10:27:01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10:27:31</v>
      </c>
      <c r="AL39" t="str">
        <v>10:27:31</v>
      </c>
      <c r="AM39" t="str">
        <v/>
      </c>
    </row>
    <row r="40">
      <c r="A40">
        <v>39</v>
      </c>
      <c r="B40" t="str">
        <v>MASS BSF</v>
      </c>
      <c r="C40" t="str">
        <v>CLW-864</v>
      </c>
      <c r="D40" t="str">
        <v>CLW-864</v>
      </c>
      <c r="E40" t="str">
        <v/>
      </c>
      <c r="F40" t="str">
        <v>867162029823242</v>
      </c>
      <c r="G40" t="str">
        <v>TBD</v>
      </c>
      <c r="H40" t="str">
        <v/>
      </c>
      <c r="I40" t="str">
        <v/>
      </c>
      <c r="J40" t="str">
        <v>01/10/2026</v>
      </c>
      <c r="K40" t="str">
        <v>10:46:28</v>
      </c>
      <c r="L40">
        <v>-12.162798</v>
      </c>
      <c r="M40">
        <v>-76.965675</v>
      </c>
      <c r="N40">
        <f>HYPERLINK("https://www.google.com/maps/search/?api=1&amp;query=-12.162798,-76.965675","Avenida Belisario Suárez, San Juan de Miraflores, Lima")</f>
      </c>
      <c r="O40" t="str">
        <v>Vehículo encendido</v>
      </c>
      <c r="P40" t="str">
        <v/>
      </c>
      <c r="Q40">
        <v>11601.9</v>
      </c>
      <c r="R40" t="str">
        <v/>
      </c>
      <c r="S40">
        <v>0</v>
      </c>
      <c r="T40">
        <v>140.77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10:27:21</v>
      </c>
      <c r="AE40">
        <f>IF("NOGPS"="NOGPS","GPS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10:46:47</v>
      </c>
      <c r="AL40" t="str">
        <v>10:46:47</v>
      </c>
      <c r="AM40" t="str">
        <v/>
      </c>
    </row>
    <row r="41">
      <c r="A41">
        <v>40</v>
      </c>
      <c r="B41" t="str">
        <v>MASS BSF</v>
      </c>
      <c r="C41" t="str">
        <v>CLW-864</v>
      </c>
      <c r="D41" t="str">
        <v>CLW-864</v>
      </c>
      <c r="E41" t="str">
        <v/>
      </c>
      <c r="F41" t="str">
        <v>867162029823242</v>
      </c>
      <c r="G41" t="str">
        <v>TBD</v>
      </c>
      <c r="H41" t="str">
        <v/>
      </c>
      <c r="I41" t="str">
        <v/>
      </c>
      <c r="J41" t="str">
        <v>01/10/2026</v>
      </c>
      <c r="K41" t="str">
        <v>10:46:34</v>
      </c>
      <c r="L41">
        <v>-12.162798</v>
      </c>
      <c r="M41">
        <v>-76.965675</v>
      </c>
      <c r="N41">
        <f>HYPERLINK("https://www.google.com/maps/search/?api=1&amp;query=-12.162798,-76.965675","Avenida Belisario Suárez, San Juan de Miraflores, Lima")</f>
      </c>
      <c r="O41" t="str">
        <v>Vehículo apagado</v>
      </c>
      <c r="P41" t="str">
        <v>Vehículo Apagado</v>
      </c>
      <c r="Q41">
        <v>11602</v>
      </c>
      <c r="R41" t="str">
        <v/>
      </c>
      <c r="S41">
        <v>0</v>
      </c>
      <c r="T41">
        <v>140.77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10:27:21</v>
      </c>
      <c r="AE41">
        <f>IF("NOGPS"="NOGPS","GPS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10:46:50</v>
      </c>
      <c r="AL41" t="str">
        <v>10:46:50</v>
      </c>
      <c r="AM41" t="str">
        <v/>
      </c>
    </row>
    <row r="42">
      <c r="A42">
        <v>41</v>
      </c>
      <c r="B42" t="str">
        <v>MASS BSF</v>
      </c>
      <c r="C42" t="str">
        <v>CLW-864</v>
      </c>
      <c r="D42" t="str">
        <v>CLW-864</v>
      </c>
      <c r="E42" t="str">
        <v/>
      </c>
      <c r="F42" t="str">
        <v>867162029823242</v>
      </c>
      <c r="G42" t="str">
        <v>TBD</v>
      </c>
      <c r="H42" t="str">
        <v/>
      </c>
      <c r="I42" t="str">
        <v/>
      </c>
      <c r="J42" t="str">
        <v>01/10/2026</v>
      </c>
      <c r="K42" t="str">
        <v>10:46:36</v>
      </c>
      <c r="L42">
        <v>-12.162798</v>
      </c>
      <c r="M42">
        <v>-76.965675</v>
      </c>
      <c r="N42">
        <f>HYPERLINK("https://www.google.com/maps/search/?api=1&amp;query=-12.162798,-76.965675","Avenida Belisario Suárez, San Juan de Miraflores, Lima")</f>
      </c>
      <c r="O42" t="str">
        <v>Vehículo encendido</v>
      </c>
      <c r="P42" t="str">
        <v/>
      </c>
      <c r="Q42">
        <v>11602</v>
      </c>
      <c r="R42" t="str">
        <v/>
      </c>
      <c r="S42">
        <v>0</v>
      </c>
      <c r="T42">
        <v>140.77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10:27:21</v>
      </c>
      <c r="AE42">
        <f>IF("NOGPS"="NOGPS","GPS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10:46:51</v>
      </c>
      <c r="AL42" t="str">
        <v>10:46:51</v>
      </c>
      <c r="AM42" t="str">
        <v/>
      </c>
    </row>
    <row r="43">
      <c r="A43">
        <v>42</v>
      </c>
      <c r="B43" t="str">
        <v>MASS BSF</v>
      </c>
      <c r="C43" t="str">
        <v>CLW-864</v>
      </c>
      <c r="D43" t="str">
        <v>CLW-864</v>
      </c>
      <c r="E43" t="str">
        <v/>
      </c>
      <c r="F43" t="str">
        <v>867162029823242</v>
      </c>
      <c r="G43" t="str">
        <v>TBD</v>
      </c>
      <c r="H43" t="str">
        <v/>
      </c>
      <c r="I43" t="str">
        <v xml:space="preserve"> </v>
      </c>
      <c r="J43" t="str">
        <v>01/10/2026</v>
      </c>
      <c r="K43" t="str">
        <v>10:49:28</v>
      </c>
      <c r="L43">
        <v>-12.161582</v>
      </c>
      <c r="M43">
        <v>-76.9684</v>
      </c>
      <c r="N43">
        <f>HYPERLINK("https://www.google.com/maps/search/?api=1&amp;query=-12.161582,-76.9684","Avenida César Canevaro, San Juan de Miraflores, Lima")</f>
      </c>
      <c r="O43" t="str">
        <v>Salió de zona</v>
      </c>
      <c r="P43" t="str">
        <v/>
      </c>
      <c r="Q43">
        <v>11602.3</v>
      </c>
      <c r="R43" t="str">
        <v>691-M.BELISARIO 9 SJM</v>
      </c>
      <c r="S43">
        <v>10.6</v>
      </c>
      <c r="T43">
        <v>140.77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10:49:27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10:49:51</v>
      </c>
      <c r="AL43" t="str">
        <v>10:49:51</v>
      </c>
      <c r="AM43" t="str">
        <v/>
      </c>
    </row>
    <row r="44">
      <c r="A44">
        <v>43</v>
      </c>
      <c r="B44" t="str">
        <v>MASS BSF</v>
      </c>
      <c r="C44" t="str">
        <v>CLW-864</v>
      </c>
      <c r="D44" t="str">
        <v>CLW-864</v>
      </c>
      <c r="E44" t="str">
        <v/>
      </c>
      <c r="F44" t="str">
        <v>867162029823242</v>
      </c>
      <c r="G44" t="str">
        <v>TBD</v>
      </c>
      <c r="H44" t="str">
        <v/>
      </c>
      <c r="I44" t="str">
        <v xml:space="preserve"> </v>
      </c>
      <c r="J44" t="str">
        <v>01/10/2026</v>
      </c>
      <c r="K44" t="str">
        <v>10:49:28</v>
      </c>
      <c r="L44">
        <v>-12.161582</v>
      </c>
      <c r="M44">
        <v>-76.9684</v>
      </c>
      <c r="N44">
        <f>HYPERLINK("https://www.google.com/maps/search/?api=1&amp;query=-12.161582,-76.9684","Avenida César Canevaro, San Juan de Miraflores, Lima")</f>
      </c>
      <c r="O44" t="str">
        <v>Salió de zona</v>
      </c>
      <c r="P44" t="str">
        <v/>
      </c>
      <c r="Q44">
        <v>11602.3</v>
      </c>
      <c r="R44" t="str">
        <v>310-BELISARIO SUAREZ</v>
      </c>
      <c r="S44">
        <v>10.6</v>
      </c>
      <c r="T44">
        <v>140.77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10:49:27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10:49:51</v>
      </c>
      <c r="AL44" t="str">
        <v>10:49:51</v>
      </c>
      <c r="AM44" t="str">
        <v/>
      </c>
    </row>
    <row r="45">
      <c r="A45">
        <v>44</v>
      </c>
      <c r="B45" t="str">
        <v>MASS BSF</v>
      </c>
      <c r="C45" t="str">
        <v>CLW-864</v>
      </c>
      <c r="D45" t="str">
        <v>CLW-864</v>
      </c>
      <c r="E45" t="str">
        <v/>
      </c>
      <c r="F45" t="str">
        <v>867162029823242</v>
      </c>
      <c r="G45" t="str">
        <v>TBD</v>
      </c>
      <c r="H45" t="str">
        <v/>
      </c>
      <c r="I45" t="str">
        <v xml:space="preserve"> </v>
      </c>
      <c r="J45" t="str">
        <v>01/10/2026</v>
      </c>
      <c r="K45" t="str">
        <v>10:53:36</v>
      </c>
      <c r="L45">
        <v>-12.155051</v>
      </c>
      <c r="M45">
        <v>-76.971504</v>
      </c>
      <c r="N45">
        <f>HYPERLINK("https://www.google.com/maps/search/?api=1&amp;query=-12.155051,-76.971504","Jirón Juan Castilla, San Juan de Miraflores, Lima")</f>
      </c>
      <c r="O45" t="str">
        <v>Llegó a la zona</v>
      </c>
      <c r="P45" t="str">
        <v/>
      </c>
      <c r="Q45">
        <v>11603</v>
      </c>
      <c r="R45" t="str">
        <v>244-LA CABAÑA</v>
      </c>
      <c r="S45">
        <v>0</v>
      </c>
      <c r="T45">
        <v>140.77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10:53:33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10:53:49</v>
      </c>
      <c r="AL45" t="str">
        <v>10:53:49</v>
      </c>
      <c r="AM45" t="str">
        <v/>
      </c>
    </row>
    <row r="46">
      <c r="A46">
        <v>45</v>
      </c>
      <c r="B46" t="str">
        <v>MASS BSF</v>
      </c>
      <c r="C46" t="str">
        <v>CLW-864</v>
      </c>
      <c r="D46" t="str">
        <v>CLW-864</v>
      </c>
      <c r="E46" t="str">
        <v/>
      </c>
      <c r="F46" t="str">
        <v>867162029823242</v>
      </c>
      <c r="G46" t="str">
        <v>TBD</v>
      </c>
      <c r="H46" t="str">
        <v/>
      </c>
      <c r="I46" t="str">
        <v/>
      </c>
      <c r="J46" t="str">
        <v>01/10/2026</v>
      </c>
      <c r="K46" t="str">
        <v>10:56:17</v>
      </c>
      <c r="L46">
        <v>-12.154768</v>
      </c>
      <c r="M46">
        <v>-76.97145</v>
      </c>
      <c r="N46">
        <f>HYPERLINK("https://www.google.com/maps/search/?api=1&amp;query=-12.154768,-76.97145","Justo Naveda, San Juan de Miraflores, Lima")</f>
      </c>
      <c r="O46" t="str">
        <v>Vehículo apagado</v>
      </c>
      <c r="P46" t="str">
        <v>Vehículo Apagado</v>
      </c>
      <c r="Q46">
        <v>11603.4</v>
      </c>
      <c r="R46" t="str">
        <v/>
      </c>
      <c r="S46">
        <v>0</v>
      </c>
      <c r="T46">
        <v>140.93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10:56:20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10:56:28</v>
      </c>
      <c r="AL46" t="str">
        <v>10:56:28</v>
      </c>
      <c r="AM46" t="str">
        <v/>
      </c>
    </row>
    <row r="47">
      <c r="A47">
        <v>46</v>
      </c>
      <c r="B47" t="str">
        <v>MASS BSF</v>
      </c>
      <c r="C47" t="str">
        <v>CLW-864</v>
      </c>
      <c r="D47" t="str">
        <v>CLW-864</v>
      </c>
      <c r="E47" t="str">
        <v/>
      </c>
      <c r="F47" t="str">
        <v>867162029823242</v>
      </c>
      <c r="G47" t="str">
        <v>TBD</v>
      </c>
      <c r="H47" t="str">
        <v/>
      </c>
      <c r="I47" t="str">
        <v/>
      </c>
      <c r="J47" t="str">
        <v>01/10/2026</v>
      </c>
      <c r="K47" t="str">
        <v>11:14:23</v>
      </c>
      <c r="L47">
        <v>-12.154768</v>
      </c>
      <c r="M47">
        <v>-76.97145</v>
      </c>
      <c r="N47">
        <f>HYPERLINK("https://www.google.com/maps/search/?api=1&amp;query=-12.154768,-76.97145","Justo Naveda, San Juan de Miraflores, Lima")</f>
      </c>
      <c r="O47" t="str">
        <v>Vehículo encendido</v>
      </c>
      <c r="P47" t="str">
        <v/>
      </c>
      <c r="Q47">
        <v>11603.4</v>
      </c>
      <c r="R47" t="str">
        <v/>
      </c>
      <c r="S47">
        <v>0</v>
      </c>
      <c r="T47">
        <v>140.93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10:56:20</v>
      </c>
      <c r="AE47">
        <f>IF("NOGPS"="NOGPS","GPS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11:14:47</v>
      </c>
      <c r="AL47" t="str">
        <v>11:14:47</v>
      </c>
      <c r="AM47" t="str">
        <v/>
      </c>
    </row>
    <row r="48">
      <c r="A48">
        <v>47</v>
      </c>
      <c r="B48" t="str">
        <v>MASS BSF</v>
      </c>
      <c r="C48" t="str">
        <v>CLW-864</v>
      </c>
      <c r="D48" t="str">
        <v>CLW-864</v>
      </c>
      <c r="E48" t="str">
        <v/>
      </c>
      <c r="F48" t="str">
        <v>867162029823242</v>
      </c>
      <c r="G48" t="str">
        <v>TBD</v>
      </c>
      <c r="H48" t="str">
        <v/>
      </c>
      <c r="I48" t="str">
        <v/>
      </c>
      <c r="J48" t="str">
        <v>01/10/2026</v>
      </c>
      <c r="K48" t="str">
        <v>11:14:27</v>
      </c>
      <c r="L48">
        <v>-12.154768</v>
      </c>
      <c r="M48">
        <v>-76.97145</v>
      </c>
      <c r="N48">
        <f>HYPERLINK("https://www.google.com/maps/search/?api=1&amp;query=-12.154768,-76.97145","Justo Naveda, San Juan de Miraflores, Lima")</f>
      </c>
      <c r="O48" t="str">
        <v>Vehículo apagado</v>
      </c>
      <c r="P48" t="str">
        <v>Vehículo Apagado</v>
      </c>
      <c r="Q48">
        <v>11603.4</v>
      </c>
      <c r="R48" t="str">
        <v/>
      </c>
      <c r="S48">
        <v>0</v>
      </c>
      <c r="T48">
        <v>140.93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10:56:20</v>
      </c>
      <c r="AE48">
        <f>IF("NOGPS"="NOGPS","GPS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11:14:43</v>
      </c>
      <c r="AL48" t="str">
        <v>11:14:43</v>
      </c>
      <c r="AM48" t="str">
        <v/>
      </c>
    </row>
    <row r="49">
      <c r="A49">
        <v>48</v>
      </c>
      <c r="B49" t="str">
        <v>MASS BSF</v>
      </c>
      <c r="C49" t="str">
        <v>CLW-864</v>
      </c>
      <c r="D49" t="str">
        <v>CLW-864</v>
      </c>
      <c r="E49" t="str">
        <v/>
      </c>
      <c r="F49" t="str">
        <v>867162029823242</v>
      </c>
      <c r="G49" t="str">
        <v>TBD</v>
      </c>
      <c r="H49" t="str">
        <v/>
      </c>
      <c r="I49" t="str">
        <v/>
      </c>
      <c r="J49" t="str">
        <v>01/10/2026</v>
      </c>
      <c r="K49" t="str">
        <v>11:14:29</v>
      </c>
      <c r="L49">
        <v>-12.154768</v>
      </c>
      <c r="M49">
        <v>-76.97145</v>
      </c>
      <c r="N49">
        <f>HYPERLINK("https://www.google.com/maps/search/?api=1&amp;query=-12.154768,-76.97145","Justo Naveda, San Juan de Miraflores, Lima")</f>
      </c>
      <c r="O49" t="str">
        <v>Vehículo encendido</v>
      </c>
      <c r="P49" t="str">
        <v/>
      </c>
      <c r="Q49">
        <v>11603.4</v>
      </c>
      <c r="R49" t="str">
        <v/>
      </c>
      <c r="S49">
        <v>0</v>
      </c>
      <c r="T49">
        <v>140.93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10:56:20</v>
      </c>
      <c r="AE49">
        <f>IF("NOGPS"="NOGPS","GPS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11:14:44</v>
      </c>
      <c r="AL49" t="str">
        <v>11:14:44</v>
      </c>
      <c r="AM49" t="str">
        <v/>
      </c>
    </row>
    <row r="50">
      <c r="A50">
        <v>49</v>
      </c>
      <c r="B50" t="str">
        <v>MASS BSF</v>
      </c>
      <c r="C50" t="str">
        <v>CLW-864</v>
      </c>
      <c r="D50" t="str">
        <v>CLW-864</v>
      </c>
      <c r="E50" t="str">
        <v/>
      </c>
      <c r="F50" t="str">
        <v>867162029823242</v>
      </c>
      <c r="G50" t="str">
        <v>TBD</v>
      </c>
      <c r="H50" t="str">
        <v/>
      </c>
      <c r="I50" t="str">
        <v/>
      </c>
      <c r="J50" t="str">
        <v>01/10/2026</v>
      </c>
      <c r="K50" t="str">
        <v>11:17:57</v>
      </c>
      <c r="L50">
        <v>-12.154723</v>
      </c>
      <c r="M50">
        <v>-76.971405</v>
      </c>
      <c r="N50">
        <f>HYPERLINK("https://www.google.com/maps/search/?api=1&amp;query=-12.154723,-76.971405","Justo Naveda, San Juan de Miraflores, Lima")</f>
      </c>
      <c r="O50" t="str">
        <v>Vehículo apagado</v>
      </c>
      <c r="P50" t="str">
        <v>Vehículo Apagado</v>
      </c>
      <c r="Q50">
        <v>11603.4</v>
      </c>
      <c r="R50" t="str">
        <v/>
      </c>
      <c r="S50">
        <v>0</v>
      </c>
      <c r="T50">
        <v>140.98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11:17:28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11:18:13</v>
      </c>
      <c r="AL50" t="str">
        <v>11:18:13</v>
      </c>
      <c r="AM50" t="str">
        <v/>
      </c>
    </row>
    <row r="51">
      <c r="A51">
        <v>50</v>
      </c>
      <c r="B51" t="str">
        <v>MASS BSF</v>
      </c>
      <c r="C51" t="str">
        <v>CLW-864</v>
      </c>
      <c r="D51" t="str">
        <v>CLW-864</v>
      </c>
      <c r="E51" t="str">
        <v/>
      </c>
      <c r="F51" t="str">
        <v>867162029823242</v>
      </c>
      <c r="G51" t="str">
        <v>TBD</v>
      </c>
      <c r="H51" t="str">
        <v/>
      </c>
      <c r="I51" t="str">
        <v/>
      </c>
      <c r="J51" t="str">
        <v>01/10/2026</v>
      </c>
      <c r="K51" t="str">
        <v>11:17:59</v>
      </c>
      <c r="L51">
        <v>-12.154723</v>
      </c>
      <c r="M51">
        <v>-76.971405</v>
      </c>
      <c r="N51">
        <f>HYPERLINK("https://www.google.com/maps/search/?api=1&amp;query=-12.154723,-76.971405","Justo Naveda, San Juan de Miraflores, Lima")</f>
      </c>
      <c r="O51" t="str">
        <v>Vehículo encendido</v>
      </c>
      <c r="P51" t="str">
        <v/>
      </c>
      <c r="Q51">
        <v>11603.4</v>
      </c>
      <c r="R51" t="str">
        <v/>
      </c>
      <c r="S51">
        <v>0</v>
      </c>
      <c r="T51">
        <v>140.93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11:17:28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11:18:07</v>
      </c>
      <c r="AL51" t="str">
        <v>11:18:07</v>
      </c>
      <c r="AM51" t="str">
        <v/>
      </c>
    </row>
    <row r="52">
      <c r="A52">
        <v>51</v>
      </c>
      <c r="B52" t="str">
        <v>MASS BSF</v>
      </c>
      <c r="C52" t="str">
        <v>CLW-864</v>
      </c>
      <c r="D52" t="str">
        <v>CLW-864</v>
      </c>
      <c r="E52" t="str">
        <v/>
      </c>
      <c r="F52" t="str">
        <v>867162029823242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11:20:06</v>
      </c>
      <c r="L52">
        <v>-12.154753</v>
      </c>
      <c r="M52">
        <v>-76.970695</v>
      </c>
      <c r="N52">
        <f>HYPERLINK("https://www.google.com/maps/search/?api=1&amp;query=-12.154753,-76.970695","Avenida Los Héroes, San Juan de Miraflores, Lima")</f>
      </c>
      <c r="O52" t="str">
        <v>Salió de zona</v>
      </c>
      <c r="P52" t="str">
        <v/>
      </c>
      <c r="Q52">
        <v>11603.4</v>
      </c>
      <c r="R52" t="str">
        <v>244-LA CABAÑA</v>
      </c>
      <c r="S52">
        <v>13.6</v>
      </c>
      <c r="T52">
        <v>140.97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11:19:56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11:20:20</v>
      </c>
      <c r="AL52" t="str">
        <v>11:20:20</v>
      </c>
      <c r="AM52" t="str">
        <v/>
      </c>
    </row>
    <row r="53">
      <c r="A53">
        <v>52</v>
      </c>
      <c r="B53" t="str">
        <v>MASS BSF</v>
      </c>
      <c r="C53" t="str">
        <v>CLW-864</v>
      </c>
      <c r="D53" t="str">
        <v>CLW-864</v>
      </c>
      <c r="E53" t="str">
        <v/>
      </c>
      <c r="F53" t="str">
        <v>867162029823242</v>
      </c>
      <c r="G53" t="str">
        <v>TBD</v>
      </c>
      <c r="H53" t="str">
        <v/>
      </c>
      <c r="I53" t="str">
        <v/>
      </c>
      <c r="J53" t="str">
        <v>01/10/2026</v>
      </c>
      <c r="K53" t="str">
        <v>11:28:24</v>
      </c>
      <c r="L53">
        <v>-12.158078</v>
      </c>
      <c r="M53">
        <v>-76.971085</v>
      </c>
      <c r="N53">
        <f>HYPERLINK("https://www.google.com/maps/search/?api=1&amp;query=-12.158078,-76.971085","Avenida José María Seguín, San Juan de Miraflores, Lima")</f>
      </c>
      <c r="O53" t="str">
        <v>Inicio de ralentí</v>
      </c>
      <c r="P53" t="str">
        <v>Vehículo Detenido</v>
      </c>
      <c r="Q53">
        <v>11603.9</v>
      </c>
      <c r="R53" t="str">
        <v/>
      </c>
      <c r="S53">
        <v>0</v>
      </c>
      <c r="T53">
        <v>140.93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11:27:59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11:28:45</v>
      </c>
      <c r="AL53" t="str">
        <v>11:28:45</v>
      </c>
      <c r="AM53" t="str">
        <v/>
      </c>
    </row>
    <row r="54">
      <c r="A54">
        <v>53</v>
      </c>
      <c r="B54" t="str">
        <v>MASS BSF</v>
      </c>
      <c r="C54" t="str">
        <v>CLW-864</v>
      </c>
      <c r="D54" t="str">
        <v>CLW-864</v>
      </c>
      <c r="E54" t="str">
        <v/>
      </c>
      <c r="F54" t="str">
        <v>867162029823242</v>
      </c>
      <c r="G54" t="str">
        <v>TBD</v>
      </c>
      <c r="H54" t="str">
        <v/>
      </c>
      <c r="I54" t="str">
        <v/>
      </c>
      <c r="J54" t="str">
        <v>01/10/2026</v>
      </c>
      <c r="K54" t="str">
        <v>11:33:06</v>
      </c>
      <c r="L54">
        <v>-12.158992</v>
      </c>
      <c r="M54">
        <v>-76.971405</v>
      </c>
      <c r="N54">
        <f>HYPERLINK("https://www.google.com/maps/search/?api=1&amp;query=-12.158992,-76.971405","Avenida Guillermo Billinghurst, San Juan de Miraflores, Lima")</f>
      </c>
      <c r="O54" t="str">
        <v>Fin de ralentí</v>
      </c>
      <c r="P54" t="str">
        <v/>
      </c>
      <c r="Q54">
        <v>11604</v>
      </c>
      <c r="R54" t="str">
        <v/>
      </c>
      <c r="S54">
        <v>7</v>
      </c>
      <c r="T54">
        <v>140.93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11:33:11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11:33:19</v>
      </c>
      <c r="AL54" t="str">
        <v>11:33:19</v>
      </c>
      <c r="AM54" t="str">
        <v/>
      </c>
    </row>
    <row r="55">
      <c r="A55">
        <v>54</v>
      </c>
      <c r="B55" t="str">
        <v>MASS BSF</v>
      </c>
      <c r="C55" t="str">
        <v>CLW-864</v>
      </c>
      <c r="D55" t="str">
        <v>CLW-864</v>
      </c>
      <c r="E55" t="str">
        <v/>
      </c>
      <c r="F55" t="str">
        <v>867162029823242</v>
      </c>
      <c r="G55" t="str">
        <v>TBD</v>
      </c>
      <c r="H55" t="str">
        <v/>
      </c>
      <c r="I55" t="str">
        <v/>
      </c>
      <c r="J55" t="str">
        <v>01/10/2026</v>
      </c>
      <c r="K55" t="str">
        <v>11:47:02</v>
      </c>
      <c r="L55">
        <v>-12.182167</v>
      </c>
      <c r="M55">
        <v>-76.975914</v>
      </c>
      <c r="N55">
        <f>HYPERLINK("https://www.google.com/maps/search/?api=1&amp;query=-12.182167,-76.975914","Avenida El Triunfo, San Juan de Miraflores, Lima")</f>
      </c>
      <c r="O55" t="str">
        <v>Exceso de velocidad en segmento vial</v>
      </c>
      <c r="P55" t="str">
        <v/>
      </c>
      <c r="Q55">
        <v>11608.3</v>
      </c>
      <c r="R55" t="str">
        <v/>
      </c>
      <c r="S55">
        <v>46.5</v>
      </c>
      <c r="T55">
        <v>140.93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11:46:59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11:47:17</v>
      </c>
      <c r="AL55" t="str">
        <v>11:47:17</v>
      </c>
      <c r="AM55" t="str">
        <v/>
      </c>
    </row>
    <row r="56">
      <c r="A56">
        <v>55</v>
      </c>
      <c r="B56" t="str">
        <v>MASS BSF</v>
      </c>
      <c r="C56" t="str">
        <v>CLW-864</v>
      </c>
      <c r="D56" t="str">
        <v>CLW-864</v>
      </c>
      <c r="E56" t="str">
        <v/>
      </c>
      <c r="F56" t="str">
        <v>867162029823242</v>
      </c>
      <c r="G56" t="str">
        <v>TBD</v>
      </c>
      <c r="H56" t="str">
        <v/>
      </c>
      <c r="I56" t="str">
        <v/>
      </c>
      <c r="J56" t="str">
        <v>01/10/2026</v>
      </c>
      <c r="K56" t="str">
        <v>11:49:02</v>
      </c>
      <c r="L56">
        <v>-12.194915</v>
      </c>
      <c r="M56">
        <v>-76.97283</v>
      </c>
      <c r="N56">
        <f>HYPERLINK("https://www.google.com/maps/search/?api=1&amp;query=-12.194915,-76.97283","Carretera Panamericana Sur, Villa El Salvador, Lima")</f>
      </c>
      <c r="O56" t="str">
        <v>Exceso de velocidad en segmento vial</v>
      </c>
      <c r="P56" t="str">
        <v/>
      </c>
      <c r="Q56">
        <v>11609.8</v>
      </c>
      <c r="R56" t="str">
        <v/>
      </c>
      <c r="S56">
        <v>76.3</v>
      </c>
      <c r="T56">
        <v>140.93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11:48:59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11:49:21</v>
      </c>
      <c r="AL56" t="str">
        <v>11:49:21</v>
      </c>
      <c r="AM56" t="str">
        <v/>
      </c>
    </row>
    <row r="57">
      <c r="A57">
        <v>56</v>
      </c>
      <c r="B57" t="str">
        <v>MASS BSF</v>
      </c>
      <c r="C57" t="str">
        <v>CLW-864</v>
      </c>
      <c r="D57" t="str">
        <v>CLW-864</v>
      </c>
      <c r="E57" t="str">
        <v/>
      </c>
      <c r="F57" t="str">
        <v>867162029823242</v>
      </c>
      <c r="G57" t="str">
        <v>TBD</v>
      </c>
      <c r="H57" t="str">
        <v/>
      </c>
      <c r="I57" t="str">
        <v/>
      </c>
      <c r="J57" t="str">
        <v>01/10/2026</v>
      </c>
      <c r="K57" t="str">
        <v>11:53:06</v>
      </c>
      <c r="L57">
        <v>-12.231786</v>
      </c>
      <c r="M57">
        <v>-76.96461</v>
      </c>
      <c r="N57">
        <f>HYPERLINK("https://www.google.com/maps/search/?api=1&amp;query=-12.231786,-76.96461","Carretera Panamericana Sur, Villa El Salvador, Lima")</f>
      </c>
      <c r="O57" t="str">
        <v>Excedió el límite de velocidad</v>
      </c>
      <c r="P57" t="str">
        <v/>
      </c>
      <c r="Q57">
        <v>11614.5</v>
      </c>
      <c r="R57" t="str">
        <v/>
      </c>
      <c r="S57">
        <v>83.5</v>
      </c>
      <c r="T57">
        <v>140.93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11:53:05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11:53:22</v>
      </c>
      <c r="AL57" t="str">
        <v>11:53:22</v>
      </c>
      <c r="AM57" t="str">
        <v/>
      </c>
    </row>
    <row r="58">
      <c r="A58">
        <v>57</v>
      </c>
      <c r="B58" t="str">
        <v>MASS BSF</v>
      </c>
      <c r="C58" t="str">
        <v>CLW-864</v>
      </c>
      <c r="D58" t="str">
        <v>CLW-864</v>
      </c>
      <c r="E58" t="str">
        <v/>
      </c>
      <c r="F58" t="str">
        <v>867162029823242</v>
      </c>
      <c r="G58" t="str">
        <v>TBD</v>
      </c>
      <c r="H58" t="str">
        <v/>
      </c>
      <c r="I58" t="str">
        <v/>
      </c>
      <c r="J58" t="str">
        <v>01/10/2026</v>
      </c>
      <c r="K58" t="str">
        <v>11:54:30</v>
      </c>
      <c r="L58">
        <v>-12.239595</v>
      </c>
      <c r="M58">
        <v>-76.94963</v>
      </c>
      <c r="N58">
        <f>HYPERLINK("https://www.google.com/maps/search/?api=1&amp;query=-12.239595,-76.94963","Carretera Panamericana Sur, Villa El Salvador, Lima")</f>
      </c>
      <c r="O58" t="str">
        <v>Excedió el límite de velocidad</v>
      </c>
      <c r="P58" t="str">
        <v/>
      </c>
      <c r="Q58">
        <v>11616.3</v>
      </c>
      <c r="R58" t="str">
        <v/>
      </c>
      <c r="S58">
        <v>81.7</v>
      </c>
      <c r="T58">
        <v>140.93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11:54:29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11:54:39</v>
      </c>
      <c r="AL58" t="str">
        <v>11:54:39</v>
      </c>
      <c r="AM58" t="str">
        <v/>
      </c>
    </row>
    <row r="59">
      <c r="A59">
        <v>58</v>
      </c>
      <c r="B59" t="str">
        <v>MASS BSF</v>
      </c>
      <c r="C59" t="str">
        <v>CLW-864</v>
      </c>
      <c r="D59" t="str">
        <v>CLW-864</v>
      </c>
      <c r="E59" t="str">
        <v/>
      </c>
      <c r="F59" t="str">
        <v>867162029823242</v>
      </c>
      <c r="G59" t="str">
        <v>TBD</v>
      </c>
      <c r="H59" t="str">
        <v/>
      </c>
      <c r="I59" t="str">
        <v/>
      </c>
      <c r="J59" t="str">
        <v>01/10/2026</v>
      </c>
      <c r="K59" t="str">
        <v>11:57:54</v>
      </c>
      <c r="L59">
        <v>-12.259076</v>
      </c>
      <c r="M59">
        <v>-76.917046</v>
      </c>
      <c r="N59">
        <f>HYPERLINK("https://www.google.com/maps/search/?api=1&amp;query=-12.259076,-76.917046","Carretera Panamericana Sur, Lurín, Lima")</f>
      </c>
      <c r="O59" t="str">
        <v>Excedió el límite de velocidad</v>
      </c>
      <c r="P59" t="str">
        <v/>
      </c>
      <c r="Q59">
        <v>11620.5</v>
      </c>
      <c r="R59" t="str">
        <v/>
      </c>
      <c r="S59">
        <v>80.7</v>
      </c>
      <c r="T59">
        <v>140.93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11:57:53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11:58:08</v>
      </c>
      <c r="AL59" t="str">
        <v>11:58:08</v>
      </c>
      <c r="AM59" t="str">
        <v/>
      </c>
    </row>
    <row r="60">
      <c r="A60">
        <v>59</v>
      </c>
      <c r="B60" t="str">
        <v>MASS BSF</v>
      </c>
      <c r="C60" t="str">
        <v>CLW-864</v>
      </c>
      <c r="D60" t="str">
        <v>CLW-864</v>
      </c>
      <c r="E60" t="str">
        <v/>
      </c>
      <c r="F60" t="str">
        <v>867162029823242</v>
      </c>
      <c r="G60" t="str">
        <v>TBD</v>
      </c>
      <c r="H60" t="str">
        <v/>
      </c>
      <c r="I60" t="str">
        <v/>
      </c>
      <c r="J60" t="str">
        <v>01/10/2026</v>
      </c>
      <c r="K60" t="str">
        <v>11:59:48</v>
      </c>
      <c r="L60">
        <v>-12.271337</v>
      </c>
      <c r="M60">
        <v>-76.8975</v>
      </c>
      <c r="N60">
        <f>HYPERLINK("https://www.google.com/maps/search/?api=1&amp;query=-12.271337,-76.8975","Carretera Panamericana Sur, Lurín, Lima")</f>
      </c>
      <c r="O60" t="str">
        <v>Excedió el límite de velocidad</v>
      </c>
      <c r="P60" t="str">
        <v/>
      </c>
      <c r="Q60">
        <v>11623</v>
      </c>
      <c r="R60" t="str">
        <v/>
      </c>
      <c r="S60">
        <v>85</v>
      </c>
      <c r="T60">
        <v>140.93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11:59:47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12:00:04</v>
      </c>
      <c r="AL60" t="str">
        <v>12:00:04</v>
      </c>
      <c r="AM60" t="str">
        <v/>
      </c>
    </row>
    <row r="61">
      <c r="A61">
        <v>60</v>
      </c>
      <c r="B61" t="str">
        <v>MASS BSF</v>
      </c>
      <c r="C61" t="str">
        <v>CLW-864</v>
      </c>
      <c r="D61" t="str">
        <v>CLW-864</v>
      </c>
      <c r="E61" t="str">
        <v/>
      </c>
      <c r="F61" t="str">
        <v>867162029823242</v>
      </c>
      <c r="G61" t="str">
        <v>TBD</v>
      </c>
      <c r="H61" t="str">
        <v/>
      </c>
      <c r="I61" t="str">
        <v/>
      </c>
      <c r="J61" t="str">
        <v>01/10/2026</v>
      </c>
      <c r="K61" t="str">
        <v>12:02:03</v>
      </c>
      <c r="L61">
        <v>-12.286834</v>
      </c>
      <c r="M61">
        <v>-76.87288</v>
      </c>
      <c r="N61">
        <f>HYPERLINK("https://www.google.com/maps/search/?api=1&amp;query=-12.286834,-76.87288","Carretera Panamericana Sur, Lurín, Lima")</f>
      </c>
      <c r="O61" t="str">
        <v>Excedió el límite de velocidad</v>
      </c>
      <c r="P61" t="str">
        <v/>
      </c>
      <c r="Q61">
        <v>11626.2</v>
      </c>
      <c r="R61" t="str">
        <v/>
      </c>
      <c r="S61">
        <v>82.9</v>
      </c>
      <c r="T61">
        <v>140.93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12:02:02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12:02:22</v>
      </c>
      <c r="AL61" t="str">
        <v>12:02:22</v>
      </c>
      <c r="AM61" t="str">
        <v/>
      </c>
    </row>
    <row r="62">
      <c r="A62">
        <v>61</v>
      </c>
      <c r="B62" t="str">
        <v>MASS BSF</v>
      </c>
      <c r="C62" t="str">
        <v>CLW-864</v>
      </c>
      <c r="D62" t="str">
        <v>CLW-864</v>
      </c>
      <c r="E62" t="str">
        <v/>
      </c>
      <c r="F62" t="str">
        <v>867162029823242</v>
      </c>
      <c r="G62" t="str">
        <v>TBD</v>
      </c>
      <c r="H62" t="str">
        <v/>
      </c>
      <c r="I62" t="str">
        <v/>
      </c>
      <c r="J62" t="str">
        <v>01/10/2026</v>
      </c>
      <c r="K62" t="str">
        <v>12:03:42</v>
      </c>
      <c r="L62">
        <v>-12.297195</v>
      </c>
      <c r="M62">
        <v>-76.855515</v>
      </c>
      <c r="N62">
        <f>HYPERLINK("https://www.google.com/maps/search/?api=1&amp;query=-12.297195,-76.855515","Carretera Panamericana Sur, Lurín, Lima")</f>
      </c>
      <c r="O62" t="str">
        <v>Excedió el límite de velocidad</v>
      </c>
      <c r="P62" t="str">
        <v/>
      </c>
      <c r="Q62">
        <v>11628.4</v>
      </c>
      <c r="R62" t="str">
        <v/>
      </c>
      <c r="S62">
        <v>81.8</v>
      </c>
      <c r="T62">
        <v>140.93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12:03:41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12:03:58</v>
      </c>
      <c r="AL62" t="str">
        <v>12:03:58</v>
      </c>
      <c r="AM62" t="str">
        <v/>
      </c>
    </row>
    <row r="63">
      <c r="A63">
        <v>62</v>
      </c>
      <c r="B63" t="str">
        <v>MASS BSF</v>
      </c>
      <c r="C63" t="str">
        <v>CLW-864</v>
      </c>
      <c r="D63" t="str">
        <v>CLW-864</v>
      </c>
      <c r="E63" t="str">
        <v/>
      </c>
      <c r="F63" t="str">
        <v>867162029823242</v>
      </c>
      <c r="G63" t="str">
        <v>TBD</v>
      </c>
      <c r="H63" t="str">
        <v/>
      </c>
      <c r="I63" t="str">
        <v/>
      </c>
      <c r="J63" t="str">
        <v>01/10/2026</v>
      </c>
      <c r="K63" t="str">
        <v>12:07:21</v>
      </c>
      <c r="L63">
        <v>-12.324527</v>
      </c>
      <c r="M63">
        <v>-76.82593</v>
      </c>
      <c r="N63">
        <f>HYPERLINK("https://www.google.com/maps/search/?api=1&amp;query=-12.324527,-76.82593","Carretera Panamericana Sur, Punta Hermosa, Lima")</f>
      </c>
      <c r="O63" t="str">
        <v>Excedió el límite de velocidad</v>
      </c>
      <c r="P63" t="str">
        <v/>
      </c>
      <c r="Q63">
        <v>11633</v>
      </c>
      <c r="R63" t="str">
        <v/>
      </c>
      <c r="S63">
        <v>83.5</v>
      </c>
      <c r="T63">
        <v>140.93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12:07:20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12:07:42</v>
      </c>
      <c r="AL63" t="str">
        <v>12:07:42</v>
      </c>
      <c r="AM63" t="str">
        <v/>
      </c>
    </row>
    <row r="64">
      <c r="A64">
        <v>63</v>
      </c>
      <c r="B64" t="str">
        <v>MASS BSF</v>
      </c>
      <c r="C64" t="str">
        <v>CLW-864</v>
      </c>
      <c r="D64" t="str">
        <v>CLW-864</v>
      </c>
      <c r="E64" t="str">
        <v/>
      </c>
      <c r="F64" t="str">
        <v>867162029823242</v>
      </c>
      <c r="G64" t="str">
        <v>TBD</v>
      </c>
      <c r="H64" t="str">
        <v/>
      </c>
      <c r="I64" t="str">
        <v xml:space="preserve"> </v>
      </c>
      <c r="J64" t="str">
        <v>01/10/2026</v>
      </c>
      <c r="K64" t="str">
        <v>12:12:54</v>
      </c>
      <c r="L64">
        <v>-12.317469</v>
      </c>
      <c r="M64">
        <v>-76.8295</v>
      </c>
      <c r="N64">
        <f>HYPERLINK("https://www.google.com/maps/search/?api=1&amp;query=-12.317469,-76.8295","Punta Hermosa, Lima")</f>
      </c>
      <c r="O64" t="str">
        <v>Llegó a la zona</v>
      </c>
      <c r="P64" t="str">
        <v/>
      </c>
      <c r="Q64">
        <v>11636.9</v>
      </c>
      <c r="R64" t="str">
        <v>MASS BSF 1</v>
      </c>
      <c r="S64">
        <v>11.7</v>
      </c>
      <c r="T64">
        <v>140.97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12:12:53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12:13:08</v>
      </c>
      <c r="AL64" t="str">
        <v>12:13:08</v>
      </c>
      <c r="AM64" t="str">
        <v/>
      </c>
    </row>
    <row r="65">
      <c r="A65">
        <v>64</v>
      </c>
      <c r="B65" t="str">
        <v>MASS BSF</v>
      </c>
      <c r="C65" t="str">
        <v>CLW-864</v>
      </c>
      <c r="D65" t="str">
        <v>CLW-864</v>
      </c>
      <c r="E65" t="str">
        <v/>
      </c>
      <c r="F65" t="str">
        <v>867162029823242</v>
      </c>
      <c r="G65" t="str">
        <v>TBD</v>
      </c>
      <c r="H65" t="str">
        <v/>
      </c>
      <c r="I65" t="str">
        <v/>
      </c>
      <c r="J65" t="str">
        <v>01/10/2026</v>
      </c>
      <c r="K65" t="str">
        <v>12:21:41</v>
      </c>
      <c r="L65">
        <v>-12.317291</v>
      </c>
      <c r="M65">
        <v>-76.82305</v>
      </c>
      <c r="N65">
        <f>HYPERLINK("https://www.google.com/maps/search/?api=1&amp;query=-12.317291,-76.82305","Punta Hermosa, Lima")</f>
      </c>
      <c r="O65" t="str">
        <v>Vehículo apagado</v>
      </c>
      <c r="P65" t="str">
        <v>Vehículo Apagado</v>
      </c>
      <c r="Q65">
        <v>11638.1</v>
      </c>
      <c r="R65" t="str">
        <v/>
      </c>
      <c r="S65">
        <v>0</v>
      </c>
      <c r="T65">
        <v>142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12:19:59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12:21:56</v>
      </c>
      <c r="AL65" t="str">
        <v>12:21:56</v>
      </c>
      <c r="AM65" t="str">
        <v/>
      </c>
    </row>
    <row r="66">
      <c r="A66">
        <v>65</v>
      </c>
      <c r="B66" t="str">
        <v>MASS BSF</v>
      </c>
      <c r="C66" t="str">
        <v>CLW-864</v>
      </c>
      <c r="D66" t="str">
        <v>CLW-864</v>
      </c>
      <c r="E66" t="str">
        <v/>
      </c>
      <c r="F66" t="str">
        <v>867162029823242</v>
      </c>
      <c r="G66" t="str">
        <v>TBD</v>
      </c>
      <c r="H66" t="str">
        <v/>
      </c>
      <c r="I66" t="str">
        <v/>
      </c>
      <c r="J66" t="str">
        <v>01/10/2026</v>
      </c>
      <c r="K66" t="str">
        <v>12:22:41</v>
      </c>
      <c r="L66">
        <v>-12.317291</v>
      </c>
      <c r="M66">
        <v>-76.82305</v>
      </c>
      <c r="N66">
        <f>HYPERLINK("https://www.google.com/maps/search/?api=1&amp;query=-12.317291,-76.82305","Punta Hermosa, Lima")</f>
      </c>
      <c r="O66" t="str">
        <v>Vehículo encendido</v>
      </c>
      <c r="P66" t="str">
        <v/>
      </c>
      <c r="Q66">
        <v>11638.1</v>
      </c>
      <c r="R66" t="str">
        <v/>
      </c>
      <c r="S66">
        <v>0</v>
      </c>
      <c r="T66">
        <v>140.93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12:21:43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12:22:47</v>
      </c>
      <c r="AL66" t="str">
        <v>12:22:47</v>
      </c>
      <c r="AM66" t="str">
        <v/>
      </c>
    </row>
    <row r="67">
      <c r="A67">
        <v>66</v>
      </c>
      <c r="B67" t="str">
        <v>MASS BSF</v>
      </c>
      <c r="C67" t="str">
        <v>CLW-864</v>
      </c>
      <c r="D67" t="str">
        <v>CLW-864</v>
      </c>
      <c r="E67" t="str">
        <v/>
      </c>
      <c r="F67" t="str">
        <v>867162029823242</v>
      </c>
      <c r="G67" t="str">
        <v>TBD</v>
      </c>
      <c r="H67" t="str">
        <v/>
      </c>
      <c r="I67" t="str">
        <v/>
      </c>
      <c r="J67" t="str">
        <v>01/10/2026</v>
      </c>
      <c r="K67" t="str">
        <v>12:26:11</v>
      </c>
      <c r="L67">
        <v>-12.317322</v>
      </c>
      <c r="M67">
        <v>-76.82296</v>
      </c>
      <c r="N67">
        <f>HYPERLINK("https://www.google.com/maps/search/?api=1&amp;query=-12.317322,-76.82296","Punta Hermosa, Lima")</f>
      </c>
      <c r="O67" t="str">
        <v>Vehículo apagado</v>
      </c>
      <c r="P67" t="str">
        <v>Vehículo Apagado</v>
      </c>
      <c r="Q67">
        <v>11638.1</v>
      </c>
      <c r="R67" t="str">
        <v/>
      </c>
      <c r="S67">
        <v>0</v>
      </c>
      <c r="T67">
        <v>141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12:26:13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12:26:25</v>
      </c>
      <c r="AL67" t="str">
        <v>12:26:25</v>
      </c>
      <c r="AM67" t="str">
        <v/>
      </c>
    </row>
    <row r="68">
      <c r="A68">
        <v>67</v>
      </c>
      <c r="B68" t="str">
        <v>MASS BSF</v>
      </c>
      <c r="C68" t="str">
        <v>CLW-864</v>
      </c>
      <c r="D68" t="str">
        <v>CLW-864</v>
      </c>
      <c r="E68" t="str">
        <v/>
      </c>
      <c r="F68" t="str">
        <v>867162029823242</v>
      </c>
      <c r="G68" t="str">
        <v>TBD</v>
      </c>
      <c r="H68" t="str">
        <v/>
      </c>
      <c r="I68" t="str">
        <v/>
      </c>
      <c r="J68" t="str">
        <v>01/10/2026</v>
      </c>
      <c r="K68" t="str">
        <v>12:34:17</v>
      </c>
      <c r="L68">
        <v>-12.317322</v>
      </c>
      <c r="M68">
        <v>-76.82296</v>
      </c>
      <c r="N68">
        <f>HYPERLINK("https://www.google.com/maps/search/?api=1&amp;query=-12.317322,-76.82296","Punta Hermosa, Lima")</f>
      </c>
      <c r="O68" t="str">
        <v>Vehículo encendido</v>
      </c>
      <c r="P68" t="str">
        <v/>
      </c>
      <c r="Q68">
        <v>11638.1</v>
      </c>
      <c r="R68" t="str">
        <v/>
      </c>
      <c r="S68">
        <v>0</v>
      </c>
      <c r="T68">
        <v>141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12:26:13</v>
      </c>
      <c r="AE68">
        <f>IF("NOGPS"="NOGPS","GPS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12:34:30</v>
      </c>
      <c r="AL68" t="str">
        <v>12:34:30</v>
      </c>
      <c r="AM68" t="str">
        <v/>
      </c>
    </row>
    <row r="69">
      <c r="A69">
        <v>68</v>
      </c>
      <c r="B69" t="str">
        <v>MASS BSF</v>
      </c>
      <c r="C69" t="str">
        <v>CLW-864</v>
      </c>
      <c r="D69" t="str">
        <v>CLW-864</v>
      </c>
      <c r="E69" t="str">
        <v/>
      </c>
      <c r="F69" t="str">
        <v>867162029823242</v>
      </c>
      <c r="G69" t="str">
        <v>TBD</v>
      </c>
      <c r="H69" t="str">
        <v/>
      </c>
      <c r="I69" t="str">
        <v/>
      </c>
      <c r="J69" t="str">
        <v>01/10/2026</v>
      </c>
      <c r="K69" t="str">
        <v>12:34:19</v>
      </c>
      <c r="L69">
        <v>-12.317322</v>
      </c>
      <c r="M69">
        <v>-76.82296</v>
      </c>
      <c r="N69">
        <f>HYPERLINK("https://www.google.com/maps/search/?api=1&amp;query=-12.317322,-76.82296","Punta Hermosa, Lima")</f>
      </c>
      <c r="O69" t="str">
        <v>Vehículo apagado</v>
      </c>
      <c r="P69" t="str">
        <v>Vehículo Apagado</v>
      </c>
      <c r="Q69">
        <v>11638.1</v>
      </c>
      <c r="R69" t="str">
        <v/>
      </c>
      <c r="S69">
        <v>0</v>
      </c>
      <c r="T69">
        <v>141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12:26:13</v>
      </c>
      <c r="AE69">
        <f>IF("NOGPS"="NOGPS","GPS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12:34:26</v>
      </c>
      <c r="AL69" t="str">
        <v>12:34:26</v>
      </c>
      <c r="AM69" t="str">
        <v/>
      </c>
    </row>
    <row r="70">
      <c r="A70">
        <v>69</v>
      </c>
      <c r="B70" t="str">
        <v>MASS BSF</v>
      </c>
      <c r="C70" t="str">
        <v>CLW-864</v>
      </c>
      <c r="D70" t="str">
        <v>CLW-864</v>
      </c>
      <c r="E70" t="str">
        <v/>
      </c>
      <c r="F70" t="str">
        <v>867162029823242</v>
      </c>
      <c r="G70" t="str">
        <v>TBD</v>
      </c>
      <c r="H70" t="str">
        <v/>
      </c>
      <c r="I70" t="str">
        <v/>
      </c>
      <c r="J70" t="str">
        <v>01/10/2026</v>
      </c>
      <c r="K70" t="str">
        <v>12:34:21</v>
      </c>
      <c r="L70">
        <v>-12.317322</v>
      </c>
      <c r="M70">
        <v>-76.82296</v>
      </c>
      <c r="N70">
        <f>HYPERLINK("https://www.google.com/maps/search/?api=1&amp;query=-12.317322,-76.82296","Punta Hermosa, Lima")</f>
      </c>
      <c r="O70" t="str">
        <v>Vehículo encendido</v>
      </c>
      <c r="P70" t="str">
        <v/>
      </c>
      <c r="Q70">
        <v>11638.1</v>
      </c>
      <c r="R70" t="str">
        <v/>
      </c>
      <c r="S70">
        <v>0</v>
      </c>
      <c r="T70">
        <v>141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12:26:13</v>
      </c>
      <c r="AE70">
        <f>IF("NOGPS"="NOGPS","GPS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12:34:44</v>
      </c>
      <c r="AL70" t="str">
        <v>12:34:44</v>
      </c>
      <c r="AM70" t="str">
        <v/>
      </c>
    </row>
    <row r="71">
      <c r="A71">
        <v>70</v>
      </c>
      <c r="B71" t="str">
        <v>MASS BSF</v>
      </c>
      <c r="C71" t="str">
        <v>CLW-864</v>
      </c>
      <c r="D71" t="str">
        <v>CLW-864</v>
      </c>
      <c r="E71" t="str">
        <v/>
      </c>
      <c r="F71" t="str">
        <v>867162029823242</v>
      </c>
      <c r="G71" t="str">
        <v>TBD</v>
      </c>
      <c r="H71" t="str">
        <v/>
      </c>
      <c r="I71" t="str">
        <v/>
      </c>
      <c r="J71" t="str">
        <v>01/10/2026</v>
      </c>
      <c r="K71" t="str">
        <v>12:46:01</v>
      </c>
      <c r="L71">
        <v>-12.317997</v>
      </c>
      <c r="M71">
        <v>-76.82434</v>
      </c>
      <c r="N71">
        <f>HYPERLINK("https://www.google.com/maps/search/?api=1&amp;query=-12.317997,-76.82434","Punta Hermosa, Lima")</f>
      </c>
      <c r="O71" t="str">
        <v>Vehículo apagado</v>
      </c>
      <c r="P71" t="str">
        <v>Vehículo Apagado</v>
      </c>
      <c r="Q71">
        <v>11638.4</v>
      </c>
      <c r="R71" t="str">
        <v/>
      </c>
      <c r="S71">
        <v>0</v>
      </c>
      <c r="T71">
        <v>141.2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12:45:21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12:46:06</v>
      </c>
      <c r="AL71" t="str">
        <v>12:46:06</v>
      </c>
      <c r="AM71" t="str">
        <v/>
      </c>
    </row>
    <row r="72">
      <c r="A72">
        <v>71</v>
      </c>
      <c r="B72" t="str">
        <v>MASS BSF</v>
      </c>
      <c r="C72" t="str">
        <v>CLW-864</v>
      </c>
      <c r="D72" t="str">
        <v>CLW-864</v>
      </c>
      <c r="E72" t="str">
        <v/>
      </c>
      <c r="F72" t="str">
        <v>867162029823242</v>
      </c>
      <c r="G72" t="str">
        <v>TBD</v>
      </c>
      <c r="H72" t="str">
        <v/>
      </c>
      <c r="I72" t="str">
        <v/>
      </c>
      <c r="J72" t="str">
        <v>01/10/2026</v>
      </c>
      <c r="K72" t="str">
        <v>13:21:28</v>
      </c>
      <c r="L72">
        <v>-12.317997</v>
      </c>
      <c r="M72">
        <v>-76.82434</v>
      </c>
      <c r="N72">
        <f>HYPERLINK("https://www.google.com/maps/search/?api=1&amp;query=-12.317997,-76.82434","Punta Hermosa, Lima")</f>
      </c>
      <c r="O72" t="str">
        <v>Vehículo encendido</v>
      </c>
      <c r="P72" t="str">
        <v/>
      </c>
      <c r="Q72">
        <v>11638.4</v>
      </c>
      <c r="R72" t="str">
        <v/>
      </c>
      <c r="S72">
        <v>0</v>
      </c>
      <c r="T72">
        <v>141.2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13:13:36</v>
      </c>
      <c r="AE72">
        <f>IF("NOGPS"="NOGPS","GPS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13:21:35</v>
      </c>
      <c r="AL72" t="str">
        <v>13:21:35</v>
      </c>
      <c r="AM72" t="str">
        <v/>
      </c>
    </row>
    <row r="73">
      <c r="A73">
        <v>72</v>
      </c>
      <c r="B73" t="str">
        <v>MASS BSF</v>
      </c>
      <c r="C73" t="str">
        <v>CLW-864</v>
      </c>
      <c r="D73" t="str">
        <v>CLW-864</v>
      </c>
      <c r="E73" t="str">
        <v/>
      </c>
      <c r="F73" t="str">
        <v>867162029823242</v>
      </c>
      <c r="G73" t="str">
        <v>TBD</v>
      </c>
      <c r="H73" t="str">
        <v/>
      </c>
      <c r="I73" t="str">
        <v/>
      </c>
      <c r="J73" t="str">
        <v>01/10/2026</v>
      </c>
      <c r="K73" t="str">
        <v>13:21:34</v>
      </c>
      <c r="L73">
        <v>-12.317997</v>
      </c>
      <c r="M73">
        <v>-76.82434</v>
      </c>
      <c r="N73">
        <f>HYPERLINK("https://www.google.com/maps/search/?api=1&amp;query=-12.317997,-76.82434","Punta Hermosa, Lima")</f>
      </c>
      <c r="O73" t="str">
        <v>Vehículo apagado</v>
      </c>
      <c r="P73" t="str">
        <v>Vehículo Apagado</v>
      </c>
      <c r="Q73">
        <v>11638.4</v>
      </c>
      <c r="R73" t="str">
        <v/>
      </c>
      <c r="S73">
        <v>0</v>
      </c>
      <c r="T73">
        <v>141.2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13:13:36</v>
      </c>
      <c r="AE73">
        <f>IF("NOGPS"="NOGPS","GPS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13:22:00</v>
      </c>
      <c r="AL73" t="str">
        <v>13:22:00</v>
      </c>
      <c r="AM73" t="str">
        <v/>
      </c>
    </row>
    <row r="74">
      <c r="A74">
        <v>73</v>
      </c>
      <c r="B74" t="str">
        <v>MASS BSF</v>
      </c>
      <c r="C74" t="str">
        <v>CLW-864</v>
      </c>
      <c r="D74" t="str">
        <v>CLW-864</v>
      </c>
      <c r="E74" t="str">
        <v/>
      </c>
      <c r="F74" t="str">
        <v>867162029823242</v>
      </c>
      <c r="G74" t="str">
        <v>TBD</v>
      </c>
      <c r="H74" t="str">
        <v/>
      </c>
      <c r="I74" t="str">
        <v/>
      </c>
      <c r="J74" t="str">
        <v>01/10/2026</v>
      </c>
      <c r="K74" t="str">
        <v>13:21:36</v>
      </c>
      <c r="L74">
        <v>-12.317997</v>
      </c>
      <c r="M74">
        <v>-76.82434</v>
      </c>
      <c r="N74">
        <f>HYPERLINK("https://www.google.com/maps/search/?api=1&amp;query=-12.317997,-76.82434","Punta Hermosa, Lima")</f>
      </c>
      <c r="O74" t="str">
        <v>Vehículo encendido</v>
      </c>
      <c r="P74" t="str">
        <v/>
      </c>
      <c r="Q74">
        <v>11638.4</v>
      </c>
      <c r="R74" t="str">
        <v/>
      </c>
      <c r="S74">
        <v>0</v>
      </c>
      <c r="T74">
        <v>141.2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13:13:36</v>
      </c>
      <c r="AE74">
        <f>IF("NOGPS"="NOGPS","GPS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13:21:58</v>
      </c>
      <c r="AL74" t="str">
        <v>13:21:58</v>
      </c>
      <c r="AM74" t="str">
        <v/>
      </c>
    </row>
    <row r="75">
      <c r="A75">
        <v>74</v>
      </c>
      <c r="B75" t="str">
        <v>MASS BSF</v>
      </c>
      <c r="C75" t="str">
        <v>CLW-864</v>
      </c>
      <c r="D75" t="str">
        <v>CLW-864</v>
      </c>
      <c r="E75" t="str">
        <v/>
      </c>
      <c r="F75" t="str">
        <v>867162029823242</v>
      </c>
      <c r="G75" t="str">
        <v>TBD</v>
      </c>
      <c r="H75" t="str">
        <v/>
      </c>
      <c r="I75" t="str">
        <v/>
      </c>
      <c r="J75" t="str">
        <v>01/10/2026</v>
      </c>
      <c r="K75" t="str">
        <v>13:25:11</v>
      </c>
      <c r="L75">
        <v>-12.317873</v>
      </c>
      <c r="M75">
        <v>-76.82414</v>
      </c>
      <c r="N75">
        <f>HYPERLINK("https://www.google.com/maps/search/?api=1&amp;query=-12.317873,-76.82414","Punta Hermosa, Lima")</f>
      </c>
      <c r="O75" t="str">
        <v>Inicio de ralentí</v>
      </c>
      <c r="P75" t="str">
        <v>Vehículo Detenido</v>
      </c>
      <c r="Q75">
        <v>11638.4</v>
      </c>
      <c r="R75" t="str">
        <v/>
      </c>
      <c r="S75">
        <v>0</v>
      </c>
      <c r="T75">
        <v>141.2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13:24:33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13:25:34</v>
      </c>
      <c r="AL75" t="str">
        <v>13:25:34</v>
      </c>
      <c r="AM75" t="str">
        <v/>
      </c>
    </row>
    <row r="76">
      <c r="A76">
        <v>75</v>
      </c>
      <c r="B76" t="str">
        <v>MASS BSF</v>
      </c>
      <c r="C76" t="str">
        <v>CLW-864</v>
      </c>
      <c r="D76" t="str">
        <v>CLW-864</v>
      </c>
      <c r="E76" t="str">
        <v/>
      </c>
      <c r="F76" t="str">
        <v>867162029823242</v>
      </c>
      <c r="G76" t="str">
        <v>TBD</v>
      </c>
      <c r="H76" t="str">
        <v/>
      </c>
      <c r="I76" t="str">
        <v/>
      </c>
      <c r="J76" t="str">
        <v>01/10/2026</v>
      </c>
      <c r="K76" t="str">
        <v>13:28:09</v>
      </c>
      <c r="L76">
        <v>-12.317261</v>
      </c>
      <c r="M76">
        <v>-76.82465</v>
      </c>
      <c r="N76">
        <f>HYPERLINK("https://www.google.com/maps/search/?api=1&amp;query=-12.317261,-76.82465","Punta Hermosa, Lima")</f>
      </c>
      <c r="O76" t="str">
        <v>Fin de ralentí</v>
      </c>
      <c r="P76" t="str">
        <v/>
      </c>
      <c r="Q76">
        <v>11638.5</v>
      </c>
      <c r="R76" t="str">
        <v/>
      </c>
      <c r="S76">
        <v>16.2</v>
      </c>
      <c r="T76">
        <v>141.2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13:27:33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13:28:35</v>
      </c>
      <c r="AL76" t="str">
        <v>13:28:35</v>
      </c>
      <c r="AM76" t="str">
        <v/>
      </c>
    </row>
    <row r="77">
      <c r="A77">
        <v>76</v>
      </c>
      <c r="B77" t="str">
        <v>MASS BSF</v>
      </c>
      <c r="C77" t="str">
        <v>CLW-864</v>
      </c>
      <c r="D77" t="str">
        <v>CLW-864</v>
      </c>
      <c r="E77" t="str">
        <v/>
      </c>
      <c r="F77" t="str">
        <v>867162029823242</v>
      </c>
      <c r="G77" t="str">
        <v>TBD</v>
      </c>
      <c r="H77" t="str">
        <v/>
      </c>
      <c r="I77" t="str">
        <v xml:space="preserve"> </v>
      </c>
      <c r="J77" t="str">
        <v>01/10/2026</v>
      </c>
      <c r="K77" t="str">
        <v>13:31:16</v>
      </c>
      <c r="L77">
        <v>-12.31751</v>
      </c>
      <c r="M77">
        <v>-76.829956</v>
      </c>
      <c r="N77">
        <f>HYPERLINK("https://www.google.com/maps/search/?api=1&amp;query=-12.31751,-76.829956","Punta Hermosa, Lima")</f>
      </c>
      <c r="O77" t="str">
        <v>Salió de zona</v>
      </c>
      <c r="P77" t="str">
        <v/>
      </c>
      <c r="Q77">
        <v>11639.1</v>
      </c>
      <c r="R77" t="str">
        <v>MASS BSF 1</v>
      </c>
      <c r="S77">
        <v>19.8</v>
      </c>
      <c r="T77">
        <v>142.3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13:31:15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13:31:27</v>
      </c>
      <c r="AL77" t="str">
        <v>13:31:27</v>
      </c>
      <c r="AM77" t="str">
        <v/>
      </c>
    </row>
    <row r="78">
      <c r="A78">
        <v>77</v>
      </c>
      <c r="B78" t="str">
        <v>MASS BSF</v>
      </c>
      <c r="C78" t="str">
        <v>CLW-864</v>
      </c>
      <c r="D78" t="str">
        <v>CLW-864</v>
      </c>
      <c r="E78" t="str">
        <v/>
      </c>
      <c r="F78" t="str">
        <v>867162029823242</v>
      </c>
      <c r="G78" t="str">
        <v>TBD</v>
      </c>
      <c r="H78" t="str">
        <v/>
      </c>
      <c r="I78" t="str">
        <v/>
      </c>
      <c r="J78" t="str">
        <v>01/10/2026</v>
      </c>
      <c r="K78" t="str">
        <v>13:39:34</v>
      </c>
      <c r="L78">
        <v>-12.308443</v>
      </c>
      <c r="M78">
        <v>-76.83652</v>
      </c>
      <c r="N78">
        <f>HYPERLINK("https://www.google.com/maps/search/?api=1&amp;query=-12.308443,-76.83652","Carretera Panamericana Sur, Punta Hermosa, Lima")</f>
      </c>
      <c r="O78" t="str">
        <v>Inicio de ralentí</v>
      </c>
      <c r="P78" t="str">
        <v>Vehículo Detenido</v>
      </c>
      <c r="Q78">
        <v>11640.5</v>
      </c>
      <c r="R78" t="str">
        <v/>
      </c>
      <c r="S78">
        <v>0</v>
      </c>
      <c r="T78">
        <v>141.2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13:38:36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13:39:48</v>
      </c>
      <c r="AL78" t="str">
        <v>13:39:48</v>
      </c>
      <c r="AM78" t="str">
        <v/>
      </c>
    </row>
    <row r="79">
      <c r="A79">
        <v>78</v>
      </c>
      <c r="B79" t="str">
        <v>MASS BSF</v>
      </c>
      <c r="C79" t="str">
        <v>CLW-864</v>
      </c>
      <c r="D79" t="str">
        <v>CLW-864</v>
      </c>
      <c r="E79" t="str">
        <v/>
      </c>
      <c r="F79" t="str">
        <v>867162029823242</v>
      </c>
      <c r="G79" t="str">
        <v>TBD</v>
      </c>
      <c r="H79" t="str">
        <v/>
      </c>
      <c r="I79" t="str">
        <v/>
      </c>
      <c r="J79" t="str">
        <v>01/10/2026</v>
      </c>
      <c r="K79" t="str">
        <v>13:41:06</v>
      </c>
      <c r="L79">
        <v>-12.305842</v>
      </c>
      <c r="M79">
        <v>-76.83874</v>
      </c>
      <c r="N79">
        <f>HYPERLINK("https://www.google.com/maps/search/?api=1&amp;query=-12.305842,-76.83874","Carretera Panamericana Sur, Lurín, Lima")</f>
      </c>
      <c r="O79" t="str">
        <v>Fin de ralentí</v>
      </c>
      <c r="P79" t="str">
        <v/>
      </c>
      <c r="Q79">
        <v>11640.9</v>
      </c>
      <c r="R79" t="str">
        <v/>
      </c>
      <c r="S79">
        <v>53.8</v>
      </c>
      <c r="T79">
        <v>141.2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13:40:36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13:41:16</v>
      </c>
      <c r="AL79" t="str">
        <v>13:41:16</v>
      </c>
      <c r="AM79" t="str">
        <v/>
      </c>
    </row>
    <row r="80">
      <c r="A80">
        <v>79</v>
      </c>
      <c r="B80" t="str">
        <v>MASS BSF</v>
      </c>
      <c r="C80" t="str">
        <v>CLW-864</v>
      </c>
      <c r="D80" t="str">
        <v>CLW-864</v>
      </c>
      <c r="E80" t="str">
        <v/>
      </c>
      <c r="F80" t="str">
        <v>867162029823242</v>
      </c>
      <c r="G80" t="str">
        <v>TBD</v>
      </c>
      <c r="H80" t="str">
        <v/>
      </c>
      <c r="I80" t="str">
        <v/>
      </c>
      <c r="J80" t="str">
        <v>01/10/2026</v>
      </c>
      <c r="K80" t="str">
        <v>13:49:07</v>
      </c>
      <c r="L80">
        <v>-12.258619</v>
      </c>
      <c r="M80">
        <v>-76.91747</v>
      </c>
      <c r="N80">
        <f>HYPERLINK("https://www.google.com/maps/search/?api=1&amp;query=-12.258619,-76.91747","Carretera Panamericana Sur, Lurín, Lima")</f>
      </c>
      <c r="O80" t="str">
        <v>Excedió el límite de velocidad</v>
      </c>
      <c r="P80" t="str">
        <v/>
      </c>
      <c r="Q80">
        <v>11650.9</v>
      </c>
      <c r="R80" t="str">
        <v/>
      </c>
      <c r="S80">
        <v>81.5</v>
      </c>
      <c r="T80">
        <v>141.2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13:49:06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13:49:26</v>
      </c>
      <c r="AL80" t="str">
        <v>13:49:26</v>
      </c>
      <c r="AM80" t="str">
        <v/>
      </c>
    </row>
    <row r="81">
      <c r="A81">
        <v>80</v>
      </c>
      <c r="B81" t="str">
        <v>MASS BSF</v>
      </c>
      <c r="C81" t="str">
        <v>CLW-864</v>
      </c>
      <c r="D81" t="str">
        <v>CLW-864</v>
      </c>
      <c r="E81" t="str">
        <v/>
      </c>
      <c r="F81" t="str">
        <v>867162029823242</v>
      </c>
      <c r="G81" t="str">
        <v>TBD</v>
      </c>
      <c r="H81" t="str">
        <v/>
      </c>
      <c r="I81" t="str">
        <v/>
      </c>
      <c r="J81" t="str">
        <v>01/10/2026</v>
      </c>
      <c r="K81" t="str">
        <v>13:51:01</v>
      </c>
      <c r="L81">
        <v>-12.247097</v>
      </c>
      <c r="M81">
        <v>-76.934906</v>
      </c>
      <c r="N81">
        <f>HYPERLINK("https://www.google.com/maps/search/?api=1&amp;query=-12.247097,-76.934906","Carretera Panamericana Sur, Lurín, Lima")</f>
      </c>
      <c r="O81" t="str">
        <v>Excedió el límite de velocidad</v>
      </c>
      <c r="P81" t="str">
        <v/>
      </c>
      <c r="Q81">
        <v>11653.2</v>
      </c>
      <c r="R81" t="str">
        <v/>
      </c>
      <c r="S81">
        <v>80.8</v>
      </c>
      <c r="T81">
        <v>141.2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13:51:00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13:51:14</v>
      </c>
      <c r="AL81" t="str">
        <v>13:51:14</v>
      </c>
      <c r="AM81" t="str">
        <v/>
      </c>
    </row>
    <row r="82">
      <c r="A82">
        <v>81</v>
      </c>
      <c r="B82" t="str">
        <v>MASS BSF</v>
      </c>
      <c r="C82" t="str">
        <v>CLW-864</v>
      </c>
      <c r="D82" t="str">
        <v>CLW-864</v>
      </c>
      <c r="E82" t="str">
        <v/>
      </c>
      <c r="F82" t="str">
        <v>867162029823242</v>
      </c>
      <c r="G82" t="str">
        <v>TBD</v>
      </c>
      <c r="H82" t="str">
        <v/>
      </c>
      <c r="I82" t="str">
        <v/>
      </c>
      <c r="J82" t="str">
        <v>01/10/2026</v>
      </c>
      <c r="K82" t="str">
        <v>13:53:22</v>
      </c>
      <c r="L82">
        <v>-12.23434</v>
      </c>
      <c r="M82">
        <v>-76.95952</v>
      </c>
      <c r="N82">
        <f>HYPERLINK("https://www.google.com/maps/search/?api=1&amp;query=-12.23434,-76.95952","Carretera Panamericana Sur, Villa El Salvador, Lima")</f>
      </c>
      <c r="O82" t="str">
        <v>Excedió el límite de velocidad</v>
      </c>
      <c r="P82" t="str">
        <v/>
      </c>
      <c r="Q82">
        <v>11656.3</v>
      </c>
      <c r="R82" t="str">
        <v/>
      </c>
      <c r="S82">
        <v>83.2</v>
      </c>
      <c r="T82">
        <v>141.2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13:53:21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13:53:45</v>
      </c>
      <c r="AL82" t="str">
        <v>13:53:45</v>
      </c>
      <c r="AM82" t="str">
        <v/>
      </c>
    </row>
    <row r="83">
      <c r="A83">
        <v>82</v>
      </c>
      <c r="B83" t="str">
        <v>MASS BSF</v>
      </c>
      <c r="C83" t="str">
        <v>CLW-864</v>
      </c>
      <c r="D83" t="str">
        <v>CLW-864</v>
      </c>
      <c r="E83" t="str">
        <v/>
      </c>
      <c r="F83" t="str">
        <v>867162029823242</v>
      </c>
      <c r="G83" t="str">
        <v>TBD</v>
      </c>
      <c r="H83" t="str">
        <v/>
      </c>
      <c r="I83" t="str">
        <v xml:space="preserve"> </v>
      </c>
      <c r="J83" t="str">
        <v>01/10/2026</v>
      </c>
      <c r="K83" t="str">
        <v>14:15:45</v>
      </c>
      <c r="L83">
        <v>-12.169616</v>
      </c>
      <c r="M83">
        <v>-76.96153</v>
      </c>
      <c r="N83">
        <f>HYPERLINK("https://www.google.com/maps/search/?api=1&amp;query=-12.169616,-76.96153","Avenida Miguel Iglesias, San Juan de Miraflores, Lima")</f>
      </c>
      <c r="O83" t="str">
        <v>Llegó a la zona</v>
      </c>
      <c r="P83" t="str">
        <v/>
      </c>
      <c r="Q83">
        <v>11666.1</v>
      </c>
      <c r="R83" t="str">
        <v>2033-VICTOR12 SJM MS</v>
      </c>
      <c r="S83">
        <v>30.7</v>
      </c>
      <c r="T83">
        <v>142.3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14:15:36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14:16:00</v>
      </c>
      <c r="AL83" t="str">
        <v>14:16:00</v>
      </c>
      <c r="AM83" t="str">
        <v/>
      </c>
    </row>
    <row r="84">
      <c r="A84">
        <v>83</v>
      </c>
      <c r="B84" t="str">
        <v>MASS BSF</v>
      </c>
      <c r="C84" t="str">
        <v>CLW-864</v>
      </c>
      <c r="D84" t="str">
        <v>CLW-864</v>
      </c>
      <c r="E84" t="str">
        <v/>
      </c>
      <c r="F84" t="str">
        <v>867162029823242</v>
      </c>
      <c r="G84" t="str">
        <v>TBD</v>
      </c>
      <c r="H84" t="str">
        <v/>
      </c>
      <c r="I84" t="str">
        <v xml:space="preserve"> </v>
      </c>
      <c r="J84" t="str">
        <v>01/10/2026</v>
      </c>
      <c r="K84" t="str">
        <v>14:16:45</v>
      </c>
      <c r="L84">
        <v>-12.165362</v>
      </c>
      <c r="M84">
        <v>-76.960594</v>
      </c>
      <c r="N84">
        <f>HYPERLINK("https://www.google.com/maps/search/?api=1&amp;query=-12.165362,-76.960594","Avenida Miguel Iglesias, San Juan de Miraflores, Lima")</f>
      </c>
      <c r="O84" t="str">
        <v>Salió de zona</v>
      </c>
      <c r="P84" t="str">
        <v/>
      </c>
      <c r="Q84">
        <v>11666.7</v>
      </c>
      <c r="R84" t="str">
        <v>2033-VICTOR12 SJM MS</v>
      </c>
      <c r="S84">
        <v>9.7</v>
      </c>
      <c r="T84">
        <v>142.3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14:16:36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14:17:04</v>
      </c>
      <c r="AL84" t="str">
        <v>14:17:04</v>
      </c>
      <c r="AM84" t="str">
        <v/>
      </c>
    </row>
    <row r="85">
      <c r="A85">
        <v>84</v>
      </c>
      <c r="B85" t="str">
        <v>MASS BSF</v>
      </c>
      <c r="C85" t="str">
        <v>CLW-864</v>
      </c>
      <c r="D85" t="str">
        <v>CLW-864</v>
      </c>
      <c r="E85" t="str">
        <v/>
      </c>
      <c r="F85" t="str">
        <v>867162029823242</v>
      </c>
      <c r="G85" t="str">
        <v>TBD</v>
      </c>
      <c r="H85" t="str">
        <v/>
      </c>
      <c r="I85" t="str">
        <v xml:space="preserve"> </v>
      </c>
      <c r="J85" t="str">
        <v>01/10/2026</v>
      </c>
      <c r="K85" t="str">
        <v>14:18:45</v>
      </c>
      <c r="L85">
        <v>-12.16232</v>
      </c>
      <c r="M85">
        <v>-76.95986</v>
      </c>
      <c r="N85">
        <f>HYPERLINK("https://www.google.com/maps/search/?api=1&amp;query=-12.16232,-76.95986","Avenida Miguel Iglesias, San Juan de Miraflores, Lima")</f>
      </c>
      <c r="O85" t="str">
        <v>Llegó a la zona</v>
      </c>
      <c r="P85" t="str">
        <v/>
      </c>
      <c r="Q85">
        <v>11667.3</v>
      </c>
      <c r="R85" t="str">
        <v>862-IGLESIA8 SJM MS</v>
      </c>
      <c r="S85">
        <v>32</v>
      </c>
      <c r="T85">
        <v>142.3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14:18:36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14:19:05</v>
      </c>
      <c r="AL85" t="str">
        <v>14:19:05</v>
      </c>
      <c r="AM85" t="str">
        <v/>
      </c>
    </row>
    <row r="86">
      <c r="A86">
        <v>85</v>
      </c>
      <c r="B86" t="str">
        <v>MASS BSF</v>
      </c>
      <c r="C86" t="str">
        <v>CLW-864</v>
      </c>
      <c r="D86" t="str">
        <v>CLW-864</v>
      </c>
      <c r="E86" t="str">
        <v/>
      </c>
      <c r="F86" t="str">
        <v>867162029823242</v>
      </c>
      <c r="G86" t="str">
        <v>TBD</v>
      </c>
      <c r="H86" t="str">
        <v/>
      </c>
      <c r="I86" t="str">
        <v xml:space="preserve"> </v>
      </c>
      <c r="J86" t="str">
        <v>01/10/2026</v>
      </c>
      <c r="K86" t="str">
        <v>14:19:45</v>
      </c>
      <c r="L86">
        <v>-12.161567</v>
      </c>
      <c r="M86">
        <v>-76.95955</v>
      </c>
      <c r="N86">
        <f>HYPERLINK("https://www.google.com/maps/search/?api=1&amp;query=-12.161567,-76.95955","Avenida Miguel Iglesias, San Juan de Miraflores, Lima")</f>
      </c>
      <c r="O86" t="str">
        <v>Salió de zona</v>
      </c>
      <c r="P86" t="str">
        <v/>
      </c>
      <c r="Q86">
        <v>11667.3</v>
      </c>
      <c r="R86" t="str">
        <v>862-IGLESIA8 SJM MS</v>
      </c>
      <c r="S86">
        <v>0</v>
      </c>
      <c r="T86">
        <v>142.3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14:19:36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14:19:56</v>
      </c>
      <c r="AL86" t="str">
        <v>14:19:56</v>
      </c>
      <c r="AM86" t="str">
        <v/>
      </c>
    </row>
    <row r="87">
      <c r="A87">
        <v>86</v>
      </c>
      <c r="B87" t="str">
        <v>MASS BSF</v>
      </c>
      <c r="C87" t="str">
        <v>CLW-864</v>
      </c>
      <c r="D87" t="str">
        <v>CLW-864</v>
      </c>
      <c r="E87" t="str">
        <v/>
      </c>
      <c r="F87" t="str">
        <v>867162029823242</v>
      </c>
      <c r="G87" t="str">
        <v>TBD</v>
      </c>
      <c r="H87" t="str">
        <v/>
      </c>
      <c r="I87" t="str">
        <v xml:space="preserve"> </v>
      </c>
      <c r="J87" t="str">
        <v>01/10/2026</v>
      </c>
      <c r="K87" t="str">
        <v>14:35:45</v>
      </c>
      <c r="L87">
        <v>-12.148145</v>
      </c>
      <c r="M87">
        <v>-76.95069</v>
      </c>
      <c r="N87">
        <f>HYPERLINK("https://www.google.com/maps/search/?api=1&amp;query=-12.148145,-76.95069","Avenida José Carlos Mariátegui, Villa María del Triunfo, Lima")</f>
      </c>
      <c r="O87" t="str">
        <v>Llegó a la zona</v>
      </c>
      <c r="P87" t="str">
        <v/>
      </c>
      <c r="Q87">
        <v>11669.8</v>
      </c>
      <c r="R87" t="str">
        <v>1029-MARIATE17VMT MS</v>
      </c>
      <c r="S87">
        <v>0</v>
      </c>
      <c r="T87">
        <v>142.3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14:35:36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14:36:03</v>
      </c>
      <c r="AL87" t="str">
        <v>14:36:03</v>
      </c>
      <c r="AM87" t="str">
        <v/>
      </c>
    </row>
    <row r="88">
      <c r="A88">
        <v>87</v>
      </c>
      <c r="B88" t="str">
        <v>MASS BSF</v>
      </c>
      <c r="C88" t="str">
        <v>CLW-864</v>
      </c>
      <c r="D88" t="str">
        <v>CLW-864</v>
      </c>
      <c r="E88" t="str">
        <v/>
      </c>
      <c r="F88" t="str">
        <v>867162029823242</v>
      </c>
      <c r="G88" t="str">
        <v>TBD</v>
      </c>
      <c r="H88" t="str">
        <v/>
      </c>
      <c r="I88" t="str">
        <v/>
      </c>
      <c r="J88" t="str">
        <v>01/10/2026</v>
      </c>
      <c r="K88" t="str">
        <v>14:40:23</v>
      </c>
      <c r="L88">
        <v>-12.148145</v>
      </c>
      <c r="M88">
        <v>-76.95069</v>
      </c>
      <c r="N88">
        <f>HYPERLINK("https://www.google.com/maps/search/?api=1&amp;query=-12.148145,-76.95069","Avenida José Carlos Mariátegui, Villa María del Triunfo, Lima")</f>
      </c>
      <c r="O88" t="str">
        <v>Vehículo apagado</v>
      </c>
      <c r="P88" t="str">
        <v>Vehículo Apagado</v>
      </c>
      <c r="Q88">
        <v>11669.8</v>
      </c>
      <c r="R88" t="str">
        <v/>
      </c>
      <c r="S88">
        <v>0</v>
      </c>
      <c r="T88">
        <v>142.27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14:39:36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14:40:36</v>
      </c>
      <c r="AL88" t="str">
        <v>14:40:36</v>
      </c>
      <c r="AM88" t="str">
        <v/>
      </c>
    </row>
    <row r="89">
      <c r="A89">
        <v>88</v>
      </c>
      <c r="B89" t="str">
        <v>MASS BSF</v>
      </c>
      <c r="C89" t="str">
        <v>CLW-864</v>
      </c>
      <c r="D89" t="str">
        <v>CLW-864</v>
      </c>
      <c r="E89" t="str">
        <v/>
      </c>
      <c r="F89" t="str">
        <v>867162029823242</v>
      </c>
      <c r="G89" t="str">
        <v>TBD</v>
      </c>
      <c r="H89" t="str">
        <v/>
      </c>
      <c r="I89" t="str">
        <v/>
      </c>
      <c r="J89" t="str">
        <v>01/10/2026</v>
      </c>
      <c r="K89" t="str">
        <v>15:01:30</v>
      </c>
      <c r="L89">
        <v>-12.148145</v>
      </c>
      <c r="M89">
        <v>-76.95069</v>
      </c>
      <c r="N89">
        <f>HYPERLINK("https://www.google.com/maps/search/?api=1&amp;query=-12.148145,-76.95069","Avenida José Carlos Mariátegui, Villa María del Triunfo, Lima")</f>
      </c>
      <c r="O89" t="str">
        <v>Vehículo encendido</v>
      </c>
      <c r="P89" t="str">
        <v/>
      </c>
      <c r="Q89">
        <v>11669.8</v>
      </c>
      <c r="R89" t="str">
        <v/>
      </c>
      <c r="S89">
        <v>0</v>
      </c>
      <c r="T89">
        <v>142.27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14:40:26</v>
      </c>
      <c r="AE89">
        <f>IF("NOGPS"="NOGPS","GPS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15:01:39</v>
      </c>
      <c r="AL89" t="str">
        <v>15:01:39</v>
      </c>
      <c r="AM89" t="str">
        <v/>
      </c>
    </row>
    <row r="90">
      <c r="A90">
        <v>89</v>
      </c>
      <c r="B90" t="str">
        <v>MASS BSF</v>
      </c>
      <c r="C90" t="str">
        <v>CLW-864</v>
      </c>
      <c r="D90" t="str">
        <v>CLW-864</v>
      </c>
      <c r="E90" t="str">
        <v/>
      </c>
      <c r="F90" t="str">
        <v>867162029823242</v>
      </c>
      <c r="G90" t="str">
        <v>TBD</v>
      </c>
      <c r="H90" t="str">
        <v/>
      </c>
      <c r="I90" t="str">
        <v/>
      </c>
      <c r="J90" t="str">
        <v>01/10/2026</v>
      </c>
      <c r="K90" t="str">
        <v>15:02:10</v>
      </c>
      <c r="L90">
        <v>-12.148114</v>
      </c>
      <c r="M90">
        <v>-76.9506</v>
      </c>
      <c r="N90">
        <f>HYPERLINK("https://www.google.com/maps/search/?api=1&amp;query=-12.148114,-76.9506","Avenida José Carlos Mariátegui, Villa María del Triunfo, Lima")</f>
      </c>
      <c r="O90" t="str">
        <v>Vehículo apagado</v>
      </c>
      <c r="P90" t="str">
        <v>Vehículo Apagado</v>
      </c>
      <c r="Q90">
        <v>11669.8</v>
      </c>
      <c r="R90" t="str">
        <v/>
      </c>
      <c r="S90">
        <v>0</v>
      </c>
      <c r="T90">
        <v>142.27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15:02:13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15:02:39</v>
      </c>
      <c r="AL90" t="str">
        <v>15:02:39</v>
      </c>
      <c r="AM90" t="str">
        <v/>
      </c>
    </row>
    <row r="91">
      <c r="A91">
        <v>90</v>
      </c>
      <c r="B91" t="str">
        <v>MASS BSF</v>
      </c>
      <c r="C91" t="str">
        <v>CLW-864</v>
      </c>
      <c r="D91" t="str">
        <v>CLW-864</v>
      </c>
      <c r="E91" t="str">
        <v/>
      </c>
      <c r="F91" t="str">
        <v>867162029823242</v>
      </c>
      <c r="G91" t="str">
        <v>TBD</v>
      </c>
      <c r="H91" t="str">
        <v/>
      </c>
      <c r="I91" t="str">
        <v/>
      </c>
      <c r="J91" t="str">
        <v>01/10/2026</v>
      </c>
      <c r="K91" t="str">
        <v>15:02:12</v>
      </c>
      <c r="L91">
        <v>-12.148114</v>
      </c>
      <c r="M91">
        <v>-76.9506</v>
      </c>
      <c r="N91">
        <f>HYPERLINK("https://www.google.com/maps/search/?api=1&amp;query=-12.148114,-76.9506","Avenida José Carlos Mariátegui, Villa María del Triunfo, Lima")</f>
      </c>
      <c r="O91" t="str">
        <v>Vehículo encendido</v>
      </c>
      <c r="P91" t="str">
        <v/>
      </c>
      <c r="Q91">
        <v>11669.8</v>
      </c>
      <c r="R91" t="str">
        <v/>
      </c>
      <c r="S91">
        <v>0</v>
      </c>
      <c r="T91">
        <v>142.27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15:01:38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15:02:21</v>
      </c>
      <c r="AL91" t="str">
        <v>15:02:21</v>
      </c>
      <c r="AM91" t="str">
        <v/>
      </c>
    </row>
    <row r="92">
      <c r="A92">
        <v>91</v>
      </c>
      <c r="B92" t="str">
        <v>MASS BSF</v>
      </c>
      <c r="C92" t="str">
        <v>CLW-864</v>
      </c>
      <c r="D92" t="str">
        <v>CLW-864</v>
      </c>
      <c r="E92" t="str">
        <v/>
      </c>
      <c r="F92" t="str">
        <v>867162029823242</v>
      </c>
      <c r="G92" t="str">
        <v>TBD</v>
      </c>
      <c r="H92" t="str">
        <v/>
      </c>
      <c r="I92" t="str">
        <v xml:space="preserve"> </v>
      </c>
      <c r="J92" t="str">
        <v>01/10/2026</v>
      </c>
      <c r="K92" t="str">
        <v>15:04:19</v>
      </c>
      <c r="L92">
        <v>-12.147847</v>
      </c>
      <c r="M92">
        <v>-76.95089</v>
      </c>
      <c r="N92">
        <f>HYPERLINK("https://www.google.com/maps/search/?api=1&amp;query=-12.147847,-76.95089","Avenida Latinoamerica, Villa María del Triunfo, Lima")</f>
      </c>
      <c r="O92" t="str">
        <v>Salió de zona</v>
      </c>
      <c r="P92" t="str">
        <v/>
      </c>
      <c r="Q92">
        <v>11669.8</v>
      </c>
      <c r="R92" t="str">
        <v>1029-MARIATE17VMT MS</v>
      </c>
      <c r="S92">
        <v>11.6</v>
      </c>
      <c r="T92">
        <v>143.35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15:04:10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15:04:23</v>
      </c>
      <c r="AL92" t="str">
        <v>15:04:23</v>
      </c>
      <c r="AM92" t="str">
        <v/>
      </c>
    </row>
    <row r="93">
      <c r="A93">
        <v>92</v>
      </c>
      <c r="B93" t="str">
        <v>MASS BSF</v>
      </c>
      <c r="C93" t="str">
        <v>CLW-864</v>
      </c>
      <c r="D93" t="str">
        <v>CLW-864</v>
      </c>
      <c r="E93" t="str">
        <v/>
      </c>
      <c r="F93" t="str">
        <v>867162029823242</v>
      </c>
      <c r="G93" t="str">
        <v>TBD</v>
      </c>
      <c r="H93" t="str">
        <v/>
      </c>
      <c r="I93" t="str">
        <v xml:space="preserve"> </v>
      </c>
      <c r="J93" t="str">
        <v>01/10/2026</v>
      </c>
      <c r="K93" t="str">
        <v>15:12:19</v>
      </c>
      <c r="L93">
        <v>-12.155801</v>
      </c>
      <c r="M93">
        <v>-76.95553</v>
      </c>
      <c r="N93">
        <f>HYPERLINK("https://www.google.com/maps/search/?api=1&amp;query=-12.155801,-76.95553","Jirón Andrés Avelino Cáceres, Villa María del Triunfo, Lima")</f>
      </c>
      <c r="O93" t="str">
        <v>Llegó a la zona</v>
      </c>
      <c r="P93" t="str">
        <v/>
      </c>
      <c r="Q93">
        <v>11671.1</v>
      </c>
      <c r="R93" t="str">
        <v>857-JCM B32 VMT</v>
      </c>
      <c r="S93">
        <v>0</v>
      </c>
      <c r="T93">
        <v>143.35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15:12:10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15:12:24</v>
      </c>
      <c r="AL93" t="str">
        <v>15:12:24</v>
      </c>
      <c r="AM93" t="str">
        <v/>
      </c>
    </row>
    <row r="94">
      <c r="A94">
        <v>93</v>
      </c>
      <c r="B94" t="str">
        <v>MASS BSF</v>
      </c>
      <c r="C94" t="str">
        <v>CLW-864</v>
      </c>
      <c r="D94" t="str">
        <v>CLW-864</v>
      </c>
      <c r="E94" t="str">
        <v/>
      </c>
      <c r="F94" t="str">
        <v>867162029823242</v>
      </c>
      <c r="G94" t="str">
        <v>TBD</v>
      </c>
      <c r="H94" t="str">
        <v/>
      </c>
      <c r="I94" t="str">
        <v/>
      </c>
      <c r="J94" t="str">
        <v>01/10/2026</v>
      </c>
      <c r="K94" t="str">
        <v>15:15:34</v>
      </c>
      <c r="L94">
        <v>-12.155801</v>
      </c>
      <c r="M94">
        <v>-76.95553</v>
      </c>
      <c r="N94">
        <f>HYPERLINK("https://www.google.com/maps/search/?api=1&amp;query=-12.155801,-76.95553","Jirón Andrés Avelino Cáceres, Villa María del Triunfo, Lima")</f>
      </c>
      <c r="O94" t="str">
        <v>Vehículo apagado</v>
      </c>
      <c r="P94" t="str">
        <v>Vehículo Apagado</v>
      </c>
      <c r="Q94">
        <v>11671.2</v>
      </c>
      <c r="R94" t="str">
        <v/>
      </c>
      <c r="S94">
        <v>0</v>
      </c>
      <c r="T94">
        <v>142.47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15:15:10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15:15:42</v>
      </c>
      <c r="AL94" t="str">
        <v>15:15:42</v>
      </c>
      <c r="AM94" t="str">
        <v/>
      </c>
    </row>
    <row r="95">
      <c r="A95">
        <v>94</v>
      </c>
      <c r="B95" t="str">
        <v>MASS BSF</v>
      </c>
      <c r="C95" t="str">
        <v>CLW-864</v>
      </c>
      <c r="D95" t="str">
        <v>CLW-864</v>
      </c>
      <c r="E95" t="str">
        <v/>
      </c>
      <c r="F95" t="str">
        <v>867162029823242</v>
      </c>
      <c r="G95" t="str">
        <v>TBD</v>
      </c>
      <c r="H95" t="str">
        <v/>
      </c>
      <c r="I95" t="str">
        <v/>
      </c>
      <c r="J95" t="str">
        <v>01/10/2026</v>
      </c>
      <c r="K95" t="str">
        <v>16:47:09</v>
      </c>
      <c r="L95">
        <v>-12.155779</v>
      </c>
      <c r="M95">
        <v>-76.95554</v>
      </c>
      <c r="N95">
        <f>HYPERLINK("https://www.google.com/maps/search/?api=1&amp;query=-12.155779,-76.95554","Jirón Andrés Avelino Cáceres, Villa María del Triunfo, Lima")</f>
      </c>
      <c r="O95" t="str">
        <v>Vehículo encendido</v>
      </c>
      <c r="P95" t="str">
        <v/>
      </c>
      <c r="Q95">
        <v>11671.2</v>
      </c>
      <c r="R95" t="str">
        <v/>
      </c>
      <c r="S95">
        <v>0</v>
      </c>
      <c r="T95">
        <v>142.47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16:43:15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16:47:15</v>
      </c>
      <c r="AL95" t="str">
        <v>16:47:15</v>
      </c>
      <c r="AM95" t="str">
        <v/>
      </c>
    </row>
    <row r="96">
      <c r="A96">
        <v>95</v>
      </c>
      <c r="B96" t="str">
        <v>MASS BSF</v>
      </c>
      <c r="C96" t="str">
        <v>CLW-864</v>
      </c>
      <c r="D96" t="str">
        <v>CLW-864</v>
      </c>
      <c r="E96" t="str">
        <v/>
      </c>
      <c r="F96" t="str">
        <v>867162029823242</v>
      </c>
      <c r="G96" t="str">
        <v>TBD</v>
      </c>
      <c r="H96" t="str">
        <v/>
      </c>
      <c r="I96" t="str">
        <v/>
      </c>
      <c r="J96" t="str">
        <v>01/10/2026</v>
      </c>
      <c r="K96" t="str">
        <v>16:47:15</v>
      </c>
      <c r="L96">
        <v>-12.155779</v>
      </c>
      <c r="M96">
        <v>-76.95554</v>
      </c>
      <c r="N96">
        <f>HYPERLINK("https://www.google.com/maps/search/?api=1&amp;query=-12.155779,-76.95554","Jirón Andrés Avelino Cáceres, Villa María del Triunfo, Lima")</f>
      </c>
      <c r="O96" t="str">
        <v>Vehículo apagado</v>
      </c>
      <c r="P96" t="str">
        <v>Vehículo Apagado</v>
      </c>
      <c r="Q96">
        <v>11671.2</v>
      </c>
      <c r="R96" t="str">
        <v/>
      </c>
      <c r="S96">
        <v>0</v>
      </c>
      <c r="T96">
        <v>142.47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16:43:15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16:47:37</v>
      </c>
      <c r="AL96" t="str">
        <v>16:47:37</v>
      </c>
      <c r="AM96" t="str">
        <v/>
      </c>
    </row>
    <row r="97">
      <c r="A97">
        <v>96</v>
      </c>
      <c r="B97" t="str">
        <v>MASS BSF</v>
      </c>
      <c r="C97" t="str">
        <v>CLW-864</v>
      </c>
      <c r="D97" t="str">
        <v>CLW-864</v>
      </c>
      <c r="E97" t="str">
        <v/>
      </c>
      <c r="F97" t="str">
        <v>867162029823242</v>
      </c>
      <c r="G97" t="str">
        <v>TBD</v>
      </c>
      <c r="H97" t="str">
        <v/>
      </c>
      <c r="I97" t="str">
        <v/>
      </c>
      <c r="J97" t="str">
        <v>01/10/2026</v>
      </c>
      <c r="K97" t="str">
        <v>16:47:17</v>
      </c>
      <c r="L97">
        <v>-12.155779</v>
      </c>
      <c r="M97">
        <v>-76.95554</v>
      </c>
      <c r="N97">
        <f>HYPERLINK("https://www.google.com/maps/search/?api=1&amp;query=-12.155779,-76.95554","Jirón Andrés Avelino Cáceres, Villa María del Triunfo, Lima")</f>
      </c>
      <c r="O97" t="str">
        <v>Vehículo encendido</v>
      </c>
      <c r="P97" t="str">
        <v/>
      </c>
      <c r="Q97">
        <v>11671.2</v>
      </c>
      <c r="R97" t="str">
        <v/>
      </c>
      <c r="S97">
        <v>0</v>
      </c>
      <c r="T97">
        <v>142.47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16:43:15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16:47:49</v>
      </c>
      <c r="AL97" t="str">
        <v>16:47:49</v>
      </c>
      <c r="AM97" t="str">
        <v/>
      </c>
    </row>
    <row r="98">
      <c r="A98">
        <v>97</v>
      </c>
      <c r="B98" t="str">
        <v>MASS BSF</v>
      </c>
      <c r="C98" t="str">
        <v>CLW-864</v>
      </c>
      <c r="D98" t="str">
        <v>CLW-864</v>
      </c>
      <c r="E98" t="str">
        <v/>
      </c>
      <c r="F98" t="str">
        <v>867162029823242</v>
      </c>
      <c r="G98" t="str">
        <v>TBD</v>
      </c>
      <c r="H98" t="str">
        <v/>
      </c>
      <c r="I98" t="str">
        <v/>
      </c>
      <c r="J98" t="str">
        <v>01/10/2026</v>
      </c>
      <c r="K98" t="str">
        <v>16:51:10</v>
      </c>
      <c r="L98">
        <v>-12.155688</v>
      </c>
      <c r="M98">
        <v>-76.955635</v>
      </c>
      <c r="N98">
        <f>HYPERLINK("https://www.google.com/maps/search/?api=1&amp;query=-12.155688,-76.955635","Jirón Andrés Avelino Cáceres, Villa María del Triunfo, Lima")</f>
      </c>
      <c r="O98" t="str">
        <v>Inicio de ralentí</v>
      </c>
      <c r="P98" t="str">
        <v>Vehículo Detenido</v>
      </c>
      <c r="Q98">
        <v>11671.2</v>
      </c>
      <c r="R98" t="str">
        <v/>
      </c>
      <c r="S98">
        <v>0</v>
      </c>
      <c r="T98">
        <v>142.47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01/10/2026</v>
      </c>
      <c r="AD98" t="str">
        <v>16:50:16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16:51:34</v>
      </c>
      <c r="AL98" t="str">
        <v>16:51:34</v>
      </c>
      <c r="AM98" t="str">
        <v/>
      </c>
    </row>
    <row r="99">
      <c r="A99">
        <v>98</v>
      </c>
      <c r="B99" t="str">
        <v>MASS BSF</v>
      </c>
      <c r="C99" t="str">
        <v>CLW-864</v>
      </c>
      <c r="D99" t="str">
        <v>CLW-864</v>
      </c>
      <c r="E99" t="str">
        <v/>
      </c>
      <c r="F99" t="str">
        <v>867162029823242</v>
      </c>
      <c r="G99" t="str">
        <v>TBD</v>
      </c>
      <c r="H99" t="str">
        <v/>
      </c>
      <c r="I99" t="str">
        <v xml:space="preserve"> </v>
      </c>
      <c r="J99" t="str">
        <v>01/10/2026</v>
      </c>
      <c r="K99" t="str">
        <v>16:52:21</v>
      </c>
      <c r="L99">
        <v>-12.157335</v>
      </c>
      <c r="M99">
        <v>-76.957016</v>
      </c>
      <c r="N99">
        <f>HYPERLINK("https://www.google.com/maps/search/?api=1&amp;query=-12.157335,-76.957016","Calle Santo Toribio, Villa María del Triunfo, Lima")</f>
      </c>
      <c r="O99" t="str">
        <v>Salió de zona</v>
      </c>
      <c r="P99" t="str">
        <v/>
      </c>
      <c r="Q99">
        <v>11671.4</v>
      </c>
      <c r="R99" t="str">
        <v>857-JCM B32 VMT</v>
      </c>
      <c r="S99">
        <v>1.2</v>
      </c>
      <c r="T99">
        <v>143.48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01/10/2026</v>
      </c>
      <c r="AD99" t="str">
        <v>16:52:16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16:52:36</v>
      </c>
      <c r="AL99" t="str">
        <v>16:52:36</v>
      </c>
      <c r="AM99" t="str">
        <v/>
      </c>
    </row>
    <row r="100">
      <c r="A100">
        <v>99</v>
      </c>
      <c r="B100" t="str">
        <v>MASS BSF</v>
      </c>
      <c r="C100" t="str">
        <v>CLW-864</v>
      </c>
      <c r="D100" t="str">
        <v>CLW-864</v>
      </c>
      <c r="E100" t="str">
        <v/>
      </c>
      <c r="F100" t="str">
        <v>867162029823242</v>
      </c>
      <c r="G100" t="str">
        <v>TBD</v>
      </c>
      <c r="H100" t="str">
        <v/>
      </c>
      <c r="I100" t="str">
        <v/>
      </c>
      <c r="J100" t="str">
        <v>01/10/2026</v>
      </c>
      <c r="K100" t="str">
        <v>16:52:29</v>
      </c>
      <c r="L100">
        <v>-12.157335</v>
      </c>
      <c r="M100">
        <v>-76.957016</v>
      </c>
      <c r="N100">
        <f>HYPERLINK("https://www.google.com/maps/search/?api=1&amp;query=-12.157335,-76.957016","Calle Santo Toribio, Villa María del Triunfo, Lima")</f>
      </c>
      <c r="O100" t="str">
        <v>Fin de ralentí</v>
      </c>
      <c r="P100" t="str">
        <v/>
      </c>
      <c r="Q100">
        <v>11671.4</v>
      </c>
      <c r="R100" t="str">
        <v/>
      </c>
      <c r="S100">
        <v>1.2</v>
      </c>
      <c r="T100">
        <v>142.47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01/10/2026</v>
      </c>
      <c r="AD100" t="str">
        <v>16:52:16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16:52:33</v>
      </c>
      <c r="AL100" t="str">
        <v>16:52:33</v>
      </c>
      <c r="AM100" t="str">
        <v/>
      </c>
    </row>
    <row r="101">
      <c r="A101">
        <v>100</v>
      </c>
      <c r="B101" t="str">
        <v>MASS BSF</v>
      </c>
      <c r="C101" t="str">
        <v>CLW-864</v>
      </c>
      <c r="D101" t="str">
        <v>CLW-864</v>
      </c>
      <c r="E101" t="str">
        <v/>
      </c>
      <c r="F101" t="str">
        <v>867162029823242</v>
      </c>
      <c r="G101" t="str">
        <v>TBD</v>
      </c>
      <c r="H101" t="str">
        <v/>
      </c>
      <c r="I101" t="str">
        <v xml:space="preserve"> </v>
      </c>
      <c r="J101" t="str">
        <v>01/10/2026</v>
      </c>
      <c r="K101" t="str">
        <v>16:56:21</v>
      </c>
      <c r="L101">
        <v>-12.158252</v>
      </c>
      <c r="M101">
        <v>-76.95808</v>
      </c>
      <c r="N101">
        <f>HYPERLINK("https://www.google.com/maps/search/?api=1&amp;query=-12.158252,-76.95808","Avenida Nicolás de Piérola, San Juan de Miraflores, Lima")</f>
      </c>
      <c r="O101" t="str">
        <v>Llegó a la zona</v>
      </c>
      <c r="P101" t="str">
        <v/>
      </c>
      <c r="Q101">
        <v>11671.6</v>
      </c>
      <c r="R101" t="str">
        <v>1226-DEFENSOR1SJM MS</v>
      </c>
      <c r="S101">
        <v>0</v>
      </c>
      <c r="T101">
        <v>143.48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01/10/2026</v>
      </c>
      <c r="AD101" t="str">
        <v>16:56:16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16:56:36</v>
      </c>
      <c r="AL101" t="str">
        <v>16:56:36</v>
      </c>
      <c r="AM101" t="str">
        <v/>
      </c>
    </row>
    <row r="102">
      <c r="A102">
        <v>101</v>
      </c>
      <c r="B102" t="str">
        <v>MASS BSF</v>
      </c>
      <c r="C102" t="str">
        <v>CLW-864</v>
      </c>
      <c r="D102" t="str">
        <v>CLW-864</v>
      </c>
      <c r="E102" t="str">
        <v/>
      </c>
      <c r="F102" t="str">
        <v>867162029823242</v>
      </c>
      <c r="G102" t="str">
        <v>TBD</v>
      </c>
      <c r="H102" t="str">
        <v/>
      </c>
      <c r="I102" t="str">
        <v xml:space="preserve"> </v>
      </c>
      <c r="J102" t="str">
        <v>01/10/2026</v>
      </c>
      <c r="K102" t="str">
        <v>16:58:21</v>
      </c>
      <c r="L102">
        <v>-12.158731</v>
      </c>
      <c r="M102">
        <v>-76.958435</v>
      </c>
      <c r="N102">
        <f>HYPERLINK("https://www.google.com/maps/search/?api=1&amp;query=-12.158731,-76.958435","Jirón Túpac Amaru, San Juan de Miraflores, Lima")</f>
      </c>
      <c r="O102" t="str">
        <v>Salió de zona</v>
      </c>
      <c r="P102" t="str">
        <v/>
      </c>
      <c r="Q102">
        <v>11671.7</v>
      </c>
      <c r="R102" t="str">
        <v>1226-DEFENSOR1SJM MS</v>
      </c>
      <c r="S102">
        <v>0</v>
      </c>
      <c r="T102">
        <v>143.48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100</v>
      </c>
      <c r="AC102" t="str">
        <v>01/10/2026</v>
      </c>
      <c r="AD102" t="str">
        <v>16:58:16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16:58:31</v>
      </c>
      <c r="AL102" t="str">
        <v>16:58:31</v>
      </c>
      <c r="AM102" t="str">
        <v/>
      </c>
    </row>
    <row r="103">
      <c r="A103">
        <v>102</v>
      </c>
      <c r="B103" t="str">
        <v>MASS BSF</v>
      </c>
      <c r="C103" t="str">
        <v>CLW-864</v>
      </c>
      <c r="D103" t="str">
        <v>CLW-864</v>
      </c>
      <c r="E103" t="str">
        <v/>
      </c>
      <c r="F103" t="str">
        <v>867162029823242</v>
      </c>
      <c r="G103" t="str">
        <v>TBD</v>
      </c>
      <c r="H103" t="str">
        <v/>
      </c>
      <c r="I103" t="str">
        <v xml:space="preserve"> </v>
      </c>
      <c r="J103" t="str">
        <v>01/10/2026</v>
      </c>
      <c r="K103" t="str">
        <v>17:12:19</v>
      </c>
      <c r="L103">
        <v>-12.193305</v>
      </c>
      <c r="M103">
        <v>-76.95535</v>
      </c>
      <c r="N103">
        <f>HYPERLINK("https://www.google.com/maps/search/?api=1&amp;query=-12.193305,-76.95535","Avenida Micaela Bastidas, Villa El Salvador, Lima")</f>
      </c>
      <c r="O103" t="str">
        <v>Llegó a la zona</v>
      </c>
      <c r="P103" t="str">
        <v/>
      </c>
      <c r="Q103">
        <v>11675.7</v>
      </c>
      <c r="R103" t="str">
        <v>257-MIGUEL IGLESIAS</v>
      </c>
      <c r="S103">
        <v>9.3</v>
      </c>
      <c r="T103">
        <v>143.48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100</v>
      </c>
      <c r="AC103" t="str">
        <v>01/10/2026</v>
      </c>
      <c r="AD103" t="str">
        <v>17:12:16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17:12:25</v>
      </c>
      <c r="AL103" t="str">
        <v>17:12:25</v>
      </c>
      <c r="AM103" t="str">
        <v/>
      </c>
    </row>
    <row r="104">
      <c r="A104">
        <v>103</v>
      </c>
      <c r="B104" t="str">
        <v>MASS BSF</v>
      </c>
      <c r="C104" t="str">
        <v>CLW-864</v>
      </c>
      <c r="D104" t="str">
        <v>CLW-864</v>
      </c>
      <c r="E104" t="str">
        <v/>
      </c>
      <c r="F104" t="str">
        <v>867162029823242</v>
      </c>
      <c r="G104" t="str">
        <v>TBD</v>
      </c>
      <c r="H104" t="str">
        <v/>
      </c>
      <c r="I104" t="str">
        <v xml:space="preserve"> </v>
      </c>
      <c r="J104" t="str">
        <v>01/10/2026</v>
      </c>
      <c r="K104" t="str">
        <v>17:12:19</v>
      </c>
      <c r="L104">
        <v>-12.193388</v>
      </c>
      <c r="M104">
        <v>-76.95538</v>
      </c>
      <c r="N104">
        <f>HYPERLINK("https://www.google.com/maps/search/?api=1&amp;query=-12.193388,-76.95538","Avenida Modelo, Villa El Salvador, Lima")</f>
      </c>
      <c r="O104" t="str">
        <v>Salió de zona</v>
      </c>
      <c r="P104" t="str">
        <v/>
      </c>
      <c r="Q104">
        <v>11675.7</v>
      </c>
      <c r="R104" t="str">
        <v>257-MIGUEL IGLESIAS</v>
      </c>
      <c r="S104">
        <v>16.5</v>
      </c>
      <c r="T104">
        <v>143.48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01/10/2026</v>
      </c>
      <c r="AD104" t="str">
        <v>17:12:19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17:12:31</v>
      </c>
      <c r="AL104" t="str">
        <v>17:12:31</v>
      </c>
      <c r="AM104" t="str">
        <v/>
      </c>
    </row>
    <row r="105">
      <c r="A105">
        <v>104</v>
      </c>
      <c r="B105" t="str">
        <v>MASS BSF</v>
      </c>
      <c r="C105" t="str">
        <v>CLW-864</v>
      </c>
      <c r="D105" t="str">
        <v>CLW-864</v>
      </c>
      <c r="E105" t="str">
        <v/>
      </c>
      <c r="F105" t="str">
        <v>867162029823242</v>
      </c>
      <c r="G105" t="str">
        <v>TBD</v>
      </c>
      <c r="H105" t="str">
        <v/>
      </c>
      <c r="I105" t="str">
        <v xml:space="preserve"> </v>
      </c>
      <c r="J105" t="str">
        <v>01/10/2026</v>
      </c>
      <c r="K105" t="str">
        <v>17:24:31</v>
      </c>
      <c r="L105">
        <v>-12.213189</v>
      </c>
      <c r="M105">
        <v>-76.95982</v>
      </c>
      <c r="N105">
        <f>HYPERLINK("https://www.google.com/maps/search/?api=1&amp;query=-12.213189,-76.95982","Avenida Villa del Mar, Villa El Salvador, Lima")</f>
      </c>
      <c r="O105" t="str">
        <v>Llegó a la zona</v>
      </c>
      <c r="P105" t="str">
        <v/>
      </c>
      <c r="Q105">
        <v>11679.3</v>
      </c>
      <c r="R105" t="str">
        <v>BASE-OSLOGISTICS</v>
      </c>
      <c r="S105">
        <v>11.8</v>
      </c>
      <c r="T105">
        <v>143.48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01/10/2026</v>
      </c>
      <c r="AD105" t="str">
        <v>17:24:16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17:24:36</v>
      </c>
      <c r="AL105" t="str">
        <v>17:24:36</v>
      </c>
      <c r="AM105" t="str">
        <v/>
      </c>
    </row>
    <row r="106">
      <c r="A106">
        <v>105</v>
      </c>
      <c r="B106" t="str">
        <v>MASS BSF</v>
      </c>
      <c r="C106" t="str">
        <v>CLW-864</v>
      </c>
      <c r="D106" t="str">
        <v>CLW-864</v>
      </c>
      <c r="E106" t="str">
        <v/>
      </c>
      <c r="F106" t="str">
        <v>867162029823242</v>
      </c>
      <c r="G106" t="str">
        <v>TBD</v>
      </c>
      <c r="H106" t="str">
        <v/>
      </c>
      <c r="I106" t="str">
        <v/>
      </c>
      <c r="J106" t="str">
        <v>01/10/2026</v>
      </c>
      <c r="K106" t="str">
        <v>17:30:02</v>
      </c>
      <c r="L106">
        <v>-12.212964</v>
      </c>
      <c r="M106">
        <v>-76.95908</v>
      </c>
      <c r="N106">
        <f>HYPERLINK("https://www.google.com/maps/search/?api=1&amp;query=-12.212964,-76.95908","Avenida Villa del Mar, Villa El Salvador, Lima")</f>
      </c>
      <c r="O106" t="str">
        <v>Inicio de ralentí</v>
      </c>
      <c r="P106" t="str">
        <v>Vehículo Detenido</v>
      </c>
      <c r="Q106">
        <v>11679.5</v>
      </c>
      <c r="R106" t="str">
        <v/>
      </c>
      <c r="S106">
        <v>0</v>
      </c>
      <c r="T106">
        <v>143.48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01/10/2026</v>
      </c>
      <c r="AD106" t="str">
        <v>17:29:16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17:30:19</v>
      </c>
      <c r="AL106" t="str">
        <v>17:30:19</v>
      </c>
      <c r="AM106" t="str">
        <v/>
      </c>
    </row>
    <row r="107">
      <c r="A107">
        <v>106</v>
      </c>
      <c r="B107" t="str">
        <v>MASS BSF</v>
      </c>
      <c r="C107" t="str">
        <v>CLW-864</v>
      </c>
      <c r="D107" t="str">
        <v>CLW-864</v>
      </c>
      <c r="E107" t="str">
        <v/>
      </c>
      <c r="F107" t="str">
        <v>867162029823242</v>
      </c>
      <c r="G107" t="str">
        <v>TBD</v>
      </c>
      <c r="H107" t="str">
        <v/>
      </c>
      <c r="I107" t="str">
        <v/>
      </c>
      <c r="J107" t="str">
        <v>01/10/2026</v>
      </c>
      <c r="K107" t="str">
        <v>17:35:18</v>
      </c>
      <c r="L107">
        <v>-12.212964</v>
      </c>
      <c r="M107">
        <v>-76.95908</v>
      </c>
      <c r="N107">
        <f>HYPERLINK("https://www.google.com/maps/search/?api=1&amp;query=-12.212964,-76.95908","Avenida Villa del Mar, Villa El Salvador, Lima")</f>
      </c>
      <c r="O107" t="str">
        <v>Vehículo apagado</v>
      </c>
      <c r="P107" t="str">
        <v>Vehículo Apagado</v>
      </c>
      <c r="Q107">
        <v>11679.5</v>
      </c>
      <c r="R107" t="str">
        <v/>
      </c>
      <c r="S107">
        <v>0</v>
      </c>
      <c r="T107">
        <v>144.28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01/10/2026</v>
      </c>
      <c r="AD107" t="str">
        <v>17:34:19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17:35:24</v>
      </c>
      <c r="AL107" t="str">
        <v>17:35:24</v>
      </c>
      <c r="AM107" t="str">
        <v/>
      </c>
    </row>
    <row r="108">
      <c r="A108">
        <v>107</v>
      </c>
      <c r="B108" t="str">
        <v>MASS BSF</v>
      </c>
      <c r="C108" t="str">
        <v>CLW-864</v>
      </c>
      <c r="D108" t="str">
        <v>CLW-864</v>
      </c>
      <c r="E108" t="str">
        <v/>
      </c>
      <c r="F108" t="str">
        <v>867162029823242</v>
      </c>
      <c r="G108" t="str">
        <v>TBD</v>
      </c>
      <c r="H108" t="str">
        <v/>
      </c>
      <c r="I108" t="str">
        <v/>
      </c>
      <c r="J108" t="str">
        <v>01/10/2026</v>
      </c>
      <c r="K108" t="str">
        <v>17:36:17</v>
      </c>
      <c r="L108">
        <v>-12.212964</v>
      </c>
      <c r="M108">
        <v>-76.95908</v>
      </c>
      <c r="N108">
        <f>HYPERLINK("https://www.google.com/maps/search/?api=1&amp;query=-12.212964,-76.95908","Avenida Villa del Mar, Villa El Salvador, Lima")</f>
      </c>
      <c r="O108" t="str">
        <v>Fin de ralentí</v>
      </c>
      <c r="P108" t="str">
        <v/>
      </c>
      <c r="Q108">
        <v>11679.5</v>
      </c>
      <c r="R108" t="str">
        <v/>
      </c>
      <c r="S108">
        <v>0</v>
      </c>
      <c r="T108">
        <v>144.28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17:35:21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17:36:23</v>
      </c>
      <c r="AL108" t="str">
        <v>17:36:23</v>
      </c>
      <c r="AM108" t="str">
        <v/>
      </c>
    </row>
  </sheetData>
  <ignoredErrors>
    <ignoredError numberStoredAsText="1" sqref="A1:AM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