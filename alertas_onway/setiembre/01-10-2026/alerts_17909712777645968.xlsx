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CPF-781</v>
      </c>
      <c r="D2" t="str">
        <v>MEC0464PBVP080971</v>
      </c>
      <c r="E2" t="str">
        <v/>
      </c>
      <c r="F2" t="str">
        <v>867162029821188</v>
      </c>
      <c r="G2" t="str">
        <v>TBD</v>
      </c>
      <c r="H2" t="str">
        <v/>
      </c>
      <c r="I2" t="str">
        <v/>
      </c>
      <c r="J2" t="str">
        <v>01/10/2026</v>
      </c>
      <c r="K2" t="str">
        <v>08:18:01</v>
      </c>
      <c r="L2">
        <v>-12.213079</v>
      </c>
      <c r="M2">
        <v>-76.95879</v>
      </c>
      <c r="N2">
        <f>HYPERLINK("https://www.google.com/maps/search/?api=1&amp;query=-12.213079,-76.95879","Villa El Salvador, Lima")</f>
      </c>
      <c r="O2" t="str">
        <v>Vehículo encendido</v>
      </c>
      <c r="P2" t="str">
        <v/>
      </c>
      <c r="Q2">
        <v>3114.4</v>
      </c>
      <c r="R2" t="str">
        <v/>
      </c>
      <c r="S2">
        <v>0</v>
      </c>
      <c r="T2">
        <v>617.03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01/10/2026</v>
      </c>
      <c r="AD2" t="str">
        <v>07:58:38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08:18:20</v>
      </c>
      <c r="AL2" t="str">
        <v>08:18:20</v>
      </c>
      <c r="AM2" t="str">
        <v/>
      </c>
    </row>
    <row r="3">
      <c r="A3">
        <v>2</v>
      </c>
      <c r="B3" t="str">
        <v>MASS BSF</v>
      </c>
      <c r="C3" t="str">
        <v>CPF-781</v>
      </c>
      <c r="D3" t="str">
        <v>MEC0464PBVP080971</v>
      </c>
      <c r="E3" t="str">
        <v/>
      </c>
      <c r="F3" t="str">
        <v>867162029821188</v>
      </c>
      <c r="G3" t="str">
        <v>TBD</v>
      </c>
      <c r="H3" t="str">
        <v/>
      </c>
      <c r="I3" t="str">
        <v/>
      </c>
      <c r="J3" t="str">
        <v>01/10/2026</v>
      </c>
      <c r="K3" t="str">
        <v>08:21:49</v>
      </c>
      <c r="L3">
        <v>-12.213288</v>
      </c>
      <c r="M3">
        <v>-76.95884</v>
      </c>
      <c r="N3">
        <f>HYPERLINK("https://www.google.com/maps/search/?api=1&amp;query=-12.213288,-76.95884","Villa El Salvador, Lima")</f>
      </c>
      <c r="O3" t="str">
        <v>Vehículo apagado</v>
      </c>
      <c r="P3" t="str">
        <v>Vehículo Apagado</v>
      </c>
      <c r="Q3">
        <v>3114.5</v>
      </c>
      <c r="R3" t="str">
        <v/>
      </c>
      <c r="S3">
        <v>0</v>
      </c>
      <c r="T3">
        <v>617.12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01/10/2026</v>
      </c>
      <c r="AD3" t="str">
        <v>08:21:52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08:22:10</v>
      </c>
      <c r="AL3" t="str">
        <v>08:22:10</v>
      </c>
      <c r="AM3" t="str">
        <v/>
      </c>
    </row>
    <row r="4">
      <c r="A4">
        <v>3</v>
      </c>
      <c r="B4" t="str">
        <v>MASS BSF</v>
      </c>
      <c r="C4" t="str">
        <v>CPF-781</v>
      </c>
      <c r="D4" t="str">
        <v>MEC0464PBVP080971</v>
      </c>
      <c r="E4" t="str">
        <v/>
      </c>
      <c r="F4" t="str">
        <v>867162029821188</v>
      </c>
      <c r="G4" t="str">
        <v>TBD</v>
      </c>
      <c r="H4" t="str">
        <v/>
      </c>
      <c r="I4" t="str">
        <v/>
      </c>
      <c r="J4" t="str">
        <v>01/10/2026</v>
      </c>
      <c r="K4" t="str">
        <v>14:23:20</v>
      </c>
      <c r="L4">
        <v>-12.213288</v>
      </c>
      <c r="M4">
        <v>-76.95884</v>
      </c>
      <c r="N4">
        <f>HYPERLINK("https://www.google.com/maps/search/?api=1&amp;query=-12.213288,-76.95884","Villa El Salvador, Lima")</f>
      </c>
      <c r="O4" t="str">
        <v>Vehículo encendido</v>
      </c>
      <c r="P4" t="str">
        <v/>
      </c>
      <c r="Q4">
        <v>3114.5</v>
      </c>
      <c r="R4" t="str">
        <v/>
      </c>
      <c r="S4">
        <v>0</v>
      </c>
      <c r="T4">
        <v>617.12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14:19:25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14:23:37</v>
      </c>
      <c r="AL4" t="str">
        <v>14:23:37</v>
      </c>
      <c r="AM4" t="str">
        <v/>
      </c>
    </row>
    <row r="5">
      <c r="A5">
        <v>4</v>
      </c>
      <c r="B5" t="str">
        <v>MASS BSF</v>
      </c>
      <c r="C5" t="str">
        <v>CPF-781</v>
      </c>
      <c r="D5" t="str">
        <v>MEC0464PBVP080971</v>
      </c>
      <c r="E5" t="str">
        <v/>
      </c>
      <c r="F5" t="str">
        <v>867162029821188</v>
      </c>
      <c r="G5" t="str">
        <v>TBD</v>
      </c>
      <c r="H5" t="str">
        <v/>
      </c>
      <c r="I5" t="str">
        <v/>
      </c>
      <c r="J5" t="str">
        <v>01/10/2026</v>
      </c>
      <c r="K5" t="str">
        <v>14:30:27</v>
      </c>
      <c r="L5">
        <v>-12.212876</v>
      </c>
      <c r="M5">
        <v>-76.95885</v>
      </c>
      <c r="N5">
        <f>HYPERLINK("https://www.google.com/maps/search/?api=1&amp;query=-12.212876,-76.95885","Avenida Villa del Mar, Villa El Salvador, Lima")</f>
      </c>
      <c r="O5" t="str">
        <v>Vehículo apagado</v>
      </c>
      <c r="P5" t="str">
        <v>Vehículo Apagado</v>
      </c>
      <c r="Q5">
        <v>3114.6</v>
      </c>
      <c r="R5" t="str">
        <v/>
      </c>
      <c r="S5">
        <v>0</v>
      </c>
      <c r="T5">
        <v>617.27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01/10/2026</v>
      </c>
      <c r="AD5" t="str">
        <v>14:30:30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14:30:48</v>
      </c>
      <c r="AL5" t="str">
        <v>14:30:48</v>
      </c>
      <c r="AM5" t="str">
        <v/>
      </c>
    </row>
  </sheetData>
  <ignoredErrors>
    <ignoredError numberStoredAsText="1" sqref="A1:A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