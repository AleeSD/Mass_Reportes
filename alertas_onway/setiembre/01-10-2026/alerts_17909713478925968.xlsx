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F3I-769</v>
      </c>
      <c r="D2" t="str">
        <v>F3I-769</v>
      </c>
      <c r="E2" t="str">
        <v/>
      </c>
      <c r="F2" t="str">
        <v>867806075758377</v>
      </c>
      <c r="G2" t="str">
        <v>TBD</v>
      </c>
      <c r="H2" t="str">
        <v/>
      </c>
      <c r="I2" t="str">
        <v/>
      </c>
      <c r="J2" t="str">
        <v>01/10/2026</v>
      </c>
      <c r="K2" t="str">
        <v>04:38:50</v>
      </c>
      <c r="L2">
        <v>-12.193407</v>
      </c>
      <c r="M2">
        <v>-76.92717</v>
      </c>
      <c r="N2">
        <f>HYPERLINK("https://www.google.com/maps/search/?api=1&amp;query=-12.193407,-76.92717","Jirón Ramón Castilla, Villa María del Triunfo, Lima")</f>
      </c>
      <c r="O2" t="str">
        <v>Se movio</v>
      </c>
      <c r="P2" t="str">
        <v/>
      </c>
      <c r="Q2">
        <v>2167.7</v>
      </c>
      <c r="R2" t="str">
        <v/>
      </c>
      <c r="S2">
        <v>0</v>
      </c>
      <c r="T2">
        <v>71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81</v>
      </c>
      <c r="AC2" t="str">
        <v>01/10/2026</v>
      </c>
      <c r="AD2" t="str">
        <v>04:38:47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04:39:01</v>
      </c>
      <c r="AL2" t="str">
        <v>04:39:01</v>
      </c>
      <c r="AM2" t="str">
        <v/>
      </c>
    </row>
    <row r="3">
      <c r="A3">
        <v>2</v>
      </c>
      <c r="B3" t="str">
        <v>MASS BSF</v>
      </c>
      <c r="C3" t="str">
        <v>F3I-769</v>
      </c>
      <c r="D3" t="str">
        <v>F3I-769</v>
      </c>
      <c r="E3" t="str">
        <v/>
      </c>
      <c r="F3" t="str">
        <v>867806075758377</v>
      </c>
      <c r="G3" t="str">
        <v>TBD</v>
      </c>
      <c r="H3" t="str">
        <v/>
      </c>
      <c r="I3" t="str">
        <v/>
      </c>
      <c r="J3" t="str">
        <v>01/10/2026</v>
      </c>
      <c r="K3" t="str">
        <v>04:38:57</v>
      </c>
      <c r="L3">
        <v>-12.193398</v>
      </c>
      <c r="M3">
        <v>-76.927124</v>
      </c>
      <c r="N3">
        <f>HYPERLINK("https://www.google.com/maps/search/?api=1&amp;query=-12.193398,-76.927124","Jirón Ramón Castilla, Villa María del Triunfo, Lima")</f>
      </c>
      <c r="O3" t="str">
        <v>Vehículo encendido</v>
      </c>
      <c r="P3" t="str">
        <v/>
      </c>
      <c r="Q3">
        <v>2167.7</v>
      </c>
      <c r="R3" t="str">
        <v/>
      </c>
      <c r="S3">
        <v>0</v>
      </c>
      <c r="T3">
        <v>71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81</v>
      </c>
      <c r="AC3" t="str">
        <v>01/10/2026</v>
      </c>
      <c r="AD3" t="str">
        <v>04:38:54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04:39:30</v>
      </c>
      <c r="AL3" t="str">
        <v>04:39:30</v>
      </c>
      <c r="AM3" t="str">
        <v/>
      </c>
    </row>
    <row r="4">
      <c r="A4">
        <v>3</v>
      </c>
      <c r="B4" t="str">
        <v>MASS BSF</v>
      </c>
      <c r="C4" t="str">
        <v>F3I-769</v>
      </c>
      <c r="D4" t="str">
        <v>F3I-769</v>
      </c>
      <c r="E4" t="str">
        <v/>
      </c>
      <c r="F4" t="str">
        <v>867806075758377</v>
      </c>
      <c r="G4" t="str">
        <v>TBD</v>
      </c>
      <c r="H4" t="str">
        <v/>
      </c>
      <c r="I4" t="str">
        <v/>
      </c>
      <c r="J4" t="str">
        <v>01/10/2026</v>
      </c>
      <c r="K4" t="str">
        <v>04:42:13</v>
      </c>
      <c r="L4">
        <v>-12.193315</v>
      </c>
      <c r="M4">
        <v>-76.92716</v>
      </c>
      <c r="N4">
        <f>HYPERLINK("https://www.google.com/maps/search/?api=1&amp;query=-12.193315,-76.92716","Jirón Ramón Castilla, Villa María del Triunfo, Lima")</f>
      </c>
      <c r="O4" t="str">
        <v>Inicio de ralentí</v>
      </c>
      <c r="P4" t="str">
        <v>Vehículo Detenido</v>
      </c>
      <c r="Q4">
        <v>2167.7</v>
      </c>
      <c r="R4" t="str">
        <v/>
      </c>
      <c r="S4">
        <v>0</v>
      </c>
      <c r="T4">
        <v>71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81</v>
      </c>
      <c r="AC4" t="str">
        <v>01/10/2026</v>
      </c>
      <c r="AD4" t="str">
        <v>04:42:10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04:42:36</v>
      </c>
      <c r="AL4" t="str">
        <v>04:42:36</v>
      </c>
      <c r="AM4" t="str">
        <v/>
      </c>
    </row>
    <row r="5">
      <c r="A5">
        <v>4</v>
      </c>
      <c r="B5" t="str">
        <v>MASS BSF</v>
      </c>
      <c r="C5" t="str">
        <v>F3I-769</v>
      </c>
      <c r="D5" t="str">
        <v>F3I-769</v>
      </c>
      <c r="E5" t="str">
        <v/>
      </c>
      <c r="F5" t="str">
        <v>867806075758377</v>
      </c>
      <c r="G5" t="str">
        <v>TBD</v>
      </c>
      <c r="H5" t="str">
        <v/>
      </c>
      <c r="I5" t="str">
        <v/>
      </c>
      <c r="J5" t="str">
        <v>01/10/2026</v>
      </c>
      <c r="K5" t="str">
        <v>04:44:26</v>
      </c>
      <c r="L5">
        <v>-12.193427</v>
      </c>
      <c r="M5">
        <v>-76.927216</v>
      </c>
      <c r="N5">
        <f>HYPERLINK("https://www.google.com/maps/search/?api=1&amp;query=-12.193427,-76.927216","Jirón Ramón Castilla, Villa María del Triunfo, Lima")</f>
      </c>
      <c r="O5" t="str">
        <v>Fin de ralentí</v>
      </c>
      <c r="P5" t="str">
        <v/>
      </c>
      <c r="Q5">
        <v>2167.8</v>
      </c>
      <c r="R5" t="str">
        <v/>
      </c>
      <c r="S5">
        <v>6.6</v>
      </c>
      <c r="T5">
        <v>71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83</v>
      </c>
      <c r="AC5" t="str">
        <v>01/10/2026</v>
      </c>
      <c r="AD5" t="str">
        <v>04:44:24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04:44:29</v>
      </c>
      <c r="AL5" t="str">
        <v>04:44:29</v>
      </c>
      <c r="AM5" t="str">
        <v/>
      </c>
    </row>
    <row r="6">
      <c r="A6">
        <v>5</v>
      </c>
      <c r="B6" t="str">
        <v>MASS BSF</v>
      </c>
      <c r="C6" t="str">
        <v>F3I-769</v>
      </c>
      <c r="D6" t="str">
        <v>F3I-769</v>
      </c>
      <c r="E6" t="str">
        <v/>
      </c>
      <c r="F6" t="str">
        <v>867806075758377</v>
      </c>
      <c r="G6" t="str">
        <v>TBD</v>
      </c>
      <c r="H6" t="str">
        <v/>
      </c>
      <c r="I6" t="str">
        <v/>
      </c>
      <c r="J6" t="str">
        <v>01/10/2026</v>
      </c>
      <c r="K6" t="str">
        <v>04:47:53</v>
      </c>
      <c r="L6">
        <v>-12.193715</v>
      </c>
      <c r="M6">
        <v>-76.927155</v>
      </c>
      <c r="N6">
        <f>HYPERLINK("https://www.google.com/maps/search/?api=1&amp;query=-12.193715,-76.927155","Avenida La Mariscala, Villa María del Triunfo, Lima")</f>
      </c>
      <c r="O6" t="str">
        <v>Inicio de ralentí</v>
      </c>
      <c r="P6" t="str">
        <v>Vehículo Detenido</v>
      </c>
      <c r="Q6">
        <v>2167.8</v>
      </c>
      <c r="R6" t="str">
        <v/>
      </c>
      <c r="S6">
        <v>0</v>
      </c>
      <c r="T6">
        <v>71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91</v>
      </c>
      <c r="AC6" t="str">
        <v>01/10/2026</v>
      </c>
      <c r="AD6" t="str">
        <v>04:47:50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04:48:24</v>
      </c>
      <c r="AL6" t="str">
        <v>04:48:24</v>
      </c>
      <c r="AM6" t="str">
        <v/>
      </c>
    </row>
    <row r="7">
      <c r="A7">
        <v>6</v>
      </c>
      <c r="B7" t="str">
        <v>MASS BSF</v>
      </c>
      <c r="C7" t="str">
        <v>F3I-769</v>
      </c>
      <c r="D7" t="str">
        <v>F3I-769</v>
      </c>
      <c r="E7" t="str">
        <v/>
      </c>
      <c r="F7" t="str">
        <v>867806075758377</v>
      </c>
      <c r="G7" t="str">
        <v>TBD</v>
      </c>
      <c r="H7" t="str">
        <v/>
      </c>
      <c r="I7" t="str">
        <v/>
      </c>
      <c r="J7" t="str">
        <v>01/10/2026</v>
      </c>
      <c r="K7" t="str">
        <v>04:56:00</v>
      </c>
      <c r="L7">
        <v>-12.19371</v>
      </c>
      <c r="M7">
        <v>-76.92721</v>
      </c>
      <c r="N7">
        <f>HYPERLINK("https://www.google.com/maps/search/?api=1&amp;query=-12.19371,-76.92721","Avenida La Mariscala, Villa María del Triunfo, Lima")</f>
      </c>
      <c r="O7" t="str">
        <v>Fin de ralentí</v>
      </c>
      <c r="P7" t="str">
        <v/>
      </c>
      <c r="Q7">
        <v>2167.8</v>
      </c>
      <c r="R7" t="str">
        <v/>
      </c>
      <c r="S7">
        <v>11.1</v>
      </c>
      <c r="T7">
        <v>71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91</v>
      </c>
      <c r="AC7" t="str">
        <v>01/10/2026</v>
      </c>
      <c r="AD7" t="str">
        <v>04:55:58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04:56:23</v>
      </c>
      <c r="AL7" t="str">
        <v>04:56:23</v>
      </c>
      <c r="AM7" t="str">
        <v/>
      </c>
    </row>
    <row r="8">
      <c r="A8">
        <v>7</v>
      </c>
      <c r="B8" t="str">
        <v>MASS BSF</v>
      </c>
      <c r="C8" t="str">
        <v>F3I-769</v>
      </c>
      <c r="D8" t="str">
        <v>F3I-769</v>
      </c>
      <c r="E8" t="str">
        <v/>
      </c>
      <c r="F8" t="str">
        <v>867806075758377</v>
      </c>
      <c r="G8" t="str">
        <v>TBD</v>
      </c>
      <c r="H8" t="str">
        <v/>
      </c>
      <c r="I8" t="str">
        <v/>
      </c>
      <c r="J8" t="str">
        <v>01/10/2026</v>
      </c>
      <c r="K8" t="str">
        <v>04:56:12</v>
      </c>
      <c r="L8">
        <v>-12.193915</v>
      </c>
      <c r="M8">
        <v>-76.92759</v>
      </c>
      <c r="N8">
        <f>HYPERLINK("https://www.google.com/maps/search/?api=1&amp;query=-12.193915,-76.92759","Avenida La Mariscala, Villa María del Triunfo, Lima")</f>
      </c>
      <c r="O8" t="str">
        <v>Se movio</v>
      </c>
      <c r="P8" t="str">
        <v/>
      </c>
      <c r="Q8">
        <v>2167.9</v>
      </c>
      <c r="R8" t="str">
        <v/>
      </c>
      <c r="S8">
        <v>20</v>
      </c>
      <c r="T8">
        <v>71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91</v>
      </c>
      <c r="AC8" t="str">
        <v>01/10/2026</v>
      </c>
      <c r="AD8" t="str">
        <v>04:56:09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04:56:23</v>
      </c>
      <c r="AL8" t="str">
        <v>04:56:23</v>
      </c>
      <c r="AM8" t="str">
        <v/>
      </c>
    </row>
    <row r="9">
      <c r="A9">
        <v>8</v>
      </c>
      <c r="B9" t="str">
        <v>MASS BSF</v>
      </c>
      <c r="C9" t="str">
        <v>F3I-769</v>
      </c>
      <c r="D9" t="str">
        <v>F3I-769</v>
      </c>
      <c r="E9" t="str">
        <v/>
      </c>
      <c r="F9" t="str">
        <v>867806075758377</v>
      </c>
      <c r="G9" t="str">
        <v>TBD</v>
      </c>
      <c r="H9" t="str">
        <v/>
      </c>
      <c r="I9" t="str">
        <v/>
      </c>
      <c r="J9" t="str">
        <v>01/10/2026</v>
      </c>
      <c r="K9" t="str">
        <v>04:56:34</v>
      </c>
      <c r="L9">
        <v>-12.194522</v>
      </c>
      <c r="M9">
        <v>-76.928635</v>
      </c>
      <c r="N9">
        <f>HYPERLINK("https://www.google.com/maps/search/?api=1&amp;query=-12.194522,-76.928635","Avenida La Mariscala, Villa María del Triunfo, Lima")</f>
      </c>
      <c r="O9" t="str">
        <v>Bache</v>
      </c>
      <c r="P9" t="str">
        <v/>
      </c>
      <c r="Q9">
        <v>2168</v>
      </c>
      <c r="R9" t="str">
        <v/>
      </c>
      <c r="S9">
        <v>12.9</v>
      </c>
      <c r="T9">
        <v>71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91</v>
      </c>
      <c r="AC9" t="str">
        <v>01/10/2026</v>
      </c>
      <c r="AD9" t="str">
        <v>04:56:31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04:56:54</v>
      </c>
      <c r="AL9" t="str">
        <v>04:56:54</v>
      </c>
      <c r="AM9" t="str">
        <v/>
      </c>
    </row>
    <row r="10">
      <c r="A10">
        <v>9</v>
      </c>
      <c r="B10" t="str">
        <v>MASS BSF</v>
      </c>
      <c r="C10" t="str">
        <v>F3I-769</v>
      </c>
      <c r="D10" t="str">
        <v>F3I-769</v>
      </c>
      <c r="E10" t="str">
        <v/>
      </c>
      <c r="F10" t="str">
        <v>867806075758377</v>
      </c>
      <c r="G10" t="str">
        <v>TBD</v>
      </c>
      <c r="H10" t="str">
        <v/>
      </c>
      <c r="I10" t="str">
        <v/>
      </c>
      <c r="J10" t="str">
        <v>01/10/2026</v>
      </c>
      <c r="K10" t="str">
        <v>04:56:57</v>
      </c>
      <c r="L10">
        <v>-12.195249</v>
      </c>
      <c r="M10">
        <v>-76.92986</v>
      </c>
      <c r="N10">
        <f>HYPERLINK("https://www.google.com/maps/search/?api=1&amp;query=-12.195249,-76.92986","Avenida La Mariscala, Villa María del Triunfo, Lima")</f>
      </c>
      <c r="O10" t="str">
        <v>Aceleración brusca</v>
      </c>
      <c r="P10" t="str">
        <v>CMT-910</v>
      </c>
      <c r="Q10">
        <v>2168.2</v>
      </c>
      <c r="R10" t="str">
        <v/>
      </c>
      <c r="S10">
        <v>8.7</v>
      </c>
      <c r="T10">
        <v>71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91</v>
      </c>
      <c r="AC10" t="str">
        <v>01/10/2026</v>
      </c>
      <c r="AD10" t="str">
        <v>04:56:54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04:57:06</v>
      </c>
      <c r="AL10" t="str">
        <v>04:57:06</v>
      </c>
      <c r="AM10" t="str">
        <v/>
      </c>
    </row>
    <row r="11">
      <c r="A11">
        <v>10</v>
      </c>
      <c r="B11" t="str">
        <v>MASS BSF</v>
      </c>
      <c r="C11" t="str">
        <v>F3I-769</v>
      </c>
      <c r="D11" t="str">
        <v>F3I-769</v>
      </c>
      <c r="E11" t="str">
        <v/>
      </c>
      <c r="F11" t="str">
        <v>867806075758377</v>
      </c>
      <c r="G11" t="str">
        <v>TBD</v>
      </c>
      <c r="H11" t="str">
        <v/>
      </c>
      <c r="I11" t="str">
        <v/>
      </c>
      <c r="J11" t="str">
        <v>01/10/2026</v>
      </c>
      <c r="K11" t="str">
        <v>04:57:01</v>
      </c>
      <c r="L11">
        <v>-12.195291</v>
      </c>
      <c r="M11">
        <v>-76.92994</v>
      </c>
      <c r="N11">
        <f>HYPERLINK("https://www.google.com/maps/search/?api=1&amp;query=-12.195291,-76.92994","Avenida La Mariscala, Villa María del Triunfo, Lima")</f>
      </c>
      <c r="O11" t="str">
        <v>Bache</v>
      </c>
      <c r="P11" t="str">
        <v/>
      </c>
      <c r="Q11">
        <v>2168.2</v>
      </c>
      <c r="R11" t="str">
        <v/>
      </c>
      <c r="S11">
        <v>11.8</v>
      </c>
      <c r="T11">
        <v>71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91</v>
      </c>
      <c r="AC11" t="str">
        <v>01/10/2026</v>
      </c>
      <c r="AD11" t="str">
        <v>04:56:58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04:57:14</v>
      </c>
      <c r="AL11" t="str">
        <v>04:57:14</v>
      </c>
      <c r="AM11" t="str">
        <v/>
      </c>
    </row>
    <row r="12">
      <c r="A12">
        <v>11</v>
      </c>
      <c r="B12" t="str">
        <v>MASS BSF</v>
      </c>
      <c r="C12" t="str">
        <v>F3I-769</v>
      </c>
      <c r="D12" t="str">
        <v>F3I-769</v>
      </c>
      <c r="E12" t="str">
        <v/>
      </c>
      <c r="F12" t="str">
        <v>867806075758377</v>
      </c>
      <c r="G12" t="str">
        <v>TBD</v>
      </c>
      <c r="H12" t="str">
        <v/>
      </c>
      <c r="I12" t="str">
        <v/>
      </c>
      <c r="J12" t="str">
        <v>01/10/2026</v>
      </c>
      <c r="K12" t="str">
        <v>04:57:54</v>
      </c>
      <c r="L12">
        <v>-12.194955</v>
      </c>
      <c r="M12">
        <v>-76.93183</v>
      </c>
      <c r="N12">
        <f>HYPERLINK("https://www.google.com/maps/search/?api=1&amp;query=-12.194955,-76.93183","Avenida Jorge Chávez, Villa María del Triunfo, Lima")</f>
      </c>
      <c r="O12" t="str">
        <v>Bache</v>
      </c>
      <c r="P12" t="str">
        <v/>
      </c>
      <c r="Q12">
        <v>2168.5</v>
      </c>
      <c r="R12" t="str">
        <v/>
      </c>
      <c r="S12">
        <v>10.5</v>
      </c>
      <c r="T12">
        <v>71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87</v>
      </c>
      <c r="AC12" t="str">
        <v>01/10/2026</v>
      </c>
      <c r="AD12" t="str">
        <v>04:57:51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04:58:14</v>
      </c>
      <c r="AL12" t="str">
        <v>04:58:14</v>
      </c>
      <c r="AM12" t="str">
        <v/>
      </c>
    </row>
    <row r="13">
      <c r="A13">
        <v>12</v>
      </c>
      <c r="B13" t="str">
        <v>MASS BSF</v>
      </c>
      <c r="C13" t="str">
        <v>F3I-769</v>
      </c>
      <c r="D13" t="str">
        <v>F3I-769</v>
      </c>
      <c r="E13" t="str">
        <v/>
      </c>
      <c r="F13" t="str">
        <v>867806075758377</v>
      </c>
      <c r="G13" t="str">
        <v>TBD</v>
      </c>
      <c r="H13" t="str">
        <v/>
      </c>
      <c r="I13" t="str">
        <v/>
      </c>
      <c r="J13" t="str">
        <v>01/10/2026</v>
      </c>
      <c r="K13" t="str">
        <v>04:58:46</v>
      </c>
      <c r="L13">
        <v>-12.196405</v>
      </c>
      <c r="M13">
        <v>-76.93369</v>
      </c>
      <c r="N13">
        <f>HYPERLINK("https://www.google.com/maps/search/?api=1&amp;query=-12.196405,-76.93369","Avenida Pachacútec, Villa María del Triunfo, Lima")</f>
      </c>
      <c r="O13" t="str">
        <v>Bache</v>
      </c>
      <c r="P13" t="str">
        <v/>
      </c>
      <c r="Q13">
        <v>2168.8</v>
      </c>
      <c r="R13" t="str">
        <v/>
      </c>
      <c r="S13">
        <v>13.8</v>
      </c>
      <c r="T13">
        <v>71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86</v>
      </c>
      <c r="AC13" t="str">
        <v>01/10/2026</v>
      </c>
      <c r="AD13" t="str">
        <v>04:58:43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04:59:04</v>
      </c>
      <c r="AL13" t="str">
        <v>04:59:04</v>
      </c>
      <c r="AM13" t="str">
        <v/>
      </c>
    </row>
    <row r="14">
      <c r="A14">
        <v>13</v>
      </c>
      <c r="B14" t="str">
        <v>MASS BSF</v>
      </c>
      <c r="C14" t="str">
        <v>F3I-769</v>
      </c>
      <c r="D14" t="str">
        <v>F3I-769</v>
      </c>
      <c r="E14" t="str">
        <v/>
      </c>
      <c r="F14" t="str">
        <v>867806075758377</v>
      </c>
      <c r="G14" t="str">
        <v>TBD</v>
      </c>
      <c r="H14" t="str">
        <v/>
      </c>
      <c r="I14" t="str">
        <v/>
      </c>
      <c r="J14" t="str">
        <v>01/10/2026</v>
      </c>
      <c r="K14" t="str">
        <v>04:59:08</v>
      </c>
      <c r="L14">
        <v>-12.197677</v>
      </c>
      <c r="M14">
        <v>-76.93294</v>
      </c>
      <c r="N14">
        <f>HYPERLINK("https://www.google.com/maps/search/?api=1&amp;query=-12.197677,-76.93294","Avenida Pachacútec, Villa María del Triunfo, Lima")</f>
      </c>
      <c r="O14" t="str">
        <v>Bache</v>
      </c>
      <c r="P14" t="str">
        <v/>
      </c>
      <c r="Q14">
        <v>2168.9</v>
      </c>
      <c r="R14" t="str">
        <v/>
      </c>
      <c r="S14">
        <v>10.7</v>
      </c>
      <c r="T14">
        <v>71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86</v>
      </c>
      <c r="AC14" t="str">
        <v>01/10/2026</v>
      </c>
      <c r="AD14" t="str">
        <v>04:59:05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04:59:18</v>
      </c>
      <c r="AL14" t="str">
        <v>04:59:18</v>
      </c>
      <c r="AM14" t="str">
        <v/>
      </c>
    </row>
    <row r="15">
      <c r="A15">
        <v>14</v>
      </c>
      <c r="B15" t="str">
        <v>MASS BSF</v>
      </c>
      <c r="C15" t="str">
        <v>F3I-769</v>
      </c>
      <c r="D15" t="str">
        <v>F3I-769</v>
      </c>
      <c r="E15" t="str">
        <v/>
      </c>
      <c r="F15" t="str">
        <v>867806075758377</v>
      </c>
      <c r="G15" t="str">
        <v>TBD</v>
      </c>
      <c r="H15" t="str">
        <v/>
      </c>
      <c r="I15" t="str">
        <v/>
      </c>
      <c r="J15" t="str">
        <v>01/10/2026</v>
      </c>
      <c r="K15" t="str">
        <v>05:04:57</v>
      </c>
      <c r="L15">
        <v>-12.214877</v>
      </c>
      <c r="M15">
        <v>-76.92227</v>
      </c>
      <c r="N15">
        <f>HYPERLINK("https://www.google.com/maps/search/?api=1&amp;query=-12.214877,-76.92227","Avenida Pachacútec, Villa El Salvador, Lima")</f>
      </c>
      <c r="O15" t="str">
        <v>Bache</v>
      </c>
      <c r="P15" t="str">
        <v/>
      </c>
      <c r="Q15">
        <v>2171.2</v>
      </c>
      <c r="R15" t="str">
        <v/>
      </c>
      <c r="S15">
        <v>50</v>
      </c>
      <c r="T15">
        <v>71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91</v>
      </c>
      <c r="AC15" t="str">
        <v>01/10/2026</v>
      </c>
      <c r="AD15" t="str">
        <v>05:04:54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05:05:08</v>
      </c>
      <c r="AL15" t="str">
        <v>05:05:08</v>
      </c>
      <c r="AM15" t="str">
        <v/>
      </c>
    </row>
    <row r="16">
      <c r="A16">
        <v>15</v>
      </c>
      <c r="B16" t="str">
        <v>MASS BSF</v>
      </c>
      <c r="C16" t="str">
        <v>F3I-769</v>
      </c>
      <c r="D16" t="str">
        <v>F3I-769</v>
      </c>
      <c r="E16" t="str">
        <v/>
      </c>
      <c r="F16" t="str">
        <v>867806075758377</v>
      </c>
      <c r="G16" t="str">
        <v>TBD</v>
      </c>
      <c r="H16" t="str">
        <v/>
      </c>
      <c r="I16" t="str">
        <v/>
      </c>
      <c r="J16" t="str">
        <v>01/10/2026</v>
      </c>
      <c r="K16" t="str">
        <v>05:04:58</v>
      </c>
      <c r="L16">
        <v>-12.214992</v>
      </c>
      <c r="M16">
        <v>-76.922226</v>
      </c>
      <c r="N16">
        <f>HYPERLINK("https://www.google.com/maps/search/?api=1&amp;query=-12.214992,-76.922226","Avenida Pachacútec, Villa El Salvador, Lima")</f>
      </c>
      <c r="O16" t="str">
        <v>Aceleración brusca</v>
      </c>
      <c r="P16" t="str">
        <v>CMT-910</v>
      </c>
      <c r="Q16">
        <v>2171.2</v>
      </c>
      <c r="R16" t="str">
        <v/>
      </c>
      <c r="S16">
        <v>48.5</v>
      </c>
      <c r="T16">
        <v>71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85</v>
      </c>
      <c r="AC16" t="str">
        <v>01/10/2026</v>
      </c>
      <c r="AD16" t="str">
        <v>05:04:55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05:05:36</v>
      </c>
      <c r="AL16" t="str">
        <v>05:05:36</v>
      </c>
      <c r="AM16" t="str">
        <v/>
      </c>
    </row>
    <row r="17">
      <c r="A17">
        <v>16</v>
      </c>
      <c r="B17" t="str">
        <v>MASS BSF</v>
      </c>
      <c r="C17" t="str">
        <v>F3I-769</v>
      </c>
      <c r="D17" t="str">
        <v>F3I-769</v>
      </c>
      <c r="E17" t="str">
        <v/>
      </c>
      <c r="F17" t="str">
        <v>867806075758377</v>
      </c>
      <c r="G17" t="str">
        <v>TBD</v>
      </c>
      <c r="H17" t="str">
        <v/>
      </c>
      <c r="I17" t="str">
        <v/>
      </c>
      <c r="J17" t="str">
        <v>01/10/2026</v>
      </c>
      <c r="K17" t="str">
        <v>05:05:44</v>
      </c>
      <c r="L17">
        <v>-12.220734</v>
      </c>
      <c r="M17">
        <v>-76.920815</v>
      </c>
      <c r="N17">
        <f>HYPERLINK("https://www.google.com/maps/search/?api=1&amp;query=-12.220734,-76.920815","Avenida Pachacútec, Villa El Salvador, Lima")</f>
      </c>
      <c r="O17" t="str">
        <v>Bache</v>
      </c>
      <c r="P17" t="str">
        <v/>
      </c>
      <c r="Q17">
        <v>2171.9</v>
      </c>
      <c r="R17" t="str">
        <v/>
      </c>
      <c r="S17">
        <v>53.7</v>
      </c>
      <c r="T17">
        <v>71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85</v>
      </c>
      <c r="AC17" t="str">
        <v>01/10/2026</v>
      </c>
      <c r="AD17" t="str">
        <v>05:05:41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05:06:02</v>
      </c>
      <c r="AL17" t="str">
        <v>05:06:02</v>
      </c>
      <c r="AM17" t="str">
        <v/>
      </c>
    </row>
    <row r="18">
      <c r="A18">
        <v>17</v>
      </c>
      <c r="B18" t="str">
        <v>MASS BSF</v>
      </c>
      <c r="C18" t="str">
        <v>F3I-769</v>
      </c>
      <c r="D18" t="str">
        <v>F3I-769</v>
      </c>
      <c r="E18" t="str">
        <v/>
      </c>
      <c r="F18" t="str">
        <v>867806075758377</v>
      </c>
      <c r="G18" t="str">
        <v>TBD</v>
      </c>
      <c r="H18" t="str">
        <v/>
      </c>
      <c r="I18" t="str">
        <v/>
      </c>
      <c r="J18" t="str">
        <v>01/10/2026</v>
      </c>
      <c r="K18" t="str">
        <v>05:06:47</v>
      </c>
      <c r="L18">
        <v>-12.225217</v>
      </c>
      <c r="M18">
        <v>-76.922195</v>
      </c>
      <c r="N18">
        <f>HYPERLINK("https://www.google.com/maps/search/?api=1&amp;query=-12.225217,-76.922195","Avenida 200 Millas, Villa El Salvador, Lima")</f>
      </c>
      <c r="O18" t="str">
        <v>Bache</v>
      </c>
      <c r="P18" t="str">
        <v/>
      </c>
      <c r="Q18">
        <v>2172.5</v>
      </c>
      <c r="R18" t="str">
        <v/>
      </c>
      <c r="S18">
        <v>7.5</v>
      </c>
      <c r="T18">
        <v>71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87</v>
      </c>
      <c r="AC18" t="str">
        <v>01/10/2026</v>
      </c>
      <c r="AD18" t="str">
        <v>05:06:44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05:07:19</v>
      </c>
      <c r="AL18" t="str">
        <v>05:07:19</v>
      </c>
      <c r="AM18" t="str">
        <v/>
      </c>
    </row>
    <row r="19">
      <c r="A19">
        <v>18</v>
      </c>
      <c r="B19" t="str">
        <v>MASS BSF</v>
      </c>
      <c r="C19" t="str">
        <v>F3I-769</v>
      </c>
      <c r="D19" t="str">
        <v>F3I-769</v>
      </c>
      <c r="E19" t="str">
        <v/>
      </c>
      <c r="F19" t="str">
        <v>867806075758377</v>
      </c>
      <c r="G19" t="str">
        <v>TBD</v>
      </c>
      <c r="H19" t="str">
        <v/>
      </c>
      <c r="I19" t="str">
        <v/>
      </c>
      <c r="J19" t="str">
        <v>01/10/2026</v>
      </c>
      <c r="K19" t="str">
        <v>05:06:49</v>
      </c>
      <c r="L19">
        <v>-12.225237</v>
      </c>
      <c r="M19">
        <v>-76.92224</v>
      </c>
      <c r="N19">
        <f>HYPERLINK("https://www.google.com/maps/search/?api=1&amp;query=-12.225237,-76.92224","Avenida 200 Millas, Villa El Salvador, Lima")</f>
      </c>
      <c r="O19" t="str">
        <v>Bache</v>
      </c>
      <c r="P19" t="str">
        <v/>
      </c>
      <c r="Q19">
        <v>2172.5</v>
      </c>
      <c r="R19" t="str">
        <v/>
      </c>
      <c r="S19">
        <v>13.1</v>
      </c>
      <c r="T19">
        <v>71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87</v>
      </c>
      <c r="AC19" t="str">
        <v>01/10/2026</v>
      </c>
      <c r="AD19" t="str">
        <v>05:06:46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05:07:23</v>
      </c>
      <c r="AL19" t="str">
        <v>05:07:23</v>
      </c>
      <c r="AM19" t="str">
        <v/>
      </c>
    </row>
    <row r="20">
      <c r="A20">
        <v>19</v>
      </c>
      <c r="B20" t="str">
        <v>MASS BSF</v>
      </c>
      <c r="C20" t="str">
        <v>F3I-769</v>
      </c>
      <c r="D20" t="str">
        <v>F3I-769</v>
      </c>
      <c r="E20" t="str">
        <v/>
      </c>
      <c r="F20" t="str">
        <v>867806075758377</v>
      </c>
      <c r="G20" t="str">
        <v>TBD</v>
      </c>
      <c r="H20" t="str">
        <v/>
      </c>
      <c r="I20" t="str">
        <v/>
      </c>
      <c r="J20" t="str">
        <v>01/10/2026</v>
      </c>
      <c r="K20" t="str">
        <v>05:10:36</v>
      </c>
      <c r="L20">
        <v>-12.240539</v>
      </c>
      <c r="M20">
        <v>-76.91353</v>
      </c>
      <c r="N20">
        <f>HYPERLINK("https://www.google.com/maps/search/?api=1&amp;query=-12.240539,-76.91353","Avenida María Reiche, Villa El Salvador, Lima")</f>
      </c>
      <c r="O20" t="str">
        <v>Frenado y giro brusco</v>
      </c>
      <c r="P20" t="str">
        <v/>
      </c>
      <c r="Q20">
        <v>2174.5</v>
      </c>
      <c r="R20" t="str">
        <v/>
      </c>
      <c r="S20">
        <v>20.3</v>
      </c>
      <c r="T20">
        <v>71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91</v>
      </c>
      <c r="AC20" t="str">
        <v>01/10/2026</v>
      </c>
      <c r="AD20" t="str">
        <v>05:10:33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05:11:29</v>
      </c>
      <c r="AL20" t="str">
        <v>05:11:29</v>
      </c>
      <c r="AM20" t="str">
        <v/>
      </c>
    </row>
    <row r="21">
      <c r="A21">
        <v>20</v>
      </c>
      <c r="B21" t="str">
        <v>MASS BSF</v>
      </c>
      <c r="C21" t="str">
        <v>F3I-769</v>
      </c>
      <c r="D21" t="str">
        <v>F3I-769</v>
      </c>
      <c r="E21" t="str">
        <v/>
      </c>
      <c r="F21" t="str">
        <v>867806075758377</v>
      </c>
      <c r="G21" t="str">
        <v>TBD</v>
      </c>
      <c r="H21" t="str">
        <v/>
      </c>
      <c r="I21" t="str">
        <v/>
      </c>
      <c r="J21" t="str">
        <v>01/10/2026</v>
      </c>
      <c r="K21" t="str">
        <v>05:16:32</v>
      </c>
      <c r="L21">
        <v>-12.254757</v>
      </c>
      <c r="M21">
        <v>-76.915596</v>
      </c>
      <c r="N21">
        <f>HYPERLINK("https://www.google.com/maps/search/?api=1&amp;query=-12.254757,-76.915596","Antigua Panamericana Sur, Lurín, Lima")</f>
      </c>
      <c r="O21" t="str">
        <v>Bache</v>
      </c>
      <c r="P21" t="str">
        <v/>
      </c>
      <c r="Q21">
        <v>2177.6</v>
      </c>
      <c r="R21" t="str">
        <v/>
      </c>
      <c r="S21">
        <v>19</v>
      </c>
      <c r="T21">
        <v>71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85</v>
      </c>
      <c r="AC21" t="str">
        <v>01/10/2026</v>
      </c>
      <c r="AD21" t="str">
        <v>05:16:29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05:16:55</v>
      </c>
      <c r="AL21" t="str">
        <v>05:16:55</v>
      </c>
      <c r="AM21" t="str">
        <v/>
      </c>
    </row>
    <row r="22">
      <c r="A22">
        <v>21</v>
      </c>
      <c r="B22" t="str">
        <v>MASS BSF</v>
      </c>
      <c r="C22" t="str">
        <v>F3I-769</v>
      </c>
      <c r="D22" t="str">
        <v>F3I-769</v>
      </c>
      <c r="E22" t="str">
        <v/>
      </c>
      <c r="F22" t="str">
        <v>867806075758377</v>
      </c>
      <c r="G22" t="str">
        <v>TBD</v>
      </c>
      <c r="H22" t="str">
        <v/>
      </c>
      <c r="I22" t="str">
        <v/>
      </c>
      <c r="J22" t="str">
        <v>01/10/2026</v>
      </c>
      <c r="K22" t="str">
        <v>05:17:52</v>
      </c>
      <c r="L22">
        <v>-12.255154</v>
      </c>
      <c r="M22">
        <v>-76.92099</v>
      </c>
      <c r="N22">
        <f>HYPERLINK("https://www.google.com/maps/search/?api=1&amp;query=-12.255154,-76.92099","Lurín, Lima")</f>
      </c>
      <c r="O22" t="str">
        <v>Bache</v>
      </c>
      <c r="P22" t="str">
        <v/>
      </c>
      <c r="Q22">
        <v>2178.3</v>
      </c>
      <c r="R22" t="str">
        <v/>
      </c>
      <c r="S22">
        <v>28.3</v>
      </c>
      <c r="T22">
        <v>71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85</v>
      </c>
      <c r="AC22" t="str">
        <v>01/10/2026</v>
      </c>
      <c r="AD22" t="str">
        <v>05:17:49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05:18:10</v>
      </c>
      <c r="AL22" t="str">
        <v>05:18:10</v>
      </c>
      <c r="AM22" t="str">
        <v/>
      </c>
    </row>
    <row r="23">
      <c r="A23">
        <v>22</v>
      </c>
      <c r="B23" t="str">
        <v>MASS BSF</v>
      </c>
      <c r="C23" t="str">
        <v>F3I-769</v>
      </c>
      <c r="D23" t="str">
        <v>F3I-769</v>
      </c>
      <c r="E23" t="str">
        <v/>
      </c>
      <c r="F23" t="str">
        <v>867806075758377</v>
      </c>
      <c r="G23" t="str">
        <v>TBD</v>
      </c>
      <c r="H23" t="str">
        <v/>
      </c>
      <c r="I23" t="str">
        <v/>
      </c>
      <c r="J23" t="str">
        <v>01/10/2026</v>
      </c>
      <c r="K23" t="str">
        <v>05:31:24</v>
      </c>
      <c r="L23">
        <v>-12.334907</v>
      </c>
      <c r="M23">
        <v>-76.81912</v>
      </c>
      <c r="N23">
        <f>HYPERLINK("https://www.google.com/maps/search/?api=1&amp;query=-12.334907,-76.81912","Carretera Panamericana Sur, Punta Hermosa, Lima")</f>
      </c>
      <c r="O23" t="str">
        <v>Bache</v>
      </c>
      <c r="P23" t="str">
        <v/>
      </c>
      <c r="Q23">
        <v>2193.3</v>
      </c>
      <c r="R23" t="str">
        <v/>
      </c>
      <c r="S23">
        <v>52</v>
      </c>
      <c r="T23">
        <v>71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91</v>
      </c>
      <c r="AC23" t="str">
        <v>01/10/2026</v>
      </c>
      <c r="AD23" t="str">
        <v>05:31:21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05:31:36</v>
      </c>
      <c r="AL23" t="str">
        <v>05:31:36</v>
      </c>
      <c r="AM23" t="str">
        <v/>
      </c>
    </row>
    <row r="24">
      <c r="A24">
        <v>23</v>
      </c>
      <c r="B24" t="str">
        <v>MASS BSF</v>
      </c>
      <c r="C24" t="str">
        <v>F3I-769</v>
      </c>
      <c r="D24" t="str">
        <v>F3I-769</v>
      </c>
      <c r="E24" t="str">
        <v/>
      </c>
      <c r="F24" t="str">
        <v>867806075758377</v>
      </c>
      <c r="G24" t="str">
        <v>TBD</v>
      </c>
      <c r="H24" t="str">
        <v/>
      </c>
      <c r="I24" t="str">
        <v/>
      </c>
      <c r="J24" t="str">
        <v>01/10/2026</v>
      </c>
      <c r="K24" t="str">
        <v>05:31:57</v>
      </c>
      <c r="L24">
        <v>-12.334857</v>
      </c>
      <c r="M24">
        <v>-76.8198</v>
      </c>
      <c r="N24">
        <f>HYPERLINK("https://www.google.com/maps/search/?api=1&amp;query=-12.334857,-76.8198","Antigua Panamericana Sur, Punta Hermosa, Lima")</f>
      </c>
      <c r="O24" t="str">
        <v>Bache</v>
      </c>
      <c r="P24" t="str">
        <v/>
      </c>
      <c r="Q24">
        <v>2193.6</v>
      </c>
      <c r="R24" t="str">
        <v/>
      </c>
      <c r="S24">
        <v>23.5</v>
      </c>
      <c r="T24">
        <v>71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91</v>
      </c>
      <c r="AC24" t="str">
        <v>01/10/2026</v>
      </c>
      <c r="AD24" t="str">
        <v>05:31:54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05:32:02</v>
      </c>
      <c r="AL24" t="str">
        <v>05:32:02</v>
      </c>
      <c r="AM24" t="str">
        <v/>
      </c>
    </row>
    <row r="25">
      <c r="A25">
        <v>24</v>
      </c>
      <c r="B25" t="str">
        <v>MASS BSF</v>
      </c>
      <c r="C25" t="str">
        <v>F3I-769</v>
      </c>
      <c r="D25" t="str">
        <v>F3I-769</v>
      </c>
      <c r="E25" t="str">
        <v/>
      </c>
      <c r="F25" t="str">
        <v>867806075758377</v>
      </c>
      <c r="G25" t="str">
        <v>TBD</v>
      </c>
      <c r="H25" t="str">
        <v/>
      </c>
      <c r="I25" t="str">
        <v/>
      </c>
      <c r="J25" t="str">
        <v>01/10/2026</v>
      </c>
      <c r="K25" t="str">
        <v>05:34:41</v>
      </c>
      <c r="L25">
        <v>-12.31875</v>
      </c>
      <c r="M25">
        <v>-76.82951</v>
      </c>
      <c r="N25">
        <f>HYPERLINK("https://www.google.com/maps/search/?api=1&amp;query=-12.31875,-76.82951","Carretera Panamericana Sur, Punta Hermosa, Lima")</f>
      </c>
      <c r="O25" t="str">
        <v>Bache</v>
      </c>
      <c r="P25" t="str">
        <v/>
      </c>
      <c r="Q25">
        <v>2195.8</v>
      </c>
      <c r="R25" t="str">
        <v/>
      </c>
      <c r="S25">
        <v>48.3</v>
      </c>
      <c r="T25">
        <v>71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91</v>
      </c>
      <c r="AC25" t="str">
        <v>01/10/2026</v>
      </c>
      <c r="AD25" t="str">
        <v>05:34:37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05:34:49</v>
      </c>
      <c r="AL25" t="str">
        <v>05:34:49</v>
      </c>
      <c r="AM25" t="str">
        <v/>
      </c>
    </row>
    <row r="26">
      <c r="A26">
        <v>25</v>
      </c>
      <c r="B26" t="str">
        <v>MASS BSF</v>
      </c>
      <c r="C26" t="str">
        <v>F3I-769</v>
      </c>
      <c r="D26" t="str">
        <v>F3I-769</v>
      </c>
      <c r="E26" t="str">
        <v/>
      </c>
      <c r="F26" t="str">
        <v>867806075758377</v>
      </c>
      <c r="G26" t="str">
        <v>TBD</v>
      </c>
      <c r="H26" t="str">
        <v/>
      </c>
      <c r="I26" t="str">
        <v/>
      </c>
      <c r="J26" t="str">
        <v>01/10/2026</v>
      </c>
      <c r="K26" t="str">
        <v>05:34:48</v>
      </c>
      <c r="L26">
        <v>-12.318109</v>
      </c>
      <c r="M26">
        <v>-76.8298</v>
      </c>
      <c r="N26">
        <f>HYPERLINK("https://www.google.com/maps/search/?api=1&amp;query=-12.318109,-76.8298","Carretera Panamericana Sur, Punta Hermosa, Lima")</f>
      </c>
      <c r="O26" t="str">
        <v>Acelerado y giro brusco</v>
      </c>
      <c r="P26" t="str">
        <v/>
      </c>
      <c r="Q26">
        <v>2195.9</v>
      </c>
      <c r="R26" t="str">
        <v/>
      </c>
      <c r="S26">
        <v>26.6</v>
      </c>
      <c r="T26">
        <v>71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91</v>
      </c>
      <c r="AC26" t="str">
        <v>01/10/2026</v>
      </c>
      <c r="AD26" t="str">
        <v>05:34:44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05:35:13</v>
      </c>
      <c r="AL26" t="str">
        <v>05:35:13</v>
      </c>
      <c r="AM26" t="str">
        <v/>
      </c>
    </row>
    <row r="27">
      <c r="A27">
        <v>26</v>
      </c>
      <c r="B27" t="str">
        <v>MASS BSF</v>
      </c>
      <c r="C27" t="str">
        <v>F3I-769</v>
      </c>
      <c r="D27" t="str">
        <v>F3I-769</v>
      </c>
      <c r="E27" t="str">
        <v/>
      </c>
      <c r="F27" t="str">
        <v>867806075758377</v>
      </c>
      <c r="G27" t="str">
        <v>TBD</v>
      </c>
      <c r="H27" t="str">
        <v/>
      </c>
      <c r="I27" t="str">
        <v xml:space="preserve"> </v>
      </c>
      <c r="J27" t="str">
        <v>01/10/2026</v>
      </c>
      <c r="K27" t="str">
        <v>05:35:00</v>
      </c>
      <c r="L27">
        <v>-12.31758</v>
      </c>
      <c r="M27">
        <v>-76.82962</v>
      </c>
      <c r="N27">
        <f>HYPERLINK("https://www.google.com/maps/search/?api=1&amp;query=-12.31758,-76.82962","Punta Hermosa, Lima")</f>
      </c>
      <c r="O27" t="str">
        <v>Llegó a la zona</v>
      </c>
      <c r="P27" t="str">
        <v/>
      </c>
      <c r="Q27">
        <v>2195.9</v>
      </c>
      <c r="R27" t="str">
        <v>MASS BSF 1</v>
      </c>
      <c r="S27">
        <v>7.9</v>
      </c>
      <c r="T27">
        <v>71.83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91</v>
      </c>
      <c r="AC27" t="str">
        <v>01/10/2026</v>
      </c>
      <c r="AD27" t="str">
        <v>05:34:57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05:35:09</v>
      </c>
      <c r="AL27" t="str">
        <v>05:35:09</v>
      </c>
      <c r="AM27" t="str">
        <v/>
      </c>
    </row>
    <row r="28">
      <c r="A28">
        <v>27</v>
      </c>
      <c r="B28" t="str">
        <v>MASS BSF</v>
      </c>
      <c r="C28" t="str">
        <v>F3I-769</v>
      </c>
      <c r="D28" t="str">
        <v>F3I-769</v>
      </c>
      <c r="E28" t="str">
        <v/>
      </c>
      <c r="F28" t="str">
        <v>867806075758377</v>
      </c>
      <c r="G28" t="str">
        <v>TBD</v>
      </c>
      <c r="H28" t="str">
        <v/>
      </c>
      <c r="I28" t="str">
        <v/>
      </c>
      <c r="J28" t="str">
        <v>01/10/2026</v>
      </c>
      <c r="K28" t="str">
        <v>05:44:13</v>
      </c>
      <c r="L28">
        <v>-12.31739</v>
      </c>
      <c r="M28">
        <v>-76.82291</v>
      </c>
      <c r="N28">
        <f>HYPERLINK("https://www.google.com/maps/search/?api=1&amp;query=-12.31739,-76.82291","Punta Hermosa, Lima")</f>
      </c>
      <c r="O28" t="str">
        <v>Inicio de ralentí</v>
      </c>
      <c r="P28" t="str">
        <v>Vehículo Detenido</v>
      </c>
      <c r="Q28">
        <v>2197</v>
      </c>
      <c r="R28" t="str">
        <v/>
      </c>
      <c r="S28">
        <v>0</v>
      </c>
      <c r="T28">
        <v>71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88</v>
      </c>
      <c r="AC28" t="str">
        <v>01/10/2026</v>
      </c>
      <c r="AD28" t="str">
        <v>05:44:09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05:44:27</v>
      </c>
      <c r="AL28" t="str">
        <v>05:44:27</v>
      </c>
      <c r="AM28" t="str">
        <v/>
      </c>
    </row>
    <row r="29">
      <c r="A29">
        <v>28</v>
      </c>
      <c r="B29" t="str">
        <v>MASS BSF</v>
      </c>
      <c r="C29" t="str">
        <v>F3I-769</v>
      </c>
      <c r="D29" t="str">
        <v>F3I-769</v>
      </c>
      <c r="E29" t="str">
        <v/>
      </c>
      <c r="F29" t="str">
        <v>867806075758377</v>
      </c>
      <c r="G29" t="str">
        <v>TBD</v>
      </c>
      <c r="H29" t="str">
        <v/>
      </c>
      <c r="I29" t="str">
        <v/>
      </c>
      <c r="J29" t="str">
        <v>01/10/2026</v>
      </c>
      <c r="K29" t="str">
        <v>06:03:52</v>
      </c>
      <c r="L29">
        <v>-12.31742</v>
      </c>
      <c r="M29">
        <v>-76.822914</v>
      </c>
      <c r="N29">
        <f>HYPERLINK("https://www.google.com/maps/search/?api=1&amp;query=-12.31742,-76.822914","Punta Hermosa, Lima")</f>
      </c>
      <c r="O29" t="str">
        <v>Fin de ralentí</v>
      </c>
      <c r="P29" t="str">
        <v/>
      </c>
      <c r="Q29">
        <v>2197</v>
      </c>
      <c r="R29" t="str">
        <v/>
      </c>
      <c r="S29">
        <v>5.9</v>
      </c>
      <c r="T29">
        <v>71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87</v>
      </c>
      <c r="AC29" t="str">
        <v>01/10/2026</v>
      </c>
      <c r="AD29" t="str">
        <v>06:03:49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06:04:10</v>
      </c>
      <c r="AL29" t="str">
        <v>06:04:10</v>
      </c>
      <c r="AM29" t="str">
        <v/>
      </c>
    </row>
    <row r="30">
      <c r="A30">
        <v>29</v>
      </c>
      <c r="B30" t="str">
        <v>MASS BSF</v>
      </c>
      <c r="C30" t="str">
        <v>F3I-769</v>
      </c>
      <c r="D30" t="str">
        <v>F3I-769</v>
      </c>
      <c r="E30" t="str">
        <v/>
      </c>
      <c r="F30" t="str">
        <v>867806075758377</v>
      </c>
      <c r="G30" t="str">
        <v>TBD</v>
      </c>
      <c r="H30" t="str">
        <v/>
      </c>
      <c r="I30" t="str">
        <v/>
      </c>
      <c r="J30" t="str">
        <v>01/10/2026</v>
      </c>
      <c r="K30" t="str">
        <v>06:03:58</v>
      </c>
      <c r="L30">
        <v>-12.317493</v>
      </c>
      <c r="M30">
        <v>-76.82288</v>
      </c>
      <c r="N30">
        <f>HYPERLINK("https://www.google.com/maps/search/?api=1&amp;query=-12.317493,-76.82288","Punta Hermosa, Lima")</f>
      </c>
      <c r="O30" t="str">
        <v>Se movio</v>
      </c>
      <c r="P30" t="str">
        <v/>
      </c>
      <c r="Q30">
        <v>2197</v>
      </c>
      <c r="R30" t="str">
        <v/>
      </c>
      <c r="S30">
        <v>4.6</v>
      </c>
      <c r="T30">
        <v>71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87</v>
      </c>
      <c r="AC30" t="str">
        <v>01/10/2026</v>
      </c>
      <c r="AD30" t="str">
        <v>06:03:55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06:04:19</v>
      </c>
      <c r="AL30" t="str">
        <v>06:04:19</v>
      </c>
      <c r="AM30" t="str">
        <v/>
      </c>
    </row>
    <row r="31">
      <c r="A31">
        <v>30</v>
      </c>
      <c r="B31" t="str">
        <v>MASS BSF</v>
      </c>
      <c r="C31" t="str">
        <v>F3I-769</v>
      </c>
      <c r="D31" t="str">
        <v>F3I-769</v>
      </c>
      <c r="E31" t="str">
        <v/>
      </c>
      <c r="F31" t="str">
        <v>867806075758377</v>
      </c>
      <c r="G31" t="str">
        <v>TBD</v>
      </c>
      <c r="H31" t="str">
        <v/>
      </c>
      <c r="I31" t="str">
        <v/>
      </c>
      <c r="J31" t="str">
        <v>01/10/2026</v>
      </c>
      <c r="K31" t="str">
        <v>06:04:43</v>
      </c>
      <c r="L31">
        <v>-12.3184</v>
      </c>
      <c r="M31">
        <v>-76.82368</v>
      </c>
      <c r="N31">
        <f>HYPERLINK("https://www.google.com/maps/search/?api=1&amp;query=-12.3184,-76.82368","Punta Hermosa, Lima")</f>
      </c>
      <c r="O31" t="str">
        <v>Aceleración brusca</v>
      </c>
      <c r="P31" t="str">
        <v>CMT-910</v>
      </c>
      <c r="Q31">
        <v>2197.2</v>
      </c>
      <c r="R31" t="str">
        <v/>
      </c>
      <c r="S31">
        <v>11.6</v>
      </c>
      <c r="T31">
        <v>71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91</v>
      </c>
      <c r="AC31" t="str">
        <v>01/10/2026</v>
      </c>
      <c r="AD31" t="str">
        <v>06:04:40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06:05:16</v>
      </c>
      <c r="AL31" t="str">
        <v>06:05:16</v>
      </c>
      <c r="AM31" t="str">
        <v/>
      </c>
    </row>
    <row r="32">
      <c r="A32">
        <v>31</v>
      </c>
      <c r="B32" t="str">
        <v>MASS BSF</v>
      </c>
      <c r="C32" t="str">
        <v>F3I-769</v>
      </c>
      <c r="D32" t="str">
        <v>F3I-769</v>
      </c>
      <c r="E32" t="str">
        <v/>
      </c>
      <c r="F32" t="str">
        <v>867806075758377</v>
      </c>
      <c r="G32" t="str">
        <v>TBD</v>
      </c>
      <c r="H32" t="str">
        <v/>
      </c>
      <c r="I32" t="str">
        <v/>
      </c>
      <c r="J32" t="str">
        <v>01/10/2026</v>
      </c>
      <c r="K32" t="str">
        <v>06:05:10</v>
      </c>
      <c r="L32">
        <v>-12.317647</v>
      </c>
      <c r="M32">
        <v>-76.82425</v>
      </c>
      <c r="N32">
        <f>HYPERLINK("https://www.google.com/maps/search/?api=1&amp;query=-12.317647,-76.82425","Punta Hermosa, Lima")</f>
      </c>
      <c r="O32" t="str">
        <v>Acelerado y giro brusco</v>
      </c>
      <c r="P32" t="str">
        <v/>
      </c>
      <c r="Q32">
        <v>2197.3</v>
      </c>
      <c r="R32" t="str">
        <v/>
      </c>
      <c r="S32">
        <v>7</v>
      </c>
      <c r="T32">
        <v>71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91</v>
      </c>
      <c r="AC32" t="str">
        <v>01/10/2026</v>
      </c>
      <c r="AD32" t="str">
        <v>06:05:07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06:05:25</v>
      </c>
      <c r="AL32" t="str">
        <v>06:05:25</v>
      </c>
      <c r="AM32" t="str">
        <v/>
      </c>
    </row>
    <row r="33">
      <c r="A33">
        <v>32</v>
      </c>
      <c r="B33" t="str">
        <v>MASS BSF</v>
      </c>
      <c r="C33" t="str">
        <v>F3I-769</v>
      </c>
      <c r="D33" t="str">
        <v>F3I-769</v>
      </c>
      <c r="E33" t="str">
        <v/>
      </c>
      <c r="F33" t="str">
        <v>867806075758377</v>
      </c>
      <c r="G33" t="str">
        <v>TBD</v>
      </c>
      <c r="H33" t="str">
        <v/>
      </c>
      <c r="I33" t="str">
        <v/>
      </c>
      <c r="J33" t="str">
        <v>01/10/2026</v>
      </c>
      <c r="K33" t="str">
        <v>06:06:02</v>
      </c>
      <c r="L33">
        <v>-12.317674</v>
      </c>
      <c r="M33">
        <v>-76.82426</v>
      </c>
      <c r="N33">
        <f>HYPERLINK("https://www.google.com/maps/search/?api=1&amp;query=-12.317674,-76.82426","Punta Hermosa, Lima")</f>
      </c>
      <c r="O33" t="str">
        <v>Vehículo apagado</v>
      </c>
      <c r="P33" t="str">
        <v>Vehículo Apagado</v>
      </c>
      <c r="Q33">
        <v>2197.3</v>
      </c>
      <c r="R33" t="str">
        <v/>
      </c>
      <c r="S33">
        <v>0</v>
      </c>
      <c r="T33">
        <v>72.45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91</v>
      </c>
      <c r="AC33" t="str">
        <v>01/10/2026</v>
      </c>
      <c r="AD33" t="str">
        <v>06:05:58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06:06:04</v>
      </c>
      <c r="AL33" t="str">
        <v>06:06:04</v>
      </c>
      <c r="AM33" t="str">
        <v/>
      </c>
    </row>
    <row r="34">
      <c r="A34">
        <v>33</v>
      </c>
      <c r="B34" t="str">
        <v>MASS BSF</v>
      </c>
      <c r="C34" t="str">
        <v>F3I-769</v>
      </c>
      <c r="D34" t="str">
        <v>F3I-769</v>
      </c>
      <c r="E34" t="str">
        <v/>
      </c>
      <c r="F34" t="str">
        <v>867806075758377</v>
      </c>
      <c r="G34" t="str">
        <v>TBD</v>
      </c>
      <c r="H34" t="str">
        <v/>
      </c>
      <c r="I34" t="str">
        <v/>
      </c>
      <c r="J34" t="str">
        <v>01/10/2026</v>
      </c>
      <c r="K34" t="str">
        <v>06:30:22</v>
      </c>
      <c r="L34">
        <v>-12.317674</v>
      </c>
      <c r="M34">
        <v>-76.82426</v>
      </c>
      <c r="N34">
        <f>HYPERLINK("https://www.google.com/maps/search/?api=1&amp;query=-12.317674,-76.82426","Punta Hermosa, Lima")</f>
      </c>
      <c r="O34" t="str">
        <v>Vehículo encendido</v>
      </c>
      <c r="P34" t="str">
        <v/>
      </c>
      <c r="Q34">
        <v>2197.3</v>
      </c>
      <c r="R34" t="str">
        <v/>
      </c>
      <c r="S34">
        <v>0</v>
      </c>
      <c r="T34">
        <v>72.45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91</v>
      </c>
      <c r="AC34" t="str">
        <v>01/10/2026</v>
      </c>
      <c r="AD34" t="str">
        <v>06:30:18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06:30:37</v>
      </c>
      <c r="AL34" t="str">
        <v>06:30:37</v>
      </c>
      <c r="AM34" t="str">
        <v/>
      </c>
    </row>
    <row r="35">
      <c r="A35">
        <v>34</v>
      </c>
      <c r="B35" t="str">
        <v>MASS BSF</v>
      </c>
      <c r="C35" t="str">
        <v>F3I-769</v>
      </c>
      <c r="D35" t="str">
        <v>F3I-769</v>
      </c>
      <c r="E35" t="str">
        <v/>
      </c>
      <c r="F35" t="str">
        <v>867806075758377</v>
      </c>
      <c r="G35" t="str">
        <v>TBD</v>
      </c>
      <c r="H35" t="str">
        <v/>
      </c>
      <c r="I35" t="str">
        <v/>
      </c>
      <c r="J35" t="str">
        <v>01/10/2026</v>
      </c>
      <c r="K35" t="str">
        <v>06:31:13</v>
      </c>
      <c r="L35">
        <v>-12.317942</v>
      </c>
      <c r="M35">
        <v>-76.82424</v>
      </c>
      <c r="N35">
        <f>HYPERLINK("https://www.google.com/maps/search/?api=1&amp;query=-12.317942,-76.82424","Punta Hermosa, Lima")</f>
      </c>
      <c r="O35" t="str">
        <v>Se movio</v>
      </c>
      <c r="P35" t="str">
        <v/>
      </c>
      <c r="Q35">
        <v>2197.3</v>
      </c>
      <c r="R35" t="str">
        <v/>
      </c>
      <c r="S35">
        <v>0</v>
      </c>
      <c r="T35">
        <v>72.45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01/10/2026</v>
      </c>
      <c r="AD35" t="str">
        <v>06:31:10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06:31:49</v>
      </c>
      <c r="AL35" t="str">
        <v>06:31:49</v>
      </c>
      <c r="AM35" t="str">
        <v/>
      </c>
    </row>
    <row r="36">
      <c r="A36">
        <v>35</v>
      </c>
      <c r="B36" t="str">
        <v>MASS BSF</v>
      </c>
      <c r="C36" t="str">
        <v>F3I-769</v>
      </c>
      <c r="D36" t="str">
        <v>F3I-769</v>
      </c>
      <c r="E36" t="str">
        <v/>
      </c>
      <c r="F36" t="str">
        <v>867806075758377</v>
      </c>
      <c r="G36" t="str">
        <v>TBD</v>
      </c>
      <c r="H36" t="str">
        <v/>
      </c>
      <c r="I36" t="str">
        <v/>
      </c>
      <c r="J36" t="str">
        <v>01/10/2026</v>
      </c>
      <c r="K36" t="str">
        <v>06:34:05</v>
      </c>
      <c r="L36">
        <v>-12.31786</v>
      </c>
      <c r="M36">
        <v>-76.824196</v>
      </c>
      <c r="N36">
        <f>HYPERLINK("https://www.google.com/maps/search/?api=1&amp;query=-12.31786,-76.824196","Punta Hermosa, Lima")</f>
      </c>
      <c r="O36" t="str">
        <v>Inicio de ralentí</v>
      </c>
      <c r="P36" t="str">
        <v>Vehículo Detenido</v>
      </c>
      <c r="Q36">
        <v>2197.4</v>
      </c>
      <c r="R36" t="str">
        <v/>
      </c>
      <c r="S36">
        <v>0</v>
      </c>
      <c r="T36">
        <v>72.45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90</v>
      </c>
      <c r="AC36" t="str">
        <v>01/10/2026</v>
      </c>
      <c r="AD36" t="str">
        <v>06:34:01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06:34:08</v>
      </c>
      <c r="AL36" t="str">
        <v>06:34:08</v>
      </c>
      <c r="AM36" t="str">
        <v/>
      </c>
    </row>
    <row r="37">
      <c r="A37">
        <v>36</v>
      </c>
      <c r="B37" t="str">
        <v>MASS BSF</v>
      </c>
      <c r="C37" t="str">
        <v>F3I-769</v>
      </c>
      <c r="D37" t="str">
        <v>F3I-769</v>
      </c>
      <c r="E37" t="str">
        <v/>
      </c>
      <c r="F37" t="str">
        <v>867806075758377</v>
      </c>
      <c r="G37" t="str">
        <v>TBD</v>
      </c>
      <c r="H37" t="str">
        <v/>
      </c>
      <c r="I37" t="str">
        <v/>
      </c>
      <c r="J37" t="str">
        <v>01/10/2026</v>
      </c>
      <c r="K37" t="str">
        <v>06:34:16</v>
      </c>
      <c r="L37">
        <v>-12.31786</v>
      </c>
      <c r="M37">
        <v>-76.824196</v>
      </c>
      <c r="N37">
        <f>HYPERLINK("https://www.google.com/maps/search/?api=1&amp;query=-12.31786,-76.824196","Punta Hermosa, Lima")</f>
      </c>
      <c r="O37" t="str">
        <v>Vehículo apagado</v>
      </c>
      <c r="P37" t="str">
        <v>Vehículo Apagado</v>
      </c>
      <c r="Q37">
        <v>2197.4</v>
      </c>
      <c r="R37" t="str">
        <v/>
      </c>
      <c r="S37">
        <v>0</v>
      </c>
      <c r="T37">
        <v>72.52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01/10/2026</v>
      </c>
      <c r="AD37" t="str">
        <v>06:34:13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06:34:22</v>
      </c>
      <c r="AL37" t="str">
        <v>06:34:22</v>
      </c>
      <c r="AM37" t="str">
        <v/>
      </c>
    </row>
    <row r="38">
      <c r="A38">
        <v>37</v>
      </c>
      <c r="B38" t="str">
        <v>MASS BSF</v>
      </c>
      <c r="C38" t="str">
        <v>F3I-769</v>
      </c>
      <c r="D38" t="str">
        <v>F3I-769</v>
      </c>
      <c r="E38" t="str">
        <v/>
      </c>
      <c r="F38" t="str">
        <v>867806075758377</v>
      </c>
      <c r="G38" t="str">
        <v>TBD</v>
      </c>
      <c r="H38" t="str">
        <v/>
      </c>
      <c r="I38" t="str">
        <v/>
      </c>
      <c r="J38" t="str">
        <v>01/10/2026</v>
      </c>
      <c r="K38" t="str">
        <v>06:34:16</v>
      </c>
      <c r="L38">
        <v>-12.31786</v>
      </c>
      <c r="M38">
        <v>-76.824196</v>
      </c>
      <c r="N38">
        <f>HYPERLINK("https://www.google.com/maps/search/?api=1&amp;query=-12.31786,-76.824196","Punta Hermosa, Lima")</f>
      </c>
      <c r="O38" t="str">
        <v>Fin de ralentí</v>
      </c>
      <c r="P38" t="str">
        <v/>
      </c>
      <c r="Q38">
        <v>2197.4</v>
      </c>
      <c r="R38" t="str">
        <v/>
      </c>
      <c r="S38">
        <v>0</v>
      </c>
      <c r="T38">
        <v>72.52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01/10/2026</v>
      </c>
      <c r="AD38" t="str">
        <v>06:34:13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06:34:34</v>
      </c>
      <c r="AL38" t="str">
        <v>06:34:34</v>
      </c>
      <c r="AM38" t="str">
        <v/>
      </c>
    </row>
    <row r="39">
      <c r="A39">
        <v>38</v>
      </c>
      <c r="B39" t="str">
        <v>MASS BSF</v>
      </c>
      <c r="C39" t="str">
        <v>F3I-769</v>
      </c>
      <c r="D39" t="str">
        <v>F3I-769</v>
      </c>
      <c r="E39" t="str">
        <v/>
      </c>
      <c r="F39" t="str">
        <v>867806075758377</v>
      </c>
      <c r="G39" t="str">
        <v>TBD</v>
      </c>
      <c r="H39" t="str">
        <v/>
      </c>
      <c r="I39" t="str">
        <v/>
      </c>
      <c r="J39" t="str">
        <v>01/10/2026</v>
      </c>
      <c r="K39" t="str">
        <v>07:09:14</v>
      </c>
      <c r="L39">
        <v>-12.317932</v>
      </c>
      <c r="M39">
        <v>-76.824165</v>
      </c>
      <c r="N39">
        <f>HYPERLINK("https://www.google.com/maps/search/?api=1&amp;query=-12.317932,-76.824165","Punta Hermosa, Lima")</f>
      </c>
      <c r="O39" t="str">
        <v>Vehículo encendido</v>
      </c>
      <c r="P39" t="str">
        <v/>
      </c>
      <c r="Q39">
        <v>2197.4</v>
      </c>
      <c r="R39" t="str">
        <v/>
      </c>
      <c r="S39">
        <v>0</v>
      </c>
      <c r="T39">
        <v>72.52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85</v>
      </c>
      <c r="AC39" t="str">
        <v>01/10/2026</v>
      </c>
      <c r="AD39" t="str">
        <v>07:09:10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07:09:20</v>
      </c>
      <c r="AL39" t="str">
        <v>07:09:20</v>
      </c>
      <c r="AM39" t="str">
        <v/>
      </c>
    </row>
    <row r="40">
      <c r="A40">
        <v>39</v>
      </c>
      <c r="B40" t="str">
        <v>MASS BSF</v>
      </c>
      <c r="C40" t="str">
        <v>F3I-769</v>
      </c>
      <c r="D40" t="str">
        <v>F3I-769</v>
      </c>
      <c r="E40" t="str">
        <v/>
      </c>
      <c r="F40" t="str">
        <v>867806075758377</v>
      </c>
      <c r="G40" t="str">
        <v>TBD</v>
      </c>
      <c r="H40" t="str">
        <v/>
      </c>
      <c r="I40" t="str">
        <v/>
      </c>
      <c r="J40" t="str">
        <v>01/10/2026</v>
      </c>
      <c r="K40" t="str">
        <v>07:09:38</v>
      </c>
      <c r="L40">
        <v>-12.317951</v>
      </c>
      <c r="M40">
        <v>-76.82423</v>
      </c>
      <c r="N40">
        <f>HYPERLINK("https://www.google.com/maps/search/?api=1&amp;query=-12.317951,-76.82423","Punta Hermosa, Lima")</f>
      </c>
      <c r="O40" t="str">
        <v>Se movio</v>
      </c>
      <c r="P40" t="str">
        <v/>
      </c>
      <c r="Q40">
        <v>2197.4</v>
      </c>
      <c r="R40" t="str">
        <v/>
      </c>
      <c r="S40">
        <v>5.9</v>
      </c>
      <c r="T40">
        <v>72.52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85</v>
      </c>
      <c r="AC40" t="str">
        <v>01/10/2026</v>
      </c>
      <c r="AD40" t="str">
        <v>07:09:35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07:09:44</v>
      </c>
      <c r="AL40" t="str">
        <v>07:09:44</v>
      </c>
      <c r="AM40" t="str">
        <v/>
      </c>
    </row>
    <row r="41">
      <c r="A41">
        <v>40</v>
      </c>
      <c r="B41" t="str">
        <v>MASS BSF</v>
      </c>
      <c r="C41" t="str">
        <v>F3I-769</v>
      </c>
      <c r="D41" t="str">
        <v>F3I-769</v>
      </c>
      <c r="E41" t="str">
        <v/>
      </c>
      <c r="F41" t="str">
        <v>867806075758377</v>
      </c>
      <c r="G41" t="str">
        <v>TBD</v>
      </c>
      <c r="H41" t="str">
        <v/>
      </c>
      <c r="I41" t="str">
        <v xml:space="preserve"> </v>
      </c>
      <c r="J41" t="str">
        <v>01/10/2026</v>
      </c>
      <c r="K41" t="str">
        <v>07:12:56</v>
      </c>
      <c r="L41">
        <v>-12.31756</v>
      </c>
      <c r="M41">
        <v>-76.829735</v>
      </c>
      <c r="N41">
        <f>HYPERLINK("https://www.google.com/maps/search/?api=1&amp;query=-12.31756,-76.829735","Punta Hermosa, Lima")</f>
      </c>
      <c r="O41" t="str">
        <v>Llegó a la zona</v>
      </c>
      <c r="P41" t="str">
        <v/>
      </c>
      <c r="Q41">
        <v>2198.2</v>
      </c>
      <c r="R41" t="str">
        <v>MASS BSF 1</v>
      </c>
      <c r="S41">
        <v>18.7</v>
      </c>
      <c r="T41">
        <v>71.93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84</v>
      </c>
      <c r="AC41" t="str">
        <v>01/10/2026</v>
      </c>
      <c r="AD41" t="str">
        <v>07:12:53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07:13:18</v>
      </c>
      <c r="AL41" t="str">
        <v>07:13:18</v>
      </c>
      <c r="AM41" t="str">
        <v/>
      </c>
    </row>
    <row r="42">
      <c r="A42">
        <v>41</v>
      </c>
      <c r="B42" t="str">
        <v>MASS BSF</v>
      </c>
      <c r="C42" t="str">
        <v>F3I-769</v>
      </c>
      <c r="D42" t="str">
        <v>F3I-769</v>
      </c>
      <c r="E42" t="str">
        <v/>
      </c>
      <c r="F42" t="str">
        <v>867806075758377</v>
      </c>
      <c r="G42" t="str">
        <v>TBD</v>
      </c>
      <c r="H42" t="str">
        <v/>
      </c>
      <c r="I42" t="str">
        <v xml:space="preserve"> </v>
      </c>
      <c r="J42" t="str">
        <v>01/10/2026</v>
      </c>
      <c r="K42" t="str">
        <v>07:13:01</v>
      </c>
      <c r="L42">
        <v>-12.31754</v>
      </c>
      <c r="M42">
        <v>-76.83004</v>
      </c>
      <c r="N42">
        <f>HYPERLINK("https://www.google.com/maps/search/?api=1&amp;query=-12.31754,-76.83004","Punta Hermosa, Lima")</f>
      </c>
      <c r="O42" t="str">
        <v>Salió de zona</v>
      </c>
      <c r="P42" t="str">
        <v/>
      </c>
      <c r="Q42">
        <v>2198.2</v>
      </c>
      <c r="R42" t="str">
        <v>MASS BSF 1</v>
      </c>
      <c r="S42">
        <v>25.9</v>
      </c>
      <c r="T42">
        <v>71.93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91</v>
      </c>
      <c r="AC42" t="str">
        <v>01/10/2026</v>
      </c>
      <c r="AD42" t="str">
        <v>07:12:58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07:13:08</v>
      </c>
      <c r="AL42" t="str">
        <v>07:13:08</v>
      </c>
      <c r="AM42" t="str">
        <v/>
      </c>
    </row>
    <row r="43">
      <c r="A43">
        <v>42</v>
      </c>
      <c r="B43" t="str">
        <v>MASS BSF</v>
      </c>
      <c r="C43" t="str">
        <v>F3I-769</v>
      </c>
      <c r="D43" t="str">
        <v>F3I-769</v>
      </c>
      <c r="E43" t="str">
        <v/>
      </c>
      <c r="F43" t="str">
        <v>867806075758377</v>
      </c>
      <c r="G43" t="str">
        <v>TBD</v>
      </c>
      <c r="H43" t="str">
        <v/>
      </c>
      <c r="I43" t="str">
        <v xml:space="preserve"> </v>
      </c>
      <c r="J43" t="str">
        <v>01/10/2026</v>
      </c>
      <c r="K43" t="str">
        <v>07:13:06</v>
      </c>
      <c r="L43">
        <v>-12.317333</v>
      </c>
      <c r="M43">
        <v>-76.830345</v>
      </c>
      <c r="N43">
        <f>HYPERLINK("https://www.google.com/maps/search/?api=1&amp;query=-12.317333,-76.830345","Carretera Panamericana Sur, Punta Hermosa, Lima")</f>
      </c>
      <c r="O43" t="str">
        <v>Salió de zona</v>
      </c>
      <c r="P43" t="str">
        <v/>
      </c>
      <c r="Q43">
        <v>2198.2</v>
      </c>
      <c r="R43" t="str">
        <v>MASS BSF 1</v>
      </c>
      <c r="S43">
        <v>31.1</v>
      </c>
      <c r="T43">
        <v>71.93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84</v>
      </c>
      <c r="AC43" t="str">
        <v>01/10/2026</v>
      </c>
      <c r="AD43" t="str">
        <v>07:13:03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07:13:16</v>
      </c>
      <c r="AL43" t="str">
        <v>07:13:16</v>
      </c>
      <c r="AM43" t="str">
        <v/>
      </c>
    </row>
    <row r="44">
      <c r="A44">
        <v>43</v>
      </c>
      <c r="B44" t="str">
        <v>MASS BSF</v>
      </c>
      <c r="C44" t="str">
        <v>F3I-769</v>
      </c>
      <c r="D44" t="str">
        <v>F3I-769</v>
      </c>
      <c r="E44" t="str">
        <v/>
      </c>
      <c r="F44" t="str">
        <v>867806075758377</v>
      </c>
      <c r="G44" t="str">
        <v>TBD</v>
      </c>
      <c r="H44" t="str">
        <v/>
      </c>
      <c r="I44" t="str">
        <v/>
      </c>
      <c r="J44" t="str">
        <v>01/10/2026</v>
      </c>
      <c r="K44" t="str">
        <v>07:22:35</v>
      </c>
      <c r="L44">
        <v>-12.253815</v>
      </c>
      <c r="M44">
        <v>-76.92308</v>
      </c>
      <c r="N44">
        <f>HYPERLINK("https://www.google.com/maps/search/?api=1&amp;query=-12.253815,-76.92308","Antigua Panamericana Sur, Lurín, Lima")</f>
      </c>
      <c r="O44" t="str">
        <v>Acelerado y giro brusco</v>
      </c>
      <c r="P44" t="str">
        <v/>
      </c>
      <c r="Q44">
        <v>2210.8</v>
      </c>
      <c r="R44" t="str">
        <v/>
      </c>
      <c r="S44">
        <v>19.8</v>
      </c>
      <c r="T44">
        <v>72.52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84</v>
      </c>
      <c r="AC44" t="str">
        <v>01/10/2026</v>
      </c>
      <c r="AD44" t="str">
        <v>07:22:31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07:22:46</v>
      </c>
      <c r="AL44" t="str">
        <v>07:22:46</v>
      </c>
      <c r="AM44" t="str">
        <v/>
      </c>
    </row>
    <row r="45">
      <c r="A45">
        <v>44</v>
      </c>
      <c r="B45" t="str">
        <v>MASS BSF</v>
      </c>
      <c r="C45" t="str">
        <v>F3I-769</v>
      </c>
      <c r="D45" t="str">
        <v>F3I-769</v>
      </c>
      <c r="E45" t="str">
        <v/>
      </c>
      <c r="F45" t="str">
        <v>867806075758377</v>
      </c>
      <c r="G45" t="str">
        <v>TBD</v>
      </c>
      <c r="H45" t="str">
        <v/>
      </c>
      <c r="I45" t="str">
        <v/>
      </c>
      <c r="J45" t="str">
        <v>01/10/2026</v>
      </c>
      <c r="K45" t="str">
        <v>07:23:48</v>
      </c>
      <c r="L45">
        <v>-12.250033</v>
      </c>
      <c r="M45">
        <v>-76.9305</v>
      </c>
      <c r="N45">
        <f>HYPERLINK("https://www.google.com/maps/search/?api=1&amp;query=-12.250033,-76.9305","Antigua Panamericana Sur, Villa El Salvador, Lima")</f>
      </c>
      <c r="O45" t="str">
        <v>Aceleración brusca</v>
      </c>
      <c r="P45" t="str">
        <v>CMT-910</v>
      </c>
      <c r="Q45">
        <v>2211.8</v>
      </c>
      <c r="R45" t="str">
        <v/>
      </c>
      <c r="S45">
        <v>5</v>
      </c>
      <c r="T45">
        <v>72.52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85</v>
      </c>
      <c r="AC45" t="str">
        <v>01/10/2026</v>
      </c>
      <c r="AD45" t="str">
        <v>07:23:44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07:24:04</v>
      </c>
      <c r="AL45" t="str">
        <v>07:24:04</v>
      </c>
      <c r="AM45" t="str">
        <v/>
      </c>
    </row>
    <row r="46">
      <c r="A46">
        <v>45</v>
      </c>
      <c r="B46" t="str">
        <v>MASS BSF</v>
      </c>
      <c r="C46" t="str">
        <v>F3I-769</v>
      </c>
      <c r="D46" t="str">
        <v>F3I-769</v>
      </c>
      <c r="E46" t="str">
        <v/>
      </c>
      <c r="F46" t="str">
        <v>867806075758377</v>
      </c>
      <c r="G46" t="str">
        <v>TBD</v>
      </c>
      <c r="H46" t="str">
        <v/>
      </c>
      <c r="I46" t="str">
        <v/>
      </c>
      <c r="J46" t="str">
        <v>01/10/2026</v>
      </c>
      <c r="K46" t="str">
        <v>07:25:09</v>
      </c>
      <c r="L46">
        <v>-12.246168</v>
      </c>
      <c r="M46">
        <v>-76.93605</v>
      </c>
      <c r="N46">
        <f>HYPERLINK("https://www.google.com/maps/search/?api=1&amp;query=-12.246168,-76.93605","Antigua Panamericana Sur, Villa El Salvador, Lima")</f>
      </c>
      <c r="O46" t="str">
        <v>Aceleración brusca</v>
      </c>
      <c r="P46" t="str">
        <v>CMT-910</v>
      </c>
      <c r="Q46">
        <v>2212.5</v>
      </c>
      <c r="R46" t="str">
        <v/>
      </c>
      <c r="S46">
        <v>18.8</v>
      </c>
      <c r="T46">
        <v>72.52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85</v>
      </c>
      <c r="AC46" t="str">
        <v>01/10/2026</v>
      </c>
      <c r="AD46" t="str">
        <v>07:25:06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07:25:34</v>
      </c>
      <c r="AL46" t="str">
        <v>07:25:34</v>
      </c>
      <c r="AM46" t="str">
        <v/>
      </c>
    </row>
    <row r="47">
      <c r="A47">
        <v>46</v>
      </c>
      <c r="B47" t="str">
        <v>MASS BSF</v>
      </c>
      <c r="C47" t="str">
        <v>F3I-769</v>
      </c>
      <c r="D47" t="str">
        <v>F3I-769</v>
      </c>
      <c r="E47" t="str">
        <v/>
      </c>
      <c r="F47" t="str">
        <v>867806075758377</v>
      </c>
      <c r="G47" t="str">
        <v>TBD</v>
      </c>
      <c r="H47" t="str">
        <v/>
      </c>
      <c r="I47" t="str">
        <v/>
      </c>
      <c r="J47" t="str">
        <v>01/10/2026</v>
      </c>
      <c r="K47" t="str">
        <v>07:26:08</v>
      </c>
      <c r="L47">
        <v>-12.243195</v>
      </c>
      <c r="M47">
        <v>-76.94177</v>
      </c>
      <c r="N47">
        <f>HYPERLINK("https://www.google.com/maps/search/?api=1&amp;query=-12.243195,-76.94177","Antigua Panamericana Sur, Villa El Salvador, Lima")</f>
      </c>
      <c r="O47" t="str">
        <v>Bache</v>
      </c>
      <c r="P47" t="str">
        <v/>
      </c>
      <c r="Q47">
        <v>2213.2</v>
      </c>
      <c r="R47" t="str">
        <v/>
      </c>
      <c r="S47">
        <v>13.5</v>
      </c>
      <c r="T47">
        <v>72.52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85</v>
      </c>
      <c r="AC47" t="str">
        <v>01/10/2026</v>
      </c>
      <c r="AD47" t="str">
        <v>07:26:05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07:26:23</v>
      </c>
      <c r="AL47" t="str">
        <v>07:26:23</v>
      </c>
      <c r="AM47" t="str">
        <v/>
      </c>
    </row>
    <row r="48">
      <c r="A48">
        <v>47</v>
      </c>
      <c r="B48" t="str">
        <v>MASS BSF</v>
      </c>
      <c r="C48" t="str">
        <v>F3I-769</v>
      </c>
      <c r="D48" t="str">
        <v>F3I-769</v>
      </c>
      <c r="E48" t="str">
        <v/>
      </c>
      <c r="F48" t="str">
        <v>867806075758377</v>
      </c>
      <c r="G48" t="str">
        <v>TBD</v>
      </c>
      <c r="H48" t="str">
        <v/>
      </c>
      <c r="I48" t="str">
        <v/>
      </c>
      <c r="J48" t="str">
        <v>01/10/2026</v>
      </c>
      <c r="K48" t="str">
        <v>07:47:02</v>
      </c>
      <c r="L48">
        <v>-12.196268</v>
      </c>
      <c r="M48">
        <v>-76.933784</v>
      </c>
      <c r="N48">
        <f>HYPERLINK("https://www.google.com/maps/search/?api=1&amp;query=-12.196268,-76.933784","Avenida Pachacútec, Villa María del Triunfo, Lima")</f>
      </c>
      <c r="O48" t="str">
        <v>Aceleración brusca</v>
      </c>
      <c r="P48" t="str">
        <v>CMT-910</v>
      </c>
      <c r="Q48">
        <v>2222.8</v>
      </c>
      <c r="R48" t="str">
        <v/>
      </c>
      <c r="S48">
        <v>17</v>
      </c>
      <c r="T48">
        <v>72.52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90</v>
      </c>
      <c r="AC48" t="str">
        <v>01/10/2026</v>
      </c>
      <c r="AD48" t="str">
        <v>07:46:58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07:47:26</v>
      </c>
      <c r="AL48" t="str">
        <v>07:47:26</v>
      </c>
      <c r="AM48" t="str">
        <v/>
      </c>
    </row>
    <row r="49">
      <c r="A49">
        <v>48</v>
      </c>
      <c r="B49" t="str">
        <v>MASS BSF</v>
      </c>
      <c r="C49" t="str">
        <v>F3I-769</v>
      </c>
      <c r="D49" t="str">
        <v>F3I-769</v>
      </c>
      <c r="E49" t="str">
        <v/>
      </c>
      <c r="F49" t="str">
        <v>867806075758377</v>
      </c>
      <c r="G49" t="str">
        <v>TBD</v>
      </c>
      <c r="H49" t="str">
        <v/>
      </c>
      <c r="I49" t="str">
        <v/>
      </c>
      <c r="J49" t="str">
        <v>01/10/2026</v>
      </c>
      <c r="K49" t="str">
        <v>07:50:36</v>
      </c>
      <c r="L49">
        <v>-12.202505</v>
      </c>
      <c r="M49">
        <v>-76.926895</v>
      </c>
      <c r="N49">
        <f>HYPERLINK("https://www.google.com/maps/search/?api=1&amp;query=-12.202505,-76.926895","Avenida General Córdova, Villa María del Triunfo, Lima")</f>
      </c>
      <c r="O49" t="str">
        <v>Aceleración brusca</v>
      </c>
      <c r="P49" t="str">
        <v>CMT-910</v>
      </c>
      <c r="Q49">
        <v>2224.1</v>
      </c>
      <c r="R49" t="str">
        <v/>
      </c>
      <c r="S49">
        <v>7.2</v>
      </c>
      <c r="T49">
        <v>72.52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01/10/2026</v>
      </c>
      <c r="AD49" t="str">
        <v>07:50:32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07:50:44</v>
      </c>
      <c r="AL49" t="str">
        <v>07:50:44</v>
      </c>
      <c r="AM49" t="str">
        <v/>
      </c>
    </row>
    <row r="50">
      <c r="A50">
        <v>49</v>
      </c>
      <c r="B50" t="str">
        <v>MASS BSF</v>
      </c>
      <c r="C50" t="str">
        <v>F3I-769</v>
      </c>
      <c r="D50" t="str">
        <v>F3I-769</v>
      </c>
      <c r="E50" t="str">
        <v/>
      </c>
      <c r="F50" t="str">
        <v>867806075758377</v>
      </c>
      <c r="G50" t="str">
        <v>TBD</v>
      </c>
      <c r="H50" t="str">
        <v/>
      </c>
      <c r="I50" t="str">
        <v xml:space="preserve"> </v>
      </c>
      <c r="J50" t="str">
        <v>01/10/2026</v>
      </c>
      <c r="K50" t="str">
        <v>07:51:06</v>
      </c>
      <c r="L50">
        <v>-12.201837</v>
      </c>
      <c r="M50">
        <v>-76.92585</v>
      </c>
      <c r="N50">
        <f>HYPERLINK("https://www.google.com/maps/search/?api=1&amp;query=-12.201837,-76.92585","Avenida General Córdova, Villa María del Triunfo, Lima")</f>
      </c>
      <c r="O50" t="str">
        <v>Llegó a la zona</v>
      </c>
      <c r="P50" t="str">
        <v/>
      </c>
      <c r="Q50">
        <v>2224.2</v>
      </c>
      <c r="R50" t="str">
        <v>1071-UNION1 VMT MS</v>
      </c>
      <c r="S50">
        <v>8.3</v>
      </c>
      <c r="T50">
        <v>71.93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87</v>
      </c>
      <c r="AC50" t="str">
        <v>01/10/2026</v>
      </c>
      <c r="AD50" t="str">
        <v>07:51:02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07:51:14</v>
      </c>
      <c r="AL50" t="str">
        <v>07:51:14</v>
      </c>
      <c r="AM50" t="str">
        <v/>
      </c>
    </row>
    <row r="51">
      <c r="A51">
        <v>50</v>
      </c>
      <c r="B51" t="str">
        <v>MASS BSF</v>
      </c>
      <c r="C51" t="str">
        <v>F3I-769</v>
      </c>
      <c r="D51" t="str">
        <v>F3I-769</v>
      </c>
      <c r="E51" t="str">
        <v/>
      </c>
      <c r="F51" t="str">
        <v>867806075758377</v>
      </c>
      <c r="G51" t="str">
        <v>TBD</v>
      </c>
      <c r="H51" t="str">
        <v/>
      </c>
      <c r="I51" t="str">
        <v/>
      </c>
      <c r="J51" t="str">
        <v>01/10/2026</v>
      </c>
      <c r="K51" t="str">
        <v>07:54:15</v>
      </c>
      <c r="L51">
        <v>-12.202035</v>
      </c>
      <c r="M51">
        <v>-76.92562</v>
      </c>
      <c r="N51">
        <f>HYPERLINK("https://www.google.com/maps/search/?api=1&amp;query=-12.202035,-76.92562","Avenida Unión, Villa María del Triunfo, Lima")</f>
      </c>
      <c r="O51" t="str">
        <v>Inicio de ralentí</v>
      </c>
      <c r="P51" t="str">
        <v>Vehículo Detenido</v>
      </c>
      <c r="Q51">
        <v>2224.3</v>
      </c>
      <c r="R51" t="str">
        <v/>
      </c>
      <c r="S51">
        <v>0</v>
      </c>
      <c r="T51">
        <v>72.52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89</v>
      </c>
      <c r="AC51" t="str">
        <v>01/10/2026</v>
      </c>
      <c r="AD51" t="str">
        <v>07:54:10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07:54:22</v>
      </c>
      <c r="AL51" t="str">
        <v>07:54:22</v>
      </c>
      <c r="AM51" t="str">
        <v/>
      </c>
    </row>
    <row r="52">
      <c r="A52">
        <v>51</v>
      </c>
      <c r="B52" t="str">
        <v>MASS BSF</v>
      </c>
      <c r="C52" t="str">
        <v>F3I-769</v>
      </c>
      <c r="D52" t="str">
        <v>F3I-769</v>
      </c>
      <c r="E52" t="str">
        <v/>
      </c>
      <c r="F52" t="str">
        <v>867806075758377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07:55:11</v>
      </c>
      <c r="L52">
        <v>-12.20205</v>
      </c>
      <c r="M52">
        <v>-76.92555</v>
      </c>
      <c r="N52">
        <f>HYPERLINK("https://www.google.com/maps/search/?api=1&amp;query=-12.20205,-76.92555","Avenida Unión, Villa María del Triunfo, Lima")</f>
      </c>
      <c r="O52" t="str">
        <v>Salió de zona</v>
      </c>
      <c r="P52" t="str">
        <v/>
      </c>
      <c r="Q52">
        <v>2224.3</v>
      </c>
      <c r="R52" t="str">
        <v>1071-UNION1 VMT MS</v>
      </c>
      <c r="S52">
        <v>0</v>
      </c>
      <c r="T52">
        <v>71.93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90</v>
      </c>
      <c r="AC52" t="str">
        <v>01/10/2026</v>
      </c>
      <c r="AD52" t="str">
        <v>07:55:06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07:55:19</v>
      </c>
      <c r="AL52" t="str">
        <v>07:55:19</v>
      </c>
      <c r="AM52" t="str">
        <v/>
      </c>
    </row>
    <row r="53">
      <c r="A53">
        <v>52</v>
      </c>
      <c r="B53" t="str">
        <v>MASS BSF</v>
      </c>
      <c r="C53" t="str">
        <v>F3I-769</v>
      </c>
      <c r="D53" t="str">
        <v>F3I-769</v>
      </c>
      <c r="E53" t="str">
        <v/>
      </c>
      <c r="F53" t="str">
        <v>867806075758377</v>
      </c>
      <c r="G53" t="str">
        <v>TBD</v>
      </c>
      <c r="H53" t="str">
        <v/>
      </c>
      <c r="I53" t="str">
        <v/>
      </c>
      <c r="J53" t="str">
        <v>01/10/2026</v>
      </c>
      <c r="K53" t="str">
        <v>08:09:39</v>
      </c>
      <c r="L53">
        <v>-12.202003</v>
      </c>
      <c r="M53">
        <v>-76.925476</v>
      </c>
      <c r="N53">
        <f>HYPERLINK("https://www.google.com/maps/search/?api=1&amp;query=-12.202003,-76.925476","Avenida Unión, Villa María del Triunfo, Lima")</f>
      </c>
      <c r="O53" t="str">
        <v>Fin de ralentí</v>
      </c>
      <c r="P53" t="str">
        <v/>
      </c>
      <c r="Q53">
        <v>2224.3</v>
      </c>
      <c r="R53" t="str">
        <v/>
      </c>
      <c r="S53">
        <v>0</v>
      </c>
      <c r="T53">
        <v>72.52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90</v>
      </c>
      <c r="AC53" t="str">
        <v>01/10/2026</v>
      </c>
      <c r="AD53" t="str">
        <v>08:09:34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08:09:58</v>
      </c>
      <c r="AL53" t="str">
        <v>08:09:58</v>
      </c>
      <c r="AM53" t="str">
        <v/>
      </c>
    </row>
    <row r="54">
      <c r="A54">
        <v>53</v>
      </c>
      <c r="B54" t="str">
        <v>MASS BSF</v>
      </c>
      <c r="C54" t="str">
        <v>F3I-769</v>
      </c>
      <c r="D54" t="str">
        <v>F3I-769</v>
      </c>
      <c r="E54" t="str">
        <v/>
      </c>
      <c r="F54" t="str">
        <v>867806075758377</v>
      </c>
      <c r="G54" t="str">
        <v>TBD</v>
      </c>
      <c r="H54" t="str">
        <v/>
      </c>
      <c r="I54" t="str">
        <v/>
      </c>
      <c r="J54" t="str">
        <v>01/10/2026</v>
      </c>
      <c r="K54" t="str">
        <v>08:10:53</v>
      </c>
      <c r="L54">
        <v>-12.202033</v>
      </c>
      <c r="M54">
        <v>-76.9249</v>
      </c>
      <c r="N54">
        <f>HYPERLINK("https://www.google.com/maps/search/?api=1&amp;query=-12.202033,-76.9249","Avenida Paseo Atahualpa, Villa María del Triunfo, Lima")</f>
      </c>
      <c r="O54" t="str">
        <v>Se movio</v>
      </c>
      <c r="P54" t="str">
        <v/>
      </c>
      <c r="Q54">
        <v>2224.4</v>
      </c>
      <c r="R54" t="str">
        <v/>
      </c>
      <c r="S54">
        <v>7.7</v>
      </c>
      <c r="T54">
        <v>72.52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85</v>
      </c>
      <c r="AC54" t="str">
        <v>01/10/2026</v>
      </c>
      <c r="AD54" t="str">
        <v>08:10:49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08:11:12</v>
      </c>
      <c r="AL54" t="str">
        <v>08:11:12</v>
      </c>
      <c r="AM54" t="str">
        <v/>
      </c>
    </row>
    <row r="55">
      <c r="A55">
        <v>54</v>
      </c>
      <c r="B55" t="str">
        <v>MASS BSF</v>
      </c>
      <c r="C55" t="str">
        <v>F3I-769</v>
      </c>
      <c r="D55" t="str">
        <v>F3I-769</v>
      </c>
      <c r="E55" t="str">
        <v/>
      </c>
      <c r="F55" t="str">
        <v>867806075758377</v>
      </c>
      <c r="G55" t="str">
        <v>TBD</v>
      </c>
      <c r="H55" t="str">
        <v/>
      </c>
      <c r="I55" t="str">
        <v xml:space="preserve"> </v>
      </c>
      <c r="J55" t="str">
        <v>01/10/2026</v>
      </c>
      <c r="K55" t="str">
        <v>08:12:56</v>
      </c>
      <c r="L55">
        <v>-12.199964</v>
      </c>
      <c r="M55">
        <v>-76.92688</v>
      </c>
      <c r="N55">
        <f>HYPERLINK("https://www.google.com/maps/search/?api=1&amp;query=-12.199964,-76.92688","Avenida General Vidal, Villa María del Triunfo, Lima")</f>
      </c>
      <c r="O55" t="str">
        <v>Llegó a la zona</v>
      </c>
      <c r="P55" t="str">
        <v/>
      </c>
      <c r="Q55">
        <v>2224.8</v>
      </c>
      <c r="R55" t="str">
        <v>2511-UNION12 VMT MS</v>
      </c>
      <c r="S55">
        <v>6.2</v>
      </c>
      <c r="T55">
        <v>71.93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91</v>
      </c>
      <c r="AC55" t="str">
        <v>01/10/2026</v>
      </c>
      <c r="AD55" t="str">
        <v>08:12:52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08:12:58</v>
      </c>
      <c r="AL55" t="str">
        <v>08:12:58</v>
      </c>
      <c r="AM55" t="str">
        <v/>
      </c>
    </row>
    <row r="56">
      <c r="A56">
        <v>55</v>
      </c>
      <c r="B56" t="str">
        <v>MASS BSF</v>
      </c>
      <c r="C56" t="str">
        <v>F3I-769</v>
      </c>
      <c r="D56" t="str">
        <v>F3I-769</v>
      </c>
      <c r="E56" t="str">
        <v/>
      </c>
      <c r="F56" t="str">
        <v>867806075758377</v>
      </c>
      <c r="G56" t="str">
        <v>TBD</v>
      </c>
      <c r="H56" t="str">
        <v/>
      </c>
      <c r="I56" t="str">
        <v/>
      </c>
      <c r="J56" t="str">
        <v>01/10/2026</v>
      </c>
      <c r="K56" t="str">
        <v>08:18:04</v>
      </c>
      <c r="L56">
        <v>-12.199643</v>
      </c>
      <c r="M56">
        <v>-76.92712</v>
      </c>
      <c r="N56">
        <f>HYPERLINK("https://www.google.com/maps/search/?api=1&amp;query=-12.199643,-76.92712","Avenida Unión, Villa María del Triunfo, Lima")</f>
      </c>
      <c r="O56" t="str">
        <v>Inicio de ralentí</v>
      </c>
      <c r="P56" t="str">
        <v>Vehículo Detenido</v>
      </c>
      <c r="Q56">
        <v>2224.9</v>
      </c>
      <c r="R56" t="str">
        <v/>
      </c>
      <c r="S56">
        <v>0</v>
      </c>
      <c r="T56">
        <v>72.52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88</v>
      </c>
      <c r="AC56" t="str">
        <v>01/10/2026</v>
      </c>
      <c r="AD56" t="str">
        <v>08:17:59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08:18:11</v>
      </c>
      <c r="AL56" t="str">
        <v>08:18:11</v>
      </c>
      <c r="AM56" t="str">
        <v/>
      </c>
    </row>
    <row r="57">
      <c r="A57">
        <v>56</v>
      </c>
      <c r="B57" t="str">
        <v>MASS BSF</v>
      </c>
      <c r="C57" t="str">
        <v>F3I-769</v>
      </c>
      <c r="D57" t="str">
        <v>F3I-769</v>
      </c>
      <c r="E57" t="str">
        <v/>
      </c>
      <c r="F57" t="str">
        <v>867806075758377</v>
      </c>
      <c r="G57" t="str">
        <v>TBD</v>
      </c>
      <c r="H57" t="str">
        <v/>
      </c>
      <c r="I57" t="str">
        <v/>
      </c>
      <c r="J57" t="str">
        <v>01/10/2026</v>
      </c>
      <c r="K57" t="str">
        <v>08:23:34</v>
      </c>
      <c r="L57">
        <v>-12.199643</v>
      </c>
      <c r="M57">
        <v>-76.92712</v>
      </c>
      <c r="N57">
        <f>HYPERLINK("https://www.google.com/maps/search/?api=1&amp;query=-12.199643,-76.92712","Avenida Unión, Villa María del Triunfo, Lima")</f>
      </c>
      <c r="O57" t="str">
        <v>Fin de ralentí</v>
      </c>
      <c r="P57" t="str">
        <v/>
      </c>
      <c r="Q57">
        <v>2224.9</v>
      </c>
      <c r="R57" t="str">
        <v/>
      </c>
      <c r="S57">
        <v>0</v>
      </c>
      <c r="T57">
        <v>72.52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90</v>
      </c>
      <c r="AC57" t="str">
        <v>01/10/2026</v>
      </c>
      <c r="AD57" t="str">
        <v>08:23:29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08:23:40</v>
      </c>
      <c r="AL57" t="str">
        <v>08:23:40</v>
      </c>
      <c r="AM57" t="str">
        <v/>
      </c>
    </row>
    <row r="58">
      <c r="A58">
        <v>57</v>
      </c>
      <c r="B58" t="str">
        <v>MASS BSF</v>
      </c>
      <c r="C58" t="str">
        <v>F3I-769</v>
      </c>
      <c r="D58" t="str">
        <v>F3I-769</v>
      </c>
      <c r="E58" t="str">
        <v/>
      </c>
      <c r="F58" t="str">
        <v>867806075758377</v>
      </c>
      <c r="G58" t="str">
        <v>TBD</v>
      </c>
      <c r="H58" t="str">
        <v/>
      </c>
      <c r="I58" t="str">
        <v/>
      </c>
      <c r="J58" t="str">
        <v>01/10/2026</v>
      </c>
      <c r="K58" t="str">
        <v>08:24:35</v>
      </c>
      <c r="L58">
        <v>-12.199059</v>
      </c>
      <c r="M58">
        <v>-76.92753</v>
      </c>
      <c r="N58">
        <f>HYPERLINK("https://www.google.com/maps/search/?api=1&amp;query=-12.199059,-76.92753","Avenida Unión, Villa María del Triunfo, Lima")</f>
      </c>
      <c r="O58" t="str">
        <v>Se movio</v>
      </c>
      <c r="P58" t="str">
        <v/>
      </c>
      <c r="Q58">
        <v>2225</v>
      </c>
      <c r="R58" t="str">
        <v/>
      </c>
      <c r="S58">
        <v>19.2</v>
      </c>
      <c r="T58">
        <v>72.52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90</v>
      </c>
      <c r="AC58" t="str">
        <v>01/10/2026</v>
      </c>
      <c r="AD58" t="str">
        <v>08:24:31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08:24:47</v>
      </c>
      <c r="AL58" t="str">
        <v>08:24:47</v>
      </c>
      <c r="AM58" t="str">
        <v/>
      </c>
    </row>
    <row r="59">
      <c r="A59">
        <v>58</v>
      </c>
      <c r="B59" t="str">
        <v>MASS BSF</v>
      </c>
      <c r="C59" t="str">
        <v>F3I-769</v>
      </c>
      <c r="D59" t="str">
        <v>F3I-769</v>
      </c>
      <c r="E59" t="str">
        <v/>
      </c>
      <c r="F59" t="str">
        <v>867806075758377</v>
      </c>
      <c r="G59" t="str">
        <v>TBD</v>
      </c>
      <c r="H59" t="str">
        <v/>
      </c>
      <c r="I59" t="str">
        <v xml:space="preserve"> </v>
      </c>
      <c r="J59" t="str">
        <v>01/10/2026</v>
      </c>
      <c r="K59" t="str">
        <v>08:24:39</v>
      </c>
      <c r="L59">
        <v>-12.198923</v>
      </c>
      <c r="M59">
        <v>-76.92763</v>
      </c>
      <c r="N59">
        <f>HYPERLINK("https://www.google.com/maps/search/?api=1&amp;query=-12.198923,-76.92763","Avenida Unión, Villa María del Triunfo, Lima")</f>
      </c>
      <c r="O59" t="str">
        <v>Salió de zona</v>
      </c>
      <c r="P59" t="str">
        <v/>
      </c>
      <c r="Q59">
        <v>2225</v>
      </c>
      <c r="R59" t="str">
        <v>2511-UNION12 VMT MS</v>
      </c>
      <c r="S59">
        <v>14.8</v>
      </c>
      <c r="T59">
        <v>71.93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87</v>
      </c>
      <c r="AC59" t="str">
        <v>01/10/2026</v>
      </c>
      <c r="AD59" t="str">
        <v>08:24:35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08:24:44</v>
      </c>
      <c r="AL59" t="str">
        <v>08:24:44</v>
      </c>
      <c r="AM59" t="str">
        <v/>
      </c>
    </row>
    <row r="60">
      <c r="A60">
        <v>59</v>
      </c>
      <c r="B60" t="str">
        <v>MASS BSF</v>
      </c>
      <c r="C60" t="str">
        <v>F3I-769</v>
      </c>
      <c r="D60" t="str">
        <v>F3I-769</v>
      </c>
      <c r="E60" t="str">
        <v/>
      </c>
      <c r="F60" t="str">
        <v>867806075758377</v>
      </c>
      <c r="G60" t="str">
        <v>TBD</v>
      </c>
      <c r="H60" t="str">
        <v/>
      </c>
      <c r="I60" t="str">
        <v/>
      </c>
      <c r="J60" t="str">
        <v>01/10/2026</v>
      </c>
      <c r="K60" t="str">
        <v>08:24:41</v>
      </c>
      <c r="L60">
        <v>-12.198918</v>
      </c>
      <c r="M60">
        <v>-76.9277</v>
      </c>
      <c r="N60">
        <f>HYPERLINK("https://www.google.com/maps/search/?api=1&amp;query=-12.198918,-76.9277","Avenida Santa Rosa, Villa María del Triunfo, Lima")</f>
      </c>
      <c r="O60" t="str">
        <v>Acelerado y giro brusco</v>
      </c>
      <c r="P60" t="str">
        <v/>
      </c>
      <c r="Q60">
        <v>2225</v>
      </c>
      <c r="R60" t="str">
        <v/>
      </c>
      <c r="S60">
        <v>15.1</v>
      </c>
      <c r="T60">
        <v>72.52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90</v>
      </c>
      <c r="AC60" t="str">
        <v>01/10/2026</v>
      </c>
      <c r="AD60" t="str">
        <v>08:24:37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08:24:50</v>
      </c>
      <c r="AL60" t="str">
        <v>08:24:50</v>
      </c>
      <c r="AM60" t="str">
        <v/>
      </c>
    </row>
    <row r="61">
      <c r="A61">
        <v>60</v>
      </c>
      <c r="B61" t="str">
        <v>MASS BSF</v>
      </c>
      <c r="C61" t="str">
        <v>F3I-769</v>
      </c>
      <c r="D61" t="str">
        <v>F3I-769</v>
      </c>
      <c r="E61" t="str">
        <v/>
      </c>
      <c r="F61" t="str">
        <v>867806075758377</v>
      </c>
      <c r="G61" t="str">
        <v>TBD</v>
      </c>
      <c r="H61" t="str">
        <v/>
      </c>
      <c r="I61" t="str">
        <v/>
      </c>
      <c r="J61" t="str">
        <v>01/10/2026</v>
      </c>
      <c r="K61" t="str">
        <v>08:25:54</v>
      </c>
      <c r="L61">
        <v>-12.196437</v>
      </c>
      <c r="M61">
        <v>-76.92925</v>
      </c>
      <c r="N61">
        <f>HYPERLINK("https://www.google.com/maps/search/?api=1&amp;query=-12.196437,-76.92925","Avenida Unión, Villa María del Triunfo, Lima")</f>
      </c>
      <c r="O61" t="str">
        <v>Bache</v>
      </c>
      <c r="P61" t="str">
        <v/>
      </c>
      <c r="Q61">
        <v>2225.4</v>
      </c>
      <c r="R61" t="str">
        <v/>
      </c>
      <c r="S61">
        <v>3.8</v>
      </c>
      <c r="T61">
        <v>72.52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91</v>
      </c>
      <c r="AC61" t="str">
        <v>01/10/2026</v>
      </c>
      <c r="AD61" t="str">
        <v>08:25:50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08:26:05</v>
      </c>
      <c r="AL61" t="str">
        <v>08:26:05</v>
      </c>
      <c r="AM61" t="str">
        <v/>
      </c>
    </row>
    <row r="62">
      <c r="A62">
        <v>61</v>
      </c>
      <c r="B62" t="str">
        <v>MASS BSF</v>
      </c>
      <c r="C62" t="str">
        <v>F3I-769</v>
      </c>
      <c r="D62" t="str">
        <v>F3I-769</v>
      </c>
      <c r="E62" t="str">
        <v/>
      </c>
      <c r="F62" t="str">
        <v>867806075758377</v>
      </c>
      <c r="G62" t="str">
        <v>TBD</v>
      </c>
      <c r="H62" t="str">
        <v/>
      </c>
      <c r="I62" t="str">
        <v/>
      </c>
      <c r="J62" t="str">
        <v>01/10/2026</v>
      </c>
      <c r="K62" t="str">
        <v>08:26:25</v>
      </c>
      <c r="L62">
        <v>-12.196047</v>
      </c>
      <c r="M62">
        <v>-76.929825</v>
      </c>
      <c r="N62">
        <f>HYPERLINK("https://www.google.com/maps/search/?api=1&amp;query=-12.196047,-76.929825","Avenida Mariscal José La Mar, Villa María del Triunfo, Lima")</f>
      </c>
      <c r="O62" t="str">
        <v>Aceleración brusca</v>
      </c>
      <c r="P62" t="str">
        <v>CMT-910</v>
      </c>
      <c r="Q62">
        <v>2225.4</v>
      </c>
      <c r="R62" t="str">
        <v/>
      </c>
      <c r="S62">
        <v>10.3</v>
      </c>
      <c r="T62">
        <v>72.52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85</v>
      </c>
      <c r="AC62" t="str">
        <v>01/10/2026</v>
      </c>
      <c r="AD62" t="str">
        <v>08:26:21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08:26:45</v>
      </c>
      <c r="AL62" t="str">
        <v>08:26:45</v>
      </c>
      <c r="AM62" t="str">
        <v/>
      </c>
    </row>
    <row r="63">
      <c r="A63">
        <v>62</v>
      </c>
      <c r="B63" t="str">
        <v>MASS BSF</v>
      </c>
      <c r="C63" t="str">
        <v>F3I-769</v>
      </c>
      <c r="D63" t="str">
        <v>F3I-769</v>
      </c>
      <c r="E63" t="str">
        <v/>
      </c>
      <c r="F63" t="str">
        <v>867806075758377</v>
      </c>
      <c r="G63" t="str">
        <v>TBD</v>
      </c>
      <c r="H63" t="str">
        <v/>
      </c>
      <c r="I63" t="str">
        <v/>
      </c>
      <c r="J63" t="str">
        <v>01/10/2026</v>
      </c>
      <c r="K63" t="str">
        <v>08:26:33</v>
      </c>
      <c r="L63">
        <v>-12.196188</v>
      </c>
      <c r="M63">
        <v>-76.93008</v>
      </c>
      <c r="N63">
        <f>HYPERLINK("https://www.google.com/maps/search/?api=1&amp;query=-12.196188,-76.93008","Avenida Mariscal José La Mar, Villa María del Triunfo, Lima")</f>
      </c>
      <c r="O63" t="str">
        <v>Acelerado y giro brusco</v>
      </c>
      <c r="P63" t="str">
        <v/>
      </c>
      <c r="Q63">
        <v>2225.5</v>
      </c>
      <c r="R63" t="str">
        <v/>
      </c>
      <c r="S63">
        <v>17.5</v>
      </c>
      <c r="T63">
        <v>72.52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85</v>
      </c>
      <c r="AC63" t="str">
        <v>01/10/2026</v>
      </c>
      <c r="AD63" t="str">
        <v>08:26:29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08:26:47</v>
      </c>
      <c r="AL63" t="str">
        <v>08:26:47</v>
      </c>
      <c r="AM63" t="str">
        <v/>
      </c>
    </row>
    <row r="64">
      <c r="A64">
        <v>63</v>
      </c>
      <c r="B64" t="str">
        <v>MASS BSF</v>
      </c>
      <c r="C64" t="str">
        <v>F3I-769</v>
      </c>
      <c r="D64" t="str">
        <v>F3I-769</v>
      </c>
      <c r="E64" t="str">
        <v/>
      </c>
      <c r="F64" t="str">
        <v>867806075758377</v>
      </c>
      <c r="G64" t="str">
        <v>TBD</v>
      </c>
      <c r="H64" t="str">
        <v/>
      </c>
      <c r="I64" t="str">
        <v/>
      </c>
      <c r="J64" t="str">
        <v>01/10/2026</v>
      </c>
      <c r="K64" t="str">
        <v>08:26:43</v>
      </c>
      <c r="L64">
        <v>-12.196365</v>
      </c>
      <c r="M64">
        <v>-76.930405</v>
      </c>
      <c r="N64">
        <f>HYPERLINK("https://www.google.com/maps/search/?api=1&amp;query=-12.196365,-76.930405","Avenida Mariscal José La Mar, Villa María del Triunfo, Lima")</f>
      </c>
      <c r="O64" t="str">
        <v>Aceleración brusca</v>
      </c>
      <c r="P64" t="str">
        <v>CMT-910</v>
      </c>
      <c r="Q64">
        <v>2225.5</v>
      </c>
      <c r="R64" t="str">
        <v/>
      </c>
      <c r="S64">
        <v>6.6</v>
      </c>
      <c r="T64">
        <v>72.52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85</v>
      </c>
      <c r="AC64" t="str">
        <v>01/10/2026</v>
      </c>
      <c r="AD64" t="str">
        <v>08:26:39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08:26:58</v>
      </c>
      <c r="AL64" t="str">
        <v>08:26:58</v>
      </c>
      <c r="AM64" t="str">
        <v/>
      </c>
    </row>
    <row r="65">
      <c r="A65">
        <v>64</v>
      </c>
      <c r="B65" t="str">
        <v>MASS BSF</v>
      </c>
      <c r="C65" t="str">
        <v>F3I-769</v>
      </c>
      <c r="D65" t="str">
        <v>F3I-769</v>
      </c>
      <c r="E65" t="str">
        <v/>
      </c>
      <c r="F65" t="str">
        <v>867806075758377</v>
      </c>
      <c r="G65" t="str">
        <v>TBD</v>
      </c>
      <c r="H65" t="str">
        <v/>
      </c>
      <c r="I65" t="str">
        <v/>
      </c>
      <c r="J65" t="str">
        <v>01/10/2026</v>
      </c>
      <c r="K65" t="str">
        <v>08:27:37</v>
      </c>
      <c r="L65">
        <v>-12.194899</v>
      </c>
      <c r="M65">
        <v>-76.931946</v>
      </c>
      <c r="N65">
        <f>HYPERLINK("https://www.google.com/maps/search/?api=1&amp;query=-12.194899,-76.931946","Jirón Independencia, Villa María del Triunfo, Lima")</f>
      </c>
      <c r="O65" t="str">
        <v>Acelerado y giro brusco</v>
      </c>
      <c r="P65" t="str">
        <v/>
      </c>
      <c r="Q65">
        <v>2225.8</v>
      </c>
      <c r="R65" t="str">
        <v/>
      </c>
      <c r="S65">
        <v>2.7</v>
      </c>
      <c r="T65">
        <v>72.52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84</v>
      </c>
      <c r="AC65" t="str">
        <v>01/10/2026</v>
      </c>
      <c r="AD65" t="str">
        <v>08:27:33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08:27:46</v>
      </c>
      <c r="AL65" t="str">
        <v>08:27:46</v>
      </c>
      <c r="AM65" t="str">
        <v/>
      </c>
    </row>
    <row r="66">
      <c r="A66">
        <v>65</v>
      </c>
      <c r="B66" t="str">
        <v>MASS BSF</v>
      </c>
      <c r="C66" t="str">
        <v>F3I-769</v>
      </c>
      <c r="D66" t="str">
        <v>F3I-769</v>
      </c>
      <c r="E66" t="str">
        <v/>
      </c>
      <c r="F66" t="str">
        <v>867806075758377</v>
      </c>
      <c r="G66" t="str">
        <v>TBD</v>
      </c>
      <c r="H66" t="str">
        <v/>
      </c>
      <c r="I66" t="str">
        <v/>
      </c>
      <c r="J66" t="str">
        <v>01/10/2026</v>
      </c>
      <c r="K66" t="str">
        <v>08:28:22</v>
      </c>
      <c r="L66">
        <v>-12.196319</v>
      </c>
      <c r="M66">
        <v>-76.933685</v>
      </c>
      <c r="N66">
        <f>HYPERLINK("https://www.google.com/maps/search/?api=1&amp;query=-12.196319,-76.933685","Avenida Mariscal Andrés Avelino Cáceres, Villa María del Triunfo, Lima")</f>
      </c>
      <c r="O66" t="str">
        <v>Aceleración brusca</v>
      </c>
      <c r="P66" t="str">
        <v>CMT-910</v>
      </c>
      <c r="Q66">
        <v>2226.1</v>
      </c>
      <c r="R66" t="str">
        <v/>
      </c>
      <c r="S66">
        <v>0.1</v>
      </c>
      <c r="T66">
        <v>72.52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84</v>
      </c>
      <c r="AC66" t="str">
        <v>01/10/2026</v>
      </c>
      <c r="AD66" t="str">
        <v>08:28:18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08:28:29</v>
      </c>
      <c r="AL66" t="str">
        <v>08:28:29</v>
      </c>
      <c r="AM66" t="str">
        <v/>
      </c>
    </row>
    <row r="67">
      <c r="A67">
        <v>66</v>
      </c>
      <c r="B67" t="str">
        <v>MASS BSF</v>
      </c>
      <c r="C67" t="str">
        <v>F3I-769</v>
      </c>
      <c r="D67" t="str">
        <v>F3I-769</v>
      </c>
      <c r="E67" t="str">
        <v/>
      </c>
      <c r="F67" t="str">
        <v>867806075758377</v>
      </c>
      <c r="G67" t="str">
        <v>TBD</v>
      </c>
      <c r="H67" t="str">
        <v/>
      </c>
      <c r="I67" t="str">
        <v/>
      </c>
      <c r="J67" t="str">
        <v>01/10/2026</v>
      </c>
      <c r="K67" t="str">
        <v>08:33:09</v>
      </c>
      <c r="L67">
        <v>-12.195265</v>
      </c>
      <c r="M67">
        <v>-76.93432</v>
      </c>
      <c r="N67">
        <f>HYPERLINK("https://www.google.com/maps/search/?api=1&amp;query=-12.195265,-76.93432","Avenida Pachacútec, Villa María del Triunfo, Lima")</f>
      </c>
      <c r="O67" t="str">
        <v>Inicio de ralentí</v>
      </c>
      <c r="P67" t="str">
        <v>Vehículo Detenido</v>
      </c>
      <c r="Q67">
        <v>2226.2</v>
      </c>
      <c r="R67" t="str">
        <v/>
      </c>
      <c r="S67">
        <v>0</v>
      </c>
      <c r="T67">
        <v>72.52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91</v>
      </c>
      <c r="AC67" t="str">
        <v>01/10/2026</v>
      </c>
      <c r="AD67" t="str">
        <v>08:33:04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08:33:15</v>
      </c>
      <c r="AL67" t="str">
        <v>08:33:15</v>
      </c>
      <c r="AM67" t="str">
        <v/>
      </c>
    </row>
    <row r="68">
      <c r="A68">
        <v>67</v>
      </c>
      <c r="B68" t="str">
        <v>MASS BSF</v>
      </c>
      <c r="C68" t="str">
        <v>F3I-769</v>
      </c>
      <c r="D68" t="str">
        <v>F3I-769</v>
      </c>
      <c r="E68" t="str">
        <v/>
      </c>
      <c r="F68" t="str">
        <v>867806075758377</v>
      </c>
      <c r="G68" t="str">
        <v>TBD</v>
      </c>
      <c r="H68" t="str">
        <v/>
      </c>
      <c r="I68" t="str">
        <v/>
      </c>
      <c r="J68" t="str">
        <v>01/10/2026</v>
      </c>
      <c r="K68" t="str">
        <v>08:35:24</v>
      </c>
      <c r="L68">
        <v>-12.19524</v>
      </c>
      <c r="M68">
        <v>-76.934326</v>
      </c>
      <c r="N68">
        <f>HYPERLINK("https://www.google.com/maps/search/?api=1&amp;query=-12.19524,-76.934326","Avenida Pachacútec, Villa María del Triunfo, Lima")</f>
      </c>
      <c r="O68" t="str">
        <v>Fin de ralentí</v>
      </c>
      <c r="P68" t="str">
        <v/>
      </c>
      <c r="Q68">
        <v>2226.2</v>
      </c>
      <c r="R68" t="str">
        <v/>
      </c>
      <c r="S68">
        <v>5.7</v>
      </c>
      <c r="T68">
        <v>72.52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91</v>
      </c>
      <c r="AC68" t="str">
        <v>01/10/2026</v>
      </c>
      <c r="AD68" t="str">
        <v>08:35:20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08:35:27</v>
      </c>
      <c r="AL68" t="str">
        <v>08:35:27</v>
      </c>
      <c r="AM68" t="str">
        <v/>
      </c>
    </row>
    <row r="69">
      <c r="A69">
        <v>68</v>
      </c>
      <c r="B69" t="str">
        <v>MASS BSF</v>
      </c>
      <c r="C69" t="str">
        <v>F3I-769</v>
      </c>
      <c r="D69" t="str">
        <v>F3I-769</v>
      </c>
      <c r="E69" t="str">
        <v/>
      </c>
      <c r="F69" t="str">
        <v>867806075758377</v>
      </c>
      <c r="G69" t="str">
        <v>TBD</v>
      </c>
      <c r="H69" t="str">
        <v/>
      </c>
      <c r="I69" t="str">
        <v/>
      </c>
      <c r="J69" t="str">
        <v>01/10/2026</v>
      </c>
      <c r="K69" t="str">
        <v>08:40:03</v>
      </c>
      <c r="L69">
        <v>-12.183043</v>
      </c>
      <c r="M69">
        <v>-76.94322</v>
      </c>
      <c r="N69">
        <f>HYPERLINK("https://www.google.com/maps/search/?api=1&amp;query=-12.183043,-76.94322","Avenida Mateo Pumacahua, Villa El Salvador, Lima")</f>
      </c>
      <c r="O69" t="str">
        <v>Aceleración brusca</v>
      </c>
      <c r="P69" t="str">
        <v>CMT-910</v>
      </c>
      <c r="Q69">
        <v>2228</v>
      </c>
      <c r="R69" t="str">
        <v/>
      </c>
      <c r="S69">
        <v>10</v>
      </c>
      <c r="T69">
        <v>72.52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85</v>
      </c>
      <c r="AC69" t="str">
        <v>01/10/2026</v>
      </c>
      <c r="AD69" t="str">
        <v>08:39:58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08:40:17</v>
      </c>
      <c r="AL69" t="str">
        <v>08:40:17</v>
      </c>
      <c r="AM69" t="str">
        <v/>
      </c>
    </row>
    <row r="70">
      <c r="A70">
        <v>69</v>
      </c>
      <c r="B70" t="str">
        <v>MASS BSF</v>
      </c>
      <c r="C70" t="str">
        <v>F3I-769</v>
      </c>
      <c r="D70" t="str">
        <v>F3I-769</v>
      </c>
      <c r="E70" t="str">
        <v/>
      </c>
      <c r="F70" t="str">
        <v>867806075758377</v>
      </c>
      <c r="G70" t="str">
        <v>TBD</v>
      </c>
      <c r="H70" t="str">
        <v/>
      </c>
      <c r="I70" t="str">
        <v/>
      </c>
      <c r="J70" t="str">
        <v>01/10/2026</v>
      </c>
      <c r="K70" t="str">
        <v>08:50:24</v>
      </c>
      <c r="L70">
        <v>-12.16304</v>
      </c>
      <c r="M70">
        <v>-76.94812</v>
      </c>
      <c r="N70">
        <f>HYPERLINK("https://www.google.com/maps/search/?api=1&amp;query=-12.16304,-76.94812","Jirón Progreso, Villa María del Triunfo, Lima")</f>
      </c>
      <c r="O70" t="str">
        <v>Bache</v>
      </c>
      <c r="P70" t="str">
        <v/>
      </c>
      <c r="Q70">
        <v>2231.2</v>
      </c>
      <c r="R70" t="str">
        <v/>
      </c>
      <c r="S70">
        <v>6.4</v>
      </c>
      <c r="T70">
        <v>72.52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83</v>
      </c>
      <c r="AC70" t="str">
        <v>01/10/2026</v>
      </c>
      <c r="AD70" t="str">
        <v>08:50:20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08:50:38</v>
      </c>
      <c r="AL70" t="str">
        <v>08:50:38</v>
      </c>
      <c r="AM70" t="str">
        <v/>
      </c>
    </row>
    <row r="71">
      <c r="A71">
        <v>70</v>
      </c>
      <c r="B71" t="str">
        <v>MASS BSF</v>
      </c>
      <c r="C71" t="str">
        <v>F3I-769</v>
      </c>
      <c r="D71" t="str">
        <v>F3I-769</v>
      </c>
      <c r="E71" t="str">
        <v/>
      </c>
      <c r="F71" t="str">
        <v>867806075758377</v>
      </c>
      <c r="G71" t="str">
        <v>TBD</v>
      </c>
      <c r="H71" t="str">
        <v/>
      </c>
      <c r="I71" t="str">
        <v xml:space="preserve"> </v>
      </c>
      <c r="J71" t="str">
        <v>01/10/2026</v>
      </c>
      <c r="K71" t="str">
        <v>08:52:30</v>
      </c>
      <c r="L71">
        <v>-12.158608</v>
      </c>
      <c r="M71">
        <v>-76.95161</v>
      </c>
      <c r="N71">
        <f>HYPERLINK("https://www.google.com/maps/search/?api=1&amp;query=-12.158608,-76.95161","Jirón Progreso, Villa María del Triunfo, Lima")</f>
      </c>
      <c r="O71" t="str">
        <v>Llegó a la zona</v>
      </c>
      <c r="P71" t="str">
        <v/>
      </c>
      <c r="Q71">
        <v>2231.6</v>
      </c>
      <c r="R71" t="str">
        <v>2412-MIRAF5 VMT MS</v>
      </c>
      <c r="S71">
        <v>17.7</v>
      </c>
      <c r="T71">
        <v>71.93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84</v>
      </c>
      <c r="AC71" t="str">
        <v>01/10/2026</v>
      </c>
      <c r="AD71" t="str">
        <v>08:52:25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08:52:41</v>
      </c>
      <c r="AL71" t="str">
        <v>08:52:41</v>
      </c>
      <c r="AM71" t="str">
        <v/>
      </c>
    </row>
    <row r="72">
      <c r="A72">
        <v>71</v>
      </c>
      <c r="B72" t="str">
        <v>MASS BSF</v>
      </c>
      <c r="C72" t="str">
        <v>F3I-769</v>
      </c>
      <c r="D72" t="str">
        <v>F3I-769</v>
      </c>
      <c r="E72" t="str">
        <v/>
      </c>
      <c r="F72" t="str">
        <v>867806075758377</v>
      </c>
      <c r="G72" t="str">
        <v>TBD</v>
      </c>
      <c r="H72" t="str">
        <v/>
      </c>
      <c r="I72" t="str">
        <v/>
      </c>
      <c r="J72" t="str">
        <v>01/10/2026</v>
      </c>
      <c r="K72" t="str">
        <v>08:53:40</v>
      </c>
      <c r="L72">
        <v>-12.158689</v>
      </c>
      <c r="M72">
        <v>-76.95216</v>
      </c>
      <c r="N72">
        <f>HYPERLINK("https://www.google.com/maps/search/?api=1&amp;query=-12.158689,-76.95216","Jirón Miraflores, Villa María del Triunfo, Lima")</f>
      </c>
      <c r="O72" t="str">
        <v>Vehículo apagado</v>
      </c>
      <c r="P72" t="str">
        <v>Vehículo Apagado</v>
      </c>
      <c r="Q72">
        <v>2231.9</v>
      </c>
      <c r="R72" t="str">
        <v/>
      </c>
      <c r="S72">
        <v>0</v>
      </c>
      <c r="T72">
        <v>74.25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84</v>
      </c>
      <c r="AC72" t="str">
        <v>01/10/2026</v>
      </c>
      <c r="AD72" t="str">
        <v>08:53:36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08:53:45</v>
      </c>
      <c r="AL72" t="str">
        <v>08:53:45</v>
      </c>
      <c r="AM72" t="str">
        <v/>
      </c>
    </row>
    <row r="73">
      <c r="A73">
        <v>72</v>
      </c>
      <c r="B73" t="str">
        <v>MASS BSF</v>
      </c>
      <c r="C73" t="str">
        <v>F3I-769</v>
      </c>
      <c r="D73" t="str">
        <v>F3I-769</v>
      </c>
      <c r="E73" t="str">
        <v/>
      </c>
      <c r="F73" t="str">
        <v>867806075758377</v>
      </c>
      <c r="G73" t="str">
        <v>TBD</v>
      </c>
      <c r="H73" t="str">
        <v/>
      </c>
      <c r="I73" t="str">
        <v/>
      </c>
      <c r="J73" t="str">
        <v>01/10/2026</v>
      </c>
      <c r="K73" t="str">
        <v>09:39:39</v>
      </c>
      <c r="L73">
        <v>-12.158689</v>
      </c>
      <c r="M73">
        <v>-76.95216</v>
      </c>
      <c r="N73">
        <f>HYPERLINK("https://www.google.com/maps/search/?api=1&amp;query=-12.158689,-76.95216","Jirón Miraflores, Villa María del Triunfo, Lima")</f>
      </c>
      <c r="O73" t="str">
        <v>Vehículo encendido</v>
      </c>
      <c r="P73" t="str">
        <v/>
      </c>
      <c r="Q73">
        <v>2231.9</v>
      </c>
      <c r="R73" t="str">
        <v/>
      </c>
      <c r="S73">
        <v>0</v>
      </c>
      <c r="T73">
        <v>74.25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84</v>
      </c>
      <c r="AC73" t="str">
        <v>01/10/2026</v>
      </c>
      <c r="AD73" t="str">
        <v>09:39:34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09:39:57</v>
      </c>
      <c r="AL73" t="str">
        <v>09:39:57</v>
      </c>
      <c r="AM73" t="str">
        <v/>
      </c>
    </row>
    <row r="74">
      <c r="A74">
        <v>73</v>
      </c>
      <c r="B74" t="str">
        <v>MASS BSF</v>
      </c>
      <c r="C74" t="str">
        <v>F3I-769</v>
      </c>
      <c r="D74" t="str">
        <v>F3I-769</v>
      </c>
      <c r="E74" t="str">
        <v/>
      </c>
      <c r="F74" t="str">
        <v>867806075758377</v>
      </c>
      <c r="G74" t="str">
        <v>TBD</v>
      </c>
      <c r="H74" t="str">
        <v/>
      </c>
      <c r="I74" t="str">
        <v/>
      </c>
      <c r="J74" t="str">
        <v>01/10/2026</v>
      </c>
      <c r="K74" t="str">
        <v>09:39:48</v>
      </c>
      <c r="L74">
        <v>-12.158731</v>
      </c>
      <c r="M74">
        <v>-76.95223</v>
      </c>
      <c r="N74">
        <f>HYPERLINK("https://www.google.com/maps/search/?api=1&amp;query=-12.158731,-76.95223","Jirón Miraflores, Villa María del Triunfo, Lima")</f>
      </c>
      <c r="O74" t="str">
        <v>Se movio</v>
      </c>
      <c r="P74" t="str">
        <v/>
      </c>
      <c r="Q74">
        <v>2231.9</v>
      </c>
      <c r="R74" t="str">
        <v/>
      </c>
      <c r="S74">
        <v>8.8</v>
      </c>
      <c r="T74">
        <v>74.25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84</v>
      </c>
      <c r="AC74" t="str">
        <v>01/10/2026</v>
      </c>
      <c r="AD74" t="str">
        <v>09:39:43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09:39:54</v>
      </c>
      <c r="AL74" t="str">
        <v>09:39:54</v>
      </c>
      <c r="AM74" t="str">
        <v/>
      </c>
    </row>
    <row r="75">
      <c r="A75">
        <v>74</v>
      </c>
      <c r="B75" t="str">
        <v>MASS BSF</v>
      </c>
      <c r="C75" t="str">
        <v>F3I-769</v>
      </c>
      <c r="D75" t="str">
        <v>F3I-769</v>
      </c>
      <c r="E75" t="str">
        <v/>
      </c>
      <c r="F75" t="str">
        <v>867806075758377</v>
      </c>
      <c r="G75" t="str">
        <v>TBD</v>
      </c>
      <c r="H75" t="str">
        <v/>
      </c>
      <c r="I75" t="str">
        <v xml:space="preserve"> </v>
      </c>
      <c r="J75" t="str">
        <v>01/10/2026</v>
      </c>
      <c r="K75" t="str">
        <v>09:40:02</v>
      </c>
      <c r="L75">
        <v>-12.159083</v>
      </c>
      <c r="M75">
        <v>-76.95271</v>
      </c>
      <c r="N75">
        <f>HYPERLINK("https://www.google.com/maps/search/?api=1&amp;query=-12.159083,-76.95271","Jirón Miraflores, Villa María del Triunfo, Lima")</f>
      </c>
      <c r="O75" t="str">
        <v>Salió de zona</v>
      </c>
      <c r="P75" t="str">
        <v/>
      </c>
      <c r="Q75">
        <v>2231.9</v>
      </c>
      <c r="R75" t="str">
        <v>2412-MIRAF5 VMT MS</v>
      </c>
      <c r="S75">
        <v>21.2</v>
      </c>
      <c r="T75">
        <v>72.42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84</v>
      </c>
      <c r="AC75" t="str">
        <v>01/10/2026</v>
      </c>
      <c r="AD75" t="str">
        <v>09:39:57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09:40:24</v>
      </c>
      <c r="AL75" t="str">
        <v>09:40:24</v>
      </c>
      <c r="AM75" t="str">
        <v/>
      </c>
    </row>
    <row r="76">
      <c r="A76">
        <v>75</v>
      </c>
      <c r="B76" t="str">
        <v>MASS BSF</v>
      </c>
      <c r="C76" t="str">
        <v>F3I-769</v>
      </c>
      <c r="D76" t="str">
        <v>F3I-769</v>
      </c>
      <c r="E76" t="str">
        <v/>
      </c>
      <c r="F76" t="str">
        <v>867806075758377</v>
      </c>
      <c r="G76" t="str">
        <v>TBD</v>
      </c>
      <c r="H76" t="str">
        <v/>
      </c>
      <c r="I76" t="str">
        <v/>
      </c>
      <c r="J76" t="str">
        <v>01/10/2026</v>
      </c>
      <c r="K76" t="str">
        <v>09:40:40</v>
      </c>
      <c r="L76">
        <v>-12.160312</v>
      </c>
      <c r="M76">
        <v>-76.95425</v>
      </c>
      <c r="N76">
        <f>HYPERLINK("https://www.google.com/maps/search/?api=1&amp;query=-12.160312,-76.95425","Jirón Miraflores, Villa María del Triunfo, Lima")</f>
      </c>
      <c r="O76" t="str">
        <v>Bache</v>
      </c>
      <c r="P76" t="str">
        <v/>
      </c>
      <c r="Q76">
        <v>2232.2</v>
      </c>
      <c r="R76" t="str">
        <v/>
      </c>
      <c r="S76">
        <v>5.9</v>
      </c>
      <c r="T76">
        <v>74.25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84</v>
      </c>
      <c r="AC76" t="str">
        <v>01/10/2026</v>
      </c>
      <c r="AD76" t="str">
        <v>09:40:35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09:40:54</v>
      </c>
      <c r="AL76" t="str">
        <v>09:40:54</v>
      </c>
      <c r="AM76" t="str">
        <v/>
      </c>
    </row>
    <row r="77">
      <c r="A77">
        <v>76</v>
      </c>
      <c r="B77" t="str">
        <v>MASS BSF</v>
      </c>
      <c r="C77" t="str">
        <v>F3I-769</v>
      </c>
      <c r="D77" t="str">
        <v>F3I-769</v>
      </c>
      <c r="E77" t="str">
        <v/>
      </c>
      <c r="F77" t="str">
        <v>867806075758377</v>
      </c>
      <c r="G77" t="str">
        <v>TBD</v>
      </c>
      <c r="H77" t="str">
        <v/>
      </c>
      <c r="I77" t="str">
        <v/>
      </c>
      <c r="J77" t="str">
        <v>01/10/2026</v>
      </c>
      <c r="K77" t="str">
        <v>09:42:03</v>
      </c>
      <c r="L77">
        <v>-12.162454</v>
      </c>
      <c r="M77">
        <v>-76.95429</v>
      </c>
      <c r="N77">
        <f>HYPERLINK("https://www.google.com/maps/search/?api=1&amp;query=-12.162454,-76.95429","Jirón Jorge Chavez, Villa María del Triunfo, Lima")</f>
      </c>
      <c r="O77" t="str">
        <v>Bache</v>
      </c>
      <c r="P77" t="str">
        <v/>
      </c>
      <c r="Q77">
        <v>2232.5</v>
      </c>
      <c r="R77" t="str">
        <v/>
      </c>
      <c r="S77">
        <v>17.2</v>
      </c>
      <c r="T77">
        <v>74.25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85</v>
      </c>
      <c r="AC77" t="str">
        <v>01/10/2026</v>
      </c>
      <c r="AD77" t="str">
        <v>09:41:58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09:42:06</v>
      </c>
      <c r="AL77" t="str">
        <v>09:42:06</v>
      </c>
      <c r="AM77" t="str">
        <v/>
      </c>
    </row>
    <row r="78">
      <c r="A78">
        <v>77</v>
      </c>
      <c r="B78" t="str">
        <v>MASS BSF</v>
      </c>
      <c r="C78" t="str">
        <v>F3I-769</v>
      </c>
      <c r="D78" t="str">
        <v>F3I-769</v>
      </c>
      <c r="E78" t="str">
        <v/>
      </c>
      <c r="F78" t="str">
        <v>867806075758377</v>
      </c>
      <c r="G78" t="str">
        <v>TBD</v>
      </c>
      <c r="H78" t="str">
        <v/>
      </c>
      <c r="I78" t="str">
        <v xml:space="preserve"> </v>
      </c>
      <c r="J78" t="str">
        <v>01/10/2026</v>
      </c>
      <c r="K78" t="str">
        <v>09:49:03</v>
      </c>
      <c r="L78">
        <v>-12.168756</v>
      </c>
      <c r="M78">
        <v>-76.95085</v>
      </c>
      <c r="N78">
        <f>HYPERLINK("https://www.google.com/maps/search/?api=1&amp;query=-12.168756,-76.95085","Avenida Pachacútec, Villa María del Triunfo, Lima")</f>
      </c>
      <c r="O78" t="str">
        <v>Llegó a la zona</v>
      </c>
      <c r="P78" t="str">
        <v/>
      </c>
      <c r="Q78">
        <v>2234.3</v>
      </c>
      <c r="R78" t="str">
        <v>293-LA ESTACION</v>
      </c>
      <c r="S78">
        <v>0</v>
      </c>
      <c r="T78">
        <v>72.42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91</v>
      </c>
      <c r="AC78" t="str">
        <v>01/10/2026</v>
      </c>
      <c r="AD78" t="str">
        <v>09:48:58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09:49:08</v>
      </c>
      <c r="AL78" t="str">
        <v>09:49:08</v>
      </c>
      <c r="AM78" t="str">
        <v/>
      </c>
    </row>
    <row r="79">
      <c r="A79">
        <v>78</v>
      </c>
      <c r="B79" t="str">
        <v>MASS BSF</v>
      </c>
      <c r="C79" t="str">
        <v>F3I-769</v>
      </c>
      <c r="D79" t="str">
        <v>F3I-769</v>
      </c>
      <c r="E79" t="str">
        <v/>
      </c>
      <c r="F79" t="str">
        <v>867806075758377</v>
      </c>
      <c r="G79" t="str">
        <v>TBD</v>
      </c>
      <c r="H79" t="str">
        <v/>
      </c>
      <c r="I79" t="str">
        <v/>
      </c>
      <c r="J79" t="str">
        <v>01/10/2026</v>
      </c>
      <c r="K79" t="str">
        <v>09:51:17</v>
      </c>
      <c r="L79">
        <v>-12.168756</v>
      </c>
      <c r="M79">
        <v>-76.95085</v>
      </c>
      <c r="N79">
        <f>HYPERLINK("https://www.google.com/maps/search/?api=1&amp;query=-12.168756,-76.95085","Avenida Pachacútec, Villa María del Triunfo, Lima")</f>
      </c>
      <c r="O79" t="str">
        <v>Inicio de ralentí</v>
      </c>
      <c r="P79" t="str">
        <v>Vehículo Detenido</v>
      </c>
      <c r="Q79">
        <v>2234.4</v>
      </c>
      <c r="R79" t="str">
        <v/>
      </c>
      <c r="S79">
        <v>0</v>
      </c>
      <c r="T79">
        <v>74.25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91</v>
      </c>
      <c r="AC79" t="str">
        <v>01/10/2026</v>
      </c>
      <c r="AD79" t="str">
        <v>09:51:12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09:51:30</v>
      </c>
      <c r="AL79" t="str">
        <v>09:51:30</v>
      </c>
      <c r="AM79" t="str">
        <v/>
      </c>
    </row>
    <row r="80">
      <c r="A80">
        <v>79</v>
      </c>
      <c r="B80" t="str">
        <v>MASS BSF</v>
      </c>
      <c r="C80" t="str">
        <v>F3I-769</v>
      </c>
      <c r="D80" t="str">
        <v>F3I-769</v>
      </c>
      <c r="E80" t="str">
        <v/>
      </c>
      <c r="F80" t="str">
        <v>867806075758377</v>
      </c>
      <c r="G80" t="str">
        <v>TBD</v>
      </c>
      <c r="H80" t="str">
        <v/>
      </c>
      <c r="I80" t="str">
        <v/>
      </c>
      <c r="J80" t="str">
        <v>01/10/2026</v>
      </c>
      <c r="K80" t="str">
        <v>10:05:08</v>
      </c>
      <c r="L80">
        <v>-12.168756</v>
      </c>
      <c r="M80">
        <v>-76.95085</v>
      </c>
      <c r="N80">
        <f>HYPERLINK("https://www.google.com/maps/search/?api=1&amp;query=-12.168756,-76.95085","Avenida Pachacútec, Villa María del Triunfo, Lima")</f>
      </c>
      <c r="O80" t="str">
        <v>Fin de ralentí</v>
      </c>
      <c r="P80" t="str">
        <v/>
      </c>
      <c r="Q80">
        <v>2234.4</v>
      </c>
      <c r="R80" t="str">
        <v/>
      </c>
      <c r="S80">
        <v>0</v>
      </c>
      <c r="T80">
        <v>74.25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91</v>
      </c>
      <c r="AC80" t="str">
        <v>01/10/2026</v>
      </c>
      <c r="AD80" t="str">
        <v>10:05:03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10:05:24</v>
      </c>
      <c r="AL80" t="str">
        <v>10:05:24</v>
      </c>
      <c r="AM80" t="str">
        <v/>
      </c>
    </row>
    <row r="81">
      <c r="A81">
        <v>80</v>
      </c>
      <c r="B81" t="str">
        <v>MASS BSF</v>
      </c>
      <c r="C81" t="str">
        <v>F3I-769</v>
      </c>
      <c r="D81" t="str">
        <v>F3I-769</v>
      </c>
      <c r="E81" t="str">
        <v/>
      </c>
      <c r="F81" t="str">
        <v>867806075758377</v>
      </c>
      <c r="G81" t="str">
        <v>TBD</v>
      </c>
      <c r="H81" t="str">
        <v/>
      </c>
      <c r="I81" t="str">
        <v/>
      </c>
      <c r="J81" t="str">
        <v>01/10/2026</v>
      </c>
      <c r="K81" t="str">
        <v>10:08:12</v>
      </c>
      <c r="L81">
        <v>-12.16909</v>
      </c>
      <c r="M81">
        <v>-76.95066</v>
      </c>
      <c r="N81">
        <f>HYPERLINK("https://www.google.com/maps/search/?api=1&amp;query=-12.16909,-76.95066","Avenida Pachacútec, Villa María del Triunfo, Lima")</f>
      </c>
      <c r="O81" t="str">
        <v>Se movio</v>
      </c>
      <c r="P81" t="str">
        <v/>
      </c>
      <c r="Q81">
        <v>2234.5</v>
      </c>
      <c r="R81" t="str">
        <v/>
      </c>
      <c r="S81">
        <v>24.4</v>
      </c>
      <c r="T81">
        <v>74.25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83</v>
      </c>
      <c r="AC81" t="str">
        <v>01/10/2026</v>
      </c>
      <c r="AD81" t="str">
        <v>10:08:07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10:08:24</v>
      </c>
      <c r="AL81" t="str">
        <v>10:08:24</v>
      </c>
      <c r="AM81" t="str">
        <v/>
      </c>
    </row>
    <row r="82">
      <c r="A82">
        <v>81</v>
      </c>
      <c r="B82" t="str">
        <v>MASS BSF</v>
      </c>
      <c r="C82" t="str">
        <v>F3I-769</v>
      </c>
      <c r="D82" t="str">
        <v>F3I-769</v>
      </c>
      <c r="E82" t="str">
        <v/>
      </c>
      <c r="F82" t="str">
        <v>867806075758377</v>
      </c>
      <c r="G82" t="str">
        <v>TBD</v>
      </c>
      <c r="H82" t="str">
        <v/>
      </c>
      <c r="I82" t="str">
        <v xml:space="preserve"> </v>
      </c>
      <c r="J82" t="str">
        <v>01/10/2026</v>
      </c>
      <c r="K82" t="str">
        <v>10:08:52</v>
      </c>
      <c r="L82">
        <v>-12.171515</v>
      </c>
      <c r="M82">
        <v>-76.94926</v>
      </c>
      <c r="N82">
        <f>HYPERLINK("https://www.google.com/maps/search/?api=1&amp;query=-12.171515,-76.94926","Avenida Pachacútec, Villa María del Triunfo, Lima")</f>
      </c>
      <c r="O82" t="str">
        <v>Salió de zona</v>
      </c>
      <c r="P82" t="str">
        <v/>
      </c>
      <c r="Q82">
        <v>2234.8</v>
      </c>
      <c r="R82" t="str">
        <v>293-LA ESTACION</v>
      </c>
      <c r="S82">
        <v>6.8</v>
      </c>
      <c r="T82">
        <v>72.42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84</v>
      </c>
      <c r="AC82" t="str">
        <v>01/10/2026</v>
      </c>
      <c r="AD82" t="str">
        <v>10:08:48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10:09:01</v>
      </c>
      <c r="AL82" t="str">
        <v>10:09:01</v>
      </c>
      <c r="AM82" t="str">
        <v/>
      </c>
    </row>
    <row r="83">
      <c r="A83">
        <v>82</v>
      </c>
      <c r="B83" t="str">
        <v>MASS BSF</v>
      </c>
      <c r="C83" t="str">
        <v>F3I-769</v>
      </c>
      <c r="D83" t="str">
        <v>F3I-769</v>
      </c>
      <c r="E83" t="str">
        <v/>
      </c>
      <c r="F83" t="str">
        <v>867806075758377</v>
      </c>
      <c r="G83" t="str">
        <v>TBD</v>
      </c>
      <c r="H83" t="str">
        <v/>
      </c>
      <c r="I83" t="str">
        <v/>
      </c>
      <c r="J83" t="str">
        <v>01/10/2026</v>
      </c>
      <c r="K83" t="str">
        <v>10:09:33</v>
      </c>
      <c r="L83">
        <v>-12.173835</v>
      </c>
      <c r="M83">
        <v>-76.94951</v>
      </c>
      <c r="N83">
        <f>HYPERLINK("https://www.google.com/maps/search/?api=1&amp;query=-12.173835,-76.94951","Avenida La Unión, Villa María del Triunfo, Lima")</f>
      </c>
      <c r="O83" t="str">
        <v>Aceleración brusca</v>
      </c>
      <c r="P83" t="str">
        <v>CMT-910</v>
      </c>
      <c r="Q83">
        <v>2235</v>
      </c>
      <c r="R83" t="str">
        <v/>
      </c>
      <c r="S83">
        <v>3.8</v>
      </c>
      <c r="T83">
        <v>74.25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83</v>
      </c>
      <c r="AC83" t="str">
        <v>01/10/2026</v>
      </c>
      <c r="AD83" t="str">
        <v>10:09:28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10:09:46</v>
      </c>
      <c r="AL83" t="str">
        <v>10:09:46</v>
      </c>
      <c r="AM83" t="str">
        <v/>
      </c>
    </row>
    <row r="84">
      <c r="A84">
        <v>83</v>
      </c>
      <c r="B84" t="str">
        <v>MASS BSF</v>
      </c>
      <c r="C84" t="str">
        <v>F3I-769</v>
      </c>
      <c r="D84" t="str">
        <v>F3I-769</v>
      </c>
      <c r="E84" t="str">
        <v/>
      </c>
      <c r="F84" t="str">
        <v>867806075758377</v>
      </c>
      <c r="G84" t="str">
        <v>TBD</v>
      </c>
      <c r="H84" t="str">
        <v/>
      </c>
      <c r="I84" t="str">
        <v/>
      </c>
      <c r="J84" t="str">
        <v>01/10/2026</v>
      </c>
      <c r="K84" t="str">
        <v>10:09:57</v>
      </c>
      <c r="L84">
        <v>-12.17538</v>
      </c>
      <c r="M84">
        <v>-76.94946</v>
      </c>
      <c r="N84">
        <f>HYPERLINK("https://www.google.com/maps/search/?api=1&amp;query=-12.17538,-76.94946","Avenida La Unión, Villa María del Triunfo, Lima")</f>
      </c>
      <c r="O84" t="str">
        <v>Exceso de velocidad en segmento vial</v>
      </c>
      <c r="P84" t="str">
        <v/>
      </c>
      <c r="Q84">
        <v>2235.2</v>
      </c>
      <c r="R84" t="str">
        <v/>
      </c>
      <c r="S84">
        <v>42.5</v>
      </c>
      <c r="T84">
        <v>74.25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83</v>
      </c>
      <c r="AC84" t="str">
        <v>01/10/2026</v>
      </c>
      <c r="AD84" t="str">
        <v>10:09:53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10:10:10</v>
      </c>
      <c r="AL84" t="str">
        <v>10:10:10</v>
      </c>
      <c r="AM84" t="str">
        <v/>
      </c>
    </row>
    <row r="85">
      <c r="A85">
        <v>84</v>
      </c>
      <c r="B85" t="str">
        <v>MASS BSF</v>
      </c>
      <c r="C85" t="str">
        <v>F3I-769</v>
      </c>
      <c r="D85" t="str">
        <v>F3I-769</v>
      </c>
      <c r="E85" t="str">
        <v/>
      </c>
      <c r="F85" t="str">
        <v>867806075758377</v>
      </c>
      <c r="G85" t="str">
        <v>TBD</v>
      </c>
      <c r="H85" t="str">
        <v/>
      </c>
      <c r="I85" t="str">
        <v/>
      </c>
      <c r="J85" t="str">
        <v>01/10/2026</v>
      </c>
      <c r="K85" t="str">
        <v>10:10:02</v>
      </c>
      <c r="L85">
        <v>-12.175925</v>
      </c>
      <c r="M85">
        <v>-76.949326</v>
      </c>
      <c r="N85">
        <f>HYPERLINK("https://www.google.com/maps/search/?api=1&amp;query=-12.175925,-76.949326","Avenida La Unión, Villa María del Triunfo, Lima")</f>
      </c>
      <c r="O85" t="str">
        <v>Exceso de velocidad en segmento vial</v>
      </c>
      <c r="P85" t="str">
        <v/>
      </c>
      <c r="Q85">
        <v>2235.3</v>
      </c>
      <c r="R85" t="str">
        <v/>
      </c>
      <c r="S85">
        <v>42.4</v>
      </c>
      <c r="T85">
        <v>74.25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91</v>
      </c>
      <c r="AC85" t="str">
        <v>01/10/2026</v>
      </c>
      <c r="AD85" t="str">
        <v>10:09:58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10:10:26</v>
      </c>
      <c r="AL85" t="str">
        <v>10:10:26</v>
      </c>
      <c r="AM85" t="str">
        <v/>
      </c>
    </row>
    <row r="86">
      <c r="A86">
        <v>85</v>
      </c>
      <c r="B86" t="str">
        <v>MASS BSF</v>
      </c>
      <c r="C86" t="str">
        <v>F3I-769</v>
      </c>
      <c r="D86" t="str">
        <v>F3I-769</v>
      </c>
      <c r="E86" t="str">
        <v/>
      </c>
      <c r="F86" t="str">
        <v>867806075758377</v>
      </c>
      <c r="G86" t="str">
        <v>TBD</v>
      </c>
      <c r="H86" t="str">
        <v/>
      </c>
      <c r="I86" t="str">
        <v/>
      </c>
      <c r="J86" t="str">
        <v>01/10/2026</v>
      </c>
      <c r="K86" t="str">
        <v>10:10:25</v>
      </c>
      <c r="L86">
        <v>-12.176595</v>
      </c>
      <c r="M86">
        <v>-76.94901</v>
      </c>
      <c r="N86">
        <f>HYPERLINK("https://www.google.com/maps/search/?api=1&amp;query=-12.176595,-76.94901","Avenida La Unión, Villa María del Triunfo, Lima")</f>
      </c>
      <c r="O86" t="str">
        <v>Aceleración brusca</v>
      </c>
      <c r="P86" t="str">
        <v>CMT-910</v>
      </c>
      <c r="Q86">
        <v>2235.3</v>
      </c>
      <c r="R86" t="str">
        <v/>
      </c>
      <c r="S86">
        <v>6.4</v>
      </c>
      <c r="T86">
        <v>74.25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91</v>
      </c>
      <c r="AC86" t="str">
        <v>01/10/2026</v>
      </c>
      <c r="AD86" t="str">
        <v>10:10:20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10:10:34</v>
      </c>
      <c r="AL86" t="str">
        <v>10:10:34</v>
      </c>
      <c r="AM86" t="str">
        <v/>
      </c>
    </row>
    <row r="87">
      <c r="A87">
        <v>86</v>
      </c>
      <c r="B87" t="str">
        <v>MASS BSF</v>
      </c>
      <c r="C87" t="str">
        <v>F3I-769</v>
      </c>
      <c r="D87" t="str">
        <v>F3I-769</v>
      </c>
      <c r="E87" t="str">
        <v/>
      </c>
      <c r="F87" t="str">
        <v>867806075758377</v>
      </c>
      <c r="G87" t="str">
        <v>TBD</v>
      </c>
      <c r="H87" t="str">
        <v/>
      </c>
      <c r="I87" t="str">
        <v/>
      </c>
      <c r="J87" t="str">
        <v>01/10/2026</v>
      </c>
      <c r="K87" t="str">
        <v>10:11:00</v>
      </c>
      <c r="L87">
        <v>-12.179433</v>
      </c>
      <c r="M87">
        <v>-76.94748</v>
      </c>
      <c r="N87">
        <f>HYPERLINK("https://www.google.com/maps/search/?api=1&amp;query=-12.179433,-76.94748","Avenida La Unión, Villa María del Triunfo, Lima")</f>
      </c>
      <c r="O87" t="str">
        <v>Exceso de velocidad en segmento vial</v>
      </c>
      <c r="P87" t="str">
        <v/>
      </c>
      <c r="Q87">
        <v>2235.7</v>
      </c>
      <c r="R87" t="str">
        <v/>
      </c>
      <c r="S87">
        <v>49.2</v>
      </c>
      <c r="T87">
        <v>74.25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89</v>
      </c>
      <c r="AC87" t="str">
        <v>01/10/2026</v>
      </c>
      <c r="AD87" t="str">
        <v>10:10:56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10:11:17</v>
      </c>
      <c r="AL87" t="str">
        <v>10:11:17</v>
      </c>
      <c r="AM87" t="str">
        <v/>
      </c>
    </row>
    <row r="88">
      <c r="A88">
        <v>87</v>
      </c>
      <c r="B88" t="str">
        <v>MASS BSF</v>
      </c>
      <c r="C88" t="str">
        <v>F3I-769</v>
      </c>
      <c r="D88" t="str">
        <v>F3I-769</v>
      </c>
      <c r="E88" t="str">
        <v/>
      </c>
      <c r="F88" t="str">
        <v>867806075758377</v>
      </c>
      <c r="G88" t="str">
        <v>TBD</v>
      </c>
      <c r="H88" t="str">
        <v/>
      </c>
      <c r="I88" t="str">
        <v/>
      </c>
      <c r="J88" t="str">
        <v>01/10/2026</v>
      </c>
      <c r="K88" t="str">
        <v>10:11:05</v>
      </c>
      <c r="L88">
        <v>-12.180003</v>
      </c>
      <c r="M88">
        <v>-76.94734</v>
      </c>
      <c r="N88">
        <f>HYPERLINK("https://www.google.com/maps/search/?api=1&amp;query=-12.180003,-76.94734","Avenida La Unión, Villa María del Triunfo, Lima")</f>
      </c>
      <c r="O88" t="str">
        <v>Exceso de velocidad en segmento vial</v>
      </c>
      <c r="P88" t="str">
        <v/>
      </c>
      <c r="Q88">
        <v>2235.8</v>
      </c>
      <c r="R88" t="str">
        <v/>
      </c>
      <c r="S88">
        <v>47</v>
      </c>
      <c r="T88">
        <v>74.25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89</v>
      </c>
      <c r="AC88" t="str">
        <v>01/10/2026</v>
      </c>
      <c r="AD88" t="str">
        <v>10:11:01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10:11:20</v>
      </c>
      <c r="AL88" t="str">
        <v>10:11:20</v>
      </c>
      <c r="AM88" t="str">
        <v/>
      </c>
    </row>
    <row r="89">
      <c r="A89">
        <v>88</v>
      </c>
      <c r="B89" t="str">
        <v>MASS BSF</v>
      </c>
      <c r="C89" t="str">
        <v>F3I-769</v>
      </c>
      <c r="D89" t="str">
        <v>F3I-769</v>
      </c>
      <c r="E89" t="str">
        <v/>
      </c>
      <c r="F89" t="str">
        <v>867806075758377</v>
      </c>
      <c r="G89" t="str">
        <v>TBD</v>
      </c>
      <c r="H89" t="str">
        <v/>
      </c>
      <c r="I89" t="str">
        <v/>
      </c>
      <c r="J89" t="str">
        <v>01/10/2026</v>
      </c>
      <c r="K89" t="str">
        <v>10:11:11</v>
      </c>
      <c r="L89">
        <v>-12.180573</v>
      </c>
      <c r="M89">
        <v>-76.94726</v>
      </c>
      <c r="N89">
        <f>HYPERLINK("https://www.google.com/maps/search/?api=1&amp;query=-12.180573,-76.94726","Avenida La Unión, Villa María del Triunfo, Lima")</f>
      </c>
      <c r="O89" t="str">
        <v>Bache</v>
      </c>
      <c r="P89" t="str">
        <v/>
      </c>
      <c r="Q89">
        <v>2235.8</v>
      </c>
      <c r="R89" t="str">
        <v/>
      </c>
      <c r="S89">
        <v>42</v>
      </c>
      <c r="T89">
        <v>74.25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89</v>
      </c>
      <c r="AC89" t="str">
        <v>01/10/2026</v>
      </c>
      <c r="AD89" t="str">
        <v>10:11:06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10:11:28</v>
      </c>
      <c r="AL89" t="str">
        <v>10:11:28</v>
      </c>
      <c r="AM89" t="str">
        <v/>
      </c>
    </row>
    <row r="90">
      <c r="A90">
        <v>89</v>
      </c>
      <c r="B90" t="str">
        <v>MASS BSF</v>
      </c>
      <c r="C90" t="str">
        <v>F3I-769</v>
      </c>
      <c r="D90" t="str">
        <v>F3I-769</v>
      </c>
      <c r="E90" t="str">
        <v/>
      </c>
      <c r="F90" t="str">
        <v>867806075758377</v>
      </c>
      <c r="G90" t="str">
        <v>TBD</v>
      </c>
      <c r="H90" t="str">
        <v/>
      </c>
      <c r="I90" t="str">
        <v/>
      </c>
      <c r="J90" t="str">
        <v>01/10/2026</v>
      </c>
      <c r="K90" t="str">
        <v>10:11:23</v>
      </c>
      <c r="L90">
        <v>-12.181508</v>
      </c>
      <c r="M90">
        <v>-76.947136</v>
      </c>
      <c r="N90">
        <f>HYPERLINK("https://www.google.com/maps/search/?api=1&amp;query=-12.181508,-76.947136","Avenida La Unión, Villa María del Triunfo, Lima")</f>
      </c>
      <c r="O90" t="str">
        <v>Aceleración brusca</v>
      </c>
      <c r="P90" t="str">
        <v>CMT-910</v>
      </c>
      <c r="Q90">
        <v>2235.9</v>
      </c>
      <c r="R90" t="str">
        <v/>
      </c>
      <c r="S90">
        <v>8.1</v>
      </c>
      <c r="T90">
        <v>74.25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89</v>
      </c>
      <c r="AC90" t="str">
        <v>01/10/2026</v>
      </c>
      <c r="AD90" t="str">
        <v>10:11:18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10:11:30</v>
      </c>
      <c r="AL90" t="str">
        <v>10:11:30</v>
      </c>
      <c r="AM90" t="str">
        <v/>
      </c>
    </row>
    <row r="91">
      <c r="A91">
        <v>90</v>
      </c>
      <c r="B91" t="str">
        <v>MASS BSF</v>
      </c>
      <c r="C91" t="str">
        <v>F3I-769</v>
      </c>
      <c r="D91" t="str">
        <v>F3I-769</v>
      </c>
      <c r="E91" t="str">
        <v/>
      </c>
      <c r="F91" t="str">
        <v>867806075758377</v>
      </c>
      <c r="G91" t="str">
        <v>TBD</v>
      </c>
      <c r="H91" t="str">
        <v/>
      </c>
      <c r="I91" t="str">
        <v/>
      </c>
      <c r="J91" t="str">
        <v>01/10/2026</v>
      </c>
      <c r="K91" t="str">
        <v>10:16:38</v>
      </c>
      <c r="L91">
        <v>-12.191502</v>
      </c>
      <c r="M91">
        <v>-76.93707</v>
      </c>
      <c r="N91">
        <f>HYPERLINK("https://www.google.com/maps/search/?api=1&amp;query=-12.191502,-76.93707","Avenida Pachacútec, Villa El Salvador, Lima")</f>
      </c>
      <c r="O91" t="str">
        <v>Bache</v>
      </c>
      <c r="P91" t="str">
        <v/>
      </c>
      <c r="Q91">
        <v>2237.9</v>
      </c>
      <c r="R91" t="str">
        <v/>
      </c>
      <c r="S91">
        <v>52.4</v>
      </c>
      <c r="T91">
        <v>74.25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83</v>
      </c>
      <c r="AC91" t="str">
        <v>01/10/2026</v>
      </c>
      <c r="AD91" t="str">
        <v>10:16:33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10:17:01</v>
      </c>
      <c r="AL91" t="str">
        <v>10:17:01</v>
      </c>
      <c r="AM91" t="str">
        <v/>
      </c>
    </row>
    <row r="92">
      <c r="A92">
        <v>91</v>
      </c>
      <c r="B92" t="str">
        <v>MASS BSF</v>
      </c>
      <c r="C92" t="str">
        <v>F3I-769</v>
      </c>
      <c r="D92" t="str">
        <v>F3I-769</v>
      </c>
      <c r="E92" t="str">
        <v/>
      </c>
      <c r="F92" t="str">
        <v>867806075758377</v>
      </c>
      <c r="G92" t="str">
        <v>TBD</v>
      </c>
      <c r="H92" t="str">
        <v/>
      </c>
      <c r="I92" t="str">
        <v/>
      </c>
      <c r="J92" t="str">
        <v>01/10/2026</v>
      </c>
      <c r="K92" t="str">
        <v>10:16:48</v>
      </c>
      <c r="L92">
        <v>-12.19235</v>
      </c>
      <c r="M92">
        <v>-76.93653</v>
      </c>
      <c r="N92">
        <f>HYPERLINK("https://www.google.com/maps/search/?api=1&amp;query=-12.19235,-76.93653","Avenida Pachacútec, Villa El Salvador, Lima")</f>
      </c>
      <c r="O92" t="str">
        <v>Aceleración brusca</v>
      </c>
      <c r="P92" t="str">
        <v>CMT-910</v>
      </c>
      <c r="Q92">
        <v>2238.1</v>
      </c>
      <c r="R92" t="str">
        <v/>
      </c>
      <c r="S92">
        <v>12.9</v>
      </c>
      <c r="T92">
        <v>74.25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83</v>
      </c>
      <c r="AC92" t="str">
        <v>01/10/2026</v>
      </c>
      <c r="AD92" t="str">
        <v>10:16:43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10:16:55</v>
      </c>
      <c r="AL92" t="str">
        <v>10:16:55</v>
      </c>
      <c r="AM92" t="str">
        <v/>
      </c>
    </row>
    <row r="93">
      <c r="A93">
        <v>92</v>
      </c>
      <c r="B93" t="str">
        <v>MASS BSF</v>
      </c>
      <c r="C93" t="str">
        <v>F3I-769</v>
      </c>
      <c r="D93" t="str">
        <v>F3I-769</v>
      </c>
      <c r="E93" t="str">
        <v/>
      </c>
      <c r="F93" t="str">
        <v>867806075758377</v>
      </c>
      <c r="G93" t="str">
        <v>TBD</v>
      </c>
      <c r="H93" t="str">
        <v/>
      </c>
      <c r="I93" t="str">
        <v/>
      </c>
      <c r="J93" t="str">
        <v>01/10/2026</v>
      </c>
      <c r="K93" t="str">
        <v>10:18:16</v>
      </c>
      <c r="L93">
        <v>-12.197503</v>
      </c>
      <c r="M93">
        <v>-76.93343</v>
      </c>
      <c r="N93">
        <f>HYPERLINK("https://www.google.com/maps/search/?api=1&amp;query=-12.197503,-76.93343","Avenida Pachacútec, Villa María del Triunfo, Lima")</f>
      </c>
      <c r="O93" t="str">
        <v>Bache</v>
      </c>
      <c r="P93" t="str">
        <v/>
      </c>
      <c r="Q93">
        <v>2238.7</v>
      </c>
      <c r="R93" t="str">
        <v/>
      </c>
      <c r="S93">
        <v>10.9</v>
      </c>
      <c r="T93">
        <v>74.25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83</v>
      </c>
      <c r="AC93" t="str">
        <v>01/10/2026</v>
      </c>
      <c r="AD93" t="str">
        <v>10:18:11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10:18:30</v>
      </c>
      <c r="AL93" t="str">
        <v>10:18:30</v>
      </c>
      <c r="AM93" t="str">
        <v/>
      </c>
    </row>
    <row r="94">
      <c r="A94">
        <v>93</v>
      </c>
      <c r="B94" t="str">
        <v>MASS BSF</v>
      </c>
      <c r="C94" t="str">
        <v>F3I-769</v>
      </c>
      <c r="D94" t="str">
        <v>F3I-769</v>
      </c>
      <c r="E94" t="str">
        <v/>
      </c>
      <c r="F94" t="str">
        <v>867806075758377</v>
      </c>
      <c r="G94" t="str">
        <v>TBD</v>
      </c>
      <c r="H94" t="str">
        <v/>
      </c>
      <c r="I94" t="str">
        <v/>
      </c>
      <c r="J94" t="str">
        <v>01/10/2026</v>
      </c>
      <c r="K94" t="str">
        <v>10:19:11</v>
      </c>
      <c r="L94">
        <v>-12.203094</v>
      </c>
      <c r="M94">
        <v>-76.93007</v>
      </c>
      <c r="N94">
        <f>HYPERLINK("https://www.google.com/maps/search/?api=1&amp;query=-12.203094,-76.93007","Avenida Pachacútec, Villa María del Triunfo, Lima")</f>
      </c>
      <c r="O94" t="str">
        <v>Bache</v>
      </c>
      <c r="P94" t="str">
        <v/>
      </c>
      <c r="Q94">
        <v>2239.4</v>
      </c>
      <c r="R94" t="str">
        <v/>
      </c>
      <c r="S94">
        <v>49</v>
      </c>
      <c r="T94">
        <v>74.25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83</v>
      </c>
      <c r="AC94" t="str">
        <v>01/10/2026</v>
      </c>
      <c r="AD94" t="str">
        <v>10:19:11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10:19:28</v>
      </c>
      <c r="AL94" t="str">
        <v>10:19:28</v>
      </c>
      <c r="AM94" t="str">
        <v/>
      </c>
    </row>
    <row r="95">
      <c r="A95">
        <v>94</v>
      </c>
      <c r="B95" t="str">
        <v>MASS BSF</v>
      </c>
      <c r="C95" t="str">
        <v>F3I-769</v>
      </c>
      <c r="D95" t="str">
        <v>F3I-769</v>
      </c>
      <c r="E95" t="str">
        <v/>
      </c>
      <c r="F95" t="str">
        <v>867806075758377</v>
      </c>
      <c r="G95" t="str">
        <v>TBD</v>
      </c>
      <c r="H95" t="str">
        <v/>
      </c>
      <c r="I95" t="str">
        <v/>
      </c>
      <c r="J95" t="str">
        <v>01/10/2026</v>
      </c>
      <c r="K95" t="str">
        <v>10:21:25</v>
      </c>
      <c r="L95">
        <v>-12.210928</v>
      </c>
      <c r="M95">
        <v>-76.92476</v>
      </c>
      <c r="N95">
        <f>HYPERLINK("https://www.google.com/maps/search/?api=1&amp;query=-12.210928,-76.92476","Avenida Pachacútec, Villa María del Triunfo, Lima")</f>
      </c>
      <c r="O95" t="str">
        <v>Bache</v>
      </c>
      <c r="P95" t="str">
        <v/>
      </c>
      <c r="Q95">
        <v>2240.5</v>
      </c>
      <c r="R95" t="str">
        <v/>
      </c>
      <c r="S95">
        <v>10.1</v>
      </c>
      <c r="T95">
        <v>74.25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83</v>
      </c>
      <c r="AC95" t="str">
        <v>01/10/2026</v>
      </c>
      <c r="AD95" t="str">
        <v>10:21:25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10:21:35</v>
      </c>
      <c r="AL95" t="str">
        <v>10:21:35</v>
      </c>
      <c r="AM95" t="str">
        <v/>
      </c>
    </row>
    <row r="96">
      <c r="A96">
        <v>95</v>
      </c>
      <c r="B96" t="str">
        <v>MASS BSF</v>
      </c>
      <c r="C96" t="str">
        <v>F3I-769</v>
      </c>
      <c r="D96" t="str">
        <v>F3I-769</v>
      </c>
      <c r="E96" t="str">
        <v/>
      </c>
      <c r="F96" t="str">
        <v>867806075758377</v>
      </c>
      <c r="G96" t="str">
        <v>TBD</v>
      </c>
      <c r="H96" t="str">
        <v/>
      </c>
      <c r="I96" t="str">
        <v/>
      </c>
      <c r="J96" t="str">
        <v>01/10/2026</v>
      </c>
      <c r="K96" t="str">
        <v>10:23:01</v>
      </c>
      <c r="L96">
        <v>-12.220825</v>
      </c>
      <c r="M96">
        <v>-76.92078</v>
      </c>
      <c r="N96">
        <f>HYPERLINK("https://www.google.com/maps/search/?api=1&amp;query=-12.220825,-76.92078","Avenida Pachacútec, Villa El Salvador, Lima")</f>
      </c>
      <c r="O96" t="str">
        <v>Bache</v>
      </c>
      <c r="P96" t="str">
        <v/>
      </c>
      <c r="Q96">
        <v>2241.7</v>
      </c>
      <c r="R96" t="str">
        <v/>
      </c>
      <c r="S96">
        <v>55</v>
      </c>
      <c r="T96">
        <v>74.25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83</v>
      </c>
      <c r="AC96" t="str">
        <v>01/10/2026</v>
      </c>
      <c r="AD96" t="str">
        <v>10:23:01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10:23:29</v>
      </c>
      <c r="AL96" t="str">
        <v>10:23:29</v>
      </c>
      <c r="AM96" t="str">
        <v/>
      </c>
    </row>
    <row r="97">
      <c r="A97">
        <v>96</v>
      </c>
      <c r="B97" t="str">
        <v>MASS BSF</v>
      </c>
      <c r="C97" t="str">
        <v>F3I-769</v>
      </c>
      <c r="D97" t="str">
        <v>F3I-769</v>
      </c>
      <c r="E97" t="str">
        <v/>
      </c>
      <c r="F97" t="str">
        <v>867806075758377</v>
      </c>
      <c r="G97" t="str">
        <v>TBD</v>
      </c>
      <c r="H97" t="str">
        <v/>
      </c>
      <c r="I97" t="str">
        <v/>
      </c>
      <c r="J97" t="str">
        <v>01/10/2026</v>
      </c>
      <c r="K97" t="str">
        <v>10:27:49</v>
      </c>
      <c r="L97">
        <v>-12.24061</v>
      </c>
      <c r="M97">
        <v>-76.91362</v>
      </c>
      <c r="N97">
        <f>HYPERLINK("https://www.google.com/maps/search/?api=1&amp;query=-12.24061,-76.91362","Avenida María Reiche, Villa El Salvador, Lima")</f>
      </c>
      <c r="O97" t="str">
        <v>Bache</v>
      </c>
      <c r="P97" t="str">
        <v/>
      </c>
      <c r="Q97">
        <v>2244.3</v>
      </c>
      <c r="R97" t="str">
        <v/>
      </c>
      <c r="S97">
        <v>16.6</v>
      </c>
      <c r="T97">
        <v>74.25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90</v>
      </c>
      <c r="AC97" t="str">
        <v>01/10/2026</v>
      </c>
      <c r="AD97" t="str">
        <v>10:27:49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10:27:59</v>
      </c>
      <c r="AL97" t="str">
        <v>10:27:59</v>
      </c>
      <c r="AM97" t="str">
        <v/>
      </c>
    </row>
    <row r="98">
      <c r="A98">
        <v>97</v>
      </c>
      <c r="B98" t="str">
        <v>MASS BSF</v>
      </c>
      <c r="C98" t="str">
        <v>F3I-769</v>
      </c>
      <c r="D98" t="str">
        <v>F3I-769</v>
      </c>
      <c r="E98" t="str">
        <v/>
      </c>
      <c r="F98" t="str">
        <v>867806075758377</v>
      </c>
      <c r="G98" t="str">
        <v>TBD</v>
      </c>
      <c r="H98" t="str">
        <v/>
      </c>
      <c r="I98" t="str">
        <v/>
      </c>
      <c r="J98" t="str">
        <v>01/10/2026</v>
      </c>
      <c r="K98" t="str">
        <v>10:27:50</v>
      </c>
      <c r="L98">
        <v>-12.240599</v>
      </c>
      <c r="M98">
        <v>-76.913574</v>
      </c>
      <c r="N98">
        <f>HYPERLINK("https://www.google.com/maps/search/?api=1&amp;query=-12.240599,-76.913574","Avenida María Reiche, Villa El Salvador, Lima")</f>
      </c>
      <c r="O98" t="str">
        <v>Frenado y giro brusco</v>
      </c>
      <c r="P98" t="str">
        <v/>
      </c>
      <c r="Q98">
        <v>2244.3</v>
      </c>
      <c r="R98" t="str">
        <v/>
      </c>
      <c r="S98">
        <v>18.5</v>
      </c>
      <c r="T98">
        <v>74.25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90</v>
      </c>
      <c r="AC98" t="str">
        <v>01/10/2026</v>
      </c>
      <c r="AD98" t="str">
        <v>10:27:50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10:28:10</v>
      </c>
      <c r="AL98" t="str">
        <v>10:28:10</v>
      </c>
      <c r="AM98" t="str">
        <v/>
      </c>
    </row>
    <row r="99">
      <c r="A99">
        <v>98</v>
      </c>
      <c r="B99" t="str">
        <v>MASS BSF</v>
      </c>
      <c r="C99" t="str">
        <v>F3I-769</v>
      </c>
      <c r="D99" t="str">
        <v>F3I-769</v>
      </c>
      <c r="E99" t="str">
        <v/>
      </c>
      <c r="F99" t="str">
        <v>867806075758377</v>
      </c>
      <c r="G99" t="str">
        <v>TBD</v>
      </c>
      <c r="H99" t="str">
        <v/>
      </c>
      <c r="I99" t="str">
        <v/>
      </c>
      <c r="J99" t="str">
        <v>01/10/2026</v>
      </c>
      <c r="K99" t="str">
        <v>10:29:43</v>
      </c>
      <c r="L99">
        <v>-12.241705</v>
      </c>
      <c r="M99">
        <v>-76.911064</v>
      </c>
      <c r="N99">
        <f>HYPERLINK("https://www.google.com/maps/search/?api=1&amp;query=-12.241705,-76.911064","Avenida Lima, Lurín")</f>
      </c>
      <c r="O99" t="str">
        <v>Bache</v>
      </c>
      <c r="P99" t="str">
        <v/>
      </c>
      <c r="Q99">
        <v>2244.7</v>
      </c>
      <c r="R99" t="str">
        <v/>
      </c>
      <c r="S99">
        <v>49</v>
      </c>
      <c r="T99">
        <v>74.25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91</v>
      </c>
      <c r="AC99" t="str">
        <v>01/10/2026</v>
      </c>
      <c r="AD99" t="str">
        <v>10:29:43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10:30:05</v>
      </c>
      <c r="AL99" t="str">
        <v>10:30:05</v>
      </c>
      <c r="AM99" t="str">
        <v/>
      </c>
    </row>
    <row r="100">
      <c r="A100">
        <v>99</v>
      </c>
      <c r="B100" t="str">
        <v>MASS BSF</v>
      </c>
      <c r="C100" t="str">
        <v>F3I-769</v>
      </c>
      <c r="D100" t="str">
        <v>F3I-769</v>
      </c>
      <c r="E100" t="str">
        <v/>
      </c>
      <c r="F100" t="str">
        <v>867806075758377</v>
      </c>
      <c r="G100" t="str">
        <v>TBD</v>
      </c>
      <c r="H100" t="str">
        <v/>
      </c>
      <c r="I100" t="str">
        <v/>
      </c>
      <c r="J100" t="str">
        <v>01/10/2026</v>
      </c>
      <c r="K100" t="str">
        <v>10:30:21</v>
      </c>
      <c r="L100">
        <v>-12.246083</v>
      </c>
      <c r="M100">
        <v>-76.90812</v>
      </c>
      <c r="N100">
        <f>HYPERLINK("https://www.google.com/maps/search/?api=1&amp;query=-12.246083,-76.90812","Avenida Lima, Lurín")</f>
      </c>
      <c r="O100" t="str">
        <v>Exceso de velocidad en segmento vial</v>
      </c>
      <c r="P100" t="str">
        <v/>
      </c>
      <c r="Q100">
        <v>2245.2</v>
      </c>
      <c r="R100" t="str">
        <v/>
      </c>
      <c r="S100">
        <v>61.4</v>
      </c>
      <c r="T100">
        <v>74.25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91</v>
      </c>
      <c r="AC100" t="str">
        <v>01/10/2026</v>
      </c>
      <c r="AD100" t="str">
        <v>10:30:21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10:30:35</v>
      </c>
      <c r="AL100" t="str">
        <v>10:30:35</v>
      </c>
      <c r="AM100" t="str">
        <v/>
      </c>
    </row>
    <row r="101">
      <c r="A101">
        <v>100</v>
      </c>
      <c r="B101" t="str">
        <v>MASS BSF</v>
      </c>
      <c r="C101" t="str">
        <v>F3I-769</v>
      </c>
      <c r="D101" t="str">
        <v>F3I-769</v>
      </c>
      <c r="E101" t="str">
        <v/>
      </c>
      <c r="F101" t="str">
        <v>867806075758377</v>
      </c>
      <c r="G101" t="str">
        <v>TBD</v>
      </c>
      <c r="H101" t="str">
        <v/>
      </c>
      <c r="I101" t="str">
        <v/>
      </c>
      <c r="J101" t="str">
        <v>01/10/2026</v>
      </c>
      <c r="K101" t="str">
        <v>10:31:39</v>
      </c>
      <c r="L101">
        <v>-12.254111</v>
      </c>
      <c r="M101">
        <v>-76.904564</v>
      </c>
      <c r="N101">
        <f>HYPERLINK("https://www.google.com/maps/search/?api=1&amp;query=-12.254111,-76.904564","Avenida Lima, Lurín")</f>
      </c>
      <c r="O101" t="str">
        <v>Aceleración brusca</v>
      </c>
      <c r="P101" t="str">
        <v>CMT-910</v>
      </c>
      <c r="Q101">
        <v>2246.2</v>
      </c>
      <c r="R101" t="str">
        <v/>
      </c>
      <c r="S101">
        <v>19.4</v>
      </c>
      <c r="T101">
        <v>74.25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91</v>
      </c>
      <c r="AC101" t="str">
        <v>01/10/2026</v>
      </c>
      <c r="AD101" t="str">
        <v>10:31:39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10:31:55</v>
      </c>
      <c r="AL101" t="str">
        <v>10:31:55</v>
      </c>
      <c r="AM101" t="str">
        <v/>
      </c>
    </row>
    <row r="102">
      <c r="A102">
        <v>101</v>
      </c>
      <c r="B102" t="str">
        <v>MASS BSF</v>
      </c>
      <c r="C102" t="str">
        <v>F3I-769</v>
      </c>
      <c r="D102" t="str">
        <v>F3I-769</v>
      </c>
      <c r="E102" t="str">
        <v/>
      </c>
      <c r="F102" t="str">
        <v>867806075758377</v>
      </c>
      <c r="G102" t="str">
        <v>TBD</v>
      </c>
      <c r="H102" t="str">
        <v/>
      </c>
      <c r="I102" t="str">
        <v/>
      </c>
      <c r="J102" t="str">
        <v>01/10/2026</v>
      </c>
      <c r="K102" t="str">
        <v>10:35:59</v>
      </c>
      <c r="L102">
        <v>-12.254595</v>
      </c>
      <c r="M102">
        <v>-76.92067</v>
      </c>
      <c r="N102">
        <f>HYPERLINK("https://www.google.com/maps/search/?api=1&amp;query=-12.254595,-76.92067","Lurín, Lima")</f>
      </c>
      <c r="O102" t="str">
        <v>Bache</v>
      </c>
      <c r="P102" t="str">
        <v/>
      </c>
      <c r="Q102">
        <v>2248</v>
      </c>
      <c r="R102" t="str">
        <v/>
      </c>
      <c r="S102">
        <v>32.4</v>
      </c>
      <c r="T102">
        <v>74.25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91</v>
      </c>
      <c r="AC102" t="str">
        <v>01/10/2026</v>
      </c>
      <c r="AD102" t="str">
        <v>10:35:59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10:36:08</v>
      </c>
      <c r="AL102" t="str">
        <v>10:36:08</v>
      </c>
      <c r="AM102" t="str">
        <v/>
      </c>
    </row>
    <row r="103">
      <c r="A103">
        <v>102</v>
      </c>
      <c r="B103" t="str">
        <v>MASS BSF</v>
      </c>
      <c r="C103" t="str">
        <v>F3I-769</v>
      </c>
      <c r="D103" t="str">
        <v>F3I-769</v>
      </c>
      <c r="E103" t="str">
        <v/>
      </c>
      <c r="F103" t="str">
        <v>867806075758377</v>
      </c>
      <c r="G103" t="str">
        <v>TBD</v>
      </c>
      <c r="H103" t="str">
        <v/>
      </c>
      <c r="I103" t="str">
        <v/>
      </c>
      <c r="J103" t="str">
        <v>01/10/2026</v>
      </c>
      <c r="K103" t="str">
        <v>10:36:08</v>
      </c>
      <c r="L103">
        <v>-12.255299</v>
      </c>
      <c r="M103">
        <v>-76.92105</v>
      </c>
      <c r="N103">
        <f>HYPERLINK("https://www.google.com/maps/search/?api=1&amp;query=-12.255299,-76.92105","Lurín, Lima")</f>
      </c>
      <c r="O103" t="str">
        <v>Bache</v>
      </c>
      <c r="P103" t="str">
        <v/>
      </c>
      <c r="Q103">
        <v>2248.1</v>
      </c>
      <c r="R103" t="str">
        <v/>
      </c>
      <c r="S103">
        <v>36.6</v>
      </c>
      <c r="T103">
        <v>74.25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91</v>
      </c>
      <c r="AC103" t="str">
        <v>01/10/2026</v>
      </c>
      <c r="AD103" t="str">
        <v>10:36:08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10:36:22</v>
      </c>
      <c r="AL103" t="str">
        <v>10:36:22</v>
      </c>
      <c r="AM103" t="str">
        <v/>
      </c>
    </row>
    <row r="104">
      <c r="A104">
        <v>103</v>
      </c>
      <c r="B104" t="str">
        <v>MASS BSF</v>
      </c>
      <c r="C104" t="str">
        <v>F3I-769</v>
      </c>
      <c r="D104" t="str">
        <v>F3I-769</v>
      </c>
      <c r="E104" t="str">
        <v/>
      </c>
      <c r="F104" t="str">
        <v>867806075758377</v>
      </c>
      <c r="G104" t="str">
        <v>TBD</v>
      </c>
      <c r="H104" t="str">
        <v/>
      </c>
      <c r="I104" t="str">
        <v/>
      </c>
      <c r="J104" t="str">
        <v>01/10/2026</v>
      </c>
      <c r="K104" t="str">
        <v>10:44:23</v>
      </c>
      <c r="L104">
        <v>-12.301898</v>
      </c>
      <c r="M104">
        <v>-76.8449</v>
      </c>
      <c r="N104">
        <f>HYPERLINK("https://www.google.com/maps/search/?api=1&amp;query=-12.301898,-76.8449","Carretera Panamericana Sur, Lurín, Lima")</f>
      </c>
      <c r="O104" t="str">
        <v>Bache</v>
      </c>
      <c r="P104" t="str">
        <v/>
      </c>
      <c r="Q104">
        <v>2258.5</v>
      </c>
      <c r="R104" t="str">
        <v/>
      </c>
      <c r="S104">
        <v>82.7</v>
      </c>
      <c r="T104">
        <v>74.25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90</v>
      </c>
      <c r="AC104" t="str">
        <v>01/10/2026</v>
      </c>
      <c r="AD104" t="str">
        <v>10:44:23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10:44:33</v>
      </c>
      <c r="AL104" t="str">
        <v>10:44:33</v>
      </c>
      <c r="AM104" t="str">
        <v/>
      </c>
    </row>
    <row r="105">
      <c r="A105">
        <v>104</v>
      </c>
      <c r="B105" t="str">
        <v>MASS BSF</v>
      </c>
      <c r="C105" t="str">
        <v>F3I-769</v>
      </c>
      <c r="D105" t="str">
        <v>F3I-769</v>
      </c>
      <c r="E105" t="str">
        <v/>
      </c>
      <c r="F105" t="str">
        <v>867806075758377</v>
      </c>
      <c r="G105" t="str">
        <v>TBD</v>
      </c>
      <c r="H105" t="str">
        <v/>
      </c>
      <c r="I105" t="str">
        <v/>
      </c>
      <c r="J105" t="str">
        <v>01/10/2026</v>
      </c>
      <c r="K105" t="str">
        <v>10:46:16</v>
      </c>
      <c r="L105">
        <v>-12.317859</v>
      </c>
      <c r="M105">
        <v>-76.83038</v>
      </c>
      <c r="N105">
        <f>HYPERLINK("https://www.google.com/maps/search/?api=1&amp;query=-12.317859,-76.83038","Carretera Panamericana Sur, Punta Hermosa, Lima")</f>
      </c>
      <c r="O105" t="str">
        <v>Exceso de velocidad en segmento vial</v>
      </c>
      <c r="P105" t="str">
        <v/>
      </c>
      <c r="Q105">
        <v>2260.9</v>
      </c>
      <c r="R105" t="str">
        <v/>
      </c>
      <c r="S105">
        <v>84</v>
      </c>
      <c r="T105">
        <v>74.25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90</v>
      </c>
      <c r="AC105" t="str">
        <v>01/10/2026</v>
      </c>
      <c r="AD105" t="str">
        <v>10:46:16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10:46:33</v>
      </c>
      <c r="AL105" t="str">
        <v>10:46:33</v>
      </c>
      <c r="AM105" t="str">
        <v/>
      </c>
    </row>
    <row r="106">
      <c r="A106">
        <v>105</v>
      </c>
      <c r="B106" t="str">
        <v>MASS BSF</v>
      </c>
      <c r="C106" t="str">
        <v>F3I-769</v>
      </c>
      <c r="D106" t="str">
        <v>F3I-769</v>
      </c>
      <c r="E106" t="str">
        <v/>
      </c>
      <c r="F106" t="str">
        <v>867806075758377</v>
      </c>
      <c r="G106" t="str">
        <v>TBD</v>
      </c>
      <c r="H106" t="str">
        <v/>
      </c>
      <c r="I106" t="str">
        <v/>
      </c>
      <c r="J106" t="str">
        <v>01/10/2026</v>
      </c>
      <c r="K106" t="str">
        <v>10:46:48</v>
      </c>
      <c r="L106">
        <v>-12.323566</v>
      </c>
      <c r="M106">
        <v>-76.82655</v>
      </c>
      <c r="N106">
        <f>HYPERLINK("https://www.google.com/maps/search/?api=1&amp;query=-12.323566,-76.82655","Carretera Panamericana Sur, Punta Hermosa, Lima")</f>
      </c>
      <c r="O106" t="str">
        <v>Exceso de velocidad en segmento vial</v>
      </c>
      <c r="P106" t="str">
        <v/>
      </c>
      <c r="Q106">
        <v>2261.7</v>
      </c>
      <c r="R106" t="str">
        <v/>
      </c>
      <c r="S106">
        <v>86.3</v>
      </c>
      <c r="T106">
        <v>74.25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90</v>
      </c>
      <c r="AC106" t="str">
        <v>01/10/2026</v>
      </c>
      <c r="AD106" t="str">
        <v>10:46:48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10:47:03</v>
      </c>
      <c r="AL106" t="str">
        <v>10:47:03</v>
      </c>
      <c r="AM106" t="str">
        <v/>
      </c>
    </row>
    <row r="107">
      <c r="A107">
        <v>106</v>
      </c>
      <c r="B107" t="str">
        <v>MASS BSF</v>
      </c>
      <c r="C107" t="str">
        <v>F3I-769</v>
      </c>
      <c r="D107" t="str">
        <v>F3I-769</v>
      </c>
      <c r="E107" t="str">
        <v/>
      </c>
      <c r="F107" t="str">
        <v>867806075758377</v>
      </c>
      <c r="G107" t="str">
        <v>TBD</v>
      </c>
      <c r="H107" t="str">
        <v/>
      </c>
      <c r="I107" t="str">
        <v/>
      </c>
      <c r="J107" t="str">
        <v>01/10/2026</v>
      </c>
      <c r="K107" t="str">
        <v>10:47:06</v>
      </c>
      <c r="L107">
        <v>-12.326716</v>
      </c>
      <c r="M107">
        <v>-76.824455</v>
      </c>
      <c r="N107">
        <f>HYPERLINK("https://www.google.com/maps/search/?api=1&amp;query=-12.326716,-76.824455","Carretera Panamericana Sur, Punta Hermosa, Lima")</f>
      </c>
      <c r="O107" t="str">
        <v>Bache</v>
      </c>
      <c r="P107" t="str">
        <v/>
      </c>
      <c r="Q107">
        <v>2262.1</v>
      </c>
      <c r="R107" t="str">
        <v/>
      </c>
      <c r="S107">
        <v>86.3</v>
      </c>
      <c r="T107">
        <v>74.25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90</v>
      </c>
      <c r="AC107" t="str">
        <v>01/10/2026</v>
      </c>
      <c r="AD107" t="str">
        <v>10:47:05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10:47:18</v>
      </c>
      <c r="AL107" t="str">
        <v>10:47:18</v>
      </c>
      <c r="AM107" t="str">
        <v/>
      </c>
    </row>
    <row r="108">
      <c r="A108">
        <v>107</v>
      </c>
      <c r="B108" t="str">
        <v>MASS BSF</v>
      </c>
      <c r="C108" t="str">
        <v>F3I-769</v>
      </c>
      <c r="D108" t="str">
        <v>F3I-769</v>
      </c>
      <c r="E108" t="str">
        <v/>
      </c>
      <c r="F108" t="str">
        <v>867806075758377</v>
      </c>
      <c r="G108" t="str">
        <v>TBD</v>
      </c>
      <c r="H108" t="str">
        <v/>
      </c>
      <c r="I108" t="str">
        <v/>
      </c>
      <c r="J108" t="str">
        <v>01/10/2026</v>
      </c>
      <c r="K108" t="str">
        <v>10:47:11</v>
      </c>
      <c r="L108">
        <v>-12.327625</v>
      </c>
      <c r="M108">
        <v>-76.82384</v>
      </c>
      <c r="N108">
        <f>HYPERLINK("https://www.google.com/maps/search/?api=1&amp;query=-12.327625,-76.82384","Carretera Panamericana Sur, Punta Hermosa, Lima")</f>
      </c>
      <c r="O108" t="str">
        <v>Bache</v>
      </c>
      <c r="P108" t="str">
        <v/>
      </c>
      <c r="Q108">
        <v>2262.2</v>
      </c>
      <c r="R108" t="str">
        <v/>
      </c>
      <c r="S108">
        <v>87.5</v>
      </c>
      <c r="T108">
        <v>74.25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90</v>
      </c>
      <c r="AC108" t="str">
        <v>01/10/2026</v>
      </c>
      <c r="AD108" t="str">
        <v>10:47:10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10:47:21</v>
      </c>
      <c r="AL108" t="str">
        <v>10:47:21</v>
      </c>
      <c r="AM108" t="str">
        <v/>
      </c>
    </row>
    <row r="109">
      <c r="A109">
        <v>108</v>
      </c>
      <c r="B109" t="str">
        <v>MASS BSF</v>
      </c>
      <c r="C109" t="str">
        <v>F3I-769</v>
      </c>
      <c r="D109" t="str">
        <v>F3I-769</v>
      </c>
      <c r="E109" t="str">
        <v/>
      </c>
      <c r="F109" t="str">
        <v>867806075758377</v>
      </c>
      <c r="G109" t="str">
        <v>TBD</v>
      </c>
      <c r="H109" t="str">
        <v/>
      </c>
      <c r="I109" t="str">
        <v/>
      </c>
      <c r="J109" t="str">
        <v>01/10/2026</v>
      </c>
      <c r="K109" t="str">
        <v>10:47:19</v>
      </c>
      <c r="L109">
        <v>-12.3293</v>
      </c>
      <c r="M109">
        <v>-76.822716</v>
      </c>
      <c r="N109">
        <f>HYPERLINK("https://www.google.com/maps/search/?api=1&amp;query=-12.3293,-76.822716","Carretera Panamericana Sur, Punta Hermosa, Lima")</f>
      </c>
      <c r="O109" t="str">
        <v>Exceso de velocidad en segmento vial</v>
      </c>
      <c r="P109" t="str">
        <v/>
      </c>
      <c r="Q109">
        <v>2262.4</v>
      </c>
      <c r="R109" t="str">
        <v/>
      </c>
      <c r="S109">
        <v>89.2</v>
      </c>
      <c r="T109">
        <v>74.25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90</v>
      </c>
      <c r="AC109" t="str">
        <v>01/10/2026</v>
      </c>
      <c r="AD109" t="str">
        <v>10:47:19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10:47:38</v>
      </c>
      <c r="AL109" t="str">
        <v>10:47:38</v>
      </c>
      <c r="AM109" t="str">
        <v/>
      </c>
    </row>
    <row r="110">
      <c r="A110">
        <v>109</v>
      </c>
      <c r="B110" t="str">
        <v>MASS BSF</v>
      </c>
      <c r="C110" t="str">
        <v>F3I-769</v>
      </c>
      <c r="D110" t="str">
        <v>F3I-769</v>
      </c>
      <c r="E110" t="str">
        <v/>
      </c>
      <c r="F110" t="str">
        <v>867806075758377</v>
      </c>
      <c r="G110" t="str">
        <v>TBD</v>
      </c>
      <c r="H110" t="str">
        <v/>
      </c>
      <c r="I110" t="str">
        <v/>
      </c>
      <c r="J110" t="str">
        <v>01/10/2026</v>
      </c>
      <c r="K110" t="str">
        <v>10:47:50</v>
      </c>
      <c r="L110">
        <v>-12.334895</v>
      </c>
      <c r="M110">
        <v>-76.8191</v>
      </c>
      <c r="N110">
        <f>HYPERLINK("https://www.google.com/maps/search/?api=1&amp;query=-12.334895,-76.8191","Carretera Panamericana Sur, Punta Hermosa, Lima")</f>
      </c>
      <c r="O110" t="str">
        <v>Bache</v>
      </c>
      <c r="P110" t="str">
        <v/>
      </c>
      <c r="Q110">
        <v>2263.1</v>
      </c>
      <c r="R110" t="str">
        <v/>
      </c>
      <c r="S110">
        <v>64</v>
      </c>
      <c r="T110">
        <v>74.25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90</v>
      </c>
      <c r="AC110" t="str">
        <v>01/10/2026</v>
      </c>
      <c r="AD110" t="str">
        <v>10:47:50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10:48:09</v>
      </c>
      <c r="AL110" t="str">
        <v>10:48:09</v>
      </c>
      <c r="AM110" t="str">
        <v/>
      </c>
    </row>
    <row r="111">
      <c r="A111">
        <v>110</v>
      </c>
      <c r="B111" t="str">
        <v>MASS BSF</v>
      </c>
      <c r="C111" t="str">
        <v>F3I-769</v>
      </c>
      <c r="D111" t="str">
        <v>F3I-769</v>
      </c>
      <c r="E111" t="str">
        <v/>
      </c>
      <c r="F111" t="str">
        <v>867806075758377</v>
      </c>
      <c r="G111" t="str">
        <v>TBD</v>
      </c>
      <c r="H111" t="str">
        <v/>
      </c>
      <c r="I111" t="str">
        <v/>
      </c>
      <c r="J111" t="str">
        <v>01/10/2026</v>
      </c>
      <c r="K111" t="str">
        <v>10:50:55</v>
      </c>
      <c r="L111">
        <v>-12.318562</v>
      </c>
      <c r="M111">
        <v>-76.829575</v>
      </c>
      <c r="N111">
        <f>HYPERLINK("https://www.google.com/maps/search/?api=1&amp;query=-12.318562,-76.829575","Carretera Panamericana Sur, Punta Hermosa, Lima")</f>
      </c>
      <c r="O111" t="str">
        <v>Bache</v>
      </c>
      <c r="P111" t="str">
        <v/>
      </c>
      <c r="Q111">
        <v>2265.6</v>
      </c>
      <c r="R111" t="str">
        <v/>
      </c>
      <c r="S111">
        <v>54.8</v>
      </c>
      <c r="T111">
        <v>74.25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91</v>
      </c>
      <c r="AC111" t="str">
        <v>01/10/2026</v>
      </c>
      <c r="AD111" t="str">
        <v>10:50:55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10:51:00</v>
      </c>
      <c r="AL111" t="str">
        <v>10:51:00</v>
      </c>
      <c r="AM111" t="str">
        <v/>
      </c>
    </row>
    <row r="112">
      <c r="A112">
        <v>111</v>
      </c>
      <c r="B112" t="str">
        <v>MASS BSF</v>
      </c>
      <c r="C112" t="str">
        <v>F3I-769</v>
      </c>
      <c r="D112" t="str">
        <v>F3I-769</v>
      </c>
      <c r="E112" t="str">
        <v/>
      </c>
      <c r="F112" t="str">
        <v>867806075758377</v>
      </c>
      <c r="G112" t="str">
        <v>TBD</v>
      </c>
      <c r="H112" t="str">
        <v/>
      </c>
      <c r="I112" t="str">
        <v xml:space="preserve"> </v>
      </c>
      <c r="J112" t="str">
        <v>01/10/2026</v>
      </c>
      <c r="K112" t="str">
        <v>10:51:13</v>
      </c>
      <c r="L112">
        <v>-12.31756</v>
      </c>
      <c r="M112">
        <v>-76.829636</v>
      </c>
      <c r="N112">
        <f>HYPERLINK("https://www.google.com/maps/search/?api=1&amp;query=-12.31756,-76.829636","Punta Hermosa, Lima")</f>
      </c>
      <c r="O112" t="str">
        <v>Llegó a la zona</v>
      </c>
      <c r="P112" t="str">
        <v/>
      </c>
      <c r="Q112">
        <v>2265.8</v>
      </c>
      <c r="R112" t="str">
        <v>MASS BSF 1</v>
      </c>
      <c r="S112">
        <v>13.5</v>
      </c>
      <c r="T112">
        <v>72.42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91</v>
      </c>
      <c r="AC112" t="str">
        <v>01/10/2026</v>
      </c>
      <c r="AD112" t="str">
        <v>10:51:13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10:51:28</v>
      </c>
      <c r="AL112" t="str">
        <v>10:51:28</v>
      </c>
      <c r="AM112" t="str">
        <v/>
      </c>
    </row>
    <row r="113">
      <c r="A113">
        <v>112</v>
      </c>
      <c r="B113" t="str">
        <v>MASS BSF</v>
      </c>
      <c r="C113" t="str">
        <v>F3I-769</v>
      </c>
      <c r="D113" t="str">
        <v>F3I-769</v>
      </c>
      <c r="E113" t="str">
        <v/>
      </c>
      <c r="F113" t="str">
        <v>867806075758377</v>
      </c>
      <c r="G113" t="str">
        <v>TBD</v>
      </c>
      <c r="H113" t="str">
        <v/>
      </c>
      <c r="I113" t="str">
        <v/>
      </c>
      <c r="J113" t="str">
        <v>01/10/2026</v>
      </c>
      <c r="K113" t="str">
        <v>10:53:52</v>
      </c>
      <c r="L113">
        <v>-12.31682</v>
      </c>
      <c r="M113">
        <v>-76.82498</v>
      </c>
      <c r="N113">
        <f>HYPERLINK("https://www.google.com/maps/search/?api=1&amp;query=-12.31682,-76.82498","Punta Hermosa, Lima")</f>
      </c>
      <c r="O113" t="str">
        <v>Bache</v>
      </c>
      <c r="P113" t="str">
        <v/>
      </c>
      <c r="Q113">
        <v>2266.4</v>
      </c>
      <c r="R113" t="str">
        <v/>
      </c>
      <c r="S113">
        <v>24.6</v>
      </c>
      <c r="T113">
        <v>74.25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91</v>
      </c>
      <c r="AC113" t="str">
        <v>01/10/2026</v>
      </c>
      <c r="AD113" t="str">
        <v>10:53:51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10:54:27</v>
      </c>
      <c r="AL113" t="str">
        <v>10:54:27</v>
      </c>
      <c r="AM113" t="str">
        <v/>
      </c>
    </row>
    <row r="114">
      <c r="A114">
        <v>113</v>
      </c>
      <c r="B114" t="str">
        <v>MASS BSF</v>
      </c>
      <c r="C114" t="str">
        <v>F3I-769</v>
      </c>
      <c r="D114" t="str">
        <v>F3I-769</v>
      </c>
      <c r="E114" t="str">
        <v/>
      </c>
      <c r="F114" t="str">
        <v>867806075758377</v>
      </c>
      <c r="G114" t="str">
        <v>TBD</v>
      </c>
      <c r="H114" t="str">
        <v/>
      </c>
      <c r="I114" t="str">
        <v/>
      </c>
      <c r="J114" t="str">
        <v>01/10/2026</v>
      </c>
      <c r="K114" t="str">
        <v>10:53:52</v>
      </c>
      <c r="L114">
        <v>-12.31682</v>
      </c>
      <c r="M114">
        <v>-76.82498</v>
      </c>
      <c r="N114">
        <f>HYPERLINK("https://www.google.com/maps/search/?api=1&amp;query=-12.31682,-76.82498","Punta Hermosa, Lima")</f>
      </c>
      <c r="O114" t="str">
        <v>Bache</v>
      </c>
      <c r="P114" t="str">
        <v/>
      </c>
      <c r="Q114">
        <v>2266.4</v>
      </c>
      <c r="R114" t="str">
        <v/>
      </c>
      <c r="S114">
        <v>24.6</v>
      </c>
      <c r="T114">
        <v>74.25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91</v>
      </c>
      <c r="AC114" t="str">
        <v>01/10/2026</v>
      </c>
      <c r="AD114" t="str">
        <v>10:53:51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10:54:08</v>
      </c>
      <c r="AL114" t="str">
        <v>10:54:08</v>
      </c>
      <c r="AM114" t="str">
        <v/>
      </c>
    </row>
    <row r="115">
      <c r="A115">
        <v>114</v>
      </c>
      <c r="B115" t="str">
        <v>MASS BSF</v>
      </c>
      <c r="C115" t="str">
        <v>F3I-769</v>
      </c>
      <c r="D115" t="str">
        <v>F3I-769</v>
      </c>
      <c r="E115" t="str">
        <v/>
      </c>
      <c r="F115" t="str">
        <v>867806075758377</v>
      </c>
      <c r="G115" t="str">
        <v>TBD</v>
      </c>
      <c r="H115" t="str">
        <v/>
      </c>
      <c r="I115" t="str">
        <v/>
      </c>
      <c r="J115" t="str">
        <v>01/10/2026</v>
      </c>
      <c r="K115" t="str">
        <v>10:55:50</v>
      </c>
      <c r="L115">
        <v>-12.317175</v>
      </c>
      <c r="M115">
        <v>-76.82298</v>
      </c>
      <c r="N115">
        <f>HYPERLINK("https://www.google.com/maps/search/?api=1&amp;query=-12.317175,-76.82298","Punta Hermosa, Lima")</f>
      </c>
      <c r="O115" t="str">
        <v>Acelerado y giro brusco</v>
      </c>
      <c r="P115" t="str">
        <v/>
      </c>
      <c r="Q115">
        <v>2266.9</v>
      </c>
      <c r="R115" t="str">
        <v/>
      </c>
      <c r="S115">
        <v>12.2</v>
      </c>
      <c r="T115">
        <v>74.25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91</v>
      </c>
      <c r="AC115" t="str">
        <v>01/10/2026</v>
      </c>
      <c r="AD115" t="str">
        <v>10:55:50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10:56:16</v>
      </c>
      <c r="AL115" t="str">
        <v>10:56:16</v>
      </c>
      <c r="AM115" t="str">
        <v/>
      </c>
    </row>
    <row r="116">
      <c r="A116">
        <v>115</v>
      </c>
      <c r="B116" t="str">
        <v>MASS BSF</v>
      </c>
      <c r="C116" t="str">
        <v>F3I-769</v>
      </c>
      <c r="D116" t="str">
        <v>F3I-769</v>
      </c>
      <c r="E116" t="str">
        <v/>
      </c>
      <c r="F116" t="str">
        <v>867806075758377</v>
      </c>
      <c r="G116" t="str">
        <v>TBD</v>
      </c>
      <c r="H116" t="str">
        <v/>
      </c>
      <c r="I116" t="str">
        <v/>
      </c>
      <c r="J116" t="str">
        <v>01/10/2026</v>
      </c>
      <c r="K116" t="str">
        <v>10:59:51</v>
      </c>
      <c r="L116">
        <v>-12.317438</v>
      </c>
      <c r="M116">
        <v>-76.82452</v>
      </c>
      <c r="N116">
        <f>HYPERLINK("https://www.google.com/maps/search/?api=1&amp;query=-12.317438,-76.82452","Punta Hermosa, Lima")</f>
      </c>
      <c r="O116" t="str">
        <v>Inicio de ralentí</v>
      </c>
      <c r="P116" t="str">
        <v>Vehículo Detenido</v>
      </c>
      <c r="Q116">
        <v>2267.2</v>
      </c>
      <c r="R116" t="str">
        <v/>
      </c>
      <c r="S116">
        <v>0</v>
      </c>
      <c r="T116">
        <v>74.25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90</v>
      </c>
      <c r="AC116" t="str">
        <v>01/10/2026</v>
      </c>
      <c r="AD116" t="str">
        <v>10:59:50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11:00:10</v>
      </c>
      <c r="AL116" t="str">
        <v>11:00:10</v>
      </c>
      <c r="AM116" t="str">
        <v/>
      </c>
    </row>
    <row r="117">
      <c r="A117">
        <v>116</v>
      </c>
      <c r="B117" t="str">
        <v>MASS BSF</v>
      </c>
      <c r="C117" t="str">
        <v>F3I-769</v>
      </c>
      <c r="D117" t="str">
        <v>F3I-769</v>
      </c>
      <c r="E117" t="str">
        <v/>
      </c>
      <c r="F117" t="str">
        <v>867806075758377</v>
      </c>
      <c r="G117" t="str">
        <v>TBD</v>
      </c>
      <c r="H117" t="str">
        <v/>
      </c>
      <c r="I117" t="str">
        <v/>
      </c>
      <c r="J117" t="str">
        <v>01/10/2026</v>
      </c>
      <c r="K117" t="str">
        <v>11:15:41</v>
      </c>
      <c r="L117">
        <v>-12.317453</v>
      </c>
      <c r="M117">
        <v>-76.824394</v>
      </c>
      <c r="N117">
        <f>HYPERLINK("https://www.google.com/maps/search/?api=1&amp;query=-12.317453,-76.824394","Punta Hermosa, Lima")</f>
      </c>
      <c r="O117" t="str">
        <v>Vehículo apagado</v>
      </c>
      <c r="P117" t="str">
        <v>Vehículo Apagado</v>
      </c>
      <c r="Q117">
        <v>2267.2</v>
      </c>
      <c r="R117" t="str">
        <v/>
      </c>
      <c r="S117">
        <v>0</v>
      </c>
      <c r="T117">
        <v>75.85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89</v>
      </c>
      <c r="AC117" t="str">
        <v>01/10/2026</v>
      </c>
      <c r="AD117" t="str">
        <v>11:15:41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11:16:01</v>
      </c>
      <c r="AL117" t="str">
        <v>11:16:01</v>
      </c>
      <c r="AM117" t="str">
        <v/>
      </c>
    </row>
    <row r="118">
      <c r="A118">
        <v>117</v>
      </c>
      <c r="B118" t="str">
        <v>MASS BSF</v>
      </c>
      <c r="C118" t="str">
        <v>F3I-769</v>
      </c>
      <c r="D118" t="str">
        <v>F3I-769</v>
      </c>
      <c r="E118" t="str">
        <v/>
      </c>
      <c r="F118" t="str">
        <v>867806075758377</v>
      </c>
      <c r="G118" t="str">
        <v>TBD</v>
      </c>
      <c r="H118" t="str">
        <v/>
      </c>
      <c r="I118" t="str">
        <v/>
      </c>
      <c r="J118" t="str">
        <v>01/10/2026</v>
      </c>
      <c r="K118" t="str">
        <v>11:15:41</v>
      </c>
      <c r="L118">
        <v>-12.317453</v>
      </c>
      <c r="M118">
        <v>-76.824394</v>
      </c>
      <c r="N118">
        <f>HYPERLINK("https://www.google.com/maps/search/?api=1&amp;query=-12.317453,-76.824394","Punta Hermosa, Lima")</f>
      </c>
      <c r="O118" t="str">
        <v>Fin de ralentí</v>
      </c>
      <c r="P118" t="str">
        <v/>
      </c>
      <c r="Q118">
        <v>2267.2</v>
      </c>
      <c r="R118" t="str">
        <v/>
      </c>
      <c r="S118">
        <v>0</v>
      </c>
      <c r="T118">
        <v>74.25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89</v>
      </c>
      <c r="AC118" t="str">
        <v>01/10/2026</v>
      </c>
      <c r="AD118" t="str">
        <v>11:15:41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01/10/2026 11:16:01</v>
      </c>
      <c r="AL118" t="str">
        <v>11:16:01</v>
      </c>
      <c r="AM118" t="str">
        <v/>
      </c>
    </row>
    <row r="119">
      <c r="A119">
        <v>118</v>
      </c>
      <c r="B119" t="str">
        <v>MASS BSF</v>
      </c>
      <c r="C119" t="str">
        <v>F3I-769</v>
      </c>
      <c r="D119" t="str">
        <v>F3I-769</v>
      </c>
      <c r="E119" t="str">
        <v/>
      </c>
      <c r="F119" t="str">
        <v>867806075758377</v>
      </c>
      <c r="G119" t="str">
        <v>TBD</v>
      </c>
      <c r="H119" t="str">
        <v/>
      </c>
      <c r="I119" t="str">
        <v/>
      </c>
      <c r="J119" t="str">
        <v>01/10/2026</v>
      </c>
      <c r="K119" t="str">
        <v>11:31:05</v>
      </c>
      <c r="L119">
        <v>-12.317453</v>
      </c>
      <c r="M119">
        <v>-76.824394</v>
      </c>
      <c r="N119">
        <f>HYPERLINK("https://www.google.com/maps/search/?api=1&amp;query=-12.317453,-76.824394","Punta Hermosa, Lima")</f>
      </c>
      <c r="O119" t="str">
        <v>Vehículo encendido</v>
      </c>
      <c r="P119" t="str">
        <v/>
      </c>
      <c r="Q119">
        <v>2267.2</v>
      </c>
      <c r="R119" t="str">
        <v/>
      </c>
      <c r="S119">
        <v>0</v>
      </c>
      <c r="T119">
        <v>75.85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90</v>
      </c>
      <c r="AC119" t="str">
        <v>01/10/2026</v>
      </c>
      <c r="AD119" t="str">
        <v>11:31:04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01/10/2026 11:31:09</v>
      </c>
      <c r="AL119" t="str">
        <v>11:31:09</v>
      </c>
      <c r="AM119" t="str">
        <v/>
      </c>
    </row>
    <row r="120">
      <c r="A120">
        <v>119</v>
      </c>
      <c r="B120" t="str">
        <v>MASS BSF</v>
      </c>
      <c r="C120" t="str">
        <v>F3I-769</v>
      </c>
      <c r="D120" t="str">
        <v>F3I-769</v>
      </c>
      <c r="E120" t="str">
        <v/>
      </c>
      <c r="F120" t="str">
        <v>867806075758377</v>
      </c>
      <c r="G120" t="str">
        <v>TBD</v>
      </c>
      <c r="H120" t="str">
        <v/>
      </c>
      <c r="I120" t="str">
        <v/>
      </c>
      <c r="J120" t="str">
        <v>01/10/2026</v>
      </c>
      <c r="K120" t="str">
        <v>11:34:35</v>
      </c>
      <c r="L120">
        <v>-12.317555</v>
      </c>
      <c r="M120">
        <v>-76.82433</v>
      </c>
      <c r="N120">
        <f>HYPERLINK("https://www.google.com/maps/search/?api=1&amp;query=-12.317555,-76.82433","Punta Hermosa, Lima")</f>
      </c>
      <c r="O120" t="str">
        <v>Inicio de ralentí</v>
      </c>
      <c r="P120" t="str">
        <v>Vehículo Detenido</v>
      </c>
      <c r="Q120">
        <v>2267.3</v>
      </c>
      <c r="R120" t="str">
        <v/>
      </c>
      <c r="S120">
        <v>0</v>
      </c>
      <c r="T120">
        <v>75.85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90</v>
      </c>
      <c r="AC120" t="str">
        <v>01/10/2026</v>
      </c>
      <c r="AD120" t="str">
        <v>11:34:34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01/10/2026 11:34:52</v>
      </c>
      <c r="AL120" t="str">
        <v>11:34:52</v>
      </c>
      <c r="AM120" t="str">
        <v/>
      </c>
    </row>
    <row r="121">
      <c r="A121">
        <v>120</v>
      </c>
      <c r="B121" t="str">
        <v>MASS BSF</v>
      </c>
      <c r="C121" t="str">
        <v>F3I-769</v>
      </c>
      <c r="D121" t="str">
        <v>F3I-769</v>
      </c>
      <c r="E121" t="str">
        <v/>
      </c>
      <c r="F121" t="str">
        <v>867806075758377</v>
      </c>
      <c r="G121" t="str">
        <v>TBD</v>
      </c>
      <c r="H121" t="str">
        <v/>
      </c>
      <c r="I121" t="str">
        <v/>
      </c>
      <c r="J121" t="str">
        <v>01/10/2026</v>
      </c>
      <c r="K121" t="str">
        <v>11:36:00</v>
      </c>
      <c r="L121">
        <v>-12.317555</v>
      </c>
      <c r="M121">
        <v>-76.82433</v>
      </c>
      <c r="N121">
        <f>HYPERLINK("https://www.google.com/maps/search/?api=1&amp;query=-12.317555,-76.82433","Punta Hermosa, Lima")</f>
      </c>
      <c r="O121" t="str">
        <v>Vehículo apagado</v>
      </c>
      <c r="P121" t="str">
        <v>Vehículo Apagado</v>
      </c>
      <c r="Q121">
        <v>2267.3</v>
      </c>
      <c r="R121" t="str">
        <v/>
      </c>
      <c r="S121">
        <v>0</v>
      </c>
      <c r="T121">
        <v>75.93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90</v>
      </c>
      <c r="AC121" t="str">
        <v>01/10/2026</v>
      </c>
      <c r="AD121" t="str">
        <v>11:36:00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01/10/2026 11:36:11</v>
      </c>
      <c r="AL121" t="str">
        <v>11:36:11</v>
      </c>
      <c r="AM121" t="str">
        <v/>
      </c>
    </row>
    <row r="122">
      <c r="A122">
        <v>121</v>
      </c>
      <c r="B122" t="str">
        <v>MASS BSF</v>
      </c>
      <c r="C122" t="str">
        <v>F3I-769</v>
      </c>
      <c r="D122" t="str">
        <v>F3I-769</v>
      </c>
      <c r="E122" t="str">
        <v/>
      </c>
      <c r="F122" t="str">
        <v>867806075758377</v>
      </c>
      <c r="G122" t="str">
        <v>TBD</v>
      </c>
      <c r="H122" t="str">
        <v/>
      </c>
      <c r="I122" t="str">
        <v/>
      </c>
      <c r="J122" t="str">
        <v>01/10/2026</v>
      </c>
      <c r="K122" t="str">
        <v>11:36:00</v>
      </c>
      <c r="L122">
        <v>-12.317555</v>
      </c>
      <c r="M122">
        <v>-76.82433</v>
      </c>
      <c r="N122">
        <f>HYPERLINK("https://www.google.com/maps/search/?api=1&amp;query=-12.317555,-76.82433","Punta Hermosa, Lima")</f>
      </c>
      <c r="O122" t="str">
        <v>Fin de ralentí</v>
      </c>
      <c r="P122" t="str">
        <v/>
      </c>
      <c r="Q122">
        <v>2267.3</v>
      </c>
      <c r="R122" t="str">
        <v/>
      </c>
      <c r="S122">
        <v>0</v>
      </c>
      <c r="T122">
        <v>75.85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90</v>
      </c>
      <c r="AC122" t="str">
        <v>01/10/2026</v>
      </c>
      <c r="AD122" t="str">
        <v>11:36:00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01/10/2026 11:36:13</v>
      </c>
      <c r="AL122" t="str">
        <v>11:36:13</v>
      </c>
      <c r="AM122" t="str">
        <v/>
      </c>
    </row>
    <row r="123">
      <c r="A123">
        <v>122</v>
      </c>
      <c r="B123" t="str">
        <v>MASS BSF</v>
      </c>
      <c r="C123" t="str">
        <v>F3I-769</v>
      </c>
      <c r="D123" t="str">
        <v>F3I-769</v>
      </c>
      <c r="E123" t="str">
        <v/>
      </c>
      <c r="F123" t="str">
        <v>867806075758377</v>
      </c>
      <c r="G123" t="str">
        <v>TBD</v>
      </c>
      <c r="H123" t="str">
        <v/>
      </c>
      <c r="I123" t="str">
        <v/>
      </c>
      <c r="J123" t="str">
        <v>01/10/2026</v>
      </c>
      <c r="K123" t="str">
        <v>12:39:46</v>
      </c>
      <c r="L123">
        <v>-12.317555</v>
      </c>
      <c r="M123">
        <v>-76.82433</v>
      </c>
      <c r="N123">
        <f>HYPERLINK("https://www.google.com/maps/search/?api=1&amp;query=-12.317555,-76.82433","Punta Hermosa, Lima")</f>
      </c>
      <c r="O123" t="str">
        <v>Vehículo encendido</v>
      </c>
      <c r="P123" t="str">
        <v/>
      </c>
      <c r="Q123">
        <v>2267.3</v>
      </c>
      <c r="R123" t="str">
        <v/>
      </c>
      <c r="S123">
        <v>0</v>
      </c>
      <c r="T123">
        <v>75.93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82</v>
      </c>
      <c r="AC123" t="str">
        <v>01/10/2026</v>
      </c>
      <c r="AD123" t="str">
        <v>12:39:45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01/10/2026 12:40:02</v>
      </c>
      <c r="AL123" t="str">
        <v>12:40:02</v>
      </c>
      <c r="AM123" t="str">
        <v/>
      </c>
    </row>
    <row r="124">
      <c r="A124">
        <v>123</v>
      </c>
      <c r="B124" t="str">
        <v>MASS BSF</v>
      </c>
      <c r="C124" t="str">
        <v>F3I-769</v>
      </c>
      <c r="D124" t="str">
        <v>F3I-769</v>
      </c>
      <c r="E124" t="str">
        <v/>
      </c>
      <c r="F124" t="str">
        <v>867806075758377</v>
      </c>
      <c r="G124" t="str">
        <v>TBD</v>
      </c>
      <c r="H124" t="str">
        <v/>
      </c>
      <c r="I124" t="str">
        <v/>
      </c>
      <c r="J124" t="str">
        <v>01/10/2026</v>
      </c>
      <c r="K124" t="str">
        <v>12:42:42</v>
      </c>
      <c r="L124">
        <v>-12.317103</v>
      </c>
      <c r="M124">
        <v>-76.82476</v>
      </c>
      <c r="N124">
        <f>HYPERLINK("https://www.google.com/maps/search/?api=1&amp;query=-12.317103,-76.82476","Punta Hermosa, Lima")</f>
      </c>
      <c r="O124" t="str">
        <v>Se movio</v>
      </c>
      <c r="P124" t="str">
        <v/>
      </c>
      <c r="Q124">
        <v>2267.4</v>
      </c>
      <c r="R124" t="str">
        <v/>
      </c>
      <c r="S124">
        <v>11.8</v>
      </c>
      <c r="T124">
        <v>75.93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90</v>
      </c>
      <c r="AC124" t="str">
        <v>01/10/2026</v>
      </c>
      <c r="AD124" t="str">
        <v>12:42:41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01/10/2026 12:43:04</v>
      </c>
      <c r="AL124" t="str">
        <v>12:43:04</v>
      </c>
      <c r="AM124" t="str">
        <v/>
      </c>
    </row>
    <row r="125">
      <c r="A125">
        <v>124</v>
      </c>
      <c r="B125" t="str">
        <v>MASS BSF</v>
      </c>
      <c r="C125" t="str">
        <v>F3I-769</v>
      </c>
      <c r="D125" t="str">
        <v>F3I-769</v>
      </c>
      <c r="E125" t="str">
        <v/>
      </c>
      <c r="F125" t="str">
        <v>867806075758377</v>
      </c>
      <c r="G125" t="str">
        <v>TBD</v>
      </c>
      <c r="H125" t="str">
        <v/>
      </c>
      <c r="I125" t="str">
        <v/>
      </c>
      <c r="J125" t="str">
        <v>01/10/2026</v>
      </c>
      <c r="K125" t="str">
        <v>12:42:42</v>
      </c>
      <c r="L125">
        <v>-12.317103</v>
      </c>
      <c r="M125">
        <v>-76.82476</v>
      </c>
      <c r="N125">
        <f>HYPERLINK("https://www.google.com/maps/search/?api=1&amp;query=-12.317103,-76.82476","Punta Hermosa, Lima")</f>
      </c>
      <c r="O125" t="str">
        <v>Se movio</v>
      </c>
      <c r="P125" t="str">
        <v/>
      </c>
      <c r="Q125">
        <v>2267.4</v>
      </c>
      <c r="R125" t="str">
        <v/>
      </c>
      <c r="S125">
        <v>11.8</v>
      </c>
      <c r="T125">
        <v>75.93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90</v>
      </c>
      <c r="AC125" t="str">
        <v>01/10/2026</v>
      </c>
      <c r="AD125" t="str">
        <v>12:42:41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01/10/2026 12:43:13</v>
      </c>
      <c r="AL125" t="str">
        <v>12:43:13</v>
      </c>
      <c r="AM125" t="str">
        <v/>
      </c>
    </row>
    <row r="126">
      <c r="A126">
        <v>125</v>
      </c>
      <c r="B126" t="str">
        <v>MASS BSF</v>
      </c>
      <c r="C126" t="str">
        <v>F3I-769</v>
      </c>
      <c r="D126" t="str">
        <v>F3I-769</v>
      </c>
      <c r="E126" t="str">
        <v/>
      </c>
      <c r="F126" t="str">
        <v>867806075758377</v>
      </c>
      <c r="G126" t="str">
        <v>TBD</v>
      </c>
      <c r="H126" t="str">
        <v/>
      </c>
      <c r="I126" t="str">
        <v xml:space="preserve"> </v>
      </c>
      <c r="J126" t="str">
        <v>01/10/2026</v>
      </c>
      <c r="K126" t="str">
        <v>12:46:34</v>
      </c>
      <c r="L126">
        <v>-12.317527</v>
      </c>
      <c r="M126">
        <v>-76.82997</v>
      </c>
      <c r="N126">
        <f>HYPERLINK("https://www.google.com/maps/search/?api=1&amp;query=-12.317527,-76.82997","Punta Hermosa, Lima")</f>
      </c>
      <c r="O126" t="str">
        <v>Salió de zona</v>
      </c>
      <c r="P126" t="str">
        <v/>
      </c>
      <c r="Q126">
        <v>2268.1</v>
      </c>
      <c r="R126" t="str">
        <v>MASS BSF 1</v>
      </c>
      <c r="S126">
        <v>18.5</v>
      </c>
      <c r="T126">
        <v>73.62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84</v>
      </c>
      <c r="AC126" t="str">
        <v>01/10/2026</v>
      </c>
      <c r="AD126" t="str">
        <v>12:46:34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01/10/2026 12:46:40</v>
      </c>
      <c r="AL126" t="str">
        <v>12:46:40</v>
      </c>
      <c r="AM126" t="str">
        <v/>
      </c>
    </row>
    <row r="127">
      <c r="A127">
        <v>126</v>
      </c>
      <c r="B127" t="str">
        <v>MASS BSF</v>
      </c>
      <c r="C127" t="str">
        <v>F3I-769</v>
      </c>
      <c r="D127" t="str">
        <v>F3I-769</v>
      </c>
      <c r="E127" t="str">
        <v/>
      </c>
      <c r="F127" t="str">
        <v>867806075758377</v>
      </c>
      <c r="G127" t="str">
        <v>TBD</v>
      </c>
      <c r="H127" t="str">
        <v/>
      </c>
      <c r="I127" t="str">
        <v xml:space="preserve"> </v>
      </c>
      <c r="J127" t="str">
        <v>01/10/2026</v>
      </c>
      <c r="K127" t="str">
        <v>12:55:41</v>
      </c>
      <c r="L127">
        <v>-12.295473</v>
      </c>
      <c r="M127">
        <v>-76.85197</v>
      </c>
      <c r="N127">
        <f>HYPERLINK("https://www.google.com/maps/search/?api=1&amp;query=-12.295473,-76.85197","Antigua Panamericana Sur, Lurín, Lima")</f>
      </c>
      <c r="O127" t="str">
        <v>Llegó a la zona</v>
      </c>
      <c r="P127" t="str">
        <v/>
      </c>
      <c r="Q127">
        <v>2271.5</v>
      </c>
      <c r="R127" t="str">
        <v>419-LURIN 40</v>
      </c>
      <c r="S127">
        <v>0</v>
      </c>
      <c r="T127">
        <v>73.62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91</v>
      </c>
      <c r="AC127" t="str">
        <v>01/10/2026</v>
      </c>
      <c r="AD127" t="str">
        <v>12:55:40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01/10/2026 12:55:46</v>
      </c>
      <c r="AL127" t="str">
        <v>12:55:46</v>
      </c>
      <c r="AM127" t="str">
        <v/>
      </c>
    </row>
    <row r="128">
      <c r="A128">
        <v>127</v>
      </c>
      <c r="B128" t="str">
        <v>MASS BSF</v>
      </c>
      <c r="C128" t="str">
        <v>F3I-769</v>
      </c>
      <c r="D128" t="str">
        <v>F3I-769</v>
      </c>
      <c r="E128" t="str">
        <v/>
      </c>
      <c r="F128" t="str">
        <v>867806075758377</v>
      </c>
      <c r="G128" t="str">
        <v>TBD</v>
      </c>
      <c r="H128" t="str">
        <v/>
      </c>
      <c r="I128" t="str">
        <v/>
      </c>
      <c r="J128" t="str">
        <v>01/10/2026</v>
      </c>
      <c r="K128" t="str">
        <v>12:58:02</v>
      </c>
      <c r="L128">
        <v>-12.295473</v>
      </c>
      <c r="M128">
        <v>-76.85197</v>
      </c>
      <c r="N128">
        <f>HYPERLINK("https://www.google.com/maps/search/?api=1&amp;query=-12.295473,-76.85197","Antigua Panamericana Sur, Lurín, Lima")</f>
      </c>
      <c r="O128" t="str">
        <v>Inicio de ralentí</v>
      </c>
      <c r="P128" t="str">
        <v>Vehículo Detenido</v>
      </c>
      <c r="Q128">
        <v>2271.6</v>
      </c>
      <c r="R128" t="str">
        <v/>
      </c>
      <c r="S128">
        <v>0</v>
      </c>
      <c r="T128">
        <v>75.93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90</v>
      </c>
      <c r="AC128" t="str">
        <v>01/10/2026</v>
      </c>
      <c r="AD128" t="str">
        <v>12:58:01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01/10/2026 12:58:18</v>
      </c>
      <c r="AL128" t="str">
        <v>12:58:18</v>
      </c>
      <c r="AM128" t="str">
        <v/>
      </c>
    </row>
    <row r="129">
      <c r="A129">
        <v>128</v>
      </c>
      <c r="B129" t="str">
        <v>MASS BSF</v>
      </c>
      <c r="C129" t="str">
        <v>F3I-769</v>
      </c>
      <c r="D129" t="str">
        <v>F3I-769</v>
      </c>
      <c r="E129" t="str">
        <v/>
      </c>
      <c r="F129" t="str">
        <v>867806075758377</v>
      </c>
      <c r="G129" t="str">
        <v>TBD</v>
      </c>
      <c r="H129" t="str">
        <v/>
      </c>
      <c r="I129" t="str">
        <v/>
      </c>
      <c r="J129" t="str">
        <v>01/10/2026</v>
      </c>
      <c r="K129" t="str">
        <v>12:58:36</v>
      </c>
      <c r="L129">
        <v>-12.295448</v>
      </c>
      <c r="M129">
        <v>-76.851974</v>
      </c>
      <c r="N129">
        <f>HYPERLINK("https://www.google.com/maps/search/?api=1&amp;query=-12.295448,-76.851974","Antigua Panamericana Sur, Lurín, Lima")</f>
      </c>
      <c r="O129" t="str">
        <v>Fin de ralentí</v>
      </c>
      <c r="P129" t="str">
        <v/>
      </c>
      <c r="Q129">
        <v>2271.6</v>
      </c>
      <c r="R129" t="str">
        <v/>
      </c>
      <c r="S129">
        <v>6.1</v>
      </c>
      <c r="T129">
        <v>75.93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90</v>
      </c>
      <c r="AC129" t="str">
        <v>01/10/2026</v>
      </c>
      <c r="AD129" t="str">
        <v>12:58:36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01/10/2026 12:58:47</v>
      </c>
      <c r="AL129" t="str">
        <v>12:58:47</v>
      </c>
      <c r="AM129" t="str">
        <v/>
      </c>
    </row>
    <row r="130">
      <c r="A130">
        <v>129</v>
      </c>
      <c r="B130" t="str">
        <v>MASS BSF</v>
      </c>
      <c r="C130" t="str">
        <v>F3I-769</v>
      </c>
      <c r="D130" t="str">
        <v>F3I-769</v>
      </c>
      <c r="E130" t="str">
        <v/>
      </c>
      <c r="F130" t="str">
        <v>867806075758377</v>
      </c>
      <c r="G130" t="str">
        <v>TBD</v>
      </c>
      <c r="H130" t="str">
        <v/>
      </c>
      <c r="I130" t="str">
        <v xml:space="preserve"> </v>
      </c>
      <c r="J130" t="str">
        <v>01/10/2026</v>
      </c>
      <c r="K130" t="str">
        <v>12:58:53</v>
      </c>
      <c r="L130">
        <v>-12.295175</v>
      </c>
      <c r="M130">
        <v>-76.852264</v>
      </c>
      <c r="N130">
        <f>HYPERLINK("https://www.google.com/maps/search/?api=1&amp;query=-12.295175,-76.852264","Antigua Panamericana Sur, Lurín, Lima")</f>
      </c>
      <c r="O130" t="str">
        <v>Salió de zona</v>
      </c>
      <c r="P130" t="str">
        <v/>
      </c>
      <c r="Q130">
        <v>2271.6</v>
      </c>
      <c r="R130" t="str">
        <v>419-LURIN 40</v>
      </c>
      <c r="S130">
        <v>11.4</v>
      </c>
      <c r="T130">
        <v>73.62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90</v>
      </c>
      <c r="AC130" t="str">
        <v>01/10/2026</v>
      </c>
      <c r="AD130" t="str">
        <v>12:58:53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01/10/2026 12:59:05</v>
      </c>
      <c r="AL130" t="str">
        <v>12:59:05</v>
      </c>
      <c r="AM130" t="str">
        <v/>
      </c>
    </row>
    <row r="131">
      <c r="A131">
        <v>130</v>
      </c>
      <c r="B131" t="str">
        <v>MASS BSF</v>
      </c>
      <c r="C131" t="str">
        <v>F3I-769</v>
      </c>
      <c r="D131" t="str">
        <v>F3I-769</v>
      </c>
      <c r="E131" t="str">
        <v/>
      </c>
      <c r="F131" t="str">
        <v>867806075758377</v>
      </c>
      <c r="G131" t="str">
        <v>TBD</v>
      </c>
      <c r="H131" t="str">
        <v/>
      </c>
      <c r="I131" t="str">
        <v xml:space="preserve"> </v>
      </c>
      <c r="J131" t="str">
        <v>01/10/2026</v>
      </c>
      <c r="K131" t="str">
        <v>12:59:06</v>
      </c>
      <c r="L131">
        <v>-12.294955</v>
      </c>
      <c r="M131">
        <v>-76.85255</v>
      </c>
      <c r="N131">
        <f>HYPERLINK("https://www.google.com/maps/search/?api=1&amp;query=-12.294955,-76.85255","Jirón Dos de Mayo, Lurín, Lima")</f>
      </c>
      <c r="O131" t="str">
        <v>Llegó a la zona</v>
      </c>
      <c r="P131" t="str">
        <v/>
      </c>
      <c r="Q131">
        <v>2271.7</v>
      </c>
      <c r="R131" t="str">
        <v>419-LURIN 40</v>
      </c>
      <c r="S131">
        <v>8.5</v>
      </c>
      <c r="T131">
        <v>73.62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91</v>
      </c>
      <c r="AC131" t="str">
        <v>01/10/2026</v>
      </c>
      <c r="AD131" t="str">
        <v>12:59:06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01/10/2026 12:59:18</v>
      </c>
      <c r="AL131" t="str">
        <v>12:59:18</v>
      </c>
      <c r="AM131" t="str">
        <v/>
      </c>
    </row>
    <row r="132">
      <c r="A132">
        <v>131</v>
      </c>
      <c r="B132" t="str">
        <v>MASS BSF</v>
      </c>
      <c r="C132" t="str">
        <v>F3I-769</v>
      </c>
      <c r="D132" t="str">
        <v>F3I-769</v>
      </c>
      <c r="E132" t="str">
        <v/>
      </c>
      <c r="F132" t="str">
        <v>867806075758377</v>
      </c>
      <c r="G132" t="str">
        <v>TBD</v>
      </c>
      <c r="H132" t="str">
        <v/>
      </c>
      <c r="I132" t="str">
        <v/>
      </c>
      <c r="J132" t="str">
        <v>01/10/2026</v>
      </c>
      <c r="K132" t="str">
        <v>13:02:54</v>
      </c>
      <c r="L132">
        <v>-12.295548</v>
      </c>
      <c r="M132">
        <v>-76.85197</v>
      </c>
      <c r="N132">
        <f>HYPERLINK("https://www.google.com/maps/search/?api=1&amp;query=-12.295548,-76.85197","Antigua Panamericana Sur, Lurín, Lima")</f>
      </c>
      <c r="O132" t="str">
        <v>Inicio de ralentí</v>
      </c>
      <c r="P132" t="str">
        <v>Vehículo Detenido</v>
      </c>
      <c r="Q132">
        <v>2271.8</v>
      </c>
      <c r="R132" t="str">
        <v/>
      </c>
      <c r="S132">
        <v>0</v>
      </c>
      <c r="T132">
        <v>75.93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90</v>
      </c>
      <c r="AC132" t="str">
        <v>01/10/2026</v>
      </c>
      <c r="AD132" t="str">
        <v>13:02:53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01/10/2026 13:03:03</v>
      </c>
      <c r="AL132" t="str">
        <v>13:03:03</v>
      </c>
      <c r="AM132" t="str">
        <v/>
      </c>
    </row>
    <row r="133">
      <c r="A133">
        <v>132</v>
      </c>
      <c r="B133" t="str">
        <v>MASS BSF</v>
      </c>
      <c r="C133" t="str">
        <v>F3I-769</v>
      </c>
      <c r="D133" t="str">
        <v>F3I-769</v>
      </c>
      <c r="E133" t="str">
        <v/>
      </c>
      <c r="F133" t="str">
        <v>867806075758377</v>
      </c>
      <c r="G133" t="str">
        <v>TBD</v>
      </c>
      <c r="H133" t="str">
        <v/>
      </c>
      <c r="I133" t="str">
        <v/>
      </c>
      <c r="J133" t="str">
        <v>01/10/2026</v>
      </c>
      <c r="K133" t="str">
        <v>13:46:55</v>
      </c>
      <c r="L133">
        <v>-12.295633</v>
      </c>
      <c r="M133">
        <v>-76.85201</v>
      </c>
      <c r="N133">
        <f>HYPERLINK("https://www.google.com/maps/search/?api=1&amp;query=-12.295633,-76.85201","Jirón 22 de Febrero, Lurín, Lima")</f>
      </c>
      <c r="O133" t="str">
        <v>Fin de ralentí</v>
      </c>
      <c r="P133" t="str">
        <v/>
      </c>
      <c r="Q133">
        <v>2271.8</v>
      </c>
      <c r="R133" t="str">
        <v/>
      </c>
      <c r="S133">
        <v>5.9</v>
      </c>
      <c r="T133">
        <v>75.93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84</v>
      </c>
      <c r="AC133" t="str">
        <v>01/10/2026</v>
      </c>
      <c r="AD133" t="str">
        <v>13:46:54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01/10/2026 13:47:05</v>
      </c>
      <c r="AL133" t="str">
        <v>13:47:05</v>
      </c>
      <c r="AM133" t="str">
        <v/>
      </c>
    </row>
    <row r="134">
      <c r="A134">
        <v>133</v>
      </c>
      <c r="B134" t="str">
        <v>MASS BSF</v>
      </c>
      <c r="C134" t="str">
        <v>F3I-769</v>
      </c>
      <c r="D134" t="str">
        <v>F3I-769</v>
      </c>
      <c r="E134" t="str">
        <v/>
      </c>
      <c r="F134" t="str">
        <v>867806075758377</v>
      </c>
      <c r="G134" t="str">
        <v>TBD</v>
      </c>
      <c r="H134" t="str">
        <v/>
      </c>
      <c r="I134" t="str">
        <v/>
      </c>
      <c r="J134" t="str">
        <v>01/10/2026</v>
      </c>
      <c r="K134" t="str">
        <v>13:46:57</v>
      </c>
      <c r="L134">
        <v>-12.29564</v>
      </c>
      <c r="M134">
        <v>-76.852</v>
      </c>
      <c r="N134">
        <f>HYPERLINK("https://www.google.com/maps/search/?api=1&amp;query=-12.29564,-76.852","Jirón 22 de Febrero, Lurín, Lima")</f>
      </c>
      <c r="O134" t="str">
        <v>Se movio</v>
      </c>
      <c r="P134" t="str">
        <v/>
      </c>
      <c r="Q134">
        <v>2271.8</v>
      </c>
      <c r="R134" t="str">
        <v/>
      </c>
      <c r="S134">
        <v>7.2</v>
      </c>
      <c r="T134">
        <v>75.93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84</v>
      </c>
      <c r="AC134" t="str">
        <v>01/10/2026</v>
      </c>
      <c r="AD134" t="str">
        <v>13:46:55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01/10/2026 13:47:11</v>
      </c>
      <c r="AL134" t="str">
        <v>13:47:11</v>
      </c>
      <c r="AM134" t="str">
        <v/>
      </c>
    </row>
    <row r="135">
      <c r="A135">
        <v>134</v>
      </c>
      <c r="B135" t="str">
        <v>MASS BSF</v>
      </c>
      <c r="C135" t="str">
        <v>F3I-769</v>
      </c>
      <c r="D135" t="str">
        <v>F3I-769</v>
      </c>
      <c r="E135" t="str">
        <v/>
      </c>
      <c r="F135" t="str">
        <v>867806075758377</v>
      </c>
      <c r="G135" t="str">
        <v>TBD</v>
      </c>
      <c r="H135" t="str">
        <v/>
      </c>
      <c r="I135" t="str">
        <v xml:space="preserve"> </v>
      </c>
      <c r="J135" t="str">
        <v>01/10/2026</v>
      </c>
      <c r="K135" t="str">
        <v>13:47:57</v>
      </c>
      <c r="L135">
        <v>-12.297415</v>
      </c>
      <c r="M135">
        <v>-76.85</v>
      </c>
      <c r="N135">
        <f>HYPERLINK("https://www.google.com/maps/search/?api=1&amp;query=-12.297415,-76.85","Antigua Panamericana Sur, Lurín, Lima")</f>
      </c>
      <c r="O135" t="str">
        <v>Salió de zona</v>
      </c>
      <c r="P135" t="str">
        <v/>
      </c>
      <c r="Q135">
        <v>2272.1</v>
      </c>
      <c r="R135" t="str">
        <v>419-LURIN 40</v>
      </c>
      <c r="S135">
        <v>14.2</v>
      </c>
      <c r="T135">
        <v>73.62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87</v>
      </c>
      <c r="AC135" t="str">
        <v>01/10/2026</v>
      </c>
      <c r="AD135" t="str">
        <v>13:47:56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01/10/2026 13:48:08</v>
      </c>
      <c r="AL135" t="str">
        <v>13:48:08</v>
      </c>
      <c r="AM135" t="str">
        <v/>
      </c>
    </row>
    <row r="136">
      <c r="A136">
        <v>135</v>
      </c>
      <c r="B136" t="str">
        <v>MASS BSF</v>
      </c>
      <c r="C136" t="str">
        <v>F3I-769</v>
      </c>
      <c r="D136" t="str">
        <v>F3I-769</v>
      </c>
      <c r="E136" t="str">
        <v/>
      </c>
      <c r="F136" t="str">
        <v>867806075758377</v>
      </c>
      <c r="G136" t="str">
        <v>TBD</v>
      </c>
      <c r="H136" t="str">
        <v/>
      </c>
      <c r="I136" t="str">
        <v/>
      </c>
      <c r="J136" t="str">
        <v>01/10/2026</v>
      </c>
      <c r="K136" t="str">
        <v>13:51:43</v>
      </c>
      <c r="L136">
        <v>-12.306125</v>
      </c>
      <c r="M136">
        <v>-76.84088</v>
      </c>
      <c r="N136">
        <f>HYPERLINK("https://www.google.com/maps/search/?api=1&amp;query=-12.306125,-76.84088","Antigua Panamericana Sur, Lurín, Lima")</f>
      </c>
      <c r="O136" t="str">
        <v>Bache</v>
      </c>
      <c r="P136" t="str">
        <v/>
      </c>
      <c r="Q136">
        <v>2273.7</v>
      </c>
      <c r="R136" t="str">
        <v/>
      </c>
      <c r="S136">
        <v>20.5</v>
      </c>
      <c r="T136">
        <v>75.93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91</v>
      </c>
      <c r="AC136" t="str">
        <v>01/10/2026</v>
      </c>
      <c r="AD136" t="str">
        <v>13:51:42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01/10/2026 13:51:54</v>
      </c>
      <c r="AL136" t="str">
        <v>13:51:54</v>
      </c>
      <c r="AM136" t="str">
        <v/>
      </c>
    </row>
    <row r="137">
      <c r="A137">
        <v>136</v>
      </c>
      <c r="B137" t="str">
        <v>MASS BSF</v>
      </c>
      <c r="C137" t="str">
        <v>F3I-769</v>
      </c>
      <c r="D137" t="str">
        <v>F3I-769</v>
      </c>
      <c r="E137" t="str">
        <v/>
      </c>
      <c r="F137" t="str">
        <v>867806075758377</v>
      </c>
      <c r="G137" t="str">
        <v>TBD</v>
      </c>
      <c r="H137" t="str">
        <v/>
      </c>
      <c r="I137" t="str">
        <v/>
      </c>
      <c r="J137" t="str">
        <v>01/10/2026</v>
      </c>
      <c r="K137" t="str">
        <v>13:51:54</v>
      </c>
      <c r="L137">
        <v>-12.306639</v>
      </c>
      <c r="M137">
        <v>-76.840355</v>
      </c>
      <c r="N137">
        <f>HYPERLINK("https://www.google.com/maps/search/?api=1&amp;query=-12.306639,-76.840355","Antigua Panamericana Sur, Lurín, Lima")</f>
      </c>
      <c r="O137" t="str">
        <v>Bache</v>
      </c>
      <c r="P137" t="str">
        <v/>
      </c>
      <c r="Q137">
        <v>2273.8</v>
      </c>
      <c r="R137" t="str">
        <v/>
      </c>
      <c r="S137">
        <v>21.6</v>
      </c>
      <c r="T137">
        <v>75.93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91</v>
      </c>
      <c r="AC137" t="str">
        <v>01/10/2026</v>
      </c>
      <c r="AD137" t="str">
        <v>13:51:53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01/10/2026 13:52:19</v>
      </c>
      <c r="AL137" t="str">
        <v>13:52:19</v>
      </c>
      <c r="AM137" t="str">
        <v/>
      </c>
    </row>
    <row r="138">
      <c r="A138">
        <v>137</v>
      </c>
      <c r="B138" t="str">
        <v>MASS BSF</v>
      </c>
      <c r="C138" t="str">
        <v>F3I-769</v>
      </c>
      <c r="D138" t="str">
        <v>F3I-769</v>
      </c>
      <c r="E138" t="str">
        <v/>
      </c>
      <c r="F138" t="str">
        <v>867806075758377</v>
      </c>
      <c r="G138" t="str">
        <v>TBD</v>
      </c>
      <c r="H138" t="str">
        <v/>
      </c>
      <c r="I138" t="str">
        <v xml:space="preserve"> </v>
      </c>
      <c r="J138" t="str">
        <v>01/10/2026</v>
      </c>
      <c r="K138" t="str">
        <v>13:52:10</v>
      </c>
      <c r="L138">
        <v>-12.307379</v>
      </c>
      <c r="M138">
        <v>-76.83959</v>
      </c>
      <c r="N138">
        <f>HYPERLINK("https://www.google.com/maps/search/?api=1&amp;query=-12.307379,-76.83959","Antigua Panamericana Sur, Lurín, Lima")</f>
      </c>
      <c r="O138" t="str">
        <v>Llegó a la zona</v>
      </c>
      <c r="P138" t="str">
        <v/>
      </c>
      <c r="Q138">
        <v>2273.9</v>
      </c>
      <c r="R138" t="str">
        <v>1191-ANTIGUA1 LU MS</v>
      </c>
      <c r="S138">
        <v>12.2</v>
      </c>
      <c r="T138">
        <v>73.62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>
        <v>91</v>
      </c>
      <c r="AC138" t="str">
        <v>01/10/2026</v>
      </c>
      <c r="AD138" t="str">
        <v>13:52:09</v>
      </c>
      <c r="AE138">
        <f>IF("ONLINE"="NOGPS","GPS Antiguo","En línea")</f>
      </c>
      <c r="AF138">
        <f>IF(0=0,"Sin atender", IF(0=1,"Atendida","Atendida y Reportada"))</f>
      </c>
      <c r="AG138" t="str">
        <v/>
      </c>
      <c r="AH138" t="str">
        <v/>
      </c>
      <c r="AI138" t="str">
        <v/>
      </c>
      <c r="AJ138" t="str">
        <v/>
      </c>
      <c r="AK138" t="str">
        <v>01/10/2026 13:52:20</v>
      </c>
      <c r="AL138" t="str">
        <v>13:52:20</v>
      </c>
      <c r="AM138" t="str">
        <v/>
      </c>
    </row>
    <row r="139">
      <c r="A139">
        <v>138</v>
      </c>
      <c r="B139" t="str">
        <v>MASS BSF</v>
      </c>
      <c r="C139" t="str">
        <v>F3I-769</v>
      </c>
      <c r="D139" t="str">
        <v>F3I-769</v>
      </c>
      <c r="E139" t="str">
        <v/>
      </c>
      <c r="F139" t="str">
        <v>867806075758377</v>
      </c>
      <c r="G139" t="str">
        <v>TBD</v>
      </c>
      <c r="H139" t="str">
        <v/>
      </c>
      <c r="I139" t="str">
        <v/>
      </c>
      <c r="J139" t="str">
        <v>01/10/2026</v>
      </c>
      <c r="K139" t="str">
        <v>13:55:23</v>
      </c>
      <c r="L139">
        <v>-12.307497</v>
      </c>
      <c r="M139">
        <v>-76.83951</v>
      </c>
      <c r="N139">
        <f>HYPERLINK("https://www.google.com/maps/search/?api=1&amp;query=-12.307497,-76.83951","Antigua Panamericana Sur, Lurín, Lima")</f>
      </c>
      <c r="O139" t="str">
        <v>Inicio de ralentí</v>
      </c>
      <c r="P139" t="str">
        <v>Vehículo Detenido</v>
      </c>
      <c r="Q139">
        <v>2273.9</v>
      </c>
      <c r="R139" t="str">
        <v/>
      </c>
      <c r="S139">
        <v>0</v>
      </c>
      <c r="T139">
        <v>75.93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>
        <v>85</v>
      </c>
      <c r="AC139" t="str">
        <v>01/10/2026</v>
      </c>
      <c r="AD139" t="str">
        <v>13:55:21</v>
      </c>
      <c r="AE139">
        <f>IF("ONLINE"="NOGPS","GPS Antiguo","En línea")</f>
      </c>
      <c r="AF139">
        <f>IF(0=0,"Sin atender", IF(0=1,"Atendida","Atendida y Reportada"))</f>
      </c>
      <c r="AG139" t="str">
        <v/>
      </c>
      <c r="AH139" t="str">
        <v/>
      </c>
      <c r="AI139" t="str">
        <v/>
      </c>
      <c r="AJ139" t="str">
        <v/>
      </c>
      <c r="AK139" t="str">
        <v>01/10/2026 13:55:42</v>
      </c>
      <c r="AL139" t="str">
        <v>13:55:42</v>
      </c>
      <c r="AM139" t="str">
        <v/>
      </c>
    </row>
    <row r="140">
      <c r="A140">
        <v>139</v>
      </c>
      <c r="B140" t="str">
        <v>MASS BSF</v>
      </c>
      <c r="C140" t="str">
        <v>F3I-769</v>
      </c>
      <c r="D140" t="str">
        <v>F3I-769</v>
      </c>
      <c r="E140" t="str">
        <v/>
      </c>
      <c r="F140" t="str">
        <v>867806075758377</v>
      </c>
      <c r="G140" t="str">
        <v>TBD</v>
      </c>
      <c r="H140" t="str">
        <v/>
      </c>
      <c r="I140" t="str">
        <v/>
      </c>
      <c r="J140" t="str">
        <v>01/10/2026</v>
      </c>
      <c r="K140" t="str">
        <v>14:12:53</v>
      </c>
      <c r="L140">
        <v>-12.307462</v>
      </c>
      <c r="M140">
        <v>-76.83945</v>
      </c>
      <c r="N140">
        <f>HYPERLINK("https://www.google.com/maps/search/?api=1&amp;query=-12.307462,-76.83945","Antigua Panamericana Sur, Lurín, Lima")</f>
      </c>
      <c r="O140" t="str">
        <v>Fin de ralentí</v>
      </c>
      <c r="P140" t="str">
        <v/>
      </c>
      <c r="Q140">
        <v>2274</v>
      </c>
      <c r="R140" t="str">
        <v/>
      </c>
      <c r="S140">
        <v>5.5</v>
      </c>
      <c r="T140">
        <v>75.93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>
        <v>91</v>
      </c>
      <c r="AC140" t="str">
        <v>01/10/2026</v>
      </c>
      <c r="AD140" t="str">
        <v>14:12:52</v>
      </c>
      <c r="AE140">
        <f>IF("ONLINE"="NOGPS","GPS Antiguo","En línea")</f>
      </c>
      <c r="AF140">
        <f>IF(0=0,"Sin atender", IF(0=1,"Atendida","Atendida y Reportada"))</f>
      </c>
      <c r="AG140" t="str">
        <v/>
      </c>
      <c r="AH140" t="str">
        <v/>
      </c>
      <c r="AI140" t="str">
        <v/>
      </c>
      <c r="AJ140" t="str">
        <v/>
      </c>
      <c r="AK140" t="str">
        <v>01/10/2026 14:13:07</v>
      </c>
      <c r="AL140" t="str">
        <v>14:13:07</v>
      </c>
      <c r="AM140" t="str">
        <v/>
      </c>
    </row>
    <row r="141">
      <c r="A141">
        <v>140</v>
      </c>
      <c r="B141" t="str">
        <v>MASS BSF</v>
      </c>
      <c r="C141" t="str">
        <v>F3I-769</v>
      </c>
      <c r="D141" t="str">
        <v>F3I-769</v>
      </c>
      <c r="E141" t="str">
        <v/>
      </c>
      <c r="F141" t="str">
        <v>867806075758377</v>
      </c>
      <c r="G141" t="str">
        <v>TBD</v>
      </c>
      <c r="H141" t="str">
        <v/>
      </c>
      <c r="I141" t="str">
        <v/>
      </c>
      <c r="J141" t="str">
        <v>01/10/2026</v>
      </c>
      <c r="K141" t="str">
        <v>14:13:06</v>
      </c>
      <c r="L141">
        <v>-12.30792</v>
      </c>
      <c r="M141">
        <v>-76.838974</v>
      </c>
      <c r="N141">
        <f>HYPERLINK("https://www.google.com/maps/search/?api=1&amp;query=-12.30792,-76.838974","Antigua Panamericana Sur, Punta Hermosa, Lima")</f>
      </c>
      <c r="O141" t="str">
        <v>Se movio</v>
      </c>
      <c r="P141" t="str">
        <v/>
      </c>
      <c r="Q141">
        <v>2274</v>
      </c>
      <c r="R141" t="str">
        <v/>
      </c>
      <c r="S141">
        <v>34.4</v>
      </c>
      <c r="T141">
        <v>75.93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>
        <v>91</v>
      </c>
      <c r="AC141" t="str">
        <v>01/10/2026</v>
      </c>
      <c r="AD141" t="str">
        <v>14:13:05</v>
      </c>
      <c r="AE141">
        <f>IF("ONLINE"="NOGPS","GPS Antiguo","En línea")</f>
      </c>
      <c r="AF141">
        <f>IF(0=0,"Sin atender", IF(0=1,"Atendida","Atendida y Reportada"))</f>
      </c>
      <c r="AG141" t="str">
        <v/>
      </c>
      <c r="AH141" t="str">
        <v/>
      </c>
      <c r="AI141" t="str">
        <v/>
      </c>
      <c r="AJ141" t="str">
        <v/>
      </c>
      <c r="AK141" t="str">
        <v>01/10/2026 14:13:40</v>
      </c>
      <c r="AL141" t="str">
        <v>14:13:40</v>
      </c>
      <c r="AM141" t="str">
        <v/>
      </c>
    </row>
    <row r="142">
      <c r="A142">
        <v>141</v>
      </c>
      <c r="B142" t="str">
        <v>MASS BSF</v>
      </c>
      <c r="C142" t="str">
        <v>F3I-769</v>
      </c>
      <c r="D142" t="str">
        <v>F3I-769</v>
      </c>
      <c r="E142" t="str">
        <v/>
      </c>
      <c r="F142" t="str">
        <v>867806075758377</v>
      </c>
      <c r="G142" t="str">
        <v>TBD</v>
      </c>
      <c r="H142" t="str">
        <v/>
      </c>
      <c r="I142" t="str">
        <v xml:space="preserve"> </v>
      </c>
      <c r="J142" t="str">
        <v>01/10/2026</v>
      </c>
      <c r="K142" t="str">
        <v>14:13:06</v>
      </c>
      <c r="L142">
        <v>-12.30792</v>
      </c>
      <c r="M142">
        <v>-76.838974</v>
      </c>
      <c r="N142">
        <f>HYPERLINK("https://www.google.com/maps/search/?api=1&amp;query=-12.30792,-76.838974","Antigua Panamericana Sur, Punta Hermosa, Lima")</f>
      </c>
      <c r="O142" t="str">
        <v>Salió de zona</v>
      </c>
      <c r="P142" t="str">
        <v/>
      </c>
      <c r="Q142">
        <v>2274</v>
      </c>
      <c r="R142" t="str">
        <v>1191-ANTIGUA1 LU MS</v>
      </c>
      <c r="S142">
        <v>34.4</v>
      </c>
      <c r="T142">
        <v>73.62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91</v>
      </c>
      <c r="AC142" t="str">
        <v>01/10/2026</v>
      </c>
      <c r="AD142" t="str">
        <v>14:13:05</v>
      </c>
      <c r="AE142">
        <f>IF("ONLINE"="NOGPS","GPS Antiguo","En línea")</f>
      </c>
      <c r="AF142">
        <f>IF(0=0,"Sin atender", IF(0=1,"Atendida","Atendida y Reportada"))</f>
      </c>
      <c r="AG142" t="str">
        <v/>
      </c>
      <c r="AH142" t="str">
        <v/>
      </c>
      <c r="AI142" t="str">
        <v/>
      </c>
      <c r="AJ142" t="str">
        <v/>
      </c>
      <c r="AK142" t="str">
        <v>01/10/2026 14:13:41</v>
      </c>
      <c r="AL142" t="str">
        <v>14:13:41</v>
      </c>
      <c r="AM142" t="str">
        <v/>
      </c>
    </row>
    <row r="143">
      <c r="A143">
        <v>142</v>
      </c>
      <c r="B143" t="str">
        <v>MASS BSF</v>
      </c>
      <c r="C143" t="str">
        <v>F3I-769</v>
      </c>
      <c r="D143" t="str">
        <v>F3I-769</v>
      </c>
      <c r="E143" t="str">
        <v/>
      </c>
      <c r="F143" t="str">
        <v>867806075758377</v>
      </c>
      <c r="G143" t="str">
        <v>TBD</v>
      </c>
      <c r="H143" t="str">
        <v/>
      </c>
      <c r="I143" t="str">
        <v/>
      </c>
      <c r="J143" t="str">
        <v>01/10/2026</v>
      </c>
      <c r="K143" t="str">
        <v>14:13:24</v>
      </c>
      <c r="L143">
        <v>-12.309033</v>
      </c>
      <c r="M143">
        <v>-76.83783</v>
      </c>
      <c r="N143">
        <f>HYPERLINK("https://www.google.com/maps/search/?api=1&amp;query=-12.309033,-76.83783","Antigua Panamericana Sur, Punta Hermosa, Lima")</f>
      </c>
      <c r="O143" t="str">
        <v>Bache</v>
      </c>
      <c r="P143" t="str">
        <v/>
      </c>
      <c r="Q143">
        <v>2274.2</v>
      </c>
      <c r="R143" t="str">
        <v/>
      </c>
      <c r="S143">
        <v>22.2</v>
      </c>
      <c r="T143">
        <v>75.93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>
        <v>91</v>
      </c>
      <c r="AC143" t="str">
        <v>01/10/2026</v>
      </c>
      <c r="AD143" t="str">
        <v>14:13:22</v>
      </c>
      <c r="AE143">
        <f>IF("ONLINE"="NOGPS","GPS Antiguo","En línea")</f>
      </c>
      <c r="AF143">
        <f>IF(0=0,"Sin atender", IF(0=1,"Atendida","Atendida y Reportada"))</f>
      </c>
      <c r="AG143" t="str">
        <v/>
      </c>
      <c r="AH143" t="str">
        <v/>
      </c>
      <c r="AI143" t="str">
        <v/>
      </c>
      <c r="AJ143" t="str">
        <v/>
      </c>
      <c r="AK143" t="str">
        <v>01/10/2026 14:13:36</v>
      </c>
      <c r="AL143" t="str">
        <v>14:13:36</v>
      </c>
      <c r="AM143" t="str">
        <v/>
      </c>
    </row>
    <row r="144">
      <c r="A144">
        <v>143</v>
      </c>
      <c r="B144" t="str">
        <v>MASS BSF</v>
      </c>
      <c r="C144" t="str">
        <v>F3I-769</v>
      </c>
      <c r="D144" t="str">
        <v>F3I-769</v>
      </c>
      <c r="E144" t="str">
        <v/>
      </c>
      <c r="F144" t="str">
        <v>867806075758377</v>
      </c>
      <c r="G144" t="str">
        <v>TBD</v>
      </c>
      <c r="H144" t="str">
        <v/>
      </c>
      <c r="I144" t="str">
        <v/>
      </c>
      <c r="J144" t="str">
        <v>01/10/2026</v>
      </c>
      <c r="K144" t="str">
        <v>14:15:16</v>
      </c>
      <c r="L144">
        <v>-12.314992</v>
      </c>
      <c r="M144">
        <v>-76.83339</v>
      </c>
      <c r="N144">
        <f>HYPERLINK("https://www.google.com/maps/search/?api=1&amp;query=-12.314992,-76.83339","Antigua Panamericana Sur, Punta Hermosa, Lima")</f>
      </c>
      <c r="O144" t="str">
        <v>Bache</v>
      </c>
      <c r="P144" t="str">
        <v/>
      </c>
      <c r="Q144">
        <v>2275</v>
      </c>
      <c r="R144" t="str">
        <v/>
      </c>
      <c r="S144">
        <v>21.8</v>
      </c>
      <c r="T144">
        <v>75.93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91</v>
      </c>
      <c r="AC144" t="str">
        <v>01/10/2026</v>
      </c>
      <c r="AD144" t="str">
        <v>14:15:15</v>
      </c>
      <c r="AE144">
        <f>IF("ONLINE"="NOGPS","GPS Antiguo","En línea")</f>
      </c>
      <c r="AF144">
        <f>IF(0=0,"Sin atender", IF(0=1,"Atendida","Atendida y Reportada"))</f>
      </c>
      <c r="AG144" t="str">
        <v/>
      </c>
      <c r="AH144" t="str">
        <v/>
      </c>
      <c r="AI144" t="str">
        <v/>
      </c>
      <c r="AJ144" t="str">
        <v/>
      </c>
      <c r="AK144" t="str">
        <v>01/10/2026 14:15:41</v>
      </c>
      <c r="AL144" t="str">
        <v>14:15:41</v>
      </c>
      <c r="AM144" t="str">
        <v/>
      </c>
    </row>
    <row r="145">
      <c r="A145">
        <v>144</v>
      </c>
      <c r="B145" t="str">
        <v>MASS BSF</v>
      </c>
      <c r="C145" t="str">
        <v>F3I-769</v>
      </c>
      <c r="D145" t="str">
        <v>F3I-769</v>
      </c>
      <c r="E145" t="str">
        <v/>
      </c>
      <c r="F145" t="str">
        <v>867806075758377</v>
      </c>
      <c r="G145" t="str">
        <v>TBD</v>
      </c>
      <c r="H145" t="str">
        <v/>
      </c>
      <c r="I145" t="str">
        <v/>
      </c>
      <c r="J145" t="str">
        <v>01/10/2026</v>
      </c>
      <c r="K145" t="str">
        <v>14:16:01</v>
      </c>
      <c r="L145">
        <v>-12.318392</v>
      </c>
      <c r="M145">
        <v>-76.831085</v>
      </c>
      <c r="N145">
        <f>HYPERLINK("https://www.google.com/maps/search/?api=1&amp;query=-12.318392,-76.831085","Antigua Panamericana Sur, Punta Hermosa, Lima")</f>
      </c>
      <c r="O145" t="str">
        <v>Bache</v>
      </c>
      <c r="P145" t="str">
        <v/>
      </c>
      <c r="Q145">
        <v>2275.5</v>
      </c>
      <c r="R145" t="str">
        <v/>
      </c>
      <c r="S145">
        <v>19.6</v>
      </c>
      <c r="T145">
        <v>75.93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>
        <v>91</v>
      </c>
      <c r="AC145" t="str">
        <v>01/10/2026</v>
      </c>
      <c r="AD145" t="str">
        <v>14:15:59</v>
      </c>
      <c r="AE145">
        <f>IF("ONLINE"="NOGPS","GPS Antiguo","En línea")</f>
      </c>
      <c r="AF145">
        <f>IF(0=0,"Sin atender", IF(0=1,"Atendida","Atendida y Reportada"))</f>
      </c>
      <c r="AG145" t="str">
        <v/>
      </c>
      <c r="AH145" t="str">
        <v/>
      </c>
      <c r="AI145" t="str">
        <v/>
      </c>
      <c r="AJ145" t="str">
        <v/>
      </c>
      <c r="AK145" t="str">
        <v>01/10/2026 14:16:25</v>
      </c>
      <c r="AL145" t="str">
        <v>14:16:25</v>
      </c>
      <c r="AM145" t="str">
        <v/>
      </c>
    </row>
    <row r="146">
      <c r="A146">
        <v>145</v>
      </c>
      <c r="B146" t="str">
        <v>MASS BSF</v>
      </c>
      <c r="C146" t="str">
        <v>F3I-769</v>
      </c>
      <c r="D146" t="str">
        <v>F3I-769</v>
      </c>
      <c r="E146" t="str">
        <v/>
      </c>
      <c r="F146" t="str">
        <v>867806075758377</v>
      </c>
      <c r="G146" t="str">
        <v>TBD</v>
      </c>
      <c r="H146" t="str">
        <v/>
      </c>
      <c r="I146" t="str">
        <v/>
      </c>
      <c r="J146" t="str">
        <v>01/10/2026</v>
      </c>
      <c r="K146" t="str">
        <v>14:16:13</v>
      </c>
      <c r="L146">
        <v>-12.31905</v>
      </c>
      <c r="M146">
        <v>-76.83063</v>
      </c>
      <c r="N146">
        <f>HYPERLINK("https://www.google.com/maps/search/?api=1&amp;query=-12.31905,-76.83063","Antigua Panamericana Sur, Punta Hermosa, Lima")</f>
      </c>
      <c r="O146" t="str">
        <v>Bache</v>
      </c>
      <c r="P146" t="str">
        <v/>
      </c>
      <c r="Q146">
        <v>2275.5</v>
      </c>
      <c r="R146" t="str">
        <v/>
      </c>
      <c r="S146">
        <v>21.8</v>
      </c>
      <c r="T146">
        <v>75.93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>
        <v>91</v>
      </c>
      <c r="AC146" t="str">
        <v>01/10/2026</v>
      </c>
      <c r="AD146" t="str">
        <v>14:16:12</v>
      </c>
      <c r="AE146">
        <f>IF("ONLINE"="NOGPS","GPS Antiguo","En línea")</f>
      </c>
      <c r="AF146">
        <f>IF(0=0,"Sin atender", IF(0=1,"Atendida","Atendida y Reportada"))</f>
      </c>
      <c r="AG146" t="str">
        <v/>
      </c>
      <c r="AH146" t="str">
        <v/>
      </c>
      <c r="AI146" t="str">
        <v/>
      </c>
      <c r="AJ146" t="str">
        <v/>
      </c>
      <c r="AK146" t="str">
        <v>01/10/2026 14:16:20</v>
      </c>
      <c r="AL146" t="str">
        <v>14:16:20</v>
      </c>
      <c r="AM146" t="str">
        <v/>
      </c>
    </row>
    <row r="147">
      <c r="A147">
        <v>146</v>
      </c>
      <c r="B147" t="str">
        <v>MASS BSF</v>
      </c>
      <c r="C147" t="str">
        <v>F3I-769</v>
      </c>
      <c r="D147" t="str">
        <v>F3I-769</v>
      </c>
      <c r="E147" t="str">
        <v/>
      </c>
      <c r="F147" t="str">
        <v>867806075758377</v>
      </c>
      <c r="G147" t="str">
        <v>TBD</v>
      </c>
      <c r="H147" t="str">
        <v/>
      </c>
      <c r="I147" t="str">
        <v/>
      </c>
      <c r="J147" t="str">
        <v>01/10/2026</v>
      </c>
      <c r="K147" t="str">
        <v>14:17:28</v>
      </c>
      <c r="L147">
        <v>-12.324676</v>
      </c>
      <c r="M147">
        <v>-76.82682</v>
      </c>
      <c r="N147">
        <f>HYPERLINK("https://www.google.com/maps/search/?api=1&amp;query=-12.324676,-76.82682","Antigua Panamericana Sur, Punta Hermosa, Lima")</f>
      </c>
      <c r="O147" t="str">
        <v>Bache</v>
      </c>
      <c r="P147" t="str">
        <v/>
      </c>
      <c r="Q147">
        <v>2276.3</v>
      </c>
      <c r="R147" t="str">
        <v/>
      </c>
      <c r="S147">
        <v>24.4</v>
      </c>
      <c r="T147">
        <v>75.93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>
        <v>91</v>
      </c>
      <c r="AC147" t="str">
        <v>01/10/2026</v>
      </c>
      <c r="AD147" t="str">
        <v>14:17:27</v>
      </c>
      <c r="AE147">
        <f>IF("ONLINE"="NOGPS","GPS Antiguo","En línea")</f>
      </c>
      <c r="AF147">
        <f>IF(0=0,"Sin atender", IF(0=1,"Atendida","Atendida y Reportada"))</f>
      </c>
      <c r="AG147" t="str">
        <v/>
      </c>
      <c r="AH147" t="str">
        <v/>
      </c>
      <c r="AI147" t="str">
        <v/>
      </c>
      <c r="AJ147" t="str">
        <v/>
      </c>
      <c r="AK147" t="str">
        <v>01/10/2026 14:17:41</v>
      </c>
      <c r="AL147" t="str">
        <v>14:17:41</v>
      </c>
      <c r="AM147" t="str">
        <v/>
      </c>
    </row>
    <row r="148">
      <c r="A148">
        <v>147</v>
      </c>
      <c r="B148" t="str">
        <v>MASS BSF</v>
      </c>
      <c r="C148" t="str">
        <v>F3I-769</v>
      </c>
      <c r="D148" t="str">
        <v>F3I-769</v>
      </c>
      <c r="E148" t="str">
        <v/>
      </c>
      <c r="F148" t="str">
        <v>867806075758377</v>
      </c>
      <c r="G148" t="str">
        <v>TBD</v>
      </c>
      <c r="H148" t="str">
        <v/>
      </c>
      <c r="I148" t="str">
        <v/>
      </c>
      <c r="J148" t="str">
        <v>01/10/2026</v>
      </c>
      <c r="K148" t="str">
        <v>14:18:19</v>
      </c>
      <c r="L148">
        <v>-12.328188</v>
      </c>
      <c r="M148">
        <v>-76.82443</v>
      </c>
      <c r="N148">
        <f>HYPERLINK("https://www.google.com/maps/search/?api=1&amp;query=-12.328188,-76.82443","Antigua Panamericana Sur, Punta Hermosa, Lima")</f>
      </c>
      <c r="O148" t="str">
        <v>Bache</v>
      </c>
      <c r="P148" t="str">
        <v/>
      </c>
      <c r="Q148">
        <v>2276.7</v>
      </c>
      <c r="R148" t="str">
        <v/>
      </c>
      <c r="S148">
        <v>22.2</v>
      </c>
      <c r="T148">
        <v>75.93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>
        <v>91</v>
      </c>
      <c r="AC148" t="str">
        <v>01/10/2026</v>
      </c>
      <c r="AD148" t="str">
        <v>14:18:18</v>
      </c>
      <c r="AE148">
        <f>IF("ONLINE"="NOGPS","GPS Antiguo","En línea")</f>
      </c>
      <c r="AF148">
        <f>IF(0=0,"Sin atender", IF(0=1,"Atendida","Atendida y Reportada"))</f>
      </c>
      <c r="AG148" t="str">
        <v/>
      </c>
      <c r="AH148" t="str">
        <v/>
      </c>
      <c r="AI148" t="str">
        <v/>
      </c>
      <c r="AJ148" t="str">
        <v/>
      </c>
      <c r="AK148" t="str">
        <v>01/10/2026 14:18:39</v>
      </c>
      <c r="AL148" t="str">
        <v>14:18:39</v>
      </c>
      <c r="AM148" t="str">
        <v/>
      </c>
    </row>
    <row r="149">
      <c r="A149">
        <v>148</v>
      </c>
      <c r="B149" t="str">
        <v>MASS BSF</v>
      </c>
      <c r="C149" t="str">
        <v>F3I-769</v>
      </c>
      <c r="D149" t="str">
        <v>F3I-769</v>
      </c>
      <c r="E149" t="str">
        <v/>
      </c>
      <c r="F149" t="str">
        <v>867806075758377</v>
      </c>
      <c r="G149" t="str">
        <v>TBD</v>
      </c>
      <c r="H149" t="str">
        <v/>
      </c>
      <c r="I149" t="str">
        <v/>
      </c>
      <c r="J149" t="str">
        <v>01/10/2026</v>
      </c>
      <c r="K149" t="str">
        <v>14:19:24</v>
      </c>
      <c r="L149">
        <v>-12.333582</v>
      </c>
      <c r="M149">
        <v>-76.820786</v>
      </c>
      <c r="N149">
        <f>HYPERLINK("https://www.google.com/maps/search/?api=1&amp;query=-12.333582,-76.820786","Antigua Panamericana Sur, Punta Hermosa, Lima")</f>
      </c>
      <c r="O149" t="str">
        <v>Aceleración brusca</v>
      </c>
      <c r="P149" t="str">
        <v>CMT-910</v>
      </c>
      <c r="Q149">
        <v>2277.5</v>
      </c>
      <c r="R149" t="str">
        <v/>
      </c>
      <c r="S149">
        <v>13.1</v>
      </c>
      <c r="T149">
        <v>75.93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>
        <v>91</v>
      </c>
      <c r="AC149" t="str">
        <v>01/10/2026</v>
      </c>
      <c r="AD149" t="str">
        <v>14:19:23</v>
      </c>
      <c r="AE149">
        <f>IF("ONLINE"="NOGPS","GPS Antiguo","En línea")</f>
      </c>
      <c r="AF149">
        <f>IF(0=0,"Sin atender", IF(0=1,"Atendida","Atendida y Reportada"))</f>
      </c>
      <c r="AG149" t="str">
        <v/>
      </c>
      <c r="AH149" t="str">
        <v/>
      </c>
      <c r="AI149" t="str">
        <v/>
      </c>
      <c r="AJ149" t="str">
        <v/>
      </c>
      <c r="AK149" t="str">
        <v>01/10/2026 14:19:36</v>
      </c>
      <c r="AL149" t="str">
        <v>14:19:36</v>
      </c>
      <c r="AM149" t="str">
        <v/>
      </c>
    </row>
    <row r="150">
      <c r="A150">
        <v>149</v>
      </c>
      <c r="B150" t="str">
        <v>MASS BSF</v>
      </c>
      <c r="C150" t="str">
        <v>F3I-769</v>
      </c>
      <c r="D150" t="str">
        <v>F3I-769</v>
      </c>
      <c r="E150" t="str">
        <v/>
      </c>
      <c r="F150" t="str">
        <v>867806075758377</v>
      </c>
      <c r="G150" t="str">
        <v>TBD</v>
      </c>
      <c r="H150" t="str">
        <v/>
      </c>
      <c r="I150" t="str">
        <v/>
      </c>
      <c r="J150" t="str">
        <v>01/10/2026</v>
      </c>
      <c r="K150" t="str">
        <v>14:22:01</v>
      </c>
      <c r="L150">
        <v>-12.318662</v>
      </c>
      <c r="M150">
        <v>-76.829544</v>
      </c>
      <c r="N150">
        <f>HYPERLINK("https://www.google.com/maps/search/?api=1&amp;query=-12.318662,-76.829544","Carretera Panamericana Sur, Punta Hermosa, Lima")</f>
      </c>
      <c r="O150" t="str">
        <v>Bache</v>
      </c>
      <c r="P150" t="str">
        <v/>
      </c>
      <c r="Q150">
        <v>2279.6</v>
      </c>
      <c r="R150" t="str">
        <v/>
      </c>
      <c r="S150">
        <v>52.7</v>
      </c>
      <c r="T150">
        <v>75.93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>
        <v>91</v>
      </c>
      <c r="AC150" t="str">
        <v>01/10/2026</v>
      </c>
      <c r="AD150" t="str">
        <v>14:22:00</v>
      </c>
      <c r="AE150">
        <f>IF("ONLINE"="NOGPS","GPS Antiguo","En línea")</f>
      </c>
      <c r="AF150">
        <f>IF(0=0,"Sin atender", IF(0=1,"Atendida","Atendida y Reportada"))</f>
      </c>
      <c r="AG150" t="str">
        <v/>
      </c>
      <c r="AH150" t="str">
        <v/>
      </c>
      <c r="AI150" t="str">
        <v/>
      </c>
      <c r="AJ150" t="str">
        <v/>
      </c>
      <c r="AK150" t="str">
        <v>01/10/2026 14:22:19</v>
      </c>
      <c r="AL150" t="str">
        <v>14:22:19</v>
      </c>
      <c r="AM150" t="str">
        <v/>
      </c>
    </row>
    <row r="151">
      <c r="A151">
        <v>150</v>
      </c>
      <c r="B151" t="str">
        <v>MASS BSF</v>
      </c>
      <c r="C151" t="str">
        <v>F3I-769</v>
      </c>
      <c r="D151" t="str">
        <v>F3I-769</v>
      </c>
      <c r="E151" t="str">
        <v/>
      </c>
      <c r="F151" t="str">
        <v>867806075758377</v>
      </c>
      <c r="G151" t="str">
        <v>TBD</v>
      </c>
      <c r="H151" t="str">
        <v/>
      </c>
      <c r="I151" t="str">
        <v xml:space="preserve"> </v>
      </c>
      <c r="J151" t="str">
        <v>01/10/2026</v>
      </c>
      <c r="K151" t="str">
        <v>14:22:22</v>
      </c>
      <c r="L151">
        <v>-12.317607</v>
      </c>
      <c r="M151">
        <v>-76.829666</v>
      </c>
      <c r="N151">
        <f>HYPERLINK("https://www.google.com/maps/search/?api=1&amp;query=-12.317607,-76.829666","Punta Hermosa, Lima")</f>
      </c>
      <c r="O151" t="str">
        <v>Llegó a la zona</v>
      </c>
      <c r="P151" t="str">
        <v/>
      </c>
      <c r="Q151">
        <v>2279.7</v>
      </c>
      <c r="R151" t="str">
        <v>MASS BSF 1</v>
      </c>
      <c r="S151">
        <v>10.9</v>
      </c>
      <c r="T151">
        <v>73.62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>
        <v>91</v>
      </c>
      <c r="AC151" t="str">
        <v>01/10/2026</v>
      </c>
      <c r="AD151" t="str">
        <v>14:22:21</v>
      </c>
      <c r="AE151">
        <f>IF("ONLINE"="NOGPS","GPS Antiguo","En línea")</f>
      </c>
      <c r="AF151">
        <f>IF(0=0,"Sin atender", IF(0=1,"Atendida","Atendida y Reportada"))</f>
      </c>
      <c r="AG151" t="str">
        <v/>
      </c>
      <c r="AH151" t="str">
        <v/>
      </c>
      <c r="AI151" t="str">
        <v/>
      </c>
      <c r="AJ151" t="str">
        <v/>
      </c>
      <c r="AK151" t="str">
        <v>01/10/2026 14:22:28</v>
      </c>
      <c r="AL151" t="str">
        <v>14:22:28</v>
      </c>
      <c r="AM151" t="str">
        <v/>
      </c>
    </row>
    <row r="152">
      <c r="A152">
        <v>151</v>
      </c>
      <c r="B152" t="str">
        <v>MASS BSF</v>
      </c>
      <c r="C152" t="str">
        <v>F3I-769</v>
      </c>
      <c r="D152" t="str">
        <v>F3I-769</v>
      </c>
      <c r="E152" t="str">
        <v/>
      </c>
      <c r="F152" t="str">
        <v>867806075758377</v>
      </c>
      <c r="G152" t="str">
        <v>TBD</v>
      </c>
      <c r="H152" t="str">
        <v/>
      </c>
      <c r="I152" t="str">
        <v/>
      </c>
      <c r="J152" t="str">
        <v>01/10/2026</v>
      </c>
      <c r="K152" t="str">
        <v>14:24:39</v>
      </c>
      <c r="L152">
        <v>-12.316272</v>
      </c>
      <c r="M152">
        <v>-76.82748</v>
      </c>
      <c r="N152">
        <f>HYPERLINK("https://www.google.com/maps/search/?api=1&amp;query=-12.316272,-76.82748","Punta Hermosa, Lima")</f>
      </c>
      <c r="O152" t="str">
        <v>Bache</v>
      </c>
      <c r="P152" t="str">
        <v/>
      </c>
      <c r="Q152">
        <v>2280</v>
      </c>
      <c r="R152" t="str">
        <v/>
      </c>
      <c r="S152">
        <v>18.7</v>
      </c>
      <c r="T152">
        <v>75.93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>
        <v>91</v>
      </c>
      <c r="AC152" t="str">
        <v>01/10/2026</v>
      </c>
      <c r="AD152" t="str">
        <v>14:24:37</v>
      </c>
      <c r="AE152">
        <f>IF("ONLINE"="NOGPS","GPS Antiguo","En línea")</f>
      </c>
      <c r="AF152">
        <f>IF(0=0,"Sin atender", IF(0=1,"Atendida","Atendida y Reportada"))</f>
      </c>
      <c r="AG152" t="str">
        <v/>
      </c>
      <c r="AH152" t="str">
        <v/>
      </c>
      <c r="AI152" t="str">
        <v/>
      </c>
      <c r="AJ152" t="str">
        <v/>
      </c>
      <c r="AK152" t="str">
        <v>01/10/2026 14:25:04</v>
      </c>
      <c r="AL152" t="str">
        <v>14:25:04</v>
      </c>
      <c r="AM152" t="str">
        <v/>
      </c>
    </row>
    <row r="153">
      <c r="A153">
        <v>152</v>
      </c>
      <c r="B153" t="str">
        <v>MASS BSF</v>
      </c>
      <c r="C153" t="str">
        <v>F3I-769</v>
      </c>
      <c r="D153" t="str">
        <v>F3I-769</v>
      </c>
      <c r="E153" t="str">
        <v/>
      </c>
      <c r="F153" t="str">
        <v>867806075758377</v>
      </c>
      <c r="G153" t="str">
        <v>TBD</v>
      </c>
      <c r="H153" t="str">
        <v/>
      </c>
      <c r="I153" t="str">
        <v/>
      </c>
      <c r="J153" t="str">
        <v>01/10/2026</v>
      </c>
      <c r="K153" t="str">
        <v>14:24:52</v>
      </c>
      <c r="L153">
        <v>-12.31585</v>
      </c>
      <c r="M153">
        <v>-76.8268</v>
      </c>
      <c r="N153">
        <f>HYPERLINK("https://www.google.com/maps/search/?api=1&amp;query=-12.31585,-76.8268","Punta Hermosa, Lima")</f>
      </c>
      <c r="O153" t="str">
        <v>Bache</v>
      </c>
      <c r="P153" t="str">
        <v/>
      </c>
      <c r="Q153">
        <v>2280</v>
      </c>
      <c r="R153" t="str">
        <v/>
      </c>
      <c r="S153">
        <v>21.8</v>
      </c>
      <c r="T153">
        <v>75.93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>
        <v>91</v>
      </c>
      <c r="AC153" t="str">
        <v>01/10/2026</v>
      </c>
      <c r="AD153" t="str">
        <v>14:24:51</v>
      </c>
      <c r="AE153">
        <f>IF("ONLINE"="NOGPS","GPS Antiguo","En línea")</f>
      </c>
      <c r="AF153">
        <f>IF(0=0,"Sin atender", IF(0=1,"Atendida","Atendida y Reportada"))</f>
      </c>
      <c r="AG153" t="str">
        <v/>
      </c>
      <c r="AH153" t="str">
        <v/>
      </c>
      <c r="AI153" t="str">
        <v/>
      </c>
      <c r="AJ153" t="str">
        <v/>
      </c>
      <c r="AK153" t="str">
        <v>01/10/2026 14:25:13</v>
      </c>
      <c r="AL153" t="str">
        <v>14:25:13</v>
      </c>
      <c r="AM153" t="str">
        <v/>
      </c>
    </row>
    <row r="154">
      <c r="A154">
        <v>153</v>
      </c>
      <c r="B154" t="str">
        <v>MASS BSF</v>
      </c>
      <c r="C154" t="str">
        <v>F3I-769</v>
      </c>
      <c r="D154" t="str">
        <v>F3I-769</v>
      </c>
      <c r="E154" t="str">
        <v/>
      </c>
      <c r="F154" t="str">
        <v>867806075758377</v>
      </c>
      <c r="G154" t="str">
        <v>TBD</v>
      </c>
      <c r="H154" t="str">
        <v/>
      </c>
      <c r="I154" t="str">
        <v/>
      </c>
      <c r="J154" t="str">
        <v>01/10/2026</v>
      </c>
      <c r="K154" t="str">
        <v>14:25:01</v>
      </c>
      <c r="L154">
        <v>-12.315587</v>
      </c>
      <c r="M154">
        <v>-76.82636</v>
      </c>
      <c r="N154">
        <f>HYPERLINK("https://www.google.com/maps/search/?api=1&amp;query=-12.315587,-76.82636","Punta Hermosa, Lima")</f>
      </c>
      <c r="O154" t="str">
        <v>Bache</v>
      </c>
      <c r="P154" t="str">
        <v/>
      </c>
      <c r="Q154">
        <v>2280.1</v>
      </c>
      <c r="R154" t="str">
        <v/>
      </c>
      <c r="S154">
        <v>23.7</v>
      </c>
      <c r="T154">
        <v>75.93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>
        <v>91</v>
      </c>
      <c r="AC154" t="str">
        <v>01/10/2026</v>
      </c>
      <c r="AD154" t="str">
        <v>14:24:59</v>
      </c>
      <c r="AE154">
        <f>IF("ONLINE"="NOGPS","GPS Antiguo","En línea")</f>
      </c>
      <c r="AF154">
        <f>IF(0=0,"Sin atender", IF(0=1,"Atendida","Atendida y Reportada"))</f>
      </c>
      <c r="AG154" t="str">
        <v/>
      </c>
      <c r="AH154" t="str">
        <v/>
      </c>
      <c r="AI154" t="str">
        <v/>
      </c>
      <c r="AJ154" t="str">
        <v/>
      </c>
      <c r="AK154" t="str">
        <v>01/10/2026 14:25:22</v>
      </c>
      <c r="AL154" t="str">
        <v>14:25:22</v>
      </c>
      <c r="AM154" t="str">
        <v/>
      </c>
    </row>
    <row r="155">
      <c r="A155">
        <v>154</v>
      </c>
      <c r="B155" t="str">
        <v>MASS BSF</v>
      </c>
      <c r="C155" t="str">
        <v>F3I-769</v>
      </c>
      <c r="D155" t="str">
        <v>F3I-769</v>
      </c>
      <c r="E155" t="str">
        <v/>
      </c>
      <c r="F155" t="str">
        <v>867806075758377</v>
      </c>
      <c r="G155" t="str">
        <v>TBD</v>
      </c>
      <c r="H155" t="str">
        <v/>
      </c>
      <c r="I155" t="str">
        <v/>
      </c>
      <c r="J155" t="str">
        <v>01/10/2026</v>
      </c>
      <c r="K155" t="str">
        <v>14:25:04</v>
      </c>
      <c r="L155">
        <v>-12.315508</v>
      </c>
      <c r="M155">
        <v>-76.82623</v>
      </c>
      <c r="N155">
        <f>HYPERLINK("https://www.google.com/maps/search/?api=1&amp;query=-12.315508,-76.82623","Punta Hermosa, Lima")</f>
      </c>
      <c r="O155" t="str">
        <v>Bache</v>
      </c>
      <c r="P155" t="str">
        <v/>
      </c>
      <c r="Q155">
        <v>2280.1</v>
      </c>
      <c r="R155" t="str">
        <v/>
      </c>
      <c r="S155">
        <v>17.9</v>
      </c>
      <c r="T155">
        <v>75.93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>
        <v>91</v>
      </c>
      <c r="AC155" t="str">
        <v>01/10/2026</v>
      </c>
      <c r="AD155" t="str">
        <v>14:25:02</v>
      </c>
      <c r="AE155">
        <f>IF("ONLINE"="NOGPS","GPS Antiguo","En línea")</f>
      </c>
      <c r="AF155">
        <f>IF(0=0,"Sin atender", IF(0=1,"Atendida","Atendida y Reportada"))</f>
      </c>
      <c r="AG155" t="str">
        <v/>
      </c>
      <c r="AH155" t="str">
        <v/>
      </c>
      <c r="AI155" t="str">
        <v/>
      </c>
      <c r="AJ155" t="str">
        <v/>
      </c>
      <c r="AK155" t="str">
        <v>01/10/2026 14:25:17</v>
      </c>
      <c r="AL155" t="str">
        <v>14:25:17</v>
      </c>
      <c r="AM155" t="str">
        <v/>
      </c>
    </row>
    <row r="156">
      <c r="A156">
        <v>155</v>
      </c>
      <c r="B156" t="str">
        <v>MASS BSF</v>
      </c>
      <c r="C156" t="str">
        <v>F3I-769</v>
      </c>
      <c r="D156" t="str">
        <v>F3I-769</v>
      </c>
      <c r="E156" t="str">
        <v/>
      </c>
      <c r="F156" t="str">
        <v>867806075758377</v>
      </c>
      <c r="G156" t="str">
        <v>TBD</v>
      </c>
      <c r="H156" t="str">
        <v/>
      </c>
      <c r="I156" t="str">
        <v/>
      </c>
      <c r="J156" t="str">
        <v>01/10/2026</v>
      </c>
      <c r="K156" t="str">
        <v>14:25:37</v>
      </c>
      <c r="L156">
        <v>-12.316843</v>
      </c>
      <c r="M156">
        <v>-76.82497</v>
      </c>
      <c r="N156">
        <f>HYPERLINK("https://www.google.com/maps/search/?api=1&amp;query=-12.316843,-76.82497","Punta Hermosa, Lima")</f>
      </c>
      <c r="O156" t="str">
        <v>Bache</v>
      </c>
      <c r="P156" t="str">
        <v/>
      </c>
      <c r="Q156">
        <v>2280.3</v>
      </c>
      <c r="R156" t="str">
        <v/>
      </c>
      <c r="S156">
        <v>24.2</v>
      </c>
      <c r="T156">
        <v>75.93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>
        <v>91</v>
      </c>
      <c r="AC156" t="str">
        <v>01/10/2026</v>
      </c>
      <c r="AD156" t="str">
        <v>14:25:35</v>
      </c>
      <c r="AE156">
        <f>IF("ONLINE"="NOGPS","GPS Antiguo","En línea")</f>
      </c>
      <c r="AF156">
        <f>IF(0=0,"Sin atender", IF(0=1,"Atendida","Atendida y Reportada"))</f>
      </c>
      <c r="AG156" t="str">
        <v/>
      </c>
      <c r="AH156" t="str">
        <v/>
      </c>
      <c r="AI156" t="str">
        <v/>
      </c>
      <c r="AJ156" t="str">
        <v/>
      </c>
      <c r="AK156" t="str">
        <v>01/10/2026 14:25:42</v>
      </c>
      <c r="AL156" t="str">
        <v>14:25:42</v>
      </c>
      <c r="AM156" t="str">
        <v/>
      </c>
    </row>
    <row r="157">
      <c r="A157">
        <v>156</v>
      </c>
      <c r="B157" t="str">
        <v>MASS BSF</v>
      </c>
      <c r="C157" t="str">
        <v>F3I-769</v>
      </c>
      <c r="D157" t="str">
        <v>F3I-769</v>
      </c>
      <c r="E157" t="str">
        <v/>
      </c>
      <c r="F157" t="str">
        <v>867806075758377</v>
      </c>
      <c r="G157" t="str">
        <v>TBD</v>
      </c>
      <c r="H157" t="str">
        <v/>
      </c>
      <c r="I157" t="str">
        <v/>
      </c>
      <c r="J157" t="str">
        <v>01/10/2026</v>
      </c>
      <c r="K157" t="str">
        <v>14:25:40</v>
      </c>
      <c r="L157">
        <v>-12.317</v>
      </c>
      <c r="M157">
        <v>-76.82487</v>
      </c>
      <c r="N157">
        <f>HYPERLINK("https://www.google.com/maps/search/?api=1&amp;query=-12.317,-76.82487","Punta Hermosa, Lima")</f>
      </c>
      <c r="O157" t="str">
        <v>Ingreso a camino vecinal</v>
      </c>
      <c r="P157" t="str">
        <v/>
      </c>
      <c r="Q157">
        <v>2280.4</v>
      </c>
      <c r="R157" t="str">
        <v/>
      </c>
      <c r="S157">
        <v>24.4</v>
      </c>
      <c r="T157">
        <v>75.93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>
        <v>91</v>
      </c>
      <c r="AC157" t="str">
        <v>01/10/2026</v>
      </c>
      <c r="AD157" t="str">
        <v>14:25:38</v>
      </c>
      <c r="AE157">
        <f>IF("ONLINE"="NOGPS","GPS Antiguo","En línea")</f>
      </c>
      <c r="AF157">
        <f>IF(0=0,"Sin atender", IF(0=1,"Atendida","Atendida y Reportada"))</f>
      </c>
      <c r="AG157" t="str">
        <v/>
      </c>
      <c r="AH157" t="str">
        <v/>
      </c>
      <c r="AI157" t="str">
        <v/>
      </c>
      <c r="AJ157" t="str">
        <v/>
      </c>
      <c r="AK157" t="str">
        <v>01/10/2026 14:25:52</v>
      </c>
      <c r="AL157" t="str">
        <v>14:25:52</v>
      </c>
      <c r="AM157" t="str">
        <v/>
      </c>
    </row>
    <row r="158">
      <c r="A158">
        <v>157</v>
      </c>
      <c r="B158" t="str">
        <v>MASS BSF</v>
      </c>
      <c r="C158" t="str">
        <v>F3I-769</v>
      </c>
      <c r="D158" t="str">
        <v>F3I-769</v>
      </c>
      <c r="E158" t="str">
        <v/>
      </c>
      <c r="F158" t="str">
        <v>867806075758377</v>
      </c>
      <c r="G158" t="str">
        <v>TBD</v>
      </c>
      <c r="H158" t="str">
        <v/>
      </c>
      <c r="I158" t="str">
        <v/>
      </c>
      <c r="J158" t="str">
        <v>01/10/2026</v>
      </c>
      <c r="K158" t="str">
        <v>14:26:40</v>
      </c>
      <c r="L158">
        <v>-12.31817</v>
      </c>
      <c r="M158">
        <v>-76.82415</v>
      </c>
      <c r="N158">
        <f>HYPERLINK("https://www.google.com/maps/search/?api=1&amp;query=-12.31817,-76.82415","Punta Hermosa, Lima")</f>
      </c>
      <c r="O158" t="str">
        <v>Salida de camino vecinal</v>
      </c>
      <c r="P158" t="str">
        <v/>
      </c>
      <c r="Q158">
        <v>2280.5</v>
      </c>
      <c r="R158" t="str">
        <v/>
      </c>
      <c r="S158">
        <v>15.9</v>
      </c>
      <c r="T158">
        <v>75.93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>
        <v>87</v>
      </c>
      <c r="AC158" t="str">
        <v>01/10/2026</v>
      </c>
      <c r="AD158" t="str">
        <v>14:26:38</v>
      </c>
      <c r="AE158">
        <f>IF("ONLINE"="NOGPS","GPS Antiguo","En línea")</f>
      </c>
      <c r="AF158">
        <f>IF(0=0,"Sin atender", IF(0=1,"Atendida","Atendida y Reportada"))</f>
      </c>
      <c r="AG158" t="str">
        <v/>
      </c>
      <c r="AH158" t="str">
        <v/>
      </c>
      <c r="AI158" t="str">
        <v/>
      </c>
      <c r="AJ158" t="str">
        <v/>
      </c>
      <c r="AK158" t="str">
        <v>01/10/2026 14:26:48</v>
      </c>
      <c r="AL158" t="str">
        <v>14:26:48</v>
      </c>
      <c r="AM158" t="str">
        <v/>
      </c>
    </row>
    <row r="159">
      <c r="A159">
        <v>158</v>
      </c>
      <c r="B159" t="str">
        <v>MASS BSF</v>
      </c>
      <c r="C159" t="str">
        <v>F3I-769</v>
      </c>
      <c r="D159" t="str">
        <v>F3I-769</v>
      </c>
      <c r="E159" t="str">
        <v/>
      </c>
      <c r="F159" t="str">
        <v>867806075758377</v>
      </c>
      <c r="G159" t="str">
        <v>TBD</v>
      </c>
      <c r="H159" t="str">
        <v/>
      </c>
      <c r="I159" t="str">
        <v/>
      </c>
      <c r="J159" t="str">
        <v>01/10/2026</v>
      </c>
      <c r="K159" t="str">
        <v>14:30:34</v>
      </c>
      <c r="L159">
        <v>-12.317367</v>
      </c>
      <c r="M159">
        <v>-76.82292</v>
      </c>
      <c r="N159">
        <f>HYPERLINK("https://www.google.com/maps/search/?api=1&amp;query=-12.317367,-76.82292","Punta Hermosa, Lima")</f>
      </c>
      <c r="O159" t="str">
        <v>Inicio de ralentí</v>
      </c>
      <c r="P159" t="str">
        <v>Vehículo Detenido</v>
      </c>
      <c r="Q159">
        <v>2280.8</v>
      </c>
      <c r="R159" t="str">
        <v/>
      </c>
      <c r="S159">
        <v>0</v>
      </c>
      <c r="T159">
        <v>75.93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>
        <v>87</v>
      </c>
      <c r="AC159" t="str">
        <v>01/10/2026</v>
      </c>
      <c r="AD159" t="str">
        <v>14:30:32</v>
      </c>
      <c r="AE159">
        <f>IF("ONLINE"="NOGPS","GPS Antiguo","En línea")</f>
      </c>
      <c r="AF159">
        <f>IF(0=0,"Sin atender", IF(0=1,"Atendida","Atendida y Reportada"))</f>
      </c>
      <c r="AG159" t="str">
        <v/>
      </c>
      <c r="AH159" t="str">
        <v/>
      </c>
      <c r="AI159" t="str">
        <v/>
      </c>
      <c r="AJ159" t="str">
        <v/>
      </c>
      <c r="AK159" t="str">
        <v>01/10/2026 14:30:46</v>
      </c>
      <c r="AL159" t="str">
        <v>14:30:46</v>
      </c>
      <c r="AM159" t="str">
        <v/>
      </c>
    </row>
    <row r="160">
      <c r="A160">
        <v>159</v>
      </c>
      <c r="B160" t="str">
        <v>MASS BSF</v>
      </c>
      <c r="C160" t="str">
        <v>F3I-769</v>
      </c>
      <c r="D160" t="str">
        <v>F3I-769</v>
      </c>
      <c r="E160" t="str">
        <v/>
      </c>
      <c r="F160" t="str">
        <v>867806075758377</v>
      </c>
      <c r="G160" t="str">
        <v>TBD</v>
      </c>
      <c r="H160" t="str">
        <v/>
      </c>
      <c r="I160" t="str">
        <v/>
      </c>
      <c r="J160" t="str">
        <v>01/10/2026</v>
      </c>
      <c r="K160" t="str">
        <v>14:34:26</v>
      </c>
      <c r="L160">
        <v>-12.317367</v>
      </c>
      <c r="M160">
        <v>-76.82292</v>
      </c>
      <c r="N160">
        <f>HYPERLINK("https://www.google.com/maps/search/?api=1&amp;query=-12.317367,-76.82292","Punta Hermosa, Lima")</f>
      </c>
      <c r="O160" t="str">
        <v>Vehículo apagado</v>
      </c>
      <c r="P160" t="str">
        <v>Vehículo Apagado</v>
      </c>
      <c r="Q160">
        <v>2280.8</v>
      </c>
      <c r="R160" t="str">
        <v/>
      </c>
      <c r="S160">
        <v>0</v>
      </c>
      <c r="T160">
        <v>77.85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>
        <v>90</v>
      </c>
      <c r="AC160" t="str">
        <v>01/10/2026</v>
      </c>
      <c r="AD160" t="str">
        <v>14:34:24</v>
      </c>
      <c r="AE160">
        <f>IF("ONLINE"="NOGPS","GPS Antiguo","En línea")</f>
      </c>
      <c r="AF160">
        <f>IF(0=0,"Sin atender", IF(0=1,"Atendida","Atendida y Reportada"))</f>
      </c>
      <c r="AG160" t="str">
        <v/>
      </c>
      <c r="AH160" t="str">
        <v/>
      </c>
      <c r="AI160" t="str">
        <v/>
      </c>
      <c r="AJ160" t="str">
        <v/>
      </c>
      <c r="AK160" t="str">
        <v>01/10/2026 14:34:31</v>
      </c>
      <c r="AL160" t="str">
        <v>14:34:31</v>
      </c>
      <c r="AM160" t="str">
        <v/>
      </c>
    </row>
    <row r="161">
      <c r="A161">
        <v>160</v>
      </c>
      <c r="B161" t="str">
        <v>MASS BSF</v>
      </c>
      <c r="C161" t="str">
        <v>F3I-769</v>
      </c>
      <c r="D161" t="str">
        <v>F3I-769</v>
      </c>
      <c r="E161" t="str">
        <v/>
      </c>
      <c r="F161" t="str">
        <v>867806075758377</v>
      </c>
      <c r="G161" t="str">
        <v>TBD</v>
      </c>
      <c r="H161" t="str">
        <v/>
      </c>
      <c r="I161" t="str">
        <v/>
      </c>
      <c r="J161" t="str">
        <v>01/10/2026</v>
      </c>
      <c r="K161" t="str">
        <v>14:34:26</v>
      </c>
      <c r="L161">
        <v>-12.317367</v>
      </c>
      <c r="M161">
        <v>-76.82292</v>
      </c>
      <c r="N161">
        <f>HYPERLINK("https://www.google.com/maps/search/?api=1&amp;query=-12.317367,-76.82292","Punta Hermosa, Lima")</f>
      </c>
      <c r="O161" t="str">
        <v>Fin de ralentí</v>
      </c>
      <c r="P161" t="str">
        <v/>
      </c>
      <c r="Q161">
        <v>2280.8</v>
      </c>
      <c r="R161" t="str">
        <v/>
      </c>
      <c r="S161">
        <v>0</v>
      </c>
      <c r="T161">
        <v>75.93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>
        <v>90</v>
      </c>
      <c r="AC161" t="str">
        <v>01/10/2026</v>
      </c>
      <c r="AD161" t="str">
        <v>14:34:24</v>
      </c>
      <c r="AE161">
        <f>IF("ONLINE"="NOGPS","GPS Antiguo","En línea")</f>
      </c>
      <c r="AF161">
        <f>IF(0=0,"Sin atender", IF(0=1,"Atendida","Atendida y Reportada"))</f>
      </c>
      <c r="AG161" t="str">
        <v/>
      </c>
      <c r="AH161" t="str">
        <v/>
      </c>
      <c r="AI161" t="str">
        <v/>
      </c>
      <c r="AJ161" t="str">
        <v/>
      </c>
      <c r="AK161" t="str">
        <v>01/10/2026 14:34:37</v>
      </c>
      <c r="AL161" t="str">
        <v>14:34:37</v>
      </c>
      <c r="AM161" t="str">
        <v/>
      </c>
    </row>
    <row r="162">
      <c r="A162">
        <v>161</v>
      </c>
      <c r="B162" t="str">
        <v>MASS BSF</v>
      </c>
      <c r="C162" t="str">
        <v>F3I-769</v>
      </c>
      <c r="D162" t="str">
        <v>F3I-769</v>
      </c>
      <c r="E162" t="str">
        <v/>
      </c>
      <c r="F162" t="str">
        <v>867806075758377</v>
      </c>
      <c r="G162" t="str">
        <v>TBD</v>
      </c>
      <c r="H162" t="str">
        <v/>
      </c>
      <c r="I162" t="str">
        <v/>
      </c>
      <c r="J162" t="str">
        <v>01/10/2026</v>
      </c>
      <c r="K162" t="str">
        <v>14:35:02</v>
      </c>
      <c r="L162">
        <v>-12.317367</v>
      </c>
      <c r="M162">
        <v>-76.82292</v>
      </c>
      <c r="N162">
        <f>HYPERLINK("https://www.google.com/maps/search/?api=1&amp;query=-12.317367,-76.82292","Punta Hermosa, Lima")</f>
      </c>
      <c r="O162" t="str">
        <v>Se detuvo</v>
      </c>
      <c r="P162" t="str">
        <v>Unidad se detuvo</v>
      </c>
      <c r="Q162">
        <v>2280.8</v>
      </c>
      <c r="R162" t="str">
        <v/>
      </c>
      <c r="S162">
        <v>0</v>
      </c>
      <c r="T162">
        <v>73.97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>
        <v>84</v>
      </c>
      <c r="AC162" t="str">
        <v>01/10/2026</v>
      </c>
      <c r="AD162" t="str">
        <v>14:35:00</v>
      </c>
      <c r="AE162">
        <f>IF("ONLINE"="NOGPS","GPS Antiguo","En línea")</f>
      </c>
      <c r="AF162">
        <f>IF(0=0,"Sin atender", IF(0=1,"Atendida","Atendida y Reportada"))</f>
      </c>
      <c r="AG162" t="str">
        <v/>
      </c>
      <c r="AH162" t="str">
        <v/>
      </c>
      <c r="AI162" t="str">
        <v/>
      </c>
      <c r="AJ162" t="str">
        <v/>
      </c>
      <c r="AK162" t="str">
        <v>01/10/2026 14:35:18</v>
      </c>
      <c r="AL162" t="str">
        <v>14:35:18</v>
      </c>
      <c r="AM162" t="str">
        <v/>
      </c>
    </row>
    <row r="163">
      <c r="A163">
        <v>162</v>
      </c>
      <c r="B163" t="str">
        <v>MASS BSF</v>
      </c>
      <c r="C163" t="str">
        <v>F3I-769</v>
      </c>
      <c r="D163" t="str">
        <v>F3I-769</v>
      </c>
      <c r="E163" t="str">
        <v/>
      </c>
      <c r="F163" t="str">
        <v>867806075758377</v>
      </c>
      <c r="G163" t="str">
        <v>TBD</v>
      </c>
      <c r="H163" t="str">
        <v/>
      </c>
      <c r="I163" t="str">
        <v/>
      </c>
      <c r="J163" t="str">
        <v>01/10/2026</v>
      </c>
      <c r="K163" t="str">
        <v>15:00:43</v>
      </c>
      <c r="L163">
        <v>-12.317367</v>
      </c>
      <c r="M163">
        <v>-76.82292</v>
      </c>
      <c r="N163">
        <f>HYPERLINK("https://www.google.com/maps/search/?api=1&amp;query=-12.317367,-76.82292","Punta Hermosa, Lima")</f>
      </c>
      <c r="O163" t="str">
        <v>Vehículo encendido</v>
      </c>
      <c r="P163" t="str">
        <v/>
      </c>
      <c r="Q163">
        <v>2280.8</v>
      </c>
      <c r="R163" t="str">
        <v/>
      </c>
      <c r="S163">
        <v>0</v>
      </c>
      <c r="T163">
        <v>73.97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>
        <v>85</v>
      </c>
      <c r="AC163" t="str">
        <v>01/10/2026</v>
      </c>
      <c r="AD163" t="str">
        <v>15:00:42</v>
      </c>
      <c r="AE163">
        <f>IF("ONLINE"="NOGPS","GPS Antiguo","En línea")</f>
      </c>
      <c r="AF163">
        <f>IF(0=0,"Sin atender", IF(0=1,"Atendida","Atendida y Reportada"))</f>
      </c>
      <c r="AG163" t="str">
        <v/>
      </c>
      <c r="AH163" t="str">
        <v/>
      </c>
      <c r="AI163" t="str">
        <v/>
      </c>
      <c r="AJ163" t="str">
        <v/>
      </c>
      <c r="AK163" t="str">
        <v>01/10/2026 15:00:56</v>
      </c>
      <c r="AL163" t="str">
        <v>15:00:56</v>
      </c>
      <c r="AM163" t="str">
        <v/>
      </c>
    </row>
    <row r="164">
      <c r="A164">
        <v>163</v>
      </c>
      <c r="B164" t="str">
        <v>MASS BSF</v>
      </c>
      <c r="C164" t="str">
        <v>F3I-769</v>
      </c>
      <c r="D164" t="str">
        <v>F3I-769</v>
      </c>
      <c r="E164" t="str">
        <v/>
      </c>
      <c r="F164" t="str">
        <v>867806075758377</v>
      </c>
      <c r="G164" t="str">
        <v>TBD</v>
      </c>
      <c r="H164" t="str">
        <v/>
      </c>
      <c r="I164" t="str">
        <v/>
      </c>
      <c r="J164" t="str">
        <v>01/10/2026</v>
      </c>
      <c r="K164" t="str">
        <v>15:07:41</v>
      </c>
      <c r="L164">
        <v>-12.315507</v>
      </c>
      <c r="M164">
        <v>-76.82641</v>
      </c>
      <c r="N164">
        <f>HYPERLINK("https://www.google.com/maps/search/?api=1&amp;query=-12.315507,-76.82641","Punta Hermosa, Lima")</f>
      </c>
      <c r="O164" t="str">
        <v>Bache</v>
      </c>
      <c r="P164" t="str">
        <v/>
      </c>
      <c r="Q164">
        <v>2281.4</v>
      </c>
      <c r="R164" t="str">
        <v/>
      </c>
      <c r="S164">
        <v>18.3</v>
      </c>
      <c r="T164">
        <v>73.97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>
        <v>89</v>
      </c>
      <c r="AC164" t="str">
        <v>01/10/2026</v>
      </c>
      <c r="AD164" t="str">
        <v>15:07:40</v>
      </c>
      <c r="AE164">
        <f>IF("ONLINE"="NOGPS","GPS Antiguo","En línea")</f>
      </c>
      <c r="AF164">
        <f>IF(0=0,"Sin atender", IF(0=1,"Atendida","Atendida y Reportada"))</f>
      </c>
      <c r="AG164" t="str">
        <v/>
      </c>
      <c r="AH164" t="str">
        <v/>
      </c>
      <c r="AI164" t="str">
        <v/>
      </c>
      <c r="AJ164" t="str">
        <v/>
      </c>
      <c r="AK164" t="str">
        <v>01/10/2026 15:07:59</v>
      </c>
      <c r="AL164" t="str">
        <v>15:07:59</v>
      </c>
      <c r="AM164" t="str">
        <v/>
      </c>
    </row>
    <row r="165">
      <c r="A165">
        <v>164</v>
      </c>
      <c r="B165" t="str">
        <v>MASS BSF</v>
      </c>
      <c r="C165" t="str">
        <v>F3I-769</v>
      </c>
      <c r="D165" t="str">
        <v>F3I-769</v>
      </c>
      <c r="E165" t="str">
        <v/>
      </c>
      <c r="F165" t="str">
        <v>867806075758377</v>
      </c>
      <c r="G165" t="str">
        <v>TBD</v>
      </c>
      <c r="H165" t="str">
        <v/>
      </c>
      <c r="I165" t="str">
        <v xml:space="preserve"> </v>
      </c>
      <c r="J165" t="str">
        <v>01/10/2026</v>
      </c>
      <c r="K165" t="str">
        <v>15:09:55</v>
      </c>
      <c r="L165">
        <v>-12.31755</v>
      </c>
      <c r="M165">
        <v>-76.83</v>
      </c>
      <c r="N165">
        <f>HYPERLINK("https://www.google.com/maps/search/?api=1&amp;query=-12.31755,-76.83","Punta Hermosa, Lima")</f>
      </c>
      <c r="O165" t="str">
        <v>Salió de zona</v>
      </c>
      <c r="P165" t="str">
        <v/>
      </c>
      <c r="Q165">
        <v>2281.9</v>
      </c>
      <c r="R165" t="str">
        <v>MASS BSF 1</v>
      </c>
      <c r="S165">
        <v>23.1</v>
      </c>
      <c r="T165">
        <v>73.97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>
        <v>86</v>
      </c>
      <c r="AC165" t="str">
        <v>01/10/2026</v>
      </c>
      <c r="AD165" t="str">
        <v>15:09:54</v>
      </c>
      <c r="AE165">
        <f>IF("ONLINE"="NOGPS","GPS Antiguo","En línea")</f>
      </c>
      <c r="AF165">
        <f>IF(0=0,"Sin atender", IF(0=1,"Atendida","Atendida y Reportada"))</f>
      </c>
      <c r="AG165" t="str">
        <v/>
      </c>
      <c r="AH165" t="str">
        <v/>
      </c>
      <c r="AI165" t="str">
        <v/>
      </c>
      <c r="AJ165" t="str">
        <v/>
      </c>
      <c r="AK165" t="str">
        <v>01/10/2026 15:10:02</v>
      </c>
      <c r="AL165" t="str">
        <v>15:10:02</v>
      </c>
      <c r="AM165" t="str">
        <v/>
      </c>
    </row>
    <row r="166">
      <c r="A166">
        <v>165</v>
      </c>
      <c r="B166" t="str">
        <v>MASS BSF</v>
      </c>
      <c r="C166" t="str">
        <v>F3I-769</v>
      </c>
      <c r="D166" t="str">
        <v>F3I-769</v>
      </c>
      <c r="E166" t="str">
        <v/>
      </c>
      <c r="F166" t="str">
        <v>867806075758377</v>
      </c>
      <c r="G166" t="str">
        <v>TBD</v>
      </c>
      <c r="H166" t="str">
        <v/>
      </c>
      <c r="I166" t="str">
        <v/>
      </c>
      <c r="J166" t="str">
        <v>01/10/2026</v>
      </c>
      <c r="K166" t="str">
        <v>15:24:15</v>
      </c>
      <c r="L166">
        <v>-12.246177</v>
      </c>
      <c r="M166">
        <v>-76.93607</v>
      </c>
      <c r="N166">
        <f>HYPERLINK("https://www.google.com/maps/search/?api=1&amp;query=-12.246177,-76.93607","Antigua Panamericana Sur, Villa El Salvador, Lima")</f>
      </c>
      <c r="O166" t="str">
        <v>Aceleración brusca</v>
      </c>
      <c r="P166" t="str">
        <v>CMT-910</v>
      </c>
      <c r="Q166">
        <v>2296.2</v>
      </c>
      <c r="R166" t="str">
        <v/>
      </c>
      <c r="S166">
        <v>25.3</v>
      </c>
      <c r="T166">
        <v>73.97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>
        <v>83</v>
      </c>
      <c r="AC166" t="str">
        <v>01/10/2026</v>
      </c>
      <c r="AD166" t="str">
        <v>15:24:13</v>
      </c>
      <c r="AE166">
        <f>IF("ONLINE"="NOGPS","GPS Antiguo","En línea")</f>
      </c>
      <c r="AF166">
        <f>IF(0=0,"Sin atender", IF(0=1,"Atendida","Atendida y Reportada"))</f>
      </c>
      <c r="AG166" t="str">
        <v/>
      </c>
      <c r="AH166" t="str">
        <v/>
      </c>
      <c r="AI166" t="str">
        <v/>
      </c>
      <c r="AJ166" t="str">
        <v/>
      </c>
      <c r="AK166" t="str">
        <v>01/10/2026 15:24:36</v>
      </c>
      <c r="AL166" t="str">
        <v>15:24:36</v>
      </c>
      <c r="AM166" t="str">
        <v/>
      </c>
    </row>
    <row r="167">
      <c r="A167">
        <v>166</v>
      </c>
      <c r="B167" t="str">
        <v>MASS BSF</v>
      </c>
      <c r="C167" t="str">
        <v>F3I-769</v>
      </c>
      <c r="D167" t="str">
        <v>F3I-769</v>
      </c>
      <c r="E167" t="str">
        <v/>
      </c>
      <c r="F167" t="str">
        <v>867806075758377</v>
      </c>
      <c r="G167" t="str">
        <v>TBD</v>
      </c>
      <c r="H167" t="str">
        <v/>
      </c>
      <c r="I167" t="str">
        <v/>
      </c>
      <c r="J167" t="str">
        <v>01/10/2026</v>
      </c>
      <c r="K167" t="str">
        <v>15:25:10</v>
      </c>
      <c r="L167">
        <v>-12.24325</v>
      </c>
      <c r="M167">
        <v>-76.94174</v>
      </c>
      <c r="N167">
        <f>HYPERLINK("https://www.google.com/maps/search/?api=1&amp;query=-12.24325,-76.94174","Antigua Panamericana Sur, Villa El Salvador, Lima")</f>
      </c>
      <c r="O167" t="str">
        <v>Aceleración brusca</v>
      </c>
      <c r="P167" t="str">
        <v>CMT-910</v>
      </c>
      <c r="Q167">
        <v>2296.8</v>
      </c>
      <c r="R167" t="str">
        <v/>
      </c>
      <c r="S167">
        <v>18.1</v>
      </c>
      <c r="T167">
        <v>73.97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>
        <v>83</v>
      </c>
      <c r="AC167" t="str">
        <v>01/10/2026</v>
      </c>
      <c r="AD167" t="str">
        <v>15:25:08</v>
      </c>
      <c r="AE167">
        <f>IF("ONLINE"="NOGPS","GPS Antiguo","En línea")</f>
      </c>
      <c r="AF167">
        <f>IF(0=0,"Sin atender", IF(0=1,"Atendida","Atendida y Reportada"))</f>
      </c>
      <c r="AG167" t="str">
        <v/>
      </c>
      <c r="AH167" t="str">
        <v/>
      </c>
      <c r="AI167" t="str">
        <v/>
      </c>
      <c r="AJ167" t="str">
        <v/>
      </c>
      <c r="AK167" t="str">
        <v>01/10/2026 15:25:20</v>
      </c>
      <c r="AL167" t="str">
        <v>15:25:20</v>
      </c>
      <c r="AM167" t="str">
        <v/>
      </c>
    </row>
    <row r="168">
      <c r="A168">
        <v>167</v>
      </c>
      <c r="B168" t="str">
        <v>MASS BSF</v>
      </c>
      <c r="C168" t="str">
        <v>F3I-769</v>
      </c>
      <c r="D168" t="str">
        <v>F3I-769</v>
      </c>
      <c r="E168" t="str">
        <v/>
      </c>
      <c r="F168" t="str">
        <v>867806075758377</v>
      </c>
      <c r="G168" t="str">
        <v>TBD</v>
      </c>
      <c r="H168" t="str">
        <v/>
      </c>
      <c r="I168" t="str">
        <v/>
      </c>
      <c r="J168" t="str">
        <v>01/10/2026</v>
      </c>
      <c r="K168" t="str">
        <v>15:25:37</v>
      </c>
      <c r="L168">
        <v>-12.242231</v>
      </c>
      <c r="M168">
        <v>-76.943634</v>
      </c>
      <c r="N168">
        <f>HYPERLINK("https://www.google.com/maps/search/?api=1&amp;query=-12.242231,-76.943634","Antigua Panamericana Sur, Villa El Salvador, Lima")</f>
      </c>
      <c r="O168" t="str">
        <v>Aceleración brusca</v>
      </c>
      <c r="P168" t="str">
        <v>CMT-910</v>
      </c>
      <c r="Q168">
        <v>2297.1</v>
      </c>
      <c r="R168" t="str">
        <v/>
      </c>
      <c r="S168">
        <v>17.4</v>
      </c>
      <c r="T168">
        <v>73.97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>
        <v>83</v>
      </c>
      <c r="AC168" t="str">
        <v>01/10/2026</v>
      </c>
      <c r="AD168" t="str">
        <v>15:25:35</v>
      </c>
      <c r="AE168">
        <f>IF("ONLINE"="NOGPS","GPS Antiguo","En línea")</f>
      </c>
      <c r="AF168">
        <f>IF(0=0,"Sin atender", IF(0=1,"Atendida","Atendida y Reportada"))</f>
      </c>
      <c r="AG168" t="str">
        <v/>
      </c>
      <c r="AH168" t="str">
        <v/>
      </c>
      <c r="AI168" t="str">
        <v/>
      </c>
      <c r="AJ168" t="str">
        <v/>
      </c>
      <c r="AK168" t="str">
        <v>01/10/2026 15:25:51</v>
      </c>
      <c r="AL168" t="str">
        <v>15:25:51</v>
      </c>
      <c r="AM168" t="str">
        <v/>
      </c>
    </row>
    <row r="169">
      <c r="A169">
        <v>168</v>
      </c>
      <c r="B169" t="str">
        <v>MASS BSF</v>
      </c>
      <c r="C169" t="str">
        <v>F3I-769</v>
      </c>
      <c r="D169" t="str">
        <v>F3I-769</v>
      </c>
      <c r="E169" t="str">
        <v/>
      </c>
      <c r="F169" t="str">
        <v>867806075758377</v>
      </c>
      <c r="G169" t="str">
        <v>TBD</v>
      </c>
      <c r="H169" t="str">
        <v/>
      </c>
      <c r="I169" t="str">
        <v/>
      </c>
      <c r="J169" t="str">
        <v>01/10/2026</v>
      </c>
      <c r="K169" t="str">
        <v>15:25:46</v>
      </c>
      <c r="L169">
        <v>-12.242039</v>
      </c>
      <c r="M169">
        <v>-76.94398</v>
      </c>
      <c r="N169">
        <f>HYPERLINK("https://www.google.com/maps/search/?api=1&amp;query=-12.242039,-76.94398","Antigua Panamericana Sur, Villa El Salvador, Lima")</f>
      </c>
      <c r="O169" t="str">
        <v>Bache</v>
      </c>
      <c r="P169" t="str">
        <v/>
      </c>
      <c r="Q169">
        <v>2297.1</v>
      </c>
      <c r="R169" t="str">
        <v/>
      </c>
      <c r="S169">
        <v>15.7</v>
      </c>
      <c r="T169">
        <v>73.97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>
        <v>83</v>
      </c>
      <c r="AC169" t="str">
        <v>01/10/2026</v>
      </c>
      <c r="AD169" t="str">
        <v>15:25:45</v>
      </c>
      <c r="AE169">
        <f>IF("ONLINE"="NOGPS","GPS Antiguo","En línea")</f>
      </c>
      <c r="AF169">
        <f>IF(0=0,"Sin atender", IF(0=1,"Atendida","Atendida y Reportada"))</f>
      </c>
      <c r="AG169" t="str">
        <v/>
      </c>
      <c r="AH169" t="str">
        <v/>
      </c>
      <c r="AI169" t="str">
        <v/>
      </c>
      <c r="AJ169" t="str">
        <v/>
      </c>
      <c r="AK169" t="str">
        <v>01/10/2026 15:26:05</v>
      </c>
      <c r="AL169" t="str">
        <v>15:26:05</v>
      </c>
      <c r="AM169" t="str">
        <v/>
      </c>
    </row>
    <row r="170">
      <c r="A170">
        <v>169</v>
      </c>
      <c r="B170" t="str">
        <v>MASS BSF</v>
      </c>
      <c r="C170" t="str">
        <v>F3I-769</v>
      </c>
      <c r="D170" t="str">
        <v>F3I-769</v>
      </c>
      <c r="E170" t="str">
        <v/>
      </c>
      <c r="F170" t="str">
        <v>867806075758377</v>
      </c>
      <c r="G170" t="str">
        <v>TBD</v>
      </c>
      <c r="H170" t="str">
        <v/>
      </c>
      <c r="I170" t="str">
        <v/>
      </c>
      <c r="J170" t="str">
        <v>01/10/2026</v>
      </c>
      <c r="K170" t="str">
        <v>15:28:35</v>
      </c>
      <c r="L170">
        <v>-12.233525</v>
      </c>
      <c r="M170">
        <v>-76.96058</v>
      </c>
      <c r="N170">
        <f>HYPERLINK("https://www.google.com/maps/search/?api=1&amp;query=-12.233525,-76.96058","Antigua Panamericana Sur, Villa El Salvador, Lima")</f>
      </c>
      <c r="O170" t="str">
        <v>Aceleración brusca</v>
      </c>
      <c r="P170" t="str">
        <v>CMT-910</v>
      </c>
      <c r="Q170">
        <v>2299.1</v>
      </c>
      <c r="R170" t="str">
        <v/>
      </c>
      <c r="S170">
        <v>21.1</v>
      </c>
      <c r="T170">
        <v>73.97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>
        <v>85</v>
      </c>
      <c r="AC170" t="str">
        <v>01/10/2026</v>
      </c>
      <c r="AD170" t="str">
        <v>15:28:33</v>
      </c>
      <c r="AE170">
        <f>IF("ONLINE"="NOGPS","GPS Antiguo","En línea")</f>
      </c>
      <c r="AF170">
        <f>IF(0=0,"Sin atender", IF(0=1,"Atendida","Atendida y Reportada"))</f>
      </c>
      <c r="AG170" t="str">
        <v/>
      </c>
      <c r="AH170" t="str">
        <v/>
      </c>
      <c r="AI170" t="str">
        <v/>
      </c>
      <c r="AJ170" t="str">
        <v/>
      </c>
      <c r="AK170" t="str">
        <v>01/10/2026 15:29:05</v>
      </c>
      <c r="AL170" t="str">
        <v>15:29:05</v>
      </c>
      <c r="AM170" t="str">
        <v/>
      </c>
    </row>
    <row r="171">
      <c r="A171">
        <v>170</v>
      </c>
      <c r="B171" t="str">
        <v>MASS BSF</v>
      </c>
      <c r="C171" t="str">
        <v>F3I-769</v>
      </c>
      <c r="D171" t="str">
        <v>F3I-769</v>
      </c>
      <c r="E171" t="str">
        <v/>
      </c>
      <c r="F171" t="str">
        <v>867806075758377</v>
      </c>
      <c r="G171" t="str">
        <v>TBD</v>
      </c>
      <c r="H171" t="str">
        <v/>
      </c>
      <c r="I171" t="str">
        <v/>
      </c>
      <c r="J171" t="str">
        <v>01/10/2026</v>
      </c>
      <c r="K171" t="str">
        <v>15:28:38</v>
      </c>
      <c r="L171">
        <v>-12.233463</v>
      </c>
      <c r="M171">
        <v>-76.96071</v>
      </c>
      <c r="N171">
        <f>HYPERLINK("https://www.google.com/maps/search/?api=1&amp;query=-12.233463,-76.96071","Antigua Panamericana Sur, Villa El Salvador, Lima")</f>
      </c>
      <c r="O171" t="str">
        <v>Bache</v>
      </c>
      <c r="P171" t="str">
        <v/>
      </c>
      <c r="Q171">
        <v>2299.2</v>
      </c>
      <c r="R171" t="str">
        <v/>
      </c>
      <c r="S171">
        <v>13.8</v>
      </c>
      <c r="T171">
        <v>73.97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>
        <v>85</v>
      </c>
      <c r="AC171" t="str">
        <v>01/10/2026</v>
      </c>
      <c r="AD171" t="str">
        <v>15:28:36</v>
      </c>
      <c r="AE171">
        <f>IF("ONLINE"="NOGPS","GPS Antiguo","En línea")</f>
      </c>
      <c r="AF171">
        <f>IF(0=0,"Sin atender", IF(0=1,"Atendida","Atendida y Reportada"))</f>
      </c>
      <c r="AG171" t="str">
        <v/>
      </c>
      <c r="AH171" t="str">
        <v/>
      </c>
      <c r="AI171" t="str">
        <v/>
      </c>
      <c r="AJ171" t="str">
        <v/>
      </c>
      <c r="AK171" t="str">
        <v>01/10/2026 15:28:56</v>
      </c>
      <c r="AL171" t="str">
        <v>15:28:56</v>
      </c>
      <c r="AM171" t="str">
        <v/>
      </c>
    </row>
    <row r="172">
      <c r="A172">
        <v>171</v>
      </c>
      <c r="B172" t="str">
        <v>MASS BSF</v>
      </c>
      <c r="C172" t="str">
        <v>F3I-769</v>
      </c>
      <c r="D172" t="str">
        <v>F3I-769</v>
      </c>
      <c r="E172" t="str">
        <v/>
      </c>
      <c r="F172" t="str">
        <v>867806075758377</v>
      </c>
      <c r="G172" t="str">
        <v>TBD</v>
      </c>
      <c r="H172" t="str">
        <v/>
      </c>
      <c r="I172" t="str">
        <v/>
      </c>
      <c r="J172" t="str">
        <v>01/10/2026</v>
      </c>
      <c r="K172" t="str">
        <v>15:29:17</v>
      </c>
      <c r="L172">
        <v>-12.231697</v>
      </c>
      <c r="M172">
        <v>-76.96408</v>
      </c>
      <c r="N172">
        <f>HYPERLINK("https://www.google.com/maps/search/?api=1&amp;query=-12.231697,-76.96408","Antigua Panamericana Sur, Villa El Salvador, Lima")</f>
      </c>
      <c r="O172" t="str">
        <v>Bache</v>
      </c>
      <c r="P172" t="str">
        <v/>
      </c>
      <c r="Q172">
        <v>2299.6</v>
      </c>
      <c r="R172" t="str">
        <v/>
      </c>
      <c r="S172">
        <v>43.7</v>
      </c>
      <c r="T172">
        <v>73.97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>
        <v>85</v>
      </c>
      <c r="AC172" t="str">
        <v>01/10/2026</v>
      </c>
      <c r="AD172" t="str">
        <v>15:29:15</v>
      </c>
      <c r="AE172">
        <f>IF("ONLINE"="NOGPS","GPS Antiguo","En línea")</f>
      </c>
      <c r="AF172">
        <f>IF(0=0,"Sin atender", IF(0=1,"Atendida","Atendida y Reportada"))</f>
      </c>
      <c r="AG172" t="str">
        <v/>
      </c>
      <c r="AH172" t="str">
        <v/>
      </c>
      <c r="AI172" t="str">
        <v/>
      </c>
      <c r="AJ172" t="str">
        <v/>
      </c>
      <c r="AK172" t="str">
        <v>01/10/2026 15:29:34</v>
      </c>
      <c r="AL172" t="str">
        <v>15:29:34</v>
      </c>
      <c r="AM172" t="str">
        <v/>
      </c>
    </row>
    <row r="173">
      <c r="A173">
        <v>172</v>
      </c>
      <c r="B173" t="str">
        <v>MASS BSF</v>
      </c>
      <c r="C173" t="str">
        <v>F3I-769</v>
      </c>
      <c r="D173" t="str">
        <v>F3I-769</v>
      </c>
      <c r="E173" t="str">
        <v/>
      </c>
      <c r="F173" t="str">
        <v>867806075758377</v>
      </c>
      <c r="G173" t="str">
        <v>TBD</v>
      </c>
      <c r="H173" t="str">
        <v/>
      </c>
      <c r="I173" t="str">
        <v/>
      </c>
      <c r="J173" t="str">
        <v>01/10/2026</v>
      </c>
      <c r="K173" t="str">
        <v>15:30:02</v>
      </c>
      <c r="L173">
        <v>-12.228864</v>
      </c>
      <c r="M173">
        <v>-76.96793</v>
      </c>
      <c r="N173">
        <f>HYPERLINK("https://www.google.com/maps/search/?api=1&amp;query=-12.228864,-76.96793","Antigua Panamericana Sur, Villa El Salvador, Lima")</f>
      </c>
      <c r="O173" t="str">
        <v>Aceleración brusca</v>
      </c>
      <c r="P173" t="str">
        <v>CMT-910</v>
      </c>
      <c r="Q173">
        <v>2300.1</v>
      </c>
      <c r="R173" t="str">
        <v/>
      </c>
      <c r="S173">
        <v>17.9</v>
      </c>
      <c r="T173">
        <v>73.97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>
        <v>90</v>
      </c>
      <c r="AC173" t="str">
        <v>01/10/2026</v>
      </c>
      <c r="AD173" t="str">
        <v>15:30:00</v>
      </c>
      <c r="AE173">
        <f>IF("ONLINE"="NOGPS","GPS Antiguo","En línea")</f>
      </c>
      <c r="AF173">
        <f>IF(0=0,"Sin atender", IF(0=1,"Atendida","Atendida y Reportada"))</f>
      </c>
      <c r="AG173" t="str">
        <v/>
      </c>
      <c r="AH173" t="str">
        <v/>
      </c>
      <c r="AI173" t="str">
        <v/>
      </c>
      <c r="AJ173" t="str">
        <v/>
      </c>
      <c r="AK173" t="str">
        <v>01/10/2026 15:30:19</v>
      </c>
      <c r="AL173" t="str">
        <v>15:30:19</v>
      </c>
      <c r="AM173" t="str">
        <v/>
      </c>
    </row>
    <row r="174">
      <c r="A174">
        <v>173</v>
      </c>
      <c r="B174" t="str">
        <v>MASS BSF</v>
      </c>
      <c r="C174" t="str">
        <v>F3I-769</v>
      </c>
      <c r="D174" t="str">
        <v>F3I-769</v>
      </c>
      <c r="E174" t="str">
        <v/>
      </c>
      <c r="F174" t="str">
        <v>867806075758377</v>
      </c>
      <c r="G174" t="str">
        <v>TBD</v>
      </c>
      <c r="H174" t="str">
        <v/>
      </c>
      <c r="I174" t="str">
        <v/>
      </c>
      <c r="J174" t="str">
        <v>01/10/2026</v>
      </c>
      <c r="K174" t="str">
        <v>15:36:47</v>
      </c>
      <c r="L174">
        <v>-12.216975</v>
      </c>
      <c r="M174">
        <v>-76.96885</v>
      </c>
      <c r="N174">
        <f>HYPERLINK("https://www.google.com/maps/search/?api=1&amp;query=-12.216975,-76.96885","Avenida El Sol, Villa El Salvador, Lima")</f>
      </c>
      <c r="O174" t="str">
        <v>Bache</v>
      </c>
      <c r="P174" t="str">
        <v/>
      </c>
      <c r="Q174">
        <v>2301.9</v>
      </c>
      <c r="R174" t="str">
        <v/>
      </c>
      <c r="S174">
        <v>6.8</v>
      </c>
      <c r="T174">
        <v>73.97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>
        <v>89</v>
      </c>
      <c r="AC174" t="str">
        <v>01/10/2026</v>
      </c>
      <c r="AD174" t="str">
        <v>15:36:45</v>
      </c>
      <c r="AE174">
        <f>IF("ONLINE"="NOGPS","GPS Antiguo","En línea")</f>
      </c>
      <c r="AF174">
        <f>IF(0=0,"Sin atender", IF(0=1,"Atendida","Atendida y Reportada"))</f>
      </c>
      <c r="AG174" t="str">
        <v/>
      </c>
      <c r="AH174" t="str">
        <v/>
      </c>
      <c r="AI174" t="str">
        <v/>
      </c>
      <c r="AJ174" t="str">
        <v/>
      </c>
      <c r="AK174" t="str">
        <v>01/10/2026 15:37:00</v>
      </c>
      <c r="AL174" t="str">
        <v>15:37:00</v>
      </c>
      <c r="AM174" t="str">
        <v/>
      </c>
    </row>
    <row r="175">
      <c r="A175">
        <v>174</v>
      </c>
      <c r="B175" t="str">
        <v>MASS BSF</v>
      </c>
      <c r="C175" t="str">
        <v>F3I-769</v>
      </c>
      <c r="D175" t="str">
        <v>F3I-769</v>
      </c>
      <c r="E175" t="str">
        <v/>
      </c>
      <c r="F175" t="str">
        <v>867806075758377</v>
      </c>
      <c r="G175" t="str">
        <v>TBD</v>
      </c>
      <c r="H175" t="str">
        <v/>
      </c>
      <c r="I175" t="str">
        <v/>
      </c>
      <c r="J175" t="str">
        <v>01/10/2026</v>
      </c>
      <c r="K175" t="str">
        <v>15:39:50</v>
      </c>
      <c r="L175">
        <v>-12.210294</v>
      </c>
      <c r="M175">
        <v>-76.96043</v>
      </c>
      <c r="N175">
        <f>HYPERLINK("https://www.google.com/maps/search/?api=1&amp;query=-12.210294,-76.96043","Avenida El Sol, Villa El Salvador, Lima")</f>
      </c>
      <c r="O175" t="str">
        <v>Aceleración brusca</v>
      </c>
      <c r="P175" t="str">
        <v>CMT-910</v>
      </c>
      <c r="Q175">
        <v>2303.1</v>
      </c>
      <c r="R175" t="str">
        <v/>
      </c>
      <c r="S175">
        <v>10.1</v>
      </c>
      <c r="T175">
        <v>73.97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>
        <v>90</v>
      </c>
      <c r="AC175" t="str">
        <v>01/10/2026</v>
      </c>
      <c r="AD175" t="str">
        <v>15:39:48</v>
      </c>
      <c r="AE175">
        <f>IF("ONLINE"="NOGPS","GPS Antiguo","En línea")</f>
      </c>
      <c r="AF175">
        <f>IF(0=0,"Sin atender", IF(0=1,"Atendida","Atendida y Reportada"))</f>
      </c>
      <c r="AG175" t="str">
        <v/>
      </c>
      <c r="AH175" t="str">
        <v/>
      </c>
      <c r="AI175" t="str">
        <v/>
      </c>
      <c r="AJ175" t="str">
        <v/>
      </c>
      <c r="AK175" t="str">
        <v>01/10/2026 15:40:19</v>
      </c>
      <c r="AL175" t="str">
        <v>15:40:19</v>
      </c>
      <c r="AM175" t="str">
        <v/>
      </c>
    </row>
    <row r="176">
      <c r="A176">
        <v>175</v>
      </c>
      <c r="B176" t="str">
        <v>MASS BSF</v>
      </c>
      <c r="C176" t="str">
        <v>F3I-769</v>
      </c>
      <c r="D176" t="str">
        <v>F3I-769</v>
      </c>
      <c r="E176" t="str">
        <v/>
      </c>
      <c r="F176" t="str">
        <v>867806075758377</v>
      </c>
      <c r="G176" t="str">
        <v>TBD</v>
      </c>
      <c r="H176" t="str">
        <v/>
      </c>
      <c r="I176" t="str">
        <v/>
      </c>
      <c r="J176" t="str">
        <v>01/10/2026</v>
      </c>
      <c r="K176" t="str">
        <v>15:39:51</v>
      </c>
      <c r="L176">
        <v>-12.210283</v>
      </c>
      <c r="M176">
        <v>-76.9604</v>
      </c>
      <c r="N176">
        <f>HYPERLINK("https://www.google.com/maps/search/?api=1&amp;query=-12.210283,-76.9604","Avenida El Sol, Villa El Salvador, Lima")</f>
      </c>
      <c r="O176" t="str">
        <v>Bache</v>
      </c>
      <c r="P176" t="str">
        <v/>
      </c>
      <c r="Q176">
        <v>2303.1</v>
      </c>
      <c r="R176" t="str">
        <v/>
      </c>
      <c r="S176">
        <v>7</v>
      </c>
      <c r="T176">
        <v>73.97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>
        <v>90</v>
      </c>
      <c r="AC176" t="str">
        <v>01/10/2026</v>
      </c>
      <c r="AD176" t="str">
        <v>15:39:49</v>
      </c>
      <c r="AE176">
        <f>IF("ONLINE"="NOGPS","GPS Antiguo","En línea")</f>
      </c>
      <c r="AF176">
        <f>IF(0=0,"Sin atender", IF(0=1,"Atendida","Atendida y Reportada"))</f>
      </c>
      <c r="AG176" t="str">
        <v/>
      </c>
      <c r="AH176" t="str">
        <v/>
      </c>
      <c r="AI176" t="str">
        <v/>
      </c>
      <c r="AJ176" t="str">
        <v/>
      </c>
      <c r="AK176" t="str">
        <v>01/10/2026 15:40:00</v>
      </c>
      <c r="AL176" t="str">
        <v>15:40:00</v>
      </c>
      <c r="AM176" t="str">
        <v/>
      </c>
    </row>
    <row r="177">
      <c r="A177">
        <v>176</v>
      </c>
      <c r="B177" t="str">
        <v>MASS BSF</v>
      </c>
      <c r="C177" t="str">
        <v>F3I-769</v>
      </c>
      <c r="D177" t="str">
        <v>F3I-769</v>
      </c>
      <c r="E177" t="str">
        <v/>
      </c>
      <c r="F177" t="str">
        <v>867806075758377</v>
      </c>
      <c r="G177" t="str">
        <v>TBD</v>
      </c>
      <c r="H177" t="str">
        <v/>
      </c>
      <c r="I177" t="str">
        <v/>
      </c>
      <c r="J177" t="str">
        <v>01/10/2026</v>
      </c>
      <c r="K177" t="str">
        <v>15:40:05</v>
      </c>
      <c r="L177">
        <v>-12.209996</v>
      </c>
      <c r="M177">
        <v>-76.95991</v>
      </c>
      <c r="N177">
        <f>HYPERLINK("https://www.google.com/maps/search/?api=1&amp;query=-12.209996,-76.95991","Avenida El Sol, Villa El Salvador, Lima")</f>
      </c>
      <c r="O177" t="str">
        <v>Aceleración brusca</v>
      </c>
      <c r="P177" t="str">
        <v>CMT-910</v>
      </c>
      <c r="Q177">
        <v>2303.2</v>
      </c>
      <c r="R177" t="str">
        <v/>
      </c>
      <c r="S177">
        <v>12.4</v>
      </c>
      <c r="T177">
        <v>73.97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>
        <v>90</v>
      </c>
      <c r="AC177" t="str">
        <v>01/10/2026</v>
      </c>
      <c r="AD177" t="str">
        <v>15:40:03</v>
      </c>
      <c r="AE177">
        <f>IF("ONLINE"="NOGPS","GPS Antiguo","En línea")</f>
      </c>
      <c r="AF177">
        <f>IF(0=0,"Sin atender", IF(0=1,"Atendida","Atendida y Reportada"))</f>
      </c>
      <c r="AG177" t="str">
        <v/>
      </c>
      <c r="AH177" t="str">
        <v/>
      </c>
      <c r="AI177" t="str">
        <v/>
      </c>
      <c r="AJ177" t="str">
        <v/>
      </c>
      <c r="AK177" t="str">
        <v>01/10/2026 15:40:12</v>
      </c>
      <c r="AL177" t="str">
        <v>15:40:12</v>
      </c>
      <c r="AM177" t="str">
        <v/>
      </c>
    </row>
    <row r="178">
      <c r="A178">
        <v>177</v>
      </c>
      <c r="B178" t="str">
        <v>MASS BSF</v>
      </c>
      <c r="C178" t="str">
        <v>F3I-769</v>
      </c>
      <c r="D178" t="str">
        <v>F3I-769</v>
      </c>
      <c r="E178" t="str">
        <v/>
      </c>
      <c r="F178" t="str">
        <v>867806075758377</v>
      </c>
      <c r="G178" t="str">
        <v>TBD</v>
      </c>
      <c r="H178" t="str">
        <v/>
      </c>
      <c r="I178" t="str">
        <v/>
      </c>
      <c r="J178" t="str">
        <v>01/10/2026</v>
      </c>
      <c r="K178" t="str">
        <v>15:40:30</v>
      </c>
      <c r="L178">
        <v>-12.20958</v>
      </c>
      <c r="M178">
        <v>-76.959206</v>
      </c>
      <c r="N178">
        <f>HYPERLINK("https://www.google.com/maps/search/?api=1&amp;query=-12.20958,-76.959206","Avenida El Sol, Villa El Salvador, Lima")</f>
      </c>
      <c r="O178" t="str">
        <v>Bache</v>
      </c>
      <c r="P178" t="str">
        <v/>
      </c>
      <c r="Q178">
        <v>2303.2</v>
      </c>
      <c r="R178" t="str">
        <v/>
      </c>
      <c r="S178">
        <v>17.4</v>
      </c>
      <c r="T178">
        <v>73.97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>
        <v>90</v>
      </c>
      <c r="AC178" t="str">
        <v>01/10/2026</v>
      </c>
      <c r="AD178" t="str">
        <v>15:40:28</v>
      </c>
      <c r="AE178">
        <f>IF("ONLINE"="NOGPS","GPS Antiguo","En línea")</f>
      </c>
      <c r="AF178">
        <f>IF(0=0,"Sin atender", IF(0=1,"Atendida","Atendida y Reportada"))</f>
      </c>
      <c r="AG178" t="str">
        <v/>
      </c>
      <c r="AH178" t="str">
        <v/>
      </c>
      <c r="AI178" t="str">
        <v/>
      </c>
      <c r="AJ178" t="str">
        <v/>
      </c>
      <c r="AK178" t="str">
        <v>01/10/2026 15:40:41</v>
      </c>
      <c r="AL178" t="str">
        <v>15:40:41</v>
      </c>
      <c r="AM178" t="str">
        <v/>
      </c>
    </row>
    <row r="179">
      <c r="A179">
        <v>178</v>
      </c>
      <c r="B179" t="str">
        <v>MASS BSF</v>
      </c>
      <c r="C179" t="str">
        <v>F3I-769</v>
      </c>
      <c r="D179" t="str">
        <v>F3I-769</v>
      </c>
      <c r="E179" t="str">
        <v/>
      </c>
      <c r="F179" t="str">
        <v>867806075758377</v>
      </c>
      <c r="G179" t="str">
        <v>TBD</v>
      </c>
      <c r="H179" t="str">
        <v/>
      </c>
      <c r="I179" t="str">
        <v/>
      </c>
      <c r="J179" t="str">
        <v>01/10/2026</v>
      </c>
      <c r="K179" t="str">
        <v>15:41:10</v>
      </c>
      <c r="L179">
        <v>-12.207867</v>
      </c>
      <c r="M179">
        <v>-76.95653</v>
      </c>
      <c r="N179">
        <f>HYPERLINK("https://www.google.com/maps/search/?api=1&amp;query=-12.207867,-76.95653","Avenida El Sol, Villa El Salvador, Lima")</f>
      </c>
      <c r="O179" t="str">
        <v>Bache</v>
      </c>
      <c r="P179" t="str">
        <v/>
      </c>
      <c r="Q179">
        <v>2303.6</v>
      </c>
      <c r="R179" t="str">
        <v/>
      </c>
      <c r="S179">
        <v>36.2</v>
      </c>
      <c r="T179">
        <v>73.97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>
        <v>90</v>
      </c>
      <c r="AC179" t="str">
        <v>01/10/2026</v>
      </c>
      <c r="AD179" t="str">
        <v>15:41:08</v>
      </c>
      <c r="AE179">
        <f>IF("ONLINE"="NOGPS","GPS Antiguo","En línea")</f>
      </c>
      <c r="AF179">
        <f>IF(0=0,"Sin atender", IF(0=1,"Atendida","Atendida y Reportada"))</f>
      </c>
      <c r="AG179" t="str">
        <v/>
      </c>
      <c r="AH179" t="str">
        <v/>
      </c>
      <c r="AI179" t="str">
        <v/>
      </c>
      <c r="AJ179" t="str">
        <v/>
      </c>
      <c r="AK179" t="str">
        <v>01/10/2026 15:41:31</v>
      </c>
      <c r="AL179" t="str">
        <v>15:41:31</v>
      </c>
      <c r="AM179" t="str">
        <v/>
      </c>
    </row>
    <row r="180">
      <c r="A180">
        <v>179</v>
      </c>
      <c r="B180" t="str">
        <v>MASS BSF</v>
      </c>
      <c r="C180" t="str">
        <v>F3I-769</v>
      </c>
      <c r="D180" t="str">
        <v>F3I-769</v>
      </c>
      <c r="E180" t="str">
        <v/>
      </c>
      <c r="F180" t="str">
        <v>867806075758377</v>
      </c>
      <c r="G180" t="str">
        <v>TBD</v>
      </c>
      <c r="H180" t="str">
        <v/>
      </c>
      <c r="I180" t="str">
        <v/>
      </c>
      <c r="J180" t="str">
        <v>01/10/2026</v>
      </c>
      <c r="K180" t="str">
        <v>15:41:14</v>
      </c>
      <c r="L180">
        <v>-12.207673</v>
      </c>
      <c r="M180">
        <v>-76.9562</v>
      </c>
      <c r="N180">
        <f>HYPERLINK("https://www.google.com/maps/search/?api=1&amp;query=-12.207673,-76.9562","Avenida El Sol, Villa El Salvador, Lima")</f>
      </c>
      <c r="O180" t="str">
        <v>Ingreso a camino vecinal</v>
      </c>
      <c r="P180" t="str">
        <v/>
      </c>
      <c r="Q180">
        <v>2303.6</v>
      </c>
      <c r="R180" t="str">
        <v/>
      </c>
      <c r="S180">
        <v>37.2</v>
      </c>
      <c r="T180">
        <v>73.97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>
        <v>90</v>
      </c>
      <c r="AC180" t="str">
        <v>01/10/2026</v>
      </c>
      <c r="AD180" t="str">
        <v>15:41:12</v>
      </c>
      <c r="AE180">
        <f>IF("ONLINE"="NOGPS","GPS Antiguo","En línea")</f>
      </c>
      <c r="AF180">
        <f>IF(0=0,"Sin atender", IF(0=1,"Atendida","Atendida y Reportada"))</f>
      </c>
      <c r="AG180" t="str">
        <v/>
      </c>
      <c r="AH180" t="str">
        <v/>
      </c>
      <c r="AI180" t="str">
        <v/>
      </c>
      <c r="AJ180" t="str">
        <v/>
      </c>
      <c r="AK180" t="str">
        <v>01/10/2026 15:41:26</v>
      </c>
      <c r="AL180" t="str">
        <v>15:41:26</v>
      </c>
      <c r="AM180" t="str">
        <v/>
      </c>
    </row>
    <row r="181">
      <c r="A181">
        <v>180</v>
      </c>
      <c r="B181" t="str">
        <v>MASS BSF</v>
      </c>
      <c r="C181" t="str">
        <v>F3I-769</v>
      </c>
      <c r="D181" t="str">
        <v>F3I-769</v>
      </c>
      <c r="E181" t="str">
        <v/>
      </c>
      <c r="F181" t="str">
        <v>867806075758377</v>
      </c>
      <c r="G181" t="str">
        <v>TBD</v>
      </c>
      <c r="H181" t="str">
        <v/>
      </c>
      <c r="I181" t="str">
        <v/>
      </c>
      <c r="J181" t="str">
        <v>01/10/2026</v>
      </c>
      <c r="K181" t="str">
        <v>15:43:15</v>
      </c>
      <c r="L181">
        <v>-12.20473</v>
      </c>
      <c r="M181">
        <v>-76.95093</v>
      </c>
      <c r="N181">
        <f>HYPERLINK("https://www.google.com/maps/search/?api=1&amp;query=-12.20473,-76.95093","Avenida El Sol, Villa El Salvador, Lima")</f>
      </c>
      <c r="O181" t="str">
        <v>Salida de camino vecinal</v>
      </c>
      <c r="P181" t="str">
        <v/>
      </c>
      <c r="Q181">
        <v>2304.3</v>
      </c>
      <c r="R181" t="str">
        <v/>
      </c>
      <c r="S181">
        <v>36.4</v>
      </c>
      <c r="T181">
        <v>73.97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>
        <v>92</v>
      </c>
      <c r="AC181" t="str">
        <v>01/10/2026</v>
      </c>
      <c r="AD181" t="str">
        <v>15:43:13</v>
      </c>
      <c r="AE181">
        <f>IF("ONLINE"="NOGPS","GPS Antiguo","En línea")</f>
      </c>
      <c r="AF181">
        <f>IF(0=0,"Sin atender", IF(0=1,"Atendida","Atendida y Reportada"))</f>
      </c>
      <c r="AG181" t="str">
        <v/>
      </c>
      <c r="AH181" t="str">
        <v/>
      </c>
      <c r="AI181" t="str">
        <v/>
      </c>
      <c r="AJ181" t="str">
        <v/>
      </c>
      <c r="AK181" t="str">
        <v>01/10/2026 15:43:30</v>
      </c>
      <c r="AL181" t="str">
        <v>15:43:30</v>
      </c>
      <c r="AM181" t="str">
        <v/>
      </c>
    </row>
    <row r="182">
      <c r="A182">
        <v>181</v>
      </c>
      <c r="B182" t="str">
        <v>MASS BSF</v>
      </c>
      <c r="C182" t="str">
        <v>F3I-769</v>
      </c>
      <c r="D182" t="str">
        <v>F3I-769</v>
      </c>
      <c r="E182" t="str">
        <v/>
      </c>
      <c r="F182" t="str">
        <v>867806075758377</v>
      </c>
      <c r="G182" t="str">
        <v>TBD</v>
      </c>
      <c r="H182" t="str">
        <v/>
      </c>
      <c r="I182" t="str">
        <v/>
      </c>
      <c r="J182" t="str">
        <v>01/10/2026</v>
      </c>
      <c r="K182" t="str">
        <v>15:43:39</v>
      </c>
      <c r="L182">
        <v>-12.203848</v>
      </c>
      <c r="M182">
        <v>-76.9494</v>
      </c>
      <c r="N182">
        <f>HYPERLINK("https://www.google.com/maps/search/?api=1&amp;query=-12.203848,-76.9494","Avenida El Sol, Villa El Salvador, Lima")</f>
      </c>
      <c r="O182" t="str">
        <v>Aceleración brusca</v>
      </c>
      <c r="P182" t="str">
        <v>CMT-910</v>
      </c>
      <c r="Q182">
        <v>2304.5</v>
      </c>
      <c r="R182" t="str">
        <v/>
      </c>
      <c r="S182">
        <v>0</v>
      </c>
      <c r="T182">
        <v>73.97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>
        <v>92</v>
      </c>
      <c r="AC182" t="str">
        <v>01/10/2026</v>
      </c>
      <c r="AD182" t="str">
        <v>15:43:37</v>
      </c>
      <c r="AE182">
        <f>IF("ONLINE"="NOGPS","GPS Antiguo","En línea")</f>
      </c>
      <c r="AF182">
        <f>IF(0=0,"Sin atender", IF(0=1,"Atendida","Atendida y Reportada"))</f>
      </c>
      <c r="AG182" t="str">
        <v/>
      </c>
      <c r="AH182" t="str">
        <v/>
      </c>
      <c r="AI182" t="str">
        <v/>
      </c>
      <c r="AJ182" t="str">
        <v/>
      </c>
      <c r="AK182" t="str">
        <v>01/10/2026 15:44:10</v>
      </c>
      <c r="AL182" t="str">
        <v>15:44:10</v>
      </c>
      <c r="AM182" t="str">
        <v/>
      </c>
    </row>
    <row r="183">
      <c r="A183">
        <v>182</v>
      </c>
      <c r="B183" t="str">
        <v>MASS BSF</v>
      </c>
      <c r="C183" t="str">
        <v>F3I-769</v>
      </c>
      <c r="D183" t="str">
        <v>F3I-769</v>
      </c>
      <c r="E183" t="str">
        <v/>
      </c>
      <c r="F183" t="str">
        <v>867806075758377</v>
      </c>
      <c r="G183" t="str">
        <v>TBD</v>
      </c>
      <c r="H183" t="str">
        <v/>
      </c>
      <c r="I183" t="str">
        <v/>
      </c>
      <c r="J183" t="str">
        <v>01/10/2026</v>
      </c>
      <c r="K183" t="str">
        <v>15:48:02</v>
      </c>
      <c r="L183">
        <v>-12.19687</v>
      </c>
      <c r="M183">
        <v>-76.93753</v>
      </c>
      <c r="N183">
        <f>HYPERLINK("https://www.google.com/maps/search/?api=1&amp;query=-12.19687,-76.93753","Avenida El Sol, Villa El Salvador, Lima")</f>
      </c>
      <c r="O183" t="str">
        <v>Bache</v>
      </c>
      <c r="P183" t="str">
        <v/>
      </c>
      <c r="Q183">
        <v>2305.9</v>
      </c>
      <c r="R183" t="str">
        <v/>
      </c>
      <c r="S183">
        <v>9</v>
      </c>
      <c r="T183">
        <v>73.97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>
        <v>92</v>
      </c>
      <c r="AC183" t="str">
        <v>01/10/2026</v>
      </c>
      <c r="AD183" t="str">
        <v>15:48:00</v>
      </c>
      <c r="AE183">
        <f>IF("ONLINE"="NOGPS","GPS Antiguo","En línea")</f>
      </c>
      <c r="AF183">
        <f>IF(0=0,"Sin atender", IF(0=1,"Atendida","Atendida y Reportada"))</f>
      </c>
      <c r="AG183" t="str">
        <v/>
      </c>
      <c r="AH183" t="str">
        <v/>
      </c>
      <c r="AI183" t="str">
        <v/>
      </c>
      <c r="AJ183" t="str">
        <v/>
      </c>
      <c r="AK183" t="str">
        <v>01/10/2026 15:48:08</v>
      </c>
      <c r="AL183" t="str">
        <v>15:48:08</v>
      </c>
      <c r="AM183" t="str">
        <v/>
      </c>
    </row>
    <row r="184">
      <c r="A184">
        <v>183</v>
      </c>
      <c r="B184" t="str">
        <v>MASS BSF</v>
      </c>
      <c r="C184" t="str">
        <v>F3I-769</v>
      </c>
      <c r="D184" t="str">
        <v>F3I-769</v>
      </c>
      <c r="E184" t="str">
        <v/>
      </c>
      <c r="F184" t="str">
        <v>867806075758377</v>
      </c>
      <c r="G184" t="str">
        <v>TBD</v>
      </c>
      <c r="H184" t="str">
        <v/>
      </c>
      <c r="I184" t="str">
        <v/>
      </c>
      <c r="J184" t="str">
        <v>01/10/2026</v>
      </c>
      <c r="K184" t="str">
        <v>15:53:08</v>
      </c>
      <c r="L184">
        <v>-12.195249</v>
      </c>
      <c r="M184">
        <v>-76.929794</v>
      </c>
      <c r="N184">
        <f>HYPERLINK("https://www.google.com/maps/search/?api=1&amp;query=-12.195249,-76.929794","Avenida La Mariscala, Villa María del Triunfo, Lima")</f>
      </c>
      <c r="O184" t="str">
        <v>Bache</v>
      </c>
      <c r="P184" t="str">
        <v/>
      </c>
      <c r="Q184">
        <v>2307.1</v>
      </c>
      <c r="R184" t="str">
        <v/>
      </c>
      <c r="S184">
        <v>10.9</v>
      </c>
      <c r="T184">
        <v>73.97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>
        <v>87</v>
      </c>
      <c r="AC184" t="str">
        <v>01/10/2026</v>
      </c>
      <c r="AD184" t="str">
        <v>15:53:06</v>
      </c>
      <c r="AE184">
        <f>IF("ONLINE"="NOGPS","GPS Antiguo","En línea")</f>
      </c>
      <c r="AF184">
        <f>IF(0=0,"Sin atender", IF(0=1,"Atendida","Atendida y Reportada"))</f>
      </c>
      <c r="AG184" t="str">
        <v/>
      </c>
      <c r="AH184" t="str">
        <v/>
      </c>
      <c r="AI184" t="str">
        <v/>
      </c>
      <c r="AJ184" t="str">
        <v/>
      </c>
      <c r="AK184" t="str">
        <v>01/10/2026 15:53:29</v>
      </c>
      <c r="AL184" t="str">
        <v>15:53:29</v>
      </c>
      <c r="AM184" t="str">
        <v/>
      </c>
    </row>
    <row r="185">
      <c r="A185">
        <v>184</v>
      </c>
      <c r="B185" t="str">
        <v>MASS BSF</v>
      </c>
      <c r="C185" t="str">
        <v>F3I-769</v>
      </c>
      <c r="D185" t="str">
        <v>F3I-769</v>
      </c>
      <c r="E185" t="str">
        <v/>
      </c>
      <c r="F185" t="str">
        <v>867806075758377</v>
      </c>
      <c r="G185" t="str">
        <v>TBD</v>
      </c>
      <c r="H185" t="str">
        <v/>
      </c>
      <c r="I185" t="str">
        <v/>
      </c>
      <c r="J185" t="str">
        <v>01/10/2026</v>
      </c>
      <c r="K185" t="str">
        <v>15:53:47</v>
      </c>
      <c r="L185">
        <v>-12.19449</v>
      </c>
      <c r="M185">
        <v>-76.9285</v>
      </c>
      <c r="N185">
        <f>HYPERLINK("https://www.google.com/maps/search/?api=1&amp;query=-12.19449,-76.9285","Avenida La Mariscala, Villa María del Triunfo, Lima")</f>
      </c>
      <c r="O185" t="str">
        <v>Bache</v>
      </c>
      <c r="P185" t="str">
        <v/>
      </c>
      <c r="Q185">
        <v>2307.3</v>
      </c>
      <c r="R185" t="str">
        <v/>
      </c>
      <c r="S185">
        <v>9.4</v>
      </c>
      <c r="T185">
        <v>73.97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>
        <v>87</v>
      </c>
      <c r="AC185" t="str">
        <v>01/10/2026</v>
      </c>
      <c r="AD185" t="str">
        <v>15:53:45</v>
      </c>
      <c r="AE185">
        <f>IF("ONLINE"="NOGPS","GPS Antiguo","En línea")</f>
      </c>
      <c r="AF185">
        <f>IF(0=0,"Sin atender", IF(0=1,"Atendida","Atendida y Reportada"))</f>
      </c>
      <c r="AG185" t="str">
        <v/>
      </c>
      <c r="AH185" t="str">
        <v/>
      </c>
      <c r="AI185" t="str">
        <v/>
      </c>
      <c r="AJ185" t="str">
        <v/>
      </c>
      <c r="AK185" t="str">
        <v>01/10/2026 15:54:07</v>
      </c>
      <c r="AL185" t="str">
        <v>15:54:07</v>
      </c>
      <c r="AM185" t="str">
        <v/>
      </c>
    </row>
    <row r="186">
      <c r="A186">
        <v>185</v>
      </c>
      <c r="B186" t="str">
        <v>MASS BSF</v>
      </c>
      <c r="C186" t="str">
        <v>F3I-769</v>
      </c>
      <c r="D186" t="str">
        <v>F3I-769</v>
      </c>
      <c r="E186" t="str">
        <v/>
      </c>
      <c r="F186" t="str">
        <v>867806075758377</v>
      </c>
      <c r="G186" t="str">
        <v>TBD</v>
      </c>
      <c r="H186" t="str">
        <v/>
      </c>
      <c r="I186" t="str">
        <v/>
      </c>
      <c r="J186" t="str">
        <v>01/10/2026</v>
      </c>
      <c r="K186" t="str">
        <v>15:54:24</v>
      </c>
      <c r="L186">
        <v>-12.193691</v>
      </c>
      <c r="M186">
        <v>-76.9272</v>
      </c>
      <c r="N186">
        <f>HYPERLINK("https://www.google.com/maps/search/?api=1&amp;query=-12.193691,-76.9272","Jirón Ramón Castilla, Villa María del Triunfo, Lima")</f>
      </c>
      <c r="O186" t="str">
        <v>Acelerado y giro brusco</v>
      </c>
      <c r="P186" t="str">
        <v/>
      </c>
      <c r="Q186">
        <v>2307.4</v>
      </c>
      <c r="R186" t="str">
        <v/>
      </c>
      <c r="S186">
        <v>12.4</v>
      </c>
      <c r="T186">
        <v>73.97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>
        <v>87</v>
      </c>
      <c r="AC186" t="str">
        <v>01/10/2026</v>
      </c>
      <c r="AD186" t="str">
        <v>15:54:22</v>
      </c>
      <c r="AE186">
        <f>IF("ONLINE"="NOGPS","GPS Antiguo","En línea")</f>
      </c>
      <c r="AF186">
        <f>IF(0=0,"Sin atender", IF(0=1,"Atendida","Atendida y Reportada"))</f>
      </c>
      <c r="AG186" t="str">
        <v/>
      </c>
      <c r="AH186" t="str">
        <v/>
      </c>
      <c r="AI186" t="str">
        <v/>
      </c>
      <c r="AJ186" t="str">
        <v/>
      </c>
      <c r="AK186" t="str">
        <v>01/10/2026 15:54:44</v>
      </c>
      <c r="AL186" t="str">
        <v>15:54:44</v>
      </c>
      <c r="AM186" t="str">
        <v/>
      </c>
    </row>
    <row r="187">
      <c r="A187">
        <v>186</v>
      </c>
      <c r="B187" t="str">
        <v>MASS BSF</v>
      </c>
      <c r="C187" t="str">
        <v>F3I-769</v>
      </c>
      <c r="D187" t="str">
        <v>F3I-769</v>
      </c>
      <c r="E187" t="str">
        <v/>
      </c>
      <c r="F187" t="str">
        <v>867806075758377</v>
      </c>
      <c r="G187" t="str">
        <v>TBD</v>
      </c>
      <c r="H187" t="str">
        <v/>
      </c>
      <c r="I187" t="str">
        <v/>
      </c>
      <c r="J187" t="str">
        <v>01/10/2026</v>
      </c>
      <c r="K187" t="str">
        <v>15:54:54</v>
      </c>
      <c r="L187">
        <v>-12.193602</v>
      </c>
      <c r="M187">
        <v>-76.9272</v>
      </c>
      <c r="N187">
        <f>HYPERLINK("https://www.google.com/maps/search/?api=1&amp;query=-12.193602,-76.9272","Jirón Ramón Castilla, Villa María del Triunfo, Lima")</f>
      </c>
      <c r="O187" t="str">
        <v>Aceleración brusca</v>
      </c>
      <c r="P187" t="str">
        <v>CMT-910</v>
      </c>
      <c r="Q187">
        <v>2307.5</v>
      </c>
      <c r="R187" t="str">
        <v/>
      </c>
      <c r="S187">
        <v>0</v>
      </c>
      <c r="T187">
        <v>73.97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>
        <v>87</v>
      </c>
      <c r="AC187" t="str">
        <v>01/10/2026</v>
      </c>
      <c r="AD187" t="str">
        <v>15:54:52</v>
      </c>
      <c r="AE187">
        <f>IF("ONLINE"="NOGPS","GPS Antiguo","En línea")</f>
      </c>
      <c r="AF187">
        <f>IF(0=0,"Sin atender", IF(0=1,"Atendida","Atendida y Reportada"))</f>
      </c>
      <c r="AG187" t="str">
        <v/>
      </c>
      <c r="AH187" t="str">
        <v/>
      </c>
      <c r="AI187" t="str">
        <v/>
      </c>
      <c r="AJ187" t="str">
        <v/>
      </c>
      <c r="AK187" t="str">
        <v>01/10/2026 15:55:04</v>
      </c>
      <c r="AL187" t="str">
        <v>15:55:04</v>
      </c>
      <c r="AM187" t="str">
        <v/>
      </c>
    </row>
    <row r="188">
      <c r="A188">
        <v>187</v>
      </c>
      <c r="B188" t="str">
        <v>MASS BSF</v>
      </c>
      <c r="C188" t="str">
        <v>F3I-769</v>
      </c>
      <c r="D188" t="str">
        <v>F3I-769</v>
      </c>
      <c r="E188" t="str">
        <v/>
      </c>
      <c r="F188" t="str">
        <v>867806075758377</v>
      </c>
      <c r="G188" t="str">
        <v>TBD</v>
      </c>
      <c r="H188" t="str">
        <v/>
      </c>
      <c r="I188" t="str">
        <v/>
      </c>
      <c r="J188" t="str">
        <v>01/10/2026</v>
      </c>
      <c r="K188" t="str">
        <v>15:55:04</v>
      </c>
      <c r="L188">
        <v>-12.193602</v>
      </c>
      <c r="M188">
        <v>-76.9272</v>
      </c>
      <c r="N188">
        <f>HYPERLINK("https://www.google.com/maps/search/?api=1&amp;query=-12.193602,-76.9272","Jirón Ramón Castilla, Villa María del Triunfo, Lima")</f>
      </c>
      <c r="O188" t="str">
        <v>Aceleración brusca</v>
      </c>
      <c r="P188" t="str">
        <v>CMT-910</v>
      </c>
      <c r="Q188">
        <v>2307.5</v>
      </c>
      <c r="R188" t="str">
        <v/>
      </c>
      <c r="S188">
        <v>0</v>
      </c>
      <c r="T188">
        <v>73.97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>
        <v>87</v>
      </c>
      <c r="AC188" t="str">
        <v>01/10/2026</v>
      </c>
      <c r="AD188" t="str">
        <v>15:55:02</v>
      </c>
      <c r="AE188">
        <f>IF("ONLINE"="NOGPS","GPS Antiguo","En línea")</f>
      </c>
      <c r="AF188">
        <f>IF(0=0,"Sin atender", IF(0=1,"Atendida","Atendida y Reportada"))</f>
      </c>
      <c r="AG188" t="str">
        <v/>
      </c>
      <c r="AH188" t="str">
        <v/>
      </c>
      <c r="AI188" t="str">
        <v/>
      </c>
      <c r="AJ188" t="str">
        <v/>
      </c>
      <c r="AK188" t="str">
        <v>01/10/2026 15:55:13</v>
      </c>
      <c r="AL188" t="str">
        <v>15:55:13</v>
      </c>
      <c r="AM188" t="str">
        <v/>
      </c>
    </row>
    <row r="189">
      <c r="A189">
        <v>188</v>
      </c>
      <c r="B189" t="str">
        <v>MASS BSF</v>
      </c>
      <c r="C189" t="str">
        <v>F3I-769</v>
      </c>
      <c r="D189" t="str">
        <v>F3I-769</v>
      </c>
      <c r="E189" t="str">
        <v/>
      </c>
      <c r="F189" t="str">
        <v>867806075758377</v>
      </c>
      <c r="G189" t="str">
        <v>TBD</v>
      </c>
      <c r="H189" t="str">
        <v/>
      </c>
      <c r="I189" t="str">
        <v/>
      </c>
      <c r="J189" t="str">
        <v>01/10/2026</v>
      </c>
      <c r="K189" t="str">
        <v>15:57:27</v>
      </c>
      <c r="L189">
        <v>-12.193602</v>
      </c>
      <c r="M189">
        <v>-76.9272</v>
      </c>
      <c r="N189">
        <f>HYPERLINK("https://www.google.com/maps/search/?api=1&amp;query=-12.193602,-76.9272","Jirón Ramón Castilla, Villa María del Triunfo, Lima")</f>
      </c>
      <c r="O189" t="str">
        <v>Inicio de ralentí</v>
      </c>
      <c r="P189" t="str">
        <v>Vehículo Detenido</v>
      </c>
      <c r="Q189">
        <v>2307.5</v>
      </c>
      <c r="R189" t="str">
        <v/>
      </c>
      <c r="S189">
        <v>0</v>
      </c>
      <c r="T189">
        <v>73.97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>
        <v>87</v>
      </c>
      <c r="AC189" t="str">
        <v>01/10/2026</v>
      </c>
      <c r="AD189" t="str">
        <v>15:57:24</v>
      </c>
      <c r="AE189">
        <f>IF("ONLINE"="NOGPS","GPS Antiguo","En línea")</f>
      </c>
      <c r="AF189">
        <f>IF(0=0,"Sin atender", IF(0=1,"Atendida","Atendida y Reportada"))</f>
      </c>
      <c r="AG189" t="str">
        <v/>
      </c>
      <c r="AH189" t="str">
        <v/>
      </c>
      <c r="AI189" t="str">
        <v/>
      </c>
      <c r="AJ189" t="str">
        <v/>
      </c>
      <c r="AK189" t="str">
        <v>01/10/2026 15:57:44</v>
      </c>
      <c r="AL189" t="str">
        <v>15:57:44</v>
      </c>
      <c r="AM189" t="str">
        <v/>
      </c>
    </row>
    <row r="190">
      <c r="A190">
        <v>189</v>
      </c>
      <c r="B190" t="str">
        <v>MASS BSF</v>
      </c>
      <c r="C190" t="str">
        <v>F3I-769</v>
      </c>
      <c r="D190" t="str">
        <v>F3I-769</v>
      </c>
      <c r="E190" t="str">
        <v/>
      </c>
      <c r="F190" t="str">
        <v>867806075758377</v>
      </c>
      <c r="G190" t="str">
        <v>TBD</v>
      </c>
      <c r="H190" t="str">
        <v/>
      </c>
      <c r="I190" t="str">
        <v/>
      </c>
      <c r="J190" t="str">
        <v>01/10/2026</v>
      </c>
      <c r="K190" t="str">
        <v>16:00:15</v>
      </c>
      <c r="L190">
        <v>-12.193395</v>
      </c>
      <c r="M190">
        <v>-76.92713</v>
      </c>
      <c r="N190">
        <f>HYPERLINK("https://www.google.com/maps/search/?api=1&amp;query=-12.193395,-76.92713","Jirón Ramón Castilla, Villa María del Triunfo, Lima")</f>
      </c>
      <c r="O190" t="str">
        <v>Fin de ralentí</v>
      </c>
      <c r="P190" t="str">
        <v/>
      </c>
      <c r="Q190">
        <v>2307.5</v>
      </c>
      <c r="R190" t="str">
        <v/>
      </c>
      <c r="S190">
        <v>7.5</v>
      </c>
      <c r="T190">
        <v>73.97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>
        <v>87</v>
      </c>
      <c r="AC190" t="str">
        <v>01/10/2026</v>
      </c>
      <c r="AD190" t="str">
        <v>16:00:13</v>
      </c>
      <c r="AE190">
        <f>IF("ONLINE"="NOGPS","GPS Antiguo","En línea")</f>
      </c>
      <c r="AF190">
        <f>IF(0=0,"Sin atender", IF(0=1,"Atendida","Atendida y Reportada"))</f>
      </c>
      <c r="AG190" t="str">
        <v/>
      </c>
      <c r="AH190" t="str">
        <v/>
      </c>
      <c r="AI190" t="str">
        <v/>
      </c>
      <c r="AJ190" t="str">
        <v/>
      </c>
      <c r="AK190" t="str">
        <v>01/10/2026 16:00:27</v>
      </c>
      <c r="AL190" t="str">
        <v>16:00:27</v>
      </c>
      <c r="AM190" t="str">
        <v/>
      </c>
    </row>
    <row r="191">
      <c r="A191">
        <v>190</v>
      </c>
      <c r="B191" t="str">
        <v>MASS BSF</v>
      </c>
      <c r="C191" t="str">
        <v>F3I-769</v>
      </c>
      <c r="D191" t="str">
        <v>F3I-769</v>
      </c>
      <c r="E191" t="str">
        <v/>
      </c>
      <c r="F191" t="str">
        <v>867806075758377</v>
      </c>
      <c r="G191" t="str">
        <v>TBD</v>
      </c>
      <c r="H191" t="str">
        <v/>
      </c>
      <c r="I191" t="str">
        <v/>
      </c>
      <c r="J191" t="str">
        <v>01/10/2026</v>
      </c>
      <c r="K191" t="str">
        <v>16:01:10</v>
      </c>
      <c r="L191">
        <v>-12.193301</v>
      </c>
      <c r="M191">
        <v>-76.927055</v>
      </c>
      <c r="N191">
        <f>HYPERLINK("https://www.google.com/maps/search/?api=1&amp;query=-12.193301,-76.927055","Jirón Ramón Castilla, Villa María del Triunfo, Lima")</f>
      </c>
      <c r="O191" t="str">
        <v>Vehículo apagado</v>
      </c>
      <c r="P191" t="str">
        <v>Vehículo Apagado</v>
      </c>
      <c r="Q191">
        <v>2307.5</v>
      </c>
      <c r="R191" t="str">
        <v/>
      </c>
      <c r="S191">
        <v>0</v>
      </c>
      <c r="T191">
        <v>74.97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>
        <v>87</v>
      </c>
      <c r="AC191" t="str">
        <v>01/10/2026</v>
      </c>
      <c r="AD191" t="str">
        <v>16:01:08</v>
      </c>
      <c r="AE191">
        <f>IF("ONLINE"="NOGPS","GPS Antiguo","En línea")</f>
      </c>
      <c r="AF191">
        <f>IF(0=0,"Sin atender", IF(0=1,"Atendida","Atendida y Reportada"))</f>
      </c>
      <c r="AG191" t="str">
        <v/>
      </c>
      <c r="AH191" t="str">
        <v/>
      </c>
      <c r="AI191" t="str">
        <v/>
      </c>
      <c r="AJ191" t="str">
        <v/>
      </c>
      <c r="AK191" t="str">
        <v>01/10/2026 16:01:17</v>
      </c>
      <c r="AL191" t="str">
        <v>16:01:17</v>
      </c>
      <c r="AM191" t="str">
        <v/>
      </c>
    </row>
    <row r="192">
      <c r="A192">
        <v>191</v>
      </c>
      <c r="B192" t="str">
        <v>MASS BSF</v>
      </c>
      <c r="C192" t="str">
        <v>F3I-769</v>
      </c>
      <c r="D192" t="str">
        <v>F3I-769</v>
      </c>
      <c r="E192" t="str">
        <v/>
      </c>
      <c r="F192" t="str">
        <v>867806075758377</v>
      </c>
      <c r="G192" t="str">
        <v>TBD</v>
      </c>
      <c r="H192" t="str">
        <v/>
      </c>
      <c r="I192" t="str">
        <v/>
      </c>
      <c r="J192" t="str">
        <v>01/10/2026</v>
      </c>
      <c r="K192" t="str">
        <v>16:08:06</v>
      </c>
      <c r="L192">
        <v>-12.193301</v>
      </c>
      <c r="M192">
        <v>-76.927055</v>
      </c>
      <c r="N192">
        <f>HYPERLINK("https://www.google.com/maps/search/?api=1&amp;query=-12.193301,-76.927055","Jirón Ramón Castilla, Villa María del Triunfo, Lima")</f>
      </c>
      <c r="O192" t="str">
        <v>Se detuvo</v>
      </c>
      <c r="P192" t="str">
        <v>Unidad se detuvo</v>
      </c>
      <c r="Q192">
        <v>2307.5</v>
      </c>
      <c r="R192" t="str">
        <v/>
      </c>
      <c r="S192">
        <v>0</v>
      </c>
      <c r="T192">
        <v>74.97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>
        <v>87</v>
      </c>
      <c r="AC192" t="str">
        <v>01/10/2026</v>
      </c>
      <c r="AD192" t="str">
        <v>16:08:03</v>
      </c>
      <c r="AE192">
        <f>IF("ONLINE"="NOGPS","GPS Antiguo","En línea")</f>
      </c>
      <c r="AF192">
        <f>IF(0=0,"Sin atender", IF(0=1,"Atendida","Atendida y Reportada"))</f>
      </c>
      <c r="AG192" t="str">
        <v/>
      </c>
      <c r="AH192" t="str">
        <v/>
      </c>
      <c r="AI192" t="str">
        <v/>
      </c>
      <c r="AJ192" t="str">
        <v/>
      </c>
      <c r="AK192" t="str">
        <v>01/10/2026 16:08:28</v>
      </c>
      <c r="AL192" t="str">
        <v>16:08:28</v>
      </c>
      <c r="AM192" t="str">
        <v/>
      </c>
    </row>
  </sheetData>
  <ignoredErrors>
    <ignoredError numberStoredAsText="1" sqref="A1:AM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