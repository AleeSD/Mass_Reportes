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IMEI</v>
      </c>
      <c r="F1" t="str">
        <v>Tipo de carrocería</v>
      </c>
      <c r="G1" t="str">
        <v>Empresa</v>
      </c>
      <c r="H1" t="str">
        <v>Conductor</v>
      </c>
      <c r="I1" t="str">
        <v>Fecha</v>
      </c>
      <c r="J1" t="str">
        <v>Hora</v>
      </c>
      <c r="K1" t="str">
        <v>Latitud</v>
      </c>
      <c r="L1" t="str">
        <v>Longitud</v>
      </c>
      <c r="M1" t="str">
        <v>Dirección</v>
      </c>
      <c r="N1" t="str">
        <v>Alerta</v>
      </c>
      <c r="O1" t="str">
        <v>Odómetro (Km)</v>
      </c>
      <c r="P1" t="str">
        <v>Zona</v>
      </c>
      <c r="Q1" t="str">
        <v>Velocidad (Km/h)</v>
      </c>
      <c r="R1" t="str">
        <v>Horómetro (Hrs)</v>
      </c>
      <c r="S1" t="str">
        <v>Velocidad máxima permitida</v>
      </c>
      <c r="T1" t="str">
        <v>Velocidad máxima alcanzada</v>
      </c>
      <c r="U1" t="str">
        <v>Velocidad promedio</v>
      </c>
      <c r="V1" t="str">
        <v>Duración (segundos)</v>
      </c>
      <c r="W1" t="str">
        <v>Severidad de la alerta</v>
      </c>
      <c r="X1" t="str">
        <v>Fecha y hora de inicio del exceso</v>
      </c>
      <c r="Y1" t="str">
        <v>Fecha y hora de fin del exceso</v>
      </c>
      <c r="Z1" t="str">
        <v>% Batería</v>
      </c>
      <c r="AA1" t="str">
        <v>Fecha GPS</v>
      </c>
      <c r="AB1" t="str">
        <v>Hora GPS</v>
      </c>
      <c r="AC1" t="str">
        <v>Estado GPS</v>
      </c>
      <c r="AD1" t="str">
        <v>Atención Alerta</v>
      </c>
      <c r="AE1" t="str">
        <v>Reporte de Alerta</v>
      </c>
      <c r="AF1" t="str">
        <v>Fecha Reporte Al.</v>
      </c>
      <c r="AG1" t="str">
        <v>Hora Reporte Al.</v>
      </c>
      <c r="AH1" t="str">
        <v>Registro de Atención</v>
      </c>
      <c r="AI1" t="str">
        <v>Fecha Registro At.</v>
      </c>
      <c r="AJ1" t="str">
        <v>Hora Registro At.</v>
      </c>
      <c r="AK1" t="str">
        <v>Notas</v>
      </c>
    </row>
    <row r="2">
      <c r="A2">
        <v>1</v>
      </c>
      <c r="B2" t="str">
        <v>MASS BSF</v>
      </c>
      <c r="C2" t="str">
        <v>CKL-718</v>
      </c>
      <c r="D2" t="str">
        <v>CKL-718</v>
      </c>
      <c r="E2" t="str">
        <v>867162029820636</v>
      </c>
      <c r="F2" t="str">
        <v>TBD</v>
      </c>
      <c r="G2" t="str">
        <v/>
      </c>
      <c r="H2" t="str">
        <v/>
      </c>
      <c r="I2" t="str">
        <v>17/09/2026</v>
      </c>
      <c r="J2" t="str">
        <v>05:57:30</v>
      </c>
      <c r="K2">
        <v>-12.212955</v>
      </c>
      <c r="L2">
        <v>-76.959015</v>
      </c>
      <c r="M2">
        <f>HYPERLINK("https://www.google.com/maps/search/?api=1&amp;query=-12.212955,-76.959015","Avenida Villa del Mar, Villa El Salvador, Lima")</f>
      </c>
      <c r="N2" t="str">
        <v>Vehículo encendido</v>
      </c>
      <c r="O2">
        <v>21405.3</v>
      </c>
      <c r="P2" t="str">
        <v/>
      </c>
      <c r="Q2">
        <v>0</v>
      </c>
      <c r="R2">
        <v>77.6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>
        <v>100</v>
      </c>
      <c r="AA2" t="str">
        <v>17/09/2026</v>
      </c>
      <c r="AB2" t="str">
        <v>05:29:11</v>
      </c>
      <c r="AC2">
        <f>IF("NOGPS"="NOGPS","GPS Antiguo","En línea")</f>
      </c>
      <c r="AD2">
        <f>IF(0=0,"Sin atender", IF(0=1,"Atendida","Atendida y Reportada"))</f>
      </c>
      <c r="AE2" t="str">
        <v/>
      </c>
      <c r="AF2" t="str">
        <v/>
      </c>
      <c r="AG2" t="str">
        <v/>
      </c>
      <c r="AH2" t="str">
        <v/>
      </c>
      <c r="AI2" t="str">
        <v>17/09/2026 05:57:48</v>
      </c>
      <c r="AJ2" t="str">
        <v>05:57:48</v>
      </c>
      <c r="AK2" t="str">
        <v/>
      </c>
    </row>
    <row r="3">
      <c r="A3">
        <v>2</v>
      </c>
      <c r="B3" t="str">
        <v>MASS BSF</v>
      </c>
      <c r="C3" t="str">
        <v>CKL-718</v>
      </c>
      <c r="D3" t="str">
        <v>CKL-718</v>
      </c>
      <c r="E3" t="str">
        <v>867162029820636</v>
      </c>
      <c r="F3" t="str">
        <v>TBD</v>
      </c>
      <c r="G3" t="str">
        <v/>
      </c>
      <c r="H3" t="str">
        <v/>
      </c>
      <c r="I3" t="str">
        <v>17/09/2026</v>
      </c>
      <c r="J3" t="str">
        <v>06:29:02</v>
      </c>
      <c r="K3">
        <v>-12.21281</v>
      </c>
      <c r="L3">
        <v>-76.907906</v>
      </c>
      <c r="M3">
        <f>HYPERLINK("https://www.google.com/maps/search/?api=1&amp;query=-12.21281,-76.907906","Jirón Rímac, Villa María del Triunfo, Lima")</f>
      </c>
      <c r="N3" t="str">
        <v>Vehículo apagado</v>
      </c>
      <c r="O3">
        <v>21416.2</v>
      </c>
      <c r="P3" t="str">
        <v/>
      </c>
      <c r="Q3">
        <v>0</v>
      </c>
      <c r="R3">
        <v>78.13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>
        <v>100</v>
      </c>
      <c r="AA3" t="str">
        <v>17/09/2026</v>
      </c>
      <c r="AB3" t="str">
        <v>06:29:05</v>
      </c>
      <c r="AC3">
        <f>IF("ONLINE"="NOGPS","GPS Antiguo","En línea")</f>
      </c>
      <c r="AD3">
        <f>IF(0=0,"Sin atender", IF(0=1,"Atendida","Atendida y Reportada"))</f>
      </c>
      <c r="AE3" t="str">
        <v/>
      </c>
      <c r="AF3" t="str">
        <v/>
      </c>
      <c r="AG3" t="str">
        <v/>
      </c>
      <c r="AH3" t="str">
        <v/>
      </c>
      <c r="AI3" t="str">
        <v>17/09/2026 06:29:24</v>
      </c>
      <c r="AJ3" t="str">
        <v>06:29:24</v>
      </c>
      <c r="AK3" t="str">
        <v/>
      </c>
    </row>
    <row r="4">
      <c r="A4">
        <v>3</v>
      </c>
      <c r="B4" t="str">
        <v>MASS BSF</v>
      </c>
      <c r="C4" t="str">
        <v>CKL-718</v>
      </c>
      <c r="D4" t="str">
        <v>CKL-718</v>
      </c>
      <c r="E4" t="str">
        <v>867162029820636</v>
      </c>
      <c r="F4" t="str">
        <v>TBD</v>
      </c>
      <c r="G4" t="str">
        <v/>
      </c>
      <c r="H4" t="str">
        <v/>
      </c>
      <c r="I4" t="str">
        <v>17/09/2026</v>
      </c>
      <c r="J4" t="str">
        <v>06:29:14</v>
      </c>
      <c r="K4">
        <v>-12.212916</v>
      </c>
      <c r="L4">
        <v>-76.90773</v>
      </c>
      <c r="M4">
        <f>HYPERLINK("https://www.google.com/maps/search/?api=1&amp;query=-12.212916,-76.90773","Jirón Rímac, Villa María del Triunfo, Lima")</f>
      </c>
      <c r="N4" t="str">
        <v>Vehículo encendido</v>
      </c>
      <c r="O4">
        <v>21416.2</v>
      </c>
      <c r="P4" t="str">
        <v/>
      </c>
      <c r="Q4">
        <v>0</v>
      </c>
      <c r="R4">
        <v>78.13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>
        <v>100</v>
      </c>
      <c r="AA4" t="str">
        <v>17/09/2026</v>
      </c>
      <c r="AB4" t="str">
        <v>06:29:22</v>
      </c>
      <c r="AC4">
        <f>IF("ONLINE"="NOGPS","GPS Antiguo","En línea")</f>
      </c>
      <c r="AD4">
        <f>IF(0=0,"Sin atender", IF(0=1,"Atendida","Atendida y Reportada"))</f>
      </c>
      <c r="AE4" t="str">
        <v/>
      </c>
      <c r="AF4" t="str">
        <v/>
      </c>
      <c r="AG4" t="str">
        <v/>
      </c>
      <c r="AH4" t="str">
        <v/>
      </c>
      <c r="AI4" t="str">
        <v>17/09/2026 06:29:32</v>
      </c>
      <c r="AJ4" t="str">
        <v>06:29:32</v>
      </c>
      <c r="AK4" t="str">
        <v/>
      </c>
    </row>
    <row r="5">
      <c r="A5">
        <v>4</v>
      </c>
      <c r="B5" t="str">
        <v>MASS BSF</v>
      </c>
      <c r="C5" t="str">
        <v>CKL-718</v>
      </c>
      <c r="D5" t="str">
        <v>CKL-718</v>
      </c>
      <c r="E5" t="str">
        <v>867162029820636</v>
      </c>
      <c r="F5" t="str">
        <v>TBD</v>
      </c>
      <c r="G5" t="str">
        <v/>
      </c>
      <c r="H5" t="str">
        <v/>
      </c>
      <c r="I5" t="str">
        <v>17/09/2026</v>
      </c>
      <c r="J5" t="str">
        <v>06:29:18</v>
      </c>
      <c r="K5">
        <v>-12.212916</v>
      </c>
      <c r="L5">
        <v>-76.90773</v>
      </c>
      <c r="M5">
        <f>HYPERLINK("https://www.google.com/maps/search/?api=1&amp;query=-12.212916,-76.90773","Jirón Rímac, Villa María del Triunfo, Lima")</f>
      </c>
      <c r="N5" t="str">
        <v>Vehículo apagado</v>
      </c>
      <c r="O5">
        <v>21416.2</v>
      </c>
      <c r="P5" t="str">
        <v/>
      </c>
      <c r="Q5">
        <v>0</v>
      </c>
      <c r="R5">
        <v>78.13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>
        <v>100</v>
      </c>
      <c r="AA5" t="str">
        <v>17/09/2026</v>
      </c>
      <c r="AB5" t="str">
        <v>06:29:22</v>
      </c>
      <c r="AC5">
        <f>IF("ONLINE"="NOGPS","GPS Antiguo","En línea")</f>
      </c>
      <c r="AD5">
        <f>IF(0=0,"Sin atender", IF(0=1,"Atendida","Atendida y Reportada"))</f>
      </c>
      <c r="AE5" t="str">
        <v/>
      </c>
      <c r="AF5" t="str">
        <v/>
      </c>
      <c r="AG5" t="str">
        <v/>
      </c>
      <c r="AH5" t="str">
        <v/>
      </c>
      <c r="AI5" t="str">
        <v>17/09/2026 06:29:40</v>
      </c>
      <c r="AJ5" t="str">
        <v>06:29:40</v>
      </c>
      <c r="AK5" t="str">
        <v/>
      </c>
    </row>
    <row r="6">
      <c r="A6">
        <v>5</v>
      </c>
      <c r="B6" t="str">
        <v>MASS BSF</v>
      </c>
      <c r="C6" t="str">
        <v>CKL-718</v>
      </c>
      <c r="D6" t="str">
        <v>CKL-718</v>
      </c>
      <c r="E6" t="str">
        <v>867162029820636</v>
      </c>
      <c r="F6" t="str">
        <v>TBD</v>
      </c>
      <c r="G6" t="str">
        <v/>
      </c>
      <c r="H6" t="str">
        <v/>
      </c>
      <c r="I6" t="str">
        <v>17/09/2026</v>
      </c>
      <c r="J6" t="str">
        <v>06:51:38</v>
      </c>
      <c r="K6">
        <v>-12.212916</v>
      </c>
      <c r="L6">
        <v>-76.90773</v>
      </c>
      <c r="M6">
        <f>HYPERLINK("https://www.google.com/maps/search/?api=1&amp;query=-12.212916,-76.90773","Jirón Rímac, Villa María del Triunfo, Lima")</f>
      </c>
      <c r="N6" t="str">
        <v>Vehículo encendido</v>
      </c>
      <c r="O6">
        <v>21416.2</v>
      </c>
      <c r="P6" t="str">
        <v/>
      </c>
      <c r="Q6">
        <v>0</v>
      </c>
      <c r="R6">
        <v>78.13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>
        <v>100</v>
      </c>
      <c r="AA6" t="str">
        <v>17/09/2026</v>
      </c>
      <c r="AB6" t="str">
        <v>06:29:22</v>
      </c>
      <c r="AC6">
        <f>IF("NOGPS"="NOGPS","GPS Antiguo","En línea")</f>
      </c>
      <c r="AD6">
        <f>IF(0=0,"Sin atender", IF(0=1,"Atendida","Atendida y Reportada"))</f>
      </c>
      <c r="AE6" t="str">
        <v/>
      </c>
      <c r="AF6" t="str">
        <v/>
      </c>
      <c r="AG6" t="str">
        <v/>
      </c>
      <c r="AH6" t="str">
        <v/>
      </c>
      <c r="AI6" t="str">
        <v>17/09/2026 06:51:57</v>
      </c>
      <c r="AJ6" t="str">
        <v>06:51:57</v>
      </c>
      <c r="AK6" t="str">
        <v/>
      </c>
    </row>
    <row r="7">
      <c r="A7">
        <v>6</v>
      </c>
      <c r="B7" t="str">
        <v>MASS BSF</v>
      </c>
      <c r="C7" t="str">
        <v>CKL-718</v>
      </c>
      <c r="D7" t="str">
        <v>CKL-718</v>
      </c>
      <c r="E7" t="str">
        <v>867162029820636</v>
      </c>
      <c r="F7" t="str">
        <v>TBD</v>
      </c>
      <c r="G7" t="str">
        <v/>
      </c>
      <c r="H7" t="str">
        <v/>
      </c>
      <c r="I7" t="str">
        <v>17/09/2026</v>
      </c>
      <c r="J7" t="str">
        <v>07:16:48</v>
      </c>
      <c r="K7">
        <v>-12.187284</v>
      </c>
      <c r="L7">
        <v>-76.926575</v>
      </c>
      <c r="M7">
        <f>HYPERLINK("https://www.google.com/maps/search/?api=1&amp;query=-12.187284,-76.926575","Jirón Alfonso Ugarte, Villa María del Triunfo, Lima")</f>
      </c>
      <c r="N7" t="str">
        <v>Vehículo apagado</v>
      </c>
      <c r="O7">
        <v>21424.9</v>
      </c>
      <c r="P7" t="str">
        <v/>
      </c>
      <c r="Q7">
        <v>3.1</v>
      </c>
      <c r="R7">
        <v>78.55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>
        <v>100</v>
      </c>
      <c r="AA7" t="str">
        <v>17/09/2026</v>
      </c>
      <c r="AB7" t="str">
        <v>07:16:41</v>
      </c>
      <c r="AC7">
        <f>IF("ONLINE"="NOGPS","GPS Antiguo","En línea")</f>
      </c>
      <c r="AD7">
        <f>IF(0=0,"Sin atender", IF(0=1,"Atendida","Atendida y Reportada"))</f>
      </c>
      <c r="AE7" t="str">
        <v/>
      </c>
      <c r="AF7" t="str">
        <v/>
      </c>
      <c r="AG7" t="str">
        <v/>
      </c>
      <c r="AH7" t="str">
        <v/>
      </c>
      <c r="AI7" t="str">
        <v>17/09/2026 07:16:55</v>
      </c>
      <c r="AJ7" t="str">
        <v>07:16:55</v>
      </c>
      <c r="AK7" t="str">
        <v/>
      </c>
    </row>
    <row r="8">
      <c r="A8">
        <v>7</v>
      </c>
      <c r="B8" t="str">
        <v>MASS BSF</v>
      </c>
      <c r="C8" t="str">
        <v>CKL-718</v>
      </c>
      <c r="D8" t="str">
        <v>CKL-718</v>
      </c>
      <c r="E8" t="str">
        <v>867162029820636</v>
      </c>
      <c r="F8" t="str">
        <v>TBD</v>
      </c>
      <c r="G8" t="str">
        <v/>
      </c>
      <c r="H8" t="str">
        <v/>
      </c>
      <c r="I8" t="str">
        <v>17/09/2026</v>
      </c>
      <c r="J8" t="str">
        <v>07:32:51</v>
      </c>
      <c r="K8">
        <v>-12.187283</v>
      </c>
      <c r="L8">
        <v>-76.926575</v>
      </c>
      <c r="M8">
        <f>HYPERLINK("https://www.google.com/maps/search/?api=1&amp;query=-12.187283,-76.926575","Jirón Alfonso Ugarte, Villa María del Triunfo, Lima")</f>
      </c>
      <c r="N8" t="str">
        <v>Vehículo encendido</v>
      </c>
      <c r="O8">
        <v>21424.9</v>
      </c>
      <c r="P8" t="str">
        <v/>
      </c>
      <c r="Q8">
        <v>0</v>
      </c>
      <c r="R8">
        <v>78.55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>
        <v>100</v>
      </c>
      <c r="AA8" t="str">
        <v>17/09/2026</v>
      </c>
      <c r="AB8" t="str">
        <v>07:16:52</v>
      </c>
      <c r="AC8">
        <f>IF("NOGPS"="NOGPS","GPS Antiguo","En línea")</f>
      </c>
      <c r="AD8">
        <f>IF(0=0,"Sin atender", IF(0=1,"Atendida","Atendida y Reportada"))</f>
      </c>
      <c r="AE8" t="str">
        <v/>
      </c>
      <c r="AF8" t="str">
        <v/>
      </c>
      <c r="AG8" t="str">
        <v/>
      </c>
      <c r="AH8" t="str">
        <v/>
      </c>
      <c r="AI8" t="str">
        <v>17/09/2026 07:33:07</v>
      </c>
      <c r="AJ8" t="str">
        <v>07:33:07</v>
      </c>
      <c r="AK8" t="str">
        <v/>
      </c>
    </row>
    <row r="9">
      <c r="A9">
        <v>8</v>
      </c>
      <c r="B9" t="str">
        <v>MASS BSF</v>
      </c>
      <c r="C9" t="str">
        <v>CKL-718</v>
      </c>
      <c r="D9" t="str">
        <v>CKL-718</v>
      </c>
      <c r="E9" t="str">
        <v>867162029820636</v>
      </c>
      <c r="F9" t="str">
        <v>TBD</v>
      </c>
      <c r="G9" t="str">
        <v/>
      </c>
      <c r="H9" t="str">
        <v/>
      </c>
      <c r="I9" t="str">
        <v>17/09/2026</v>
      </c>
      <c r="J9" t="str">
        <v>07:41:53</v>
      </c>
      <c r="K9">
        <v>-12.198119</v>
      </c>
      <c r="L9">
        <v>-76.93308</v>
      </c>
      <c r="M9">
        <f>HYPERLINK("https://www.google.com/maps/search/?api=1&amp;query=-12.198119,-76.93308","Avenida Pachacútec, Villa María del Triunfo, Lima")</f>
      </c>
      <c r="N9" t="str">
        <v>Exceso de velocidad en segmento vial</v>
      </c>
      <c r="O9">
        <v>21427.2</v>
      </c>
      <c r="P9" t="str">
        <v/>
      </c>
      <c r="Q9">
        <v>70.9</v>
      </c>
      <c r="R9">
        <v>78.55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>
        <v>100</v>
      </c>
      <c r="AA9" t="str">
        <v>17/09/2026</v>
      </c>
      <c r="AB9" t="str">
        <v>07:41:49</v>
      </c>
      <c r="AC9">
        <f>IF("ONLINE"="NOGPS","GPS Antiguo","En línea")</f>
      </c>
      <c r="AD9">
        <f>IF(0=0,"Sin atender", IF(0=1,"Atendida","Atendida y Reportada"))</f>
      </c>
      <c r="AE9" t="str">
        <v/>
      </c>
      <c r="AF9" t="str">
        <v/>
      </c>
      <c r="AG9" t="str">
        <v/>
      </c>
      <c r="AH9" t="str">
        <v/>
      </c>
      <c r="AI9" t="str">
        <v>17/09/2026 07:42:18</v>
      </c>
      <c r="AJ9" t="str">
        <v>07:42:18</v>
      </c>
      <c r="AK9" t="str">
        <v/>
      </c>
    </row>
    <row r="10">
      <c r="A10">
        <v>9</v>
      </c>
      <c r="B10" t="str">
        <v>MASS BSF</v>
      </c>
      <c r="C10" t="str">
        <v>CKL-718</v>
      </c>
      <c r="D10" t="str">
        <v>CKL-718</v>
      </c>
      <c r="E10" t="str">
        <v>867162029820636</v>
      </c>
      <c r="F10" t="str">
        <v>TBD</v>
      </c>
      <c r="G10" t="str">
        <v/>
      </c>
      <c r="H10" t="str">
        <v/>
      </c>
      <c r="I10" t="str">
        <v>17/09/2026</v>
      </c>
      <c r="J10" t="str">
        <v>07:46:53</v>
      </c>
      <c r="K10">
        <v>-12.216544</v>
      </c>
      <c r="L10">
        <v>-76.925064</v>
      </c>
      <c r="M10">
        <f>HYPERLINK("https://www.google.com/maps/search/?api=1&amp;query=-12.216544,-76.925064","Avenida José Carlos Mariátegui, Villa El Salvador, Lima")</f>
      </c>
      <c r="N10" t="str">
        <v>Exceso de velocidad en segmento vial</v>
      </c>
      <c r="O10">
        <v>21429.8</v>
      </c>
      <c r="P10" t="str">
        <v/>
      </c>
      <c r="Q10">
        <v>42.3</v>
      </c>
      <c r="R10">
        <v>78.55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>
        <v>100</v>
      </c>
      <c r="AA10" t="str">
        <v>17/09/2026</v>
      </c>
      <c r="AB10" t="str">
        <v>07:46:49</v>
      </c>
      <c r="AC10">
        <f>IF("ONLINE"="NOGPS","GPS Antiguo","En línea")</f>
      </c>
      <c r="AD10">
        <f>IF(0=0,"Sin atender", IF(0=1,"Atendida","Atendida y Reportada"))</f>
      </c>
      <c r="AE10" t="str">
        <v/>
      </c>
      <c r="AF10" t="str">
        <v/>
      </c>
      <c r="AG10" t="str">
        <v/>
      </c>
      <c r="AH10" t="str">
        <v/>
      </c>
      <c r="AI10" t="str">
        <v>17/09/2026 07:47:13</v>
      </c>
      <c r="AJ10" t="str">
        <v>07:47:13</v>
      </c>
      <c r="AK10" t="str">
        <v/>
      </c>
    </row>
    <row r="11">
      <c r="A11">
        <v>10</v>
      </c>
      <c r="B11" t="str">
        <v>MASS BSF</v>
      </c>
      <c r="C11" t="str">
        <v>CKL-718</v>
      </c>
      <c r="D11" t="str">
        <v>CKL-718</v>
      </c>
      <c r="E11" t="str">
        <v>867162029820636</v>
      </c>
      <c r="F11" t="str">
        <v>TBD</v>
      </c>
      <c r="G11" t="str">
        <v/>
      </c>
      <c r="H11" t="str">
        <v/>
      </c>
      <c r="I11" t="str">
        <v>17/09/2026</v>
      </c>
      <c r="J11" t="str">
        <v>08:01:50</v>
      </c>
      <c r="K11">
        <v>-12.259081</v>
      </c>
      <c r="L11">
        <v>-76.91707</v>
      </c>
      <c r="M11">
        <f>HYPERLINK("https://www.google.com/maps/search/?api=1&amp;query=-12.259081,-76.91707","Carretera Panamericana Sur, Lurín, Lima")</f>
      </c>
      <c r="N11" t="str">
        <v>Excedió el límite de velocidad</v>
      </c>
      <c r="O11">
        <v>21438.2</v>
      </c>
      <c r="P11" t="str">
        <v/>
      </c>
      <c r="Q11">
        <v>90.8</v>
      </c>
      <c r="R11">
        <v>78.55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>
        <v>100</v>
      </c>
      <c r="AA11" t="str">
        <v>17/09/2026</v>
      </c>
      <c r="AB11" t="str">
        <v>08:01:49</v>
      </c>
      <c r="AC11">
        <f>IF("ONLINE"="NOGPS","GPS Antiguo","En línea")</f>
      </c>
      <c r="AD11">
        <f>IF(0=0,"Sin atender", IF(0=1,"Atendida","Atendida y Reportada"))</f>
      </c>
      <c r="AE11" t="str">
        <v/>
      </c>
      <c r="AF11" t="str">
        <v/>
      </c>
      <c r="AG11" t="str">
        <v/>
      </c>
      <c r="AH11" t="str">
        <v/>
      </c>
      <c r="AI11" t="str">
        <v>17/09/2026 08:02:03</v>
      </c>
      <c r="AJ11" t="str">
        <v>08:02:03</v>
      </c>
      <c r="AK11" t="str">
        <v/>
      </c>
    </row>
    <row r="12">
      <c r="A12">
        <v>11</v>
      </c>
      <c r="B12" t="str">
        <v>MASS BSF</v>
      </c>
      <c r="C12" t="str">
        <v>CKL-718</v>
      </c>
      <c r="D12" t="str">
        <v>CKL-718</v>
      </c>
      <c r="E12" t="str">
        <v>867162029820636</v>
      </c>
      <c r="F12" t="str">
        <v>TBD</v>
      </c>
      <c r="G12" t="str">
        <v/>
      </c>
      <c r="H12" t="str">
        <v/>
      </c>
      <c r="I12" t="str">
        <v>17/09/2026</v>
      </c>
      <c r="J12" t="str">
        <v>08:02:41</v>
      </c>
      <c r="K12">
        <v>-12.26459</v>
      </c>
      <c r="L12">
        <v>-76.90827</v>
      </c>
      <c r="M12">
        <f>HYPERLINK("https://www.google.com/maps/search/?api=1&amp;query=-12.26459,-76.90827","Carretera Panamericana Sur, Lurín, Lima")</f>
      </c>
      <c r="N12" t="str">
        <v>Excedió el límite de velocidad</v>
      </c>
      <c r="O12">
        <v>21439.4</v>
      </c>
      <c r="P12" t="str">
        <v/>
      </c>
      <c r="Q12">
        <v>90.6</v>
      </c>
      <c r="R12">
        <v>78.55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>
        <v>100</v>
      </c>
      <c r="AA12" t="str">
        <v>17/09/2026</v>
      </c>
      <c r="AB12" t="str">
        <v>08:02:40</v>
      </c>
      <c r="AC12">
        <f>IF("ONLINE"="NOGPS","GPS Antiguo","En línea")</f>
      </c>
      <c r="AD12">
        <f>IF(0=0,"Sin atender", IF(0=1,"Atendida","Atendida y Reportada"))</f>
      </c>
      <c r="AE12" t="str">
        <v/>
      </c>
      <c r="AF12" t="str">
        <v/>
      </c>
      <c r="AG12" t="str">
        <v/>
      </c>
      <c r="AH12" t="str">
        <v/>
      </c>
      <c r="AI12" t="str">
        <v>17/09/2026 08:02:55</v>
      </c>
      <c r="AJ12" t="str">
        <v>08:02:55</v>
      </c>
      <c r="AK12" t="str">
        <v/>
      </c>
    </row>
    <row r="13">
      <c r="A13">
        <v>12</v>
      </c>
      <c r="B13" t="str">
        <v>MASS BSF</v>
      </c>
      <c r="C13" t="str">
        <v>CKL-718</v>
      </c>
      <c r="D13" t="str">
        <v>CKL-718</v>
      </c>
      <c r="E13" t="str">
        <v>867162029820636</v>
      </c>
      <c r="F13" t="str">
        <v>TBD</v>
      </c>
      <c r="G13" t="str">
        <v/>
      </c>
      <c r="H13" t="str">
        <v/>
      </c>
      <c r="I13" t="str">
        <v>17/09/2026</v>
      </c>
      <c r="J13" t="str">
        <v>08:03:11</v>
      </c>
      <c r="K13">
        <v>-12.267881</v>
      </c>
      <c r="L13">
        <v>-76.90301</v>
      </c>
      <c r="M13">
        <f>HYPERLINK("https://www.google.com/maps/search/?api=1&amp;query=-12.267881,-76.90301","Carretera Panamericana Sur, Lurín, Lima")</f>
      </c>
      <c r="N13" t="str">
        <v>Excedió el límite de velocidad</v>
      </c>
      <c r="O13">
        <v>21440.1</v>
      </c>
      <c r="P13" t="str">
        <v/>
      </c>
      <c r="Q13">
        <v>81</v>
      </c>
      <c r="R13">
        <v>78.55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>
        <v>100</v>
      </c>
      <c r="AA13" t="str">
        <v>17/09/2026</v>
      </c>
      <c r="AB13" t="str">
        <v>08:03:10</v>
      </c>
      <c r="AC13">
        <f>IF("ONLINE"="NOGPS","GPS Antiguo","En línea")</f>
      </c>
      <c r="AD13">
        <f>IF(0=0,"Sin atender", IF(0=1,"Atendida","Atendida y Reportada"))</f>
      </c>
      <c r="AE13" t="str">
        <v/>
      </c>
      <c r="AF13" t="str">
        <v/>
      </c>
      <c r="AG13" t="str">
        <v/>
      </c>
      <c r="AH13" t="str">
        <v/>
      </c>
      <c r="AI13" t="str">
        <v>17/09/2026 08:03:26</v>
      </c>
      <c r="AJ13" t="str">
        <v>08:03:26</v>
      </c>
      <c r="AK13" t="str">
        <v/>
      </c>
    </row>
    <row r="14">
      <c r="A14">
        <v>13</v>
      </c>
      <c r="B14" t="str">
        <v>MASS BSF</v>
      </c>
      <c r="C14" t="str">
        <v>CKL-718</v>
      </c>
      <c r="D14" t="str">
        <v>CKL-718</v>
      </c>
      <c r="E14" t="str">
        <v>867162029820636</v>
      </c>
      <c r="F14" t="str">
        <v>TBD</v>
      </c>
      <c r="G14" t="str">
        <v/>
      </c>
      <c r="H14" t="str">
        <v/>
      </c>
      <c r="I14" t="str">
        <v>17/09/2026</v>
      </c>
      <c r="J14" t="str">
        <v>08:03:32</v>
      </c>
      <c r="K14">
        <v>-12.270152</v>
      </c>
      <c r="L14">
        <v>-76.89941</v>
      </c>
      <c r="M14">
        <f>HYPERLINK("https://www.google.com/maps/search/?api=1&amp;query=-12.270152,-76.89941","Carretera Panamericana Sur, Lurín, Lima")</f>
      </c>
      <c r="N14" t="str">
        <v>Excedió el límite de velocidad</v>
      </c>
      <c r="O14">
        <v>21440.5</v>
      </c>
      <c r="P14" t="str">
        <v/>
      </c>
      <c r="Q14">
        <v>84.2</v>
      </c>
      <c r="R14">
        <v>78.55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>
        <v>100</v>
      </c>
      <c r="AA14" t="str">
        <v>17/09/2026</v>
      </c>
      <c r="AB14" t="str">
        <v>08:03:31</v>
      </c>
      <c r="AC14">
        <f>IF("ONLINE"="NOGPS","GPS Antiguo","En línea")</f>
      </c>
      <c r="AD14">
        <f>IF(0=0,"Sin atender", IF(0=1,"Atendida","Atendida y Reportada"))</f>
      </c>
      <c r="AE14" t="str">
        <v/>
      </c>
      <c r="AF14" t="str">
        <v/>
      </c>
      <c r="AG14" t="str">
        <v/>
      </c>
      <c r="AH14" t="str">
        <v/>
      </c>
      <c r="AI14" t="str">
        <v>17/09/2026 08:03:55</v>
      </c>
      <c r="AJ14" t="str">
        <v>08:03:55</v>
      </c>
      <c r="AK14" t="str">
        <v/>
      </c>
    </row>
    <row r="15">
      <c r="A15">
        <v>14</v>
      </c>
      <c r="B15" t="str">
        <v>MASS BSF</v>
      </c>
      <c r="C15" t="str">
        <v>CKL-718</v>
      </c>
      <c r="D15" t="str">
        <v>CKL-718</v>
      </c>
      <c r="E15" t="str">
        <v>867162029820636</v>
      </c>
      <c r="F15" t="str">
        <v>TBD</v>
      </c>
      <c r="G15" t="str">
        <v/>
      </c>
      <c r="H15" t="str">
        <v/>
      </c>
      <c r="I15" t="str">
        <v>17/09/2026</v>
      </c>
      <c r="J15" t="str">
        <v>08:04:32</v>
      </c>
      <c r="K15">
        <v>-12.276306</v>
      </c>
      <c r="L15">
        <v>-76.88958</v>
      </c>
      <c r="M15">
        <f>HYPERLINK("https://www.google.com/maps/search/?api=1&amp;query=-12.276306,-76.88958","Carretera Panamericana Sur, Lurín, Lima")</f>
      </c>
      <c r="N15" t="str">
        <v>Excedió el límite de velocidad</v>
      </c>
      <c r="O15">
        <v>21441.8</v>
      </c>
      <c r="P15" t="str">
        <v/>
      </c>
      <c r="Q15">
        <v>81.9</v>
      </c>
      <c r="R15">
        <v>78.55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100</v>
      </c>
      <c r="AA15" t="str">
        <v>17/09/2026</v>
      </c>
      <c r="AB15" t="str">
        <v>08:04:31</v>
      </c>
      <c r="AC15">
        <f>IF("ONLINE"="NOGPS","GPS Antiguo","En línea")</f>
      </c>
      <c r="AD15">
        <f>IF(0=0,"Sin atender", IF(0=1,"Atendida","Atendida y Reportada"))</f>
      </c>
      <c r="AE15" t="str">
        <v/>
      </c>
      <c r="AF15" t="str">
        <v/>
      </c>
      <c r="AG15" t="str">
        <v/>
      </c>
      <c r="AH15" t="str">
        <v/>
      </c>
      <c r="AI15" t="str">
        <v>17/09/2026 08:04:43</v>
      </c>
      <c r="AJ15" t="str">
        <v>08:04:43</v>
      </c>
      <c r="AK15" t="str">
        <v/>
      </c>
    </row>
    <row r="16">
      <c r="A16">
        <v>15</v>
      </c>
      <c r="B16" t="str">
        <v>MASS BSF</v>
      </c>
      <c r="C16" t="str">
        <v>CKL-718</v>
      </c>
      <c r="D16" t="str">
        <v>CKL-718</v>
      </c>
      <c r="E16" t="str">
        <v>867162029820636</v>
      </c>
      <c r="F16" t="str">
        <v>TBD</v>
      </c>
      <c r="G16" t="str">
        <v/>
      </c>
      <c r="H16" t="str">
        <v/>
      </c>
      <c r="I16" t="str">
        <v>17/09/2026</v>
      </c>
      <c r="J16" t="str">
        <v>08:08:59</v>
      </c>
      <c r="K16">
        <v>-12.302948</v>
      </c>
      <c r="L16">
        <v>-76.842705</v>
      </c>
      <c r="M16">
        <f>HYPERLINK("https://www.google.com/maps/search/?api=1&amp;query=-12.302948,-76.842705","Carretera Panamericana Sur, Lurín, Lima")</f>
      </c>
      <c r="N16" t="str">
        <v>Excedió el límite de velocidad</v>
      </c>
      <c r="O16">
        <v>21447.7</v>
      </c>
      <c r="P16" t="str">
        <v/>
      </c>
      <c r="Q16">
        <v>85.1</v>
      </c>
      <c r="R16">
        <v>78.55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v>100</v>
      </c>
      <c r="AA16" t="str">
        <v>17/09/2026</v>
      </c>
      <c r="AB16" t="str">
        <v>08:08:58</v>
      </c>
      <c r="AC16">
        <f>IF("ONLINE"="NOGPS","GPS Antiguo","En línea")</f>
      </c>
      <c r="AD16">
        <f>IF(0=0,"Sin atender", IF(0=1,"Atendida","Atendida y Reportada"))</f>
      </c>
      <c r="AE16" t="str">
        <v/>
      </c>
      <c r="AF16" t="str">
        <v/>
      </c>
      <c r="AG16" t="str">
        <v/>
      </c>
      <c r="AH16" t="str">
        <v/>
      </c>
      <c r="AI16" t="str">
        <v>17/09/2026 08:09:07</v>
      </c>
      <c r="AJ16" t="str">
        <v>08:09:07</v>
      </c>
      <c r="AK16" t="str">
        <v/>
      </c>
    </row>
    <row r="17">
      <c r="A17">
        <v>16</v>
      </c>
      <c r="B17" t="str">
        <v>MASS BSF</v>
      </c>
      <c r="C17" t="str">
        <v>CKL-718</v>
      </c>
      <c r="D17" t="str">
        <v>CKL-718</v>
      </c>
      <c r="E17" t="str">
        <v>867162029820636</v>
      </c>
      <c r="F17" t="str">
        <v>TBD</v>
      </c>
      <c r="G17" t="str">
        <v/>
      </c>
      <c r="H17" t="str">
        <v/>
      </c>
      <c r="I17" t="str">
        <v>17/09/2026</v>
      </c>
      <c r="J17" t="str">
        <v>08:09:26</v>
      </c>
      <c r="K17">
        <v>-12.306343</v>
      </c>
      <c r="L17">
        <v>-76.8384</v>
      </c>
      <c r="M17">
        <f>HYPERLINK("https://www.google.com/maps/search/?api=1&amp;query=-12.306343,-76.8384","Carretera Panamericana Sur, Punta Hermosa, Lima")</f>
      </c>
      <c r="N17" t="str">
        <v>Excedió el límite de velocidad</v>
      </c>
      <c r="O17">
        <v>21448.3</v>
      </c>
      <c r="P17" t="str">
        <v/>
      </c>
      <c r="Q17">
        <v>90.6</v>
      </c>
      <c r="R17">
        <v>78.55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v>100</v>
      </c>
      <c r="AA17" t="str">
        <v>17/09/2026</v>
      </c>
      <c r="AB17" t="str">
        <v>08:09:25</v>
      </c>
      <c r="AC17">
        <f>IF("ONLINE"="NOGPS","GPS Antiguo","En línea")</f>
      </c>
      <c r="AD17">
        <f>IF(0=0,"Sin atender", IF(0=1,"Atendida","Atendida y Reportada"))</f>
      </c>
      <c r="AE17" t="str">
        <v/>
      </c>
      <c r="AF17" t="str">
        <v/>
      </c>
      <c r="AG17" t="str">
        <v/>
      </c>
      <c r="AH17" t="str">
        <v/>
      </c>
      <c r="AI17" t="str">
        <v>17/09/2026 08:09:42</v>
      </c>
      <c r="AJ17" t="str">
        <v>08:09:42</v>
      </c>
      <c r="AK17" t="str">
        <v/>
      </c>
    </row>
    <row r="18">
      <c r="A18">
        <v>17</v>
      </c>
      <c r="B18" t="str">
        <v>MASS BSF</v>
      </c>
      <c r="C18" t="str">
        <v>CKL-718</v>
      </c>
      <c r="D18" t="str">
        <v>CKL-718</v>
      </c>
      <c r="E18" t="str">
        <v>867162029820636</v>
      </c>
      <c r="F18" t="str">
        <v>TBD</v>
      </c>
      <c r="G18" t="str">
        <v/>
      </c>
      <c r="H18" t="str">
        <v/>
      </c>
      <c r="I18" t="str">
        <v>17/09/2026</v>
      </c>
      <c r="J18" t="str">
        <v>08:09:53</v>
      </c>
      <c r="K18">
        <v>-12.311014</v>
      </c>
      <c r="L18">
        <v>-76.83498</v>
      </c>
      <c r="M18">
        <f>HYPERLINK("https://www.google.com/maps/search/?api=1&amp;query=-12.311014,-76.83498","Carretera Panamericana Sur, Punta Hermosa, Lima")</f>
      </c>
      <c r="N18" t="str">
        <v>Exceso de velocidad en segmento vial</v>
      </c>
      <c r="O18">
        <v>21449</v>
      </c>
      <c r="P18" t="str">
        <v/>
      </c>
      <c r="Q18">
        <v>97.7</v>
      </c>
      <c r="R18">
        <v>78.55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v>100</v>
      </c>
      <c r="AA18" t="str">
        <v>17/09/2026</v>
      </c>
      <c r="AB18" t="str">
        <v>08:09:49</v>
      </c>
      <c r="AC18">
        <f>IF("ONLINE"="NOGPS","GPS Antiguo","En línea")</f>
      </c>
      <c r="AD18">
        <f>IF(0=0,"Sin atender", IF(0=1,"Atendida","Atendida y Reportada"))</f>
      </c>
      <c r="AE18" t="str">
        <v/>
      </c>
      <c r="AF18" t="str">
        <v/>
      </c>
      <c r="AG18" t="str">
        <v/>
      </c>
      <c r="AH18" t="str">
        <v/>
      </c>
      <c r="AI18" t="str">
        <v>17/09/2026 08:10:08</v>
      </c>
      <c r="AJ18" t="str">
        <v>08:10:08</v>
      </c>
      <c r="AK18" t="str">
        <v/>
      </c>
    </row>
    <row r="19">
      <c r="A19">
        <v>18</v>
      </c>
      <c r="B19" t="str">
        <v>MASS BSF</v>
      </c>
      <c r="C19" t="str">
        <v>CKL-718</v>
      </c>
      <c r="D19" t="str">
        <v>CKL-718</v>
      </c>
      <c r="E19" t="str">
        <v>867162029820636</v>
      </c>
      <c r="F19" t="str">
        <v>TBD</v>
      </c>
      <c r="G19" t="str">
        <v/>
      </c>
      <c r="H19" t="str">
        <v/>
      </c>
      <c r="I19" t="str">
        <v>17/09/2026</v>
      </c>
      <c r="J19" t="str">
        <v>08:10:29</v>
      </c>
      <c r="K19">
        <v>-12.317998</v>
      </c>
      <c r="L19">
        <v>-76.83026</v>
      </c>
      <c r="M19">
        <f>HYPERLINK("https://www.google.com/maps/search/?api=1&amp;query=-12.317998,-76.83026","Carretera Panamericana Sur, Punta Hermosa, Lima")</f>
      </c>
      <c r="N19" t="str">
        <v>Excedió el límite de velocidad</v>
      </c>
      <c r="O19">
        <v>21449.9</v>
      </c>
      <c r="P19" t="str">
        <v/>
      </c>
      <c r="Q19">
        <v>86.6</v>
      </c>
      <c r="R19">
        <v>78.55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v>100</v>
      </c>
      <c r="AA19" t="str">
        <v>17/09/2026</v>
      </c>
      <c r="AB19" t="str">
        <v>08:10:28</v>
      </c>
      <c r="AC19">
        <f>IF("ONLINE"="NOGPS","GPS Antiguo","En línea")</f>
      </c>
      <c r="AD19">
        <f>IF(0=0,"Sin atender", IF(0=1,"Atendida","Atendida y Reportada"))</f>
      </c>
      <c r="AE19" t="str">
        <v/>
      </c>
      <c r="AF19" t="str">
        <v/>
      </c>
      <c r="AG19" t="str">
        <v/>
      </c>
      <c r="AH19" t="str">
        <v/>
      </c>
      <c r="AI19" t="str">
        <v>17/09/2026 08:10:43</v>
      </c>
      <c r="AJ19" t="str">
        <v>08:10:43</v>
      </c>
      <c r="AK19" t="str">
        <v/>
      </c>
    </row>
    <row r="20">
      <c r="A20">
        <v>19</v>
      </c>
      <c r="B20" t="str">
        <v>MASS BSF</v>
      </c>
      <c r="C20" t="str">
        <v>CKL-718</v>
      </c>
      <c r="D20" t="str">
        <v>CKL-718</v>
      </c>
      <c r="E20" t="str">
        <v>867162029820636</v>
      </c>
      <c r="F20" t="str">
        <v>TBD</v>
      </c>
      <c r="G20" t="str">
        <v/>
      </c>
      <c r="H20" t="str">
        <v/>
      </c>
      <c r="I20" t="str">
        <v>17/09/2026</v>
      </c>
      <c r="J20" t="str">
        <v>08:10:53</v>
      </c>
      <c r="K20">
        <v>-12.322186</v>
      </c>
      <c r="L20">
        <v>-76.8275</v>
      </c>
      <c r="M20">
        <f>HYPERLINK("https://www.google.com/maps/search/?api=1&amp;query=-12.322186,-76.8275","Carretera Panamericana Sur, Punta Hermosa, Lima")</f>
      </c>
      <c r="N20" t="str">
        <v>Exceso de velocidad en segmento vial</v>
      </c>
      <c r="O20">
        <v>21450.5</v>
      </c>
      <c r="P20" t="str">
        <v/>
      </c>
      <c r="Q20">
        <v>98.1</v>
      </c>
      <c r="R20">
        <v>78.55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v>100</v>
      </c>
      <c r="AA20" t="str">
        <v>17/09/2026</v>
      </c>
      <c r="AB20" t="str">
        <v>08:10:49</v>
      </c>
      <c r="AC20">
        <f>IF("ONLINE"="NOGPS","GPS Antiguo","En línea")</f>
      </c>
      <c r="AD20">
        <f>IF(0=0,"Sin atender", IF(0=1,"Atendida","Atendida y Reportada"))</f>
      </c>
      <c r="AE20" t="str">
        <v/>
      </c>
      <c r="AF20" t="str">
        <v/>
      </c>
      <c r="AG20" t="str">
        <v/>
      </c>
      <c r="AH20" t="str">
        <v/>
      </c>
      <c r="AI20" t="str">
        <v>17/09/2026 08:11:12</v>
      </c>
      <c r="AJ20" t="str">
        <v>08:11:12</v>
      </c>
      <c r="AK20" t="str">
        <v/>
      </c>
    </row>
    <row r="21">
      <c r="A21">
        <v>20</v>
      </c>
      <c r="B21" t="str">
        <v>MASS BSF</v>
      </c>
      <c r="C21" t="str">
        <v>CKL-718</v>
      </c>
      <c r="D21" t="str">
        <v>CKL-718</v>
      </c>
      <c r="E21" t="str">
        <v>867162029820636</v>
      </c>
      <c r="F21" t="str">
        <v>TBD</v>
      </c>
      <c r="G21" t="str">
        <v/>
      </c>
      <c r="H21" t="str">
        <v/>
      </c>
      <c r="I21" t="str">
        <v>17/09/2026</v>
      </c>
      <c r="J21" t="str">
        <v>08:15:02</v>
      </c>
      <c r="K21">
        <v>-12.326742</v>
      </c>
      <c r="L21">
        <v>-76.82433</v>
      </c>
      <c r="M21">
        <f>HYPERLINK("https://www.google.com/maps/search/?api=1&amp;query=-12.326742,-76.82433","Carretera Panamericana Sur, Punta Hermosa, Lima")</f>
      </c>
      <c r="N21" t="str">
        <v>Excedió el límite de velocidad</v>
      </c>
      <c r="O21">
        <v>21453.5</v>
      </c>
      <c r="P21" t="str">
        <v/>
      </c>
      <c r="Q21">
        <v>90.2</v>
      </c>
      <c r="R21">
        <v>78.55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v>100</v>
      </c>
      <c r="AA21" t="str">
        <v>17/09/2026</v>
      </c>
      <c r="AB21" t="str">
        <v>08:15:01</v>
      </c>
      <c r="AC21">
        <f>IF("ONLINE"="NOGPS","GPS Antiguo","En línea")</f>
      </c>
      <c r="AD21">
        <f>IF(0=0,"Sin atender", IF(0=1,"Atendida","Atendida y Reportada"))</f>
      </c>
      <c r="AE21" t="str">
        <v/>
      </c>
      <c r="AF21" t="str">
        <v/>
      </c>
      <c r="AG21" t="str">
        <v/>
      </c>
      <c r="AH21" t="str">
        <v/>
      </c>
      <c r="AI21" t="str">
        <v>17/09/2026 08:15:14</v>
      </c>
      <c r="AJ21" t="str">
        <v>08:15:14</v>
      </c>
      <c r="AK21" t="str">
        <v/>
      </c>
    </row>
    <row r="22">
      <c r="A22">
        <v>21</v>
      </c>
      <c r="B22" t="str">
        <v>MASS BSF</v>
      </c>
      <c r="C22" t="str">
        <v>CKL-718</v>
      </c>
      <c r="D22" t="str">
        <v>CKL-718</v>
      </c>
      <c r="E22" t="str">
        <v>867162029820636</v>
      </c>
      <c r="F22" t="str">
        <v>TBD</v>
      </c>
      <c r="G22" t="str">
        <v/>
      </c>
      <c r="H22" t="str">
        <v/>
      </c>
      <c r="I22" t="str">
        <v>17/09/2026</v>
      </c>
      <c r="J22" t="str">
        <v>08:23:33</v>
      </c>
      <c r="K22">
        <v>-12.317345</v>
      </c>
      <c r="L22">
        <v>-76.82286</v>
      </c>
      <c r="M22">
        <f>HYPERLINK("https://www.google.com/maps/search/?api=1&amp;query=-12.317345,-76.82286","Punta Hermosa, Lima")</f>
      </c>
      <c r="N22" t="str">
        <v>Vehículo apagado</v>
      </c>
      <c r="O22">
        <v>21455.9</v>
      </c>
      <c r="P22" t="str">
        <v/>
      </c>
      <c r="Q22">
        <v>4.3</v>
      </c>
      <c r="R22">
        <v>79.4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v>100</v>
      </c>
      <c r="AA22" t="str">
        <v>17/09/2026</v>
      </c>
      <c r="AB22" t="str">
        <v>08:23:13</v>
      </c>
      <c r="AC22">
        <f>IF("ONLINE"="NOGPS","GPS Antiguo","En línea")</f>
      </c>
      <c r="AD22">
        <f>IF(0=0,"Sin atender", IF(0=1,"Atendida","Atendida y Reportada"))</f>
      </c>
      <c r="AE22" t="str">
        <v/>
      </c>
      <c r="AF22" t="str">
        <v/>
      </c>
      <c r="AG22" t="str">
        <v/>
      </c>
      <c r="AH22" t="str">
        <v/>
      </c>
      <c r="AI22" t="str">
        <v>17/09/2026 08:23:43</v>
      </c>
      <c r="AJ22" t="str">
        <v>08:23:43</v>
      </c>
      <c r="AK22" t="str">
        <v/>
      </c>
    </row>
    <row r="23">
      <c r="A23">
        <v>22</v>
      </c>
      <c r="B23" t="str">
        <v>MASS BSF</v>
      </c>
      <c r="C23" t="str">
        <v>CKL-718</v>
      </c>
      <c r="D23" t="str">
        <v>CKL-718</v>
      </c>
      <c r="E23" t="str">
        <v>867162029820636</v>
      </c>
      <c r="F23" t="str">
        <v>TBD</v>
      </c>
      <c r="G23" t="str">
        <v/>
      </c>
      <c r="H23" t="str">
        <v/>
      </c>
      <c r="I23" t="str">
        <v>17/09/2026</v>
      </c>
      <c r="J23" t="str">
        <v>08:31:56</v>
      </c>
      <c r="K23">
        <v>-12.317357</v>
      </c>
      <c r="L23">
        <v>-76.82289</v>
      </c>
      <c r="M23">
        <f>HYPERLINK("https://www.google.com/maps/search/?api=1&amp;query=-12.317357,-76.82289","Punta Hermosa, Lima")</f>
      </c>
      <c r="N23" t="str">
        <v>Vehículo encendido</v>
      </c>
      <c r="O23">
        <v>21455.9</v>
      </c>
      <c r="P23" t="str">
        <v/>
      </c>
      <c r="Q23">
        <v>0</v>
      </c>
      <c r="R23">
        <v>79.4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v>100</v>
      </c>
      <c r="AA23" t="str">
        <v>17/09/2026</v>
      </c>
      <c r="AB23" t="str">
        <v>08:23:36</v>
      </c>
      <c r="AC23">
        <f>IF("NOGPS"="NOGPS","GPS Antiguo","En línea")</f>
      </c>
      <c r="AD23">
        <f>IF(0=0,"Sin atender", IF(0=1,"Atendida","Atendida y Reportada"))</f>
      </c>
      <c r="AE23" t="str">
        <v/>
      </c>
      <c r="AF23" t="str">
        <v/>
      </c>
      <c r="AG23" t="str">
        <v/>
      </c>
      <c r="AH23" t="str">
        <v/>
      </c>
      <c r="AI23" t="str">
        <v>17/09/2026 08:32:19</v>
      </c>
      <c r="AJ23" t="str">
        <v>08:32:19</v>
      </c>
      <c r="AK23" t="str">
        <v/>
      </c>
    </row>
    <row r="24">
      <c r="A24">
        <v>23</v>
      </c>
      <c r="B24" t="str">
        <v>MASS BSF</v>
      </c>
      <c r="C24" t="str">
        <v>CKL-718</v>
      </c>
      <c r="D24" t="str">
        <v>CKL-718</v>
      </c>
      <c r="E24" t="str">
        <v>867162029820636</v>
      </c>
      <c r="F24" t="str">
        <v>TBD</v>
      </c>
      <c r="G24" t="str">
        <v/>
      </c>
      <c r="H24" t="str">
        <v/>
      </c>
      <c r="I24" t="str">
        <v>17/09/2026</v>
      </c>
      <c r="J24" t="str">
        <v>08:35:41</v>
      </c>
      <c r="K24">
        <v>-12.31807</v>
      </c>
      <c r="L24">
        <v>-76.82419</v>
      </c>
      <c r="M24">
        <f>HYPERLINK("https://www.google.com/maps/search/?api=1&amp;query=-12.31807,-76.82419","Punta Hermosa, Lima")</f>
      </c>
      <c r="N24" t="str">
        <v>Vehículo apagado</v>
      </c>
      <c r="O24">
        <v>21456.2</v>
      </c>
      <c r="P24" t="str">
        <v/>
      </c>
      <c r="Q24">
        <v>11</v>
      </c>
      <c r="R24">
        <v>79.47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100</v>
      </c>
      <c r="AA24" t="str">
        <v>17/09/2026</v>
      </c>
      <c r="AB24" t="str">
        <v>08:34:54</v>
      </c>
      <c r="AC24">
        <f>IF("ONLINE"="NOGPS","GPS Antiguo","En línea")</f>
      </c>
      <c r="AD24">
        <f>IF(0=0,"Sin atender", IF(0=1,"Atendida","Atendida y Reportada"))</f>
      </c>
      <c r="AE24" t="str">
        <v/>
      </c>
      <c r="AF24" t="str">
        <v/>
      </c>
      <c r="AG24" t="str">
        <v/>
      </c>
      <c r="AH24" t="str">
        <v/>
      </c>
      <c r="AI24" t="str">
        <v>17/09/2026 08:36:01</v>
      </c>
      <c r="AJ24" t="str">
        <v>08:36:01</v>
      </c>
      <c r="AK24" t="str">
        <v/>
      </c>
    </row>
    <row r="25">
      <c r="A25">
        <v>24</v>
      </c>
      <c r="B25" t="str">
        <v>MASS BSF</v>
      </c>
      <c r="C25" t="str">
        <v>CKL-718</v>
      </c>
      <c r="D25" t="str">
        <v>CKL-718</v>
      </c>
      <c r="E25" t="str">
        <v>867162029820636</v>
      </c>
      <c r="F25" t="str">
        <v>TBD</v>
      </c>
      <c r="G25" t="str">
        <v/>
      </c>
      <c r="H25" t="str">
        <v/>
      </c>
      <c r="I25" t="str">
        <v>17/09/2026</v>
      </c>
      <c r="J25" t="str">
        <v>08:38:59</v>
      </c>
      <c r="K25">
        <v>-12.317935</v>
      </c>
      <c r="L25">
        <v>-76.824326</v>
      </c>
      <c r="M25">
        <f>HYPERLINK("https://www.google.com/maps/search/?api=1&amp;query=-12.317935,-76.824326","Punta Hermosa, Lima")</f>
      </c>
      <c r="N25" t="str">
        <v>Vehículo encendido</v>
      </c>
      <c r="O25">
        <v>21456.2</v>
      </c>
      <c r="P25" t="str">
        <v/>
      </c>
      <c r="Q25">
        <v>0</v>
      </c>
      <c r="R25">
        <v>79.47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v>100</v>
      </c>
      <c r="AA25" t="str">
        <v>17/09/2026</v>
      </c>
      <c r="AB25" t="str">
        <v>08:35:44</v>
      </c>
      <c r="AC25">
        <f>IF("ONLINE"="NOGPS","GPS Antiguo","En línea")</f>
      </c>
      <c r="AD25">
        <f>IF(0=0,"Sin atender", IF(0=1,"Atendida","Atendida y Reportada"))</f>
      </c>
      <c r="AE25" t="str">
        <v/>
      </c>
      <c r="AF25" t="str">
        <v/>
      </c>
      <c r="AG25" t="str">
        <v/>
      </c>
      <c r="AH25" t="str">
        <v/>
      </c>
      <c r="AI25" t="str">
        <v>17/09/2026 08:39:15</v>
      </c>
      <c r="AJ25" t="str">
        <v>08:39:15</v>
      </c>
      <c r="AK25" t="str">
        <v/>
      </c>
    </row>
    <row r="26">
      <c r="A26">
        <v>25</v>
      </c>
      <c r="B26" t="str">
        <v>MASS BSF</v>
      </c>
      <c r="C26" t="str">
        <v>CKL-718</v>
      </c>
      <c r="D26" t="str">
        <v>CKL-718</v>
      </c>
      <c r="E26" t="str">
        <v>867162029820636</v>
      </c>
      <c r="F26" t="str">
        <v>TBD</v>
      </c>
      <c r="G26" t="str">
        <v/>
      </c>
      <c r="H26" t="str">
        <v/>
      </c>
      <c r="I26" t="str">
        <v>17/09/2026</v>
      </c>
      <c r="J26" t="str">
        <v>08:41:34</v>
      </c>
      <c r="K26">
        <v>-12.317888</v>
      </c>
      <c r="L26">
        <v>-76.82422</v>
      </c>
      <c r="M26">
        <f>HYPERLINK("https://www.google.com/maps/search/?api=1&amp;query=-12.317888,-76.82422","Punta Hermosa, Lima")</f>
      </c>
      <c r="N26" t="str">
        <v>Vehículo apagado</v>
      </c>
      <c r="O26">
        <v>21456.2</v>
      </c>
      <c r="P26" t="str">
        <v/>
      </c>
      <c r="Q26">
        <v>0</v>
      </c>
      <c r="R26">
        <v>79.52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v>100</v>
      </c>
      <c r="AA26" t="str">
        <v>17/09/2026</v>
      </c>
      <c r="AB26" t="str">
        <v>08:41:32</v>
      </c>
      <c r="AC26">
        <f>IF("ONLINE"="NOGPS","GPS Antiguo","En línea")</f>
      </c>
      <c r="AD26">
        <f>IF(0=0,"Sin atender", IF(0=1,"Atendida","Atendida y Reportada"))</f>
      </c>
      <c r="AE26" t="str">
        <v/>
      </c>
      <c r="AF26" t="str">
        <v/>
      </c>
      <c r="AG26" t="str">
        <v/>
      </c>
      <c r="AH26" t="str">
        <v/>
      </c>
      <c r="AI26" t="str">
        <v>17/09/2026 08:46:15</v>
      </c>
      <c r="AJ26" t="str">
        <v>08:46:15</v>
      </c>
      <c r="AK26" t="str">
        <v/>
      </c>
    </row>
    <row r="27">
      <c r="A27">
        <v>26</v>
      </c>
      <c r="B27" t="str">
        <v>MASS BSF</v>
      </c>
      <c r="C27" t="str">
        <v>CKL-718</v>
      </c>
      <c r="D27" t="str">
        <v>CKL-718</v>
      </c>
      <c r="E27" t="str">
        <v>867162029820636</v>
      </c>
      <c r="F27" t="str">
        <v>TBD</v>
      </c>
      <c r="G27" t="str">
        <v/>
      </c>
      <c r="H27" t="str">
        <v/>
      </c>
      <c r="I27" t="str">
        <v>17/09/2026</v>
      </c>
      <c r="J27" t="str">
        <v>09:26:49</v>
      </c>
      <c r="K27">
        <v>-12.317888</v>
      </c>
      <c r="L27">
        <v>-76.82422</v>
      </c>
      <c r="M27">
        <f>HYPERLINK("https://www.google.com/maps/search/?api=1&amp;query=-12.317888,-76.82422","Punta Hermosa, Lima")</f>
      </c>
      <c r="N27" t="str">
        <v>Vehículo encendido</v>
      </c>
      <c r="O27">
        <v>21456.2</v>
      </c>
      <c r="P27" t="str">
        <v/>
      </c>
      <c r="Q27">
        <v>0</v>
      </c>
      <c r="R27">
        <v>79.52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v>100</v>
      </c>
      <c r="AA27" t="str">
        <v>17/09/2026</v>
      </c>
      <c r="AB27" t="str">
        <v>09:09:07</v>
      </c>
      <c r="AC27">
        <f>IF("NOGPS"="NOGPS","GPS Antiguo","En línea")</f>
      </c>
      <c r="AD27">
        <f>IF(0=0,"Sin atender", IF(0=1,"Atendida","Atendida y Reportada"))</f>
      </c>
      <c r="AE27" t="str">
        <v/>
      </c>
      <c r="AF27" t="str">
        <v/>
      </c>
      <c r="AG27" t="str">
        <v/>
      </c>
      <c r="AH27" t="str">
        <v/>
      </c>
      <c r="AI27" t="str">
        <v>17/09/2026 09:27:08</v>
      </c>
      <c r="AJ27" t="str">
        <v>09:27:08</v>
      </c>
      <c r="AK27" t="str">
        <v/>
      </c>
    </row>
    <row r="28">
      <c r="A28">
        <v>27</v>
      </c>
      <c r="B28" t="str">
        <v>MASS BSF</v>
      </c>
      <c r="C28" t="str">
        <v>CKL-718</v>
      </c>
      <c r="D28" t="str">
        <v>CKL-718</v>
      </c>
      <c r="E28" t="str">
        <v>867162029820636</v>
      </c>
      <c r="F28" t="str">
        <v>TBD</v>
      </c>
      <c r="G28" t="str">
        <v/>
      </c>
      <c r="H28" t="str">
        <v/>
      </c>
      <c r="I28" t="str">
        <v>17/09/2026</v>
      </c>
      <c r="J28" t="str">
        <v>09:40:44</v>
      </c>
      <c r="K28">
        <v>-12.305271</v>
      </c>
      <c r="L28">
        <v>-76.839294</v>
      </c>
      <c r="M28">
        <f>HYPERLINK("https://www.google.com/maps/search/?api=1&amp;query=-12.305271,-76.839294","Carretera Panamericana Sur, Lurín, Lima")</f>
      </c>
      <c r="N28" t="str">
        <v>Excedió el límite de velocidad</v>
      </c>
      <c r="O28">
        <v>21458.8</v>
      </c>
      <c r="P28" t="str">
        <v/>
      </c>
      <c r="Q28">
        <v>80.5</v>
      </c>
      <c r="R28">
        <v>79.52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v>100</v>
      </c>
      <c r="AA28" t="str">
        <v>17/09/2026</v>
      </c>
      <c r="AB28" t="str">
        <v>09:40:43</v>
      </c>
      <c r="AC28">
        <f>IF("ONLINE"="NOGPS","GPS Antiguo","En línea")</f>
      </c>
      <c r="AD28">
        <f>IF(0=0,"Sin atender", IF(0=1,"Atendida","Atendida y Reportada"))</f>
      </c>
      <c r="AE28" t="str">
        <v/>
      </c>
      <c r="AF28" t="str">
        <v/>
      </c>
      <c r="AG28" t="str">
        <v/>
      </c>
      <c r="AH28" t="str">
        <v/>
      </c>
      <c r="AI28" t="str">
        <v>17/09/2026 09:41:01</v>
      </c>
      <c r="AJ28" t="str">
        <v>09:41:01</v>
      </c>
      <c r="AK28" t="str">
        <v/>
      </c>
    </row>
    <row r="29">
      <c r="A29">
        <v>28</v>
      </c>
      <c r="B29" t="str">
        <v>MASS BSF</v>
      </c>
      <c r="C29" t="str">
        <v>CKL-718</v>
      </c>
      <c r="D29" t="str">
        <v>CKL-718</v>
      </c>
      <c r="E29" t="str">
        <v>867162029820636</v>
      </c>
      <c r="F29" t="str">
        <v>TBD</v>
      </c>
      <c r="G29" t="str">
        <v/>
      </c>
      <c r="H29" t="str">
        <v/>
      </c>
      <c r="I29" t="str">
        <v>17/09/2026</v>
      </c>
      <c r="J29" t="str">
        <v>09:42:17</v>
      </c>
      <c r="K29">
        <v>-12.297602</v>
      </c>
      <c r="L29">
        <v>-76.854355</v>
      </c>
      <c r="M29">
        <f>HYPERLINK("https://www.google.com/maps/search/?api=1&amp;query=-12.297602,-76.854355","Carretera Panamericana Sur, Lurín, Lima")</f>
      </c>
      <c r="N29" t="str">
        <v>Excedió el límite de velocidad</v>
      </c>
      <c r="O29">
        <v>21460.6</v>
      </c>
      <c r="P29" t="str">
        <v/>
      </c>
      <c r="Q29">
        <v>85.3</v>
      </c>
      <c r="R29">
        <v>79.52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100</v>
      </c>
      <c r="AA29" t="str">
        <v>17/09/2026</v>
      </c>
      <c r="AB29" t="str">
        <v>09:42:16</v>
      </c>
      <c r="AC29">
        <f>IF("ONLINE"="NOGPS","GPS Antiguo","En línea")</f>
      </c>
      <c r="AD29">
        <f>IF(0=0,"Sin atender", IF(0=1,"Atendida","Atendida y Reportada"))</f>
      </c>
      <c r="AE29" t="str">
        <v/>
      </c>
      <c r="AF29" t="str">
        <v/>
      </c>
      <c r="AG29" t="str">
        <v/>
      </c>
      <c r="AH29" t="str">
        <v/>
      </c>
      <c r="AI29" t="str">
        <v>17/09/2026 09:42:29</v>
      </c>
      <c r="AJ29" t="str">
        <v>09:42:29</v>
      </c>
      <c r="AK29" t="str">
        <v/>
      </c>
    </row>
    <row r="30">
      <c r="A30">
        <v>29</v>
      </c>
      <c r="B30" t="str">
        <v>MASS BSF</v>
      </c>
      <c r="C30" t="str">
        <v>CKL-718</v>
      </c>
      <c r="D30" t="str">
        <v>CKL-718</v>
      </c>
      <c r="E30" t="str">
        <v>867162029820636</v>
      </c>
      <c r="F30" t="str">
        <v>TBD</v>
      </c>
      <c r="G30" t="str">
        <v/>
      </c>
      <c r="H30" t="str">
        <v/>
      </c>
      <c r="I30" t="str">
        <v>17/09/2026</v>
      </c>
      <c r="J30" t="str">
        <v>09:43:32</v>
      </c>
      <c r="K30">
        <v>-12.289826</v>
      </c>
      <c r="L30">
        <v>-76.86782</v>
      </c>
      <c r="M30">
        <f>HYPERLINK("https://www.google.com/maps/search/?api=1&amp;query=-12.289826,-76.86782","Carretera Panamericana Sur, Lurín, Lima")</f>
      </c>
      <c r="N30" t="str">
        <v>Excedió el límite de velocidad</v>
      </c>
      <c r="O30">
        <v>21462.3</v>
      </c>
      <c r="P30" t="str">
        <v/>
      </c>
      <c r="Q30">
        <v>84.4</v>
      </c>
      <c r="R30">
        <v>79.52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v>100</v>
      </c>
      <c r="AA30" t="str">
        <v>17/09/2026</v>
      </c>
      <c r="AB30" t="str">
        <v>09:43:31</v>
      </c>
      <c r="AC30">
        <f>IF("ONLINE"="NOGPS","GPS Antiguo","En línea")</f>
      </c>
      <c r="AD30">
        <f>IF(0=0,"Sin atender", IF(0=1,"Atendida","Atendida y Reportada"))</f>
      </c>
      <c r="AE30" t="str">
        <v/>
      </c>
      <c r="AF30" t="str">
        <v/>
      </c>
      <c r="AG30" t="str">
        <v/>
      </c>
      <c r="AH30" t="str">
        <v/>
      </c>
      <c r="AI30" t="str">
        <v>17/09/2026 09:44:08</v>
      </c>
      <c r="AJ30" t="str">
        <v>09:44:08</v>
      </c>
      <c r="AK30" t="str">
        <v/>
      </c>
    </row>
    <row r="31">
      <c r="A31">
        <v>30</v>
      </c>
      <c r="B31" t="str">
        <v>MASS BSF</v>
      </c>
      <c r="C31" t="str">
        <v>CKL-718</v>
      </c>
      <c r="D31" t="str">
        <v>CKL-718</v>
      </c>
      <c r="E31" t="str">
        <v>867162029820636</v>
      </c>
      <c r="F31" t="str">
        <v>TBD</v>
      </c>
      <c r="G31" t="str">
        <v/>
      </c>
      <c r="H31" t="str">
        <v/>
      </c>
      <c r="I31" t="str">
        <v>17/09/2026</v>
      </c>
      <c r="J31" t="str">
        <v>09:44:50</v>
      </c>
      <c r="K31">
        <v>-12.281732</v>
      </c>
      <c r="L31">
        <v>-76.880745</v>
      </c>
      <c r="M31">
        <f>HYPERLINK("https://www.google.com/maps/search/?api=1&amp;query=-12.281732,-76.880745","Carretera Panamericana Sur, Lurín, Lima")</f>
      </c>
      <c r="N31" t="str">
        <v>Excedió el límite de velocidad</v>
      </c>
      <c r="O31">
        <v>21464</v>
      </c>
      <c r="P31" t="str">
        <v/>
      </c>
      <c r="Q31">
        <v>86.4</v>
      </c>
      <c r="R31">
        <v>79.52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v>100</v>
      </c>
      <c r="AA31" t="str">
        <v>17/09/2026</v>
      </c>
      <c r="AB31" t="str">
        <v>09:44:49</v>
      </c>
      <c r="AC31">
        <f>IF("ONLINE"="NOGPS","GPS Antiguo","En línea")</f>
      </c>
      <c r="AD31">
        <f>IF(0=0,"Sin atender", IF(0=1,"Atendida","Atendida y Reportada"))</f>
      </c>
      <c r="AE31" t="str">
        <v/>
      </c>
      <c r="AF31" t="str">
        <v/>
      </c>
      <c r="AG31" t="str">
        <v/>
      </c>
      <c r="AH31" t="str">
        <v/>
      </c>
      <c r="AI31" t="str">
        <v>17/09/2026 09:45:09</v>
      </c>
      <c r="AJ31" t="str">
        <v>09:45:09</v>
      </c>
      <c r="AK31" t="str">
        <v/>
      </c>
    </row>
    <row r="32">
      <c r="A32">
        <v>31</v>
      </c>
      <c r="B32" t="str">
        <v>MASS BSF</v>
      </c>
      <c r="C32" t="str">
        <v>CKL-718</v>
      </c>
      <c r="D32" t="str">
        <v>CKL-718</v>
      </c>
      <c r="E32" t="str">
        <v>867162029820636</v>
      </c>
      <c r="F32" t="str">
        <v>TBD</v>
      </c>
      <c r="G32" t="str">
        <v/>
      </c>
      <c r="H32" t="str">
        <v/>
      </c>
      <c r="I32" t="str">
        <v>17/09/2026</v>
      </c>
      <c r="J32" t="str">
        <v>09:47:50</v>
      </c>
      <c r="K32">
        <v>-12.26052</v>
      </c>
      <c r="L32">
        <v>-76.914536</v>
      </c>
      <c r="M32">
        <f>HYPERLINK("https://www.google.com/maps/search/?api=1&amp;query=-12.26052,-76.914536","Carretera Panamericana Sur, Lurín, Lima")</f>
      </c>
      <c r="N32" t="str">
        <v>Excedió el límite de velocidad</v>
      </c>
      <c r="O32">
        <v>21468.4</v>
      </c>
      <c r="P32" t="str">
        <v/>
      </c>
      <c r="Q32">
        <v>86.3</v>
      </c>
      <c r="R32">
        <v>79.52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v>100</v>
      </c>
      <c r="AA32" t="str">
        <v>17/09/2026</v>
      </c>
      <c r="AB32" t="str">
        <v>09:47:49</v>
      </c>
      <c r="AC32">
        <f>IF("ONLINE"="NOGPS","GPS Antiguo","En línea")</f>
      </c>
      <c r="AD32">
        <f>IF(0=0,"Sin atender", IF(0=1,"Atendida","Atendida y Reportada"))</f>
      </c>
      <c r="AE32" t="str">
        <v/>
      </c>
      <c r="AF32" t="str">
        <v/>
      </c>
      <c r="AG32" t="str">
        <v/>
      </c>
      <c r="AH32" t="str">
        <v/>
      </c>
      <c r="AI32" t="str">
        <v>17/09/2026 09:49:25</v>
      </c>
      <c r="AJ32" t="str">
        <v>09:49:25</v>
      </c>
      <c r="AK32" t="str">
        <v/>
      </c>
    </row>
    <row r="33">
      <c r="A33">
        <v>32</v>
      </c>
      <c r="B33" t="str">
        <v>MASS BSF</v>
      </c>
      <c r="C33" t="str">
        <v>CKL-718</v>
      </c>
      <c r="D33" t="str">
        <v>CKL-718</v>
      </c>
      <c r="E33" t="str">
        <v>867162029820636</v>
      </c>
      <c r="F33" t="str">
        <v>TBD</v>
      </c>
      <c r="G33" t="str">
        <v/>
      </c>
      <c r="H33" t="str">
        <v/>
      </c>
      <c r="I33" t="str">
        <v>17/09/2026</v>
      </c>
      <c r="J33" t="str">
        <v>09:48:56</v>
      </c>
      <c r="K33">
        <v>-12.254123</v>
      </c>
      <c r="L33">
        <v>-76.92504</v>
      </c>
      <c r="M33">
        <f>HYPERLINK("https://www.google.com/maps/search/?api=1&amp;query=-12.254123,-76.92504","Carretera Panamericana Sur, Lurín, Lima")</f>
      </c>
      <c r="N33" t="str">
        <v>Excedió el límite de velocidad</v>
      </c>
      <c r="O33">
        <v>21469.7</v>
      </c>
      <c r="P33" t="str">
        <v/>
      </c>
      <c r="Q33">
        <v>85.9</v>
      </c>
      <c r="R33">
        <v>79.52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v>100</v>
      </c>
      <c r="AA33" t="str">
        <v>17/09/2026</v>
      </c>
      <c r="AB33" t="str">
        <v>09:48:55</v>
      </c>
      <c r="AC33">
        <f>IF("ONLINE"="NOGPS","GPS Antiguo","En línea")</f>
      </c>
      <c r="AD33">
        <f>IF(0=0,"Sin atender", IF(0=1,"Atendida","Atendida y Reportada"))</f>
      </c>
      <c r="AE33" t="str">
        <v/>
      </c>
      <c r="AF33" t="str">
        <v/>
      </c>
      <c r="AG33" t="str">
        <v/>
      </c>
      <c r="AH33" t="str">
        <v/>
      </c>
      <c r="AI33" t="str">
        <v>17/09/2026 09:49:29</v>
      </c>
      <c r="AJ33" t="str">
        <v>09:49:29</v>
      </c>
      <c r="AK33" t="str">
        <v/>
      </c>
    </row>
    <row r="34">
      <c r="A34">
        <v>33</v>
      </c>
      <c r="B34" t="str">
        <v>MASS BSF</v>
      </c>
      <c r="C34" t="str">
        <v>CKL-718</v>
      </c>
      <c r="D34" t="str">
        <v>CKL-718</v>
      </c>
      <c r="E34" t="str">
        <v>867162029820636</v>
      </c>
      <c r="F34" t="str">
        <v>TBD</v>
      </c>
      <c r="G34" t="str">
        <v/>
      </c>
      <c r="H34" t="str">
        <v/>
      </c>
      <c r="I34" t="str">
        <v>17/09/2026</v>
      </c>
      <c r="J34" t="str">
        <v>09:50:20</v>
      </c>
      <c r="K34">
        <v>-12.244355</v>
      </c>
      <c r="L34">
        <v>-76.940186</v>
      </c>
      <c r="M34">
        <f>HYPERLINK("https://www.google.com/maps/search/?api=1&amp;query=-12.244355,-76.940186","Carretera Panamericana Sur, Villa El Salvador, Lima")</f>
      </c>
      <c r="N34" t="str">
        <v>Excedió el límite de velocidad</v>
      </c>
      <c r="O34">
        <v>21471.7</v>
      </c>
      <c r="P34" t="str">
        <v/>
      </c>
      <c r="Q34">
        <v>85.7</v>
      </c>
      <c r="R34">
        <v>79.52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v>100</v>
      </c>
      <c r="AA34" t="str">
        <v>17/09/2026</v>
      </c>
      <c r="AB34" t="str">
        <v>09:50:19</v>
      </c>
      <c r="AC34">
        <f>IF("ONLINE"="NOGPS","GPS Antiguo","En línea")</f>
      </c>
      <c r="AD34">
        <f>IF(0=0,"Sin atender", IF(0=1,"Atendida","Atendida y Reportada"))</f>
      </c>
      <c r="AE34" t="str">
        <v/>
      </c>
      <c r="AF34" t="str">
        <v/>
      </c>
      <c r="AG34" t="str">
        <v/>
      </c>
      <c r="AH34" t="str">
        <v/>
      </c>
      <c r="AI34" t="str">
        <v>17/09/2026 09:50:38</v>
      </c>
      <c r="AJ34" t="str">
        <v>09:50:38</v>
      </c>
      <c r="AK34" t="str">
        <v/>
      </c>
    </row>
    <row r="35">
      <c r="A35">
        <v>34</v>
      </c>
      <c r="B35" t="str">
        <v>MASS BSF</v>
      </c>
      <c r="C35" t="str">
        <v>CKL-718</v>
      </c>
      <c r="D35" t="str">
        <v>CKL-718</v>
      </c>
      <c r="E35" t="str">
        <v>867162029820636</v>
      </c>
      <c r="F35" t="str">
        <v>TBD</v>
      </c>
      <c r="G35" t="str">
        <v/>
      </c>
      <c r="H35" t="str">
        <v/>
      </c>
      <c r="I35" t="str">
        <v>17/09/2026</v>
      </c>
      <c r="J35" t="str">
        <v>09:51:02</v>
      </c>
      <c r="K35">
        <v>-12.240492</v>
      </c>
      <c r="L35">
        <v>-76.94763</v>
      </c>
      <c r="M35">
        <f>HYPERLINK("https://www.google.com/maps/search/?api=1&amp;query=-12.240492,-76.94763","Carretera Panamericana Sur, Villa El Salvador, Lima")</f>
      </c>
      <c r="N35" t="str">
        <v>Excedió el límite de velocidad</v>
      </c>
      <c r="O35">
        <v>21472.6</v>
      </c>
      <c r="P35" t="str">
        <v/>
      </c>
      <c r="Q35">
        <v>85.1</v>
      </c>
      <c r="R35">
        <v>79.52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v>100</v>
      </c>
      <c r="AA35" t="str">
        <v>17/09/2026</v>
      </c>
      <c r="AB35" t="str">
        <v>09:51:01</v>
      </c>
      <c r="AC35">
        <f>IF("ONLINE"="NOGPS","GPS Antiguo","En línea")</f>
      </c>
      <c r="AD35">
        <f>IF(0=0,"Sin atender", IF(0=1,"Atendida","Atendida y Reportada"))</f>
      </c>
      <c r="AE35" t="str">
        <v/>
      </c>
      <c r="AF35" t="str">
        <v/>
      </c>
      <c r="AG35" t="str">
        <v/>
      </c>
      <c r="AH35" t="str">
        <v/>
      </c>
      <c r="AI35" t="str">
        <v>17/09/2026 09:51:19</v>
      </c>
      <c r="AJ35" t="str">
        <v>09:51:19</v>
      </c>
      <c r="AK35" t="str">
        <v/>
      </c>
    </row>
    <row r="36">
      <c r="A36">
        <v>35</v>
      </c>
      <c r="B36" t="str">
        <v>MASS BSF</v>
      </c>
      <c r="C36" t="str">
        <v>CKL-718</v>
      </c>
      <c r="D36" t="str">
        <v>CKL-718</v>
      </c>
      <c r="E36" t="str">
        <v>867162029820636</v>
      </c>
      <c r="F36" t="str">
        <v>TBD</v>
      </c>
      <c r="G36" t="str">
        <v/>
      </c>
      <c r="H36" t="str">
        <v/>
      </c>
      <c r="I36" t="str">
        <v>17/09/2026</v>
      </c>
      <c r="J36" t="str">
        <v>09:52:17</v>
      </c>
      <c r="K36">
        <v>-12.234213</v>
      </c>
      <c r="L36">
        <v>-76.959755</v>
      </c>
      <c r="M36">
        <f>HYPERLINK("https://www.google.com/maps/search/?api=1&amp;query=-12.234213,-76.959755","Carretera Panamericana Sur, Villa El Salvador, Lima")</f>
      </c>
      <c r="N36" t="str">
        <v>Excedió el límite de velocidad</v>
      </c>
      <c r="O36">
        <v>21474.1</v>
      </c>
      <c r="P36" t="str">
        <v/>
      </c>
      <c r="Q36">
        <v>83.8</v>
      </c>
      <c r="R36">
        <v>79.52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v>100</v>
      </c>
      <c r="AA36" t="str">
        <v>17/09/2026</v>
      </c>
      <c r="AB36" t="str">
        <v>09:52:16</v>
      </c>
      <c r="AC36">
        <f>IF("ONLINE"="NOGPS","GPS Antiguo","En línea")</f>
      </c>
      <c r="AD36">
        <f>IF(0=0,"Sin atender", IF(0=1,"Atendida","Atendida y Reportada"))</f>
      </c>
      <c r="AE36" t="str">
        <v/>
      </c>
      <c r="AF36" t="str">
        <v/>
      </c>
      <c r="AG36" t="str">
        <v/>
      </c>
      <c r="AH36" t="str">
        <v/>
      </c>
      <c r="AI36" t="str">
        <v>17/09/2026 09:52:31</v>
      </c>
      <c r="AJ36" t="str">
        <v>09:52:31</v>
      </c>
      <c r="AK36" t="str">
        <v/>
      </c>
    </row>
    <row r="37">
      <c r="A37">
        <v>36</v>
      </c>
      <c r="B37" t="str">
        <v>MASS BSF</v>
      </c>
      <c r="C37" t="str">
        <v>CKL-718</v>
      </c>
      <c r="D37" t="str">
        <v>CKL-718</v>
      </c>
      <c r="E37" t="str">
        <v>867162029820636</v>
      </c>
      <c r="F37" t="str">
        <v>TBD</v>
      </c>
      <c r="G37" t="str">
        <v/>
      </c>
      <c r="H37" t="str">
        <v/>
      </c>
      <c r="I37" t="str">
        <v>17/09/2026</v>
      </c>
      <c r="J37" t="str">
        <v>10:03:52</v>
      </c>
      <c r="K37">
        <v>-12.197406</v>
      </c>
      <c r="L37">
        <v>-76.9694</v>
      </c>
      <c r="M37">
        <f>HYPERLINK("https://www.google.com/maps/search/?api=1&amp;query=-12.197406,-76.9694","Avenida Primero de Mayo, Villa El Salvador, Lima")</f>
      </c>
      <c r="N37" t="str">
        <v>Exceso de velocidad en segmento vial</v>
      </c>
      <c r="O37">
        <v>21481.1</v>
      </c>
      <c r="P37" t="str">
        <v/>
      </c>
      <c r="Q37">
        <v>41</v>
      </c>
      <c r="R37">
        <v>79.52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v>100</v>
      </c>
      <c r="AA37" t="str">
        <v>17/09/2026</v>
      </c>
      <c r="AB37" t="str">
        <v>10:03:49</v>
      </c>
      <c r="AC37">
        <f>IF("ONLINE"="NOGPS","GPS Antiguo","En línea")</f>
      </c>
      <c r="AD37">
        <f>IF(0=0,"Sin atender", IF(0=1,"Atendida","Atendida y Reportada"))</f>
      </c>
      <c r="AE37" t="str">
        <v/>
      </c>
      <c r="AF37" t="str">
        <v/>
      </c>
      <c r="AG37" t="str">
        <v/>
      </c>
      <c r="AH37" t="str">
        <v/>
      </c>
      <c r="AI37" t="str">
        <v>17/09/2026 10:04:14</v>
      </c>
      <c r="AJ37" t="str">
        <v>10:04:14</v>
      </c>
      <c r="AK37" t="str">
        <v/>
      </c>
    </row>
    <row r="38">
      <c r="A38">
        <v>37</v>
      </c>
      <c r="B38" t="str">
        <v>MASS BSF</v>
      </c>
      <c r="C38" t="str">
        <v>CKL-718</v>
      </c>
      <c r="D38" t="str">
        <v>CKL-718</v>
      </c>
      <c r="E38" t="str">
        <v>867162029820636</v>
      </c>
      <c r="F38" t="str">
        <v>TBD</v>
      </c>
      <c r="G38" t="str">
        <v/>
      </c>
      <c r="H38" t="str">
        <v/>
      </c>
      <c r="I38" t="str">
        <v>17/09/2026</v>
      </c>
      <c r="J38" t="str">
        <v>10:07:22</v>
      </c>
      <c r="K38">
        <v>-12.192513</v>
      </c>
      <c r="L38">
        <v>-76.96088</v>
      </c>
      <c r="M38">
        <f>HYPERLINK("https://www.google.com/maps/search/?api=1&amp;query=-12.192513,-76.96088","Ovalo Cocharcas, Villa El Salvador, Lima")</f>
      </c>
      <c r="N38" t="str">
        <v>Vehículo apagado</v>
      </c>
      <c r="O38">
        <v>21482.5</v>
      </c>
      <c r="P38" t="str">
        <v/>
      </c>
      <c r="Q38">
        <v>14</v>
      </c>
      <c r="R38">
        <v>80.2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v>100</v>
      </c>
      <c r="AA38" t="str">
        <v>17/09/2026</v>
      </c>
      <c r="AB38" t="str">
        <v>10:06:55</v>
      </c>
      <c r="AC38">
        <f>IF("ONLINE"="NOGPS","GPS Antiguo","En línea")</f>
      </c>
      <c r="AD38">
        <f>IF(0=0,"Sin atender", IF(0=1,"Atendida","Atendida y Reportada"))</f>
      </c>
      <c r="AE38" t="str">
        <v/>
      </c>
      <c r="AF38" t="str">
        <v/>
      </c>
      <c r="AG38" t="str">
        <v/>
      </c>
      <c r="AH38" t="str">
        <v/>
      </c>
      <c r="AI38" t="str">
        <v>17/09/2026 10:07:35</v>
      </c>
      <c r="AJ38" t="str">
        <v>10:07:35</v>
      </c>
      <c r="AK38" t="str">
        <v/>
      </c>
    </row>
    <row r="39">
      <c r="A39">
        <v>38</v>
      </c>
      <c r="B39" t="str">
        <v>MASS BSF</v>
      </c>
      <c r="C39" t="str">
        <v>CKL-718</v>
      </c>
      <c r="D39" t="str">
        <v>CKL-718</v>
      </c>
      <c r="E39" t="str">
        <v>867162029820636</v>
      </c>
      <c r="F39" t="str">
        <v>TBD</v>
      </c>
      <c r="G39" t="str">
        <v/>
      </c>
      <c r="H39" t="str">
        <v/>
      </c>
      <c r="I39" t="str">
        <v>17/09/2026</v>
      </c>
      <c r="J39" t="str">
        <v>10:18:31</v>
      </c>
      <c r="K39">
        <v>-12.191922</v>
      </c>
      <c r="L39">
        <v>-76.96121</v>
      </c>
      <c r="M39">
        <f>HYPERLINK("https://www.google.com/maps/search/?api=1&amp;query=-12.191922,-76.96121","Avenida Mariano Pastor Sevilla, San Juan de Miraflores, Lima")</f>
      </c>
      <c r="N39" t="str">
        <v>Vehículo encendido</v>
      </c>
      <c r="O39">
        <v>21482.5</v>
      </c>
      <c r="P39" t="str">
        <v/>
      </c>
      <c r="Q39">
        <v>0</v>
      </c>
      <c r="R39">
        <v>80.2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v>100</v>
      </c>
      <c r="AA39" t="str">
        <v>17/09/2026</v>
      </c>
      <c r="AB39" t="str">
        <v>10:07:24</v>
      </c>
      <c r="AC39">
        <f>IF("NOGPS"="NOGPS","GPS Antiguo","En línea")</f>
      </c>
      <c r="AD39">
        <f>IF(0=0,"Sin atender", IF(0=1,"Atendida","Atendida y Reportada"))</f>
      </c>
      <c r="AE39" t="str">
        <v/>
      </c>
      <c r="AF39" t="str">
        <v/>
      </c>
      <c r="AG39" t="str">
        <v/>
      </c>
      <c r="AH39" t="str">
        <v/>
      </c>
      <c r="AI39" t="str">
        <v>17/09/2026 10:18:43</v>
      </c>
      <c r="AJ39" t="str">
        <v>10:18:43</v>
      </c>
      <c r="AK39" t="str">
        <v/>
      </c>
    </row>
    <row r="40">
      <c r="A40">
        <v>39</v>
      </c>
      <c r="B40" t="str">
        <v>MASS BSF</v>
      </c>
      <c r="C40" t="str">
        <v>CKL-718</v>
      </c>
      <c r="D40" t="str">
        <v>CKL-718</v>
      </c>
      <c r="E40" t="str">
        <v>867162029820636</v>
      </c>
      <c r="F40" t="str">
        <v>TBD</v>
      </c>
      <c r="G40" t="str">
        <v/>
      </c>
      <c r="H40" t="str">
        <v/>
      </c>
      <c r="I40" t="str">
        <v>17/09/2026</v>
      </c>
      <c r="J40" t="str">
        <v>10:45:31</v>
      </c>
      <c r="K40">
        <v>-12.151342</v>
      </c>
      <c r="L40">
        <v>-76.96863</v>
      </c>
      <c r="M40">
        <f>HYPERLINK("https://www.google.com/maps/search/?api=1&amp;query=-12.151342,-76.96863","Jirón Manuel Barreto, San Juan de Miraflores, Lima")</f>
      </c>
      <c r="N40" t="str">
        <v>Vehículo apagado</v>
      </c>
      <c r="O40">
        <v>21488.6</v>
      </c>
      <c r="P40" t="str">
        <v/>
      </c>
      <c r="Q40">
        <v>5</v>
      </c>
      <c r="R40">
        <v>80.65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v>100</v>
      </c>
      <c r="AA40" t="str">
        <v>17/09/2026</v>
      </c>
      <c r="AB40" t="str">
        <v>10:45:04</v>
      </c>
      <c r="AC40">
        <f>IF("ONLINE"="NOGPS","GPS Antiguo","En línea")</f>
      </c>
      <c r="AD40">
        <f>IF(0=0,"Sin atender", IF(0=1,"Atendida","Atendida y Reportada"))</f>
      </c>
      <c r="AE40" t="str">
        <v/>
      </c>
      <c r="AF40" t="str">
        <v/>
      </c>
      <c r="AG40" t="str">
        <v/>
      </c>
      <c r="AH40" t="str">
        <v/>
      </c>
      <c r="AI40" t="str">
        <v>17/09/2026 10:45:50</v>
      </c>
      <c r="AJ40" t="str">
        <v>10:45:50</v>
      </c>
      <c r="AK40" t="str">
        <v/>
      </c>
    </row>
    <row r="41">
      <c r="A41">
        <v>40</v>
      </c>
      <c r="B41" t="str">
        <v>MASS BSF</v>
      </c>
      <c r="C41" t="str">
        <v>CKL-718</v>
      </c>
      <c r="D41" t="str">
        <v>CKL-718</v>
      </c>
      <c r="E41" t="str">
        <v>867162029820636</v>
      </c>
      <c r="F41" t="str">
        <v>TBD</v>
      </c>
      <c r="G41" t="str">
        <v/>
      </c>
      <c r="H41" t="str">
        <v/>
      </c>
      <c r="I41" t="str">
        <v>17/09/2026</v>
      </c>
      <c r="J41" t="str">
        <v>10:46:11</v>
      </c>
      <c r="K41">
        <v>-12.151357</v>
      </c>
      <c r="L41">
        <v>-76.968735</v>
      </c>
      <c r="M41">
        <f>HYPERLINK("https://www.google.com/maps/search/?api=1&amp;query=-12.151357,-76.968735","Jirón Manuel Arias, San Juan de Miraflores, Lima")</f>
      </c>
      <c r="N41" t="str">
        <v>Vehículo encendido</v>
      </c>
      <c r="O41">
        <v>21488.6</v>
      </c>
      <c r="P41" t="str">
        <v/>
      </c>
      <c r="Q41">
        <v>0</v>
      </c>
      <c r="R41">
        <v>80.65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v>100</v>
      </c>
      <c r="AA41" t="str">
        <v>17/09/2026</v>
      </c>
      <c r="AB41" t="str">
        <v>10:45:33</v>
      </c>
      <c r="AC41">
        <f>IF("ONLINE"="NOGPS","GPS Antiguo","En línea")</f>
      </c>
      <c r="AD41">
        <f>IF(0=0,"Sin atender", IF(0=1,"Atendida","Atendida y Reportada"))</f>
      </c>
      <c r="AE41" t="str">
        <v/>
      </c>
      <c r="AF41" t="str">
        <v/>
      </c>
      <c r="AG41" t="str">
        <v/>
      </c>
      <c r="AH41" t="str">
        <v/>
      </c>
      <c r="AI41" t="str">
        <v>17/09/2026 10:46:28</v>
      </c>
      <c r="AJ41" t="str">
        <v>10:46:28</v>
      </c>
      <c r="AK41" t="str">
        <v/>
      </c>
    </row>
    <row r="42">
      <c r="A42">
        <v>41</v>
      </c>
      <c r="B42" t="str">
        <v>MASS BSF</v>
      </c>
      <c r="C42" t="str">
        <v>CKL-718</v>
      </c>
      <c r="D42" t="str">
        <v>CKL-718</v>
      </c>
      <c r="E42" t="str">
        <v>867162029820636</v>
      </c>
      <c r="F42" t="str">
        <v>TBD</v>
      </c>
      <c r="G42" t="str">
        <v/>
      </c>
      <c r="H42" t="str">
        <v/>
      </c>
      <c r="I42" t="str">
        <v>17/09/2026</v>
      </c>
      <c r="J42" t="str">
        <v>10:48:07</v>
      </c>
      <c r="K42">
        <v>-12.151203</v>
      </c>
      <c r="L42">
        <v>-76.96936</v>
      </c>
      <c r="M42">
        <f>HYPERLINK("https://www.google.com/maps/search/?api=1&amp;query=-12.151203,-76.96936","Jirón Manuel Arias, San Juan de Miraflores, Lima")</f>
      </c>
      <c r="N42" t="str">
        <v>Vehículo apagado</v>
      </c>
      <c r="O42">
        <v>21488.7</v>
      </c>
      <c r="P42" t="str">
        <v/>
      </c>
      <c r="Q42">
        <v>0</v>
      </c>
      <c r="R42">
        <v>80.68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v>100</v>
      </c>
      <c r="AA42" t="str">
        <v>17/09/2026</v>
      </c>
      <c r="AB42" t="str">
        <v>10:48:10</v>
      </c>
      <c r="AC42">
        <f>IF("ONLINE"="NOGPS","GPS Antiguo","En línea")</f>
      </c>
      <c r="AD42">
        <f>IF(0=0,"Sin atender", IF(0=1,"Atendida","Atendida y Reportada"))</f>
      </c>
      <c r="AE42" t="str">
        <v/>
      </c>
      <c r="AF42" t="str">
        <v/>
      </c>
      <c r="AG42" t="str">
        <v/>
      </c>
      <c r="AH42" t="str">
        <v/>
      </c>
      <c r="AI42" t="str">
        <v>17/09/2026 10:48:29</v>
      </c>
      <c r="AJ42" t="str">
        <v>10:48:29</v>
      </c>
      <c r="AK42" t="str">
        <v/>
      </c>
    </row>
    <row r="43">
      <c r="A43">
        <v>42</v>
      </c>
      <c r="B43" t="str">
        <v>MASS BSF</v>
      </c>
      <c r="C43" t="str">
        <v>CKL-718</v>
      </c>
      <c r="D43" t="str">
        <v>CKL-718</v>
      </c>
      <c r="E43" t="str">
        <v>867162029820636</v>
      </c>
      <c r="F43" t="str">
        <v>TBD</v>
      </c>
      <c r="G43" t="str">
        <v/>
      </c>
      <c r="H43" t="str">
        <v/>
      </c>
      <c r="I43" t="str">
        <v>17/09/2026</v>
      </c>
      <c r="J43" t="str">
        <v>11:07:53</v>
      </c>
      <c r="K43">
        <v>-12.151203</v>
      </c>
      <c r="L43">
        <v>-76.96936</v>
      </c>
      <c r="M43">
        <f>HYPERLINK("https://www.google.com/maps/search/?api=1&amp;query=-12.151203,-76.96936","Jirón Manuel Arias, San Juan de Miraflores, Lima")</f>
      </c>
      <c r="N43" t="str">
        <v>Vehículo encendido</v>
      </c>
      <c r="O43">
        <v>21488.7</v>
      </c>
      <c r="P43" t="str">
        <v/>
      </c>
      <c r="Q43">
        <v>0</v>
      </c>
      <c r="R43">
        <v>80.68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v>100</v>
      </c>
      <c r="AA43" t="str">
        <v>17/09/2026</v>
      </c>
      <c r="AB43" t="str">
        <v>10:48:10</v>
      </c>
      <c r="AC43">
        <f>IF("NOGPS"="NOGPS","GPS Antiguo","En línea")</f>
      </c>
      <c r="AD43">
        <f>IF(0=0,"Sin atender", IF(0=1,"Atendida","Atendida y Reportada"))</f>
      </c>
      <c r="AE43" t="str">
        <v/>
      </c>
      <c r="AF43" t="str">
        <v/>
      </c>
      <c r="AG43" t="str">
        <v/>
      </c>
      <c r="AH43" t="str">
        <v/>
      </c>
      <c r="AI43" t="str">
        <v>17/09/2026 11:08:13</v>
      </c>
      <c r="AJ43" t="str">
        <v>11:08:13</v>
      </c>
      <c r="AK43" t="str">
        <v/>
      </c>
    </row>
    <row r="44">
      <c r="A44">
        <v>43</v>
      </c>
      <c r="B44" t="str">
        <v>MASS BSF</v>
      </c>
      <c r="C44" t="str">
        <v>CKL-718</v>
      </c>
      <c r="D44" t="str">
        <v>CKL-718</v>
      </c>
      <c r="E44" t="str">
        <v>867162029820636</v>
      </c>
      <c r="F44" t="str">
        <v>TBD</v>
      </c>
      <c r="G44" t="str">
        <v/>
      </c>
      <c r="H44" t="str">
        <v/>
      </c>
      <c r="I44" t="str">
        <v>17/09/2026</v>
      </c>
      <c r="J44" t="str">
        <v>11:12:23</v>
      </c>
      <c r="K44">
        <v>-12.151294</v>
      </c>
      <c r="L44">
        <v>-76.9695</v>
      </c>
      <c r="M44">
        <f>HYPERLINK("https://www.google.com/maps/search/?api=1&amp;query=-12.151294,-76.9695","Jirón Manuel Arias, San Juan de Miraflores, Lima")</f>
      </c>
      <c r="N44" t="str">
        <v>Inicio de ralentí</v>
      </c>
      <c r="O44">
        <v>21488.7</v>
      </c>
      <c r="P44" t="str">
        <v/>
      </c>
      <c r="Q44">
        <v>0</v>
      </c>
      <c r="R44">
        <v>80.68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v>100</v>
      </c>
      <c r="AA44" t="str">
        <v>17/09/2026</v>
      </c>
      <c r="AB44" t="str">
        <v>11:11:50</v>
      </c>
      <c r="AC44">
        <f>IF("ONLINE"="NOGPS","GPS Antiguo","En línea")</f>
      </c>
      <c r="AD44">
        <f>IF(0=0,"Sin atender", IF(0=1,"Atendida","Atendida y Reportada"))</f>
      </c>
      <c r="AE44" t="str">
        <v/>
      </c>
      <c r="AF44" t="str">
        <v/>
      </c>
      <c r="AG44" t="str">
        <v/>
      </c>
      <c r="AH44" t="str">
        <v/>
      </c>
      <c r="AI44" t="str">
        <v>17/09/2026 11:12:27</v>
      </c>
      <c r="AJ44" t="str">
        <v>11:12:27</v>
      </c>
      <c r="AK44" t="str">
        <v/>
      </c>
    </row>
    <row r="45">
      <c r="A45">
        <v>44</v>
      </c>
      <c r="B45" t="str">
        <v>MASS BSF</v>
      </c>
      <c r="C45" t="str">
        <v>CKL-718</v>
      </c>
      <c r="D45" t="str">
        <v>CKL-718</v>
      </c>
      <c r="E45" t="str">
        <v>867162029820636</v>
      </c>
      <c r="F45" t="str">
        <v>TBD</v>
      </c>
      <c r="G45" t="str">
        <v/>
      </c>
      <c r="H45" t="str">
        <v/>
      </c>
      <c r="I45" t="str">
        <v>17/09/2026</v>
      </c>
      <c r="J45" t="str">
        <v>11:14:25</v>
      </c>
      <c r="K45">
        <v>-12.151294</v>
      </c>
      <c r="L45">
        <v>-76.9695</v>
      </c>
      <c r="M45">
        <f>HYPERLINK("https://www.google.com/maps/search/?api=1&amp;query=-12.151294,-76.9695","Jirón Manuel Arias, San Juan de Miraflores, Lima")</f>
      </c>
      <c r="N45" t="str">
        <v>Fin de ralentí</v>
      </c>
      <c r="O45">
        <v>21488.7</v>
      </c>
      <c r="P45" t="str">
        <v/>
      </c>
      <c r="Q45">
        <v>0</v>
      </c>
      <c r="R45">
        <v>80.68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v>100</v>
      </c>
      <c r="AA45" t="str">
        <v>17/09/2026</v>
      </c>
      <c r="AB45" t="str">
        <v>11:13:50</v>
      </c>
      <c r="AC45">
        <f>IF("ONLINE"="NOGPS","GPS Antiguo","En línea")</f>
      </c>
      <c r="AD45">
        <f>IF(0=0,"Sin atender", IF(0=1,"Atendida","Atendida y Reportada"))</f>
      </c>
      <c r="AE45" t="str">
        <v/>
      </c>
      <c r="AF45" t="str">
        <v/>
      </c>
      <c r="AG45" t="str">
        <v/>
      </c>
      <c r="AH45" t="str">
        <v/>
      </c>
      <c r="AI45" t="str">
        <v>17/09/2026 11:14:43</v>
      </c>
      <c r="AJ45" t="str">
        <v>11:14:43</v>
      </c>
      <c r="AK45" t="str">
        <v/>
      </c>
    </row>
    <row r="46">
      <c r="A46">
        <v>45</v>
      </c>
      <c r="B46" t="str">
        <v>MASS BSF</v>
      </c>
      <c r="C46" t="str">
        <v>CKL-718</v>
      </c>
      <c r="D46" t="str">
        <v>CKL-718</v>
      </c>
      <c r="E46" t="str">
        <v>867162029820636</v>
      </c>
      <c r="F46" t="str">
        <v>TBD</v>
      </c>
      <c r="G46" t="str">
        <v/>
      </c>
      <c r="H46" t="str">
        <v/>
      </c>
      <c r="I46" t="str">
        <v>17/09/2026</v>
      </c>
      <c r="J46" t="str">
        <v>11:30:44</v>
      </c>
      <c r="K46">
        <v>-12.150306</v>
      </c>
      <c r="L46">
        <v>-76.97125</v>
      </c>
      <c r="M46">
        <f>HYPERLINK("https://www.google.com/maps/search/?api=1&amp;query=-12.150306,-76.97125","Avenida José Torres Paz, San Juan de Miraflores, Lima")</f>
      </c>
      <c r="N46" t="str">
        <v>Vehículo apagado</v>
      </c>
      <c r="O46">
        <v>21490.1</v>
      </c>
      <c r="P46" t="str">
        <v/>
      </c>
      <c r="Q46">
        <v>1.9</v>
      </c>
      <c r="R46">
        <v>80.68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v>100</v>
      </c>
      <c r="AA46" t="str">
        <v>17/09/2026</v>
      </c>
      <c r="AB46" t="str">
        <v>11:30:54</v>
      </c>
      <c r="AC46">
        <f>IF("ONLINE"="NOGPS","GPS Antiguo","En línea")</f>
      </c>
      <c r="AD46">
        <f>IF(0=0,"Sin atender", IF(0=1,"Atendida","Atendida y Reportada"))</f>
      </c>
      <c r="AE46" t="str">
        <v/>
      </c>
      <c r="AF46" t="str">
        <v/>
      </c>
      <c r="AG46" t="str">
        <v/>
      </c>
      <c r="AH46" t="str">
        <v/>
      </c>
      <c r="AI46" t="str">
        <v>17/09/2026 11:31:10</v>
      </c>
      <c r="AJ46" t="str">
        <v>11:31:10</v>
      </c>
      <c r="AK46" t="str">
        <v/>
      </c>
    </row>
    <row r="47">
      <c r="A47">
        <v>46</v>
      </c>
      <c r="B47" t="str">
        <v>MASS BSF</v>
      </c>
      <c r="C47" t="str">
        <v>CKL-718</v>
      </c>
      <c r="D47" t="str">
        <v>CKL-718</v>
      </c>
      <c r="E47" t="str">
        <v>867162029820636</v>
      </c>
      <c r="F47" t="str">
        <v>TBD</v>
      </c>
      <c r="G47" t="str">
        <v/>
      </c>
      <c r="H47" t="str">
        <v/>
      </c>
      <c r="I47" t="str">
        <v>17/09/2026</v>
      </c>
      <c r="J47" t="str">
        <v>11:30:50</v>
      </c>
      <c r="K47">
        <v>-12.150319</v>
      </c>
      <c r="L47">
        <v>-76.97135</v>
      </c>
      <c r="M47">
        <f>HYPERLINK("https://www.google.com/maps/search/?api=1&amp;query=-12.150319,-76.97135","Avenida José Torres Paz, San Juan de Miraflores, Lima")</f>
      </c>
      <c r="N47" t="str">
        <v>Vehículo encendido</v>
      </c>
      <c r="O47">
        <v>21490.1</v>
      </c>
      <c r="P47" t="str">
        <v/>
      </c>
      <c r="Q47">
        <v>0</v>
      </c>
      <c r="R47">
        <v>80.68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v>100</v>
      </c>
      <c r="AA47" t="str">
        <v>17/09/2026</v>
      </c>
      <c r="AB47" t="str">
        <v>11:30:46</v>
      </c>
      <c r="AC47">
        <f>IF("ONLINE"="NOGPS","GPS Antiguo","En línea")</f>
      </c>
      <c r="AD47">
        <f>IF(0=0,"Sin atender", IF(0=1,"Atendida","Atendida y Reportada"))</f>
      </c>
      <c r="AE47" t="str">
        <v/>
      </c>
      <c r="AF47" t="str">
        <v/>
      </c>
      <c r="AG47" t="str">
        <v/>
      </c>
      <c r="AH47" t="str">
        <v/>
      </c>
      <c r="AI47" t="str">
        <v>17/09/2026 11:31:05</v>
      </c>
      <c r="AJ47" t="str">
        <v>11:31:05</v>
      </c>
      <c r="AK47" t="str">
        <v/>
      </c>
    </row>
    <row r="48">
      <c r="A48">
        <v>47</v>
      </c>
      <c r="B48" t="str">
        <v>MASS BSF</v>
      </c>
      <c r="C48" t="str">
        <v>CKL-718</v>
      </c>
      <c r="D48" t="str">
        <v>CKL-718</v>
      </c>
      <c r="E48" t="str">
        <v>867162029820636</v>
      </c>
      <c r="F48" t="str">
        <v>TBD</v>
      </c>
      <c r="G48" t="str">
        <v/>
      </c>
      <c r="H48" t="str">
        <v/>
      </c>
      <c r="I48" t="str">
        <v>17/09/2026</v>
      </c>
      <c r="J48" t="str">
        <v>11:31:18</v>
      </c>
      <c r="K48">
        <v>-12.150306</v>
      </c>
      <c r="L48">
        <v>-76.97125</v>
      </c>
      <c r="M48">
        <f>HYPERLINK("https://www.google.com/maps/search/?api=1&amp;query=-12.150306,-76.97125","Avenida José Torres Paz, San Juan de Miraflores, Lima")</f>
      </c>
      <c r="N48" t="str">
        <v>Vehículo apagado</v>
      </c>
      <c r="O48">
        <v>21490.1</v>
      </c>
      <c r="P48" t="str">
        <v/>
      </c>
      <c r="Q48">
        <v>1.9</v>
      </c>
      <c r="R48">
        <v>80.68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v>100</v>
      </c>
      <c r="AA48" t="str">
        <v>17/09/2026</v>
      </c>
      <c r="AB48" t="str">
        <v>11:30:54</v>
      </c>
      <c r="AC48">
        <f>IF("ONLINE"="NOGPS","GPS Antiguo","En línea")</f>
      </c>
      <c r="AD48">
        <f>IF(0=0,"Sin atender", IF(0=1,"Atendida","Atendida y Reportada"))</f>
      </c>
      <c r="AE48" t="str">
        <v/>
      </c>
      <c r="AF48" t="str">
        <v/>
      </c>
      <c r="AG48" t="str">
        <v/>
      </c>
      <c r="AH48" t="str">
        <v/>
      </c>
      <c r="AI48" t="str">
        <v>17/09/2026 11:31:24</v>
      </c>
      <c r="AJ48" t="str">
        <v>11:31:24</v>
      </c>
      <c r="AK48" t="str">
        <v/>
      </c>
    </row>
    <row r="49">
      <c r="A49">
        <v>48</v>
      </c>
      <c r="B49" t="str">
        <v>MASS BSF</v>
      </c>
      <c r="C49" t="str">
        <v>CKL-718</v>
      </c>
      <c r="D49" t="str">
        <v>CKL-718</v>
      </c>
      <c r="E49" t="str">
        <v>867162029820636</v>
      </c>
      <c r="F49" t="str">
        <v>TBD</v>
      </c>
      <c r="G49" t="str">
        <v/>
      </c>
      <c r="H49" t="str">
        <v/>
      </c>
      <c r="I49" t="str">
        <v>17/09/2026</v>
      </c>
      <c r="J49" t="str">
        <v>11:31:22</v>
      </c>
      <c r="K49">
        <v>-12.150224</v>
      </c>
      <c r="L49">
        <v>-76.97136</v>
      </c>
      <c r="M49">
        <f>HYPERLINK("https://www.google.com/maps/search/?api=1&amp;query=-12.150224,-76.97136","Faustino Silva, San Juan de Miraflores, Lima")</f>
      </c>
      <c r="N49" t="str">
        <v>Vehículo encendido</v>
      </c>
      <c r="O49">
        <v>21490.1</v>
      </c>
      <c r="P49" t="str">
        <v/>
      </c>
      <c r="Q49">
        <v>0</v>
      </c>
      <c r="R49">
        <v>80.68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v>100</v>
      </c>
      <c r="AA49" t="str">
        <v>17/09/2026</v>
      </c>
      <c r="AB49" t="str">
        <v>11:31:20</v>
      </c>
      <c r="AC49">
        <f>IF("ONLINE"="NOGPS","GPS Antiguo","En línea")</f>
      </c>
      <c r="AD49">
        <f>IF(0=0,"Sin atender", IF(0=1,"Atendida","Atendida y Reportada"))</f>
      </c>
      <c r="AE49" t="str">
        <v/>
      </c>
      <c r="AF49" t="str">
        <v/>
      </c>
      <c r="AG49" t="str">
        <v/>
      </c>
      <c r="AH49" t="str">
        <v/>
      </c>
      <c r="AI49" t="str">
        <v>17/09/2026 11:31:39</v>
      </c>
      <c r="AJ49" t="str">
        <v>11:31:39</v>
      </c>
      <c r="AK49" t="str">
        <v/>
      </c>
    </row>
    <row r="50">
      <c r="A50">
        <v>49</v>
      </c>
      <c r="B50" t="str">
        <v>MASS BSF</v>
      </c>
      <c r="C50" t="str">
        <v>CKL-718</v>
      </c>
      <c r="D50" t="str">
        <v>CKL-718</v>
      </c>
      <c r="E50" t="str">
        <v>867162029820636</v>
      </c>
      <c r="F50" t="str">
        <v>TBD</v>
      </c>
      <c r="G50" t="str">
        <v/>
      </c>
      <c r="H50" t="str">
        <v/>
      </c>
      <c r="I50" t="str">
        <v>17/09/2026</v>
      </c>
      <c r="J50" t="str">
        <v>11:31:26</v>
      </c>
      <c r="K50">
        <v>-12.150194</v>
      </c>
      <c r="L50">
        <v>-76.97145</v>
      </c>
      <c r="M50">
        <f>HYPERLINK("https://www.google.com/maps/search/?api=1&amp;query=-12.150194,-76.97145","Faustino Silva, San Juan de Miraflores, Lima")</f>
      </c>
      <c r="N50" t="str">
        <v>Vehículo apagado</v>
      </c>
      <c r="O50">
        <v>21490.1</v>
      </c>
      <c r="P50" t="str">
        <v/>
      </c>
      <c r="Q50">
        <v>0</v>
      </c>
      <c r="R50">
        <v>80.68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v>100</v>
      </c>
      <c r="AA50" t="str">
        <v>17/09/2026</v>
      </c>
      <c r="AB50" t="str">
        <v>11:31:28</v>
      </c>
      <c r="AC50">
        <f>IF("ONLINE"="NOGPS","GPS Antiguo","En línea")</f>
      </c>
      <c r="AD50">
        <f>IF(0=0,"Sin atender", IF(0=1,"Atendida","Atendida y Reportada"))</f>
      </c>
      <c r="AE50" t="str">
        <v/>
      </c>
      <c r="AF50" t="str">
        <v/>
      </c>
      <c r="AG50" t="str">
        <v/>
      </c>
      <c r="AH50" t="str">
        <v/>
      </c>
      <c r="AI50" t="str">
        <v>17/09/2026 11:31:43</v>
      </c>
      <c r="AJ50" t="str">
        <v>11:31:43</v>
      </c>
      <c r="AK50" t="str">
        <v/>
      </c>
    </row>
    <row r="51">
      <c r="A51">
        <v>50</v>
      </c>
      <c r="B51" t="str">
        <v>MASS BSF</v>
      </c>
      <c r="C51" t="str">
        <v>CKL-718</v>
      </c>
      <c r="D51" t="str">
        <v>CKL-718</v>
      </c>
      <c r="E51" t="str">
        <v>867162029820636</v>
      </c>
      <c r="F51" t="str">
        <v>TBD</v>
      </c>
      <c r="G51" t="str">
        <v/>
      </c>
      <c r="H51" t="str">
        <v/>
      </c>
      <c r="I51" t="str">
        <v>17/09/2026</v>
      </c>
      <c r="J51" t="str">
        <v>11:54:10</v>
      </c>
      <c r="K51">
        <v>-12.150194</v>
      </c>
      <c r="L51">
        <v>-76.97145</v>
      </c>
      <c r="M51">
        <f>HYPERLINK("https://www.google.com/maps/search/?api=1&amp;query=-12.150194,-76.97145","Faustino Silva, San Juan de Miraflores, Lima")</f>
      </c>
      <c r="N51" t="str">
        <v>Vehículo encendido</v>
      </c>
      <c r="O51">
        <v>21490.1</v>
      </c>
      <c r="P51" t="str">
        <v/>
      </c>
      <c r="Q51">
        <v>0</v>
      </c>
      <c r="R51">
        <v>80.68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v>100</v>
      </c>
      <c r="AA51" t="str">
        <v>17/09/2026</v>
      </c>
      <c r="AB51" t="str">
        <v>11:31:28</v>
      </c>
      <c r="AC51">
        <f>IF("NOGPS"="NOGPS","GPS Antiguo","En línea")</f>
      </c>
      <c r="AD51">
        <f>IF(0=0,"Sin atender", IF(0=1,"Atendida","Atendida y Reportada"))</f>
      </c>
      <c r="AE51" t="str">
        <v/>
      </c>
      <c r="AF51" t="str">
        <v/>
      </c>
      <c r="AG51" t="str">
        <v/>
      </c>
      <c r="AH51" t="str">
        <v/>
      </c>
      <c r="AI51" t="str">
        <v>17/09/2026 11:54:25</v>
      </c>
      <c r="AJ51" t="str">
        <v>11:54:25</v>
      </c>
      <c r="AK51" t="str">
        <v/>
      </c>
    </row>
    <row r="52">
      <c r="A52">
        <v>51</v>
      </c>
      <c r="B52" t="str">
        <v>MASS BSF</v>
      </c>
      <c r="C52" t="str">
        <v>CKL-718</v>
      </c>
      <c r="D52" t="str">
        <v>CKL-718</v>
      </c>
      <c r="E52" t="str">
        <v>867162029820636</v>
      </c>
      <c r="F52" t="str">
        <v>TBD</v>
      </c>
      <c r="G52" t="str">
        <v/>
      </c>
      <c r="H52" t="str">
        <v/>
      </c>
      <c r="I52" t="str">
        <v>17/09/2026</v>
      </c>
      <c r="J52" t="str">
        <v>12:07:20</v>
      </c>
      <c r="K52">
        <v>-12.137418</v>
      </c>
      <c r="L52">
        <v>-76.96302</v>
      </c>
      <c r="M52">
        <f>HYPERLINK("https://www.google.com/maps/search/?api=1&amp;query=-12.137418,-76.96302","Avenida Central, San Juan de Miraflores, Lima")</f>
      </c>
      <c r="N52" t="str">
        <v>Vehículo apagado</v>
      </c>
      <c r="O52">
        <v>21492.6</v>
      </c>
      <c r="P52" t="str">
        <v/>
      </c>
      <c r="Q52">
        <v>0</v>
      </c>
      <c r="R52">
        <v>80.88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v>100</v>
      </c>
      <c r="AA52" t="str">
        <v>17/09/2026</v>
      </c>
      <c r="AB52" t="str">
        <v>12:07:21</v>
      </c>
      <c r="AC52">
        <f>IF("ONLINE"="NOGPS","GPS Antiguo","En línea")</f>
      </c>
      <c r="AD52">
        <f>IF(0=0,"Sin atender", IF(0=1,"Atendida","Atendida y Reportada"))</f>
      </c>
      <c r="AE52" t="str">
        <v/>
      </c>
      <c r="AF52" t="str">
        <v/>
      </c>
      <c r="AG52" t="str">
        <v/>
      </c>
      <c r="AH52" t="str">
        <v/>
      </c>
      <c r="AI52" t="str">
        <v>17/09/2026 12:07:48</v>
      </c>
      <c r="AJ52" t="str">
        <v>12:07:48</v>
      </c>
      <c r="AK52" t="str">
        <v/>
      </c>
    </row>
    <row r="53">
      <c r="A53">
        <v>52</v>
      </c>
      <c r="B53" t="str">
        <v>MASS BSF</v>
      </c>
      <c r="C53" t="str">
        <v>CKL-718</v>
      </c>
      <c r="D53" t="str">
        <v>CKL-718</v>
      </c>
      <c r="E53" t="str">
        <v>867162029820636</v>
      </c>
      <c r="F53" t="str">
        <v>TBD</v>
      </c>
      <c r="G53" t="str">
        <v/>
      </c>
      <c r="H53" t="str">
        <v/>
      </c>
      <c r="I53" t="str">
        <v>17/09/2026</v>
      </c>
      <c r="J53" t="str">
        <v>12:59:31</v>
      </c>
      <c r="K53">
        <v>-12.137418</v>
      </c>
      <c r="L53">
        <v>-76.96302</v>
      </c>
      <c r="M53">
        <f>HYPERLINK("https://www.google.com/maps/search/?api=1&amp;query=-12.137418,-76.96302","Avenida Central, San Juan de Miraflores, Lima")</f>
      </c>
      <c r="N53" t="str">
        <v>Vehículo encendido</v>
      </c>
      <c r="O53">
        <v>21492.6</v>
      </c>
      <c r="P53" t="str">
        <v/>
      </c>
      <c r="Q53">
        <v>0</v>
      </c>
      <c r="R53">
        <v>80.88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v>100</v>
      </c>
      <c r="AA53" t="str">
        <v>17/09/2026</v>
      </c>
      <c r="AB53" t="str">
        <v>12:34:54</v>
      </c>
      <c r="AC53">
        <f>IF("NOGPS"="NOGPS","GPS Antiguo","En línea")</f>
      </c>
      <c r="AD53">
        <f>IF(0=0,"Sin atender", IF(0=1,"Atendida","Atendida y Reportada"))</f>
      </c>
      <c r="AE53" t="str">
        <v/>
      </c>
      <c r="AF53" t="str">
        <v/>
      </c>
      <c r="AG53" t="str">
        <v/>
      </c>
      <c r="AH53" t="str">
        <v/>
      </c>
      <c r="AI53" t="str">
        <v>17/09/2026 12:59:47</v>
      </c>
      <c r="AJ53" t="str">
        <v>12:59:47</v>
      </c>
      <c r="AK53" t="str">
        <v/>
      </c>
    </row>
    <row r="54">
      <c r="A54">
        <v>53</v>
      </c>
      <c r="B54" t="str">
        <v>MASS BSF</v>
      </c>
      <c r="C54" t="str">
        <v>CKL-718</v>
      </c>
      <c r="D54" t="str">
        <v>CKL-718</v>
      </c>
      <c r="E54" t="str">
        <v>867162029820636</v>
      </c>
      <c r="F54" t="str">
        <v>TBD</v>
      </c>
      <c r="G54" t="str">
        <v/>
      </c>
      <c r="H54" t="str">
        <v/>
      </c>
      <c r="I54" t="str">
        <v>17/09/2026</v>
      </c>
      <c r="J54" t="str">
        <v>13:35:36</v>
      </c>
      <c r="K54">
        <v>-12.21697</v>
      </c>
      <c r="L54">
        <v>-76.9258</v>
      </c>
      <c r="M54">
        <f>HYPERLINK("https://www.google.com/maps/search/?api=1&amp;query=-12.21697,-76.9258","Avenida José Carlos Mariátegui, Villa El Salvador, Lima")</f>
      </c>
      <c r="N54" t="str">
        <v>Exceso de velocidad en segmento vial</v>
      </c>
      <c r="O54">
        <v>21504</v>
      </c>
      <c r="P54" t="str">
        <v/>
      </c>
      <c r="Q54">
        <v>41.1</v>
      </c>
      <c r="R54">
        <v>80.88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v>100</v>
      </c>
      <c r="AA54" t="str">
        <v>17/09/2026</v>
      </c>
      <c r="AB54" t="str">
        <v>13:35:33</v>
      </c>
      <c r="AC54">
        <f>IF("ONLINE"="NOGPS","GPS Antiguo","En línea")</f>
      </c>
      <c r="AD54">
        <f>IF(0=0,"Sin atender", IF(0=1,"Atendida","Atendida y Reportada"))</f>
      </c>
      <c r="AE54" t="str">
        <v/>
      </c>
      <c r="AF54" t="str">
        <v/>
      </c>
      <c r="AG54" t="str">
        <v/>
      </c>
      <c r="AH54" t="str">
        <v/>
      </c>
      <c r="AI54" t="str">
        <v>17/09/2026 13:35:54</v>
      </c>
      <c r="AJ54" t="str">
        <v>13:35:54</v>
      </c>
      <c r="AK54" t="str">
        <v/>
      </c>
    </row>
    <row r="55">
      <c r="A55">
        <v>54</v>
      </c>
      <c r="B55" t="str">
        <v>MASS BSF</v>
      </c>
      <c r="C55" t="str">
        <v>CKL-718</v>
      </c>
      <c r="D55" t="str">
        <v>CKL-718</v>
      </c>
      <c r="E55" t="str">
        <v>867162029820636</v>
      </c>
      <c r="F55" t="str">
        <v>TBD</v>
      </c>
      <c r="G55" t="str">
        <v/>
      </c>
      <c r="H55" t="str">
        <v/>
      </c>
      <c r="I55" t="str">
        <v>17/09/2026</v>
      </c>
      <c r="J55" t="str">
        <v>13:53:46</v>
      </c>
      <c r="K55">
        <v>-12.253367</v>
      </c>
      <c r="L55">
        <v>-76.91455</v>
      </c>
      <c r="M55">
        <f>HYPERLINK("https://www.google.com/maps/search/?api=1&amp;query=-12.253367,-76.91455","Calle Paseo Torrigiano, Lurín, Lima")</f>
      </c>
      <c r="N55" t="str">
        <v>Vehículo apagado</v>
      </c>
      <c r="O55">
        <v>21512.8</v>
      </c>
      <c r="P55" t="str">
        <v/>
      </c>
      <c r="Q55">
        <v>5.1</v>
      </c>
      <c r="R55">
        <v>81.78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v>100</v>
      </c>
      <c r="AA55" t="str">
        <v>17/09/2026</v>
      </c>
      <c r="AB55" t="str">
        <v>13:53:03</v>
      </c>
      <c r="AC55">
        <f>IF("ONLINE"="NOGPS","GPS Antiguo","En línea")</f>
      </c>
      <c r="AD55">
        <f>IF(0=0,"Sin atender", IF(0=1,"Atendida","Atendida y Reportada"))</f>
      </c>
      <c r="AE55" t="str">
        <v/>
      </c>
      <c r="AF55" t="str">
        <v/>
      </c>
      <c r="AG55" t="str">
        <v/>
      </c>
      <c r="AH55" t="str">
        <v/>
      </c>
      <c r="AI55" t="str">
        <v>17/09/2026 13:58:22</v>
      </c>
      <c r="AJ55" t="str">
        <v>13:58:22</v>
      </c>
      <c r="AK55" t="str">
        <v/>
      </c>
    </row>
    <row r="56">
      <c r="A56">
        <v>55</v>
      </c>
      <c r="B56" t="str">
        <v>MASS BSF</v>
      </c>
      <c r="C56" t="str">
        <v>CKL-718</v>
      </c>
      <c r="D56" t="str">
        <v>CKL-718</v>
      </c>
      <c r="E56" t="str">
        <v>867162029820636</v>
      </c>
      <c r="F56" t="str">
        <v>TBD</v>
      </c>
      <c r="G56" t="str">
        <v/>
      </c>
      <c r="H56" t="str">
        <v/>
      </c>
      <c r="I56" t="str">
        <v>17/09/2026</v>
      </c>
      <c r="J56" t="str">
        <v>13:54:25</v>
      </c>
      <c r="K56">
        <v>-12.253143</v>
      </c>
      <c r="L56">
        <v>-76.914474</v>
      </c>
      <c r="M56">
        <f>HYPERLINK("https://www.google.com/maps/search/?api=1&amp;query=-12.253143,-76.914474","Calle Paseo Torrigiano, Lurín, Lima")</f>
      </c>
      <c r="N56" t="str">
        <v>Vehículo encendido</v>
      </c>
      <c r="O56">
        <v>21512.8</v>
      </c>
      <c r="P56" t="str">
        <v/>
      </c>
      <c r="Q56">
        <v>0</v>
      </c>
      <c r="R56">
        <v>81.78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v>100</v>
      </c>
      <c r="AA56" t="str">
        <v>17/09/2026</v>
      </c>
      <c r="AB56" t="str">
        <v>13:54:32</v>
      </c>
      <c r="AC56">
        <f>IF("ONLINE"="NOGPS","GPS Antiguo","En línea")</f>
      </c>
      <c r="AD56">
        <f>IF(0=0,"Sin atender", IF(0=1,"Atendida","Atendida y Reportada"))</f>
      </c>
      <c r="AE56" t="str">
        <v/>
      </c>
      <c r="AF56" t="str">
        <v/>
      </c>
      <c r="AG56" t="str">
        <v/>
      </c>
      <c r="AH56" t="str">
        <v/>
      </c>
      <c r="AI56" t="str">
        <v>17/09/2026 13:58:30</v>
      </c>
      <c r="AJ56" t="str">
        <v>13:58:30</v>
      </c>
      <c r="AK56" t="str">
        <v/>
      </c>
    </row>
    <row r="57">
      <c r="A57">
        <v>56</v>
      </c>
      <c r="B57" t="str">
        <v>MASS BSF</v>
      </c>
      <c r="C57" t="str">
        <v>CKL-718</v>
      </c>
      <c r="D57" t="str">
        <v>CKL-718</v>
      </c>
      <c r="E57" t="str">
        <v>867162029820636</v>
      </c>
      <c r="F57" t="str">
        <v>TBD</v>
      </c>
      <c r="G57" t="str">
        <v/>
      </c>
      <c r="H57" t="str">
        <v/>
      </c>
      <c r="I57" t="str">
        <v>17/09/2026</v>
      </c>
      <c r="J57" t="str">
        <v>13:54:27</v>
      </c>
      <c r="K57">
        <v>-12.253143</v>
      </c>
      <c r="L57">
        <v>-76.914474</v>
      </c>
      <c r="M57">
        <f>HYPERLINK("https://www.google.com/maps/search/?api=1&amp;query=-12.253143,-76.914474","Calle Paseo Torrigiano, Lurín, Lima")</f>
      </c>
      <c r="N57" t="str">
        <v>Vehículo apagado</v>
      </c>
      <c r="O57">
        <v>21512.8</v>
      </c>
      <c r="P57" t="str">
        <v/>
      </c>
      <c r="Q57">
        <v>0</v>
      </c>
      <c r="R57">
        <v>81.78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v>100</v>
      </c>
      <c r="AA57" t="str">
        <v>17/09/2026</v>
      </c>
      <c r="AB57" t="str">
        <v>13:54:32</v>
      </c>
      <c r="AC57">
        <f>IF("ONLINE"="NOGPS","GPS Antiguo","En línea")</f>
      </c>
      <c r="AD57">
        <f>IF(0=0,"Sin atender", IF(0=1,"Atendida","Atendida y Reportada"))</f>
      </c>
      <c r="AE57" t="str">
        <v/>
      </c>
      <c r="AF57" t="str">
        <v/>
      </c>
      <c r="AG57" t="str">
        <v/>
      </c>
      <c r="AH57" t="str">
        <v/>
      </c>
      <c r="AI57" t="str">
        <v>17/09/2026 13:58:29</v>
      </c>
      <c r="AJ57" t="str">
        <v>13:58:29</v>
      </c>
      <c r="AK57" t="str">
        <v/>
      </c>
    </row>
    <row r="58">
      <c r="A58">
        <v>57</v>
      </c>
      <c r="B58" t="str">
        <v>MASS BSF</v>
      </c>
      <c r="C58" t="str">
        <v>CKL-718</v>
      </c>
      <c r="D58" t="str">
        <v>CKL-718</v>
      </c>
      <c r="E58" t="str">
        <v>867162029820636</v>
      </c>
      <c r="F58" t="str">
        <v>TBD</v>
      </c>
      <c r="G58" t="str">
        <v/>
      </c>
      <c r="H58" t="str">
        <v/>
      </c>
      <c r="I58" t="str">
        <v>17/09/2026</v>
      </c>
      <c r="J58" t="str">
        <v>14:33:53</v>
      </c>
      <c r="K58">
        <v>-12.253143</v>
      </c>
      <c r="L58">
        <v>-76.914474</v>
      </c>
      <c r="M58">
        <f>HYPERLINK("https://www.google.com/maps/search/?api=1&amp;query=-12.253143,-76.914474","Calle Paseo Torrigiano, Lurín, Lima")</f>
      </c>
      <c r="N58" t="str">
        <v>Vehículo encendido</v>
      </c>
      <c r="O58">
        <v>21512.9</v>
      </c>
      <c r="P58" t="str">
        <v/>
      </c>
      <c r="Q58">
        <v>0</v>
      </c>
      <c r="R58">
        <v>81.78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v>100</v>
      </c>
      <c r="AA58" t="str">
        <v>17/09/2026</v>
      </c>
      <c r="AB58" t="str">
        <v>14:22:02</v>
      </c>
      <c r="AC58">
        <f>IF("NOGPS"="NOGPS","GPS Antiguo","En línea")</f>
      </c>
      <c r="AD58">
        <f>IF(0=0,"Sin atender", IF(0=1,"Atendida","Atendida y Reportada"))</f>
      </c>
      <c r="AE58" t="str">
        <v/>
      </c>
      <c r="AF58" t="str">
        <v/>
      </c>
      <c r="AG58" t="str">
        <v/>
      </c>
      <c r="AH58" t="str">
        <v/>
      </c>
      <c r="AI58" t="str">
        <v>17/09/2026 14:34:19</v>
      </c>
      <c r="AJ58" t="str">
        <v>14:34:19</v>
      </c>
      <c r="AK58" t="str">
        <v/>
      </c>
    </row>
    <row r="59">
      <c r="A59">
        <v>58</v>
      </c>
      <c r="B59" t="str">
        <v>MASS BSF</v>
      </c>
      <c r="C59" t="str">
        <v>CKL-718</v>
      </c>
      <c r="D59" t="str">
        <v>CKL-718</v>
      </c>
      <c r="E59" t="str">
        <v>867162029820636</v>
      </c>
      <c r="F59" t="str">
        <v>TBD</v>
      </c>
      <c r="G59" t="str">
        <v/>
      </c>
      <c r="H59" t="str">
        <v/>
      </c>
      <c r="I59" t="str">
        <v>17/09/2026</v>
      </c>
      <c r="J59" t="str">
        <v>14:34:26</v>
      </c>
      <c r="K59">
        <v>-12.253114</v>
      </c>
      <c r="L59">
        <v>-76.91448</v>
      </c>
      <c r="M59">
        <f>HYPERLINK("https://www.google.com/maps/search/?api=1&amp;query=-12.253114,-76.91448","Calle Paseo Torrigiano, Lurín, Lima")</f>
      </c>
      <c r="N59" t="str">
        <v>Vehículo apagado</v>
      </c>
      <c r="O59">
        <v>21512.9</v>
      </c>
      <c r="P59" t="str">
        <v/>
      </c>
      <c r="Q59">
        <v>0</v>
      </c>
      <c r="R59">
        <v>81.8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v>100</v>
      </c>
      <c r="AA59" t="str">
        <v>17/09/2026</v>
      </c>
      <c r="AB59" t="str">
        <v>14:34:28</v>
      </c>
      <c r="AC59">
        <f>IF("ONLINE"="NOGPS","GPS Antiguo","En línea")</f>
      </c>
      <c r="AD59">
        <f>IF(0=0,"Sin atender", IF(0=1,"Atendida","Atendida y Reportada"))</f>
      </c>
      <c r="AE59" t="str">
        <v/>
      </c>
      <c r="AF59" t="str">
        <v/>
      </c>
      <c r="AG59" t="str">
        <v/>
      </c>
      <c r="AH59" t="str">
        <v/>
      </c>
      <c r="AI59" t="str">
        <v>17/09/2026 14:34:44</v>
      </c>
      <c r="AJ59" t="str">
        <v>14:34:44</v>
      </c>
      <c r="AK59" t="str">
        <v/>
      </c>
    </row>
    <row r="60">
      <c r="A60">
        <v>59</v>
      </c>
      <c r="B60" t="str">
        <v>MASS BSF</v>
      </c>
      <c r="C60" t="str">
        <v>CKL-718</v>
      </c>
      <c r="D60" t="str">
        <v>CKL-718</v>
      </c>
      <c r="E60" t="str">
        <v>867162029820636</v>
      </c>
      <c r="F60" t="str">
        <v>TBD</v>
      </c>
      <c r="G60" t="str">
        <v/>
      </c>
      <c r="H60" t="str">
        <v/>
      </c>
      <c r="I60" t="str">
        <v>17/09/2026</v>
      </c>
      <c r="J60" t="str">
        <v>14:34:30</v>
      </c>
      <c r="K60">
        <v>-12.253108</v>
      </c>
      <c r="L60">
        <v>-76.91455</v>
      </c>
      <c r="M60">
        <f>HYPERLINK("https://www.google.com/maps/search/?api=1&amp;query=-12.253108,-76.91455","Calle Paseo Torrigiano, Lurín, Lima")</f>
      </c>
      <c r="N60" t="str">
        <v>Vehículo encendido</v>
      </c>
      <c r="O60">
        <v>21512.9</v>
      </c>
      <c r="P60" t="str">
        <v/>
      </c>
      <c r="Q60">
        <v>0</v>
      </c>
      <c r="R60">
        <v>81.8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v>100</v>
      </c>
      <c r="AA60" t="str">
        <v>17/09/2026</v>
      </c>
      <c r="AB60" t="str">
        <v>14:34:35</v>
      </c>
      <c r="AC60">
        <f>IF("ONLINE"="NOGPS","GPS Antiguo","En línea")</f>
      </c>
      <c r="AD60">
        <f>IF(0=0,"Sin atender", IF(0=1,"Atendida","Atendida y Reportada"))</f>
      </c>
      <c r="AE60" t="str">
        <v/>
      </c>
      <c r="AF60" t="str">
        <v/>
      </c>
      <c r="AG60" t="str">
        <v/>
      </c>
      <c r="AH60" t="str">
        <v/>
      </c>
      <c r="AI60" t="str">
        <v>17/09/2026 14:34:52</v>
      </c>
      <c r="AJ60" t="str">
        <v>14:34:52</v>
      </c>
      <c r="AK60" t="str">
        <v/>
      </c>
    </row>
    <row r="61">
      <c r="A61">
        <v>60</v>
      </c>
      <c r="B61" t="str">
        <v>MASS BSF</v>
      </c>
      <c r="C61" t="str">
        <v>CKL-718</v>
      </c>
      <c r="D61" t="str">
        <v>CKL-718</v>
      </c>
      <c r="E61" t="str">
        <v>867162029820636</v>
      </c>
      <c r="F61" t="str">
        <v>TBD</v>
      </c>
      <c r="G61" t="str">
        <v/>
      </c>
      <c r="H61" t="str">
        <v/>
      </c>
      <c r="I61" t="str">
        <v>17/09/2026</v>
      </c>
      <c r="J61" t="str">
        <v>14:35:57</v>
      </c>
      <c r="K61">
        <v>-12.253108</v>
      </c>
      <c r="L61">
        <v>-76.91455</v>
      </c>
      <c r="M61">
        <f>HYPERLINK("https://www.google.com/maps/search/?api=1&amp;query=-12.253108,-76.91455","Calle Paseo Torrigiano, Lurín, Lima")</f>
      </c>
      <c r="N61" t="str">
        <v>Vehículo apagado</v>
      </c>
      <c r="O61">
        <v>21512.9</v>
      </c>
      <c r="P61" t="str">
        <v/>
      </c>
      <c r="Q61">
        <v>0</v>
      </c>
      <c r="R61">
        <v>81.82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v>100</v>
      </c>
      <c r="AA61" t="str">
        <v>17/09/2026</v>
      </c>
      <c r="AB61" t="str">
        <v>14:36:01</v>
      </c>
      <c r="AC61">
        <f>IF("ONLINE"="NOGPS","GPS Antiguo","En línea")</f>
      </c>
      <c r="AD61">
        <f>IF(0=0,"Sin atender", IF(0=1,"Atendida","Atendida y Reportada"))</f>
      </c>
      <c r="AE61" t="str">
        <v/>
      </c>
      <c r="AF61" t="str">
        <v/>
      </c>
      <c r="AG61" t="str">
        <v/>
      </c>
      <c r="AH61" t="str">
        <v/>
      </c>
      <c r="AI61" t="str">
        <v>17/09/2026 14:36:16</v>
      </c>
      <c r="AJ61" t="str">
        <v>14:36:16</v>
      </c>
      <c r="AK61" t="str">
        <v/>
      </c>
    </row>
    <row r="62">
      <c r="A62">
        <v>61</v>
      </c>
      <c r="B62" t="str">
        <v>MASS BSF</v>
      </c>
      <c r="C62" t="str">
        <v>CKL-718</v>
      </c>
      <c r="D62" t="str">
        <v>CKL-718</v>
      </c>
      <c r="E62" t="str">
        <v>867162029820636</v>
      </c>
      <c r="F62" t="str">
        <v>TBD</v>
      </c>
      <c r="G62" t="str">
        <v/>
      </c>
      <c r="H62" t="str">
        <v/>
      </c>
      <c r="I62" t="str">
        <v>17/09/2026</v>
      </c>
      <c r="J62" t="str">
        <v>14:43:56</v>
      </c>
      <c r="K62">
        <v>-12.253108</v>
      </c>
      <c r="L62">
        <v>-76.91455</v>
      </c>
      <c r="M62">
        <f>HYPERLINK("https://www.google.com/maps/search/?api=1&amp;query=-12.253108,-76.91455","Calle Paseo Torrigiano, Lurín, Lima")</f>
      </c>
      <c r="N62" t="str">
        <v>Vehículo encendido</v>
      </c>
      <c r="O62">
        <v>21512.9</v>
      </c>
      <c r="P62" t="str">
        <v/>
      </c>
      <c r="Q62">
        <v>0</v>
      </c>
      <c r="R62">
        <v>81.82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v>100</v>
      </c>
      <c r="AA62" t="str">
        <v>17/09/2026</v>
      </c>
      <c r="AB62" t="str">
        <v>14:36:01</v>
      </c>
      <c r="AC62">
        <f>IF("NOGPS"="NOGPS","GPS Antiguo","En línea")</f>
      </c>
      <c r="AD62">
        <f>IF(0=0,"Sin atender", IF(0=1,"Atendida","Atendida y Reportada"))</f>
      </c>
      <c r="AE62" t="str">
        <v/>
      </c>
      <c r="AF62" t="str">
        <v/>
      </c>
      <c r="AG62" t="str">
        <v/>
      </c>
      <c r="AH62" t="str">
        <v/>
      </c>
      <c r="AI62" t="str">
        <v>17/09/2026 14:44:15</v>
      </c>
      <c r="AJ62" t="str">
        <v>14:44:15</v>
      </c>
      <c r="AK62" t="str">
        <v/>
      </c>
    </row>
    <row r="63">
      <c r="A63">
        <v>62</v>
      </c>
      <c r="B63" t="str">
        <v>MASS BSF</v>
      </c>
      <c r="C63" t="str">
        <v>CKL-718</v>
      </c>
      <c r="D63" t="str">
        <v>CKL-718</v>
      </c>
      <c r="E63" t="str">
        <v>867162029820636</v>
      </c>
      <c r="F63" t="str">
        <v>TBD</v>
      </c>
      <c r="G63" t="str">
        <v/>
      </c>
      <c r="H63" t="str">
        <v/>
      </c>
      <c r="I63" t="str">
        <v>17/09/2026</v>
      </c>
      <c r="J63" t="str">
        <v>14:49:55</v>
      </c>
      <c r="K63">
        <v>-12.253077</v>
      </c>
      <c r="L63">
        <v>-76.91443</v>
      </c>
      <c r="M63">
        <f>HYPERLINK("https://www.google.com/maps/search/?api=1&amp;query=-12.253077,-76.91443","Lurín, Lima")</f>
      </c>
      <c r="N63" t="str">
        <v>Vehículo apagado</v>
      </c>
      <c r="O63">
        <v>21512.9</v>
      </c>
      <c r="P63" t="str">
        <v/>
      </c>
      <c r="Q63">
        <v>0</v>
      </c>
      <c r="R63">
        <v>81.92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v>100</v>
      </c>
      <c r="AA63" t="str">
        <v>17/09/2026</v>
      </c>
      <c r="AB63" t="str">
        <v>14:49:57</v>
      </c>
      <c r="AC63">
        <f>IF("ONLINE"="NOGPS","GPS Antiguo","En línea")</f>
      </c>
      <c r="AD63">
        <f>IF(0=0,"Sin atender", IF(0=1,"Atendida","Atendida y Reportada"))</f>
      </c>
      <c r="AE63" t="str">
        <v/>
      </c>
      <c r="AF63" t="str">
        <v/>
      </c>
      <c r="AG63" t="str">
        <v/>
      </c>
      <c r="AH63" t="str">
        <v/>
      </c>
      <c r="AI63" t="str">
        <v>17/09/2026 14:50:19</v>
      </c>
      <c r="AJ63" t="str">
        <v>14:50:19</v>
      </c>
      <c r="AK63" t="str">
        <v/>
      </c>
    </row>
    <row r="64">
      <c r="A64">
        <v>63</v>
      </c>
      <c r="B64" t="str">
        <v>MASS BSF</v>
      </c>
      <c r="C64" t="str">
        <v>CKL-718</v>
      </c>
      <c r="D64" t="str">
        <v>CKL-718</v>
      </c>
      <c r="E64" t="str">
        <v>867162029820636</v>
      </c>
      <c r="F64" t="str">
        <v>TBD</v>
      </c>
      <c r="G64" t="str">
        <v/>
      </c>
      <c r="H64" t="str">
        <v/>
      </c>
      <c r="I64" t="str">
        <v>17/09/2026</v>
      </c>
      <c r="J64" t="str">
        <v>14:50:48</v>
      </c>
      <c r="K64">
        <v>-12.253077</v>
      </c>
      <c r="L64">
        <v>-76.91443</v>
      </c>
      <c r="M64">
        <f>HYPERLINK("https://www.google.com/maps/search/?api=1&amp;query=-12.253077,-76.91443","Lurín, Lima")</f>
      </c>
      <c r="N64" t="str">
        <v>Vehículo encendido</v>
      </c>
      <c r="O64">
        <v>21512.9</v>
      </c>
      <c r="P64" t="str">
        <v/>
      </c>
      <c r="Q64">
        <v>0</v>
      </c>
      <c r="R64">
        <v>81.92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v>100</v>
      </c>
      <c r="AA64" t="str">
        <v>17/09/2026</v>
      </c>
      <c r="AB64" t="str">
        <v>14:49:57</v>
      </c>
      <c r="AC64">
        <f>IF("ONLINE"="NOGPS","GPS Antiguo","En línea")</f>
      </c>
      <c r="AD64">
        <f>IF(0=0,"Sin atender", IF(0=1,"Atendida","Atendida y Reportada"))</f>
      </c>
      <c r="AE64" t="str">
        <v/>
      </c>
      <c r="AF64" t="str">
        <v/>
      </c>
      <c r="AG64" t="str">
        <v/>
      </c>
      <c r="AH64" t="str">
        <v/>
      </c>
      <c r="AI64" t="str">
        <v>17/09/2026 14:51:03</v>
      </c>
      <c r="AJ64" t="str">
        <v>14:51:03</v>
      </c>
      <c r="AK64" t="str">
        <v/>
      </c>
    </row>
    <row r="65">
      <c r="A65">
        <v>64</v>
      </c>
      <c r="B65" t="str">
        <v>MASS BSF</v>
      </c>
      <c r="C65" t="str">
        <v>CKL-718</v>
      </c>
      <c r="D65" t="str">
        <v>CKL-718</v>
      </c>
      <c r="E65" t="str">
        <v>867162029820636</v>
      </c>
      <c r="F65" t="str">
        <v>TBD</v>
      </c>
      <c r="G65" t="str">
        <v/>
      </c>
      <c r="H65" t="str">
        <v/>
      </c>
      <c r="I65" t="str">
        <v>17/09/2026</v>
      </c>
      <c r="J65" t="str">
        <v>15:10:49</v>
      </c>
      <c r="K65">
        <v>-12.32607</v>
      </c>
      <c r="L65">
        <v>-76.8249</v>
      </c>
      <c r="M65">
        <f>HYPERLINK("https://www.google.com/maps/search/?api=1&amp;query=-12.32607,-76.8249","Carretera Panamericana Sur, Punta Hermosa, Lima")</f>
      </c>
      <c r="N65" t="str">
        <v>Excedió el límite de velocidad</v>
      </c>
      <c r="O65">
        <v>21528</v>
      </c>
      <c r="P65" t="str">
        <v/>
      </c>
      <c r="Q65">
        <v>82.2</v>
      </c>
      <c r="R65">
        <v>81.92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v>100</v>
      </c>
      <c r="AA65" t="str">
        <v>17/09/2026</v>
      </c>
      <c r="AB65" t="str">
        <v>15:10:48</v>
      </c>
      <c r="AC65">
        <f>IF("ONLINE"="NOGPS","GPS Antiguo","En línea")</f>
      </c>
      <c r="AD65">
        <f>IF(0=0,"Sin atender", IF(0=1,"Atendida","Atendida y Reportada"))</f>
      </c>
      <c r="AE65" t="str">
        <v/>
      </c>
      <c r="AF65" t="str">
        <v/>
      </c>
      <c r="AG65" t="str">
        <v/>
      </c>
      <c r="AH65" t="str">
        <v/>
      </c>
      <c r="AI65" t="str">
        <v>17/09/2026 15:11:08</v>
      </c>
      <c r="AJ65" t="str">
        <v>15:11:08</v>
      </c>
      <c r="AK65" t="str">
        <v/>
      </c>
    </row>
    <row r="66">
      <c r="A66">
        <v>65</v>
      </c>
      <c r="B66" t="str">
        <v>MASS BSF</v>
      </c>
      <c r="C66" t="str">
        <v>CKL-718</v>
      </c>
      <c r="D66" t="str">
        <v>CKL-718</v>
      </c>
      <c r="E66" t="str">
        <v>867162029820636</v>
      </c>
      <c r="F66" t="str">
        <v>TBD</v>
      </c>
      <c r="G66" t="str">
        <v/>
      </c>
      <c r="H66" t="str">
        <v/>
      </c>
      <c r="I66" t="str">
        <v>17/09/2026</v>
      </c>
      <c r="J66" t="str">
        <v>15:11:48</v>
      </c>
      <c r="K66">
        <v>-12.32607</v>
      </c>
      <c r="L66">
        <v>-76.8249</v>
      </c>
      <c r="M66">
        <f>HYPERLINK("https://www.google.com/maps/search/?api=1&amp;query=-12.32607,-76.8249","Carretera Panamericana Sur, Punta Hermosa, Lima")</f>
      </c>
      <c r="N66" t="str">
        <v>Exceso de velocidad en segmento vial</v>
      </c>
      <c r="O66">
        <v>21529.2</v>
      </c>
      <c r="P66" t="str">
        <v/>
      </c>
      <c r="Q66">
        <v>82.2</v>
      </c>
      <c r="R66">
        <v>81.92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v>100</v>
      </c>
      <c r="AA66" t="str">
        <v>17/09/2026</v>
      </c>
      <c r="AB66" t="str">
        <v>15:10:48</v>
      </c>
      <c r="AC66">
        <f>IF("ONLINE"="NOGPS","GPS Antiguo","En línea")</f>
      </c>
      <c r="AD66">
        <f>IF(0=0,"Sin atender", IF(0=1,"Atendida","Atendida y Reportada"))</f>
      </c>
      <c r="AE66" t="str">
        <v/>
      </c>
      <c r="AF66" t="str">
        <v/>
      </c>
      <c r="AG66" t="str">
        <v/>
      </c>
      <c r="AH66" t="str">
        <v/>
      </c>
      <c r="AI66" t="str">
        <v>17/09/2026 15:12:09</v>
      </c>
      <c r="AJ66" t="str">
        <v>15:12:09</v>
      </c>
      <c r="AK66" t="str">
        <v/>
      </c>
    </row>
    <row r="67">
      <c r="A67">
        <v>66</v>
      </c>
      <c r="B67" t="str">
        <v>MASS BSF</v>
      </c>
      <c r="C67" t="str">
        <v>CKL-718</v>
      </c>
      <c r="D67" t="str">
        <v>CKL-718</v>
      </c>
      <c r="E67" t="str">
        <v>867162029820636</v>
      </c>
      <c r="F67" t="str">
        <v>TBD</v>
      </c>
      <c r="G67" t="str">
        <v/>
      </c>
      <c r="H67" t="str">
        <v/>
      </c>
      <c r="I67" t="str">
        <v>17/09/2026</v>
      </c>
      <c r="J67" t="str">
        <v>15:21:36</v>
      </c>
      <c r="K67">
        <v>-12.317316</v>
      </c>
      <c r="L67">
        <v>-76.822914</v>
      </c>
      <c r="M67">
        <f>HYPERLINK("https://www.google.com/maps/search/?api=1&amp;query=-12.317316,-76.822914","Punta Hermosa, Lima")</f>
      </c>
      <c r="N67" t="str">
        <v>Vehículo apagado</v>
      </c>
      <c r="O67">
        <v>21532.9</v>
      </c>
      <c r="P67" t="str">
        <v/>
      </c>
      <c r="Q67">
        <v>4.4</v>
      </c>
      <c r="R67">
        <v>82.43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v>100</v>
      </c>
      <c r="AA67" t="str">
        <v>17/09/2026</v>
      </c>
      <c r="AB67" t="str">
        <v>15:21:06</v>
      </c>
      <c r="AC67">
        <f>IF("ONLINE"="NOGPS","GPS Antiguo","En línea")</f>
      </c>
      <c r="AD67">
        <f>IF(0=0,"Sin atender", IF(0=1,"Atendida","Atendida y Reportada"))</f>
      </c>
      <c r="AE67" t="str">
        <v/>
      </c>
      <c r="AF67" t="str">
        <v/>
      </c>
      <c r="AG67" t="str">
        <v/>
      </c>
      <c r="AH67" t="str">
        <v/>
      </c>
      <c r="AI67" t="str">
        <v>17/09/2026 15:21:50</v>
      </c>
      <c r="AJ67" t="str">
        <v>15:21:50</v>
      </c>
      <c r="AK67" t="str">
        <v/>
      </c>
    </row>
    <row r="68">
      <c r="A68">
        <v>67</v>
      </c>
      <c r="B68" t="str">
        <v>MASS BSF</v>
      </c>
      <c r="C68" t="str">
        <v>CKL-718</v>
      </c>
      <c r="D68" t="str">
        <v>CKL-718</v>
      </c>
      <c r="E68" t="str">
        <v>867162029820636</v>
      </c>
      <c r="F68" t="str">
        <v>TBD</v>
      </c>
      <c r="G68" t="str">
        <v/>
      </c>
      <c r="H68" t="str">
        <v/>
      </c>
      <c r="I68" t="str">
        <v>17/09/2026</v>
      </c>
      <c r="J68" t="str">
        <v>15:33:45</v>
      </c>
      <c r="K68">
        <v>-12.317361</v>
      </c>
      <c r="L68">
        <v>-76.82292</v>
      </c>
      <c r="M68">
        <f>HYPERLINK("https://www.google.com/maps/search/?api=1&amp;query=-12.317361,-76.82292","Punta Hermosa, Lima")</f>
      </c>
      <c r="N68" t="str">
        <v>Vehículo encendido</v>
      </c>
      <c r="O68">
        <v>21532.9</v>
      </c>
      <c r="P68" t="str">
        <v/>
      </c>
      <c r="Q68">
        <v>0</v>
      </c>
      <c r="R68">
        <v>82.43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v>100</v>
      </c>
      <c r="AA68" t="str">
        <v>17/09/2026</v>
      </c>
      <c r="AB68" t="str">
        <v>15:21:38</v>
      </c>
      <c r="AC68">
        <f>IF("NOGPS"="NOGPS","GPS Antiguo","En línea")</f>
      </c>
      <c r="AD68">
        <f>IF(0=0,"Sin atender", IF(0=1,"Atendida","Atendida y Reportada"))</f>
      </c>
      <c r="AE68" t="str">
        <v/>
      </c>
      <c r="AF68" t="str">
        <v/>
      </c>
      <c r="AG68" t="str">
        <v/>
      </c>
      <c r="AH68" t="str">
        <v/>
      </c>
      <c r="AI68" t="str">
        <v>17/09/2026 15:34:07</v>
      </c>
      <c r="AJ68" t="str">
        <v>15:34:07</v>
      </c>
      <c r="AK68" t="str">
        <v/>
      </c>
    </row>
    <row r="69">
      <c r="A69">
        <v>68</v>
      </c>
      <c r="B69" t="str">
        <v>MASS BSF</v>
      </c>
      <c r="C69" t="str">
        <v>CKL-718</v>
      </c>
      <c r="D69" t="str">
        <v>CKL-718</v>
      </c>
      <c r="E69" t="str">
        <v>867162029820636</v>
      </c>
      <c r="F69" t="str">
        <v>TBD</v>
      </c>
      <c r="G69" t="str">
        <v/>
      </c>
      <c r="H69" t="str">
        <v/>
      </c>
      <c r="I69" t="str">
        <v>17/09/2026</v>
      </c>
      <c r="J69" t="str">
        <v>15:34:13</v>
      </c>
      <c r="K69">
        <v>-12.317141</v>
      </c>
      <c r="L69">
        <v>-76.8231</v>
      </c>
      <c r="M69">
        <f>HYPERLINK("https://www.google.com/maps/search/?api=1&amp;query=-12.317141,-76.8231","Punta Hermosa, Lima")</f>
      </c>
      <c r="N69" t="str">
        <v>Vehículo apagado</v>
      </c>
      <c r="O69">
        <v>21532.9</v>
      </c>
      <c r="P69" t="str">
        <v/>
      </c>
      <c r="Q69">
        <v>7.8</v>
      </c>
      <c r="R69">
        <v>82.43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v>100</v>
      </c>
      <c r="AA69" t="str">
        <v>17/09/2026</v>
      </c>
      <c r="AB69" t="str">
        <v>15:34:04</v>
      </c>
      <c r="AC69">
        <f>IF("ONLINE"="NOGPS","GPS Antiguo","En línea")</f>
      </c>
      <c r="AD69">
        <f>IF(0=0,"Sin atender", IF(0=1,"Atendida","Atendida y Reportada"))</f>
      </c>
      <c r="AE69" t="str">
        <v/>
      </c>
      <c r="AF69" t="str">
        <v/>
      </c>
      <c r="AG69" t="str">
        <v/>
      </c>
      <c r="AH69" t="str">
        <v/>
      </c>
      <c r="AI69" t="str">
        <v>17/09/2026 15:34:26</v>
      </c>
      <c r="AJ69" t="str">
        <v>15:34:26</v>
      </c>
      <c r="AK69" t="str">
        <v/>
      </c>
    </row>
    <row r="70">
      <c r="A70">
        <v>69</v>
      </c>
      <c r="B70" t="str">
        <v>MASS BSF</v>
      </c>
      <c r="C70" t="str">
        <v>CKL-718</v>
      </c>
      <c r="D70" t="str">
        <v>CKL-718</v>
      </c>
      <c r="E70" t="str">
        <v>867162029820636</v>
      </c>
      <c r="F70" t="str">
        <v>TBD</v>
      </c>
      <c r="G70" t="str">
        <v/>
      </c>
      <c r="H70" t="str">
        <v/>
      </c>
      <c r="I70" t="str">
        <v>17/09/2026</v>
      </c>
      <c r="J70" t="str">
        <v>15:47:04</v>
      </c>
      <c r="K70">
        <v>-12.317252</v>
      </c>
      <c r="L70">
        <v>-76.823074</v>
      </c>
      <c r="M70">
        <f>HYPERLINK("https://www.google.com/maps/search/?api=1&amp;query=-12.317252,-76.823074","Punta Hermosa, Lima")</f>
      </c>
      <c r="N70" t="str">
        <v>Vehículo encendido</v>
      </c>
      <c r="O70">
        <v>21532.9</v>
      </c>
      <c r="P70" t="str">
        <v/>
      </c>
      <c r="Q70">
        <v>0</v>
      </c>
      <c r="R70">
        <v>82.43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v>100</v>
      </c>
      <c r="AA70" t="str">
        <v>17/09/2026</v>
      </c>
      <c r="AB70" t="str">
        <v>15:34:15</v>
      </c>
      <c r="AC70">
        <f>IF("NOGPS"="NOGPS","GPS Antiguo","En línea")</f>
      </c>
      <c r="AD70">
        <f>IF(0=0,"Sin atender", IF(0=1,"Atendida","Atendida y Reportada"))</f>
      </c>
      <c r="AE70" t="str">
        <v/>
      </c>
      <c r="AF70" t="str">
        <v/>
      </c>
      <c r="AG70" t="str">
        <v/>
      </c>
      <c r="AH70" t="str">
        <v/>
      </c>
      <c r="AI70" t="str">
        <v>17/09/2026 15:47:18</v>
      </c>
      <c r="AJ70" t="str">
        <v>15:47:18</v>
      </c>
      <c r="AK70" t="str">
        <v/>
      </c>
    </row>
    <row r="71">
      <c r="A71">
        <v>70</v>
      </c>
      <c r="B71" t="str">
        <v>MASS BSF</v>
      </c>
      <c r="C71" t="str">
        <v>CKL-718</v>
      </c>
      <c r="D71" t="str">
        <v>CKL-718</v>
      </c>
      <c r="E71" t="str">
        <v>867162029820636</v>
      </c>
      <c r="F71" t="str">
        <v>TBD</v>
      </c>
      <c r="G71" t="str">
        <v/>
      </c>
      <c r="H71" t="str">
        <v/>
      </c>
      <c r="I71" t="str">
        <v>17/09/2026</v>
      </c>
      <c r="J71" t="str">
        <v>15:48:39</v>
      </c>
      <c r="K71">
        <v>-12.318601</v>
      </c>
      <c r="L71">
        <v>-76.82398</v>
      </c>
      <c r="M71">
        <f>HYPERLINK("https://www.google.com/maps/search/?api=1&amp;query=-12.318601,-76.82398","Punta Hermosa, Lima")</f>
      </c>
      <c r="N71" t="str">
        <v>Vehículo apagado</v>
      </c>
      <c r="O71">
        <v>21533.1</v>
      </c>
      <c r="P71" t="str">
        <v/>
      </c>
      <c r="Q71">
        <v>8.7</v>
      </c>
      <c r="R71">
        <v>82.47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v>100</v>
      </c>
      <c r="AA71" t="str">
        <v>17/09/2026</v>
      </c>
      <c r="AB71" t="str">
        <v>15:48:24</v>
      </c>
      <c r="AC71">
        <f>IF("ONLINE"="NOGPS","GPS Antiguo","En línea")</f>
      </c>
      <c r="AD71">
        <f>IF(0=0,"Sin atender", IF(0=1,"Atendida","Atendida y Reportada"))</f>
      </c>
      <c r="AE71" t="str">
        <v/>
      </c>
      <c r="AF71" t="str">
        <v/>
      </c>
      <c r="AG71" t="str">
        <v/>
      </c>
      <c r="AH71" t="str">
        <v/>
      </c>
      <c r="AI71" t="str">
        <v>17/09/2026 15:48:42</v>
      </c>
      <c r="AJ71" t="str">
        <v>15:48:42</v>
      </c>
      <c r="AK71" t="str">
        <v/>
      </c>
    </row>
  </sheetData>
  <ignoredErrors>
    <ignoredError numberStoredAsText="1" sqref="A1:AK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