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/>
      </c>
      <c r="J2" t="str">
        <v>17/09/2026</v>
      </c>
      <c r="K2" t="str">
        <v>05:28:27</v>
      </c>
      <c r="L2">
        <v>-12.213121</v>
      </c>
      <c r="M2">
        <v>-76.95906</v>
      </c>
      <c r="N2">
        <f>HYPERLINK("https://www.google.com/maps/search/?api=1&amp;query=-12.213121,-76.95906","Villa El Salvador, Lima")</f>
      </c>
      <c r="O2" t="str">
        <v>Vehículo encendido</v>
      </c>
      <c r="P2">
        <v>294395.8</v>
      </c>
      <c r="Q2" t="str">
        <v/>
      </c>
      <c r="R2">
        <v>0</v>
      </c>
      <c r="S2">
        <v>8.35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85</v>
      </c>
      <c r="AB2" t="str">
        <v>17/09/2026</v>
      </c>
      <c r="AC2" t="str">
        <v>05:28:23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05:28:36</v>
      </c>
      <c r="AK2" t="str">
        <v>05:28:36</v>
      </c>
      <c r="AL2" t="str">
        <v/>
      </c>
    </row>
    <row r="3">
      <c r="A3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/>
      </c>
      <c r="J3" t="str">
        <v>17/09/2026</v>
      </c>
      <c r="K3" t="str">
        <v>05:29:46</v>
      </c>
      <c r="L3">
        <v>-12.213121</v>
      </c>
      <c r="M3">
        <v>-76.95906</v>
      </c>
      <c r="N3">
        <f>HYPERLINK("https://www.google.com/maps/search/?api=1&amp;query=-12.213121,-76.95906","Villa El Salvador, Lima")</f>
      </c>
      <c r="O3" t="str">
        <v>Vehículo apagado</v>
      </c>
      <c r="P3">
        <v>294395.8</v>
      </c>
      <c r="Q3" t="str">
        <v/>
      </c>
      <c r="R3">
        <v>0</v>
      </c>
      <c r="S3">
        <v>8.37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85</v>
      </c>
      <c r="AB3" t="str">
        <v>17/09/2026</v>
      </c>
      <c r="AC3" t="str">
        <v>05:29:42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05:30:04</v>
      </c>
      <c r="AK3" t="str">
        <v>05:30:04</v>
      </c>
      <c r="AL3" t="str">
        <v/>
      </c>
    </row>
    <row r="4">
      <c r="A4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/>
      </c>
      <c r="J4" t="str">
        <v>17/09/2026</v>
      </c>
      <c r="K4" t="str">
        <v>06:06:24</v>
      </c>
      <c r="L4">
        <v>-12.213121</v>
      </c>
      <c r="M4">
        <v>-76.95906</v>
      </c>
      <c r="N4">
        <f>HYPERLINK("https://www.google.com/maps/search/?api=1&amp;query=-12.213121,-76.95906","Villa El Salvador, Lima")</f>
      </c>
      <c r="O4" t="str">
        <v>Se movio</v>
      </c>
      <c r="P4">
        <v>294395.8</v>
      </c>
      <c r="Q4" t="str">
        <v/>
      </c>
      <c r="R4">
        <v>0</v>
      </c>
      <c r="S4">
        <v>8.37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90</v>
      </c>
      <c r="AB4" t="str">
        <v>17/09/2026</v>
      </c>
      <c r="AC4" t="str">
        <v>06:06:20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06:06:42</v>
      </c>
      <c r="AK4" t="str">
        <v>06:06:42</v>
      </c>
      <c r="AL4" t="str">
        <v/>
      </c>
    </row>
    <row r="5">
      <c r="A5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/>
      </c>
      <c r="J5" t="str">
        <v>17/09/2026</v>
      </c>
      <c r="K5" t="str">
        <v>06:07:05</v>
      </c>
      <c r="L5">
        <v>-12.213146</v>
      </c>
      <c r="M5">
        <v>-76.95896</v>
      </c>
      <c r="N5">
        <f>HYPERLINK("https://www.google.com/maps/search/?api=1&amp;query=-12.213146,-76.95896","Villa El Salvador, Lima")</f>
      </c>
      <c r="O5" t="str">
        <v>Vehículo encendido</v>
      </c>
      <c r="P5">
        <v>294395.8</v>
      </c>
      <c r="Q5" t="str">
        <v/>
      </c>
      <c r="R5">
        <v>0</v>
      </c>
      <c r="S5">
        <v>8.37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90</v>
      </c>
      <c r="AB5" t="str">
        <v>17/09/2026</v>
      </c>
      <c r="AC5" t="str">
        <v>06:07:01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06:07:28</v>
      </c>
      <c r="AK5" t="str">
        <v>06:07:28</v>
      </c>
      <c r="AL5" t="str">
        <v/>
      </c>
    </row>
    <row r="6">
      <c r="A6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/>
      </c>
      <c r="J6" t="str">
        <v>17/09/2026</v>
      </c>
      <c r="K6" t="str">
        <v>06:13:48</v>
      </c>
      <c r="L6">
        <v>-12.212018</v>
      </c>
      <c r="M6">
        <v>-76.96144</v>
      </c>
      <c r="N6">
        <f>HYPERLINK("https://www.google.com/maps/search/?api=1&amp;query=-12.212018,-76.96144","Calle 1, Villa El Salvador, Lima")</f>
      </c>
      <c r="O6" t="str">
        <v>Bache</v>
      </c>
      <c r="P6">
        <v>294396.2</v>
      </c>
      <c r="Q6" t="str">
        <v/>
      </c>
      <c r="R6">
        <v>5.3</v>
      </c>
      <c r="S6">
        <v>8.37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84</v>
      </c>
      <c r="AB6" t="str">
        <v>17/09/2026</v>
      </c>
      <c r="AC6" t="str">
        <v>06:13:44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06:13:57</v>
      </c>
      <c r="AK6" t="str">
        <v>06:13:57</v>
      </c>
      <c r="AL6" t="str">
        <v/>
      </c>
    </row>
    <row r="7">
      <c r="A7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/>
      </c>
      <c r="J7" t="str">
        <v>17/09/2026</v>
      </c>
      <c r="K7" t="str">
        <v>06:21:03</v>
      </c>
      <c r="L7">
        <v>-12.20099</v>
      </c>
      <c r="M7">
        <v>-76.95067</v>
      </c>
      <c r="N7">
        <f>HYPERLINK("https://www.google.com/maps/search/?api=1&amp;query=-12.20099,-76.95067","Avenida Micaela Bastidas, Villa El Salvador, Lima")</f>
      </c>
      <c r="O7" t="str">
        <v>Bache</v>
      </c>
      <c r="P7">
        <v>294398.2</v>
      </c>
      <c r="Q7" t="str">
        <v/>
      </c>
      <c r="R7">
        <v>7.9</v>
      </c>
      <c r="S7">
        <v>8.37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85</v>
      </c>
      <c r="AB7" t="str">
        <v>17/09/2026</v>
      </c>
      <c r="AC7" t="str">
        <v>06:20:59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06:21:19</v>
      </c>
      <c r="AK7" t="str">
        <v>06:21:19</v>
      </c>
      <c r="AL7" t="str">
        <v/>
      </c>
    </row>
    <row r="8">
      <c r="A8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/>
      </c>
      <c r="J8" t="str">
        <v>17/09/2026</v>
      </c>
      <c r="K8" t="str">
        <v>06:25:05</v>
      </c>
      <c r="L8">
        <v>-12.198722</v>
      </c>
      <c r="M8">
        <v>-76.95201</v>
      </c>
      <c r="N8">
        <f>HYPERLINK("https://www.google.com/maps/search/?api=1&amp;query=-12.198722,-76.95201","Avenida Micaela Bastidas, Villa El Salvador, Lima")</f>
      </c>
      <c r="O8" t="str">
        <v>Inicio de ralentí</v>
      </c>
      <c r="P8">
        <v>294398.5</v>
      </c>
      <c r="Q8" t="str">
        <v/>
      </c>
      <c r="R8">
        <v>0</v>
      </c>
      <c r="S8">
        <v>8.37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85</v>
      </c>
      <c r="AB8" t="str">
        <v>17/09/2026</v>
      </c>
      <c r="AC8" t="str">
        <v>06:25:00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06:25:07</v>
      </c>
      <c r="AK8" t="str">
        <v>06:25:07</v>
      </c>
      <c r="AL8" t="str">
        <v/>
      </c>
    </row>
    <row r="9">
      <c r="A9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/>
      </c>
      <c r="J9" t="str">
        <v>17/09/2026</v>
      </c>
      <c r="K9" t="str">
        <v>06:26:00</v>
      </c>
      <c r="L9">
        <v>-12.198722</v>
      </c>
      <c r="M9">
        <v>-76.95201</v>
      </c>
      <c r="N9">
        <f>HYPERLINK("https://www.google.com/maps/search/?api=1&amp;query=-12.198722,-76.95201","Avenida Micaela Bastidas, Villa El Salvador, Lima")</f>
      </c>
      <c r="O9" t="str">
        <v>Vehículo apagado</v>
      </c>
      <c r="P9">
        <v>294398.5</v>
      </c>
      <c r="Q9" t="str">
        <v/>
      </c>
      <c r="R9">
        <v>0</v>
      </c>
      <c r="S9">
        <v>8.68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85</v>
      </c>
      <c r="AB9" t="str">
        <v>17/09/2026</v>
      </c>
      <c r="AC9" t="str">
        <v>06:25:56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06:26:11</v>
      </c>
      <c r="AK9" t="str">
        <v>06:26:11</v>
      </c>
      <c r="AL9" t="str">
        <v/>
      </c>
    </row>
    <row r="10">
      <c r="A10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/>
      </c>
      <c r="J10" t="str">
        <v>17/09/2026</v>
      </c>
      <c r="K10" t="str">
        <v>06:26:01</v>
      </c>
      <c r="L10">
        <v>-12.198722</v>
      </c>
      <c r="M10">
        <v>-76.95201</v>
      </c>
      <c r="N10">
        <f>HYPERLINK("https://www.google.com/maps/search/?api=1&amp;query=-12.198722,-76.95201","Avenida Micaela Bastidas, Villa El Salvador, Lima")</f>
      </c>
      <c r="O10" t="str">
        <v>Fin de ralentí</v>
      </c>
      <c r="P10">
        <v>294398.5</v>
      </c>
      <c r="Q10" t="str">
        <v/>
      </c>
      <c r="R10">
        <v>0</v>
      </c>
      <c r="S10">
        <v>8.37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85</v>
      </c>
      <c r="AB10" t="str">
        <v>17/09/2026</v>
      </c>
      <c r="AC10" t="str">
        <v>06:25:56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06:26:11</v>
      </c>
      <c r="AK10" t="str">
        <v>06:26:11</v>
      </c>
      <c r="AL10" t="str">
        <v/>
      </c>
    </row>
    <row r="11">
      <c r="A11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/>
      </c>
      <c r="J11" t="str">
        <v>17/09/2026</v>
      </c>
      <c r="K11" t="str">
        <v>06:59:39</v>
      </c>
      <c r="L11">
        <v>-12.198707</v>
      </c>
      <c r="M11">
        <v>-76.9521</v>
      </c>
      <c r="N11">
        <f>HYPERLINK("https://www.google.com/maps/search/?api=1&amp;query=-12.198707,-76.9521","Avenida Micaela Bastidas, Villa El Salvador, Lima")</f>
      </c>
      <c r="O11" t="str">
        <v>Vehículo encendido</v>
      </c>
      <c r="P11">
        <v>294398.5</v>
      </c>
      <c r="Q11" t="str">
        <v/>
      </c>
      <c r="R11">
        <v>0</v>
      </c>
      <c r="S11">
        <v>8.68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85</v>
      </c>
      <c r="AB11" t="str">
        <v>17/09/2026</v>
      </c>
      <c r="AC11" t="str">
        <v>06:59:34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06:59:52</v>
      </c>
      <c r="AK11" t="str">
        <v>06:59:52</v>
      </c>
      <c r="AL11" t="str">
        <v/>
      </c>
    </row>
    <row r="12">
      <c r="A12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/>
      </c>
      <c r="J12" t="str">
        <v>17/09/2026</v>
      </c>
      <c r="K12" t="str">
        <v>07:02:54</v>
      </c>
      <c r="L12">
        <v>-12.19852</v>
      </c>
      <c r="M12">
        <v>-76.952156</v>
      </c>
      <c r="N12">
        <f>HYPERLINK("https://www.google.com/maps/search/?api=1&amp;query=-12.19852,-76.952156","Avenida Micaela Bastidas, Villa El Salvador, Lima")</f>
      </c>
      <c r="O12" t="str">
        <v>Inicio de ralentí</v>
      </c>
      <c r="P12">
        <v>294398.5</v>
      </c>
      <c r="Q12" t="str">
        <v/>
      </c>
      <c r="R12">
        <v>0</v>
      </c>
      <c r="S12">
        <v>8.68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85</v>
      </c>
      <c r="AB12" t="str">
        <v>17/09/2026</v>
      </c>
      <c r="AC12" t="str">
        <v>07:02:49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07:03:05</v>
      </c>
      <c r="AK12" t="str">
        <v>07:03:05</v>
      </c>
      <c r="AL12" t="str">
        <v/>
      </c>
    </row>
    <row r="13">
      <c r="A13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/>
      </c>
      <c r="J13" t="str">
        <v>17/09/2026</v>
      </c>
      <c r="K13" t="str">
        <v>07:03:28</v>
      </c>
      <c r="L13">
        <v>-12.19852</v>
      </c>
      <c r="M13">
        <v>-76.952156</v>
      </c>
      <c r="N13">
        <f>HYPERLINK("https://www.google.com/maps/search/?api=1&amp;query=-12.19852,-76.952156","Avenida Micaela Bastidas, Villa El Salvador, Lima")</f>
      </c>
      <c r="O13" t="str">
        <v>Se movio</v>
      </c>
      <c r="P13">
        <v>294398.5</v>
      </c>
      <c r="Q13" t="str">
        <v/>
      </c>
      <c r="R13">
        <v>0</v>
      </c>
      <c r="S13">
        <v>8.68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85</v>
      </c>
      <c r="AB13" t="str">
        <v>17/09/2026</v>
      </c>
      <c r="AC13" t="str">
        <v>07:03:24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07:03:39</v>
      </c>
      <c r="AK13" t="str">
        <v>07:03:39</v>
      </c>
      <c r="AL13" t="str">
        <v/>
      </c>
    </row>
    <row r="14">
      <c r="A14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/>
      </c>
      <c r="J14" t="str">
        <v>17/09/2026</v>
      </c>
      <c r="K14" t="str">
        <v>07:05:08</v>
      </c>
      <c r="L14">
        <v>-12.19852</v>
      </c>
      <c r="M14">
        <v>-76.952156</v>
      </c>
      <c r="N14">
        <f>HYPERLINK("https://www.google.com/maps/search/?api=1&amp;query=-12.19852,-76.952156","Avenida Micaela Bastidas, Villa El Salvador, Lima")</f>
      </c>
      <c r="O14" t="str">
        <v>Vehículo apagado</v>
      </c>
      <c r="P14">
        <v>294398.5</v>
      </c>
      <c r="Q14" t="str">
        <v/>
      </c>
      <c r="R14">
        <v>0</v>
      </c>
      <c r="S14">
        <v>8.77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85</v>
      </c>
      <c r="AB14" t="str">
        <v>17/09/2026</v>
      </c>
      <c r="AC14" t="str">
        <v>07:05:03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07:05:14</v>
      </c>
      <c r="AK14" t="str">
        <v>07:05:14</v>
      </c>
      <c r="AL14" t="str">
        <v/>
      </c>
    </row>
    <row r="15">
      <c r="A15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/>
      </c>
      <c r="J15" t="str">
        <v>17/09/2026</v>
      </c>
      <c r="K15" t="str">
        <v>07:05:08</v>
      </c>
      <c r="L15">
        <v>-12.19852</v>
      </c>
      <c r="M15">
        <v>-76.952156</v>
      </c>
      <c r="N15">
        <f>HYPERLINK("https://www.google.com/maps/search/?api=1&amp;query=-12.19852,-76.952156","Avenida Micaela Bastidas, Villa El Salvador, Lima")</f>
      </c>
      <c r="O15" t="str">
        <v>Fin de ralentí</v>
      </c>
      <c r="P15">
        <v>294398.5</v>
      </c>
      <c r="Q15" t="str">
        <v/>
      </c>
      <c r="R15">
        <v>0</v>
      </c>
      <c r="S15">
        <v>8.68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85</v>
      </c>
      <c r="AB15" t="str">
        <v>17/09/2026</v>
      </c>
      <c r="AC15" t="str">
        <v>07:05:03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07:05:19</v>
      </c>
      <c r="AK15" t="str">
        <v>07:05:19</v>
      </c>
      <c r="AL15" t="str">
        <v/>
      </c>
    </row>
    <row r="16">
      <c r="A16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/>
      </c>
      <c r="J16" t="str">
        <v>17/09/2026</v>
      </c>
      <c r="K16" t="str">
        <v>07:08:30</v>
      </c>
      <c r="L16">
        <v>-12.19852</v>
      </c>
      <c r="M16">
        <v>-76.952156</v>
      </c>
      <c r="N16">
        <f>HYPERLINK("https://www.google.com/maps/search/?api=1&amp;query=-12.19852,-76.952156","Avenida Micaela Bastidas, Villa El Salvador, Lima")</f>
      </c>
      <c r="O16" t="str">
        <v>Vehículo encendido</v>
      </c>
      <c r="P16">
        <v>294398.5</v>
      </c>
      <c r="Q16" t="str">
        <v/>
      </c>
      <c r="R16">
        <v>0</v>
      </c>
      <c r="S16">
        <v>8.77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85</v>
      </c>
      <c r="AB16" t="str">
        <v>17/09/2026</v>
      </c>
      <c r="AC16" t="str">
        <v>07:08:25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07:08:42</v>
      </c>
      <c r="AK16" t="str">
        <v>07:08:42</v>
      </c>
      <c r="AL16" t="str">
        <v/>
      </c>
    </row>
    <row r="17">
      <c r="A17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/>
      </c>
      <c r="J17" t="str">
        <v>17/09/2026</v>
      </c>
      <c r="K17" t="str">
        <v>07:08:53</v>
      </c>
      <c r="L17">
        <v>-12.19852</v>
      </c>
      <c r="M17">
        <v>-76.952156</v>
      </c>
      <c r="N17">
        <f>HYPERLINK("https://www.google.com/maps/search/?api=1&amp;query=-12.19852,-76.952156","Avenida Micaela Bastidas, Villa El Salvador, Lima")</f>
      </c>
      <c r="O17" t="str">
        <v>Vehículo apagado</v>
      </c>
      <c r="P17">
        <v>294398.5</v>
      </c>
      <c r="Q17" t="str">
        <v/>
      </c>
      <c r="R17">
        <v>0</v>
      </c>
      <c r="S17">
        <v>8.77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85</v>
      </c>
      <c r="AB17" t="str">
        <v>17/09/2026</v>
      </c>
      <c r="AC17" t="str">
        <v>07:08:49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07:09:00</v>
      </c>
      <c r="AK17" t="str">
        <v>07:09:00</v>
      </c>
      <c r="AL17" t="str">
        <v/>
      </c>
    </row>
    <row r="18">
      <c r="A18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/>
      </c>
      <c r="J18" t="str">
        <v>17/09/2026</v>
      </c>
      <c r="K18" t="str">
        <v>07:29:42</v>
      </c>
      <c r="L18">
        <v>-12.198573</v>
      </c>
      <c r="M18">
        <v>-76.95208</v>
      </c>
      <c r="N18">
        <f>HYPERLINK("https://www.google.com/maps/search/?api=1&amp;query=-12.198573,-76.95208","Avenida Micaela Bastidas, Villa El Salvador, Lima")</f>
      </c>
      <c r="O18" t="str">
        <v>Vehículo encendido</v>
      </c>
      <c r="P18">
        <v>294398.5</v>
      </c>
      <c r="Q18" t="str">
        <v/>
      </c>
      <c r="R18">
        <v>0</v>
      </c>
      <c r="S18">
        <v>8.77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83</v>
      </c>
      <c r="AB18" t="str">
        <v>17/09/2026</v>
      </c>
      <c r="AC18" t="str">
        <v>07:29:37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07:29:52</v>
      </c>
      <c r="AK18" t="str">
        <v>07:29:52</v>
      </c>
      <c r="AL18" t="str">
        <v/>
      </c>
    </row>
    <row r="19">
      <c r="A19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/>
      </c>
      <c r="J19" t="str">
        <v>17/09/2026</v>
      </c>
      <c r="K19" t="str">
        <v>07:30:31</v>
      </c>
      <c r="L19">
        <v>-12.198225</v>
      </c>
      <c r="M19">
        <v>-76.95233</v>
      </c>
      <c r="N19">
        <f>HYPERLINK("https://www.google.com/maps/search/?api=1&amp;query=-12.198225,-76.95233","Avenida Micaela Bastidas, Villa El Salvador, Lima")</f>
      </c>
      <c r="O19" t="str">
        <v>Se movio</v>
      </c>
      <c r="P19">
        <v>294398.6</v>
      </c>
      <c r="Q19" t="str">
        <v/>
      </c>
      <c r="R19">
        <v>21.2</v>
      </c>
      <c r="S19">
        <v>8.77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83</v>
      </c>
      <c r="AB19" t="str">
        <v>17/09/2026</v>
      </c>
      <c r="AC19" t="str">
        <v>07:30:26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07:30:50</v>
      </c>
      <c r="AK19" t="str">
        <v>07:30:50</v>
      </c>
      <c r="AL19" t="str">
        <v/>
      </c>
    </row>
    <row r="20">
      <c r="A20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/>
      </c>
      <c r="J20" t="str">
        <v>17/09/2026</v>
      </c>
      <c r="K20" t="str">
        <v>07:35:49</v>
      </c>
      <c r="L20">
        <v>-12.203072</v>
      </c>
      <c r="M20">
        <v>-76.949524</v>
      </c>
      <c r="N20">
        <f>HYPERLINK("https://www.google.com/maps/search/?api=1&amp;query=-12.203072,-76.949524","Avenida Micaela Bastidas, Villa El Salvador, Lima")</f>
      </c>
      <c r="O20" t="str">
        <v>Vehículo apagado</v>
      </c>
      <c r="P20">
        <v>294399.5</v>
      </c>
      <c r="Q20" t="str">
        <v/>
      </c>
      <c r="R20">
        <v>0</v>
      </c>
      <c r="S20">
        <v>8.87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83</v>
      </c>
      <c r="AB20" t="str">
        <v>17/09/2026</v>
      </c>
      <c r="AC20" t="str">
        <v>07:35:45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07:36:35</v>
      </c>
      <c r="AK20" t="str">
        <v>07:36:35</v>
      </c>
      <c r="AL20" t="str">
        <v/>
      </c>
    </row>
    <row r="21">
      <c r="A21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/>
      </c>
      <c r="J21" t="str">
        <v>17/09/2026</v>
      </c>
      <c r="K21" t="str">
        <v>08:09:32</v>
      </c>
      <c r="L21">
        <v>-12.203138</v>
      </c>
      <c r="M21">
        <v>-76.94946</v>
      </c>
      <c r="N21">
        <f>HYPERLINK("https://www.google.com/maps/search/?api=1&amp;query=-12.203138,-76.94946","Avenida Micaela Bastidas, Villa El Salvador, Lima")</f>
      </c>
      <c r="O21" t="str">
        <v>Vehículo encendido</v>
      </c>
      <c r="P21">
        <v>294399.5</v>
      </c>
      <c r="Q21" t="str">
        <v/>
      </c>
      <c r="R21">
        <v>0</v>
      </c>
      <c r="S21">
        <v>8.87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85</v>
      </c>
      <c r="AB21" t="str">
        <v>17/09/2026</v>
      </c>
      <c r="AC21" t="str">
        <v>08:09:28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08:09:44</v>
      </c>
      <c r="AK21" t="str">
        <v>08:09:44</v>
      </c>
      <c r="AL21" t="str">
        <v/>
      </c>
    </row>
    <row r="22">
      <c r="A22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/>
      </c>
      <c r="J22" t="str">
        <v>17/09/2026</v>
      </c>
      <c r="K22" t="str">
        <v>08:09:32</v>
      </c>
      <c r="L22">
        <v>-12.203138</v>
      </c>
      <c r="M22">
        <v>-76.94946</v>
      </c>
      <c r="N22">
        <f>HYPERLINK("https://www.google.com/maps/search/?api=1&amp;query=-12.203138,-76.94946","Avenida Micaela Bastidas, Villa El Salvador, Lima")</f>
      </c>
      <c r="O22" t="str">
        <v>Vehículo encendido</v>
      </c>
      <c r="P22">
        <v>294399.5</v>
      </c>
      <c r="Q22" t="str">
        <v/>
      </c>
      <c r="R22">
        <v>0</v>
      </c>
      <c r="S22">
        <v>8.87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85</v>
      </c>
      <c r="AB22" t="str">
        <v>17/09/2026</v>
      </c>
      <c r="AC22" t="str">
        <v>08:09:28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08:10:50</v>
      </c>
      <c r="AK22" t="str">
        <v>08:10:50</v>
      </c>
      <c r="AL22" t="str">
        <v/>
      </c>
    </row>
    <row r="23">
      <c r="A23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/>
      </c>
      <c r="J23" t="str">
        <v>17/09/2026</v>
      </c>
      <c r="K23" t="str">
        <v>08:09:37</v>
      </c>
      <c r="L23">
        <v>-12.203138</v>
      </c>
      <c r="M23">
        <v>-76.94946</v>
      </c>
      <c r="N23">
        <f>HYPERLINK("https://www.google.com/maps/search/?api=1&amp;query=-12.203138,-76.94946","Avenida Micaela Bastidas, Villa El Salvador, Lima")</f>
      </c>
      <c r="O23" t="str">
        <v>Se movio</v>
      </c>
      <c r="P23">
        <v>294399.5</v>
      </c>
      <c r="Q23" t="str">
        <v/>
      </c>
      <c r="R23">
        <v>0</v>
      </c>
      <c r="S23">
        <v>8.87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85</v>
      </c>
      <c r="AB23" t="str">
        <v>17/09/2026</v>
      </c>
      <c r="AC23" t="str">
        <v>08:09:32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08:10:52</v>
      </c>
      <c r="AK23" t="str">
        <v>08:10:52</v>
      </c>
      <c r="AL23" t="str">
        <v/>
      </c>
    </row>
    <row r="24">
      <c r="A24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/>
      </c>
      <c r="J24" t="str">
        <v>17/09/2026</v>
      </c>
      <c r="K24" t="str">
        <v>08:11:19</v>
      </c>
      <c r="L24">
        <v>-12.205502</v>
      </c>
      <c r="M24">
        <v>-76.953125</v>
      </c>
      <c r="N24">
        <f>HYPERLINK("https://www.google.com/maps/search/?api=1&amp;query=-12.205502,-76.953125","Avenida El Sol, Villa El Salvador, Lima")</f>
      </c>
      <c r="O24" t="str">
        <v>Bache</v>
      </c>
      <c r="P24">
        <v>294400</v>
      </c>
      <c r="Q24" t="str">
        <v/>
      </c>
      <c r="R24">
        <v>20.7</v>
      </c>
      <c r="S24">
        <v>8.87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85</v>
      </c>
      <c r="AB24" t="str">
        <v>17/09/2026</v>
      </c>
      <c r="AC24" t="str">
        <v>08:11:14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08:11:26</v>
      </c>
      <c r="AK24" t="str">
        <v>08:11:26</v>
      </c>
      <c r="AL24" t="str">
        <v/>
      </c>
    </row>
    <row r="25">
      <c r="A25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/>
      </c>
      <c r="J25" t="str">
        <v>17/09/2026</v>
      </c>
      <c r="K25" t="str">
        <v>08:11:49</v>
      </c>
      <c r="L25">
        <v>-12.206535</v>
      </c>
      <c r="M25">
        <v>-76.954796</v>
      </c>
      <c r="N25">
        <f>HYPERLINK("https://www.google.com/maps/search/?api=1&amp;query=-12.206535,-76.954796","Avenida El Sol, Villa El Salvador, Lima")</f>
      </c>
      <c r="O25" t="str">
        <v>Bache</v>
      </c>
      <c r="P25">
        <v>294400.2</v>
      </c>
      <c r="Q25" t="str">
        <v/>
      </c>
      <c r="R25">
        <v>43.1</v>
      </c>
      <c r="S25">
        <v>8.87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85</v>
      </c>
      <c r="AB25" t="str">
        <v>17/09/2026</v>
      </c>
      <c r="AC25" t="str">
        <v>08:11:44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08:12:09</v>
      </c>
      <c r="AK25" t="str">
        <v>08:12:09</v>
      </c>
      <c r="AL25" t="str">
        <v/>
      </c>
    </row>
    <row r="26">
      <c r="A26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/>
      </c>
      <c r="J26" t="str">
        <v>17/09/2026</v>
      </c>
      <c r="K26" t="str">
        <v>08:12:12</v>
      </c>
      <c r="L26">
        <v>-12.207561</v>
      </c>
      <c r="M26">
        <v>-76.95656</v>
      </c>
      <c r="N26">
        <f>HYPERLINK("https://www.google.com/maps/search/?api=1&amp;query=-12.207561,-76.95656","Avenida El Sol, Villa El Salvador, Lima")</f>
      </c>
      <c r="O26" t="str">
        <v>Acelerado y giro brusco</v>
      </c>
      <c r="P26">
        <v>294400.4</v>
      </c>
      <c r="Q26" t="str">
        <v/>
      </c>
      <c r="R26">
        <v>13.3</v>
      </c>
      <c r="S26">
        <v>8.87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85</v>
      </c>
      <c r="AB26" t="str">
        <v>17/09/2026</v>
      </c>
      <c r="AC26" t="str">
        <v>08:12:07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08:12:26</v>
      </c>
      <c r="AK26" t="str">
        <v>08:12:26</v>
      </c>
      <c r="AL26" t="str">
        <v/>
      </c>
    </row>
    <row r="27">
      <c r="A27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/>
      </c>
      <c r="J27" t="str">
        <v>17/09/2026</v>
      </c>
      <c r="K27" t="str">
        <v>08:12:44</v>
      </c>
      <c r="L27">
        <v>-12.2084</v>
      </c>
      <c r="M27">
        <v>-76.957954</v>
      </c>
      <c r="N27">
        <f>HYPERLINK("https://www.google.com/maps/search/?api=1&amp;query=-12.2084,-76.957954","Avenida El Sol, Villa El Salvador, Lima")</f>
      </c>
      <c r="O27" t="str">
        <v>Bache</v>
      </c>
      <c r="P27">
        <v>294400.6</v>
      </c>
      <c r="Q27" t="str">
        <v/>
      </c>
      <c r="R27">
        <v>32.9</v>
      </c>
      <c r="S27">
        <v>8.87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85</v>
      </c>
      <c r="AB27" t="str">
        <v>17/09/2026</v>
      </c>
      <c r="AC27" t="str">
        <v>08:12:39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08:13:00</v>
      </c>
      <c r="AK27" t="str">
        <v>08:13:00</v>
      </c>
      <c r="AL27" t="str">
        <v/>
      </c>
    </row>
    <row r="28">
      <c r="A28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/>
      </c>
      <c r="J28" t="str">
        <v>17/09/2026</v>
      </c>
      <c r="K28" t="str">
        <v>08:13:03</v>
      </c>
      <c r="L28">
        <v>-12.209106</v>
      </c>
      <c r="M28">
        <v>-76.95881</v>
      </c>
      <c r="N28">
        <f>HYPERLINK("https://www.google.com/maps/search/?api=1&amp;query=-12.209106,-76.95881","Avenida El Sol, Villa El Salvador, Lima")</f>
      </c>
      <c r="O28" t="str">
        <v>Aceleración brusca</v>
      </c>
      <c r="P28">
        <v>294400.7</v>
      </c>
      <c r="Q28" t="str">
        <v/>
      </c>
      <c r="R28">
        <v>9.8</v>
      </c>
      <c r="S28">
        <v>8.87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85</v>
      </c>
      <c r="AB28" t="str">
        <v>17/09/2026</v>
      </c>
      <c r="AC28" t="str">
        <v>08:13:03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08:13:12</v>
      </c>
      <c r="AK28" t="str">
        <v>08:13:12</v>
      </c>
      <c r="AL28" t="str">
        <v/>
      </c>
    </row>
    <row r="29">
      <c r="A29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/>
      </c>
      <c r="J29" t="str">
        <v>17/09/2026</v>
      </c>
      <c r="K29" t="str">
        <v>08:13:04</v>
      </c>
      <c r="L29">
        <v>-12.209124</v>
      </c>
      <c r="M29">
        <v>-76.95883</v>
      </c>
      <c r="N29">
        <f>HYPERLINK("https://www.google.com/maps/search/?api=1&amp;query=-12.209124,-76.95883","Avenida El Sol, Villa El Salvador, Lima")</f>
      </c>
      <c r="O29" t="str">
        <v>Bache</v>
      </c>
      <c r="P29">
        <v>294400.7</v>
      </c>
      <c r="Q29" t="str">
        <v/>
      </c>
      <c r="R29">
        <v>11.2</v>
      </c>
      <c r="S29">
        <v>8.87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85</v>
      </c>
      <c r="AB29" t="str">
        <v>17/09/2026</v>
      </c>
      <c r="AC29" t="str">
        <v>08:13:04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08:13:15</v>
      </c>
      <c r="AK29" t="str">
        <v>08:13:15</v>
      </c>
      <c r="AL29" t="str">
        <v/>
      </c>
    </row>
    <row r="30">
      <c r="A30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/>
      </c>
      <c r="J30" t="str">
        <v>17/09/2026</v>
      </c>
      <c r="K30" t="str">
        <v>08:13:36</v>
      </c>
      <c r="L30">
        <v>-12.210285</v>
      </c>
      <c r="M30">
        <v>-76.96066</v>
      </c>
      <c r="N30">
        <f>HYPERLINK("https://www.google.com/maps/search/?api=1&amp;query=-12.210285,-76.96066","Avenida El Sol, Villa El Salvador, Lima")</f>
      </c>
      <c r="O30" t="str">
        <v>Ingreso a camino vecinal</v>
      </c>
      <c r="P30">
        <v>294400.9</v>
      </c>
      <c r="Q30" t="str">
        <v/>
      </c>
      <c r="R30">
        <v>45.7</v>
      </c>
      <c r="S30">
        <v>8.87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85</v>
      </c>
      <c r="AB30" t="str">
        <v>17/09/2026</v>
      </c>
      <c r="AC30" t="str">
        <v>08:13:36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08:13:45</v>
      </c>
      <c r="AK30" t="str">
        <v>08:13:45</v>
      </c>
      <c r="AL30" t="str">
        <v/>
      </c>
    </row>
    <row r="31">
      <c r="A31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/>
      </c>
      <c r="J31" t="str">
        <v>17/09/2026</v>
      </c>
      <c r="K31" t="str">
        <v>08:16:38</v>
      </c>
      <c r="L31">
        <v>-12.217829</v>
      </c>
      <c r="M31">
        <v>-76.9699</v>
      </c>
      <c r="N31">
        <f>HYPERLINK("https://www.google.com/maps/search/?api=1&amp;query=-12.217829,-76.9699","Avenida El Sol, Villa El Salvador, Lima")</f>
      </c>
      <c r="O31" t="str">
        <v>Salida de camino vecinal</v>
      </c>
      <c r="P31">
        <v>294402.2</v>
      </c>
      <c r="Q31" t="str">
        <v/>
      </c>
      <c r="R31">
        <v>6.2</v>
      </c>
      <c r="S31">
        <v>8.87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87</v>
      </c>
      <c r="AB31" t="str">
        <v>17/09/2026</v>
      </c>
      <c r="AC31" t="str">
        <v>08:16:38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08:16:50</v>
      </c>
      <c r="AK31" t="str">
        <v>08:16:50</v>
      </c>
      <c r="AL31" t="str">
        <v/>
      </c>
    </row>
    <row r="32">
      <c r="A32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/>
      </c>
      <c r="J32" t="str">
        <v>17/09/2026</v>
      </c>
      <c r="K32" t="str">
        <v>08:17:38</v>
      </c>
      <c r="L32">
        <v>-12.219769</v>
      </c>
      <c r="M32">
        <v>-76.971954</v>
      </c>
      <c r="N32">
        <f>HYPERLINK("https://www.google.com/maps/search/?api=1&amp;query=-12.219769,-76.971954","Avenida El Sol, Villa El Salvador, Lima")</f>
      </c>
      <c r="O32" t="str">
        <v>Ingreso a camino vecinal</v>
      </c>
      <c r="P32">
        <v>294402.5</v>
      </c>
      <c r="Q32" t="str">
        <v/>
      </c>
      <c r="R32">
        <v>29.2</v>
      </c>
      <c r="S32">
        <v>8.87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87</v>
      </c>
      <c r="AB32" t="str">
        <v>17/09/2026</v>
      </c>
      <c r="AC32" t="str">
        <v>08:17:38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08:18:04</v>
      </c>
      <c r="AK32" t="str">
        <v>08:18:04</v>
      </c>
      <c r="AL32" t="str">
        <v/>
      </c>
    </row>
    <row r="33">
      <c r="A33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/>
      </c>
      <c r="J33" t="str">
        <v>17/09/2026</v>
      </c>
      <c r="K33" t="str">
        <v>08:19:39</v>
      </c>
      <c r="L33">
        <v>-12.225232</v>
      </c>
      <c r="M33">
        <v>-76.97155</v>
      </c>
      <c r="N33">
        <f>HYPERLINK("https://www.google.com/maps/search/?api=1&amp;query=-12.225232,-76.97155","Antigua Panamericana Sur, Villa El Salvador, Lima")</f>
      </c>
      <c r="O33" t="str">
        <v>Salida de camino vecinal</v>
      </c>
      <c r="P33">
        <v>294403.4</v>
      </c>
      <c r="Q33" t="str">
        <v/>
      </c>
      <c r="R33">
        <v>42.5</v>
      </c>
      <c r="S33">
        <v>8.87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89</v>
      </c>
      <c r="AB33" t="str">
        <v>17/09/2026</v>
      </c>
      <c r="AC33" t="str">
        <v>08:19:39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08:19:54</v>
      </c>
      <c r="AK33" t="str">
        <v>08:19:54</v>
      </c>
      <c r="AL33" t="str">
        <v/>
      </c>
    </row>
    <row r="34">
      <c r="A34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/>
      </c>
      <c r="J34" t="str">
        <v>17/09/2026</v>
      </c>
      <c r="K34" t="str">
        <v>08:19:43</v>
      </c>
      <c r="L34">
        <v>-12.225445</v>
      </c>
      <c r="M34">
        <v>-76.971306</v>
      </c>
      <c r="N34">
        <f>HYPERLINK("https://www.google.com/maps/search/?api=1&amp;query=-12.225445,-76.971306","Antigua Panamericana Sur, Villa El Salvador, Lima")</f>
      </c>
      <c r="O34" t="str">
        <v>Aceleración brusca</v>
      </c>
      <c r="P34">
        <v>294403.4</v>
      </c>
      <c r="Q34" t="str">
        <v/>
      </c>
      <c r="R34">
        <v>17.4</v>
      </c>
      <c r="S34">
        <v>8.87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89</v>
      </c>
      <c r="AB34" t="str">
        <v>17/09/2026</v>
      </c>
      <c r="AC34" t="str">
        <v>08:19:43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08:19:54</v>
      </c>
      <c r="AK34" t="str">
        <v>08:19:54</v>
      </c>
      <c r="AL34" t="str">
        <v/>
      </c>
    </row>
    <row r="35">
      <c r="A35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/>
      </c>
      <c r="J35" t="str">
        <v>17/09/2026</v>
      </c>
      <c r="K35" t="str">
        <v>08:19:45</v>
      </c>
      <c r="L35">
        <v>-12.225492</v>
      </c>
      <c r="M35">
        <v>-76.97125</v>
      </c>
      <c r="N35">
        <f>HYPERLINK("https://www.google.com/maps/search/?api=1&amp;query=-12.225492,-76.97125","Antigua Panamericana Sur, Villa El Salvador, Lima")</f>
      </c>
      <c r="O35" t="str">
        <v>Bache</v>
      </c>
      <c r="P35">
        <v>294403.4</v>
      </c>
      <c r="Q35" t="str">
        <v/>
      </c>
      <c r="R35">
        <v>12.4</v>
      </c>
      <c r="S35">
        <v>8.87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89</v>
      </c>
      <c r="AB35" t="str">
        <v>17/09/2026</v>
      </c>
      <c r="AC35" t="str">
        <v>08:19:45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08:20:06</v>
      </c>
      <c r="AK35" t="str">
        <v>08:20:06</v>
      </c>
      <c r="AL35" t="str">
        <v/>
      </c>
    </row>
    <row r="36">
      <c r="A36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/>
      </c>
      <c r="J36" t="str">
        <v>17/09/2026</v>
      </c>
      <c r="K36" t="str">
        <v>08:22:51</v>
      </c>
      <c r="L36">
        <v>-12.23689</v>
      </c>
      <c r="M36">
        <v>-76.95421</v>
      </c>
      <c r="N36">
        <f>HYPERLINK("https://www.google.com/maps/search/?api=1&amp;query=-12.23689,-76.95421","Antigua Panamericana Sur, Villa El Salvador, Lima")</f>
      </c>
      <c r="O36" t="str">
        <v>Bache</v>
      </c>
      <c r="P36">
        <v>294405.7</v>
      </c>
      <c r="Q36" t="str">
        <v/>
      </c>
      <c r="R36">
        <v>14.2</v>
      </c>
      <c r="S36">
        <v>8.87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88</v>
      </c>
      <c r="AB36" t="str">
        <v>17/09/2026</v>
      </c>
      <c r="AC36" t="str">
        <v>08:22:51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08:23:12</v>
      </c>
      <c r="AK36" t="str">
        <v>08:23:12</v>
      </c>
      <c r="AL36" t="str">
        <v/>
      </c>
    </row>
    <row r="37">
      <c r="A37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/>
      </c>
      <c r="J37" t="str">
        <v>17/09/2026</v>
      </c>
      <c r="K37" t="str">
        <v>08:23:41</v>
      </c>
      <c r="L37">
        <v>-12.239498</v>
      </c>
      <c r="M37">
        <v>-76.949135</v>
      </c>
      <c r="N37">
        <f>HYPERLINK("https://www.google.com/maps/search/?api=1&amp;query=-12.239498,-76.949135","Antigua Panamericana Sur, Villa El Salvador, Lima")</f>
      </c>
      <c r="O37" t="str">
        <v>Ingreso a camino vecinal</v>
      </c>
      <c r="P37">
        <v>294406.3</v>
      </c>
      <c r="Q37" t="str">
        <v/>
      </c>
      <c r="R37">
        <v>54.2</v>
      </c>
      <c r="S37">
        <v>8.87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88</v>
      </c>
      <c r="AB37" t="str">
        <v>17/09/2026</v>
      </c>
      <c r="AC37" t="str">
        <v>08:23:41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08:24:03</v>
      </c>
      <c r="AK37" t="str">
        <v>08:24:03</v>
      </c>
      <c r="AL37" t="str">
        <v/>
      </c>
    </row>
    <row r="38">
      <c r="A38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/>
      </c>
      <c r="J38" t="str">
        <v>17/09/2026</v>
      </c>
      <c r="K38" t="str">
        <v>08:27:42</v>
      </c>
      <c r="L38">
        <v>-12.251342</v>
      </c>
      <c r="M38">
        <v>-76.92887</v>
      </c>
      <c r="N38">
        <f>HYPERLINK("https://www.google.com/maps/search/?api=1&amp;query=-12.251342,-76.92887","Antigua Panamericana Sur, Villa El Salvador, Lima")</f>
      </c>
      <c r="O38" t="str">
        <v>Salida de camino vecinal</v>
      </c>
      <c r="P38">
        <v>294408.8</v>
      </c>
      <c r="Q38" t="str">
        <v/>
      </c>
      <c r="R38">
        <v>47.5</v>
      </c>
      <c r="S38">
        <v>8.87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85</v>
      </c>
      <c r="AB38" t="str">
        <v>17/09/2026</v>
      </c>
      <c r="AC38" t="str">
        <v>08:27:42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08:27:48</v>
      </c>
      <c r="AK38" t="str">
        <v>08:27:48</v>
      </c>
      <c r="AL38" t="str">
        <v/>
      </c>
    </row>
    <row r="39">
      <c r="A39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/>
      </c>
      <c r="J39" t="str">
        <v>17/09/2026</v>
      </c>
      <c r="K39" t="str">
        <v>08:28:31</v>
      </c>
      <c r="L39">
        <v>-12.253828</v>
      </c>
      <c r="M39">
        <v>-76.923134</v>
      </c>
      <c r="N39">
        <f>HYPERLINK("https://www.google.com/maps/search/?api=1&amp;query=-12.253828,-76.923134","Antigua Panamericana Sur, Lurín, Lima")</f>
      </c>
      <c r="O39" t="str">
        <v>Aceleración brusca</v>
      </c>
      <c r="P39">
        <v>294409.5</v>
      </c>
      <c r="Q39" t="str">
        <v/>
      </c>
      <c r="R39">
        <v>16.6</v>
      </c>
      <c r="S39">
        <v>8.87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85</v>
      </c>
      <c r="AB39" t="str">
        <v>17/09/2026</v>
      </c>
      <c r="AC39" t="str">
        <v>08:28:31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08:28:46</v>
      </c>
      <c r="AK39" t="str">
        <v>08:28:46</v>
      </c>
      <c r="AL39" t="str">
        <v/>
      </c>
    </row>
    <row r="40">
      <c r="A40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/>
      </c>
      <c r="J40" t="str">
        <v>17/09/2026</v>
      </c>
      <c r="K40" t="str">
        <v>08:28:32</v>
      </c>
      <c r="L40">
        <v>-12.253834</v>
      </c>
      <c r="M40">
        <v>-76.923096</v>
      </c>
      <c r="N40">
        <f>HYPERLINK("https://www.google.com/maps/search/?api=1&amp;query=-12.253834,-76.923096","Antigua Panamericana Sur, Lurín, Lima")</f>
      </c>
      <c r="O40" t="str">
        <v>Bache</v>
      </c>
      <c r="P40">
        <v>294409.5</v>
      </c>
      <c r="Q40" t="str">
        <v/>
      </c>
      <c r="R40">
        <v>14.4</v>
      </c>
      <c r="S40">
        <v>8.87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85</v>
      </c>
      <c r="AB40" t="str">
        <v>17/09/2026</v>
      </c>
      <c r="AC40" t="str">
        <v>08:28:32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08:28:46</v>
      </c>
      <c r="AK40" t="str">
        <v>08:28:46</v>
      </c>
      <c r="AL40" t="str">
        <v/>
      </c>
    </row>
    <row r="41">
      <c r="A41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/>
      </c>
      <c r="J41" t="str">
        <v>17/09/2026</v>
      </c>
      <c r="K41" t="str">
        <v>08:28:43</v>
      </c>
      <c r="L41">
        <v>-12.253937</v>
      </c>
      <c r="M41">
        <v>-76.92233</v>
      </c>
      <c r="N41">
        <f>HYPERLINK("https://www.google.com/maps/search/?api=1&amp;query=-12.253937,-76.92233","Antigua Panamericana Sur, Lurín, Lima")</f>
      </c>
      <c r="O41" t="str">
        <v>Ingreso a camino vecinal</v>
      </c>
      <c r="P41">
        <v>294409.6</v>
      </c>
      <c r="Q41" t="str">
        <v/>
      </c>
      <c r="R41">
        <v>38.8</v>
      </c>
      <c r="S41">
        <v>8.87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85</v>
      </c>
      <c r="AB41" t="str">
        <v>17/09/2026</v>
      </c>
      <c r="AC41" t="str">
        <v>08:28:43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08:28:54</v>
      </c>
      <c r="AK41" t="str">
        <v>08:28:54</v>
      </c>
      <c r="AL41" t="str">
        <v/>
      </c>
    </row>
    <row r="42">
      <c r="A42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/>
      </c>
      <c r="J42" t="str">
        <v>17/09/2026</v>
      </c>
      <c r="K42" t="str">
        <v>08:30:44</v>
      </c>
      <c r="L42">
        <v>-12.255995</v>
      </c>
      <c r="M42">
        <v>-76.922005</v>
      </c>
      <c r="N42">
        <f>HYPERLINK("https://www.google.com/maps/search/?api=1&amp;query=-12.255995,-76.922005","Carretera Panamericana Sur, Lurín, Lima")</f>
      </c>
      <c r="O42" t="str">
        <v>Salida de camino vecinal</v>
      </c>
      <c r="P42">
        <v>294410.6</v>
      </c>
      <c r="Q42" t="str">
        <v/>
      </c>
      <c r="R42">
        <v>26.6</v>
      </c>
      <c r="S42">
        <v>8.87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89</v>
      </c>
      <c r="AB42" t="str">
        <v>17/09/2026</v>
      </c>
      <c r="AC42" t="str">
        <v>08:30:44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08:30:57</v>
      </c>
      <c r="AK42" t="str">
        <v>08:30:57</v>
      </c>
      <c r="AL42" t="str">
        <v/>
      </c>
    </row>
    <row r="43">
      <c r="A43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/>
      </c>
      <c r="J43" t="str">
        <v>17/09/2026</v>
      </c>
      <c r="K43" t="str">
        <v>08:44:00</v>
      </c>
      <c r="L43">
        <v>-12.334838</v>
      </c>
      <c r="M43">
        <v>-76.81982</v>
      </c>
      <c r="N43">
        <f>HYPERLINK("https://www.google.com/maps/search/?api=1&amp;query=-12.334838,-76.81982","Antigua Panamericana Sur, Punta Hermosa, Lima")</f>
      </c>
      <c r="O43" t="str">
        <v>Bache</v>
      </c>
      <c r="P43">
        <v>294425.3</v>
      </c>
      <c r="Q43" t="str">
        <v/>
      </c>
      <c r="R43">
        <v>24.8</v>
      </c>
      <c r="S43">
        <v>8.87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83</v>
      </c>
      <c r="AB43" t="str">
        <v>17/09/2026</v>
      </c>
      <c r="AC43" t="str">
        <v>08:44:00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08:44:18</v>
      </c>
      <c r="AK43" t="str">
        <v>08:44:18</v>
      </c>
      <c r="AL43" t="str">
        <v/>
      </c>
    </row>
    <row r="44">
      <c r="A44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/>
      </c>
      <c r="J44" t="str">
        <v>17/09/2026</v>
      </c>
      <c r="K44" t="str">
        <v>08:44:40</v>
      </c>
      <c r="L44">
        <v>-12.333158</v>
      </c>
      <c r="M44">
        <v>-76.81962</v>
      </c>
      <c r="N44">
        <f>HYPERLINK("https://www.google.com/maps/search/?api=1&amp;query=-12.333158,-76.81962","Punta Hermosa, Lima")</f>
      </c>
      <c r="O44" t="str">
        <v>Acelerado y giro brusco</v>
      </c>
      <c r="P44">
        <v>294425.5</v>
      </c>
      <c r="Q44" t="str">
        <v/>
      </c>
      <c r="R44">
        <v>30.7</v>
      </c>
      <c r="S44">
        <v>8.87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83</v>
      </c>
      <c r="AB44" t="str">
        <v>17/09/2026</v>
      </c>
      <c r="AC44" t="str">
        <v>08:44:40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08:45:02</v>
      </c>
      <c r="AK44" t="str">
        <v>08:45:02</v>
      </c>
      <c r="AL44" t="str">
        <v/>
      </c>
    </row>
    <row r="45">
      <c r="A45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/>
      </c>
      <c r="J45" t="str">
        <v>17/09/2026</v>
      </c>
      <c r="K45" t="str">
        <v>08:44:43</v>
      </c>
      <c r="L45">
        <v>-12.332969</v>
      </c>
      <c r="M45">
        <v>-76.81978</v>
      </c>
      <c r="N45">
        <f>HYPERLINK("https://www.google.com/maps/search/?api=1&amp;query=-12.332969,-76.81978","Punta Hermosa, Lima")</f>
      </c>
      <c r="O45" t="str">
        <v>Bache</v>
      </c>
      <c r="P45">
        <v>294425.6</v>
      </c>
      <c r="Q45" t="str">
        <v/>
      </c>
      <c r="R45">
        <v>34</v>
      </c>
      <c r="S45">
        <v>8.87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82</v>
      </c>
      <c r="AB45" t="str">
        <v>17/09/2026</v>
      </c>
      <c r="AC45" t="str">
        <v>08:44:43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08:45:00</v>
      </c>
      <c r="AK45" t="str">
        <v>08:45:00</v>
      </c>
      <c r="AL45" t="str">
        <v/>
      </c>
    </row>
    <row r="46">
      <c r="A46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/>
      </c>
      <c r="J46" t="str">
        <v>17/09/2026</v>
      </c>
      <c r="K46" t="str">
        <v>08:44:50</v>
      </c>
      <c r="L46">
        <v>-12.33253</v>
      </c>
      <c r="M46">
        <v>-76.82022</v>
      </c>
      <c r="N46">
        <f>HYPERLINK("https://www.google.com/maps/search/?api=1&amp;query=-12.33253,-76.82022","Carretera Panamericana Sur, Punta Hermosa, Lima")</f>
      </c>
      <c r="O46" t="str">
        <v>Ingreso a camino vecinal</v>
      </c>
      <c r="P46">
        <v>294425.6</v>
      </c>
      <c r="Q46" t="str">
        <v/>
      </c>
      <c r="R46">
        <v>35.3</v>
      </c>
      <c r="S46">
        <v>8.87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82</v>
      </c>
      <c r="AB46" t="str">
        <v>17/09/2026</v>
      </c>
      <c r="AC46" t="str">
        <v>08:44:50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08:45:00</v>
      </c>
      <c r="AK46" t="str">
        <v>08:45:00</v>
      </c>
      <c r="AL46" t="str">
        <v/>
      </c>
    </row>
    <row r="47">
      <c r="A47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/>
      </c>
      <c r="J47" t="str">
        <v>17/09/2026</v>
      </c>
      <c r="K47" t="str">
        <v>08:45:51</v>
      </c>
      <c r="L47">
        <v>-12.325637</v>
      </c>
      <c r="M47">
        <v>-76.82503</v>
      </c>
      <c r="N47">
        <f>HYPERLINK("https://www.google.com/maps/search/?api=1&amp;query=-12.325637,-76.82503","Carretera Panamericana Sur, Punta Hermosa, Lima")</f>
      </c>
      <c r="O47" t="str">
        <v>Salida de camino vecinal</v>
      </c>
      <c r="P47">
        <v>294426.6</v>
      </c>
      <c r="Q47" t="str">
        <v/>
      </c>
      <c r="R47">
        <v>64</v>
      </c>
      <c r="S47">
        <v>8.87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82</v>
      </c>
      <c r="AB47" t="str">
        <v>17/09/2026</v>
      </c>
      <c r="AC47" t="str">
        <v>08:45:50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08:45:56</v>
      </c>
      <c r="AK47" t="str">
        <v>08:45:56</v>
      </c>
      <c r="AL47" t="str">
        <v/>
      </c>
    </row>
    <row r="48">
      <c r="A48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/>
      </c>
      <c r="J48" t="str">
        <v>17/09/2026</v>
      </c>
      <c r="K48" t="str">
        <v>08:46:45</v>
      </c>
      <c r="L48">
        <v>-12.318838</v>
      </c>
      <c r="M48">
        <v>-76.829475</v>
      </c>
      <c r="N48">
        <f>HYPERLINK("https://www.google.com/maps/search/?api=1&amp;query=-12.318838,-76.829475","Carretera Panamericana Sur, Punta Hermosa, Lima")</f>
      </c>
      <c r="O48" t="str">
        <v>Bache</v>
      </c>
      <c r="P48">
        <v>294427.4</v>
      </c>
      <c r="Q48" t="str">
        <v/>
      </c>
      <c r="R48">
        <v>49.4</v>
      </c>
      <c r="S48">
        <v>8.87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84</v>
      </c>
      <c r="AB48" t="str">
        <v>17/09/2026</v>
      </c>
      <c r="AC48" t="str">
        <v>08:46:44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08:46:56</v>
      </c>
      <c r="AK48" t="str">
        <v>08:46:56</v>
      </c>
      <c r="AL48" t="str">
        <v/>
      </c>
    </row>
    <row r="49">
      <c r="A49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/>
      </c>
      <c r="J49" t="str">
        <v>17/09/2026</v>
      </c>
      <c r="K49" t="str">
        <v>08:49:04</v>
      </c>
      <c r="L49">
        <v>-12.316343</v>
      </c>
      <c r="M49">
        <v>-76.82762</v>
      </c>
      <c r="N49">
        <f>HYPERLINK("https://www.google.com/maps/search/?api=1&amp;query=-12.316343,-76.82762","Punta Hermosa, Lima")</f>
      </c>
      <c r="O49" t="str">
        <v>Bache</v>
      </c>
      <c r="P49">
        <v>294427.8</v>
      </c>
      <c r="Q49" t="str">
        <v/>
      </c>
      <c r="R49">
        <v>17.5</v>
      </c>
      <c r="S49">
        <v>8.87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82</v>
      </c>
      <c r="AB49" t="str">
        <v>17/09/2026</v>
      </c>
      <c r="AC49" t="str">
        <v>08:49:04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08:49:13</v>
      </c>
      <c r="AK49" t="str">
        <v>08:49:13</v>
      </c>
      <c r="AL49" t="str">
        <v/>
      </c>
    </row>
    <row r="50">
      <c r="A50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/>
      </c>
      <c r="J50" t="str">
        <v>17/09/2026</v>
      </c>
      <c r="K50" t="str">
        <v>08:49:19</v>
      </c>
      <c r="L50">
        <v>-12.316163</v>
      </c>
      <c r="M50">
        <v>-76.82715</v>
      </c>
      <c r="N50">
        <f>HYPERLINK("https://www.google.com/maps/search/?api=1&amp;query=-12.316163,-76.82715","Punta Hermosa, Lima")</f>
      </c>
      <c r="O50" t="str">
        <v>Bache</v>
      </c>
      <c r="P50">
        <v>294427.9</v>
      </c>
      <c r="Q50" t="str">
        <v/>
      </c>
      <c r="R50">
        <v>13.5</v>
      </c>
      <c r="S50">
        <v>8.87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87</v>
      </c>
      <c r="AB50" t="str">
        <v>17/09/2026</v>
      </c>
      <c r="AC50" t="str">
        <v>08:49:19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08:49:31</v>
      </c>
      <c r="AK50" t="str">
        <v>08:49:31</v>
      </c>
      <c r="AL50" t="str">
        <v/>
      </c>
    </row>
    <row r="51">
      <c r="A51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/>
      </c>
      <c r="J51" t="str">
        <v>17/09/2026</v>
      </c>
      <c r="K51" t="str">
        <v>08:49:57</v>
      </c>
      <c r="L51">
        <v>-12.317232</v>
      </c>
      <c r="M51">
        <v>-76.826004</v>
      </c>
      <c r="N51">
        <f>HYPERLINK("https://www.google.com/maps/search/?api=1&amp;query=-12.317232,-76.826004","Punta Hermosa, Lima")</f>
      </c>
      <c r="O51" t="str">
        <v>Bache</v>
      </c>
      <c r="P51">
        <v>294428.1</v>
      </c>
      <c r="Q51" t="str">
        <v/>
      </c>
      <c r="R51">
        <v>15.1</v>
      </c>
      <c r="S51">
        <v>8.87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87</v>
      </c>
      <c r="AB51" t="str">
        <v>17/09/2026</v>
      </c>
      <c r="AC51" t="str">
        <v>08:49:57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08:50:22</v>
      </c>
      <c r="AK51" t="str">
        <v>08:50:22</v>
      </c>
      <c r="AL51" t="str">
        <v/>
      </c>
    </row>
    <row r="52">
      <c r="A52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/>
      </c>
      <c r="J52" t="str">
        <v>17/09/2026</v>
      </c>
      <c r="K52" t="str">
        <v>08:53:15</v>
      </c>
      <c r="L52">
        <v>-12.317378</v>
      </c>
      <c r="M52">
        <v>-76.82293</v>
      </c>
      <c r="N52">
        <f>HYPERLINK("https://www.google.com/maps/search/?api=1&amp;query=-12.317378,-76.82293","Punta Hermosa, Lima")</f>
      </c>
      <c r="O52" t="str">
        <v>Vehículo apagado</v>
      </c>
      <c r="P52">
        <v>294428.6</v>
      </c>
      <c r="Q52" t="str">
        <v/>
      </c>
      <c r="R52">
        <v>0</v>
      </c>
      <c r="S52">
        <v>9.6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87</v>
      </c>
      <c r="AB52" t="str">
        <v>17/09/2026</v>
      </c>
      <c r="AC52" t="str">
        <v>08:53:15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08:53:27</v>
      </c>
      <c r="AK52" t="str">
        <v>08:53:27</v>
      </c>
      <c r="AL52" t="str">
        <v/>
      </c>
    </row>
    <row r="53">
      <c r="A53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/>
      </c>
      <c r="J53" t="str">
        <v>17/09/2026</v>
      </c>
      <c r="K53" t="str">
        <v>09:03:37</v>
      </c>
      <c r="L53">
        <v>-12.317378</v>
      </c>
      <c r="M53">
        <v>-76.82293</v>
      </c>
      <c r="N53">
        <f>HYPERLINK("https://www.google.com/maps/search/?api=1&amp;query=-12.317378,-76.82293","Punta Hermosa, Lima")</f>
      </c>
      <c r="O53" t="str">
        <v>Vehículo encendido</v>
      </c>
      <c r="P53">
        <v>294428.6</v>
      </c>
      <c r="Q53" t="str">
        <v/>
      </c>
      <c r="R53">
        <v>0</v>
      </c>
      <c r="S53">
        <v>9.6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80</v>
      </c>
      <c r="AB53" t="str">
        <v>17/09/2026</v>
      </c>
      <c r="AC53" t="str">
        <v>09:03:37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09:03:43</v>
      </c>
      <c r="AK53" t="str">
        <v>09:03:43</v>
      </c>
      <c r="AL53" t="str">
        <v/>
      </c>
    </row>
    <row r="54">
      <c r="A54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/>
      </c>
      <c r="J54" t="str">
        <v>17/09/2026</v>
      </c>
      <c r="K54" t="str">
        <v>09:03:39</v>
      </c>
      <c r="L54">
        <v>-12.317378</v>
      </c>
      <c r="M54">
        <v>-76.82293</v>
      </c>
      <c r="N54">
        <f>HYPERLINK("https://www.google.com/maps/search/?api=1&amp;query=-12.317378,-76.82293","Punta Hermosa, Lima")</f>
      </c>
      <c r="O54" t="str">
        <v>Se movio</v>
      </c>
      <c r="P54">
        <v>294428.6</v>
      </c>
      <c r="Q54" t="str">
        <v/>
      </c>
      <c r="R54">
        <v>0</v>
      </c>
      <c r="S54">
        <v>9.6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80</v>
      </c>
      <c r="AB54" t="str">
        <v>17/09/2026</v>
      </c>
      <c r="AC54" t="str">
        <v>09:03:39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09:03:51</v>
      </c>
      <c r="AK54" t="str">
        <v>09:03:51</v>
      </c>
      <c r="AL54" t="str">
        <v/>
      </c>
    </row>
    <row r="55">
      <c r="A55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/>
      </c>
      <c r="J55" t="str">
        <v>17/09/2026</v>
      </c>
      <c r="K55" t="str">
        <v>09:05:53</v>
      </c>
      <c r="L55">
        <v>-12.317625</v>
      </c>
      <c r="M55">
        <v>-76.82433</v>
      </c>
      <c r="N55">
        <f>HYPERLINK("https://www.google.com/maps/search/?api=1&amp;query=-12.317625,-76.82433","Punta Hermosa, Lima")</f>
      </c>
      <c r="O55" t="str">
        <v>Vehículo apagado</v>
      </c>
      <c r="P55">
        <v>294428.9</v>
      </c>
      <c r="Q55" t="str">
        <v/>
      </c>
      <c r="R55">
        <v>0</v>
      </c>
      <c r="S55">
        <v>9.63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80</v>
      </c>
      <c r="AB55" t="str">
        <v>17/09/2026</v>
      </c>
      <c r="AC55" t="str">
        <v>09:05:52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09:06:14</v>
      </c>
      <c r="AK55" t="str">
        <v>09:06:14</v>
      </c>
      <c r="AL55" t="str">
        <v/>
      </c>
    </row>
    <row r="56">
      <c r="A56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/>
      </c>
      <c r="J56" t="str">
        <v>17/09/2026</v>
      </c>
      <c r="K56" t="str">
        <v>09:24:44</v>
      </c>
      <c r="L56">
        <v>-12.317625</v>
      </c>
      <c r="M56">
        <v>-76.82433</v>
      </c>
      <c r="N56">
        <f>HYPERLINK("https://www.google.com/maps/search/?api=1&amp;query=-12.317625,-76.82433","Punta Hermosa, Lima")</f>
      </c>
      <c r="O56" t="str">
        <v>Vehículo encendido</v>
      </c>
      <c r="P56">
        <v>294428.9</v>
      </c>
      <c r="Q56" t="str">
        <v/>
      </c>
      <c r="R56">
        <v>0</v>
      </c>
      <c r="S56">
        <v>9.63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80</v>
      </c>
      <c r="AB56" t="str">
        <v>17/09/2026</v>
      </c>
      <c r="AC56" t="str">
        <v>09:24:44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09:24:52</v>
      </c>
      <c r="AK56" t="str">
        <v>09:24:52</v>
      </c>
      <c r="AL56" t="str">
        <v/>
      </c>
    </row>
    <row r="57">
      <c r="A57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/>
      </c>
      <c r="J57" t="str">
        <v>17/09/2026</v>
      </c>
      <c r="K57" t="str">
        <v>09:24:52</v>
      </c>
      <c r="L57">
        <v>-12.317625</v>
      </c>
      <c r="M57">
        <v>-76.82433</v>
      </c>
      <c r="N57">
        <f>HYPERLINK("https://www.google.com/maps/search/?api=1&amp;query=-12.317625,-76.82433","Punta Hermosa, Lima")</f>
      </c>
      <c r="O57" t="str">
        <v>Se movio</v>
      </c>
      <c r="P57">
        <v>294428.9</v>
      </c>
      <c r="Q57" t="str">
        <v/>
      </c>
      <c r="R57">
        <v>0</v>
      </c>
      <c r="S57">
        <v>9.63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80</v>
      </c>
      <c r="AB57" t="str">
        <v>17/09/2026</v>
      </c>
      <c r="AC57" t="str">
        <v>09:24:51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09:25:03</v>
      </c>
      <c r="AK57" t="str">
        <v>09:25:03</v>
      </c>
      <c r="AL57" t="str">
        <v/>
      </c>
    </row>
    <row r="58">
      <c r="A58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/>
      </c>
      <c r="J58" t="str">
        <v>17/09/2026</v>
      </c>
      <c r="K58" t="str">
        <v>09:27:59</v>
      </c>
      <c r="L58">
        <v>-12.317594</v>
      </c>
      <c r="M58">
        <v>-76.82433</v>
      </c>
      <c r="N58">
        <f>HYPERLINK("https://www.google.com/maps/search/?api=1&amp;query=-12.317594,-76.82433","Punta Hermosa, Lima")</f>
      </c>
      <c r="O58" t="str">
        <v>Inicio de ralentí</v>
      </c>
      <c r="P58">
        <v>294429</v>
      </c>
      <c r="Q58" t="str">
        <v/>
      </c>
      <c r="R58">
        <v>0</v>
      </c>
      <c r="S58">
        <v>9.63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80</v>
      </c>
      <c r="AB58" t="str">
        <v>17/09/2026</v>
      </c>
      <c r="AC58" t="str">
        <v>09:27:58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09:28:11</v>
      </c>
      <c r="AK58" t="str">
        <v>09:28:11</v>
      </c>
      <c r="AL58" t="str">
        <v/>
      </c>
    </row>
    <row r="59">
      <c r="A59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/>
      </c>
      <c r="J59" t="str">
        <v>17/09/2026</v>
      </c>
      <c r="K59" t="str">
        <v>09:31:31</v>
      </c>
      <c r="L59">
        <v>-12.317594</v>
      </c>
      <c r="M59">
        <v>-76.82433</v>
      </c>
      <c r="N59">
        <f>HYPERLINK("https://www.google.com/maps/search/?api=1&amp;query=-12.317594,-76.82433","Punta Hermosa, Lima")</f>
      </c>
      <c r="O59" t="str">
        <v>Vehículo apagado</v>
      </c>
      <c r="P59">
        <v>294429</v>
      </c>
      <c r="Q59" t="str">
        <v/>
      </c>
      <c r="R59">
        <v>0</v>
      </c>
      <c r="S59">
        <v>9.75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85</v>
      </c>
      <c r="AB59" t="str">
        <v>17/09/2026</v>
      </c>
      <c r="AC59" t="str">
        <v>09:31:30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17/09/2026 09:31:34</v>
      </c>
      <c r="AK59" t="str">
        <v>09:31:34</v>
      </c>
      <c r="AL59" t="str">
        <v/>
      </c>
    </row>
    <row r="60">
      <c r="A60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/>
      </c>
      <c r="J60" t="str">
        <v>17/09/2026</v>
      </c>
      <c r="K60" t="str">
        <v>09:31:31</v>
      </c>
      <c r="L60">
        <v>-12.317594</v>
      </c>
      <c r="M60">
        <v>-76.82433</v>
      </c>
      <c r="N60">
        <f>HYPERLINK("https://www.google.com/maps/search/?api=1&amp;query=-12.317594,-76.82433","Punta Hermosa, Lima")</f>
      </c>
      <c r="O60" t="str">
        <v>Fin de ralentí</v>
      </c>
      <c r="P60">
        <v>294429</v>
      </c>
      <c r="Q60" t="str">
        <v/>
      </c>
      <c r="R60">
        <v>0</v>
      </c>
      <c r="S60">
        <v>9.63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85</v>
      </c>
      <c r="AB60" t="str">
        <v>17/09/2026</v>
      </c>
      <c r="AC60" t="str">
        <v>09:31:30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17/09/2026 09:31:34</v>
      </c>
      <c r="AK60" t="str">
        <v>09:31:34</v>
      </c>
      <c r="AL60" t="str">
        <v/>
      </c>
    </row>
    <row r="61">
      <c r="A61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/>
      </c>
      <c r="J61" t="str">
        <v>17/09/2026</v>
      </c>
      <c r="K61" t="str">
        <v>10:07:51</v>
      </c>
      <c r="L61">
        <v>-12.317522</v>
      </c>
      <c r="M61">
        <v>-76.82428</v>
      </c>
      <c r="N61">
        <f>HYPERLINK("https://www.google.com/maps/search/?api=1&amp;query=-12.317522,-76.82428","Punta Hermosa, Lima")</f>
      </c>
      <c r="O61" t="str">
        <v>Vehículo encendido</v>
      </c>
      <c r="P61">
        <v>294429</v>
      </c>
      <c r="Q61" t="str">
        <v/>
      </c>
      <c r="R61">
        <v>0</v>
      </c>
      <c r="S61">
        <v>9.75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85</v>
      </c>
      <c r="AB61" t="str">
        <v>17/09/2026</v>
      </c>
      <c r="AC61" t="str">
        <v>10:07:50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17/09/2026 10:08:09</v>
      </c>
      <c r="AK61" t="str">
        <v>10:08:09</v>
      </c>
      <c r="AL61" t="str">
        <v/>
      </c>
    </row>
    <row r="62">
      <c r="A62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/>
      </c>
      <c r="J62" t="str">
        <v>17/09/2026</v>
      </c>
      <c r="K62" t="str">
        <v>10:10:30</v>
      </c>
      <c r="L62">
        <v>-12.317583</v>
      </c>
      <c r="M62">
        <v>-76.8244</v>
      </c>
      <c r="N62">
        <f>HYPERLINK("https://www.google.com/maps/search/?api=1&amp;query=-12.317583,-76.8244","Punta Hermosa, Lima")</f>
      </c>
      <c r="O62" t="str">
        <v>Se movio</v>
      </c>
      <c r="P62">
        <v>294429</v>
      </c>
      <c r="Q62" t="str">
        <v/>
      </c>
      <c r="R62">
        <v>7.9</v>
      </c>
      <c r="S62">
        <v>9.75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85</v>
      </c>
      <c r="AB62" t="str">
        <v>17/09/2026</v>
      </c>
      <c r="AC62" t="str">
        <v>10:10:29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17/09/2026 10:10:58</v>
      </c>
      <c r="AK62" t="str">
        <v>10:10:58</v>
      </c>
      <c r="AL62" t="str">
        <v/>
      </c>
    </row>
    <row r="63">
      <c r="A63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/>
      </c>
      <c r="J63" t="str">
        <v>17/09/2026</v>
      </c>
      <c r="K63" t="str">
        <v>10:13:22</v>
      </c>
      <c r="L63">
        <v>-12.316243</v>
      </c>
      <c r="M63">
        <v>-76.82759</v>
      </c>
      <c r="N63">
        <f>HYPERLINK("https://www.google.com/maps/search/?api=1&amp;query=-12.316243,-76.82759","Punta Hermosa, Lima")</f>
      </c>
      <c r="O63" t="str">
        <v>Encendido o Entró en cobertura</v>
      </c>
      <c r="P63">
        <v>294429.3</v>
      </c>
      <c r="Q63" t="str">
        <v/>
      </c>
      <c r="R63">
        <v>11.1</v>
      </c>
      <c r="S63">
        <v>9.75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82</v>
      </c>
      <c r="AB63" t="str">
        <v>17/09/2026</v>
      </c>
      <c r="AC63" t="str">
        <v>10:13:08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17/09/2026 10:13:28</v>
      </c>
      <c r="AK63" t="str">
        <v>10:13:28</v>
      </c>
      <c r="AL63" t="str">
        <v/>
      </c>
    </row>
    <row r="64">
      <c r="A64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/>
      </c>
      <c r="J64" t="str">
        <v>17/09/2026</v>
      </c>
      <c r="K64" t="str">
        <v>10:27:40</v>
      </c>
      <c r="L64">
        <v>-12.253787</v>
      </c>
      <c r="M64">
        <v>-76.92318</v>
      </c>
      <c r="N64">
        <f>HYPERLINK("https://www.google.com/maps/search/?api=1&amp;query=-12.253787,-76.92318","Antigua Panamericana Sur, Lurín, Lima")</f>
      </c>
      <c r="O64" t="str">
        <v>Bache</v>
      </c>
      <c r="P64">
        <v>294442.4</v>
      </c>
      <c r="Q64" t="str">
        <v/>
      </c>
      <c r="R64">
        <v>14.4</v>
      </c>
      <c r="S64">
        <v>9.75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85</v>
      </c>
      <c r="AB64" t="str">
        <v>17/09/2026</v>
      </c>
      <c r="AC64" t="str">
        <v>10:27:39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17/09/2026 10:28:22</v>
      </c>
      <c r="AK64" t="str">
        <v>10:28:22</v>
      </c>
      <c r="AL64" t="str">
        <v/>
      </c>
    </row>
    <row r="65">
      <c r="A65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/>
      </c>
      <c r="J65" t="str">
        <v>17/09/2026</v>
      </c>
      <c r="K65" t="str">
        <v>10:29:07</v>
      </c>
      <c r="L65">
        <v>-12.250049</v>
      </c>
      <c r="M65">
        <v>-76.930466</v>
      </c>
      <c r="N65">
        <f>HYPERLINK("https://www.google.com/maps/search/?api=1&amp;query=-12.250049,-76.930466","Antigua Panamericana Sur, Villa El Salvador, Lima")</f>
      </c>
      <c r="O65" t="str">
        <v>Aceleración brusca</v>
      </c>
      <c r="P65">
        <v>294443.3</v>
      </c>
      <c r="Q65" t="str">
        <v/>
      </c>
      <c r="R65">
        <v>10.9</v>
      </c>
      <c r="S65">
        <v>9.75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88</v>
      </c>
      <c r="AB65" t="str">
        <v>17/09/2026</v>
      </c>
      <c r="AC65" t="str">
        <v>10:29:06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17/09/2026 10:29:32</v>
      </c>
      <c r="AK65" t="str">
        <v>10:29:32</v>
      </c>
      <c r="AL65" t="str">
        <v/>
      </c>
    </row>
    <row r="66">
      <c r="A66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/>
      </c>
      <c r="J66" t="str">
        <v>17/09/2026</v>
      </c>
      <c r="K66" t="str">
        <v>10:36:40</v>
      </c>
      <c r="L66">
        <v>-12.246306</v>
      </c>
      <c r="M66">
        <v>-76.923676</v>
      </c>
      <c r="N66">
        <f>HYPERLINK("https://www.google.com/maps/search/?api=1&amp;query=-12.246306,-76.923676","Avenida Prolongación Mariano Pastor Sevilla, Villa El Salvador, Lima")</f>
      </c>
      <c r="O66" t="str">
        <v>Aceleración brusca</v>
      </c>
      <c r="P66">
        <v>294444.7</v>
      </c>
      <c r="Q66" t="str">
        <v/>
      </c>
      <c r="R66">
        <v>5.9</v>
      </c>
      <c r="S66">
        <v>9.75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83</v>
      </c>
      <c r="AB66" t="str">
        <v>17/09/2026</v>
      </c>
      <c r="AC66" t="str">
        <v>10:36:39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17/09/2026 10:36:47</v>
      </c>
      <c r="AK66" t="str">
        <v>10:36:47</v>
      </c>
      <c r="AL66" t="str">
        <v/>
      </c>
    </row>
    <row r="67">
      <c r="A67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/>
      </c>
      <c r="J67" t="str">
        <v>17/09/2026</v>
      </c>
      <c r="K67" t="str">
        <v>10:39:04</v>
      </c>
      <c r="L67">
        <v>-12.238818</v>
      </c>
      <c r="M67">
        <v>-76.928154</v>
      </c>
      <c r="N67">
        <f>HYPERLINK("https://www.google.com/maps/search/?api=1&amp;query=-12.238818,-76.928154","Avenida Prolongación Mariano Pastor Sevilla, Villa El Salvador, Lima")</f>
      </c>
      <c r="O67" t="str">
        <v>Bache</v>
      </c>
      <c r="P67">
        <v>294445.7</v>
      </c>
      <c r="Q67" t="str">
        <v/>
      </c>
      <c r="R67">
        <v>28.3</v>
      </c>
      <c r="S67">
        <v>9.75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85</v>
      </c>
      <c r="AB67" t="str">
        <v>17/09/2026</v>
      </c>
      <c r="AC67" t="str">
        <v>10:39:03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17/09/2026 10:39:13</v>
      </c>
      <c r="AK67" t="str">
        <v>10:39:13</v>
      </c>
      <c r="AL67" t="str">
        <v/>
      </c>
    </row>
    <row r="68">
      <c r="A68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/>
      </c>
      <c r="J68" t="str">
        <v>17/09/2026</v>
      </c>
      <c r="K68" t="str">
        <v>10:40:16</v>
      </c>
      <c r="L68">
        <v>-12.234498</v>
      </c>
      <c r="M68">
        <v>-76.93409</v>
      </c>
      <c r="N68">
        <f>HYPERLINK("https://www.google.com/maps/search/?api=1&amp;query=-12.234498,-76.93409","Avenida Prolongación Mariano Pastor Sevilla, Villa El Salvador, Lima")</f>
      </c>
      <c r="O68" t="str">
        <v>Bache</v>
      </c>
      <c r="P68">
        <v>294446.5</v>
      </c>
      <c r="Q68" t="str">
        <v/>
      </c>
      <c r="R68">
        <v>5.5</v>
      </c>
      <c r="S68">
        <v>9.75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85</v>
      </c>
      <c r="AB68" t="str">
        <v>17/09/2026</v>
      </c>
      <c r="AC68" t="str">
        <v>10:40:15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17/09/2026 10:40:33</v>
      </c>
      <c r="AK68" t="str">
        <v>10:40:33</v>
      </c>
      <c r="AL68" t="str">
        <v/>
      </c>
    </row>
    <row r="69">
      <c r="A69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/>
      </c>
      <c r="J69" t="str">
        <v>17/09/2026</v>
      </c>
      <c r="K69" t="str">
        <v>10:41:46</v>
      </c>
      <c r="L69">
        <v>-12.228659</v>
      </c>
      <c r="M69">
        <v>-76.93911</v>
      </c>
      <c r="N69">
        <f>HYPERLINK("https://www.google.com/maps/search/?api=1&amp;query=-12.228659,-76.93911","Avenida Mariano Pastor Sevilla, Villa El Salvador, Lima")</f>
      </c>
      <c r="O69" t="str">
        <v>Ingreso a camino vecinal</v>
      </c>
      <c r="P69">
        <v>294447.3</v>
      </c>
      <c r="Q69" t="str">
        <v/>
      </c>
      <c r="R69">
        <v>14</v>
      </c>
      <c r="S69">
        <v>9.75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89</v>
      </c>
      <c r="AB69" t="str">
        <v>17/09/2026</v>
      </c>
      <c r="AC69" t="str">
        <v>10:41:45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17/09/2026 10:41:54</v>
      </c>
      <c r="AK69" t="str">
        <v>10:41:54</v>
      </c>
      <c r="AL69" t="str">
        <v/>
      </c>
    </row>
    <row r="70">
      <c r="A70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/>
      </c>
      <c r="J70" t="str">
        <v>17/09/2026</v>
      </c>
      <c r="K70" t="str">
        <v>10:42:46</v>
      </c>
      <c r="L70">
        <v>-12.224896</v>
      </c>
      <c r="M70">
        <v>-76.94137</v>
      </c>
      <c r="N70">
        <f>HYPERLINK("https://www.google.com/maps/search/?api=1&amp;query=-12.224896,-76.94137","Avenida Mariano Pastor Sevilla, Villa El Salvador, Lima")</f>
      </c>
      <c r="O70" t="str">
        <v>Salida de camino vecinal</v>
      </c>
      <c r="P70">
        <v>294447.8</v>
      </c>
      <c r="Q70" t="str">
        <v/>
      </c>
      <c r="R70">
        <v>38.5</v>
      </c>
      <c r="S70">
        <v>9.75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89</v>
      </c>
      <c r="AB70" t="str">
        <v>17/09/2026</v>
      </c>
      <c r="AC70" t="str">
        <v>10:42:45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17/09/2026 10:43:03</v>
      </c>
      <c r="AK70" t="str">
        <v>10:43:03</v>
      </c>
      <c r="AL70" t="str">
        <v/>
      </c>
    </row>
    <row r="71">
      <c r="A71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/>
      </c>
      <c r="J71" t="str">
        <v>17/09/2026</v>
      </c>
      <c r="K71" t="str">
        <v>10:47:01</v>
      </c>
      <c r="L71">
        <v>-12.221295</v>
      </c>
      <c r="M71">
        <v>-76.944016</v>
      </c>
      <c r="N71">
        <f>HYPERLINK("https://www.google.com/maps/search/?api=1&amp;query=-12.221295,-76.944016","Avenida Mariano Pastor Sevilla, Villa El Salvador, Lima")</f>
      </c>
      <c r="O71" t="str">
        <v>Inicio de ralentí</v>
      </c>
      <c r="P71">
        <v>294448.4</v>
      </c>
      <c r="Q71" t="str">
        <v/>
      </c>
      <c r="R71">
        <v>0</v>
      </c>
      <c r="S71">
        <v>9.75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89</v>
      </c>
      <c r="AB71" t="str">
        <v>17/09/2026</v>
      </c>
      <c r="AC71" t="str">
        <v>10:47:00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17/09/2026 10:47:15</v>
      </c>
      <c r="AK71" t="str">
        <v>10:47:15</v>
      </c>
      <c r="AL71" t="str">
        <v/>
      </c>
    </row>
    <row r="72">
      <c r="A72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/>
      </c>
      <c r="J72" t="str">
        <v>17/09/2026</v>
      </c>
      <c r="K72" t="str">
        <v>10:48:06</v>
      </c>
      <c r="L72">
        <v>-12.221295</v>
      </c>
      <c r="M72">
        <v>-76.944016</v>
      </c>
      <c r="N72">
        <f>HYPERLINK("https://www.google.com/maps/search/?api=1&amp;query=-12.221295,-76.944016","Avenida Mariano Pastor Sevilla, Villa El Salvador, Lima")</f>
      </c>
      <c r="O72" t="str">
        <v>Vehículo apagado</v>
      </c>
      <c r="P72">
        <v>294448.4</v>
      </c>
      <c r="Q72" t="str">
        <v/>
      </c>
      <c r="R72">
        <v>0</v>
      </c>
      <c r="S72">
        <v>10.42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89</v>
      </c>
      <c r="AB72" t="str">
        <v>17/09/2026</v>
      </c>
      <c r="AC72" t="str">
        <v>10:48:05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17/09/2026 10:48:18</v>
      </c>
      <c r="AK72" t="str">
        <v>10:48:18</v>
      </c>
      <c r="AL72" t="str">
        <v/>
      </c>
    </row>
    <row r="73">
      <c r="A73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/>
      </c>
      <c r="J73" t="str">
        <v>17/09/2026</v>
      </c>
      <c r="K73" t="str">
        <v>10:48:06</v>
      </c>
      <c r="L73">
        <v>-12.221295</v>
      </c>
      <c r="M73">
        <v>-76.944016</v>
      </c>
      <c r="N73">
        <f>HYPERLINK("https://www.google.com/maps/search/?api=1&amp;query=-12.221295,-76.944016","Avenida Mariano Pastor Sevilla, Villa El Salvador, Lima")</f>
      </c>
      <c r="O73" t="str">
        <v>Fin de ralentí</v>
      </c>
      <c r="P73">
        <v>294448.4</v>
      </c>
      <c r="Q73" t="str">
        <v/>
      </c>
      <c r="R73">
        <v>0</v>
      </c>
      <c r="S73">
        <v>9.75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89</v>
      </c>
      <c r="AB73" t="str">
        <v>17/09/2026</v>
      </c>
      <c r="AC73" t="str">
        <v>10:48:05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17/09/2026 10:48:18</v>
      </c>
      <c r="AK73" t="str">
        <v>10:48:18</v>
      </c>
      <c r="AL73" t="str">
        <v/>
      </c>
    </row>
  </sheetData>
  <ignoredErrors>
    <ignoredError numberStoredAsText="1" sqref="A1:A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