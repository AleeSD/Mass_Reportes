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/>
      </c>
      <c r="J2" t="str">
        <v>17/09/2026</v>
      </c>
      <c r="K2" t="str">
        <v>05:10:06</v>
      </c>
      <c r="L2">
        <v>-12.212883</v>
      </c>
      <c r="M2">
        <v>-76.95942</v>
      </c>
      <c r="N2">
        <f>HYPERLINK("https://www.google.com/maps/search/?api=1&amp;query=-12.212883,-76.95942","Avenida Villa del Mar, Villa El Salvador, Lima")</f>
      </c>
      <c r="O2" t="str">
        <v>Se movio</v>
      </c>
      <c r="P2">
        <v>70844</v>
      </c>
      <c r="Q2" t="str">
        <v/>
      </c>
      <c r="R2">
        <v>3.8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83</v>
      </c>
      <c r="AB2" t="str">
        <v>17/09/2026</v>
      </c>
      <c r="AC2" t="str">
        <v>05:10:02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05:10:17</v>
      </c>
      <c r="AK2" t="str">
        <v>05:10:17</v>
      </c>
      <c r="AL2" t="str">
        <v/>
      </c>
    </row>
    <row r="3">
      <c r="A3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/>
      </c>
      <c r="J3" t="str">
        <v>17/09/2026</v>
      </c>
      <c r="K3" t="str">
        <v>05:38:46</v>
      </c>
      <c r="L3">
        <v>-12.153067</v>
      </c>
      <c r="M3">
        <v>-76.970634</v>
      </c>
      <c r="N3">
        <f>HYPERLINK("https://www.google.com/maps/search/?api=1&amp;query=-12.153067,-76.970634","Avenida Hernando de La Valle, San Juan de Miraflores, Lima")</f>
      </c>
      <c r="O3" t="str">
        <v>Inicio de ralentí</v>
      </c>
      <c r="P3">
        <v>70844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83</v>
      </c>
      <c r="AB3" t="str">
        <v>17/09/2026</v>
      </c>
      <c r="AC3" t="str">
        <v>05:38:42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05:38:51</v>
      </c>
      <c r="AK3" t="str">
        <v>05:38:51</v>
      </c>
      <c r="AL3" t="str">
        <v/>
      </c>
    </row>
    <row r="4">
      <c r="A4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/>
      </c>
      <c r="J4" t="str">
        <v>17/09/2026</v>
      </c>
      <c r="K4" t="str">
        <v>05:42:12</v>
      </c>
      <c r="L4">
        <v>-12.153067</v>
      </c>
      <c r="M4">
        <v>-76.970634</v>
      </c>
      <c r="N4">
        <f>HYPERLINK("https://www.google.com/maps/search/?api=1&amp;query=-12.153067,-76.970634","Avenida Hernando de La Valle, San Juan de Miraflores, Lima")</f>
      </c>
      <c r="O4" t="str">
        <v>Fin de ralentí</v>
      </c>
      <c r="P4">
        <v>70844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83</v>
      </c>
      <c r="AB4" t="str">
        <v>17/09/2026</v>
      </c>
      <c r="AC4" t="str">
        <v>05:42:08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05:42:33</v>
      </c>
      <c r="AK4" t="str">
        <v>05:42:33</v>
      </c>
      <c r="AL4" t="str">
        <v/>
      </c>
    </row>
    <row r="5">
      <c r="A5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/>
      </c>
      <c r="J5" t="str">
        <v>17/09/2026</v>
      </c>
      <c r="K5" t="str">
        <v>06:56:41</v>
      </c>
      <c r="L5">
        <v>-12.15317</v>
      </c>
      <c r="M5">
        <v>-76.97074</v>
      </c>
      <c r="N5">
        <f>HYPERLINK("https://www.google.com/maps/search/?api=1&amp;query=-12.15317,-76.97074","Avenida Hernando de La Valle, San Juan de Miraflores, Lima")</f>
      </c>
      <c r="O5" t="str">
        <v>Se movio</v>
      </c>
      <c r="P5">
        <v>70844</v>
      </c>
      <c r="Q5" t="str">
        <v/>
      </c>
      <c r="R5">
        <v>5.9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78</v>
      </c>
      <c r="AB5" t="str">
        <v>17/09/2026</v>
      </c>
      <c r="AC5" t="str">
        <v>06:56:37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06:56:53</v>
      </c>
      <c r="AK5" t="str">
        <v>06:56:53</v>
      </c>
      <c r="AL5" t="str">
        <v/>
      </c>
    </row>
    <row r="6">
      <c r="A6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/>
      </c>
      <c r="J6" t="str">
        <v>17/09/2026</v>
      </c>
      <c r="K6" t="str">
        <v>07:20:38</v>
      </c>
      <c r="L6">
        <v>-12.154623</v>
      </c>
      <c r="M6">
        <v>-76.97137</v>
      </c>
      <c r="N6">
        <f>HYPERLINK("https://www.google.com/maps/search/?api=1&amp;query=-12.154623,-76.97137","Justo Naveda, San Juan de Miraflores, Lima")</f>
      </c>
      <c r="O6" t="str">
        <v>Se movio</v>
      </c>
      <c r="P6">
        <v>70844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78</v>
      </c>
      <c r="AB6" t="str">
        <v>17/09/2026</v>
      </c>
      <c r="AC6" t="str">
        <v>07:20:34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07:20:46</v>
      </c>
      <c r="AK6" t="str">
        <v>07:20:46</v>
      </c>
      <c r="AL6" t="str">
        <v/>
      </c>
    </row>
    <row r="7">
      <c r="A7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/>
      </c>
      <c r="J7" t="str">
        <v>17/09/2026</v>
      </c>
      <c r="K7" t="str">
        <v>07:44:31</v>
      </c>
      <c r="L7">
        <v>-12.15625</v>
      </c>
      <c r="M7">
        <v>-76.97206</v>
      </c>
      <c r="N7">
        <f>HYPERLINK("https://www.google.com/maps/search/?api=1&amp;query=-12.15625,-76.97206","Justo Naveda, San Juan de Miraflores, Lima")</f>
      </c>
      <c r="O7" t="str">
        <v>Se movio</v>
      </c>
      <c r="P7">
        <v>70844</v>
      </c>
      <c r="Q7" t="str">
        <v/>
      </c>
      <c r="R7">
        <v>9.8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87</v>
      </c>
      <c r="AB7" t="str">
        <v>17/09/2026</v>
      </c>
      <c r="AC7" t="str">
        <v>07:44:26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07:44:44</v>
      </c>
      <c r="AK7" t="str">
        <v>07:44:44</v>
      </c>
      <c r="AL7" t="str">
        <v/>
      </c>
    </row>
    <row r="8">
      <c r="A8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/>
      </c>
      <c r="J8" t="str">
        <v>17/09/2026</v>
      </c>
      <c r="K8" t="str">
        <v>07:44:52</v>
      </c>
      <c r="L8">
        <v>-12.156266</v>
      </c>
      <c r="M8">
        <v>-76.97191</v>
      </c>
      <c r="N8">
        <f>HYPERLINK("https://www.google.com/maps/search/?api=1&amp;query=-12.156266,-76.97191","Jirón Maximiliano Carranza, San Juan de Miraflores, Lima")</f>
      </c>
      <c r="O8" t="str">
        <v>Encendido o Entró en cobertura</v>
      </c>
      <c r="P8">
        <v>70844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87</v>
      </c>
      <c r="AB8" t="str">
        <v>17/09/2026</v>
      </c>
      <c r="AC8" t="str">
        <v>07:44:52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07:44:54</v>
      </c>
      <c r="AK8" t="str">
        <v>07:44:54</v>
      </c>
      <c r="AL8" t="str">
        <v/>
      </c>
    </row>
    <row r="9">
      <c r="A9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/>
      </c>
      <c r="J9" t="str">
        <v>17/09/2026</v>
      </c>
      <c r="K9" t="str">
        <v>08:08:34</v>
      </c>
      <c r="L9">
        <v>-12.154477</v>
      </c>
      <c r="M9">
        <v>-76.977615</v>
      </c>
      <c r="N9">
        <f>HYPERLINK("https://www.google.com/maps/search/?api=1&amp;query=-12.154477,-76.977615","Joaquín Bernal, San Juan de Miraflores, Lima")</f>
      </c>
      <c r="O9" t="str">
        <v>Se movio</v>
      </c>
      <c r="P9">
        <v>70844</v>
      </c>
      <c r="Q9" t="str">
        <v/>
      </c>
      <c r="R9">
        <v>8.3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87</v>
      </c>
      <c r="AB9" t="str">
        <v>17/09/2026</v>
      </c>
      <c r="AC9" t="str">
        <v>08:08:30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08:08:41</v>
      </c>
      <c r="AK9" t="str">
        <v>08:08:41</v>
      </c>
      <c r="AL9" t="str">
        <v/>
      </c>
    </row>
    <row r="10">
      <c r="A10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/>
      </c>
      <c r="J10" t="str">
        <v>17/09/2026</v>
      </c>
      <c r="K10" t="str">
        <v>09:03:11</v>
      </c>
      <c r="L10">
        <v>-12.317318</v>
      </c>
      <c r="M10">
        <v>-76.822914</v>
      </c>
      <c r="N10">
        <f>HYPERLINK("https://www.google.com/maps/search/?api=1&amp;query=-12.317318,-76.822914","Punta Hermosa, Lima")</f>
      </c>
      <c r="O10" t="str">
        <v>Inicio de ralentí</v>
      </c>
      <c r="P10">
        <v>70844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82</v>
      </c>
      <c r="AB10" t="str">
        <v>17/09/2026</v>
      </c>
      <c r="AC10" t="str">
        <v>09:03:06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09:03:20</v>
      </c>
      <c r="AK10" t="str">
        <v>09:03:20</v>
      </c>
      <c r="AL10" t="str">
        <v/>
      </c>
    </row>
    <row r="11">
      <c r="A11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/>
      </c>
      <c r="J11" t="str">
        <v>17/09/2026</v>
      </c>
      <c r="K11" t="str">
        <v>09:13:18</v>
      </c>
      <c r="L11">
        <v>-12.317302</v>
      </c>
      <c r="M11">
        <v>-76.8229</v>
      </c>
      <c r="N11">
        <f>HYPERLINK("https://www.google.com/maps/search/?api=1&amp;query=-12.317302,-76.8229","Punta Hermosa, Lima")</f>
      </c>
      <c r="O11" t="str">
        <v>Fin de ralentí</v>
      </c>
      <c r="P11">
        <v>70844</v>
      </c>
      <c r="Q11" t="str">
        <v/>
      </c>
      <c r="R11">
        <v>5.9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87</v>
      </c>
      <c r="AB11" t="str">
        <v>17/09/2026</v>
      </c>
      <c r="AC11" t="str">
        <v>09:13:14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09:13:24</v>
      </c>
      <c r="AK11" t="str">
        <v>09:13:24</v>
      </c>
      <c r="AL11" t="str">
        <v/>
      </c>
    </row>
    <row r="12">
      <c r="A12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/>
      </c>
      <c r="J12" t="str">
        <v>17/09/2026</v>
      </c>
      <c r="K12" t="str">
        <v>09:13:25</v>
      </c>
      <c r="L12">
        <v>-12.317215</v>
      </c>
      <c r="M12">
        <v>-76.822845</v>
      </c>
      <c r="N12">
        <f>HYPERLINK("https://www.google.com/maps/search/?api=1&amp;query=-12.317215,-76.822845","Punta Hermosa, Lima")</f>
      </c>
      <c r="O12" t="str">
        <v>Se movio</v>
      </c>
      <c r="P12">
        <v>70844</v>
      </c>
      <c r="Q12" t="str">
        <v/>
      </c>
      <c r="R12">
        <v>6.2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87</v>
      </c>
      <c r="AB12" t="str">
        <v>17/09/2026</v>
      </c>
      <c r="AC12" t="str">
        <v>09:13:20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09:13:36</v>
      </c>
      <c r="AK12" t="str">
        <v>09:13:36</v>
      </c>
      <c r="AL12" t="str">
        <v/>
      </c>
    </row>
    <row r="13">
      <c r="A13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/>
      </c>
      <c r="J13" t="str">
        <v>17/09/2026</v>
      </c>
      <c r="K13" t="str">
        <v>09:26:49</v>
      </c>
      <c r="L13">
        <v>-12.317458</v>
      </c>
      <c r="M13">
        <v>-76.82448</v>
      </c>
      <c r="N13">
        <f>HYPERLINK("https://www.google.com/maps/search/?api=1&amp;query=-12.317458,-76.82448","Punta Hermosa, Lima")</f>
      </c>
      <c r="O13" t="str">
        <v>Inicio de ralentí</v>
      </c>
      <c r="P13">
        <v>70844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82</v>
      </c>
      <c r="AB13" t="str">
        <v>17/09/2026</v>
      </c>
      <c r="AC13" t="str">
        <v>09:26:48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09:27:03</v>
      </c>
      <c r="AK13" t="str">
        <v>09:27:03</v>
      </c>
      <c r="AL13" t="str">
        <v/>
      </c>
    </row>
    <row r="14">
      <c r="A14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/>
      </c>
      <c r="J14" t="str">
        <v>17/09/2026</v>
      </c>
      <c r="K14" t="str">
        <v>09:27:16</v>
      </c>
      <c r="L14">
        <v>-12.317458</v>
      </c>
      <c r="M14">
        <v>-76.82448</v>
      </c>
      <c r="N14">
        <f>HYPERLINK("https://www.google.com/maps/search/?api=1&amp;query=-12.317458,-76.82448","Punta Hermosa, Lima")</f>
      </c>
      <c r="O14" t="str">
        <v>Fin de ralentí</v>
      </c>
      <c r="P14">
        <v>70844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82</v>
      </c>
      <c r="AB14" t="str">
        <v>17/09/2026</v>
      </c>
      <c r="AC14" t="str">
        <v>09:27:16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09:27:35</v>
      </c>
      <c r="AK14" t="str">
        <v>09:27:35</v>
      </c>
      <c r="AL14" t="str">
        <v/>
      </c>
    </row>
    <row r="15">
      <c r="A15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/>
      </c>
      <c r="J15" t="str">
        <v>17/09/2026</v>
      </c>
      <c r="K15" t="str">
        <v>09:31:29</v>
      </c>
      <c r="L15">
        <v>-12.317672</v>
      </c>
      <c r="M15">
        <v>-76.82442</v>
      </c>
      <c r="N15">
        <f>HYPERLINK("https://www.google.com/maps/search/?api=1&amp;query=-12.317672,-76.82442","Punta Hermosa, Lima")</f>
      </c>
      <c r="O15" t="str">
        <v>Inicio de ralentí</v>
      </c>
      <c r="P15">
        <v>70844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82</v>
      </c>
      <c r="AB15" t="str">
        <v>17/09/2026</v>
      </c>
      <c r="AC15" t="str">
        <v>09:31:28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09:31:42</v>
      </c>
      <c r="AK15" t="str">
        <v>09:31:42</v>
      </c>
      <c r="AL15" t="str">
        <v/>
      </c>
    </row>
    <row r="16">
      <c r="A16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/>
      </c>
      <c r="J16" t="str">
        <v>17/09/2026</v>
      </c>
      <c r="K16" t="str">
        <v>09:33:04</v>
      </c>
      <c r="L16">
        <v>-12.31777</v>
      </c>
      <c r="M16">
        <v>-76.824356</v>
      </c>
      <c r="N16">
        <f>HYPERLINK("https://www.google.com/maps/search/?api=1&amp;query=-12.31777,-76.824356","Punta Hermosa, Lima")</f>
      </c>
      <c r="O16" t="str">
        <v>Fin de ralentí</v>
      </c>
      <c r="P16">
        <v>70844</v>
      </c>
      <c r="Q16" t="str">
        <v/>
      </c>
      <c r="R16">
        <v>6.2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82</v>
      </c>
      <c r="AB16" t="str">
        <v>17/09/2026</v>
      </c>
      <c r="AC16" t="str">
        <v>09:33:04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09:33:12</v>
      </c>
      <c r="AK16" t="str">
        <v>09:33:12</v>
      </c>
      <c r="AL16" t="str">
        <v/>
      </c>
    </row>
    <row r="17">
      <c r="A17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/>
      </c>
      <c r="J17" t="str">
        <v>17/09/2026</v>
      </c>
      <c r="K17" t="str">
        <v>09:36:05</v>
      </c>
      <c r="L17">
        <v>-12.31772</v>
      </c>
      <c r="M17">
        <v>-76.824326</v>
      </c>
      <c r="N17">
        <f>HYPERLINK("https://www.google.com/maps/search/?api=1&amp;query=-12.31772,-76.824326","Punta Hermosa, Lima")</f>
      </c>
      <c r="O17" t="str">
        <v>Inicio de ralentí</v>
      </c>
      <c r="P17">
        <v>70844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82</v>
      </c>
      <c r="AB17" t="str">
        <v>17/09/2026</v>
      </c>
      <c r="AC17" t="str">
        <v>09:36:04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09:36:19</v>
      </c>
      <c r="AK17" t="str">
        <v>09:36:19</v>
      </c>
      <c r="AL17" t="str">
        <v/>
      </c>
    </row>
    <row r="18">
      <c r="A18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/>
      </c>
      <c r="J18" t="str">
        <v>17/09/2026</v>
      </c>
      <c r="K18" t="str">
        <v>09:39:57</v>
      </c>
      <c r="L18">
        <v>-12.31772</v>
      </c>
      <c r="M18">
        <v>-76.824326</v>
      </c>
      <c r="N18">
        <f>HYPERLINK("https://www.google.com/maps/search/?api=1&amp;query=-12.31772,-76.824326","Punta Hermosa, Lima")</f>
      </c>
      <c r="O18" t="str">
        <v>Fin de ralentí</v>
      </c>
      <c r="P18">
        <v>70844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82</v>
      </c>
      <c r="AB18" t="str">
        <v>17/09/2026</v>
      </c>
      <c r="AC18" t="str">
        <v>09:39:56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09:40:17</v>
      </c>
      <c r="AK18" t="str">
        <v>09:40:17</v>
      </c>
      <c r="AL18" t="str">
        <v/>
      </c>
    </row>
    <row r="19">
      <c r="A19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/>
      </c>
      <c r="J19" t="str">
        <v>17/09/2026</v>
      </c>
      <c r="K19" t="str">
        <v>10:15:29</v>
      </c>
      <c r="L19">
        <v>-12.317712</v>
      </c>
      <c r="M19">
        <v>-76.82437</v>
      </c>
      <c r="N19">
        <f>HYPERLINK("https://www.google.com/maps/search/?api=1&amp;query=-12.317712,-76.82437","Punta Hermosa, Lima")</f>
      </c>
      <c r="O19" t="str">
        <v>Se movio</v>
      </c>
      <c r="P19">
        <v>70844</v>
      </c>
      <c r="Q19" t="str">
        <v/>
      </c>
      <c r="R19">
        <v>6.6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77</v>
      </c>
      <c r="AB19" t="str">
        <v>17/09/2026</v>
      </c>
      <c r="AC19" t="str">
        <v>10:15:29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10:15:45</v>
      </c>
      <c r="AK19" t="str">
        <v>10:15:45</v>
      </c>
      <c r="AL19" t="str">
        <v/>
      </c>
    </row>
    <row r="20">
      <c r="A20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/>
      </c>
      <c r="J20" t="str">
        <v>17/09/2026</v>
      </c>
      <c r="K20" t="str">
        <v>10:53:37</v>
      </c>
      <c r="L20">
        <v>-12.211786</v>
      </c>
      <c r="M20">
        <v>-76.95135</v>
      </c>
      <c r="N20">
        <f>HYPERLINK("https://www.google.com/maps/search/?api=1&amp;query=-12.211786,-76.95135","Calle 5, Villa El Salvador, Lima")</f>
      </c>
      <c r="O20" t="str">
        <v>Inicio de ralentí</v>
      </c>
      <c r="P20">
        <v>70844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82</v>
      </c>
      <c r="AB20" t="str">
        <v>17/09/2026</v>
      </c>
      <c r="AC20" t="str">
        <v>10:53:36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10:53:48</v>
      </c>
      <c r="AK20" t="str">
        <v>10:53:48</v>
      </c>
      <c r="AL20" t="str">
        <v/>
      </c>
    </row>
    <row r="21">
      <c r="A21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/>
      </c>
      <c r="J21" t="str">
        <v>17/09/2026</v>
      </c>
      <c r="K21" t="str">
        <v>11:11:06</v>
      </c>
      <c r="L21">
        <v>-12.21182</v>
      </c>
      <c r="M21">
        <v>-76.95132</v>
      </c>
      <c r="N21">
        <f>HYPERLINK("https://www.google.com/maps/search/?api=1&amp;query=-12.21182,-76.95132","Calle 5, Villa El Salvador, Lima")</f>
      </c>
      <c r="O21" t="str">
        <v>Fin de ralentí</v>
      </c>
      <c r="P21">
        <v>70844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82</v>
      </c>
      <c r="AB21" t="str">
        <v>17/09/2026</v>
      </c>
      <c r="AC21" t="str">
        <v>11:11:05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11:11:15</v>
      </c>
      <c r="AK21" t="str">
        <v>11:11:15</v>
      </c>
      <c r="AL21" t="str">
        <v/>
      </c>
    </row>
    <row r="22">
      <c r="A22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/>
      </c>
      <c r="J22" t="str">
        <v>17/09/2026</v>
      </c>
      <c r="K22" t="str">
        <v>11:19:58</v>
      </c>
      <c r="L22">
        <v>-12.212136</v>
      </c>
      <c r="M22">
        <v>-76.95109</v>
      </c>
      <c r="N22">
        <f>HYPERLINK("https://www.google.com/maps/search/?api=1&amp;query=-12.212136,-76.95109","Calle 5, Villa El Salvador, Lima")</f>
      </c>
      <c r="O22" t="str">
        <v>Se movio</v>
      </c>
      <c r="P22">
        <v>70844</v>
      </c>
      <c r="Q22" t="str">
        <v/>
      </c>
      <c r="R22">
        <v>20.3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82</v>
      </c>
      <c r="AB22" t="str">
        <v>17/09/2026</v>
      </c>
      <c r="AC22" t="str">
        <v>11:19:57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11:20:18</v>
      </c>
      <c r="AK22" t="str">
        <v>11:20:18</v>
      </c>
      <c r="AL22" t="str">
        <v/>
      </c>
    </row>
    <row r="23">
      <c r="A23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/>
      </c>
      <c r="J23" t="str">
        <v>17/09/2026</v>
      </c>
      <c r="K23" t="str">
        <v>11:32:58</v>
      </c>
      <c r="L23">
        <v>-12.237655</v>
      </c>
      <c r="M23">
        <v>-76.93678</v>
      </c>
      <c r="N23">
        <f>HYPERLINK("https://www.google.com/maps/search/?api=1&amp;query=-12.237655,-76.93678","Avenida 200 Millas, Villa El Salvador, Lima")</f>
      </c>
      <c r="O23" t="str">
        <v>Inicio de ralentí</v>
      </c>
      <c r="P23">
        <v>70844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82</v>
      </c>
      <c r="AB23" t="str">
        <v>17/09/2026</v>
      </c>
      <c r="AC23" t="str">
        <v>11:32:57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11:33:14</v>
      </c>
      <c r="AK23" t="str">
        <v>11:33:14</v>
      </c>
      <c r="AL23" t="str">
        <v/>
      </c>
    </row>
    <row r="24">
      <c r="A24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/>
      </c>
      <c r="J24" t="str">
        <v>17/09/2026</v>
      </c>
      <c r="K24" t="str">
        <v>11:36:46</v>
      </c>
      <c r="L24">
        <v>-12.237568</v>
      </c>
      <c r="M24">
        <v>-76.93675</v>
      </c>
      <c r="N24">
        <f>HYPERLINK("https://www.google.com/maps/search/?api=1&amp;query=-12.237568,-76.93675","Avenida C, Villa El Salvador, Lima")</f>
      </c>
      <c r="O24" t="str">
        <v>Fin de ralentí</v>
      </c>
      <c r="P24">
        <v>70844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82</v>
      </c>
      <c r="AB24" t="str">
        <v>17/09/2026</v>
      </c>
      <c r="AC24" t="str">
        <v>11:36:45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11:37:01</v>
      </c>
      <c r="AK24" t="str">
        <v>11:37:01</v>
      </c>
      <c r="AL24" t="str">
        <v/>
      </c>
    </row>
    <row r="25">
      <c r="A25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/>
      </c>
      <c r="J25" t="str">
        <v>17/09/2026</v>
      </c>
      <c r="K25" t="str">
        <v>11:46:37</v>
      </c>
      <c r="L25">
        <v>-12.237568</v>
      </c>
      <c r="M25">
        <v>-76.93675</v>
      </c>
      <c r="N25">
        <f>HYPERLINK("https://www.google.com/maps/search/?api=1&amp;query=-12.237568,-76.93675","Avenida C, Villa El Salvador, Lima")</f>
      </c>
      <c r="O25" t="str">
        <v>Encendido o Entró en cobertura</v>
      </c>
      <c r="P25">
        <v>70844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82</v>
      </c>
      <c r="AB25" t="str">
        <v>17/09/2026</v>
      </c>
      <c r="AC25" t="str">
        <v>11:45:46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11:46:41</v>
      </c>
      <c r="AK25" t="str">
        <v>11:46:41</v>
      </c>
      <c r="AL25" t="str">
        <v/>
      </c>
    </row>
    <row r="26">
      <c r="A26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/>
      </c>
      <c r="J26" t="str">
        <v>17/09/2026</v>
      </c>
      <c r="K26" t="str">
        <v>11:49:41</v>
      </c>
      <c r="L26">
        <v>-12.237293</v>
      </c>
      <c r="M26">
        <v>-76.936584</v>
      </c>
      <c r="N26">
        <f>HYPERLINK("https://www.google.com/maps/search/?api=1&amp;query=-12.237293,-76.936584","Avenida 200 Millas, Villa El Salvador, Lima")</f>
      </c>
      <c r="O26" t="str">
        <v>Se movio</v>
      </c>
      <c r="P26">
        <v>70844</v>
      </c>
      <c r="Q26" t="str">
        <v/>
      </c>
      <c r="R26">
        <v>19.6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82</v>
      </c>
      <c r="AB26" t="str">
        <v>17/09/2026</v>
      </c>
      <c r="AC26" t="str">
        <v>11:49:40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11:49:54</v>
      </c>
      <c r="AK26" t="str">
        <v>11:49:54</v>
      </c>
      <c r="AL26" t="str">
        <v/>
      </c>
    </row>
    <row r="27">
      <c r="A27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/>
      </c>
      <c r="J27" t="str">
        <v>17/09/2026</v>
      </c>
      <c r="K27" t="str">
        <v>12:11:44</v>
      </c>
      <c r="L27">
        <v>-12.239112</v>
      </c>
      <c r="M27">
        <v>-76.92095</v>
      </c>
      <c r="N27">
        <f>HYPERLINK("https://www.google.com/maps/search/?api=1&amp;query=-12.239112,-76.92095","Avenida Revolución, Villa El Salvador, Lima")</f>
      </c>
      <c r="O27" t="str">
        <v>Se movio</v>
      </c>
      <c r="P27">
        <v>70844</v>
      </c>
      <c r="Q27" t="str">
        <v/>
      </c>
      <c r="R27">
        <v>16.1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79</v>
      </c>
      <c r="AB27" t="str">
        <v>17/09/2026</v>
      </c>
      <c r="AC27" t="str">
        <v>12:11:43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12:12:10</v>
      </c>
      <c r="AK27" t="str">
        <v>12:12:10</v>
      </c>
      <c r="AL27" t="str">
        <v/>
      </c>
    </row>
    <row r="28">
      <c r="A28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/>
      </c>
      <c r="J28" t="str">
        <v>17/09/2026</v>
      </c>
      <c r="K28" t="str">
        <v>12:50:09</v>
      </c>
      <c r="L28">
        <v>-12.31736</v>
      </c>
      <c r="M28">
        <v>-76.82288</v>
      </c>
      <c r="N28">
        <f>HYPERLINK("https://www.google.com/maps/search/?api=1&amp;query=-12.31736,-76.82288","Punta Hermosa, Lima")</f>
      </c>
      <c r="O28" t="str">
        <v>Inicio de ralentí</v>
      </c>
      <c r="P28">
        <v>70844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77</v>
      </c>
      <c r="AB28" t="str">
        <v>17/09/2026</v>
      </c>
      <c r="AC28" t="str">
        <v>12:50:07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12:50:31</v>
      </c>
      <c r="AK28" t="str">
        <v>12:50:31</v>
      </c>
      <c r="AL28" t="str">
        <v/>
      </c>
    </row>
    <row r="29">
      <c r="A29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/>
      </c>
      <c r="J29" t="str">
        <v>17/09/2026</v>
      </c>
      <c r="K29" t="str">
        <v>12:57:27</v>
      </c>
      <c r="L29">
        <v>-12.31736</v>
      </c>
      <c r="M29">
        <v>-76.822845</v>
      </c>
      <c r="N29">
        <f>HYPERLINK("https://www.google.com/maps/search/?api=1&amp;query=-12.31736,-76.822845","Punta Hermosa, Lima")</f>
      </c>
      <c r="O29" t="str">
        <v>Fin de ralentí</v>
      </c>
      <c r="P29">
        <v>70844</v>
      </c>
      <c r="Q29" t="str">
        <v/>
      </c>
      <c r="R29">
        <v>5.5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77</v>
      </c>
      <c r="AB29" t="str">
        <v>17/09/2026</v>
      </c>
      <c r="AC29" t="str">
        <v>12:57:26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12:57:37</v>
      </c>
      <c r="AK29" t="str">
        <v>12:57:37</v>
      </c>
      <c r="AL29" t="str">
        <v/>
      </c>
    </row>
    <row r="30">
      <c r="A30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/>
      </c>
      <c r="J30" t="str">
        <v>17/09/2026</v>
      </c>
      <c r="K30" t="str">
        <v>13:02:22</v>
      </c>
      <c r="L30">
        <v>-12.317533</v>
      </c>
      <c r="M30">
        <v>-76.8246</v>
      </c>
      <c r="N30">
        <f>HYPERLINK("https://www.google.com/maps/search/?api=1&amp;query=-12.317533,-76.8246","Punta Hermosa, Lima")</f>
      </c>
      <c r="O30" t="str">
        <v>Inicio de ralentí</v>
      </c>
      <c r="P30">
        <v>70844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77</v>
      </c>
      <c r="AB30" t="str">
        <v>17/09/2026</v>
      </c>
      <c r="AC30" t="str">
        <v>13:02:20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13:02:29</v>
      </c>
      <c r="AK30" t="str">
        <v>13:02:29</v>
      </c>
      <c r="AL30" t="str">
        <v/>
      </c>
    </row>
    <row r="31">
      <c r="A31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/>
      </c>
      <c r="J31" t="str">
        <v>17/09/2026</v>
      </c>
      <c r="K31" t="str">
        <v>13:51:03</v>
      </c>
      <c r="L31">
        <v>-12.317431</v>
      </c>
      <c r="M31">
        <v>-76.82444</v>
      </c>
      <c r="N31">
        <f>HYPERLINK("https://www.google.com/maps/search/?api=1&amp;query=-12.317431,-76.82444","Punta Hermosa, Lima")</f>
      </c>
      <c r="O31" t="str">
        <v>Fin de ralentí</v>
      </c>
      <c r="P31">
        <v>70844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85</v>
      </c>
      <c r="AB31" t="str">
        <v>17/09/2026</v>
      </c>
      <c r="AC31" t="str">
        <v>13:51:01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13:51:24</v>
      </c>
      <c r="AK31" t="str">
        <v>13:51:24</v>
      </c>
      <c r="AL31" t="str">
        <v/>
      </c>
    </row>
    <row r="32">
      <c r="A32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/>
      </c>
      <c r="J32" t="str">
        <v>17/09/2026</v>
      </c>
      <c r="K32" t="str">
        <v>14:52:45</v>
      </c>
      <c r="L32">
        <v>-12.31792</v>
      </c>
      <c r="M32">
        <v>-76.82419</v>
      </c>
      <c r="N32">
        <f>HYPERLINK("https://www.google.com/maps/search/?api=1&amp;query=-12.31792,-76.82419","Punta Hermosa, Lima")</f>
      </c>
      <c r="O32" t="str">
        <v>Inicio de ralentí</v>
      </c>
      <c r="P32">
        <v>70844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87</v>
      </c>
      <c r="AB32" t="str">
        <v>17/09/2026</v>
      </c>
      <c r="AC32" t="str">
        <v>14:52:42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14:53:15</v>
      </c>
      <c r="AK32" t="str">
        <v>14:53:15</v>
      </c>
      <c r="AL32" t="str">
        <v/>
      </c>
    </row>
    <row r="33">
      <c r="A33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/>
      </c>
      <c r="J33" t="str">
        <v>17/09/2026</v>
      </c>
      <c r="K33" t="str">
        <v>14:57:03</v>
      </c>
      <c r="L33">
        <v>-12.31792</v>
      </c>
      <c r="M33">
        <v>-76.82419</v>
      </c>
      <c r="N33">
        <f>HYPERLINK("https://www.google.com/maps/search/?api=1&amp;query=-12.31792,-76.82419","Punta Hermosa, Lima")</f>
      </c>
      <c r="O33" t="str">
        <v>Fin de ralentí</v>
      </c>
      <c r="P33">
        <v>70844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86</v>
      </c>
      <c r="AB33" t="str">
        <v>17/09/2026</v>
      </c>
      <c r="AC33" t="str">
        <v>14:57:00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14:57:20</v>
      </c>
      <c r="AK33" t="str">
        <v>14:57:20</v>
      </c>
      <c r="AL33" t="str">
        <v/>
      </c>
    </row>
    <row r="34">
      <c r="A34">
        <v>33</v>
      </c>
      <c r="B34" t="str">
        <v>MASS BSF</v>
      </c>
      <c r="C34" t="str">
        <v>BXT-918</v>
      </c>
      <c r="D34" t="str">
        <v>BXT-918</v>
      </c>
      <c r="E34" t="str">
        <v/>
      </c>
      <c r="F34" t="str">
        <v>867806075765992</v>
      </c>
      <c r="G34" t="str">
        <v>TBD</v>
      </c>
      <c r="H34" t="str">
        <v/>
      </c>
      <c r="I34" t="str">
        <v/>
      </c>
      <c r="J34" t="str">
        <v>17/09/2026</v>
      </c>
      <c r="K34" t="str">
        <v>14:57:18</v>
      </c>
      <c r="L34">
        <v>-12.31792</v>
      </c>
      <c r="M34">
        <v>-76.82419</v>
      </c>
      <c r="N34">
        <f>HYPERLINK("https://www.google.com/maps/search/?api=1&amp;query=-12.31792,-76.82419","Punta Hermosa, Lima")</f>
      </c>
      <c r="O34" t="str">
        <v>Se detuvo</v>
      </c>
      <c r="P34">
        <v>70844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86</v>
      </c>
      <c r="AB34" t="str">
        <v>17/09/2026</v>
      </c>
      <c r="AC34" t="str">
        <v>14:57:15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14:57:40</v>
      </c>
      <c r="AK34" t="str">
        <v>14:57:40</v>
      </c>
      <c r="AL34" t="str">
        <v/>
      </c>
    </row>
    <row r="35">
      <c r="A35">
        <v>34</v>
      </c>
      <c r="B35" t="str">
        <v>MASS BSF</v>
      </c>
      <c r="C35" t="str">
        <v>BXT-918</v>
      </c>
      <c r="D35" t="str">
        <v>BXT-918</v>
      </c>
      <c r="E35" t="str">
        <v/>
      </c>
      <c r="F35" t="str">
        <v>867806075765992</v>
      </c>
      <c r="G35" t="str">
        <v>TBD</v>
      </c>
      <c r="H35" t="str">
        <v/>
      </c>
      <c r="I35" t="str">
        <v/>
      </c>
      <c r="J35" t="str">
        <v>17/09/2026</v>
      </c>
      <c r="K35" t="str">
        <v>15:24:40</v>
      </c>
      <c r="L35">
        <v>-12.317859</v>
      </c>
      <c r="M35">
        <v>-76.82412</v>
      </c>
      <c r="N35">
        <f>HYPERLINK("https://www.google.com/maps/search/?api=1&amp;query=-12.317859,-76.82412","Punta Hermosa, Lima")</f>
      </c>
      <c r="O35" t="str">
        <v>Inicio de ralentí</v>
      </c>
      <c r="P35">
        <v>70844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77</v>
      </c>
      <c r="AB35" t="str">
        <v>17/09/2026</v>
      </c>
      <c r="AC35" t="str">
        <v>15:24:37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15:24:57</v>
      </c>
      <c r="AK35" t="str">
        <v>15:24:57</v>
      </c>
      <c r="AL35" t="str">
        <v/>
      </c>
    </row>
    <row r="36">
      <c r="A36">
        <v>35</v>
      </c>
      <c r="B36" t="str">
        <v>MASS BSF</v>
      </c>
      <c r="C36" t="str">
        <v>BXT-918</v>
      </c>
      <c r="D36" t="str">
        <v>BXT-918</v>
      </c>
      <c r="E36" t="str">
        <v/>
      </c>
      <c r="F36" t="str">
        <v>867806075765992</v>
      </c>
      <c r="G36" t="str">
        <v>TBD</v>
      </c>
      <c r="H36" t="str">
        <v/>
      </c>
      <c r="I36" t="str">
        <v/>
      </c>
      <c r="J36" t="str">
        <v>17/09/2026</v>
      </c>
      <c r="K36" t="str">
        <v>15:25:38</v>
      </c>
      <c r="L36">
        <v>-12.317925</v>
      </c>
      <c r="M36">
        <v>-76.82422</v>
      </c>
      <c r="N36">
        <f>HYPERLINK("https://www.google.com/maps/search/?api=1&amp;query=-12.317925,-76.82422","Punta Hermosa, Lima")</f>
      </c>
      <c r="O36" t="str">
        <v>Fin de ralentí</v>
      </c>
      <c r="P36">
        <v>70844</v>
      </c>
      <c r="Q36" t="str">
        <v/>
      </c>
      <c r="R36">
        <v>5.5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77</v>
      </c>
      <c r="AB36" t="str">
        <v>17/09/2026</v>
      </c>
      <c r="AC36" t="str">
        <v>15:25:36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15:25:51</v>
      </c>
      <c r="AK36" t="str">
        <v>15:25:51</v>
      </c>
      <c r="AL36" t="str">
        <v/>
      </c>
    </row>
    <row r="37">
      <c r="A37">
        <v>36</v>
      </c>
      <c r="B37" t="str">
        <v>MASS BSF</v>
      </c>
      <c r="C37" t="str">
        <v>BXT-918</v>
      </c>
      <c r="D37" t="str">
        <v>BXT-918</v>
      </c>
      <c r="E37" t="str">
        <v/>
      </c>
      <c r="F37" t="str">
        <v>867806075765992</v>
      </c>
      <c r="G37" t="str">
        <v>TBD</v>
      </c>
      <c r="H37" t="str">
        <v/>
      </c>
      <c r="I37" t="str">
        <v/>
      </c>
      <c r="J37" t="str">
        <v>17/09/2026</v>
      </c>
      <c r="K37" t="str">
        <v>16:04:31</v>
      </c>
      <c r="L37">
        <v>-12.212885</v>
      </c>
      <c r="M37">
        <v>-76.9592</v>
      </c>
      <c r="N37">
        <f>HYPERLINK("https://www.google.com/maps/search/?api=1&amp;query=-12.212885,-76.9592","Avenida Villa del Mar, Villa El Salvador, Lima")</f>
      </c>
      <c r="O37" t="str">
        <v>Inicio de ralentí</v>
      </c>
      <c r="P37">
        <v>70844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77</v>
      </c>
      <c r="AB37" t="str">
        <v>17/09/2026</v>
      </c>
      <c r="AC37" t="str">
        <v>16:04:28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16:04:52</v>
      </c>
      <c r="AK37" t="str">
        <v>16:04:52</v>
      </c>
      <c r="AL37" t="str">
        <v/>
      </c>
    </row>
    <row r="38">
      <c r="A38">
        <v>37</v>
      </c>
      <c r="B38" t="str">
        <v>MASS BSF</v>
      </c>
      <c r="C38" t="str">
        <v>BXT-918</v>
      </c>
      <c r="D38" t="str">
        <v>BXT-918</v>
      </c>
      <c r="E38" t="str">
        <v/>
      </c>
      <c r="F38" t="str">
        <v>867806075765992</v>
      </c>
      <c r="G38" t="str">
        <v>TBD</v>
      </c>
      <c r="H38" t="str">
        <v/>
      </c>
      <c r="I38" t="str">
        <v/>
      </c>
      <c r="J38" t="str">
        <v>17/09/2026</v>
      </c>
      <c r="K38" t="str">
        <v>16:08:57</v>
      </c>
      <c r="L38">
        <v>-12.212885</v>
      </c>
      <c r="M38">
        <v>-76.9592</v>
      </c>
      <c r="N38">
        <f>HYPERLINK("https://www.google.com/maps/search/?api=1&amp;query=-12.212885,-76.9592","Avenida Villa del Mar, Villa El Salvador, Lima")</f>
      </c>
      <c r="O38" t="str">
        <v>Se detuvo</v>
      </c>
      <c r="P38">
        <v>70844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77</v>
      </c>
      <c r="AB38" t="str">
        <v>17/09/2026</v>
      </c>
      <c r="AC38" t="str">
        <v>16:08:54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16:09:12</v>
      </c>
      <c r="AK38" t="str">
        <v>16:09:12</v>
      </c>
      <c r="AL38" t="str">
        <v/>
      </c>
    </row>
    <row r="39">
      <c r="A39">
        <v>38</v>
      </c>
      <c r="B39" t="str">
        <v>MASS BSF</v>
      </c>
      <c r="C39" t="str">
        <v>BXT-918</v>
      </c>
      <c r="D39" t="str">
        <v>BXT-918</v>
      </c>
      <c r="E39" t="str">
        <v/>
      </c>
      <c r="F39" t="str">
        <v>867806075765992</v>
      </c>
      <c r="G39" t="str">
        <v>TBD</v>
      </c>
      <c r="H39" t="str">
        <v/>
      </c>
      <c r="I39" t="str">
        <v/>
      </c>
      <c r="J39" t="str">
        <v>17/09/2026</v>
      </c>
      <c r="K39" t="str">
        <v>16:12:04</v>
      </c>
      <c r="L39">
        <v>-12.212983</v>
      </c>
      <c r="M39">
        <v>-76.95912</v>
      </c>
      <c r="N39">
        <f>HYPERLINK("https://www.google.com/maps/search/?api=1&amp;query=-12.212983,-76.95912","Avenida Villa del Mar, Villa El Salvador, Lima")</f>
      </c>
      <c r="O39" t="str">
        <v>Fin de ralentí</v>
      </c>
      <c r="P39">
        <v>70844</v>
      </c>
      <c r="Q39" t="str">
        <v/>
      </c>
      <c r="R39">
        <v>5.7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77</v>
      </c>
      <c r="AB39" t="str">
        <v>17/09/2026</v>
      </c>
      <c r="AC39" t="str">
        <v>16:12:02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16:12:19</v>
      </c>
      <c r="AK39" t="str">
        <v>16:12:19</v>
      </c>
      <c r="AL39" t="str">
        <v/>
      </c>
    </row>
    <row r="40">
      <c r="A40">
        <v>39</v>
      </c>
      <c r="B40" t="str">
        <v>MASS BSF</v>
      </c>
      <c r="C40" t="str">
        <v>BXT-918</v>
      </c>
      <c r="D40" t="str">
        <v>BXT-918</v>
      </c>
      <c r="E40" t="str">
        <v/>
      </c>
      <c r="F40" t="str">
        <v>867806075765992</v>
      </c>
      <c r="G40" t="str">
        <v>TBD</v>
      </c>
      <c r="H40" t="str">
        <v/>
      </c>
      <c r="I40" t="str">
        <v/>
      </c>
      <c r="J40" t="str">
        <v>17/09/2026</v>
      </c>
      <c r="K40" t="str">
        <v>16:16:22</v>
      </c>
      <c r="L40">
        <v>-12.213028</v>
      </c>
      <c r="M40">
        <v>-76.95911</v>
      </c>
      <c r="N40">
        <f>HYPERLINK("https://www.google.com/maps/search/?api=1&amp;query=-12.213028,-76.95911","Avenida Villa del Mar, Villa El Salvador, Lima")</f>
      </c>
      <c r="O40" t="str">
        <v>Inicio de ralentí</v>
      </c>
      <c r="P40">
        <v>70844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77</v>
      </c>
      <c r="AB40" t="str">
        <v>17/09/2026</v>
      </c>
      <c r="AC40" t="str">
        <v>16:16:19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16:16:41</v>
      </c>
      <c r="AK40" t="str">
        <v>16:16:41</v>
      </c>
      <c r="AL40" t="str">
        <v/>
      </c>
    </row>
    <row r="41">
      <c r="A41">
        <v>40</v>
      </c>
      <c r="B41" t="str">
        <v>MASS BSF</v>
      </c>
      <c r="C41" t="str">
        <v>BXT-918</v>
      </c>
      <c r="D41" t="str">
        <v>BXT-918</v>
      </c>
      <c r="E41" t="str">
        <v/>
      </c>
      <c r="F41" t="str">
        <v>867806075765992</v>
      </c>
      <c r="G41" t="str">
        <v>TBD</v>
      </c>
      <c r="H41" t="str">
        <v/>
      </c>
      <c r="I41" t="str">
        <v/>
      </c>
      <c r="J41" t="str">
        <v>17/09/2026</v>
      </c>
      <c r="K41" t="str">
        <v>16:20:40</v>
      </c>
      <c r="L41">
        <v>-12.213028</v>
      </c>
      <c r="M41">
        <v>-76.95911</v>
      </c>
      <c r="N41">
        <f>HYPERLINK("https://www.google.com/maps/search/?api=1&amp;query=-12.213028,-76.95911","Avenida Villa del Mar, Villa El Salvador, Lima")</f>
      </c>
      <c r="O41" t="str">
        <v>Fin de ralentí</v>
      </c>
      <c r="P41">
        <v>70844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77</v>
      </c>
      <c r="AB41" t="str">
        <v>17/09/2026</v>
      </c>
      <c r="AC41" t="str">
        <v>16:20:37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16:20:44</v>
      </c>
      <c r="AK41" t="str">
        <v>16:20:44</v>
      </c>
      <c r="AL41" t="str">
        <v/>
      </c>
    </row>
    <row r="42">
      <c r="A42">
        <v>41</v>
      </c>
      <c r="B42" t="str">
        <v>MASS BSF</v>
      </c>
      <c r="C42" t="str">
        <v>BXT-918</v>
      </c>
      <c r="D42" t="str">
        <v>BXT-918</v>
      </c>
      <c r="E42" t="str">
        <v/>
      </c>
      <c r="F42" t="str">
        <v>867806075765992</v>
      </c>
      <c r="G42" t="str">
        <v>TBD</v>
      </c>
      <c r="H42" t="str">
        <v/>
      </c>
      <c r="I42" t="str">
        <v/>
      </c>
      <c r="J42" t="str">
        <v>17/09/2026</v>
      </c>
      <c r="K42" t="str">
        <v>16:20:47</v>
      </c>
      <c r="L42">
        <v>-12.213028</v>
      </c>
      <c r="M42">
        <v>-76.95911</v>
      </c>
      <c r="N42">
        <f>HYPERLINK("https://www.google.com/maps/search/?api=1&amp;query=-12.213028,-76.95911","Avenida Villa del Mar, Villa El Salvador, Lima")</f>
      </c>
      <c r="O42" t="str">
        <v>Se detuvo</v>
      </c>
      <c r="P42">
        <v>70844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77</v>
      </c>
      <c r="AB42" t="str">
        <v>17/09/2026</v>
      </c>
      <c r="AC42" t="str">
        <v>16:20:44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16:20:50</v>
      </c>
      <c r="AK42" t="str">
        <v>16:20:50</v>
      </c>
      <c r="AL42" t="str">
        <v/>
      </c>
    </row>
    <row r="43">
      <c r="A43">
        <v>42</v>
      </c>
      <c r="B43" t="str">
        <v>MASS BSF</v>
      </c>
      <c r="C43" t="str">
        <v>BXT-918</v>
      </c>
      <c r="D43" t="str">
        <v>BXT-918</v>
      </c>
      <c r="E43" t="str">
        <v/>
      </c>
      <c r="F43" t="str">
        <v>867806075765992</v>
      </c>
      <c r="G43" t="str">
        <v>TBD</v>
      </c>
      <c r="H43" t="str">
        <v/>
      </c>
      <c r="I43" t="str">
        <v/>
      </c>
      <c r="J43" t="str">
        <v>17/09/2026</v>
      </c>
      <c r="K43" t="str">
        <v>16:23:25</v>
      </c>
      <c r="L43">
        <v>-12.213028</v>
      </c>
      <c r="M43">
        <v>-76.95911</v>
      </c>
      <c r="N43">
        <f>HYPERLINK("https://www.google.com/maps/search/?api=1&amp;query=-12.213028,-76.95911","Avenida Villa del Mar, Villa El Salvador, Lima")</f>
      </c>
      <c r="O43" t="str">
        <v>Encendido o Entró en cobertura</v>
      </c>
      <c r="P43">
        <v>70844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77</v>
      </c>
      <c r="AB43" t="str">
        <v>17/09/2026</v>
      </c>
      <c r="AC43" t="str">
        <v>16:23:25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16:23:31</v>
      </c>
      <c r="AK43" t="str">
        <v>16:23:31</v>
      </c>
      <c r="AL43" t="str">
        <v/>
      </c>
    </row>
  </sheetData>
  <ignoredErrors>
    <ignoredError numberStoredAsText="1" sqref="A1:A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