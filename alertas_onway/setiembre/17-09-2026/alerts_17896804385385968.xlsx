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80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BXQ-847</v>
      </c>
      <c r="D2" t="str">
        <v>BXQ-847</v>
      </c>
      <c r="E2" t="str">
        <v/>
      </c>
      <c r="F2" t="str">
        <v>867162029843950</v>
      </c>
      <c r="G2" t="str">
        <v>TBD</v>
      </c>
      <c r="H2" t="str">
        <v/>
      </c>
      <c r="I2" t="str">
        <v/>
      </c>
      <c r="J2" t="str">
        <v>17/09/2026</v>
      </c>
      <c r="K2" t="str">
        <v>05:34:22</v>
      </c>
      <c r="L2">
        <v>-12.213016</v>
      </c>
      <c r="M2">
        <v>-76.958855</v>
      </c>
      <c r="N2">
        <f>HYPERLINK("https://www.google.com/maps/search/?api=1&amp;query=-12.213016,-76.958855","Villa El Salvador, Lima")</f>
      </c>
      <c r="O2" t="str">
        <v>Vehículo encendido</v>
      </c>
      <c r="P2">
        <v>717945.4</v>
      </c>
      <c r="Q2" t="str">
        <v/>
      </c>
      <c r="R2">
        <v>0</v>
      </c>
      <c r="S2">
        <v>76.92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100</v>
      </c>
      <c r="AB2" t="str">
        <v>17/09/2026</v>
      </c>
      <c r="AC2" t="str">
        <v>05:30:23</v>
      </c>
      <c r="AD2">
        <f>IF("ONLINE"="NOGPS","GPS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17/09/2026 05:34:39</v>
      </c>
      <c r="AK2" t="str">
        <v>05:34:39</v>
      </c>
      <c r="AL2" t="str">
        <v/>
      </c>
    </row>
    <row r="3">
      <c r="A3">
        <v>2</v>
      </c>
      <c r="B3" t="str">
        <v>MASS BSF</v>
      </c>
      <c r="C3" t="str">
        <v>BXQ-847</v>
      </c>
      <c r="D3" t="str">
        <v>BXQ-847</v>
      </c>
      <c r="E3" t="str">
        <v/>
      </c>
      <c r="F3" t="str">
        <v>867162029843950</v>
      </c>
      <c r="G3" t="str">
        <v>TBD</v>
      </c>
      <c r="H3" t="str">
        <v/>
      </c>
      <c r="I3" t="str">
        <v/>
      </c>
      <c r="J3" t="str">
        <v>17/09/2026</v>
      </c>
      <c r="K3" t="str">
        <v>06:09:28</v>
      </c>
      <c r="L3">
        <v>-12.157639</v>
      </c>
      <c r="M3">
        <v>-76.98342</v>
      </c>
      <c r="N3">
        <f>HYPERLINK("https://www.google.com/maps/search/?api=1&amp;query=-12.157639,-76.98342","Avenida Los Alamos, San Juan de Miraflores, Lima")</f>
      </c>
      <c r="O3" t="str">
        <v>Vehículo apagado</v>
      </c>
      <c r="P3">
        <v>717956.7</v>
      </c>
      <c r="Q3" t="str">
        <v/>
      </c>
      <c r="R3">
        <v>0</v>
      </c>
      <c r="S3">
        <v>76.92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100</v>
      </c>
      <c r="AB3" t="str">
        <v>17/09/2026</v>
      </c>
      <c r="AC3" t="str">
        <v>06:08:22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17/09/2026 06:09:49</v>
      </c>
      <c r="AK3" t="str">
        <v>06:09:49</v>
      </c>
      <c r="AL3" t="str">
        <v/>
      </c>
    </row>
    <row r="4">
      <c r="A4">
        <v>3</v>
      </c>
      <c r="B4" t="str">
        <v>MASS BSF</v>
      </c>
      <c r="C4" t="str">
        <v>BXQ-847</v>
      </c>
      <c r="D4" t="str">
        <v>BXQ-847</v>
      </c>
      <c r="E4" t="str">
        <v/>
      </c>
      <c r="F4" t="str">
        <v>867162029843950</v>
      </c>
      <c r="G4" t="str">
        <v>TBD</v>
      </c>
      <c r="H4" t="str">
        <v/>
      </c>
      <c r="I4" t="str">
        <v/>
      </c>
      <c r="J4" t="str">
        <v>17/09/2026</v>
      </c>
      <c r="K4" t="str">
        <v>06:09:32</v>
      </c>
      <c r="L4">
        <v>-12.157639</v>
      </c>
      <c r="M4">
        <v>-76.98342</v>
      </c>
      <c r="N4">
        <f>HYPERLINK("https://www.google.com/maps/search/?api=1&amp;query=-12.157639,-76.98342","Avenida Los Alamos, San Juan de Miraflores, Lima")</f>
      </c>
      <c r="O4" t="str">
        <v>Vehículo encendido</v>
      </c>
      <c r="P4">
        <v>717956.7</v>
      </c>
      <c r="Q4" t="str">
        <v/>
      </c>
      <c r="R4">
        <v>0</v>
      </c>
      <c r="S4">
        <v>76.92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100</v>
      </c>
      <c r="AB4" t="str">
        <v>17/09/2026</v>
      </c>
      <c r="AC4" t="str">
        <v>06:08:22</v>
      </c>
      <c r="AD4">
        <f>IF("ONLINE"="NOGPS","GPS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17/09/2026 06:09:44</v>
      </c>
      <c r="AK4" t="str">
        <v>06:09:44</v>
      </c>
      <c r="AL4" t="str">
        <v/>
      </c>
    </row>
    <row r="5">
      <c r="A5">
        <v>4</v>
      </c>
      <c r="B5" t="str">
        <v>MASS BSF</v>
      </c>
      <c r="C5" t="str">
        <v>BXQ-847</v>
      </c>
      <c r="D5" t="str">
        <v>BXQ-847</v>
      </c>
      <c r="E5" t="str">
        <v/>
      </c>
      <c r="F5" t="str">
        <v>867162029843950</v>
      </c>
      <c r="G5" t="str">
        <v>TBD</v>
      </c>
      <c r="H5" t="str">
        <v/>
      </c>
      <c r="I5" t="str">
        <v/>
      </c>
      <c r="J5" t="str">
        <v>17/09/2026</v>
      </c>
      <c r="K5" t="str">
        <v>06:13:45</v>
      </c>
      <c r="L5">
        <v>-12.157639</v>
      </c>
      <c r="M5">
        <v>-76.98342</v>
      </c>
      <c r="N5">
        <f>HYPERLINK("https://www.google.com/maps/search/?api=1&amp;query=-12.157639,-76.98342","Avenida Los Alamos, San Juan de Miraflores, Lima")</f>
      </c>
      <c r="O5" t="str">
        <v>Vehículo apagado</v>
      </c>
      <c r="P5">
        <v>717956.7</v>
      </c>
      <c r="Q5" t="str">
        <v/>
      </c>
      <c r="R5">
        <v>0</v>
      </c>
      <c r="S5">
        <v>76.92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100</v>
      </c>
      <c r="AB5" t="str">
        <v>17/09/2026</v>
      </c>
      <c r="AC5" t="str">
        <v>06:12:33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17/09/2026 06:13:51</v>
      </c>
      <c r="AK5" t="str">
        <v>06:13:51</v>
      </c>
      <c r="AL5" t="str">
        <v/>
      </c>
    </row>
    <row r="6">
      <c r="A6">
        <v>5</v>
      </c>
      <c r="B6" t="str">
        <v>MASS BSF</v>
      </c>
      <c r="C6" t="str">
        <v>BXQ-847</v>
      </c>
      <c r="D6" t="str">
        <v>BXQ-847</v>
      </c>
      <c r="E6" t="str">
        <v/>
      </c>
      <c r="F6" t="str">
        <v>867162029843950</v>
      </c>
      <c r="G6" t="str">
        <v>TBD</v>
      </c>
      <c r="H6" t="str">
        <v/>
      </c>
      <c r="I6" t="str">
        <v/>
      </c>
      <c r="J6" t="str">
        <v>17/09/2026</v>
      </c>
      <c r="K6" t="str">
        <v>06:14:51</v>
      </c>
      <c r="L6">
        <v>-12.157639</v>
      </c>
      <c r="M6">
        <v>-76.98342</v>
      </c>
      <c r="N6">
        <f>HYPERLINK("https://www.google.com/maps/search/?api=1&amp;query=-12.157639,-76.98342","Avenida Los Alamos, San Juan de Miraflores, Lima")</f>
      </c>
      <c r="O6" t="str">
        <v>Vehículo encendido</v>
      </c>
      <c r="P6">
        <v>717956.7</v>
      </c>
      <c r="Q6" t="str">
        <v/>
      </c>
      <c r="R6">
        <v>0</v>
      </c>
      <c r="S6">
        <v>76.92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100</v>
      </c>
      <c r="AB6" t="str">
        <v>17/09/2026</v>
      </c>
      <c r="AC6" t="str">
        <v>06:13:47</v>
      </c>
      <c r="AD6">
        <f>IF("ONLINE"="NOGPS","GPS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17/09/2026 06:15:17</v>
      </c>
      <c r="AK6" t="str">
        <v>06:15:17</v>
      </c>
      <c r="AL6" t="str">
        <v/>
      </c>
    </row>
    <row r="7">
      <c r="A7">
        <v>6</v>
      </c>
      <c r="B7" t="str">
        <v>MASS BSF</v>
      </c>
      <c r="C7" t="str">
        <v>BXQ-847</v>
      </c>
      <c r="D7" t="str">
        <v>BXQ-847</v>
      </c>
      <c r="E7" t="str">
        <v/>
      </c>
      <c r="F7" t="str">
        <v>867162029843950</v>
      </c>
      <c r="G7" t="str">
        <v>TBD</v>
      </c>
      <c r="H7" t="str">
        <v/>
      </c>
      <c r="I7" t="str">
        <v/>
      </c>
      <c r="J7" t="str">
        <v>17/09/2026</v>
      </c>
      <c r="K7" t="str">
        <v>06:15:27</v>
      </c>
      <c r="L7">
        <v>-12.157608</v>
      </c>
      <c r="M7">
        <v>-76.98339</v>
      </c>
      <c r="N7">
        <f>HYPERLINK("https://www.google.com/maps/search/?api=1&amp;query=-12.157608,-76.98339","Avenida Los Alamos, San Juan de Miraflores, Lima")</f>
      </c>
      <c r="O7" t="str">
        <v>Vehículo apagado</v>
      </c>
      <c r="P7">
        <v>717956.7</v>
      </c>
      <c r="Q7" t="str">
        <v/>
      </c>
      <c r="R7">
        <v>0</v>
      </c>
      <c r="S7">
        <v>76.93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100</v>
      </c>
      <c r="AB7" t="str">
        <v>17/09/2026</v>
      </c>
      <c r="AC7" t="str">
        <v>06:15:31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17/09/2026 06:16:01</v>
      </c>
      <c r="AK7" t="str">
        <v>06:16:01</v>
      </c>
      <c r="AL7" t="str">
        <v/>
      </c>
    </row>
    <row r="8">
      <c r="A8">
        <v>7</v>
      </c>
      <c r="B8" t="str">
        <v>MASS BSF</v>
      </c>
      <c r="C8" t="str">
        <v>BXQ-847</v>
      </c>
      <c r="D8" t="str">
        <v>BXQ-847</v>
      </c>
      <c r="E8" t="str">
        <v/>
      </c>
      <c r="F8" t="str">
        <v>867162029843950</v>
      </c>
      <c r="G8" t="str">
        <v>TBD</v>
      </c>
      <c r="H8" t="str">
        <v/>
      </c>
      <c r="I8" t="str">
        <v/>
      </c>
      <c r="J8" t="str">
        <v>17/09/2026</v>
      </c>
      <c r="K8" t="str">
        <v>06:31:41</v>
      </c>
      <c r="L8">
        <v>-12.157608</v>
      </c>
      <c r="M8">
        <v>-76.98339</v>
      </c>
      <c r="N8">
        <f>HYPERLINK("https://www.google.com/maps/search/?api=1&amp;query=-12.157608,-76.98339","Avenida Los Alamos, San Juan de Miraflores, Lima")</f>
      </c>
      <c r="O8" t="str">
        <v>Vehículo encendido</v>
      </c>
      <c r="P8">
        <v>717956.7</v>
      </c>
      <c r="Q8" t="str">
        <v/>
      </c>
      <c r="R8">
        <v>0</v>
      </c>
      <c r="S8">
        <v>76.93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100</v>
      </c>
      <c r="AB8" t="str">
        <v>17/09/2026</v>
      </c>
      <c r="AC8" t="str">
        <v>06:15:31</v>
      </c>
      <c r="AD8">
        <f>IF("NOGPS"="NOGPS","GPS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17/09/2026 06:32:06</v>
      </c>
      <c r="AK8" t="str">
        <v>06:32:06</v>
      </c>
      <c r="AL8" t="str">
        <v/>
      </c>
    </row>
    <row r="9">
      <c r="A9">
        <v>8</v>
      </c>
      <c r="B9" t="str">
        <v>MASS BSF</v>
      </c>
      <c r="C9" t="str">
        <v>BXQ-847</v>
      </c>
      <c r="D9" t="str">
        <v>BXQ-847</v>
      </c>
      <c r="E9" t="str">
        <v/>
      </c>
      <c r="F9" t="str">
        <v>867162029843950</v>
      </c>
      <c r="G9" t="str">
        <v>TBD</v>
      </c>
      <c r="H9" t="str">
        <v/>
      </c>
      <c r="I9" t="str">
        <v/>
      </c>
      <c r="J9" t="str">
        <v>17/09/2026</v>
      </c>
      <c r="K9" t="str">
        <v>06:40:16</v>
      </c>
      <c r="L9">
        <v>-12.157642</v>
      </c>
      <c r="M9">
        <v>-76.98338</v>
      </c>
      <c r="N9">
        <f>HYPERLINK("https://www.google.com/maps/search/?api=1&amp;query=-12.157642,-76.98338","Avenida Los Alamos, San Juan de Miraflores, Lima")</f>
      </c>
      <c r="O9" t="str">
        <v>Vehículo apagado</v>
      </c>
      <c r="P9">
        <v>717956.7</v>
      </c>
      <c r="Q9" t="str">
        <v/>
      </c>
      <c r="R9">
        <v>0</v>
      </c>
      <c r="S9">
        <v>77.08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100</v>
      </c>
      <c r="AB9" t="str">
        <v>17/09/2026</v>
      </c>
      <c r="AC9" t="str">
        <v>06:40:19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17/09/2026 06:40:29</v>
      </c>
      <c r="AK9" t="str">
        <v>06:40:29</v>
      </c>
      <c r="AL9" t="str">
        <v/>
      </c>
    </row>
    <row r="10">
      <c r="A10">
        <v>9</v>
      </c>
      <c r="B10" t="str">
        <v>MASS BSF</v>
      </c>
      <c r="C10" t="str">
        <v>BXQ-847</v>
      </c>
      <c r="D10" t="str">
        <v>BXQ-847</v>
      </c>
      <c r="E10" t="str">
        <v/>
      </c>
      <c r="F10" t="str">
        <v>867162029843950</v>
      </c>
      <c r="G10" t="str">
        <v>TBD</v>
      </c>
      <c r="H10" t="str">
        <v/>
      </c>
      <c r="I10" t="str">
        <v/>
      </c>
      <c r="J10" t="str">
        <v>17/09/2026</v>
      </c>
      <c r="K10" t="str">
        <v>06:56:10</v>
      </c>
      <c r="L10">
        <v>-12.157642</v>
      </c>
      <c r="M10">
        <v>-76.98338</v>
      </c>
      <c r="N10">
        <f>HYPERLINK("https://www.google.com/maps/search/?api=1&amp;query=-12.157642,-76.98338","Avenida Los Alamos, San Juan de Miraflores, Lima")</f>
      </c>
      <c r="O10" t="str">
        <v>Vehículo encendido</v>
      </c>
      <c r="P10">
        <v>717956.7</v>
      </c>
      <c r="Q10" t="str">
        <v/>
      </c>
      <c r="R10">
        <v>0</v>
      </c>
      <c r="S10">
        <v>77.08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100</v>
      </c>
      <c r="AB10" t="str">
        <v>17/09/2026</v>
      </c>
      <c r="AC10" t="str">
        <v>06:40:19</v>
      </c>
      <c r="AD10">
        <f>IF("NOGPS"="NOGPS","GPS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17/09/2026 06:56:27</v>
      </c>
      <c r="AK10" t="str">
        <v>06:56:27</v>
      </c>
      <c r="AL10" t="str">
        <v/>
      </c>
    </row>
    <row r="11">
      <c r="A11">
        <v>10</v>
      </c>
      <c r="B11" t="str">
        <v>MASS BSF</v>
      </c>
      <c r="C11" t="str">
        <v>BXQ-847</v>
      </c>
      <c r="D11" t="str">
        <v>BXQ-847</v>
      </c>
      <c r="E11" t="str">
        <v/>
      </c>
      <c r="F11" t="str">
        <v>867162029843950</v>
      </c>
      <c r="G11" t="str">
        <v>TBD</v>
      </c>
      <c r="H11" t="str">
        <v/>
      </c>
      <c r="I11" t="str">
        <v/>
      </c>
      <c r="J11" t="str">
        <v>17/09/2026</v>
      </c>
      <c r="K11" t="str">
        <v>06:58:49</v>
      </c>
      <c r="L11">
        <v>-12.15793</v>
      </c>
      <c r="M11">
        <v>-76.98333</v>
      </c>
      <c r="N11">
        <f>HYPERLINK("https://www.google.com/maps/search/?api=1&amp;query=-12.15793,-76.98333","Calle 2, San Juan de Miraflores, Lima")</f>
      </c>
      <c r="O11" t="str">
        <v>Vehículo apagado</v>
      </c>
      <c r="P11">
        <v>717956.8</v>
      </c>
      <c r="Q11" t="str">
        <v/>
      </c>
      <c r="R11">
        <v>0.1</v>
      </c>
      <c r="S11">
        <v>77.08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100</v>
      </c>
      <c r="AB11" t="str">
        <v>17/09/2026</v>
      </c>
      <c r="AC11" t="str">
        <v>06:58:54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17/09/2026 06:59:13</v>
      </c>
      <c r="AK11" t="str">
        <v>06:59:13</v>
      </c>
      <c r="AL11" t="str">
        <v/>
      </c>
    </row>
    <row r="12">
      <c r="A12">
        <v>11</v>
      </c>
      <c r="B12" t="str">
        <v>MASS BSF</v>
      </c>
      <c r="C12" t="str">
        <v>BXQ-847</v>
      </c>
      <c r="D12" t="str">
        <v>BXQ-847</v>
      </c>
      <c r="E12" t="str">
        <v/>
      </c>
      <c r="F12" t="str">
        <v>867162029843950</v>
      </c>
      <c r="G12" t="str">
        <v>TBD</v>
      </c>
      <c r="H12" t="str">
        <v/>
      </c>
      <c r="I12" t="str">
        <v/>
      </c>
      <c r="J12" t="str">
        <v>17/09/2026</v>
      </c>
      <c r="K12" t="str">
        <v>07:00:26</v>
      </c>
      <c r="L12">
        <v>-12.157939</v>
      </c>
      <c r="M12">
        <v>-76.98334</v>
      </c>
      <c r="N12">
        <f>HYPERLINK("https://www.google.com/maps/search/?api=1&amp;query=-12.157939,-76.98334","Calle 2, San Juan de Miraflores, Lima")</f>
      </c>
      <c r="O12" t="str">
        <v>Vehículo encendido</v>
      </c>
      <c r="P12">
        <v>717956.8</v>
      </c>
      <c r="Q12" t="str">
        <v/>
      </c>
      <c r="R12">
        <v>0</v>
      </c>
      <c r="S12">
        <v>77.08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100</v>
      </c>
      <c r="AB12" t="str">
        <v>17/09/2026</v>
      </c>
      <c r="AC12" t="str">
        <v>07:00:31</v>
      </c>
      <c r="AD12">
        <f>IF("ONLINE"="NOGPS","GPS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17/09/2026 07:00:52</v>
      </c>
      <c r="AK12" t="str">
        <v>07:00:52</v>
      </c>
      <c r="AL12" t="str">
        <v/>
      </c>
    </row>
    <row r="13">
      <c r="A13">
        <v>12</v>
      </c>
      <c r="B13" t="str">
        <v>MASS BSF</v>
      </c>
      <c r="C13" t="str">
        <v>BXQ-847</v>
      </c>
      <c r="D13" t="str">
        <v>BXQ-847</v>
      </c>
      <c r="E13" t="str">
        <v/>
      </c>
      <c r="F13" t="str">
        <v>867162029843950</v>
      </c>
      <c r="G13" t="str">
        <v>TBD</v>
      </c>
      <c r="H13" t="str">
        <v/>
      </c>
      <c r="I13" t="str">
        <v/>
      </c>
      <c r="J13" t="str">
        <v>17/09/2026</v>
      </c>
      <c r="K13" t="str">
        <v>07:07:21</v>
      </c>
      <c r="L13">
        <v>-12.16554</v>
      </c>
      <c r="M13">
        <v>-76.98422</v>
      </c>
      <c r="N13">
        <f>HYPERLINK("https://www.google.com/maps/search/?api=1&amp;query=-12.16554,-76.98422","Jirón Los Herrerillos, Santiago de Surco, Lima")</f>
      </c>
      <c r="O13" t="str">
        <v>Vehículo apagado</v>
      </c>
      <c r="P13">
        <v>717958</v>
      </c>
      <c r="Q13" t="str">
        <v/>
      </c>
      <c r="R13">
        <v>0</v>
      </c>
      <c r="S13">
        <v>77.2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100</v>
      </c>
      <c r="AB13" t="str">
        <v>17/09/2026</v>
      </c>
      <c r="AC13" t="str">
        <v>07:07:24</v>
      </c>
      <c r="AD13">
        <f>IF("ONLINE"="NOGPS","GPS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17/09/2026 07:07:42</v>
      </c>
      <c r="AK13" t="str">
        <v>07:07:42</v>
      </c>
      <c r="AL13" t="str">
        <v/>
      </c>
    </row>
    <row r="14">
      <c r="A14">
        <v>13</v>
      </c>
      <c r="B14" t="str">
        <v>MASS BSF</v>
      </c>
      <c r="C14" t="str">
        <v>BXQ-847</v>
      </c>
      <c r="D14" t="str">
        <v>BXQ-847</v>
      </c>
      <c r="E14" t="str">
        <v/>
      </c>
      <c r="F14" t="str">
        <v>867162029843950</v>
      </c>
      <c r="G14" t="str">
        <v>TBD</v>
      </c>
      <c r="H14" t="str">
        <v/>
      </c>
      <c r="I14" t="str">
        <v/>
      </c>
      <c r="J14" t="str">
        <v>17/09/2026</v>
      </c>
      <c r="K14" t="str">
        <v>07:39:39</v>
      </c>
      <c r="L14">
        <v>-12.16554</v>
      </c>
      <c r="M14">
        <v>-76.98422</v>
      </c>
      <c r="N14">
        <f>HYPERLINK("https://www.google.com/maps/search/?api=1&amp;query=-12.16554,-76.98422","Jirón Los Herrerillos, Santiago de Surco, Lima")</f>
      </c>
      <c r="O14" t="str">
        <v>Vehículo encendido</v>
      </c>
      <c r="P14">
        <v>717958</v>
      </c>
      <c r="Q14" t="str">
        <v/>
      </c>
      <c r="R14">
        <v>0</v>
      </c>
      <c r="S14">
        <v>77.2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100</v>
      </c>
      <c r="AB14" t="str">
        <v>17/09/2026</v>
      </c>
      <c r="AC14" t="str">
        <v>07:34:55</v>
      </c>
      <c r="AD14">
        <f>IF("ONLINE"="NOGPS","GPS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17/09/2026 07:39:48</v>
      </c>
      <c r="AK14" t="str">
        <v>07:39:48</v>
      </c>
      <c r="AL14" t="str">
        <v/>
      </c>
    </row>
    <row r="15">
      <c r="A15">
        <v>14</v>
      </c>
      <c r="B15" t="str">
        <v>MASS BSF</v>
      </c>
      <c r="C15" t="str">
        <v>BXQ-847</v>
      </c>
      <c r="D15" t="str">
        <v>BXQ-847</v>
      </c>
      <c r="E15" t="str">
        <v/>
      </c>
      <c r="F15" t="str">
        <v>867162029843950</v>
      </c>
      <c r="G15" t="str">
        <v>TBD</v>
      </c>
      <c r="H15" t="str">
        <v/>
      </c>
      <c r="I15" t="str">
        <v/>
      </c>
      <c r="J15" t="str">
        <v>17/09/2026</v>
      </c>
      <c r="K15" t="str">
        <v>07:54:30</v>
      </c>
      <c r="L15">
        <v>-12.204132</v>
      </c>
      <c r="M15">
        <v>-76.97456</v>
      </c>
      <c r="N15">
        <f>HYPERLINK("https://www.google.com/maps/search/?api=1&amp;query=-12.204132,-76.97456","Carretera Panamericana Sur, Chorrillos, Lima")</f>
      </c>
      <c r="O15" t="str">
        <v>Excedió el límite de velocidad</v>
      </c>
      <c r="P15">
        <v>717963.7</v>
      </c>
      <c r="Q15" t="str">
        <v/>
      </c>
      <c r="R15">
        <v>84.5</v>
      </c>
      <c r="S15">
        <v>77.2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100</v>
      </c>
      <c r="AB15" t="str">
        <v>17/09/2026</v>
      </c>
      <c r="AC15" t="str">
        <v>07:54:29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17/09/2026 07:54:58</v>
      </c>
      <c r="AK15" t="str">
        <v>07:54:58</v>
      </c>
      <c r="AL15" t="str">
        <v/>
      </c>
    </row>
    <row r="16">
      <c r="A16">
        <v>15</v>
      </c>
      <c r="B16" t="str">
        <v>MASS BSF</v>
      </c>
      <c r="C16" t="str">
        <v>BXQ-847</v>
      </c>
      <c r="D16" t="str">
        <v>BXQ-847</v>
      </c>
      <c r="E16" t="str">
        <v/>
      </c>
      <c r="F16" t="str">
        <v>867162029843950</v>
      </c>
      <c r="G16" t="str">
        <v>TBD</v>
      </c>
      <c r="H16" t="str">
        <v/>
      </c>
      <c r="I16" t="str">
        <v/>
      </c>
      <c r="J16" t="str">
        <v>17/09/2026</v>
      </c>
      <c r="K16" t="str">
        <v>07:56:03</v>
      </c>
      <c r="L16">
        <v>-12.220308</v>
      </c>
      <c r="M16">
        <v>-76.976616</v>
      </c>
      <c r="N16">
        <f>HYPERLINK("https://www.google.com/maps/search/?api=1&amp;query=-12.220308,-76.976616","Carretera Panamericana Sur, Chorrillos, Lima")</f>
      </c>
      <c r="O16" t="str">
        <v>Excedió el límite de velocidad</v>
      </c>
      <c r="P16">
        <v>717965.5</v>
      </c>
      <c r="Q16" t="str">
        <v/>
      </c>
      <c r="R16">
        <v>83.9</v>
      </c>
      <c r="S16">
        <v>77.2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100</v>
      </c>
      <c r="AB16" t="str">
        <v>17/09/2026</v>
      </c>
      <c r="AC16" t="str">
        <v>07:56:02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17/09/2026 07:56:26</v>
      </c>
      <c r="AK16" t="str">
        <v>07:56:26</v>
      </c>
      <c r="AL16" t="str">
        <v/>
      </c>
    </row>
    <row r="17">
      <c r="A17">
        <v>16</v>
      </c>
      <c r="B17" t="str">
        <v>MASS BSF</v>
      </c>
      <c r="C17" t="str">
        <v>BXQ-847</v>
      </c>
      <c r="D17" t="str">
        <v>BXQ-847</v>
      </c>
      <c r="E17" t="str">
        <v/>
      </c>
      <c r="F17" t="str">
        <v>867162029843950</v>
      </c>
      <c r="G17" t="str">
        <v>TBD</v>
      </c>
      <c r="H17" t="str">
        <v/>
      </c>
      <c r="I17" t="str">
        <v/>
      </c>
      <c r="J17" t="str">
        <v>17/09/2026</v>
      </c>
      <c r="K17" t="str">
        <v>07:57:30</v>
      </c>
      <c r="L17">
        <v>-12.230464</v>
      </c>
      <c r="M17">
        <v>-76.96676</v>
      </c>
      <c r="N17">
        <f>HYPERLINK("https://www.google.com/maps/search/?api=1&amp;query=-12.230464,-76.96676","Carretera Panamericana Sur, Villa El Salvador, Lima")</f>
      </c>
      <c r="O17" t="str">
        <v>Excedió el límite de velocidad</v>
      </c>
      <c r="P17">
        <v>717967.1</v>
      </c>
      <c r="Q17" t="str">
        <v/>
      </c>
      <c r="R17">
        <v>89.2</v>
      </c>
      <c r="S17">
        <v>77.2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100</v>
      </c>
      <c r="AB17" t="str">
        <v>17/09/2026</v>
      </c>
      <c r="AC17" t="str">
        <v>07:57:29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17/09/2026 07:57:54</v>
      </c>
      <c r="AK17" t="str">
        <v>07:57:54</v>
      </c>
      <c r="AL17" t="str">
        <v/>
      </c>
    </row>
    <row r="18">
      <c r="A18">
        <v>17</v>
      </c>
      <c r="B18" t="str">
        <v>MASS BSF</v>
      </c>
      <c r="C18" t="str">
        <v>BXQ-847</v>
      </c>
      <c r="D18" t="str">
        <v>BXQ-847</v>
      </c>
      <c r="E18" t="str">
        <v/>
      </c>
      <c r="F18" t="str">
        <v>867162029843950</v>
      </c>
      <c r="G18" t="str">
        <v>TBD</v>
      </c>
      <c r="H18" t="str">
        <v/>
      </c>
      <c r="I18" t="str">
        <v/>
      </c>
      <c r="J18" t="str">
        <v>17/09/2026</v>
      </c>
      <c r="K18" t="str">
        <v>07:58:27</v>
      </c>
      <c r="L18">
        <v>-12.236021</v>
      </c>
      <c r="M18">
        <v>-76.95649</v>
      </c>
      <c r="N18">
        <f>HYPERLINK("https://www.google.com/maps/search/?api=1&amp;query=-12.236021,-76.95649","Carretera Panamericana Sur, Villa El Salvador, Lima")</f>
      </c>
      <c r="O18" t="str">
        <v>Excedió el límite de velocidad</v>
      </c>
      <c r="P18">
        <v>717968.3</v>
      </c>
      <c r="Q18" t="str">
        <v/>
      </c>
      <c r="R18">
        <v>92.4</v>
      </c>
      <c r="S18">
        <v>77.2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100</v>
      </c>
      <c r="AB18" t="str">
        <v>17/09/2026</v>
      </c>
      <c r="AC18" t="str">
        <v>07:58:26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17/09/2026 07:58:39</v>
      </c>
      <c r="AK18" t="str">
        <v>07:58:39</v>
      </c>
      <c r="AL18" t="str">
        <v/>
      </c>
    </row>
    <row r="19">
      <c r="A19">
        <v>18</v>
      </c>
      <c r="B19" t="str">
        <v>MASS BSF</v>
      </c>
      <c r="C19" t="str">
        <v>BXQ-847</v>
      </c>
      <c r="D19" t="str">
        <v>BXQ-847</v>
      </c>
      <c r="E19" t="str">
        <v/>
      </c>
      <c r="F19" t="str">
        <v>867162029843950</v>
      </c>
      <c r="G19" t="str">
        <v>TBD</v>
      </c>
      <c r="H19" t="str">
        <v/>
      </c>
      <c r="I19" t="str">
        <v/>
      </c>
      <c r="J19" t="str">
        <v>17/09/2026</v>
      </c>
      <c r="K19" t="str">
        <v>08:00:15</v>
      </c>
      <c r="L19">
        <v>-12.245701</v>
      </c>
      <c r="M19">
        <v>-76.93783</v>
      </c>
      <c r="N19">
        <f>HYPERLINK("https://www.google.com/maps/search/?api=1&amp;query=-12.245701,-76.93783","Carretera Panamericana Sur, Lurín, Lima")</f>
      </c>
      <c r="O19" t="str">
        <v>Excedió el límite de velocidad</v>
      </c>
      <c r="P19">
        <v>717970.6</v>
      </c>
      <c r="Q19" t="str">
        <v/>
      </c>
      <c r="R19">
        <v>84.3</v>
      </c>
      <c r="S19">
        <v>77.2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100</v>
      </c>
      <c r="AB19" t="str">
        <v>17/09/2026</v>
      </c>
      <c r="AC19" t="str">
        <v>08:00:14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17/09/2026 08:00:28</v>
      </c>
      <c r="AK19" t="str">
        <v>08:00:28</v>
      </c>
      <c r="AL19" t="str">
        <v/>
      </c>
    </row>
    <row r="20">
      <c r="A20">
        <v>19</v>
      </c>
      <c r="B20" t="str">
        <v>MASS BSF</v>
      </c>
      <c r="C20" t="str">
        <v>BXQ-847</v>
      </c>
      <c r="D20" t="str">
        <v>BXQ-847</v>
      </c>
      <c r="E20" t="str">
        <v/>
      </c>
      <c r="F20" t="str">
        <v>867162029843950</v>
      </c>
      <c r="G20" t="str">
        <v>TBD</v>
      </c>
      <c r="H20" t="str">
        <v/>
      </c>
      <c r="I20" t="str">
        <v/>
      </c>
      <c r="J20" t="str">
        <v>17/09/2026</v>
      </c>
      <c r="K20" t="str">
        <v>08:01:45</v>
      </c>
      <c r="L20">
        <v>-12.255081</v>
      </c>
      <c r="M20">
        <v>-76.923615</v>
      </c>
      <c r="N20">
        <f>HYPERLINK("https://www.google.com/maps/search/?api=1&amp;query=-12.255081,-76.923615","Carretera Panamericana Sur, Lurín, Lima")</f>
      </c>
      <c r="O20" t="str">
        <v>Excedió el límite de velocidad</v>
      </c>
      <c r="P20">
        <v>717972.5</v>
      </c>
      <c r="Q20" t="str">
        <v/>
      </c>
      <c r="R20">
        <v>91.3</v>
      </c>
      <c r="S20">
        <v>77.2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100</v>
      </c>
      <c r="AB20" t="str">
        <v>17/09/2026</v>
      </c>
      <c r="AC20" t="str">
        <v>08:01:44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17/09/2026 08:02:02</v>
      </c>
      <c r="AK20" t="str">
        <v>08:02:02</v>
      </c>
      <c r="AL20" t="str">
        <v/>
      </c>
    </row>
    <row r="21">
      <c r="A21">
        <v>20</v>
      </c>
      <c r="B21" t="str">
        <v>MASS BSF</v>
      </c>
      <c r="C21" t="str">
        <v>BXQ-847</v>
      </c>
      <c r="D21" t="str">
        <v>BXQ-847</v>
      </c>
      <c r="E21" t="str">
        <v/>
      </c>
      <c r="F21" t="str">
        <v>867162029843950</v>
      </c>
      <c r="G21" t="str">
        <v>TBD</v>
      </c>
      <c r="H21" t="str">
        <v/>
      </c>
      <c r="I21" t="str">
        <v/>
      </c>
      <c r="J21" t="str">
        <v>17/09/2026</v>
      </c>
      <c r="K21" t="str">
        <v>08:02:27</v>
      </c>
      <c r="L21">
        <v>-12.259956</v>
      </c>
      <c r="M21">
        <v>-76.91558</v>
      </c>
      <c r="N21">
        <f>HYPERLINK("https://www.google.com/maps/search/?api=1&amp;query=-12.259956,-76.91558","Carretera Panamericana Sur, Lurín, Lima")</f>
      </c>
      <c r="O21" t="str">
        <v>Excedió el límite de velocidad</v>
      </c>
      <c r="P21">
        <v>717973.5</v>
      </c>
      <c r="Q21" t="str">
        <v/>
      </c>
      <c r="R21">
        <v>90.9</v>
      </c>
      <c r="S21">
        <v>77.2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100</v>
      </c>
      <c r="AB21" t="str">
        <v>17/09/2026</v>
      </c>
      <c r="AC21" t="str">
        <v>08:02:26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17/09/2026 08:05:45</v>
      </c>
      <c r="AK21" t="str">
        <v>08:05:45</v>
      </c>
      <c r="AL21" t="str">
        <v/>
      </c>
    </row>
    <row r="22">
      <c r="A22">
        <v>21</v>
      </c>
      <c r="B22" t="str">
        <v>MASS BSF</v>
      </c>
      <c r="C22" t="str">
        <v>BXQ-847</v>
      </c>
      <c r="D22" t="str">
        <v>BXQ-847</v>
      </c>
      <c r="E22" t="str">
        <v/>
      </c>
      <c r="F22" t="str">
        <v>867162029843950</v>
      </c>
      <c r="G22" t="str">
        <v>TBD</v>
      </c>
      <c r="H22" t="str">
        <v/>
      </c>
      <c r="I22" t="str">
        <v/>
      </c>
      <c r="J22" t="str">
        <v>17/09/2026</v>
      </c>
      <c r="K22" t="str">
        <v>08:04:24</v>
      </c>
      <c r="L22">
        <v>-12.272141</v>
      </c>
      <c r="M22">
        <v>-76.89632</v>
      </c>
      <c r="N22">
        <f>HYPERLINK("https://www.google.com/maps/search/?api=1&amp;query=-12.272141,-76.89632","Carretera Panamericana Sur, Lurín, Lima")</f>
      </c>
      <c r="O22" t="str">
        <v>Excedió el límite de velocidad</v>
      </c>
      <c r="P22">
        <v>717976</v>
      </c>
      <c r="Q22" t="str">
        <v/>
      </c>
      <c r="R22">
        <v>93.4</v>
      </c>
      <c r="S22">
        <v>77.2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100</v>
      </c>
      <c r="AB22" t="str">
        <v>17/09/2026</v>
      </c>
      <c r="AC22" t="str">
        <v>08:04:23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17/09/2026 08:05:57</v>
      </c>
      <c r="AK22" t="str">
        <v>08:05:57</v>
      </c>
      <c r="AL22" t="str">
        <v/>
      </c>
    </row>
    <row r="23">
      <c r="A23">
        <v>22</v>
      </c>
      <c r="B23" t="str">
        <v>MASS BSF</v>
      </c>
      <c r="C23" t="str">
        <v>BXQ-847</v>
      </c>
      <c r="D23" t="str">
        <v>BXQ-847</v>
      </c>
      <c r="E23" t="str">
        <v/>
      </c>
      <c r="F23" t="str">
        <v>867162029843950</v>
      </c>
      <c r="G23" t="str">
        <v>TBD</v>
      </c>
      <c r="H23" t="str">
        <v/>
      </c>
      <c r="I23" t="str">
        <v/>
      </c>
      <c r="J23" t="str">
        <v>17/09/2026</v>
      </c>
      <c r="K23" t="str">
        <v>08:05:00</v>
      </c>
      <c r="L23">
        <v>-12.276338</v>
      </c>
      <c r="M23">
        <v>-76.88965</v>
      </c>
      <c r="N23">
        <f>HYPERLINK("https://www.google.com/maps/search/?api=1&amp;query=-12.276338,-76.88965","Carretera Panamericana Sur, Lurín, Lima")</f>
      </c>
      <c r="O23" t="str">
        <v>Excedió el límite de velocidad</v>
      </c>
      <c r="P23">
        <v>717976.9</v>
      </c>
      <c r="Q23" t="str">
        <v/>
      </c>
      <c r="R23">
        <v>92.8</v>
      </c>
      <c r="S23">
        <v>77.2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100</v>
      </c>
      <c r="AB23" t="str">
        <v>17/09/2026</v>
      </c>
      <c r="AC23" t="str">
        <v>08:04:59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17/09/2026 08:05:57</v>
      </c>
      <c r="AK23" t="str">
        <v>08:05:57</v>
      </c>
      <c r="AL23" t="str">
        <v/>
      </c>
    </row>
    <row r="24">
      <c r="A24">
        <v>23</v>
      </c>
      <c r="B24" t="str">
        <v>MASS BSF</v>
      </c>
      <c r="C24" t="str">
        <v>BXQ-847</v>
      </c>
      <c r="D24" t="str">
        <v>BXQ-847</v>
      </c>
      <c r="E24" t="str">
        <v/>
      </c>
      <c r="F24" t="str">
        <v>867162029843950</v>
      </c>
      <c r="G24" t="str">
        <v>TBD</v>
      </c>
      <c r="H24" t="str">
        <v/>
      </c>
      <c r="I24" t="str">
        <v/>
      </c>
      <c r="J24" t="str">
        <v>17/09/2026</v>
      </c>
      <c r="K24" t="str">
        <v>08:06:45</v>
      </c>
      <c r="L24">
        <v>-12.288579</v>
      </c>
      <c r="M24">
        <v>-76.87</v>
      </c>
      <c r="N24">
        <f>HYPERLINK("https://www.google.com/maps/search/?api=1&amp;query=-12.288579,-76.87","Carretera Panamericana Sur, Lurín, Lima")</f>
      </c>
      <c r="O24" t="str">
        <v>Excedió el límite de velocidad</v>
      </c>
      <c r="P24">
        <v>717979.4</v>
      </c>
      <c r="Q24" t="str">
        <v/>
      </c>
      <c r="R24">
        <v>82.3</v>
      </c>
      <c r="S24">
        <v>77.2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100</v>
      </c>
      <c r="AB24" t="str">
        <v>17/09/2026</v>
      </c>
      <c r="AC24" t="str">
        <v>08:06:44</v>
      </c>
      <c r="AD24">
        <f>IF("ONLINE"="NOGPS","GPS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17/09/2026 08:07:05</v>
      </c>
      <c r="AK24" t="str">
        <v>08:07:05</v>
      </c>
      <c r="AL24" t="str">
        <v/>
      </c>
    </row>
    <row r="25">
      <c r="A25">
        <v>24</v>
      </c>
      <c r="B25" t="str">
        <v>MASS BSF</v>
      </c>
      <c r="C25" t="str">
        <v>BXQ-847</v>
      </c>
      <c r="D25" t="str">
        <v>BXQ-847</v>
      </c>
      <c r="E25" t="str">
        <v/>
      </c>
      <c r="F25" t="str">
        <v>867162029843950</v>
      </c>
      <c r="G25" t="str">
        <v>TBD</v>
      </c>
      <c r="H25" t="str">
        <v/>
      </c>
      <c r="I25" t="str">
        <v/>
      </c>
      <c r="J25" t="str">
        <v>17/09/2026</v>
      </c>
      <c r="K25" t="str">
        <v>08:15:24</v>
      </c>
      <c r="L25">
        <v>-12.327868</v>
      </c>
      <c r="M25">
        <v>-76.823586</v>
      </c>
      <c r="N25">
        <f>HYPERLINK("https://www.google.com/maps/search/?api=1&amp;query=-12.327868,-76.823586","Carretera Panamericana Sur, Punta Hermosa, Lima")</f>
      </c>
      <c r="O25" t="str">
        <v>Excedió el límite de velocidad</v>
      </c>
      <c r="P25">
        <v>717988.5</v>
      </c>
      <c r="Q25" t="str">
        <v/>
      </c>
      <c r="R25">
        <v>89.2</v>
      </c>
      <c r="S25">
        <v>77.2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100</v>
      </c>
      <c r="AB25" t="str">
        <v>17/09/2026</v>
      </c>
      <c r="AC25" t="str">
        <v>08:15:23</v>
      </c>
      <c r="AD25">
        <f>IF("ONLINE"="NOGPS","GPS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17/09/2026 08:15:38</v>
      </c>
      <c r="AK25" t="str">
        <v>08:15:38</v>
      </c>
      <c r="AL25" t="str">
        <v/>
      </c>
    </row>
    <row r="26">
      <c r="A26">
        <v>25</v>
      </c>
      <c r="B26" t="str">
        <v>MASS BSF</v>
      </c>
      <c r="C26" t="str">
        <v>BXQ-847</v>
      </c>
      <c r="D26" t="str">
        <v>BXQ-847</v>
      </c>
      <c r="E26" t="str">
        <v/>
      </c>
      <c r="F26" t="str">
        <v>867162029843950</v>
      </c>
      <c r="G26" t="str">
        <v>TBD</v>
      </c>
      <c r="H26" t="str">
        <v/>
      </c>
      <c r="I26" t="str">
        <v/>
      </c>
      <c r="J26" t="str">
        <v>17/09/2026</v>
      </c>
      <c r="K26" t="str">
        <v>08:25:04</v>
      </c>
      <c r="L26">
        <v>-12.317399</v>
      </c>
      <c r="M26">
        <v>-76.82282</v>
      </c>
      <c r="N26">
        <f>HYPERLINK("https://www.google.com/maps/search/?api=1&amp;query=-12.317399,-76.82282","Punta Hermosa, Lima")</f>
      </c>
      <c r="O26" t="str">
        <v>Vehículo apagado</v>
      </c>
      <c r="P26">
        <v>717991</v>
      </c>
      <c r="Q26" t="str">
        <v/>
      </c>
      <c r="R26">
        <v>0</v>
      </c>
      <c r="S26">
        <v>77.95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100</v>
      </c>
      <c r="AB26" t="str">
        <v>17/09/2026</v>
      </c>
      <c r="AC26" t="str">
        <v>08:25:07</v>
      </c>
      <c r="AD26">
        <f>IF("ONLINE"="NOGPS","GPS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17/09/2026 08:25:23</v>
      </c>
      <c r="AK26" t="str">
        <v>08:25:23</v>
      </c>
      <c r="AL26" t="str">
        <v/>
      </c>
    </row>
    <row r="27">
      <c r="A27">
        <v>26</v>
      </c>
      <c r="B27" t="str">
        <v>MASS BSF</v>
      </c>
      <c r="C27" t="str">
        <v>BXQ-847</v>
      </c>
      <c r="D27" t="str">
        <v>BXQ-847</v>
      </c>
      <c r="E27" t="str">
        <v/>
      </c>
      <c r="F27" t="str">
        <v>867162029843950</v>
      </c>
      <c r="G27" t="str">
        <v>TBD</v>
      </c>
      <c r="H27" t="str">
        <v/>
      </c>
      <c r="I27" t="str">
        <v/>
      </c>
      <c r="J27" t="str">
        <v>17/09/2026</v>
      </c>
      <c r="K27" t="str">
        <v>08:32:22</v>
      </c>
      <c r="L27">
        <v>-12.317399</v>
      </c>
      <c r="M27">
        <v>-76.82282</v>
      </c>
      <c r="N27">
        <f>HYPERLINK("https://www.google.com/maps/search/?api=1&amp;query=-12.317399,-76.82282","Punta Hermosa, Lima")</f>
      </c>
      <c r="O27" t="str">
        <v>Vehículo encendido</v>
      </c>
      <c r="P27">
        <v>717991</v>
      </c>
      <c r="Q27" t="str">
        <v/>
      </c>
      <c r="R27">
        <v>0</v>
      </c>
      <c r="S27">
        <v>77.95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100</v>
      </c>
      <c r="AB27" t="str">
        <v>17/09/2026</v>
      </c>
      <c r="AC27" t="str">
        <v>08:25:07</v>
      </c>
      <c r="AD27">
        <f>IF("NOGPS"="NOGPS","GPS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17/09/2026 08:32:27</v>
      </c>
      <c r="AK27" t="str">
        <v>08:32:27</v>
      </c>
      <c r="AL27" t="str">
        <v/>
      </c>
    </row>
    <row r="28">
      <c r="A28">
        <v>27</v>
      </c>
      <c r="B28" t="str">
        <v>MASS BSF</v>
      </c>
      <c r="C28" t="str">
        <v>BXQ-847</v>
      </c>
      <c r="D28" t="str">
        <v>BXQ-847</v>
      </c>
      <c r="E28" t="str">
        <v/>
      </c>
      <c r="F28" t="str">
        <v>867162029843950</v>
      </c>
      <c r="G28" t="str">
        <v>TBD</v>
      </c>
      <c r="H28" t="str">
        <v/>
      </c>
      <c r="I28" t="str">
        <v/>
      </c>
      <c r="J28" t="str">
        <v>17/09/2026</v>
      </c>
      <c r="K28" t="str">
        <v>08:35:38</v>
      </c>
      <c r="L28">
        <v>-12.317782</v>
      </c>
      <c r="M28">
        <v>-76.824234</v>
      </c>
      <c r="N28">
        <f>HYPERLINK("https://www.google.com/maps/search/?api=1&amp;query=-12.317782,-76.824234","Punta Hermosa, Lima")</f>
      </c>
      <c r="O28" t="str">
        <v>Vehículo apagado</v>
      </c>
      <c r="P28">
        <v>717991.4</v>
      </c>
      <c r="Q28" t="str">
        <v/>
      </c>
      <c r="R28">
        <v>0</v>
      </c>
      <c r="S28">
        <v>78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100</v>
      </c>
      <c r="AB28" t="str">
        <v>17/09/2026</v>
      </c>
      <c r="AC28" t="str">
        <v>08:35:41</v>
      </c>
      <c r="AD28">
        <f>IF("ONLINE"="NOGPS","GPS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17/09/2026 08:36:56</v>
      </c>
      <c r="AK28" t="str">
        <v>08:36:56</v>
      </c>
      <c r="AL28" t="str">
        <v/>
      </c>
    </row>
    <row r="29">
      <c r="A29">
        <v>28</v>
      </c>
      <c r="B29" t="str">
        <v>MASS BSF</v>
      </c>
      <c r="C29" t="str">
        <v>BXQ-847</v>
      </c>
      <c r="D29" t="str">
        <v>BXQ-847</v>
      </c>
      <c r="E29" t="str">
        <v/>
      </c>
      <c r="F29" t="str">
        <v>867162029843950</v>
      </c>
      <c r="G29" t="str">
        <v>TBD</v>
      </c>
      <c r="H29" t="str">
        <v/>
      </c>
      <c r="I29" t="str">
        <v/>
      </c>
      <c r="J29" t="str">
        <v>17/09/2026</v>
      </c>
      <c r="K29" t="str">
        <v>08:37:21</v>
      </c>
      <c r="L29">
        <v>-12.317782</v>
      </c>
      <c r="M29">
        <v>-76.824234</v>
      </c>
      <c r="N29">
        <f>HYPERLINK("https://www.google.com/maps/search/?api=1&amp;query=-12.317782,-76.824234","Punta Hermosa, Lima")</f>
      </c>
      <c r="O29" t="str">
        <v>Vehículo encendido</v>
      </c>
      <c r="P29">
        <v>717991.4</v>
      </c>
      <c r="Q29" t="str">
        <v/>
      </c>
      <c r="R29">
        <v>0</v>
      </c>
      <c r="S29">
        <v>78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100</v>
      </c>
      <c r="AB29" t="str">
        <v>17/09/2026</v>
      </c>
      <c r="AC29" t="str">
        <v>08:35:41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17/09/2026 08:37:30</v>
      </c>
      <c r="AK29" t="str">
        <v>08:37:30</v>
      </c>
      <c r="AL29" t="str">
        <v/>
      </c>
    </row>
    <row r="30">
      <c r="A30">
        <v>29</v>
      </c>
      <c r="B30" t="str">
        <v>MASS BSF</v>
      </c>
      <c r="C30" t="str">
        <v>BXQ-847</v>
      </c>
      <c r="D30" t="str">
        <v>BXQ-847</v>
      </c>
      <c r="E30" t="str">
        <v/>
      </c>
      <c r="F30" t="str">
        <v>867162029843950</v>
      </c>
      <c r="G30" t="str">
        <v>TBD</v>
      </c>
      <c r="H30" t="str">
        <v/>
      </c>
      <c r="I30" t="str">
        <v/>
      </c>
      <c r="J30" t="str">
        <v>17/09/2026</v>
      </c>
      <c r="K30" t="str">
        <v>08:37:57</v>
      </c>
      <c r="L30">
        <v>-12.317857</v>
      </c>
      <c r="M30">
        <v>-76.8243</v>
      </c>
      <c r="N30">
        <f>HYPERLINK("https://www.google.com/maps/search/?api=1&amp;query=-12.317857,-76.8243","Punta Hermosa, Lima")</f>
      </c>
      <c r="O30" t="str">
        <v>Vehículo apagado</v>
      </c>
      <c r="P30">
        <v>717991.4</v>
      </c>
      <c r="Q30" t="str">
        <v/>
      </c>
      <c r="R30">
        <v>1.2</v>
      </c>
      <c r="S30">
        <v>78.02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100</v>
      </c>
      <c r="AB30" t="str">
        <v>17/09/2026</v>
      </c>
      <c r="AC30" t="str">
        <v>08:37:27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17/09/2026 08:38:06</v>
      </c>
      <c r="AK30" t="str">
        <v>08:38:06</v>
      </c>
      <c r="AL30" t="str">
        <v/>
      </c>
    </row>
    <row r="31">
      <c r="A31">
        <v>30</v>
      </c>
      <c r="B31" t="str">
        <v>MASS BSF</v>
      </c>
      <c r="C31" t="str">
        <v>BXQ-847</v>
      </c>
      <c r="D31" t="str">
        <v>BXQ-847</v>
      </c>
      <c r="E31" t="str">
        <v/>
      </c>
      <c r="F31" t="str">
        <v>867162029843950</v>
      </c>
      <c r="G31" t="str">
        <v>TBD</v>
      </c>
      <c r="H31" t="str">
        <v/>
      </c>
      <c r="I31" t="str">
        <v/>
      </c>
      <c r="J31" t="str">
        <v>17/09/2026</v>
      </c>
      <c r="K31" t="str">
        <v>08:41:23</v>
      </c>
      <c r="L31">
        <v>-12.317901</v>
      </c>
      <c r="M31">
        <v>-76.82431</v>
      </c>
      <c r="N31">
        <f>HYPERLINK("https://www.google.com/maps/search/?api=1&amp;query=-12.317901,-76.82431","Punta Hermosa, Lima")</f>
      </c>
      <c r="O31" t="str">
        <v>Vehículo encendido</v>
      </c>
      <c r="P31">
        <v>717991.4</v>
      </c>
      <c r="Q31" t="str">
        <v/>
      </c>
      <c r="R31">
        <v>0</v>
      </c>
      <c r="S31">
        <v>78.02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100</v>
      </c>
      <c r="AB31" t="str">
        <v>17/09/2026</v>
      </c>
      <c r="AC31" t="str">
        <v>08:37:59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17/09/2026 08:41:36</v>
      </c>
      <c r="AK31" t="str">
        <v>08:41:36</v>
      </c>
      <c r="AL31" t="str">
        <v/>
      </c>
    </row>
    <row r="32">
      <c r="A32">
        <v>31</v>
      </c>
      <c r="B32" t="str">
        <v>MASS BSF</v>
      </c>
      <c r="C32" t="str">
        <v>BXQ-847</v>
      </c>
      <c r="D32" t="str">
        <v>BXQ-847</v>
      </c>
      <c r="E32" t="str">
        <v/>
      </c>
      <c r="F32" t="str">
        <v>867162029843950</v>
      </c>
      <c r="G32" t="str">
        <v>TBD</v>
      </c>
      <c r="H32" t="str">
        <v/>
      </c>
      <c r="I32" t="str">
        <v/>
      </c>
      <c r="J32" t="str">
        <v>17/09/2026</v>
      </c>
      <c r="K32" t="str">
        <v>08:44:20</v>
      </c>
      <c r="L32">
        <v>-12.317769</v>
      </c>
      <c r="M32">
        <v>-76.824394</v>
      </c>
      <c r="N32">
        <f>HYPERLINK("https://www.google.com/maps/search/?api=1&amp;query=-12.317769,-76.824394","Punta Hermosa, Lima")</f>
      </c>
      <c r="O32" t="str">
        <v>Vehículo apagado</v>
      </c>
      <c r="P32">
        <v>717991.4</v>
      </c>
      <c r="Q32" t="str">
        <v/>
      </c>
      <c r="R32">
        <v>0</v>
      </c>
      <c r="S32">
        <v>78.07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100</v>
      </c>
      <c r="AB32" t="str">
        <v>17/09/2026</v>
      </c>
      <c r="AC32" t="str">
        <v>08:44:22</v>
      </c>
      <c r="AD32">
        <f>IF("ONLINE"="NOGPS","GPS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17/09/2026 08:44:33</v>
      </c>
      <c r="AK32" t="str">
        <v>08:44:33</v>
      </c>
      <c r="AL32" t="str">
        <v/>
      </c>
    </row>
    <row r="33">
      <c r="A33">
        <v>32</v>
      </c>
      <c r="B33" t="str">
        <v>MASS BSF</v>
      </c>
      <c r="C33" t="str">
        <v>BXQ-847</v>
      </c>
      <c r="D33" t="str">
        <v>BXQ-847</v>
      </c>
      <c r="E33" t="str">
        <v/>
      </c>
      <c r="F33" t="str">
        <v>867162029843950</v>
      </c>
      <c r="G33" t="str">
        <v>TBD</v>
      </c>
      <c r="H33" t="str">
        <v/>
      </c>
      <c r="I33" t="str">
        <v/>
      </c>
      <c r="J33" t="str">
        <v>17/09/2026</v>
      </c>
      <c r="K33" t="str">
        <v>08:44:22</v>
      </c>
      <c r="L33">
        <v>-12.317769</v>
      </c>
      <c r="M33">
        <v>-76.824394</v>
      </c>
      <c r="N33">
        <f>HYPERLINK("https://www.google.com/maps/search/?api=1&amp;query=-12.317769,-76.824394","Punta Hermosa, Lima")</f>
      </c>
      <c r="O33" t="str">
        <v>Vehículo encendido</v>
      </c>
      <c r="P33">
        <v>717991.4</v>
      </c>
      <c r="Q33" t="str">
        <v/>
      </c>
      <c r="R33">
        <v>0</v>
      </c>
      <c r="S33">
        <v>78.02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100</v>
      </c>
      <c r="AB33" t="str">
        <v>17/09/2026</v>
      </c>
      <c r="AC33" t="str">
        <v>08:44:22</v>
      </c>
      <c r="AD33">
        <f>IF("ONLINE"="NOGPS","GPS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17/09/2026 08:44:37</v>
      </c>
      <c r="AK33" t="str">
        <v>08:44:37</v>
      </c>
      <c r="AL33" t="str">
        <v/>
      </c>
    </row>
    <row r="34">
      <c r="A34">
        <v>33</v>
      </c>
      <c r="B34" t="str">
        <v>MASS BSF</v>
      </c>
      <c r="C34" t="str">
        <v>BXQ-847</v>
      </c>
      <c r="D34" t="str">
        <v>BXQ-847</v>
      </c>
      <c r="E34" t="str">
        <v/>
      </c>
      <c r="F34" t="str">
        <v>867162029843950</v>
      </c>
      <c r="G34" t="str">
        <v>TBD</v>
      </c>
      <c r="H34" t="str">
        <v/>
      </c>
      <c r="I34" t="str">
        <v/>
      </c>
      <c r="J34" t="str">
        <v>17/09/2026</v>
      </c>
      <c r="K34" t="str">
        <v>08:44:28</v>
      </c>
      <c r="L34">
        <v>-12.317769</v>
      </c>
      <c r="M34">
        <v>-76.824394</v>
      </c>
      <c r="N34">
        <f>HYPERLINK("https://www.google.com/maps/search/?api=1&amp;query=-12.317769,-76.824394","Punta Hermosa, Lima")</f>
      </c>
      <c r="O34" t="str">
        <v>Vehículo apagado</v>
      </c>
      <c r="P34">
        <v>717991.4</v>
      </c>
      <c r="Q34" t="str">
        <v/>
      </c>
      <c r="R34">
        <v>0</v>
      </c>
      <c r="S34">
        <v>78.02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100</v>
      </c>
      <c r="AB34" t="str">
        <v>17/09/2026</v>
      </c>
      <c r="AC34" t="str">
        <v>08:44:30</v>
      </c>
      <c r="AD34">
        <f>IF("ONLINE"="NOGPS","GPS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17/09/2026 08:44:50</v>
      </c>
      <c r="AK34" t="str">
        <v>08:44:50</v>
      </c>
      <c r="AL34" t="str">
        <v/>
      </c>
    </row>
    <row r="35">
      <c r="A35">
        <v>34</v>
      </c>
      <c r="B35" t="str">
        <v>MASS BSF</v>
      </c>
      <c r="C35" t="str">
        <v>BXQ-847</v>
      </c>
      <c r="D35" t="str">
        <v>BXQ-847</v>
      </c>
      <c r="E35" t="str">
        <v/>
      </c>
      <c r="F35" t="str">
        <v>867162029843950</v>
      </c>
      <c r="G35" t="str">
        <v>TBD</v>
      </c>
      <c r="H35" t="str">
        <v/>
      </c>
      <c r="I35" t="str">
        <v/>
      </c>
      <c r="J35" t="str">
        <v>17/09/2026</v>
      </c>
      <c r="K35" t="str">
        <v>09:22:23</v>
      </c>
      <c r="L35">
        <v>-12.317769</v>
      </c>
      <c r="M35">
        <v>-76.824394</v>
      </c>
      <c r="N35">
        <f>HYPERLINK("https://www.google.com/maps/search/?api=1&amp;query=-12.317769,-76.824394","Punta Hermosa, Lima")</f>
      </c>
      <c r="O35" t="str">
        <v>Vehículo encendido</v>
      </c>
      <c r="P35">
        <v>717991.4</v>
      </c>
      <c r="Q35" t="str">
        <v/>
      </c>
      <c r="R35">
        <v>0</v>
      </c>
      <c r="S35">
        <v>78.02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100</v>
      </c>
      <c r="AB35" t="str">
        <v>17/09/2026</v>
      </c>
      <c r="AC35" t="str">
        <v>09:11:59</v>
      </c>
      <c r="AD35">
        <f>IF("NOGPS"="NOGPS","GPS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17/09/2026 09:22:43</v>
      </c>
      <c r="AK35" t="str">
        <v>09:22:43</v>
      </c>
      <c r="AL35" t="str">
        <v/>
      </c>
    </row>
    <row r="36">
      <c r="A36">
        <v>35</v>
      </c>
      <c r="B36" t="str">
        <v>MASS BSF</v>
      </c>
      <c r="C36" t="str">
        <v>BXQ-847</v>
      </c>
      <c r="D36" t="str">
        <v>BXQ-847</v>
      </c>
      <c r="E36" t="str">
        <v/>
      </c>
      <c r="F36" t="str">
        <v>867162029843950</v>
      </c>
      <c r="G36" t="str">
        <v>TBD</v>
      </c>
      <c r="H36" t="str">
        <v/>
      </c>
      <c r="I36" t="str">
        <v/>
      </c>
      <c r="J36" t="str">
        <v>17/09/2026</v>
      </c>
      <c r="K36" t="str">
        <v>09:32:00</v>
      </c>
      <c r="L36">
        <v>-12.30549</v>
      </c>
      <c r="M36">
        <v>-76.8391</v>
      </c>
      <c r="N36">
        <f>HYPERLINK("https://www.google.com/maps/search/?api=1&amp;query=-12.30549,-76.8391","Carretera Panamericana Sur, Lurín, Lima")</f>
      </c>
      <c r="O36" t="str">
        <v>Excedió el límite de velocidad</v>
      </c>
      <c r="P36">
        <v>717993.9</v>
      </c>
      <c r="Q36" t="str">
        <v/>
      </c>
      <c r="R36">
        <v>84.8</v>
      </c>
      <c r="S36">
        <v>78.02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100</v>
      </c>
      <c r="AB36" t="str">
        <v>17/09/2026</v>
      </c>
      <c r="AC36" t="str">
        <v>09:31:59</v>
      </c>
      <c r="AD36">
        <f>IF("ONLINE"="NOGPS","GPS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17/09/2026 09:32:18</v>
      </c>
      <c r="AK36" t="str">
        <v>09:32:18</v>
      </c>
      <c r="AL36" t="str">
        <v/>
      </c>
    </row>
    <row r="37">
      <c r="A37">
        <v>36</v>
      </c>
      <c r="B37" t="str">
        <v>MASS BSF</v>
      </c>
      <c r="C37" t="str">
        <v>BXQ-847</v>
      </c>
      <c r="D37" t="str">
        <v>BXQ-847</v>
      </c>
      <c r="E37" t="str">
        <v/>
      </c>
      <c r="F37" t="str">
        <v>867162029843950</v>
      </c>
      <c r="G37" t="str">
        <v>TBD</v>
      </c>
      <c r="H37" t="str">
        <v/>
      </c>
      <c r="I37" t="str">
        <v/>
      </c>
      <c r="J37" t="str">
        <v>17/09/2026</v>
      </c>
      <c r="K37" t="str">
        <v>09:33:54</v>
      </c>
      <c r="L37">
        <v>-12.296098</v>
      </c>
      <c r="M37">
        <v>-76.85768</v>
      </c>
      <c r="N37">
        <f>HYPERLINK("https://www.google.com/maps/search/?api=1&amp;query=-12.296098,-76.85768","Carretera Panamericana Sur, Lurín, Lima")</f>
      </c>
      <c r="O37" t="str">
        <v>Excedió el límite de velocidad</v>
      </c>
      <c r="P37">
        <v>717996.2</v>
      </c>
      <c r="Q37" t="str">
        <v/>
      </c>
      <c r="R37">
        <v>86.2</v>
      </c>
      <c r="S37">
        <v>78.02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100</v>
      </c>
      <c r="AB37" t="str">
        <v>17/09/2026</v>
      </c>
      <c r="AC37" t="str">
        <v>09:33:53</v>
      </c>
      <c r="AD37">
        <f>IF("ONLINE"="NOGPS","GPS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17/09/2026 09:34:18</v>
      </c>
      <c r="AK37" t="str">
        <v>09:34:18</v>
      </c>
      <c r="AL37" t="str">
        <v/>
      </c>
    </row>
    <row r="38">
      <c r="A38">
        <v>37</v>
      </c>
      <c r="B38" t="str">
        <v>MASS BSF</v>
      </c>
      <c r="C38" t="str">
        <v>BXQ-847</v>
      </c>
      <c r="D38" t="str">
        <v>BXQ-847</v>
      </c>
      <c r="E38" t="str">
        <v/>
      </c>
      <c r="F38" t="str">
        <v>867162029843950</v>
      </c>
      <c r="G38" t="str">
        <v>TBD</v>
      </c>
      <c r="H38" t="str">
        <v/>
      </c>
      <c r="I38" t="str">
        <v/>
      </c>
      <c r="J38" t="str">
        <v>17/09/2026</v>
      </c>
      <c r="K38" t="str">
        <v>09:35:18</v>
      </c>
      <c r="L38">
        <v>-12.287462</v>
      </c>
      <c r="M38">
        <v>-76.87162</v>
      </c>
      <c r="N38">
        <f>HYPERLINK("https://www.google.com/maps/search/?api=1&amp;query=-12.287462,-76.87162","Carretera Panamericana Sur, Lurín, Lima")</f>
      </c>
      <c r="O38" t="str">
        <v>Excedió el límite de velocidad</v>
      </c>
      <c r="P38">
        <v>717998</v>
      </c>
      <c r="Q38" t="str">
        <v/>
      </c>
      <c r="R38">
        <v>81.5</v>
      </c>
      <c r="S38">
        <v>78.02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100</v>
      </c>
      <c r="AB38" t="str">
        <v>17/09/2026</v>
      </c>
      <c r="AC38" t="str">
        <v>09:35:17</v>
      </c>
      <c r="AD38">
        <f>IF("ONLINE"="NOGPS","GPS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17/09/2026 09:35:32</v>
      </c>
      <c r="AK38" t="str">
        <v>09:35:32</v>
      </c>
      <c r="AL38" t="str">
        <v/>
      </c>
    </row>
    <row r="39">
      <c r="A39">
        <v>38</v>
      </c>
      <c r="B39" t="str">
        <v>MASS BSF</v>
      </c>
      <c r="C39" t="str">
        <v>BXQ-847</v>
      </c>
      <c r="D39" t="str">
        <v>BXQ-847</v>
      </c>
      <c r="E39" t="str">
        <v/>
      </c>
      <c r="F39" t="str">
        <v>867162029843950</v>
      </c>
      <c r="G39" t="str">
        <v>TBD</v>
      </c>
      <c r="H39" t="str">
        <v/>
      </c>
      <c r="I39" t="str">
        <v/>
      </c>
      <c r="J39" t="str">
        <v>17/09/2026</v>
      </c>
      <c r="K39" t="str">
        <v>09:36:27</v>
      </c>
      <c r="L39">
        <v>-12.280225</v>
      </c>
      <c r="M39">
        <v>-76.88315</v>
      </c>
      <c r="N39">
        <f>HYPERLINK("https://www.google.com/maps/search/?api=1&amp;query=-12.280225,-76.88315","Carretera Panamericana Sur, Lurín, Lima")</f>
      </c>
      <c r="O39" t="str">
        <v>Excedió el límite de velocidad</v>
      </c>
      <c r="P39">
        <v>717999.5</v>
      </c>
      <c r="Q39" t="str">
        <v/>
      </c>
      <c r="R39">
        <v>85</v>
      </c>
      <c r="S39">
        <v>78.02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100</v>
      </c>
      <c r="AB39" t="str">
        <v>17/09/2026</v>
      </c>
      <c r="AC39" t="str">
        <v>09:36:26</v>
      </c>
      <c r="AD39">
        <f>IF("ONLINE"="NOGPS","GPS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17/09/2026 09:36:43</v>
      </c>
      <c r="AK39" t="str">
        <v>09:36:43</v>
      </c>
      <c r="AL39" t="str">
        <v/>
      </c>
    </row>
    <row r="40">
      <c r="A40">
        <v>39</v>
      </c>
      <c r="B40" t="str">
        <v>MASS BSF</v>
      </c>
      <c r="C40" t="str">
        <v>BXQ-847</v>
      </c>
      <c r="D40" t="str">
        <v>BXQ-847</v>
      </c>
      <c r="E40" t="str">
        <v/>
      </c>
      <c r="F40" t="str">
        <v>867162029843950</v>
      </c>
      <c r="G40" t="str">
        <v>TBD</v>
      </c>
      <c r="H40" t="str">
        <v/>
      </c>
      <c r="I40" t="str">
        <v/>
      </c>
      <c r="J40" t="str">
        <v>17/09/2026</v>
      </c>
      <c r="K40" t="str">
        <v>09:38:33</v>
      </c>
      <c r="L40">
        <v>-12.26747</v>
      </c>
      <c r="M40">
        <v>-76.90347</v>
      </c>
      <c r="N40">
        <f>HYPERLINK("https://www.google.com/maps/search/?api=1&amp;query=-12.26747,-76.90347","Carretera Panamericana Sur, Lurín, Lima")</f>
      </c>
      <c r="O40" t="str">
        <v>Excedió el límite de velocidad</v>
      </c>
      <c r="P40">
        <v>718002.1</v>
      </c>
      <c r="Q40" t="str">
        <v/>
      </c>
      <c r="R40">
        <v>88.5</v>
      </c>
      <c r="S40">
        <v>78.02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100</v>
      </c>
      <c r="AB40" t="str">
        <v>17/09/2026</v>
      </c>
      <c r="AC40" t="str">
        <v>09:38:32</v>
      </c>
      <c r="AD40">
        <f>IF("ONLINE"="NOGPS","GPS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17/09/2026 09:42:08</v>
      </c>
      <c r="AK40" t="str">
        <v>09:42:08</v>
      </c>
      <c r="AL40" t="str">
        <v/>
      </c>
    </row>
    <row r="41">
      <c r="A41">
        <v>40</v>
      </c>
      <c r="B41" t="str">
        <v>MASS BSF</v>
      </c>
      <c r="C41" t="str">
        <v>BXQ-847</v>
      </c>
      <c r="D41" t="str">
        <v>BXQ-847</v>
      </c>
      <c r="E41" t="str">
        <v/>
      </c>
      <c r="F41" t="str">
        <v>867162029843950</v>
      </c>
      <c r="G41" t="str">
        <v>TBD</v>
      </c>
      <c r="H41" t="str">
        <v/>
      </c>
      <c r="I41" t="str">
        <v/>
      </c>
      <c r="J41" t="str">
        <v>17/09/2026</v>
      </c>
      <c r="K41" t="str">
        <v>09:39:57</v>
      </c>
      <c r="L41">
        <v>-12.257868</v>
      </c>
      <c r="M41">
        <v>-76.91866</v>
      </c>
      <c r="N41">
        <f>HYPERLINK("https://www.google.com/maps/search/?api=1&amp;query=-12.257868,-76.91866","Carretera Panamericana Sur, Lurín, Lima")</f>
      </c>
      <c r="O41" t="str">
        <v>Excedió el límite de velocidad</v>
      </c>
      <c r="P41">
        <v>718004.1</v>
      </c>
      <c r="Q41" t="str">
        <v/>
      </c>
      <c r="R41">
        <v>85.3</v>
      </c>
      <c r="S41">
        <v>78.02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100</v>
      </c>
      <c r="AB41" t="str">
        <v>17/09/2026</v>
      </c>
      <c r="AC41" t="str">
        <v>09:39:56</v>
      </c>
      <c r="AD41">
        <f>IF("ONLINE"="NOGPS","GPS Antiguo","En línea")</f>
      </c>
      <c r="AE41">
        <f>IF(0=0,"Sin atender", IF(0=1,"Atendida","Atendida y Reportada"))</f>
      </c>
      <c r="AF41" t="str">
        <v/>
      </c>
      <c r="AG41" t="str">
        <v/>
      </c>
      <c r="AH41" t="str">
        <v/>
      </c>
      <c r="AI41" t="str">
        <v/>
      </c>
      <c r="AJ41" t="str">
        <v>17/09/2026 09:42:04</v>
      </c>
      <c r="AK41" t="str">
        <v>09:42:04</v>
      </c>
      <c r="AL41" t="str">
        <v/>
      </c>
    </row>
    <row r="42">
      <c r="A42">
        <v>41</v>
      </c>
      <c r="B42" t="str">
        <v>MASS BSF</v>
      </c>
      <c r="C42" t="str">
        <v>BXQ-847</v>
      </c>
      <c r="D42" t="str">
        <v>BXQ-847</v>
      </c>
      <c r="E42" t="str">
        <v/>
      </c>
      <c r="F42" t="str">
        <v>867162029843950</v>
      </c>
      <c r="G42" t="str">
        <v>TBD</v>
      </c>
      <c r="H42" t="str">
        <v/>
      </c>
      <c r="I42" t="str">
        <v/>
      </c>
      <c r="J42" t="str">
        <v>17/09/2026</v>
      </c>
      <c r="K42" t="str">
        <v>09:40:51</v>
      </c>
      <c r="L42">
        <v>-12.251985</v>
      </c>
      <c r="M42">
        <v>-76.92839</v>
      </c>
      <c r="N42">
        <f>HYPERLINK("https://www.google.com/maps/search/?api=1&amp;query=-12.251985,-76.92839","Carretera Panamericana Sur, Lurín, Lima")</f>
      </c>
      <c r="O42" t="str">
        <v>Excedió el límite de velocidad</v>
      </c>
      <c r="P42">
        <v>718005.3</v>
      </c>
      <c r="Q42" t="str">
        <v/>
      </c>
      <c r="R42">
        <v>80.5</v>
      </c>
      <c r="S42">
        <v>78.02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100</v>
      </c>
      <c r="AB42" t="str">
        <v>17/09/2026</v>
      </c>
      <c r="AC42" t="str">
        <v>09:40:50</v>
      </c>
      <c r="AD42">
        <f>IF("ONLINE"="NOGPS","GPS Antiguo","En línea")</f>
      </c>
      <c r="AE42">
        <f>IF(0=0,"Sin atender", IF(0=1,"Atendida","Atendida y Reportada"))</f>
      </c>
      <c r="AF42" t="str">
        <v/>
      </c>
      <c r="AG42" t="str">
        <v/>
      </c>
      <c r="AH42" t="str">
        <v/>
      </c>
      <c r="AI42" t="str">
        <v/>
      </c>
      <c r="AJ42" t="str">
        <v>17/09/2026 09:42:02</v>
      </c>
      <c r="AK42" t="str">
        <v>09:42:02</v>
      </c>
      <c r="AL42" t="str">
        <v/>
      </c>
    </row>
    <row r="43">
      <c r="A43">
        <v>42</v>
      </c>
      <c r="B43" t="str">
        <v>MASS BSF</v>
      </c>
      <c r="C43" t="str">
        <v>BXQ-847</v>
      </c>
      <c r="D43" t="str">
        <v>BXQ-847</v>
      </c>
      <c r="E43" t="str">
        <v/>
      </c>
      <c r="F43" t="str">
        <v>867162029843950</v>
      </c>
      <c r="G43" t="str">
        <v>TBD</v>
      </c>
      <c r="H43" t="str">
        <v/>
      </c>
      <c r="I43" t="str">
        <v/>
      </c>
      <c r="J43" t="str">
        <v>17/09/2026</v>
      </c>
      <c r="K43" t="str">
        <v>09:41:24</v>
      </c>
      <c r="L43">
        <v>-12.248089</v>
      </c>
      <c r="M43">
        <v>-76.93349</v>
      </c>
      <c r="N43">
        <f>HYPERLINK("https://www.google.com/maps/search/?api=1&amp;query=-12.248089,-76.93349","Carretera Panamericana Sur, Villa El Salvador, Lima")</f>
      </c>
      <c r="O43" t="str">
        <v>Excedió el límite de velocidad</v>
      </c>
      <c r="P43">
        <v>718006</v>
      </c>
      <c r="Q43" t="str">
        <v/>
      </c>
      <c r="R43">
        <v>87.6</v>
      </c>
      <c r="S43">
        <v>78.02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100</v>
      </c>
      <c r="AB43" t="str">
        <v>17/09/2026</v>
      </c>
      <c r="AC43" t="str">
        <v>09:41:23</v>
      </c>
      <c r="AD43">
        <f>IF("ONLINE"="NOGPS","GPS Antiguo","En línea")</f>
      </c>
      <c r="AE43">
        <f>IF(0=0,"Sin atender", IF(0=1,"Atendida","Atendida y Reportada"))</f>
      </c>
      <c r="AF43" t="str">
        <v/>
      </c>
      <c r="AG43" t="str">
        <v/>
      </c>
      <c r="AH43" t="str">
        <v/>
      </c>
      <c r="AI43" t="str">
        <v/>
      </c>
      <c r="AJ43" t="str">
        <v>17/09/2026 09:42:04</v>
      </c>
      <c r="AK43" t="str">
        <v>09:42:04</v>
      </c>
      <c r="AL43" t="str">
        <v/>
      </c>
    </row>
    <row r="44">
      <c r="A44">
        <v>43</v>
      </c>
      <c r="B44" t="str">
        <v>MASS BSF</v>
      </c>
      <c r="C44" t="str">
        <v>BXQ-847</v>
      </c>
      <c r="D44" t="str">
        <v>BXQ-847</v>
      </c>
      <c r="E44" t="str">
        <v/>
      </c>
      <c r="F44" t="str">
        <v>867162029843950</v>
      </c>
      <c r="G44" t="str">
        <v>TBD</v>
      </c>
      <c r="H44" t="str">
        <v/>
      </c>
      <c r="I44" t="str">
        <v/>
      </c>
      <c r="J44" t="str">
        <v>17/09/2026</v>
      </c>
      <c r="K44" t="str">
        <v>09:42:00</v>
      </c>
      <c r="L44">
        <v>-12.244375</v>
      </c>
      <c r="M44">
        <v>-76.940056</v>
      </c>
      <c r="N44">
        <f>HYPERLINK("https://www.google.com/maps/search/?api=1&amp;query=-12.244375,-76.940056","Carretera Panamericana Sur, Villa El Salvador, Lima")</f>
      </c>
      <c r="O44" t="str">
        <v>Excedió el límite de velocidad</v>
      </c>
      <c r="P44">
        <v>718006.9</v>
      </c>
      <c r="Q44" t="str">
        <v/>
      </c>
      <c r="R44">
        <v>83.7</v>
      </c>
      <c r="S44">
        <v>78.02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100</v>
      </c>
      <c r="AB44" t="str">
        <v>17/09/2026</v>
      </c>
      <c r="AC44" t="str">
        <v>09:41:59</v>
      </c>
      <c r="AD44">
        <f>IF("ONLINE"="NOGPS","GPS Antiguo","En línea")</f>
      </c>
      <c r="AE44">
        <f>IF(0=0,"Sin atender", IF(0=1,"Atendida","Atendida y Reportada"))</f>
      </c>
      <c r="AF44" t="str">
        <v/>
      </c>
      <c r="AG44" t="str">
        <v/>
      </c>
      <c r="AH44" t="str">
        <v/>
      </c>
      <c r="AI44" t="str">
        <v/>
      </c>
      <c r="AJ44" t="str">
        <v>17/09/2026 09:42:14</v>
      </c>
      <c r="AK44" t="str">
        <v>09:42:14</v>
      </c>
      <c r="AL44" t="str">
        <v/>
      </c>
    </row>
    <row r="45">
      <c r="A45">
        <v>44</v>
      </c>
      <c r="B45" t="str">
        <v>MASS BSF</v>
      </c>
      <c r="C45" t="str">
        <v>BXQ-847</v>
      </c>
      <c r="D45" t="str">
        <v>BXQ-847</v>
      </c>
      <c r="E45" t="str">
        <v/>
      </c>
      <c r="F45" t="str">
        <v>867162029843950</v>
      </c>
      <c r="G45" t="str">
        <v>TBD</v>
      </c>
      <c r="H45" t="str">
        <v/>
      </c>
      <c r="I45" t="str">
        <v/>
      </c>
      <c r="J45" t="str">
        <v>17/09/2026</v>
      </c>
      <c r="K45" t="str">
        <v>09:44:27</v>
      </c>
      <c r="L45">
        <v>-12.230861</v>
      </c>
      <c r="M45">
        <v>-76.965996</v>
      </c>
      <c r="N45">
        <f>HYPERLINK("https://www.google.com/maps/search/?api=1&amp;query=-12.230861,-76.965996","Carretera Panamericana Sur, Villa El Salvador, Lima")</f>
      </c>
      <c r="O45" t="str">
        <v>Excedió el límite de velocidad</v>
      </c>
      <c r="P45">
        <v>718010.1</v>
      </c>
      <c r="Q45" t="str">
        <v/>
      </c>
      <c r="R45">
        <v>83.6</v>
      </c>
      <c r="S45">
        <v>78.02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100</v>
      </c>
      <c r="AB45" t="str">
        <v>17/09/2026</v>
      </c>
      <c r="AC45" t="str">
        <v>09:44:26</v>
      </c>
      <c r="AD45">
        <f>IF("ONLINE"="NOGPS","GPS Antiguo","En línea")</f>
      </c>
      <c r="AE45">
        <f>IF(0=0,"Sin atender", IF(0=1,"Atendida","Atendida y Reportada"))</f>
      </c>
      <c r="AF45" t="str">
        <v/>
      </c>
      <c r="AG45" t="str">
        <v/>
      </c>
      <c r="AH45" t="str">
        <v/>
      </c>
      <c r="AI45" t="str">
        <v/>
      </c>
      <c r="AJ45" t="str">
        <v>17/09/2026 09:44:53</v>
      </c>
      <c r="AK45" t="str">
        <v>09:44:53</v>
      </c>
      <c r="AL45" t="str">
        <v/>
      </c>
    </row>
    <row r="46">
      <c r="A46">
        <v>45</v>
      </c>
      <c r="B46" t="str">
        <v>MASS BSF</v>
      </c>
      <c r="C46" t="str">
        <v>BXQ-847</v>
      </c>
      <c r="D46" t="str">
        <v>BXQ-847</v>
      </c>
      <c r="E46" t="str">
        <v/>
      </c>
      <c r="F46" t="str">
        <v>867162029843950</v>
      </c>
      <c r="G46" t="str">
        <v>TBD</v>
      </c>
      <c r="H46" t="str">
        <v/>
      </c>
      <c r="I46" t="str">
        <v/>
      </c>
      <c r="J46" t="str">
        <v>17/09/2026</v>
      </c>
      <c r="K46" t="str">
        <v>10:03:02</v>
      </c>
      <c r="L46">
        <v>-12.165631</v>
      </c>
      <c r="M46">
        <v>-76.99219</v>
      </c>
      <c r="N46">
        <f>HYPERLINK("https://www.google.com/maps/search/?api=1&amp;query=-12.165631,-76.99219","Jirón Guardia Civil Norte, Santiago de Surco, Lima")</f>
      </c>
      <c r="O46" t="str">
        <v>Vehículo apagado</v>
      </c>
      <c r="P46">
        <v>718020.8</v>
      </c>
      <c r="Q46" t="str">
        <v/>
      </c>
      <c r="R46">
        <v>0</v>
      </c>
      <c r="S46">
        <v>78.7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100</v>
      </c>
      <c r="AB46" t="str">
        <v>17/09/2026</v>
      </c>
      <c r="AC46" t="str">
        <v>10:03:04</v>
      </c>
      <c r="AD46">
        <f>IF("ONLINE"="NOGPS","GPS Antiguo","En línea")</f>
      </c>
      <c r="AE46">
        <f>IF(0=0,"Sin atender", IF(0=1,"Atendida","Atendida y Reportada"))</f>
      </c>
      <c r="AF46" t="str">
        <v/>
      </c>
      <c r="AG46" t="str">
        <v/>
      </c>
      <c r="AH46" t="str">
        <v/>
      </c>
      <c r="AI46" t="str">
        <v/>
      </c>
      <c r="AJ46" t="str">
        <v>17/09/2026 10:03:18</v>
      </c>
      <c r="AK46" t="str">
        <v>10:03:18</v>
      </c>
      <c r="AL46" t="str">
        <v/>
      </c>
    </row>
    <row r="47">
      <c r="A47">
        <v>46</v>
      </c>
      <c r="B47" t="str">
        <v>MASS BSF</v>
      </c>
      <c r="C47" t="str">
        <v>BXQ-847</v>
      </c>
      <c r="D47" t="str">
        <v>BXQ-847</v>
      </c>
      <c r="E47" t="str">
        <v/>
      </c>
      <c r="F47" t="str">
        <v>867162029843950</v>
      </c>
      <c r="G47" t="str">
        <v>TBD</v>
      </c>
      <c r="H47" t="str">
        <v/>
      </c>
      <c r="I47" t="str">
        <v/>
      </c>
      <c r="J47" t="str">
        <v>17/09/2026</v>
      </c>
      <c r="K47" t="str">
        <v>10:03:10</v>
      </c>
      <c r="L47">
        <v>-12.165631</v>
      </c>
      <c r="M47">
        <v>-76.99219</v>
      </c>
      <c r="N47">
        <f>HYPERLINK("https://www.google.com/maps/search/?api=1&amp;query=-12.165631,-76.99219","Jirón Guardia Civil Norte, Santiago de Surco, Lima")</f>
      </c>
      <c r="O47" t="str">
        <v>Vehículo encendido</v>
      </c>
      <c r="P47">
        <v>718020.8</v>
      </c>
      <c r="Q47" t="str">
        <v/>
      </c>
      <c r="R47">
        <v>0</v>
      </c>
      <c r="S47">
        <v>78.7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100</v>
      </c>
      <c r="AB47" t="str">
        <v>17/09/2026</v>
      </c>
      <c r="AC47" t="str">
        <v>10:03:04</v>
      </c>
      <c r="AD47">
        <f>IF("ONLINE"="NOGPS","GPS Antiguo","En línea")</f>
      </c>
      <c r="AE47">
        <f>IF(0=0,"Sin atender", IF(0=1,"Atendida","Atendida y Reportada"))</f>
      </c>
      <c r="AF47" t="str">
        <v/>
      </c>
      <c r="AG47" t="str">
        <v/>
      </c>
      <c r="AH47" t="str">
        <v/>
      </c>
      <c r="AI47" t="str">
        <v/>
      </c>
      <c r="AJ47" t="str">
        <v>17/09/2026 10:03:27</v>
      </c>
      <c r="AK47" t="str">
        <v>10:03:27</v>
      </c>
      <c r="AL47" t="str">
        <v/>
      </c>
    </row>
    <row r="48">
      <c r="A48">
        <v>47</v>
      </c>
      <c r="B48" t="str">
        <v>MASS BSF</v>
      </c>
      <c r="C48" t="str">
        <v>BXQ-847</v>
      </c>
      <c r="D48" t="str">
        <v>BXQ-847</v>
      </c>
      <c r="E48" t="str">
        <v/>
      </c>
      <c r="F48" t="str">
        <v>867162029843950</v>
      </c>
      <c r="G48" t="str">
        <v>TBD</v>
      </c>
      <c r="H48" t="str">
        <v/>
      </c>
      <c r="I48" t="str">
        <v/>
      </c>
      <c r="J48" t="str">
        <v>17/09/2026</v>
      </c>
      <c r="K48" t="str">
        <v>10:03:22</v>
      </c>
      <c r="L48">
        <v>-12.165676</v>
      </c>
      <c r="M48">
        <v>-76.99223</v>
      </c>
      <c r="N48">
        <f>HYPERLINK("https://www.google.com/maps/search/?api=1&amp;query=-12.165676,-76.99223","Pasaje Clark, Santiago de Surco, Lima")</f>
      </c>
      <c r="O48" t="str">
        <v>Vehículo apagado</v>
      </c>
      <c r="P48">
        <v>718020.8</v>
      </c>
      <c r="Q48" t="str">
        <v/>
      </c>
      <c r="R48">
        <v>0</v>
      </c>
      <c r="S48">
        <v>78.7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100</v>
      </c>
      <c r="AB48" t="str">
        <v>17/09/2026</v>
      </c>
      <c r="AC48" t="str">
        <v>10:03:14</v>
      </c>
      <c r="AD48">
        <f>IF("ONLINE"="NOGPS","GPS Antiguo","En línea")</f>
      </c>
      <c r="AE48">
        <f>IF(0=0,"Sin atender", IF(0=1,"Atendida","Atendida y Reportada"))</f>
      </c>
      <c r="AF48" t="str">
        <v/>
      </c>
      <c r="AG48" t="str">
        <v/>
      </c>
      <c r="AH48" t="str">
        <v/>
      </c>
      <c r="AI48" t="str">
        <v/>
      </c>
      <c r="AJ48" t="str">
        <v>17/09/2026 10:03:42</v>
      </c>
      <c r="AK48" t="str">
        <v>10:03:42</v>
      </c>
      <c r="AL48" t="str">
        <v/>
      </c>
    </row>
    <row r="49">
      <c r="A49">
        <v>48</v>
      </c>
      <c r="B49" t="str">
        <v>MASS BSF</v>
      </c>
      <c r="C49" t="str">
        <v>BXQ-847</v>
      </c>
      <c r="D49" t="str">
        <v>BXQ-847</v>
      </c>
      <c r="E49" t="str">
        <v/>
      </c>
      <c r="F49" t="str">
        <v>867162029843950</v>
      </c>
      <c r="G49" t="str">
        <v>TBD</v>
      </c>
      <c r="H49" t="str">
        <v/>
      </c>
      <c r="I49" t="str">
        <v/>
      </c>
      <c r="J49" t="str">
        <v>17/09/2026</v>
      </c>
      <c r="K49" t="str">
        <v>10:17:10</v>
      </c>
      <c r="L49">
        <v>-12.165676</v>
      </c>
      <c r="M49">
        <v>-76.99223</v>
      </c>
      <c r="N49">
        <f>HYPERLINK("https://www.google.com/maps/search/?api=1&amp;query=-12.165676,-76.99223","Pasaje Clark, Santiago de Surco, Lima")</f>
      </c>
      <c r="O49" t="str">
        <v>Vehículo encendido</v>
      </c>
      <c r="P49">
        <v>718020.8</v>
      </c>
      <c r="Q49" t="str">
        <v/>
      </c>
      <c r="R49">
        <v>0</v>
      </c>
      <c r="S49">
        <v>78.7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100</v>
      </c>
      <c r="AB49" t="str">
        <v>17/09/2026</v>
      </c>
      <c r="AC49" t="str">
        <v>10:03:25</v>
      </c>
      <c r="AD49">
        <f>IF("NOGPS"="NOGPS","GPS Antiguo","En línea")</f>
      </c>
      <c r="AE49">
        <f>IF(0=0,"Sin atender", IF(0=1,"Atendida","Atendida y Reportada"))</f>
      </c>
      <c r="AF49" t="str">
        <v/>
      </c>
      <c r="AG49" t="str">
        <v/>
      </c>
      <c r="AH49" t="str">
        <v/>
      </c>
      <c r="AI49" t="str">
        <v/>
      </c>
      <c r="AJ49" t="str">
        <v>17/09/2026 10:17:23</v>
      </c>
      <c r="AK49" t="str">
        <v>10:17:23</v>
      </c>
      <c r="AL49" t="str">
        <v/>
      </c>
    </row>
    <row r="50">
      <c r="A50">
        <v>49</v>
      </c>
      <c r="B50" t="str">
        <v>MASS BSF</v>
      </c>
      <c r="C50" t="str">
        <v>BXQ-847</v>
      </c>
      <c r="D50" t="str">
        <v>BXQ-847</v>
      </c>
      <c r="E50" t="str">
        <v/>
      </c>
      <c r="F50" t="str">
        <v>867162029843950</v>
      </c>
      <c r="G50" t="str">
        <v>TBD</v>
      </c>
      <c r="H50" t="str">
        <v/>
      </c>
      <c r="I50" t="str">
        <v/>
      </c>
      <c r="J50" t="str">
        <v>17/09/2026</v>
      </c>
      <c r="K50" t="str">
        <v>10:21:36</v>
      </c>
      <c r="L50">
        <v>-12.167308</v>
      </c>
      <c r="M50">
        <v>-76.99082</v>
      </c>
      <c r="N50">
        <f>HYPERLINK("https://www.google.com/maps/search/?api=1&amp;query=-12.167308,-76.99082","Avenida de la Guardia Civil Sur, Santiago de Surco, Lima")</f>
      </c>
      <c r="O50" t="str">
        <v>Vehículo apagado</v>
      </c>
      <c r="P50">
        <v>718021.1</v>
      </c>
      <c r="Q50" t="str">
        <v/>
      </c>
      <c r="R50">
        <v>4.9</v>
      </c>
      <c r="S50">
        <v>78.77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100</v>
      </c>
      <c r="AB50" t="str">
        <v>17/09/2026</v>
      </c>
      <c r="AC50" t="str">
        <v>10:21:07</v>
      </c>
      <c r="AD50">
        <f>IF("ONLINE"="NOGPS","GPS Antiguo","En línea")</f>
      </c>
      <c r="AE50">
        <f>IF(0=0,"Sin atender", IF(0=1,"Atendida","Atendida y Reportada"))</f>
      </c>
      <c r="AF50" t="str">
        <v/>
      </c>
      <c r="AG50" t="str">
        <v/>
      </c>
      <c r="AH50" t="str">
        <v/>
      </c>
      <c r="AI50" t="str">
        <v/>
      </c>
      <c r="AJ50" t="str">
        <v>17/09/2026 10:21:46</v>
      </c>
      <c r="AK50" t="str">
        <v>10:21:46</v>
      </c>
      <c r="AL50" t="str">
        <v/>
      </c>
    </row>
    <row r="51">
      <c r="A51">
        <v>50</v>
      </c>
      <c r="B51" t="str">
        <v>MASS BSF</v>
      </c>
      <c r="C51" t="str">
        <v>BXQ-847</v>
      </c>
      <c r="D51" t="str">
        <v>BXQ-847</v>
      </c>
      <c r="E51" t="str">
        <v/>
      </c>
      <c r="F51" t="str">
        <v>867162029843950</v>
      </c>
      <c r="G51" t="str">
        <v>TBD</v>
      </c>
      <c r="H51" t="str">
        <v/>
      </c>
      <c r="I51" t="str">
        <v/>
      </c>
      <c r="J51" t="str">
        <v>17/09/2026</v>
      </c>
      <c r="K51" t="str">
        <v>10:46:31</v>
      </c>
      <c r="L51">
        <v>-12.167266</v>
      </c>
      <c r="M51">
        <v>-76.9908</v>
      </c>
      <c r="N51">
        <f>HYPERLINK("https://www.google.com/maps/search/?api=1&amp;query=-12.167266,-76.9908","Avenida de la Guardia Civil Sur, Santiago de Surco, Lima")</f>
      </c>
      <c r="O51" t="str">
        <v>Vehículo encendido</v>
      </c>
      <c r="P51">
        <v>718021.1</v>
      </c>
      <c r="Q51" t="str">
        <v/>
      </c>
      <c r="R51">
        <v>0</v>
      </c>
      <c r="S51">
        <v>78.77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100</v>
      </c>
      <c r="AB51" t="str">
        <v>17/09/2026</v>
      </c>
      <c r="AC51" t="str">
        <v>10:21:39</v>
      </c>
      <c r="AD51">
        <f>IF("NOGPS"="NOGPS","GPS Antiguo","En línea")</f>
      </c>
      <c r="AE51">
        <f>IF(0=0,"Sin atender", IF(0=1,"Atendida","Atendida y Reportada"))</f>
      </c>
      <c r="AF51" t="str">
        <v/>
      </c>
      <c r="AG51" t="str">
        <v/>
      </c>
      <c r="AH51" t="str">
        <v/>
      </c>
      <c r="AI51" t="str">
        <v/>
      </c>
      <c r="AJ51" t="str">
        <v>17/09/2026 10:47:03</v>
      </c>
      <c r="AK51" t="str">
        <v>10:47:03</v>
      </c>
      <c r="AL51" t="str">
        <v/>
      </c>
    </row>
    <row r="52">
      <c r="A52">
        <v>51</v>
      </c>
      <c r="B52" t="str">
        <v>MASS BSF</v>
      </c>
      <c r="C52" t="str">
        <v>BXQ-847</v>
      </c>
      <c r="D52" t="str">
        <v>BXQ-847</v>
      </c>
      <c r="E52" t="str">
        <v/>
      </c>
      <c r="F52" t="str">
        <v>867162029843950</v>
      </c>
      <c r="G52" t="str">
        <v>TBD</v>
      </c>
      <c r="H52" t="str">
        <v/>
      </c>
      <c r="I52" t="str">
        <v/>
      </c>
      <c r="J52" t="str">
        <v>17/09/2026</v>
      </c>
      <c r="K52" t="str">
        <v>10:51:41</v>
      </c>
      <c r="L52">
        <v>-12.159082</v>
      </c>
      <c r="M52">
        <v>-76.98866</v>
      </c>
      <c r="N52">
        <f>HYPERLINK("https://www.google.com/maps/search/?api=1&amp;query=-12.159082,-76.98866","Avenida Los Próceres, Santiago de Surco, Lima")</f>
      </c>
      <c r="O52" t="str">
        <v>Vehículo apagado</v>
      </c>
      <c r="P52">
        <v>718022.1</v>
      </c>
      <c r="Q52" t="str">
        <v/>
      </c>
      <c r="R52">
        <v>0</v>
      </c>
      <c r="S52">
        <v>78.77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100</v>
      </c>
      <c r="AB52" t="str">
        <v>17/09/2026</v>
      </c>
      <c r="AC52" t="str">
        <v>10:51:43</v>
      </c>
      <c r="AD52">
        <f>IF("ONLINE"="NOGPS","GPS Antiguo","En línea")</f>
      </c>
      <c r="AE52">
        <f>IF(0=0,"Sin atender", IF(0=1,"Atendida","Atendida y Reportada"))</f>
      </c>
      <c r="AF52" t="str">
        <v/>
      </c>
      <c r="AG52" t="str">
        <v/>
      </c>
      <c r="AH52" t="str">
        <v/>
      </c>
      <c r="AI52" t="str">
        <v/>
      </c>
      <c r="AJ52" t="str">
        <v>17/09/2026 10:51:57</v>
      </c>
      <c r="AK52" t="str">
        <v>10:51:57</v>
      </c>
      <c r="AL52" t="str">
        <v/>
      </c>
    </row>
    <row r="53">
      <c r="A53">
        <v>52</v>
      </c>
      <c r="B53" t="str">
        <v>MASS BSF</v>
      </c>
      <c r="C53" t="str">
        <v>BXQ-847</v>
      </c>
      <c r="D53" t="str">
        <v>BXQ-847</v>
      </c>
      <c r="E53" t="str">
        <v/>
      </c>
      <c r="F53" t="str">
        <v>867162029843950</v>
      </c>
      <c r="G53" t="str">
        <v>TBD</v>
      </c>
      <c r="H53" t="str">
        <v/>
      </c>
      <c r="I53" t="str">
        <v/>
      </c>
      <c r="J53" t="str">
        <v>17/09/2026</v>
      </c>
      <c r="K53" t="str">
        <v>10:51:43</v>
      </c>
      <c r="L53">
        <v>-12.159082</v>
      </c>
      <c r="M53">
        <v>-76.98866</v>
      </c>
      <c r="N53">
        <f>HYPERLINK("https://www.google.com/maps/search/?api=1&amp;query=-12.159082,-76.98866","Avenida Los Próceres, Santiago de Surco, Lima")</f>
      </c>
      <c r="O53" t="str">
        <v>Vehículo encendido</v>
      </c>
      <c r="P53">
        <v>718022.1</v>
      </c>
      <c r="Q53" t="str">
        <v/>
      </c>
      <c r="R53">
        <v>0</v>
      </c>
      <c r="S53">
        <v>78.77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100</v>
      </c>
      <c r="AB53" t="str">
        <v>17/09/2026</v>
      </c>
      <c r="AC53" t="str">
        <v>10:51:43</v>
      </c>
      <c r="AD53">
        <f>IF("ONLINE"="NOGPS","GPS Antiguo","En línea")</f>
      </c>
      <c r="AE53">
        <f>IF(0=0,"Sin atender", IF(0=1,"Atendida","Atendida y Reportada"))</f>
      </c>
      <c r="AF53" t="str">
        <v/>
      </c>
      <c r="AG53" t="str">
        <v/>
      </c>
      <c r="AH53" t="str">
        <v/>
      </c>
      <c r="AI53" t="str">
        <v/>
      </c>
      <c r="AJ53" t="str">
        <v>17/09/2026 10:51:59</v>
      </c>
      <c r="AK53" t="str">
        <v>10:51:59</v>
      </c>
      <c r="AL53" t="str">
        <v/>
      </c>
    </row>
    <row r="54">
      <c r="A54">
        <v>53</v>
      </c>
      <c r="B54" t="str">
        <v>MASS BSF</v>
      </c>
      <c r="C54" t="str">
        <v>BXQ-847</v>
      </c>
      <c r="D54" t="str">
        <v>BXQ-847</v>
      </c>
      <c r="E54" t="str">
        <v/>
      </c>
      <c r="F54" t="str">
        <v>867162029843950</v>
      </c>
      <c r="G54" t="str">
        <v>TBD</v>
      </c>
      <c r="H54" t="str">
        <v/>
      </c>
      <c r="I54" t="str">
        <v/>
      </c>
      <c r="J54" t="str">
        <v>17/09/2026</v>
      </c>
      <c r="K54" t="str">
        <v>10:51:45</v>
      </c>
      <c r="L54">
        <v>-12.159082</v>
      </c>
      <c r="M54">
        <v>-76.98866</v>
      </c>
      <c r="N54">
        <f>HYPERLINK("https://www.google.com/maps/search/?api=1&amp;query=-12.159082,-76.98866","Avenida Los Próceres, Santiago de Surco, Lima")</f>
      </c>
      <c r="O54" t="str">
        <v>Vehículo apagado</v>
      </c>
      <c r="P54">
        <v>718022.1</v>
      </c>
      <c r="Q54" t="str">
        <v/>
      </c>
      <c r="R54">
        <v>0</v>
      </c>
      <c r="S54">
        <v>78.77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100</v>
      </c>
      <c r="AB54" t="str">
        <v>17/09/2026</v>
      </c>
      <c r="AC54" t="str">
        <v>10:51:43</v>
      </c>
      <c r="AD54">
        <f>IF("ONLINE"="NOGPS","GPS Antiguo","En línea")</f>
      </c>
      <c r="AE54">
        <f>IF(0=0,"Sin atender", IF(0=1,"Atendida","Atendida y Reportada"))</f>
      </c>
      <c r="AF54" t="str">
        <v/>
      </c>
      <c r="AG54" t="str">
        <v/>
      </c>
      <c r="AH54" t="str">
        <v/>
      </c>
      <c r="AI54" t="str">
        <v/>
      </c>
      <c r="AJ54" t="str">
        <v>17/09/2026 10:51:57</v>
      </c>
      <c r="AK54" t="str">
        <v>10:51:57</v>
      </c>
      <c r="AL54" t="str">
        <v/>
      </c>
    </row>
    <row r="55">
      <c r="A55">
        <v>54</v>
      </c>
      <c r="B55" t="str">
        <v>MASS BSF</v>
      </c>
      <c r="C55" t="str">
        <v>BXQ-847</v>
      </c>
      <c r="D55" t="str">
        <v>BXQ-847</v>
      </c>
      <c r="E55" t="str">
        <v/>
      </c>
      <c r="F55" t="str">
        <v>867162029843950</v>
      </c>
      <c r="G55" t="str">
        <v>TBD</v>
      </c>
      <c r="H55" t="str">
        <v/>
      </c>
      <c r="I55" t="str">
        <v/>
      </c>
      <c r="J55" t="str">
        <v>17/09/2026</v>
      </c>
      <c r="K55" t="str">
        <v>11:02:18</v>
      </c>
      <c r="L55">
        <v>-12.159082</v>
      </c>
      <c r="M55">
        <v>-76.98866</v>
      </c>
      <c r="N55">
        <f>HYPERLINK("https://www.google.com/maps/search/?api=1&amp;query=-12.159082,-76.98866","Avenida Los Próceres, Santiago de Surco, Lima")</f>
      </c>
      <c r="O55" t="str">
        <v>Vehículo encendido</v>
      </c>
      <c r="P55">
        <v>718022.1</v>
      </c>
      <c r="Q55" t="str">
        <v/>
      </c>
      <c r="R55">
        <v>0</v>
      </c>
      <c r="S55">
        <v>78.77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100</v>
      </c>
      <c r="AB55" t="str">
        <v>17/09/2026</v>
      </c>
      <c r="AC55" t="str">
        <v>10:51:48</v>
      </c>
      <c r="AD55">
        <f>IF("NOGPS"="NOGPS","GPS Antiguo","En línea")</f>
      </c>
      <c r="AE55">
        <f>IF(0=0,"Sin atender", IF(0=1,"Atendida","Atendida y Reportada"))</f>
      </c>
      <c r="AF55" t="str">
        <v/>
      </c>
      <c r="AG55" t="str">
        <v/>
      </c>
      <c r="AH55" t="str">
        <v/>
      </c>
      <c r="AI55" t="str">
        <v/>
      </c>
      <c r="AJ55" t="str">
        <v>17/09/2026 11:02:32</v>
      </c>
      <c r="AK55" t="str">
        <v>11:02:32</v>
      </c>
      <c r="AL55" t="str">
        <v/>
      </c>
    </row>
    <row r="56">
      <c r="A56">
        <v>55</v>
      </c>
      <c r="B56" t="str">
        <v>MASS BSF</v>
      </c>
      <c r="C56" t="str">
        <v>BXQ-847</v>
      </c>
      <c r="D56" t="str">
        <v>BXQ-847</v>
      </c>
      <c r="E56" t="str">
        <v/>
      </c>
      <c r="F56" t="str">
        <v>867162029843950</v>
      </c>
      <c r="G56" t="str">
        <v>TBD</v>
      </c>
      <c r="H56" t="str">
        <v/>
      </c>
      <c r="I56" t="str">
        <v/>
      </c>
      <c r="J56" t="str">
        <v>17/09/2026</v>
      </c>
      <c r="K56" t="str">
        <v>11:11:00</v>
      </c>
      <c r="L56">
        <v>-12.164113</v>
      </c>
      <c r="M56">
        <v>-76.983765</v>
      </c>
      <c r="N56">
        <f>HYPERLINK("https://www.google.com/maps/search/?api=1&amp;query=-12.164113,-76.983765","Jirón Los Herrerillos, San Juan de Miraflores, Lima")</f>
      </c>
      <c r="O56" t="str">
        <v>Vehículo apagado</v>
      </c>
      <c r="P56">
        <v>718024.2</v>
      </c>
      <c r="Q56" t="str">
        <v/>
      </c>
      <c r="R56">
        <v>18.2</v>
      </c>
      <c r="S56">
        <v>78.92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100</v>
      </c>
      <c r="AB56" t="str">
        <v>17/09/2026</v>
      </c>
      <c r="AC56" t="str">
        <v>11:10:19</v>
      </c>
      <c r="AD56">
        <f>IF("ONLINE"="NOGPS","GPS Antiguo","En línea")</f>
      </c>
      <c r="AE56">
        <f>IF(0=0,"Sin atender", IF(0=1,"Atendida","Atendida y Reportada"))</f>
      </c>
      <c r="AF56" t="str">
        <v/>
      </c>
      <c r="AG56" t="str">
        <v/>
      </c>
      <c r="AH56" t="str">
        <v/>
      </c>
      <c r="AI56" t="str">
        <v/>
      </c>
      <c r="AJ56" t="str">
        <v>17/09/2026 11:11:16</v>
      </c>
      <c r="AK56" t="str">
        <v>11:11:16</v>
      </c>
      <c r="AL56" t="str">
        <v/>
      </c>
    </row>
    <row r="57">
      <c r="A57">
        <v>56</v>
      </c>
      <c r="B57" t="str">
        <v>MASS BSF</v>
      </c>
      <c r="C57" t="str">
        <v>BXQ-847</v>
      </c>
      <c r="D57" t="str">
        <v>BXQ-847</v>
      </c>
      <c r="E57" t="str">
        <v/>
      </c>
      <c r="F57" t="str">
        <v>867162029843950</v>
      </c>
      <c r="G57" t="str">
        <v>TBD</v>
      </c>
      <c r="H57" t="str">
        <v/>
      </c>
      <c r="I57" t="str">
        <v/>
      </c>
      <c r="J57" t="str">
        <v>17/09/2026</v>
      </c>
      <c r="K57" t="str">
        <v>11:11:04</v>
      </c>
      <c r="L57">
        <v>-12.165492</v>
      </c>
      <c r="M57">
        <v>-76.98417</v>
      </c>
      <c r="N57">
        <f>HYPERLINK("https://www.google.com/maps/search/?api=1&amp;query=-12.165492,-76.98417","Jirón Los Herrerillos, Santiago de Surco, Lima")</f>
      </c>
      <c r="O57" t="str">
        <v>Vehículo encendido</v>
      </c>
      <c r="P57">
        <v>718024.4</v>
      </c>
      <c r="Q57" t="str">
        <v/>
      </c>
      <c r="R57">
        <v>0</v>
      </c>
      <c r="S57">
        <v>78.92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100</v>
      </c>
      <c r="AB57" t="str">
        <v>17/09/2026</v>
      </c>
      <c r="AC57" t="str">
        <v>11:11:03</v>
      </c>
      <c r="AD57">
        <f>IF("ONLINE"="NOGPS","GPS Antiguo","En línea")</f>
      </c>
      <c r="AE57">
        <f>IF(0=0,"Sin atender", IF(0=1,"Atendida","Atendida y Reportada"))</f>
      </c>
      <c r="AF57" t="str">
        <v/>
      </c>
      <c r="AG57" t="str">
        <v/>
      </c>
      <c r="AH57" t="str">
        <v/>
      </c>
      <c r="AI57" t="str">
        <v/>
      </c>
      <c r="AJ57" t="str">
        <v>17/09/2026 11:11:23</v>
      </c>
      <c r="AK57" t="str">
        <v>11:11:23</v>
      </c>
      <c r="AL57" t="str">
        <v/>
      </c>
    </row>
    <row r="58">
      <c r="A58">
        <v>57</v>
      </c>
      <c r="B58" t="str">
        <v>MASS BSF</v>
      </c>
      <c r="C58" t="str">
        <v>BXQ-847</v>
      </c>
      <c r="D58" t="str">
        <v>BXQ-847</v>
      </c>
      <c r="E58" t="str">
        <v/>
      </c>
      <c r="F58" t="str">
        <v>867162029843950</v>
      </c>
      <c r="G58" t="str">
        <v>TBD</v>
      </c>
      <c r="H58" t="str">
        <v/>
      </c>
      <c r="I58" t="str">
        <v/>
      </c>
      <c r="J58" t="str">
        <v>17/09/2026</v>
      </c>
      <c r="K58" t="str">
        <v>11:11:06</v>
      </c>
      <c r="L58">
        <v>-12.165492</v>
      </c>
      <c r="M58">
        <v>-76.98417</v>
      </c>
      <c r="N58">
        <f>HYPERLINK("https://www.google.com/maps/search/?api=1&amp;query=-12.165492,-76.98417","Jirón Los Herrerillos, Santiago de Surco, Lima")</f>
      </c>
      <c r="O58" t="str">
        <v>Vehículo apagado</v>
      </c>
      <c r="P58">
        <v>718024.4</v>
      </c>
      <c r="Q58" t="str">
        <v/>
      </c>
      <c r="R58">
        <v>0</v>
      </c>
      <c r="S58">
        <v>78.92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100</v>
      </c>
      <c r="AB58" t="str">
        <v>17/09/2026</v>
      </c>
      <c r="AC58" t="str">
        <v>11:11:03</v>
      </c>
      <c r="AD58">
        <f>IF("ONLINE"="NOGPS","GPS Antiguo","En línea")</f>
      </c>
      <c r="AE58">
        <f>IF(0=0,"Sin atender", IF(0=1,"Atendida","Atendida y Reportada"))</f>
      </c>
      <c r="AF58" t="str">
        <v/>
      </c>
      <c r="AG58" t="str">
        <v/>
      </c>
      <c r="AH58" t="str">
        <v/>
      </c>
      <c r="AI58" t="str">
        <v/>
      </c>
      <c r="AJ58" t="str">
        <v>17/09/2026 11:11:18</v>
      </c>
      <c r="AK58" t="str">
        <v>11:11:18</v>
      </c>
      <c r="AL58" t="str">
        <v/>
      </c>
    </row>
    <row r="59">
      <c r="A59">
        <v>58</v>
      </c>
      <c r="B59" t="str">
        <v>MASS BSF</v>
      </c>
      <c r="C59" t="str">
        <v>BXQ-847</v>
      </c>
      <c r="D59" t="str">
        <v>BXQ-847</v>
      </c>
      <c r="E59" t="str">
        <v/>
      </c>
      <c r="F59" t="str">
        <v>867162029843950</v>
      </c>
      <c r="G59" t="str">
        <v>TBD</v>
      </c>
      <c r="H59" t="str">
        <v/>
      </c>
      <c r="I59" t="str">
        <v/>
      </c>
      <c r="J59" t="str">
        <v>17/09/2026</v>
      </c>
      <c r="K59" t="str">
        <v>11:25:04</v>
      </c>
      <c r="L59">
        <v>-12.165492</v>
      </c>
      <c r="M59">
        <v>-76.98417</v>
      </c>
      <c r="N59">
        <f>HYPERLINK("https://www.google.com/maps/search/?api=1&amp;query=-12.165492,-76.98417","Jirón Los Herrerillos, Santiago de Surco, Lima")</f>
      </c>
      <c r="O59" t="str">
        <v>Vehículo encendido</v>
      </c>
      <c r="P59">
        <v>718024.4</v>
      </c>
      <c r="Q59" t="str">
        <v/>
      </c>
      <c r="R59">
        <v>0</v>
      </c>
      <c r="S59">
        <v>78.92</v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>
        <v>100</v>
      </c>
      <c r="AB59" t="str">
        <v>17/09/2026</v>
      </c>
      <c r="AC59" t="str">
        <v>11:11:03</v>
      </c>
      <c r="AD59">
        <f>IF("NOGPS"="NOGPS","GPS Antiguo","En línea")</f>
      </c>
      <c r="AE59">
        <f>IF(0=0,"Sin atender", IF(0=1,"Atendida","Atendida y Reportada"))</f>
      </c>
      <c r="AF59" t="str">
        <v/>
      </c>
      <c r="AG59" t="str">
        <v/>
      </c>
      <c r="AH59" t="str">
        <v/>
      </c>
      <c r="AI59" t="str">
        <v/>
      </c>
      <c r="AJ59" t="str">
        <v>17/09/2026 11:25:20</v>
      </c>
      <c r="AK59" t="str">
        <v>11:25:20</v>
      </c>
      <c r="AL59" t="str">
        <v/>
      </c>
    </row>
    <row r="60">
      <c r="A60">
        <v>59</v>
      </c>
      <c r="B60" t="str">
        <v>MASS BSF</v>
      </c>
      <c r="C60" t="str">
        <v>BXQ-847</v>
      </c>
      <c r="D60" t="str">
        <v>BXQ-847</v>
      </c>
      <c r="E60" t="str">
        <v/>
      </c>
      <c r="F60" t="str">
        <v>867162029843950</v>
      </c>
      <c r="G60" t="str">
        <v>TBD</v>
      </c>
      <c r="H60" t="str">
        <v/>
      </c>
      <c r="I60" t="str">
        <v/>
      </c>
      <c r="J60" t="str">
        <v>17/09/2026</v>
      </c>
      <c r="K60" t="str">
        <v>11:28:04</v>
      </c>
      <c r="L60">
        <v>-12.1656</v>
      </c>
      <c r="M60">
        <v>-76.98419</v>
      </c>
      <c r="N60">
        <f>HYPERLINK("https://www.google.com/maps/search/?api=1&amp;query=-12.1656,-76.98419","Jirón Los Herrerillos, San Juan de Miraflores, Lima")</f>
      </c>
      <c r="O60" t="str">
        <v>Inicio de ralentí</v>
      </c>
      <c r="P60">
        <v>718024.4</v>
      </c>
      <c r="Q60" t="str">
        <v/>
      </c>
      <c r="R60">
        <v>0</v>
      </c>
      <c r="S60">
        <v>78.92</v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>
        <v>100</v>
      </c>
      <c r="AB60" t="str">
        <v>17/09/2026</v>
      </c>
      <c r="AC60" t="str">
        <v>11:27:04</v>
      </c>
      <c r="AD60">
        <f>IF("ONLINE"="NOGPS","GPS Antiguo","En línea")</f>
      </c>
      <c r="AE60">
        <f>IF(0=0,"Sin atender", IF(0=1,"Atendida","Atendida y Reportada"))</f>
      </c>
      <c r="AF60" t="str">
        <v/>
      </c>
      <c r="AG60" t="str">
        <v/>
      </c>
      <c r="AH60" t="str">
        <v/>
      </c>
      <c r="AI60" t="str">
        <v/>
      </c>
      <c r="AJ60" t="str">
        <v>17/09/2026 11:28:14</v>
      </c>
      <c r="AK60" t="str">
        <v>11:28:14</v>
      </c>
      <c r="AL60" t="str">
        <v/>
      </c>
    </row>
    <row r="61">
      <c r="A61">
        <v>60</v>
      </c>
      <c r="B61" t="str">
        <v>MASS BSF</v>
      </c>
      <c r="C61" t="str">
        <v>BXQ-847</v>
      </c>
      <c r="D61" t="str">
        <v>BXQ-847</v>
      </c>
      <c r="E61" t="str">
        <v/>
      </c>
      <c r="F61" t="str">
        <v>867162029843950</v>
      </c>
      <c r="G61" t="str">
        <v>TBD</v>
      </c>
      <c r="H61" t="str">
        <v/>
      </c>
      <c r="I61" t="str">
        <v/>
      </c>
      <c r="J61" t="str">
        <v>17/09/2026</v>
      </c>
      <c r="K61" t="str">
        <v>11:31:38</v>
      </c>
      <c r="L61">
        <v>-12.165646</v>
      </c>
      <c r="M61">
        <v>-76.98412</v>
      </c>
      <c r="N61">
        <f>HYPERLINK("https://www.google.com/maps/search/?api=1&amp;query=-12.165646,-76.98412","Jirón Los Herrerillos, San Juan de Miraflores, Lima")</f>
      </c>
      <c r="O61" t="str">
        <v>Fin de ralentí</v>
      </c>
      <c r="P61">
        <v>718024.4</v>
      </c>
      <c r="Q61" t="str">
        <v/>
      </c>
      <c r="R61">
        <v>9.4</v>
      </c>
      <c r="S61">
        <v>78.92</v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>
        <v>100</v>
      </c>
      <c r="AB61" t="str">
        <v>17/09/2026</v>
      </c>
      <c r="AC61" t="str">
        <v>11:31:22</v>
      </c>
      <c r="AD61">
        <f>IF("ONLINE"="NOGPS","GPS Antiguo","En línea")</f>
      </c>
      <c r="AE61">
        <f>IF(0=0,"Sin atender", IF(0=1,"Atendida","Atendida y Reportada"))</f>
      </c>
      <c r="AF61" t="str">
        <v/>
      </c>
      <c r="AG61" t="str">
        <v/>
      </c>
      <c r="AH61" t="str">
        <v/>
      </c>
      <c r="AI61" t="str">
        <v/>
      </c>
      <c r="AJ61" t="str">
        <v>17/09/2026 11:31:54</v>
      </c>
      <c r="AK61" t="str">
        <v>11:31:54</v>
      </c>
      <c r="AL61" t="str">
        <v/>
      </c>
    </row>
    <row r="62">
      <c r="A62">
        <v>61</v>
      </c>
      <c r="B62" t="str">
        <v>MASS BSF</v>
      </c>
      <c r="C62" t="str">
        <v>BXQ-847</v>
      </c>
      <c r="D62" t="str">
        <v>BXQ-847</v>
      </c>
      <c r="E62" t="str">
        <v/>
      </c>
      <c r="F62" t="str">
        <v>867162029843950</v>
      </c>
      <c r="G62" t="str">
        <v>TBD</v>
      </c>
      <c r="H62" t="str">
        <v/>
      </c>
      <c r="I62" t="str">
        <v/>
      </c>
      <c r="J62" t="str">
        <v>17/09/2026</v>
      </c>
      <c r="K62" t="str">
        <v>11:59:23</v>
      </c>
      <c r="L62">
        <v>-12.293021</v>
      </c>
      <c r="M62">
        <v>-76.86292</v>
      </c>
      <c r="N62">
        <f>HYPERLINK("https://www.google.com/maps/search/?api=1&amp;query=-12.293021,-76.86292","Carretera Panamericana Sur, Lurín, Lima")</f>
      </c>
      <c r="O62" t="str">
        <v>Excedió el límite de velocidad</v>
      </c>
      <c r="P62">
        <v>718046.7</v>
      </c>
      <c r="Q62" t="str">
        <v/>
      </c>
      <c r="R62">
        <v>82.7</v>
      </c>
      <c r="S62">
        <v>78.92</v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>
        <v>100</v>
      </c>
      <c r="AB62" t="str">
        <v>17/09/2026</v>
      </c>
      <c r="AC62" t="str">
        <v>11:59:22</v>
      </c>
      <c r="AD62">
        <f>IF("ONLINE"="NOGPS","GPS Antiguo","En línea")</f>
      </c>
      <c r="AE62">
        <f>IF(0=0,"Sin atender", IF(0=1,"Atendida","Atendida y Reportada"))</f>
      </c>
      <c r="AF62" t="str">
        <v/>
      </c>
      <c r="AG62" t="str">
        <v/>
      </c>
      <c r="AH62" t="str">
        <v/>
      </c>
      <c r="AI62" t="str">
        <v/>
      </c>
      <c r="AJ62" t="str">
        <v>17/09/2026 11:59:40</v>
      </c>
      <c r="AK62" t="str">
        <v>11:59:40</v>
      </c>
      <c r="AL62" t="str">
        <v/>
      </c>
    </row>
    <row r="63">
      <c r="A63">
        <v>62</v>
      </c>
      <c r="B63" t="str">
        <v>MASS BSF</v>
      </c>
      <c r="C63" t="str">
        <v>BXQ-847</v>
      </c>
      <c r="D63" t="str">
        <v>BXQ-847</v>
      </c>
      <c r="E63" t="str">
        <v/>
      </c>
      <c r="F63" t="str">
        <v>867162029843950</v>
      </c>
      <c r="G63" t="str">
        <v>TBD</v>
      </c>
      <c r="H63" t="str">
        <v/>
      </c>
      <c r="I63" t="str">
        <v/>
      </c>
      <c r="J63" t="str">
        <v>17/09/2026</v>
      </c>
      <c r="K63" t="str">
        <v>12:03:17</v>
      </c>
      <c r="L63">
        <v>-12.319963</v>
      </c>
      <c r="M63">
        <v>-76.828964</v>
      </c>
      <c r="N63">
        <f>HYPERLINK("https://www.google.com/maps/search/?api=1&amp;query=-12.319963,-76.828964","Carretera Panamericana Sur, Punta Hermosa, Lima")</f>
      </c>
      <c r="O63" t="str">
        <v>Excedió el límite de velocidad</v>
      </c>
      <c r="P63">
        <v>718051.6</v>
      </c>
      <c r="Q63" t="str">
        <v/>
      </c>
      <c r="R63">
        <v>87</v>
      </c>
      <c r="S63">
        <v>78.92</v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>
        <v>100</v>
      </c>
      <c r="AB63" t="str">
        <v>17/09/2026</v>
      </c>
      <c r="AC63" t="str">
        <v>12:03:16</v>
      </c>
      <c r="AD63">
        <f>IF("ONLINE"="NOGPS","GPS Antiguo","En línea")</f>
      </c>
      <c r="AE63">
        <f>IF(0=0,"Sin atender", IF(0=1,"Atendida","Atendida y Reportada"))</f>
      </c>
      <c r="AF63" t="str">
        <v/>
      </c>
      <c r="AG63" t="str">
        <v/>
      </c>
      <c r="AH63" t="str">
        <v/>
      </c>
      <c r="AI63" t="str">
        <v/>
      </c>
      <c r="AJ63" t="str">
        <v>17/09/2026 12:04:36</v>
      </c>
      <c r="AK63" t="str">
        <v>12:04:36</v>
      </c>
      <c r="AL63" t="str">
        <v/>
      </c>
    </row>
    <row r="64">
      <c r="A64">
        <v>63</v>
      </c>
      <c r="B64" t="str">
        <v>MASS BSF</v>
      </c>
      <c r="C64" t="str">
        <v>BXQ-847</v>
      </c>
      <c r="D64" t="str">
        <v>BXQ-847</v>
      </c>
      <c r="E64" t="str">
        <v/>
      </c>
      <c r="F64" t="str">
        <v>867162029843950</v>
      </c>
      <c r="G64" t="str">
        <v>TBD</v>
      </c>
      <c r="H64" t="str">
        <v/>
      </c>
      <c r="I64" t="str">
        <v/>
      </c>
      <c r="J64" t="str">
        <v>17/09/2026</v>
      </c>
      <c r="K64" t="str">
        <v>12:07:20</v>
      </c>
      <c r="L64">
        <v>-12.327517</v>
      </c>
      <c r="M64">
        <v>-76.82377</v>
      </c>
      <c r="N64">
        <f>HYPERLINK("https://www.google.com/maps/search/?api=1&amp;query=-12.327517,-76.82377","Carretera Panamericana Sur, Punta Hermosa, Lima")</f>
      </c>
      <c r="O64" t="str">
        <v>Excedió el límite de velocidad</v>
      </c>
      <c r="P64">
        <v>718055</v>
      </c>
      <c r="Q64" t="str">
        <v/>
      </c>
      <c r="R64">
        <v>81.1</v>
      </c>
      <c r="S64">
        <v>78.92</v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>
        <v>100</v>
      </c>
      <c r="AB64" t="str">
        <v>17/09/2026</v>
      </c>
      <c r="AC64" t="str">
        <v>12:07:19</v>
      </c>
      <c r="AD64">
        <f>IF("ONLINE"="NOGPS","GPS Antiguo","En línea")</f>
      </c>
      <c r="AE64">
        <f>IF(0=0,"Sin atender", IF(0=1,"Atendida","Atendida y Reportada"))</f>
      </c>
      <c r="AF64" t="str">
        <v/>
      </c>
      <c r="AG64" t="str">
        <v/>
      </c>
      <c r="AH64" t="str">
        <v/>
      </c>
      <c r="AI64" t="str">
        <v/>
      </c>
      <c r="AJ64" t="str">
        <v>17/09/2026 12:07:34</v>
      </c>
      <c r="AK64" t="str">
        <v>12:07:34</v>
      </c>
      <c r="AL64" t="str">
        <v/>
      </c>
    </row>
    <row r="65">
      <c r="A65">
        <v>64</v>
      </c>
      <c r="B65" t="str">
        <v>MASS BSF</v>
      </c>
      <c r="C65" t="str">
        <v>BXQ-847</v>
      </c>
      <c r="D65" t="str">
        <v>BXQ-847</v>
      </c>
      <c r="E65" t="str">
        <v/>
      </c>
      <c r="F65" t="str">
        <v>867162029843950</v>
      </c>
      <c r="G65" t="str">
        <v>TBD</v>
      </c>
      <c r="H65" t="str">
        <v/>
      </c>
      <c r="I65" t="str">
        <v/>
      </c>
      <c r="J65" t="str">
        <v>17/09/2026</v>
      </c>
      <c r="K65" t="str">
        <v>12:15:26</v>
      </c>
      <c r="L65">
        <v>-12.317327</v>
      </c>
      <c r="M65">
        <v>-76.82291</v>
      </c>
      <c r="N65">
        <f>HYPERLINK("https://www.google.com/maps/search/?api=1&amp;query=-12.317327,-76.82291","Punta Hermosa, Lima")</f>
      </c>
      <c r="O65" t="str">
        <v>Vehículo apagado</v>
      </c>
      <c r="P65">
        <v>718057.3</v>
      </c>
      <c r="Q65" t="str">
        <v/>
      </c>
      <c r="R65">
        <v>0</v>
      </c>
      <c r="S65">
        <v>79.75</v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>
        <v>100</v>
      </c>
      <c r="AB65" t="str">
        <v>17/09/2026</v>
      </c>
      <c r="AC65" t="str">
        <v>12:15:04</v>
      </c>
      <c r="AD65">
        <f>IF("ONLINE"="NOGPS","GPS Antiguo","En línea")</f>
      </c>
      <c r="AE65">
        <f>IF(0=0,"Sin atender", IF(0=1,"Atendida","Atendida y Reportada"))</f>
      </c>
      <c r="AF65" t="str">
        <v/>
      </c>
      <c r="AG65" t="str">
        <v/>
      </c>
      <c r="AH65" t="str">
        <v/>
      </c>
      <c r="AI65" t="str">
        <v/>
      </c>
      <c r="AJ65" t="str">
        <v>17/09/2026 12:15:39</v>
      </c>
      <c r="AK65" t="str">
        <v>12:15:39</v>
      </c>
      <c r="AL65" t="str">
        <v/>
      </c>
    </row>
    <row r="66">
      <c r="A66">
        <v>65</v>
      </c>
      <c r="B66" t="str">
        <v>MASS BSF</v>
      </c>
      <c r="C66" t="str">
        <v>BXQ-847</v>
      </c>
      <c r="D66" t="str">
        <v>BXQ-847</v>
      </c>
      <c r="E66" t="str">
        <v/>
      </c>
      <c r="F66" t="str">
        <v>867162029843950</v>
      </c>
      <c r="G66" t="str">
        <v>TBD</v>
      </c>
      <c r="H66" t="str">
        <v/>
      </c>
      <c r="I66" t="str">
        <v/>
      </c>
      <c r="J66" t="str">
        <v>17/09/2026</v>
      </c>
      <c r="K66" t="str">
        <v>12:36:34</v>
      </c>
      <c r="L66">
        <v>-12.317334</v>
      </c>
      <c r="M66">
        <v>-76.82291</v>
      </c>
      <c r="N66">
        <f>HYPERLINK("https://www.google.com/maps/search/?api=1&amp;query=-12.317334,-76.82291","Punta Hermosa, Lima")</f>
      </c>
      <c r="O66" t="str">
        <v>Vehículo encendido</v>
      </c>
      <c r="P66">
        <v>718057.3</v>
      </c>
      <c r="Q66" t="str">
        <v/>
      </c>
      <c r="R66">
        <v>0</v>
      </c>
      <c r="S66">
        <v>79.75</v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>
        <v>100</v>
      </c>
      <c r="AB66" t="str">
        <v>17/09/2026</v>
      </c>
      <c r="AC66" t="str">
        <v>12:15:30</v>
      </c>
      <c r="AD66">
        <f>IF("NOGPS"="NOGPS","GPS Antiguo","En línea")</f>
      </c>
      <c r="AE66">
        <f>IF(0=0,"Sin atender", IF(0=1,"Atendida","Atendida y Reportada"))</f>
      </c>
      <c r="AF66" t="str">
        <v/>
      </c>
      <c r="AG66" t="str">
        <v/>
      </c>
      <c r="AH66" t="str">
        <v/>
      </c>
      <c r="AI66" t="str">
        <v/>
      </c>
      <c r="AJ66" t="str">
        <v>17/09/2026 12:36:42</v>
      </c>
      <c r="AK66" t="str">
        <v>12:36:42</v>
      </c>
      <c r="AL66" t="str">
        <v/>
      </c>
    </row>
    <row r="67">
      <c r="A67">
        <v>66</v>
      </c>
      <c r="B67" t="str">
        <v>MASS BSF</v>
      </c>
      <c r="C67" t="str">
        <v>BXQ-847</v>
      </c>
      <c r="D67" t="str">
        <v>BXQ-847</v>
      </c>
      <c r="E67" t="str">
        <v/>
      </c>
      <c r="F67" t="str">
        <v>867162029843950</v>
      </c>
      <c r="G67" t="str">
        <v>TBD</v>
      </c>
      <c r="H67" t="str">
        <v/>
      </c>
      <c r="I67" t="str">
        <v/>
      </c>
      <c r="J67" t="str">
        <v>17/09/2026</v>
      </c>
      <c r="K67" t="str">
        <v>12:38:36</v>
      </c>
      <c r="L67">
        <v>-12.317827</v>
      </c>
      <c r="M67">
        <v>-76.82424</v>
      </c>
      <c r="N67">
        <f>HYPERLINK("https://www.google.com/maps/search/?api=1&amp;query=-12.317827,-76.82424","Punta Hermosa, Lima")</f>
      </c>
      <c r="O67" t="str">
        <v>Vehículo apagado</v>
      </c>
      <c r="P67">
        <v>718057.5</v>
      </c>
      <c r="Q67" t="str">
        <v/>
      </c>
      <c r="R67">
        <v>0</v>
      </c>
      <c r="S67">
        <v>79.78</v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>
        <v>100</v>
      </c>
      <c r="AB67" t="str">
        <v>17/09/2026</v>
      </c>
      <c r="AC67" t="str">
        <v>12:38:38</v>
      </c>
      <c r="AD67">
        <f>IF("ONLINE"="NOGPS","GPS Antiguo","En línea")</f>
      </c>
      <c r="AE67">
        <f>IF(0=0,"Sin atender", IF(0=1,"Atendida","Atendida y Reportada"))</f>
      </c>
      <c r="AF67" t="str">
        <v/>
      </c>
      <c r="AG67" t="str">
        <v/>
      </c>
      <c r="AH67" t="str">
        <v/>
      </c>
      <c r="AI67" t="str">
        <v/>
      </c>
      <c r="AJ67" t="str">
        <v>17/09/2026 12:38:53</v>
      </c>
      <c r="AK67" t="str">
        <v>12:38:53</v>
      </c>
      <c r="AL67" t="str">
        <v/>
      </c>
    </row>
    <row r="68">
      <c r="A68">
        <v>67</v>
      </c>
      <c r="B68" t="str">
        <v>MASS BSF</v>
      </c>
      <c r="C68" t="str">
        <v>BXQ-847</v>
      </c>
      <c r="D68" t="str">
        <v>BXQ-847</v>
      </c>
      <c r="E68" t="str">
        <v/>
      </c>
      <c r="F68" t="str">
        <v>867162029843950</v>
      </c>
      <c r="G68" t="str">
        <v>TBD</v>
      </c>
      <c r="H68" t="str">
        <v/>
      </c>
      <c r="I68" t="str">
        <v/>
      </c>
      <c r="J68" t="str">
        <v>17/09/2026</v>
      </c>
      <c r="K68" t="str">
        <v>14:26:03</v>
      </c>
      <c r="L68">
        <v>-12.317827</v>
      </c>
      <c r="M68">
        <v>-76.82424</v>
      </c>
      <c r="N68">
        <f>HYPERLINK("https://www.google.com/maps/search/?api=1&amp;query=-12.317827,-76.82424","Punta Hermosa, Lima")</f>
      </c>
      <c r="O68" t="str">
        <v>Vehículo encendido</v>
      </c>
      <c r="P68">
        <v>718057.5</v>
      </c>
      <c r="Q68" t="str">
        <v/>
      </c>
      <c r="R68">
        <v>0</v>
      </c>
      <c r="S68">
        <v>79.85</v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>
        <v>100</v>
      </c>
      <c r="AB68" t="str">
        <v>17/09/2026</v>
      </c>
      <c r="AC68" t="str">
        <v>14:06:06</v>
      </c>
      <c r="AD68">
        <f>IF("NOGPS"="NOGPS","GPS Antiguo","En línea")</f>
      </c>
      <c r="AE68">
        <f>IF(0=0,"Sin atender", IF(0=1,"Atendida","Atendida y Reportada"))</f>
      </c>
      <c r="AF68" t="str">
        <v/>
      </c>
      <c r="AG68" t="str">
        <v/>
      </c>
      <c r="AH68" t="str">
        <v/>
      </c>
      <c r="AI68" t="str">
        <v/>
      </c>
      <c r="AJ68" t="str">
        <v>17/09/2026 14:26:09</v>
      </c>
      <c r="AK68" t="str">
        <v>14:26:09</v>
      </c>
      <c r="AL68" t="str">
        <v/>
      </c>
    </row>
    <row r="69">
      <c r="A69">
        <v>68</v>
      </c>
      <c r="B69" t="str">
        <v>MASS BSF</v>
      </c>
      <c r="C69" t="str">
        <v>BXQ-847</v>
      </c>
      <c r="D69" t="str">
        <v>BXQ-847</v>
      </c>
      <c r="E69" t="str">
        <v/>
      </c>
      <c r="F69" t="str">
        <v>867162029843950</v>
      </c>
      <c r="G69" t="str">
        <v>TBD</v>
      </c>
      <c r="H69" t="str">
        <v/>
      </c>
      <c r="I69" t="str">
        <v/>
      </c>
      <c r="J69" t="str">
        <v>17/09/2026</v>
      </c>
      <c r="K69" t="str">
        <v>14:28:31</v>
      </c>
      <c r="L69">
        <v>-12.318026</v>
      </c>
      <c r="M69">
        <v>-76.8242</v>
      </c>
      <c r="N69">
        <f>HYPERLINK("https://www.google.com/maps/search/?api=1&amp;query=-12.318026,-76.8242","Punta Hermosa, Lima")</f>
      </c>
      <c r="O69" t="str">
        <v>Vehículo apagado</v>
      </c>
      <c r="P69">
        <v>718057.6</v>
      </c>
      <c r="Q69" t="str">
        <v/>
      </c>
      <c r="R69">
        <v>0</v>
      </c>
      <c r="S69">
        <v>79.88</v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>
        <v>100</v>
      </c>
      <c r="AB69" t="str">
        <v>17/09/2026</v>
      </c>
      <c r="AC69" t="str">
        <v>14:28:33</v>
      </c>
      <c r="AD69">
        <f>IF("ONLINE"="NOGPS","GPS Antiguo","En línea")</f>
      </c>
      <c r="AE69">
        <f>IF(0=0,"Sin atender", IF(0=1,"Atendida","Atendida y Reportada"))</f>
      </c>
      <c r="AF69" t="str">
        <v/>
      </c>
      <c r="AG69" t="str">
        <v/>
      </c>
      <c r="AH69" t="str">
        <v/>
      </c>
      <c r="AI69" t="str">
        <v/>
      </c>
      <c r="AJ69" t="str">
        <v>17/09/2026 14:28:54</v>
      </c>
      <c r="AK69" t="str">
        <v>14:28:54</v>
      </c>
      <c r="AL69" t="str">
        <v/>
      </c>
    </row>
    <row r="70">
      <c r="A70">
        <v>69</v>
      </c>
      <c r="B70" t="str">
        <v>MASS BSF</v>
      </c>
      <c r="C70" t="str">
        <v>BXQ-847</v>
      </c>
      <c r="D70" t="str">
        <v>BXQ-847</v>
      </c>
      <c r="E70" t="str">
        <v/>
      </c>
      <c r="F70" t="str">
        <v>867162029843950</v>
      </c>
      <c r="G70" t="str">
        <v>TBD</v>
      </c>
      <c r="H70" t="str">
        <v/>
      </c>
      <c r="I70" t="str">
        <v/>
      </c>
      <c r="J70" t="str">
        <v>17/09/2026</v>
      </c>
      <c r="K70" t="str">
        <v>14:32:43</v>
      </c>
      <c r="L70">
        <v>-12.318026</v>
      </c>
      <c r="M70">
        <v>-76.8242</v>
      </c>
      <c r="N70">
        <f>HYPERLINK("https://www.google.com/maps/search/?api=1&amp;query=-12.318026,-76.8242","Punta Hermosa, Lima")</f>
      </c>
      <c r="O70" t="str">
        <v>Vehículo encendido</v>
      </c>
      <c r="P70">
        <v>718057.6</v>
      </c>
      <c r="Q70" t="str">
        <v/>
      </c>
      <c r="R70">
        <v>0</v>
      </c>
      <c r="S70">
        <v>79.88</v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>
        <v>100</v>
      </c>
      <c r="AB70" t="str">
        <v>17/09/2026</v>
      </c>
      <c r="AC70" t="str">
        <v>14:28:33</v>
      </c>
      <c r="AD70">
        <f>IF("ONLINE"="NOGPS","GPS Antiguo","En línea")</f>
      </c>
      <c r="AE70">
        <f>IF(0=0,"Sin atender", IF(0=1,"Atendida","Atendida y Reportada"))</f>
      </c>
      <c r="AF70" t="str">
        <v/>
      </c>
      <c r="AG70" t="str">
        <v/>
      </c>
      <c r="AH70" t="str">
        <v/>
      </c>
      <c r="AI70" t="str">
        <v/>
      </c>
      <c r="AJ70" t="str">
        <v>17/09/2026 14:33:01</v>
      </c>
      <c r="AK70" t="str">
        <v>14:33:01</v>
      </c>
      <c r="AL70" t="str">
        <v/>
      </c>
    </row>
    <row r="71">
      <c r="A71">
        <v>70</v>
      </c>
      <c r="B71" t="str">
        <v>MASS BSF</v>
      </c>
      <c r="C71" t="str">
        <v>BXQ-847</v>
      </c>
      <c r="D71" t="str">
        <v>BXQ-847</v>
      </c>
      <c r="E71" t="str">
        <v/>
      </c>
      <c r="F71" t="str">
        <v>867162029843950</v>
      </c>
      <c r="G71" t="str">
        <v>TBD</v>
      </c>
      <c r="H71" t="str">
        <v/>
      </c>
      <c r="I71" t="str">
        <v/>
      </c>
      <c r="J71" t="str">
        <v>17/09/2026</v>
      </c>
      <c r="K71" t="str">
        <v>14:32:57</v>
      </c>
      <c r="L71">
        <v>-12.318026</v>
      </c>
      <c r="M71">
        <v>-76.8242</v>
      </c>
      <c r="N71">
        <f>HYPERLINK("https://www.google.com/maps/search/?api=1&amp;query=-12.318026,-76.8242","Punta Hermosa, Lima")</f>
      </c>
      <c r="O71" t="str">
        <v>Vehículo apagado</v>
      </c>
      <c r="P71">
        <v>718057.6</v>
      </c>
      <c r="Q71" t="str">
        <v/>
      </c>
      <c r="R71">
        <v>0</v>
      </c>
      <c r="S71">
        <v>79.88</v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>
        <v>100</v>
      </c>
      <c r="AB71" t="str">
        <v>17/09/2026</v>
      </c>
      <c r="AC71" t="str">
        <v>14:28:33</v>
      </c>
      <c r="AD71">
        <f>IF("ONLINE"="NOGPS","GPS Antiguo","En línea")</f>
      </c>
      <c r="AE71">
        <f>IF(0=0,"Sin atender", IF(0=1,"Atendida","Atendida y Reportada"))</f>
      </c>
      <c r="AF71" t="str">
        <v/>
      </c>
      <c r="AG71" t="str">
        <v/>
      </c>
      <c r="AH71" t="str">
        <v/>
      </c>
      <c r="AI71" t="str">
        <v/>
      </c>
      <c r="AJ71" t="str">
        <v>17/09/2026 14:33:20</v>
      </c>
      <c r="AK71" t="str">
        <v>14:33:20</v>
      </c>
      <c r="AL71" t="str">
        <v/>
      </c>
    </row>
    <row r="72">
      <c r="A72">
        <v>71</v>
      </c>
      <c r="B72" t="str">
        <v>MASS BSF</v>
      </c>
      <c r="C72" t="str">
        <v>BXQ-847</v>
      </c>
      <c r="D72" t="str">
        <v>BXQ-847</v>
      </c>
      <c r="E72" t="str">
        <v/>
      </c>
      <c r="F72" t="str">
        <v>867162029843950</v>
      </c>
      <c r="G72" t="str">
        <v>TBD</v>
      </c>
      <c r="H72" t="str">
        <v/>
      </c>
      <c r="I72" t="str">
        <v/>
      </c>
      <c r="J72" t="str">
        <v>17/09/2026</v>
      </c>
      <c r="K72" t="str">
        <v>14:52:09</v>
      </c>
      <c r="L72">
        <v>-12.31801</v>
      </c>
      <c r="M72">
        <v>-76.824135</v>
      </c>
      <c r="N72">
        <f>HYPERLINK("https://www.google.com/maps/search/?api=1&amp;query=-12.31801,-76.824135","Punta Hermosa, Lima")</f>
      </c>
      <c r="O72" t="str">
        <v>Vehículo encendido</v>
      </c>
      <c r="P72">
        <v>718057.6</v>
      </c>
      <c r="Q72" t="str">
        <v/>
      </c>
      <c r="R72">
        <v>0</v>
      </c>
      <c r="S72">
        <v>79.88</v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>
        <v>100</v>
      </c>
      <c r="AB72" t="str">
        <v>17/09/2026</v>
      </c>
      <c r="AC72" t="str">
        <v>14:33:03</v>
      </c>
      <c r="AD72">
        <f>IF("NOGPS"="NOGPS","GPS Antiguo","En línea")</f>
      </c>
      <c r="AE72">
        <f>IF(0=0,"Sin atender", IF(0=1,"Atendida","Atendida y Reportada"))</f>
      </c>
      <c r="AF72" t="str">
        <v/>
      </c>
      <c r="AG72" t="str">
        <v/>
      </c>
      <c r="AH72" t="str">
        <v/>
      </c>
      <c r="AI72" t="str">
        <v/>
      </c>
      <c r="AJ72" t="str">
        <v>17/09/2026 14:52:19</v>
      </c>
      <c r="AK72" t="str">
        <v>14:52:19</v>
      </c>
      <c r="AL72" t="str">
        <v/>
      </c>
    </row>
    <row r="73">
      <c r="A73">
        <v>72</v>
      </c>
      <c r="B73" t="str">
        <v>MASS BSF</v>
      </c>
      <c r="C73" t="str">
        <v>BXQ-847</v>
      </c>
      <c r="D73" t="str">
        <v>BXQ-847</v>
      </c>
      <c r="E73" t="str">
        <v/>
      </c>
      <c r="F73" t="str">
        <v>867162029843950</v>
      </c>
      <c r="G73" t="str">
        <v>TBD</v>
      </c>
      <c r="H73" t="str">
        <v/>
      </c>
      <c r="I73" t="str">
        <v/>
      </c>
      <c r="J73" t="str">
        <v>17/09/2026</v>
      </c>
      <c r="K73" t="str">
        <v>15:07:22</v>
      </c>
      <c r="L73">
        <v>-12.303928</v>
      </c>
      <c r="M73">
        <v>-76.84105</v>
      </c>
      <c r="N73">
        <f>HYPERLINK("https://www.google.com/maps/search/?api=1&amp;query=-12.303928,-76.84105","Carretera Panamericana Sur, Lurín, Lima")</f>
      </c>
      <c r="O73" t="str">
        <v>Excedió el límite de velocidad</v>
      </c>
      <c r="P73">
        <v>718060.4</v>
      </c>
      <c r="Q73" t="str">
        <v/>
      </c>
      <c r="R73">
        <v>83.3</v>
      </c>
      <c r="S73">
        <v>79.88</v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>
        <v>100</v>
      </c>
      <c r="AB73" t="str">
        <v>17/09/2026</v>
      </c>
      <c r="AC73" t="str">
        <v>15:07:21</v>
      </c>
      <c r="AD73">
        <f>IF("ONLINE"="NOGPS","GPS Antiguo","En línea")</f>
      </c>
      <c r="AE73">
        <f>IF(0=0,"Sin atender", IF(0=1,"Atendida","Atendida y Reportada"))</f>
      </c>
      <c r="AF73" t="str">
        <v/>
      </c>
      <c r="AG73" t="str">
        <v/>
      </c>
      <c r="AH73" t="str">
        <v/>
      </c>
      <c r="AI73" t="str">
        <v/>
      </c>
      <c r="AJ73" t="str">
        <v>17/09/2026 15:07:36</v>
      </c>
      <c r="AK73" t="str">
        <v>15:07:36</v>
      </c>
      <c r="AL73" t="str">
        <v/>
      </c>
    </row>
    <row r="74">
      <c r="A74">
        <v>73</v>
      </c>
      <c r="B74" t="str">
        <v>MASS BSF</v>
      </c>
      <c r="C74" t="str">
        <v>BXQ-847</v>
      </c>
      <c r="D74" t="str">
        <v>BXQ-847</v>
      </c>
      <c r="E74" t="str">
        <v/>
      </c>
      <c r="F74" t="str">
        <v>867162029843950</v>
      </c>
      <c r="G74" t="str">
        <v>TBD</v>
      </c>
      <c r="H74" t="str">
        <v/>
      </c>
      <c r="I74" t="str">
        <v/>
      </c>
      <c r="J74" t="str">
        <v>17/09/2026</v>
      </c>
      <c r="K74" t="str">
        <v>15:08:37</v>
      </c>
      <c r="L74">
        <v>-12.297877</v>
      </c>
      <c r="M74">
        <v>-76.853775</v>
      </c>
      <c r="N74">
        <f>HYPERLINK("https://www.google.com/maps/search/?api=1&amp;query=-12.297877,-76.853775","Carretera Panamericana Sur, Lurín, Lima")</f>
      </c>
      <c r="O74" t="str">
        <v>Excedió el límite de velocidad</v>
      </c>
      <c r="P74">
        <v>718061.9</v>
      </c>
      <c r="Q74" t="str">
        <v/>
      </c>
      <c r="R74">
        <v>85.5</v>
      </c>
      <c r="S74">
        <v>79.88</v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>
        <v>100</v>
      </c>
      <c r="AB74" t="str">
        <v>17/09/2026</v>
      </c>
      <c r="AC74" t="str">
        <v>15:08:36</v>
      </c>
      <c r="AD74">
        <f>IF("ONLINE"="NOGPS","GPS Antiguo","En línea")</f>
      </c>
      <c r="AE74">
        <f>IF(0=0,"Sin atender", IF(0=1,"Atendida","Atendida y Reportada"))</f>
      </c>
      <c r="AF74" t="str">
        <v/>
      </c>
      <c r="AG74" t="str">
        <v/>
      </c>
      <c r="AH74" t="str">
        <v/>
      </c>
      <c r="AI74" t="str">
        <v/>
      </c>
      <c r="AJ74" t="str">
        <v>17/09/2026 15:08:49</v>
      </c>
      <c r="AK74" t="str">
        <v>15:08:49</v>
      </c>
      <c r="AL74" t="str">
        <v/>
      </c>
    </row>
    <row r="75">
      <c r="A75">
        <v>74</v>
      </c>
      <c r="B75" t="str">
        <v>MASS BSF</v>
      </c>
      <c r="C75" t="str">
        <v>BXQ-847</v>
      </c>
      <c r="D75" t="str">
        <v>BXQ-847</v>
      </c>
      <c r="E75" t="str">
        <v/>
      </c>
      <c r="F75" t="str">
        <v>867162029843950</v>
      </c>
      <c r="G75" t="str">
        <v>TBD</v>
      </c>
      <c r="H75" t="str">
        <v/>
      </c>
      <c r="I75" t="str">
        <v/>
      </c>
      <c r="J75" t="str">
        <v>17/09/2026</v>
      </c>
      <c r="K75" t="str">
        <v>15:11:19</v>
      </c>
      <c r="L75">
        <v>-12.279295</v>
      </c>
      <c r="M75">
        <v>-76.884705</v>
      </c>
      <c r="N75">
        <f>HYPERLINK("https://www.google.com/maps/search/?api=1&amp;query=-12.279295,-76.884705","Carretera Panamericana Sur, Lurín, Lima")</f>
      </c>
      <c r="O75" t="str">
        <v>Excedió el límite de velocidad</v>
      </c>
      <c r="P75">
        <v>718065.9</v>
      </c>
      <c r="Q75" t="str">
        <v/>
      </c>
      <c r="R75">
        <v>85.6</v>
      </c>
      <c r="S75">
        <v>79.88</v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>
        <v>100</v>
      </c>
      <c r="AB75" t="str">
        <v>17/09/2026</v>
      </c>
      <c r="AC75" t="str">
        <v>15:11:18</v>
      </c>
      <c r="AD75">
        <f>IF("ONLINE"="NOGPS","GPS Antiguo","En línea")</f>
      </c>
      <c r="AE75">
        <f>IF(0=0,"Sin atender", IF(0=1,"Atendida","Atendida y Reportada"))</f>
      </c>
      <c r="AF75" t="str">
        <v/>
      </c>
      <c r="AG75" t="str">
        <v/>
      </c>
      <c r="AH75" t="str">
        <v/>
      </c>
      <c r="AI75" t="str">
        <v/>
      </c>
      <c r="AJ75" t="str">
        <v>17/09/2026 15:11:41</v>
      </c>
      <c r="AK75" t="str">
        <v>15:11:41</v>
      </c>
      <c r="AL75" t="str">
        <v/>
      </c>
    </row>
    <row r="76">
      <c r="A76">
        <v>75</v>
      </c>
      <c r="B76" t="str">
        <v>MASS BSF</v>
      </c>
      <c r="C76" t="str">
        <v>BXQ-847</v>
      </c>
      <c r="D76" t="str">
        <v>BXQ-847</v>
      </c>
      <c r="E76" t="str">
        <v/>
      </c>
      <c r="F76" t="str">
        <v>867162029843950</v>
      </c>
      <c r="G76" t="str">
        <v>TBD</v>
      </c>
      <c r="H76" t="str">
        <v/>
      </c>
      <c r="I76" t="str">
        <v/>
      </c>
      <c r="J76" t="str">
        <v>17/09/2026</v>
      </c>
      <c r="K76" t="str">
        <v>15:18:07</v>
      </c>
      <c r="L76">
        <v>-12.2388</v>
      </c>
      <c r="M76">
        <v>-76.95087</v>
      </c>
      <c r="N76">
        <f>HYPERLINK("https://www.google.com/maps/search/?api=1&amp;query=-12.2388,-76.95087","Carretera Panamericana Sur, Villa El Salvador, Lima")</f>
      </c>
      <c r="O76" t="str">
        <v>Excedió el límite de velocidad</v>
      </c>
      <c r="P76">
        <v>718074.4</v>
      </c>
      <c r="Q76" t="str">
        <v/>
      </c>
      <c r="R76">
        <v>82.8</v>
      </c>
      <c r="S76">
        <v>79.88</v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>
        <v>100</v>
      </c>
      <c r="AB76" t="str">
        <v>17/09/2026</v>
      </c>
      <c r="AC76" t="str">
        <v>15:18:06</v>
      </c>
      <c r="AD76">
        <f>IF("ONLINE"="NOGPS","GPS Antiguo","En línea")</f>
      </c>
      <c r="AE76">
        <f>IF(0=0,"Sin atender", IF(0=1,"Atendida","Atendida y Reportada"))</f>
      </c>
      <c r="AF76" t="str">
        <v/>
      </c>
      <c r="AG76" t="str">
        <v/>
      </c>
      <c r="AH76" t="str">
        <v/>
      </c>
      <c r="AI76" t="str">
        <v/>
      </c>
      <c r="AJ76" t="str">
        <v>17/09/2026 15:19:41</v>
      </c>
      <c r="AK76" t="str">
        <v>15:19:41</v>
      </c>
      <c r="AL76" t="str">
        <v/>
      </c>
    </row>
    <row r="77">
      <c r="A77">
        <v>76</v>
      </c>
      <c r="B77" t="str">
        <v>MASS BSF</v>
      </c>
      <c r="C77" t="str">
        <v>BXQ-847</v>
      </c>
      <c r="D77" t="str">
        <v>BXQ-847</v>
      </c>
      <c r="E77" t="str">
        <v/>
      </c>
      <c r="F77" t="str">
        <v>867162029843950</v>
      </c>
      <c r="G77" t="str">
        <v>TBD</v>
      </c>
      <c r="H77" t="str">
        <v/>
      </c>
      <c r="I77" t="str">
        <v/>
      </c>
      <c r="J77" t="str">
        <v>17/09/2026</v>
      </c>
      <c r="K77" t="str">
        <v>15:19:22</v>
      </c>
      <c r="L77">
        <v>-12.232416</v>
      </c>
      <c r="M77">
        <v>-76.96316</v>
      </c>
      <c r="N77">
        <f>HYPERLINK("https://www.google.com/maps/search/?api=1&amp;query=-12.232416,-76.96316","Carretera Panamericana Sur, Villa El Salvador, Lima")</f>
      </c>
      <c r="O77" t="str">
        <v>Excedió el límite de velocidad</v>
      </c>
      <c r="P77">
        <v>718075.9</v>
      </c>
      <c r="Q77" t="str">
        <v/>
      </c>
      <c r="R77">
        <v>80.5</v>
      </c>
      <c r="S77">
        <v>79.88</v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>
        <v>100</v>
      </c>
      <c r="AB77" t="str">
        <v>17/09/2026</v>
      </c>
      <c r="AC77" t="str">
        <v>15:19:21</v>
      </c>
      <c r="AD77">
        <f>IF("ONLINE"="NOGPS","GPS Antiguo","En línea")</f>
      </c>
      <c r="AE77">
        <f>IF(0=0,"Sin atender", IF(0=1,"Atendida","Atendida y Reportada"))</f>
      </c>
      <c r="AF77" t="str">
        <v/>
      </c>
      <c r="AG77" t="str">
        <v/>
      </c>
      <c r="AH77" t="str">
        <v/>
      </c>
      <c r="AI77" t="str">
        <v/>
      </c>
      <c r="AJ77" t="str">
        <v>17/09/2026 15:19:47</v>
      </c>
      <c r="AK77" t="str">
        <v>15:19:47</v>
      </c>
      <c r="AL77" t="str">
        <v/>
      </c>
    </row>
    <row r="78">
      <c r="A78">
        <v>77</v>
      </c>
      <c r="B78" t="str">
        <v>MASS BSF</v>
      </c>
      <c r="C78" t="str">
        <v>BXQ-847</v>
      </c>
      <c r="D78" t="str">
        <v>BXQ-847</v>
      </c>
      <c r="E78" t="str">
        <v/>
      </c>
      <c r="F78" t="str">
        <v>867162029843950</v>
      </c>
      <c r="G78" t="str">
        <v>TBD</v>
      </c>
      <c r="H78" t="str">
        <v/>
      </c>
      <c r="I78" t="str">
        <v/>
      </c>
      <c r="J78" t="str">
        <v>17/09/2026</v>
      </c>
      <c r="K78" t="str">
        <v>15:36:49</v>
      </c>
      <c r="L78">
        <v>-12.212888</v>
      </c>
      <c r="M78">
        <v>-76.95892</v>
      </c>
      <c r="N78">
        <f>HYPERLINK("https://www.google.com/maps/search/?api=1&amp;query=-12.212888,-76.95892","Avenida Villa del Mar, Villa El Salvador, Lima")</f>
      </c>
      <c r="O78" t="str">
        <v>Vehículo apagado</v>
      </c>
      <c r="P78">
        <v>718082.7</v>
      </c>
      <c r="Q78" t="str">
        <v/>
      </c>
      <c r="R78">
        <v>0</v>
      </c>
      <c r="S78">
        <v>80.63</v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>
        <v>100</v>
      </c>
      <c r="AB78" t="str">
        <v>17/09/2026</v>
      </c>
      <c r="AC78" t="str">
        <v>15:36:51</v>
      </c>
      <c r="AD78">
        <f>IF("ONLINE"="NOGPS","GPS Antiguo","En línea")</f>
      </c>
      <c r="AE78">
        <f>IF(0=0,"Sin atender", IF(0=1,"Atendida","Atendida y Reportada"))</f>
      </c>
      <c r="AF78" t="str">
        <v/>
      </c>
      <c r="AG78" t="str">
        <v/>
      </c>
      <c r="AH78" t="str">
        <v/>
      </c>
      <c r="AI78" t="str">
        <v/>
      </c>
      <c r="AJ78" t="str">
        <v>17/09/2026 15:37:01</v>
      </c>
      <c r="AK78" t="str">
        <v>15:37:01</v>
      </c>
      <c r="AL78" t="str">
        <v/>
      </c>
    </row>
    <row r="79">
      <c r="A79">
        <v>78</v>
      </c>
      <c r="B79" t="str">
        <v>MASS BSF</v>
      </c>
      <c r="C79" t="str">
        <v>BXQ-847</v>
      </c>
      <c r="D79" t="str">
        <v>BXQ-847</v>
      </c>
      <c r="E79" t="str">
        <v/>
      </c>
      <c r="F79" t="str">
        <v>867162029843950</v>
      </c>
      <c r="G79" t="str">
        <v>TBD</v>
      </c>
      <c r="H79" t="str">
        <v/>
      </c>
      <c r="I79" t="str">
        <v/>
      </c>
      <c r="J79" t="str">
        <v>17/09/2026</v>
      </c>
      <c r="K79" t="str">
        <v>15:36:51</v>
      </c>
      <c r="L79">
        <v>-12.212888</v>
      </c>
      <c r="M79">
        <v>-76.95892</v>
      </c>
      <c r="N79">
        <f>HYPERLINK("https://www.google.com/maps/search/?api=1&amp;query=-12.212888,-76.95892","Avenida Villa del Mar, Villa El Salvador, Lima")</f>
      </c>
      <c r="O79" t="str">
        <v>Vehículo encendido</v>
      </c>
      <c r="P79">
        <v>718082.7</v>
      </c>
      <c r="Q79" t="str">
        <v/>
      </c>
      <c r="R79">
        <v>0</v>
      </c>
      <c r="S79">
        <v>79.88</v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>
        <v>100</v>
      </c>
      <c r="AB79" t="str">
        <v>17/09/2026</v>
      </c>
      <c r="AC79" t="str">
        <v>15:36:51</v>
      </c>
      <c r="AD79">
        <f>IF("ONLINE"="NOGPS","GPS Antiguo","En línea")</f>
      </c>
      <c r="AE79">
        <f>IF(0=0,"Sin atender", IF(0=1,"Atendida","Atendida y Reportada"))</f>
      </c>
      <c r="AF79" t="str">
        <v/>
      </c>
      <c r="AG79" t="str">
        <v/>
      </c>
      <c r="AH79" t="str">
        <v/>
      </c>
      <c r="AI79" t="str">
        <v/>
      </c>
      <c r="AJ79" t="str">
        <v>17/09/2026 15:37:08</v>
      </c>
      <c r="AK79" t="str">
        <v>15:37:08</v>
      </c>
      <c r="AL79" t="str">
        <v/>
      </c>
    </row>
    <row r="80">
      <c r="A80">
        <v>79</v>
      </c>
      <c r="B80" t="str">
        <v>MASS BSF</v>
      </c>
      <c r="C80" t="str">
        <v>BXQ-847</v>
      </c>
      <c r="D80" t="str">
        <v>BXQ-847</v>
      </c>
      <c r="E80" t="str">
        <v/>
      </c>
      <c r="F80" t="str">
        <v>867162029843950</v>
      </c>
      <c r="G80" t="str">
        <v>TBD</v>
      </c>
      <c r="H80" t="str">
        <v/>
      </c>
      <c r="I80" t="str">
        <v/>
      </c>
      <c r="J80" t="str">
        <v>17/09/2026</v>
      </c>
      <c r="K80" t="str">
        <v>15:37:05</v>
      </c>
      <c r="L80">
        <v>-12.212888</v>
      </c>
      <c r="M80">
        <v>-76.95892</v>
      </c>
      <c r="N80">
        <f>HYPERLINK("https://www.google.com/maps/search/?api=1&amp;query=-12.212888,-76.95892","Avenida Villa del Mar, Villa El Salvador, Lima")</f>
      </c>
      <c r="O80" t="str">
        <v>Vehículo apagado</v>
      </c>
      <c r="P80">
        <v>718082.7</v>
      </c>
      <c r="Q80" t="str">
        <v/>
      </c>
      <c r="R80">
        <v>0</v>
      </c>
      <c r="S80">
        <v>79.88</v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>
        <v>100</v>
      </c>
      <c r="AB80" t="str">
        <v>17/09/2026</v>
      </c>
      <c r="AC80" t="str">
        <v>15:36:51</v>
      </c>
      <c r="AD80">
        <f>IF("ONLINE"="NOGPS","GPS Antiguo","En línea")</f>
      </c>
      <c r="AE80">
        <f>IF(0=0,"Sin atender", IF(0=1,"Atendida","Atendida y Reportada"))</f>
      </c>
      <c r="AF80" t="str">
        <v/>
      </c>
      <c r="AG80" t="str">
        <v/>
      </c>
      <c r="AH80" t="str">
        <v/>
      </c>
      <c r="AI80" t="str">
        <v/>
      </c>
      <c r="AJ80" t="str">
        <v>17/09/2026 15:37:22</v>
      </c>
      <c r="AK80" t="str">
        <v>15:37:22</v>
      </c>
      <c r="AL80" t="str">
        <v/>
      </c>
    </row>
  </sheetData>
  <ignoredErrors>
    <ignoredError numberStoredAsText="1" sqref="A1:AL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