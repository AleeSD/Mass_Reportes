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17/09/2026</v>
      </c>
      <c r="K2" t="str">
        <v>05:43:31</v>
      </c>
      <c r="L2">
        <v>-12.212881</v>
      </c>
      <c r="M2">
        <v>-76.958824</v>
      </c>
      <c r="N2">
        <f>HYPERLINK("https://www.google.com/maps/search/?api=1&amp;query=-12.212881,-76.958824","Avenida Villa del Mar, Villa El Salvador, Lima")</f>
      </c>
      <c r="O2" t="str">
        <v>Vehículo encendido</v>
      </c>
      <c r="P2">
        <v>1051496.2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93</v>
      </c>
      <c r="AB2" t="str">
        <v>17/09/2026</v>
      </c>
      <c r="AC2" t="str">
        <v>05:30:17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05:43:55</v>
      </c>
      <c r="AK2" t="str">
        <v>05:43:55</v>
      </c>
      <c r="AL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17/09/2026</v>
      </c>
      <c r="K3" t="str">
        <v>06:10:22</v>
      </c>
      <c r="L3">
        <v>-12.190844</v>
      </c>
      <c r="M3">
        <v>-76.93125</v>
      </c>
      <c r="N3">
        <f>HYPERLINK("https://www.google.com/maps/search/?api=1&amp;query=-12.190844,-76.93125","Avenida 27 de Diciembre, Villa María del Triunfo, Lima")</f>
      </c>
      <c r="O3" t="str">
        <v>Vehículo apagado</v>
      </c>
      <c r="P3">
        <v>1051501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17/09/2026</v>
      </c>
      <c r="AC3" t="str">
        <v>06:10:24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06:10:45</v>
      </c>
      <c r="AK3" t="str">
        <v>06:10:45</v>
      </c>
      <c r="AL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17/09/2026</v>
      </c>
      <c r="K4" t="str">
        <v>07:16:01</v>
      </c>
      <c r="L4">
        <v>-12.190844</v>
      </c>
      <c r="M4">
        <v>-76.93125</v>
      </c>
      <c r="N4">
        <f>HYPERLINK("https://www.google.com/maps/search/?api=1&amp;query=-12.190844,-76.93125","Avenida 27 de Diciembre, Villa María del Triunfo, Lima")</f>
      </c>
      <c r="O4" t="str">
        <v>Vehículo encendido</v>
      </c>
      <c r="P4">
        <v>1051501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92</v>
      </c>
      <c r="AB4" t="str">
        <v>17/09/2026</v>
      </c>
      <c r="AC4" t="str">
        <v>07:07:54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07:16:18</v>
      </c>
      <c r="AK4" t="str">
        <v>07:16:18</v>
      </c>
      <c r="AL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/>
      </c>
      <c r="J5" t="str">
        <v>17/09/2026</v>
      </c>
      <c r="K5" t="str">
        <v>07:22:01</v>
      </c>
      <c r="L5">
        <v>-12.188788</v>
      </c>
      <c r="M5">
        <v>-76.92761</v>
      </c>
      <c r="N5">
        <f>HYPERLINK("https://www.google.com/maps/search/?api=1&amp;query=-12.188788,-76.92761","Avenida 27 de Diciembre, Villa María del Triunfo, Lima")</f>
      </c>
      <c r="O5" t="str">
        <v>Vehículo apagado</v>
      </c>
      <c r="P5">
        <v>1051501.5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92</v>
      </c>
      <c r="AB5" t="str">
        <v>17/09/2026</v>
      </c>
      <c r="AC5" t="str">
        <v>07:22:03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07:22:21</v>
      </c>
      <c r="AK5" t="str">
        <v>07:22:21</v>
      </c>
      <c r="AL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/>
      </c>
      <c r="J6" t="str">
        <v>17/09/2026</v>
      </c>
      <c r="K6" t="str">
        <v>07:49:57</v>
      </c>
      <c r="L6">
        <v>-12.188788</v>
      </c>
      <c r="M6">
        <v>-76.92761</v>
      </c>
      <c r="N6">
        <f>HYPERLINK("https://www.google.com/maps/search/?api=1&amp;query=-12.188788,-76.92761","Avenida 27 de Diciembre, Villa María del Triunfo, Lima")</f>
      </c>
      <c r="O6" t="str">
        <v>Vehículo encendido</v>
      </c>
      <c r="P6">
        <v>1051501.5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92</v>
      </c>
      <c r="AB6" t="str">
        <v>17/09/2026</v>
      </c>
      <c r="AC6" t="str">
        <v>07:22:03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07:50:08</v>
      </c>
      <c r="AK6" t="str">
        <v>07:50:08</v>
      </c>
      <c r="AL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/>
      </c>
      <c r="J7" t="str">
        <v>17/09/2026</v>
      </c>
      <c r="K7" t="str">
        <v>08:03:00</v>
      </c>
      <c r="L7">
        <v>-12.169829</v>
      </c>
      <c r="M7">
        <v>-76.92888</v>
      </c>
      <c r="N7">
        <f>HYPERLINK("https://www.google.com/maps/search/?api=1&amp;query=-12.169829,-76.92888","Avenida 26 de Noviembre, Villa María del Triunfo, Lima")</f>
      </c>
      <c r="O7" t="str">
        <v>Exceso de velocidad en segmento vial</v>
      </c>
      <c r="P7">
        <v>1051506.1</v>
      </c>
      <c r="Q7" t="str">
        <v/>
      </c>
      <c r="R7">
        <v>56.4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92</v>
      </c>
      <c r="AB7" t="str">
        <v>17/09/2026</v>
      </c>
      <c r="AC7" t="str">
        <v>08:02:55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08:03:20</v>
      </c>
      <c r="AK7" t="str">
        <v>08:03:20</v>
      </c>
      <c r="AL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17/09/2026</v>
      </c>
      <c r="K8" t="str">
        <v>08:09:30</v>
      </c>
      <c r="L8">
        <v>-12.167201</v>
      </c>
      <c r="M8">
        <v>-76.91994</v>
      </c>
      <c r="N8">
        <f>HYPERLINK("https://www.google.com/maps/search/?api=1&amp;query=-12.167201,-76.91994","Jirón San Pedro, Villa María del Triunfo, Lima")</f>
      </c>
      <c r="O8" t="str">
        <v>Vehículo apagado</v>
      </c>
      <c r="P8">
        <v>1051507.1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92</v>
      </c>
      <c r="AB8" t="str">
        <v>17/09/2026</v>
      </c>
      <c r="AC8" t="str">
        <v>08:08:55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08:09:42</v>
      </c>
      <c r="AK8" t="str">
        <v>08:09:42</v>
      </c>
      <c r="AL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/>
      </c>
      <c r="J9" t="str">
        <v>17/09/2026</v>
      </c>
      <c r="K9" t="str">
        <v>08:27:15</v>
      </c>
      <c r="L9">
        <v>-12.167141</v>
      </c>
      <c r="M9">
        <v>-76.91989</v>
      </c>
      <c r="N9">
        <f>HYPERLINK("https://www.google.com/maps/search/?api=1&amp;query=-12.167141,-76.91989","Jirón San Pedro, Villa María del Triunfo, Lima")</f>
      </c>
      <c r="O9" t="str">
        <v>Vehículo encendido</v>
      </c>
      <c r="P9">
        <v>1051507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92</v>
      </c>
      <c r="AB9" t="str">
        <v>17/09/2026</v>
      </c>
      <c r="AC9" t="str">
        <v>08:09:33</v>
      </c>
      <c r="AD9">
        <f>IF("NOGPS"="NOGPS","GPS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08:27:32</v>
      </c>
      <c r="AK9" t="str">
        <v>08:27:32</v>
      </c>
      <c r="AL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17/09/2026</v>
      </c>
      <c r="K10" t="str">
        <v>08:33:16</v>
      </c>
      <c r="L10">
        <v>-12.173403</v>
      </c>
      <c r="M10">
        <v>-76.93387</v>
      </c>
      <c r="N10">
        <f>HYPERLINK("https://www.google.com/maps/search/?api=1&amp;query=-12.173403,-76.93387","Avenida 26 de Noviembre, Villa María del Triunfo, Lima")</f>
      </c>
      <c r="O10" t="str">
        <v>Exceso de velocidad en segmento vial</v>
      </c>
      <c r="P10">
        <v>1051509.6</v>
      </c>
      <c r="Q10" t="str">
        <v/>
      </c>
      <c r="R10">
        <v>56.3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92</v>
      </c>
      <c r="AB10" t="str">
        <v>17/09/2026</v>
      </c>
      <c r="AC10" t="str">
        <v>08:33:11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08:33:39</v>
      </c>
      <c r="AK10" t="str">
        <v>08:33:39</v>
      </c>
      <c r="AL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17/09/2026</v>
      </c>
      <c r="K11" t="str">
        <v>08:46:06</v>
      </c>
      <c r="L11">
        <v>-12.210982</v>
      </c>
      <c r="M11">
        <v>-76.92471</v>
      </c>
      <c r="N11">
        <f>HYPERLINK("https://www.google.com/maps/search/?api=1&amp;query=-12.210982,-76.92471","Avenida Pachacútec, Villa María del Triunfo, Lima")</f>
      </c>
      <c r="O11" t="str">
        <v>Frenado Brusco</v>
      </c>
      <c r="P11">
        <v>1051514.8</v>
      </c>
      <c r="Q11" t="str">
        <v/>
      </c>
      <c r="R11">
        <v>19.2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92</v>
      </c>
      <c r="AB11" t="str">
        <v>17/09/2026</v>
      </c>
      <c r="AC11" t="str">
        <v>08:46:05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08:46:25</v>
      </c>
      <c r="AK11" t="str">
        <v>08:46:25</v>
      </c>
      <c r="AL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/>
      </c>
      <c r="J12" t="str">
        <v>17/09/2026</v>
      </c>
      <c r="K12" t="str">
        <v>08:47:16</v>
      </c>
      <c r="L12">
        <v>-12.219194</v>
      </c>
      <c r="M12">
        <v>-76.92123</v>
      </c>
      <c r="N12">
        <f>HYPERLINK("https://www.google.com/maps/search/?api=1&amp;query=-12.219194,-76.92123","Avenida Pachacútec, Villa El Salvador, Lima")</f>
      </c>
      <c r="O12" t="str">
        <v>Exceso de velocidad en segmento vial</v>
      </c>
      <c r="P12">
        <v>1051515.9</v>
      </c>
      <c r="Q12" t="str">
        <v/>
      </c>
      <c r="R12">
        <v>63.1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92</v>
      </c>
      <c r="AB12" t="str">
        <v>17/09/2026</v>
      </c>
      <c r="AC12" t="str">
        <v>08:47:11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08:47:30</v>
      </c>
      <c r="AK12" t="str">
        <v>08:47:30</v>
      </c>
      <c r="AL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17/09/2026</v>
      </c>
      <c r="K13" t="str">
        <v>09:05:21</v>
      </c>
      <c r="L13">
        <v>-12.283375</v>
      </c>
      <c r="M13">
        <v>-76.87833</v>
      </c>
      <c r="N13">
        <f>HYPERLINK("https://www.google.com/maps/search/?api=1&amp;query=-12.283375,-76.87833","Carretera Panamericana Sur, Lurín, Lima")</f>
      </c>
      <c r="O13" t="str">
        <v>Excedió el límite de velocidad</v>
      </c>
      <c r="P13">
        <v>1051529.1</v>
      </c>
      <c r="Q13" t="str">
        <v/>
      </c>
      <c r="R13">
        <v>84.1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92</v>
      </c>
      <c r="AB13" t="str">
        <v>17/09/2026</v>
      </c>
      <c r="AC13" t="str">
        <v>09:05:20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09:08:56</v>
      </c>
      <c r="AK13" t="str">
        <v>09:08:56</v>
      </c>
      <c r="AL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/>
      </c>
      <c r="J14" t="str">
        <v>17/09/2026</v>
      </c>
      <c r="K14" t="str">
        <v>09:10:03</v>
      </c>
      <c r="L14">
        <v>-12.315265</v>
      </c>
      <c r="M14">
        <v>-76.83213</v>
      </c>
      <c r="N14">
        <f>HYPERLINK("https://www.google.com/maps/search/?api=1&amp;query=-12.315265,-76.83213","Carretera Panamericana Sur, Punta Hermosa, Lima")</f>
      </c>
      <c r="O14" t="str">
        <v>Excedió el límite de velocidad</v>
      </c>
      <c r="P14">
        <v>1051535.2</v>
      </c>
      <c r="Q14" t="str">
        <v/>
      </c>
      <c r="R14">
        <v>85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92</v>
      </c>
      <c r="AB14" t="str">
        <v>17/09/2026</v>
      </c>
      <c r="AC14" t="str">
        <v>09:10:02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09:10:20</v>
      </c>
      <c r="AK14" t="str">
        <v>09:10:20</v>
      </c>
      <c r="AL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/>
      </c>
      <c r="J15" t="str">
        <v>17/09/2026</v>
      </c>
      <c r="K15" t="str">
        <v>09:10:16</v>
      </c>
      <c r="L15">
        <v>-12.316913</v>
      </c>
      <c r="M15">
        <v>-76.83099</v>
      </c>
      <c r="N15">
        <f>HYPERLINK("https://www.google.com/maps/search/?api=1&amp;query=-12.316913,-76.83099","Carretera Panamericana Sur, Punta Hermosa, Lima")</f>
      </c>
      <c r="O15" t="str">
        <v>Exceso de velocidad en segmento vial</v>
      </c>
      <c r="P15">
        <v>1051535.6</v>
      </c>
      <c r="Q15" t="str">
        <v/>
      </c>
      <c r="R15">
        <v>90.4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92</v>
      </c>
      <c r="AB15" t="str">
        <v>17/09/2026</v>
      </c>
      <c r="AC15" t="str">
        <v>09:10:11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09:10:35</v>
      </c>
      <c r="AK15" t="str">
        <v>09:10:35</v>
      </c>
      <c r="AL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/>
      </c>
      <c r="J16" t="str">
        <v>17/09/2026</v>
      </c>
      <c r="K16" t="str">
        <v>09:11:30</v>
      </c>
      <c r="L16">
        <v>-12.33074</v>
      </c>
      <c r="M16">
        <v>-76.82177</v>
      </c>
      <c r="N16">
        <f>HYPERLINK("https://www.google.com/maps/search/?api=1&amp;query=-12.33074,-76.82177","Carretera Panamericana Sur, Punta Hermosa, Lima")</f>
      </c>
      <c r="O16" t="str">
        <v>Excedió el límite de velocidad</v>
      </c>
      <c r="P16">
        <v>1051537.4</v>
      </c>
      <c r="Q16" t="str">
        <v/>
      </c>
      <c r="R16">
        <v>86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92</v>
      </c>
      <c r="AB16" t="str">
        <v>17/09/2026</v>
      </c>
      <c r="AC16" t="str">
        <v>09:11:29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09:11:46</v>
      </c>
      <c r="AK16" t="str">
        <v>09:11:46</v>
      </c>
      <c r="AL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 xml:space="preserve"> </v>
      </c>
      <c r="J17" t="str">
        <v>17/09/2026</v>
      </c>
      <c r="K17" t="str">
        <v>09:15:30</v>
      </c>
      <c r="L17">
        <v>-12.31768</v>
      </c>
      <c r="M17">
        <v>-76.82966</v>
      </c>
      <c r="N17">
        <f>HYPERLINK("https://www.google.com/maps/search/?api=1&amp;query=-12.31768,-76.82966","Punta Hermosa, Lima")</f>
      </c>
      <c r="O17" t="str">
        <v>Llegó a la zona</v>
      </c>
      <c r="P17">
        <v>1051539.8</v>
      </c>
      <c r="Q17" t="str">
        <v>MASS BSF 1</v>
      </c>
      <c r="R17">
        <v>8.9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92</v>
      </c>
      <c r="AB17" t="str">
        <v>17/09/2026</v>
      </c>
      <c r="AC17" t="str">
        <v>09:15:29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09:15:50</v>
      </c>
      <c r="AK17" t="str">
        <v>09:15:50</v>
      </c>
      <c r="AL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/>
      </c>
      <c r="J18" t="str">
        <v>17/09/2026</v>
      </c>
      <c r="K18" t="str">
        <v>09:25:28</v>
      </c>
      <c r="L18">
        <v>-12.317359</v>
      </c>
      <c r="M18">
        <v>-76.82287</v>
      </c>
      <c r="N18">
        <f>HYPERLINK("https://www.google.com/maps/search/?api=1&amp;query=-12.317359,-76.82287","Punta Hermosa, Lima")</f>
      </c>
      <c r="O18" t="str">
        <v>Vehículo apagado</v>
      </c>
      <c r="P18">
        <v>1051541.8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92</v>
      </c>
      <c r="AB18" t="str">
        <v>17/09/2026</v>
      </c>
      <c r="AC18" t="str">
        <v>09:25:31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09:25:43</v>
      </c>
      <c r="AK18" t="str">
        <v>09:25:43</v>
      </c>
      <c r="AL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17/09/2026</v>
      </c>
      <c r="K19" t="str">
        <v>09:37:34</v>
      </c>
      <c r="L19">
        <v>-12.317359</v>
      </c>
      <c r="M19">
        <v>-76.82287</v>
      </c>
      <c r="N19">
        <f>HYPERLINK("https://www.google.com/maps/search/?api=1&amp;query=-12.317359,-76.82287","Punta Hermosa, Lima")</f>
      </c>
      <c r="O19" t="str">
        <v>Vehículo encendido</v>
      </c>
      <c r="P19">
        <v>1051541.8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92</v>
      </c>
      <c r="AB19" t="str">
        <v>17/09/2026</v>
      </c>
      <c r="AC19" t="str">
        <v>09:25:31</v>
      </c>
      <c r="AD19">
        <f>IF("NOGPS"="NOGPS","GPS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09:37:49</v>
      </c>
      <c r="AK19" t="str">
        <v>09:37:49</v>
      </c>
      <c r="AL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17/09/2026</v>
      </c>
      <c r="K20" t="str">
        <v>09:42:18</v>
      </c>
      <c r="L20">
        <v>-12.31778</v>
      </c>
      <c r="M20">
        <v>-76.82438</v>
      </c>
      <c r="N20">
        <f>HYPERLINK("https://www.google.com/maps/search/?api=1&amp;query=-12.31778,-76.82438","Punta Hermosa, Lima")</f>
      </c>
      <c r="O20" t="str">
        <v>Vehículo apagado</v>
      </c>
      <c r="P20">
        <v>1051542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92</v>
      </c>
      <c r="AB20" t="str">
        <v>17/09/2026</v>
      </c>
      <c r="AC20" t="str">
        <v>09:42:21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09:42:38</v>
      </c>
      <c r="AK20" t="str">
        <v>09:42:38</v>
      </c>
      <c r="AL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/>
      </c>
      <c r="J21" t="str">
        <v>17/09/2026</v>
      </c>
      <c r="K21" t="str">
        <v>09:47:02</v>
      </c>
      <c r="L21">
        <v>-12.31778</v>
      </c>
      <c r="M21">
        <v>-76.82438</v>
      </c>
      <c r="N21">
        <f>HYPERLINK("https://www.google.com/maps/search/?api=1&amp;query=-12.31778,-76.82438","Punta Hermosa, Lima")</f>
      </c>
      <c r="O21" t="str">
        <v>Vehículo encendido</v>
      </c>
      <c r="P21">
        <v>1051542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92</v>
      </c>
      <c r="AB21" t="str">
        <v>17/09/2026</v>
      </c>
      <c r="AC21" t="str">
        <v>09:42:21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09:47:20</v>
      </c>
      <c r="AK21" t="str">
        <v>09:47:20</v>
      </c>
      <c r="AL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/>
      </c>
      <c r="J22" t="str">
        <v>17/09/2026</v>
      </c>
      <c r="K22" t="str">
        <v>09:48:04</v>
      </c>
      <c r="L22">
        <v>-12.317857</v>
      </c>
      <c r="M22">
        <v>-76.82438</v>
      </c>
      <c r="N22">
        <f>HYPERLINK("https://www.google.com/maps/search/?api=1&amp;query=-12.317857,-76.82438","Punta Hermosa, Lima")</f>
      </c>
      <c r="O22" t="str">
        <v>Vehículo apagado</v>
      </c>
      <c r="P22">
        <v>1051542</v>
      </c>
      <c r="Q22" t="str">
        <v/>
      </c>
      <c r="R22">
        <v>3.5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92</v>
      </c>
      <c r="AB22" t="str">
        <v>17/09/2026</v>
      </c>
      <c r="AC22" t="str">
        <v>09:47:27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09:48:18</v>
      </c>
      <c r="AK22" t="str">
        <v>09:48:18</v>
      </c>
      <c r="AL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/>
      </c>
      <c r="J23" t="str">
        <v>17/09/2026</v>
      </c>
      <c r="K23" t="str">
        <v>10:05:23</v>
      </c>
      <c r="L23">
        <v>-12.317804</v>
      </c>
      <c r="M23">
        <v>-76.824356</v>
      </c>
      <c r="N23">
        <f>HYPERLINK("https://www.google.com/maps/search/?api=1&amp;query=-12.317804,-76.824356","Punta Hermosa, Lima")</f>
      </c>
      <c r="O23" t="str">
        <v>Vehículo encendido</v>
      </c>
      <c r="P23">
        <v>1051542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92</v>
      </c>
      <c r="AB23" t="str">
        <v>17/09/2026</v>
      </c>
      <c r="AC23" t="str">
        <v>09:48:08</v>
      </c>
      <c r="AD23">
        <f>IF("NOGPS"="NOGPS","GPS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10:05:28</v>
      </c>
      <c r="AK23" t="str">
        <v>10:05:28</v>
      </c>
      <c r="AL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/>
      </c>
      <c r="J24" t="str">
        <v>17/09/2026</v>
      </c>
      <c r="K24" t="str">
        <v>10:09:13</v>
      </c>
      <c r="L24">
        <v>-12.317572</v>
      </c>
      <c r="M24">
        <v>-76.82457</v>
      </c>
      <c r="N24">
        <f>HYPERLINK("https://www.google.com/maps/search/?api=1&amp;query=-12.317572,-76.82457","Punta Hermosa, Lima")</f>
      </c>
      <c r="O24" t="str">
        <v>Vehículo apagado</v>
      </c>
      <c r="P24">
        <v>1051542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92</v>
      </c>
      <c r="AB24" t="str">
        <v>17/09/2026</v>
      </c>
      <c r="AC24" t="str">
        <v>10:09:16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10:09:25</v>
      </c>
      <c r="AK24" t="str">
        <v>10:09:25</v>
      </c>
      <c r="AL24" t="str">
        <v/>
      </c>
    </row>
    <row r="25">
      <c r="A25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/>
      </c>
      <c r="J25" t="str">
        <v>17/09/2026</v>
      </c>
      <c r="K25" t="str">
        <v>10:42:52</v>
      </c>
      <c r="L25">
        <v>-12.317572</v>
      </c>
      <c r="M25">
        <v>-76.82457</v>
      </c>
      <c r="N25">
        <f>HYPERLINK("https://www.google.com/maps/search/?api=1&amp;query=-12.317572,-76.82457","Punta Hermosa, Lima")</f>
      </c>
      <c r="O25" t="str">
        <v>Vehículo encendido</v>
      </c>
      <c r="P25">
        <v>1051542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92</v>
      </c>
      <c r="AB25" t="str">
        <v>17/09/2026</v>
      </c>
      <c r="AC25" t="str">
        <v>10:36:56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10:43:03</v>
      </c>
      <c r="AK25" t="str">
        <v>10:43:03</v>
      </c>
      <c r="AL25" t="str">
        <v/>
      </c>
    </row>
    <row r="26">
      <c r="A26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 xml:space="preserve"> </v>
      </c>
      <c r="J26" t="str">
        <v>17/09/2026</v>
      </c>
      <c r="K26" t="str">
        <v>10:49:57</v>
      </c>
      <c r="L26">
        <v>-12.317521</v>
      </c>
      <c r="M26">
        <v>-76.82988</v>
      </c>
      <c r="N26">
        <f>HYPERLINK("https://www.google.com/maps/search/?api=1&amp;query=-12.317521,-76.82988","Punta Hermosa, Lima")</f>
      </c>
      <c r="O26" t="str">
        <v>Salió de zona</v>
      </c>
      <c r="P26">
        <v>1051542.8</v>
      </c>
      <c r="Q26" t="str">
        <v>MASS BSF 1</v>
      </c>
      <c r="R26">
        <v>14.4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92</v>
      </c>
      <c r="AB26" t="str">
        <v>17/09/2026</v>
      </c>
      <c r="AC26" t="str">
        <v>10:49:56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10:50:07</v>
      </c>
      <c r="AK26" t="str">
        <v>10:50:07</v>
      </c>
      <c r="AL26" t="str">
        <v/>
      </c>
    </row>
    <row r="27">
      <c r="A27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/>
      </c>
      <c r="J27" t="str">
        <v>17/09/2026</v>
      </c>
      <c r="K27" t="str">
        <v>10:58:03</v>
      </c>
      <c r="L27">
        <v>-12.270678</v>
      </c>
      <c r="M27">
        <v>-76.89831</v>
      </c>
      <c r="N27">
        <f>HYPERLINK("https://www.google.com/maps/search/?api=1&amp;query=-12.270678,-76.89831","Carretera Panamericana Sur, Lurín, Lima")</f>
      </c>
      <c r="O27" t="str">
        <v>Excedió el límite de velocidad</v>
      </c>
      <c r="P27">
        <v>1051552.1</v>
      </c>
      <c r="Q27" t="str">
        <v/>
      </c>
      <c r="R27">
        <v>83.1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92</v>
      </c>
      <c r="AB27" t="str">
        <v>17/09/2026</v>
      </c>
      <c r="AC27" t="str">
        <v>10:58:02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10:58:09</v>
      </c>
      <c r="AK27" t="str">
        <v>10:58:09</v>
      </c>
      <c r="AL27" t="str">
        <v/>
      </c>
    </row>
    <row r="28">
      <c r="A28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/>
      </c>
      <c r="J28" t="str">
        <v>17/09/2026</v>
      </c>
      <c r="K28" t="str">
        <v>11:19:18</v>
      </c>
      <c r="L28">
        <v>-12.221006</v>
      </c>
      <c r="M28">
        <v>-76.93175</v>
      </c>
      <c r="N28">
        <f>HYPERLINK("https://www.google.com/maps/search/?api=1&amp;query=-12.221006,-76.93175","Avenida José Carlos Mariátegui, Villa El Salvador, Lima")</f>
      </c>
      <c r="O28" t="str">
        <v>Vehículo apagado</v>
      </c>
      <c r="P28">
        <v>1051561.6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92</v>
      </c>
      <c r="AB28" t="str">
        <v>17/09/2026</v>
      </c>
      <c r="AC28" t="str">
        <v>11:18:48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11:19:25</v>
      </c>
      <c r="AK28" t="str">
        <v>11:19:25</v>
      </c>
      <c r="AL28" t="str">
        <v/>
      </c>
    </row>
    <row r="29">
      <c r="A29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/>
      </c>
      <c r="J29" t="str">
        <v>17/09/2026</v>
      </c>
      <c r="K29" t="str">
        <v>11:47:22</v>
      </c>
      <c r="L29">
        <v>-12.220931</v>
      </c>
      <c r="M29">
        <v>-76.93182</v>
      </c>
      <c r="N29">
        <f>HYPERLINK("https://www.google.com/maps/search/?api=1&amp;query=-12.220931,-76.93182","Avenida José Carlos Mariátegui, Villa El Salvador, Lima")</f>
      </c>
      <c r="O29" t="str">
        <v>Vehículo encendido</v>
      </c>
      <c r="P29">
        <v>1051561.6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92</v>
      </c>
      <c r="AB29" t="str">
        <v>17/09/2026</v>
      </c>
      <c r="AC29" t="str">
        <v>11:47:26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11:47:48</v>
      </c>
      <c r="AK29" t="str">
        <v>11:47:48</v>
      </c>
      <c r="AL29" t="str">
        <v/>
      </c>
    </row>
    <row r="30">
      <c r="A30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/>
      </c>
      <c r="J30" t="str">
        <v>17/09/2026</v>
      </c>
      <c r="K30" t="str">
        <v>11:53:27</v>
      </c>
      <c r="L30">
        <v>-12.215196</v>
      </c>
      <c r="M30">
        <v>-76.94023</v>
      </c>
      <c r="N30">
        <f>HYPERLINK("https://www.google.com/maps/search/?api=1&amp;query=-12.215196,-76.94023","Avenida César Vallejo, Villa El Salvador, Lima")</f>
      </c>
      <c r="O30" t="str">
        <v>Exceso de velocidad en segmento vial</v>
      </c>
      <c r="P30">
        <v>1051563.1</v>
      </c>
      <c r="Q30" t="str">
        <v/>
      </c>
      <c r="R30">
        <v>43.7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92</v>
      </c>
      <c r="AB30" t="str">
        <v>17/09/2026</v>
      </c>
      <c r="AC30" t="str">
        <v>11:53:21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11:53:38</v>
      </c>
      <c r="AK30" t="str">
        <v>11:53:38</v>
      </c>
      <c r="AL30" t="str">
        <v/>
      </c>
    </row>
    <row r="31">
      <c r="A31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/>
      </c>
      <c r="J31" t="str">
        <v>17/09/2026</v>
      </c>
      <c r="K31" t="str">
        <v>11:56:01</v>
      </c>
      <c r="L31">
        <v>-12.211154</v>
      </c>
      <c r="M31">
        <v>-76.94436</v>
      </c>
      <c r="N31">
        <f>HYPERLINK("https://www.google.com/maps/search/?api=1&amp;query=-12.211154,-76.94436","Avenida Juan Velasco Alvarado, Villa El Salvador, Lima")</f>
      </c>
      <c r="O31" t="str">
        <v>Vehículo apagado</v>
      </c>
      <c r="P31">
        <v>1051563.8</v>
      </c>
      <c r="Q31" t="str">
        <v/>
      </c>
      <c r="R31">
        <v>10.5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92</v>
      </c>
      <c r="AB31" t="str">
        <v>17/09/2026</v>
      </c>
      <c r="AC31" t="str">
        <v>11:55:51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11:56:20</v>
      </c>
      <c r="AK31" t="str">
        <v>11:56:20</v>
      </c>
      <c r="AL31" t="str">
        <v/>
      </c>
    </row>
    <row r="32">
      <c r="A32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/>
      </c>
      <c r="J32" t="str">
        <v>17/09/2026</v>
      </c>
      <c r="K32" t="str">
        <v>12:18:27</v>
      </c>
      <c r="L32">
        <v>-12.211099</v>
      </c>
      <c r="M32">
        <v>-76.94428</v>
      </c>
      <c r="N32">
        <f>HYPERLINK("https://www.google.com/maps/search/?api=1&amp;query=-12.211099,-76.94428","Avenida Juan Velasco Alvarado, Villa El Salvador, Lima")</f>
      </c>
      <c r="O32" t="str">
        <v>Vehículo encendido</v>
      </c>
      <c r="P32">
        <v>1051563.8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90</v>
      </c>
      <c r="AB32" t="str">
        <v>17/09/2026</v>
      </c>
      <c r="AC32" t="str">
        <v>11:56:02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12:20:37</v>
      </c>
      <c r="AK32" t="str">
        <v>12:20:37</v>
      </c>
      <c r="AL32" t="str">
        <v/>
      </c>
    </row>
    <row r="33">
      <c r="A33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/>
      </c>
      <c r="J33" t="str">
        <v>17/09/2026</v>
      </c>
      <c r="K33" t="str">
        <v>12:21:33</v>
      </c>
      <c r="L33">
        <v>-12.212728</v>
      </c>
      <c r="M33">
        <v>-76.94369</v>
      </c>
      <c r="N33">
        <f>HYPERLINK("https://www.google.com/maps/search/?api=1&amp;query=-12.212728,-76.94369","Avenida Micaela Bastidas, Villa El Salvador, Lima")</f>
      </c>
      <c r="O33" t="str">
        <v>Exceso de velocidad en segmento vial</v>
      </c>
      <c r="P33">
        <v>1051564.4</v>
      </c>
      <c r="Q33" t="str">
        <v/>
      </c>
      <c r="R33">
        <v>52.7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17/09/2026</v>
      </c>
      <c r="AC33" t="str">
        <v>12:21:24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12:21:53</v>
      </c>
      <c r="AK33" t="str">
        <v>12:21:53</v>
      </c>
      <c r="AL33" t="str">
        <v/>
      </c>
    </row>
    <row r="34">
      <c r="A34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/>
      </c>
      <c r="J34" t="str">
        <v>17/09/2026</v>
      </c>
      <c r="K34" t="str">
        <v>12:23:30</v>
      </c>
      <c r="L34">
        <v>-12.221009</v>
      </c>
      <c r="M34">
        <v>-76.93868</v>
      </c>
      <c r="N34">
        <f>HYPERLINK("https://www.google.com/maps/search/?api=1&amp;query=-12.221009,-76.93868","Avenida Micaela Bastidas, Villa El Salvador, Lima")</f>
      </c>
      <c r="O34" t="str">
        <v>Frenado Brusco</v>
      </c>
      <c r="P34">
        <v>1051565.4</v>
      </c>
      <c r="Q34" t="str">
        <v/>
      </c>
      <c r="R34">
        <v>8.6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17/09/2026</v>
      </c>
      <c r="AC34" t="str">
        <v>12:23:27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12:24:09</v>
      </c>
      <c r="AK34" t="str">
        <v>12:24:09</v>
      </c>
      <c r="AL34" t="str">
        <v/>
      </c>
    </row>
    <row r="35">
      <c r="A35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/>
      </c>
      <c r="J35" t="str">
        <v>17/09/2026</v>
      </c>
      <c r="K35" t="str">
        <v>12:27:28</v>
      </c>
      <c r="L35">
        <v>-12.236356</v>
      </c>
      <c r="M35">
        <v>-76.93181</v>
      </c>
      <c r="N35">
        <f>HYPERLINK("https://www.google.com/maps/search/?api=1&amp;query=-12.236356,-76.93181","Avenida Prolongación Mariano Pastor Sevilla, Villa El Salvador, Lima")</f>
      </c>
      <c r="O35" t="str">
        <v>Exceso de velocidad en segmento vial</v>
      </c>
      <c r="P35">
        <v>1051567.8</v>
      </c>
      <c r="Q35" t="str">
        <v/>
      </c>
      <c r="R35">
        <v>61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17/09/2026</v>
      </c>
      <c r="AC35" t="str">
        <v>12:27:24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12:27:53</v>
      </c>
      <c r="AK35" t="str">
        <v>12:27:53</v>
      </c>
      <c r="AL35" t="str">
        <v/>
      </c>
    </row>
    <row r="36">
      <c r="A36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/>
      </c>
      <c r="J36" t="str">
        <v>17/09/2026</v>
      </c>
      <c r="K36" t="str">
        <v>12:36:55</v>
      </c>
      <c r="L36">
        <v>-12.260254</v>
      </c>
      <c r="M36">
        <v>-76.9152</v>
      </c>
      <c r="N36">
        <f>HYPERLINK("https://www.google.com/maps/search/?api=1&amp;query=-12.260254,-76.9152","Carretera Panamericana Sur, Lurín, Lima")</f>
      </c>
      <c r="O36" t="str">
        <v>Excedió el límite de velocidad</v>
      </c>
      <c r="P36">
        <v>1051573.6</v>
      </c>
      <c r="Q36" t="str">
        <v/>
      </c>
      <c r="R36">
        <v>86.3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17/09/2026</v>
      </c>
      <c r="AC36" t="str">
        <v>12:36:54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12:37:13</v>
      </c>
      <c r="AK36" t="str">
        <v>12:37:13</v>
      </c>
      <c r="AL36" t="str">
        <v/>
      </c>
    </row>
    <row r="37">
      <c r="A37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/>
      </c>
      <c r="J37" t="str">
        <v>17/09/2026</v>
      </c>
      <c r="K37" t="str">
        <v>12:39:13</v>
      </c>
      <c r="L37">
        <v>-12.276344</v>
      </c>
      <c r="M37">
        <v>-76.889496</v>
      </c>
      <c r="N37">
        <f>HYPERLINK("https://www.google.com/maps/search/?api=1&amp;query=-12.276344,-76.889496","Carretera Panamericana Sur, Lurín, Lima")</f>
      </c>
      <c r="O37" t="str">
        <v>Excedió el límite de velocidad</v>
      </c>
      <c r="P37">
        <v>1051576.9</v>
      </c>
      <c r="Q37" t="str">
        <v/>
      </c>
      <c r="R37">
        <v>85.6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17/09/2026</v>
      </c>
      <c r="AC37" t="str">
        <v>12:39:12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12:39:32</v>
      </c>
      <c r="AK37" t="str">
        <v>12:39:32</v>
      </c>
      <c r="AL37" t="str">
        <v/>
      </c>
    </row>
    <row r="38">
      <c r="A38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/>
      </c>
      <c r="J38" t="str">
        <v>17/09/2026</v>
      </c>
      <c r="K38" t="str">
        <v>12:43:31</v>
      </c>
      <c r="L38">
        <v>-12.304408</v>
      </c>
      <c r="M38">
        <v>-76.84055</v>
      </c>
      <c r="N38">
        <f>HYPERLINK("https://www.google.com/maps/search/?api=1&amp;query=-12.304408,-76.84055","Carretera Panamericana Sur, Lurín, Lima")</f>
      </c>
      <c r="O38" t="str">
        <v>Exceso de velocidad en segmento vial</v>
      </c>
      <c r="P38">
        <v>1051583.1</v>
      </c>
      <c r="Q38" t="str">
        <v/>
      </c>
      <c r="R38">
        <v>81.2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17/09/2026</v>
      </c>
      <c r="AC38" t="str">
        <v>12:43:30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12:43:57</v>
      </c>
      <c r="AK38" t="str">
        <v>12:43:57</v>
      </c>
      <c r="AL38" t="str">
        <v/>
      </c>
    </row>
    <row r="39">
      <c r="A39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/>
      </c>
      <c r="J39" t="str">
        <v>17/09/2026</v>
      </c>
      <c r="K39" t="str">
        <v>12:43:37</v>
      </c>
      <c r="L39">
        <v>-12.305204</v>
      </c>
      <c r="M39">
        <v>-76.8396</v>
      </c>
      <c r="N39">
        <f>HYPERLINK("https://www.google.com/maps/search/?api=1&amp;query=-12.305204,-76.8396","Carretera Panamericana Sur, Lurín, Lima")</f>
      </c>
      <c r="O39" t="str">
        <v>Excedió el límite de velocidad</v>
      </c>
      <c r="P39">
        <v>1051583.2</v>
      </c>
      <c r="Q39" t="str">
        <v/>
      </c>
      <c r="R39">
        <v>82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17/09/2026</v>
      </c>
      <c r="AC39" t="str">
        <v>12:43:36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12:43:56</v>
      </c>
      <c r="AK39" t="str">
        <v>12:43:56</v>
      </c>
      <c r="AL39" t="str">
        <v/>
      </c>
    </row>
    <row r="40">
      <c r="A40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/>
      </c>
      <c r="J40" t="str">
        <v>17/09/2026</v>
      </c>
      <c r="K40" t="str">
        <v>12:44:55</v>
      </c>
      <c r="L40">
        <v>-12.318094</v>
      </c>
      <c r="M40">
        <v>-76.83021</v>
      </c>
      <c r="N40">
        <f>HYPERLINK("https://www.google.com/maps/search/?api=1&amp;query=-12.318094,-76.83021","Carretera Panamericana Sur, Punta Hermosa, Lima")</f>
      </c>
      <c r="O40" t="str">
        <v>Excedió el límite de velocidad</v>
      </c>
      <c r="P40">
        <v>1051585</v>
      </c>
      <c r="Q40" t="str">
        <v/>
      </c>
      <c r="R40">
        <v>81.2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17/09/2026</v>
      </c>
      <c r="AC40" t="str">
        <v>12:44:54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12:45:15</v>
      </c>
      <c r="AK40" t="str">
        <v>12:45:15</v>
      </c>
      <c r="AL40" t="str">
        <v/>
      </c>
    </row>
    <row r="41">
      <c r="A41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/>
      </c>
      <c r="J41" t="str">
        <v>17/09/2026</v>
      </c>
      <c r="K41" t="str">
        <v>12:45:25</v>
      </c>
      <c r="L41">
        <v>-12.323292</v>
      </c>
      <c r="M41">
        <v>-76.82676</v>
      </c>
      <c r="N41">
        <f>HYPERLINK("https://www.google.com/maps/search/?api=1&amp;query=-12.323292,-76.82676","Carretera Panamericana Sur, Punta Hermosa, Lima")</f>
      </c>
      <c r="O41" t="str">
        <v>Excedió el límite de velocidad</v>
      </c>
      <c r="P41">
        <v>1051585.8</v>
      </c>
      <c r="Q41" t="str">
        <v/>
      </c>
      <c r="R41">
        <v>80.2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17/09/2026</v>
      </c>
      <c r="AC41" t="str">
        <v>12:45:24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12:45:49</v>
      </c>
      <c r="AK41" t="str">
        <v>12:45:49</v>
      </c>
      <c r="AL41" t="str">
        <v/>
      </c>
    </row>
    <row r="42">
      <c r="A42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/>
      </c>
      <c r="J42" t="str">
        <v>17/09/2026</v>
      </c>
      <c r="K42" t="str">
        <v>12:45:28</v>
      </c>
      <c r="L42">
        <v>-12.323292</v>
      </c>
      <c r="M42">
        <v>-76.82676</v>
      </c>
      <c r="N42">
        <f>HYPERLINK("https://www.google.com/maps/search/?api=1&amp;query=-12.323292,-76.82676","Carretera Panamericana Sur, Punta Hermosa, Lima")</f>
      </c>
      <c r="O42" t="str">
        <v>Exceso de velocidad en segmento vial</v>
      </c>
      <c r="P42">
        <v>1051585.8</v>
      </c>
      <c r="Q42" t="str">
        <v/>
      </c>
      <c r="R42">
        <v>80.2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17/09/2026</v>
      </c>
      <c r="AC42" t="str">
        <v>12:45:24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12:45:49</v>
      </c>
      <c r="AK42" t="str">
        <v>12:45:49</v>
      </c>
      <c r="AL42" t="str">
        <v/>
      </c>
    </row>
    <row r="43">
      <c r="A43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/>
      </c>
      <c r="J43" t="str">
        <v>17/09/2026</v>
      </c>
      <c r="K43" t="str">
        <v>12:46:01</v>
      </c>
      <c r="L43">
        <v>-12.329278</v>
      </c>
      <c r="M43">
        <v>-76.82274</v>
      </c>
      <c r="N43">
        <f>HYPERLINK("https://www.google.com/maps/search/?api=1&amp;query=-12.329278,-76.82274","Carretera Panamericana Sur, Punta Hermosa, Lima")</f>
      </c>
      <c r="O43" t="str">
        <v>Excedió el límite de velocidad</v>
      </c>
      <c r="P43">
        <v>1051586.5</v>
      </c>
      <c r="Q43" t="str">
        <v/>
      </c>
      <c r="R43">
        <v>85.2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17/09/2026</v>
      </c>
      <c r="AC43" t="str">
        <v>12:46:00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12:46:10</v>
      </c>
      <c r="AK43" t="str">
        <v>12:46:10</v>
      </c>
      <c r="AL43" t="str">
        <v/>
      </c>
    </row>
    <row r="44">
      <c r="A44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/>
      </c>
      <c r="J44" t="str">
        <v>17/09/2026</v>
      </c>
      <c r="K44" t="str">
        <v>12:48:52</v>
      </c>
      <c r="L44">
        <v>-12.325696</v>
      </c>
      <c r="M44">
        <v>-76.82505</v>
      </c>
      <c r="N44">
        <f>HYPERLINK("https://www.google.com/maps/search/?api=1&amp;query=-12.325696,-76.82505","Carretera Panamericana Sur, Punta Hermosa, Lima")</f>
      </c>
      <c r="O44" t="str">
        <v>Excedió el límite de velocidad</v>
      </c>
      <c r="P44">
        <v>1051588.8</v>
      </c>
      <c r="Q44" t="str">
        <v/>
      </c>
      <c r="R44">
        <v>84.9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90</v>
      </c>
      <c r="AB44" t="str">
        <v>17/09/2026</v>
      </c>
      <c r="AC44" t="str">
        <v>12:48:51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12:49:11</v>
      </c>
      <c r="AK44" t="str">
        <v>12:49:11</v>
      </c>
      <c r="AL44" t="str">
        <v/>
      </c>
    </row>
    <row r="45">
      <c r="A45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 xml:space="preserve"> </v>
      </c>
      <c r="J45" t="str">
        <v>17/09/2026</v>
      </c>
      <c r="K45" t="str">
        <v>12:50:28</v>
      </c>
      <c r="L45">
        <v>-12.317513</v>
      </c>
      <c r="M45">
        <v>-76.829544</v>
      </c>
      <c r="N45">
        <f>HYPERLINK("https://www.google.com/maps/search/?api=1&amp;query=-12.317513,-76.829544","Punta Hermosa, Lima")</f>
      </c>
      <c r="O45" t="str">
        <v>Llegó a la zona</v>
      </c>
      <c r="P45">
        <v>1051589.9</v>
      </c>
      <c r="Q45" t="str">
        <v>MASS BSF 1</v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90</v>
      </c>
      <c r="AB45" t="str">
        <v>17/09/2026</v>
      </c>
      <c r="AC45" t="str">
        <v>12:50:24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12:50:50</v>
      </c>
      <c r="AK45" t="str">
        <v>12:50:50</v>
      </c>
      <c r="AL45" t="str">
        <v/>
      </c>
    </row>
    <row r="46">
      <c r="A46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/>
      </c>
      <c r="J46" t="str">
        <v>17/09/2026</v>
      </c>
      <c r="K46" t="str">
        <v>12:56:01</v>
      </c>
      <c r="L46">
        <v>-12.317425</v>
      </c>
      <c r="M46">
        <v>-76.82288</v>
      </c>
      <c r="N46">
        <f>HYPERLINK("https://www.google.com/maps/search/?api=1&amp;query=-12.317425,-76.82288","Punta Hermosa, Lima")</f>
      </c>
      <c r="O46" t="str">
        <v>Vehículo apagado</v>
      </c>
      <c r="P46">
        <v>1051591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90</v>
      </c>
      <c r="AB46" t="str">
        <v>17/09/2026</v>
      </c>
      <c r="AC46" t="str">
        <v>12:56:02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12:56:25</v>
      </c>
      <c r="AK46" t="str">
        <v>12:56:25</v>
      </c>
      <c r="AL46" t="str">
        <v/>
      </c>
    </row>
    <row r="47">
      <c r="A47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/>
      </c>
      <c r="J47" t="str">
        <v>17/09/2026</v>
      </c>
      <c r="K47" t="str">
        <v>13:01:42</v>
      </c>
      <c r="L47">
        <v>-12.317425</v>
      </c>
      <c r="M47">
        <v>-76.82288</v>
      </c>
      <c r="N47">
        <f>HYPERLINK("https://www.google.com/maps/search/?api=1&amp;query=-12.317425,-76.82288","Punta Hermosa, Lima")</f>
      </c>
      <c r="O47" t="str">
        <v>Vehículo encendido</v>
      </c>
      <c r="P47">
        <v>1051591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90</v>
      </c>
      <c r="AB47" t="str">
        <v>17/09/2026</v>
      </c>
      <c r="AC47" t="str">
        <v>12:56:02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13:01:53</v>
      </c>
      <c r="AK47" t="str">
        <v>13:01:53</v>
      </c>
      <c r="AL47" t="str">
        <v/>
      </c>
    </row>
    <row r="48">
      <c r="A48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/>
      </c>
      <c r="J48" t="str">
        <v>17/09/2026</v>
      </c>
      <c r="K48" t="str">
        <v>13:04:00</v>
      </c>
      <c r="L48">
        <v>-12.317858</v>
      </c>
      <c r="M48">
        <v>-76.82438</v>
      </c>
      <c r="N48">
        <f>HYPERLINK("https://www.google.com/maps/search/?api=1&amp;query=-12.317858,-76.82438","Punta Hermosa, Lima")</f>
      </c>
      <c r="O48" t="str">
        <v>Vehículo apagado</v>
      </c>
      <c r="P48">
        <v>1051591.2</v>
      </c>
      <c r="Q48" t="str">
        <v/>
      </c>
      <c r="R48">
        <v>7.5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90</v>
      </c>
      <c r="AB48" t="str">
        <v>17/09/2026</v>
      </c>
      <c r="AC48" t="str">
        <v>13:03:52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13:04:12</v>
      </c>
      <c r="AK48" t="str">
        <v>13:04:12</v>
      </c>
      <c r="AL48" t="str">
        <v/>
      </c>
    </row>
    <row r="49">
      <c r="A49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/>
      </c>
      <c r="J49" t="str">
        <v>17/09/2026</v>
      </c>
      <c r="K49" t="str">
        <v>13:21:43</v>
      </c>
      <c r="L49">
        <v>-12.317875</v>
      </c>
      <c r="M49">
        <v>-76.82437</v>
      </c>
      <c r="N49">
        <f>HYPERLINK("https://www.google.com/maps/search/?api=1&amp;query=-12.317875,-76.82437","Punta Hermosa, Lima")</f>
      </c>
      <c r="O49" t="str">
        <v>Vehículo encendido</v>
      </c>
      <c r="P49">
        <v>1051591.2</v>
      </c>
      <c r="Q49" t="str">
        <v/>
      </c>
      <c r="R49">
        <v>0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90</v>
      </c>
      <c r="AB49" t="str">
        <v>17/09/2026</v>
      </c>
      <c r="AC49" t="str">
        <v>13:04:03</v>
      </c>
      <c r="AD49">
        <f>IF("NOGPS"="NOGPS","GPS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13:21:57</v>
      </c>
      <c r="AK49" t="str">
        <v>13:21:57</v>
      </c>
      <c r="AL49" t="str">
        <v/>
      </c>
    </row>
    <row r="50">
      <c r="A50">
        <v>49</v>
      </c>
      <c r="B50" t="str">
        <v>MASS BSF</v>
      </c>
      <c r="C50" t="str">
        <v>B1Y-801</v>
      </c>
      <c r="D50" t="str">
        <v>B1Y-801</v>
      </c>
      <c r="E50" t="str">
        <v/>
      </c>
      <c r="F50" t="str">
        <v>867162025907676</v>
      </c>
      <c r="G50" t="str">
        <v>Bus pequeño</v>
      </c>
      <c r="H50" t="str">
        <v/>
      </c>
      <c r="I50" t="str">
        <v/>
      </c>
      <c r="J50" t="str">
        <v>17/09/2026</v>
      </c>
      <c r="K50" t="str">
        <v>13:21:45</v>
      </c>
      <c r="L50">
        <v>-12.317875</v>
      </c>
      <c r="M50">
        <v>-76.82437</v>
      </c>
      <c r="N50">
        <f>HYPERLINK("https://www.google.com/maps/search/?api=1&amp;query=-12.317875,-76.82437","Punta Hermosa, Lima")</f>
      </c>
      <c r="O50" t="str">
        <v>Vehículo apagado</v>
      </c>
      <c r="P50">
        <v>1051591.2</v>
      </c>
      <c r="Q50" t="str">
        <v/>
      </c>
      <c r="R50">
        <v>0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90</v>
      </c>
      <c r="AB50" t="str">
        <v>17/09/2026</v>
      </c>
      <c r="AC50" t="str">
        <v>13:04:03</v>
      </c>
      <c r="AD50">
        <f>IF("NOGPS"="NOGPS","GPS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13:22:03</v>
      </c>
      <c r="AK50" t="str">
        <v>13:22:03</v>
      </c>
      <c r="AL50" t="str">
        <v/>
      </c>
    </row>
    <row r="51">
      <c r="A51">
        <v>50</v>
      </c>
      <c r="B51" t="str">
        <v>MASS BSF</v>
      </c>
      <c r="C51" t="str">
        <v>B1Y-801</v>
      </c>
      <c r="D51" t="str">
        <v>B1Y-801</v>
      </c>
      <c r="E51" t="str">
        <v/>
      </c>
      <c r="F51" t="str">
        <v>867162025907676</v>
      </c>
      <c r="G51" t="str">
        <v>Bus pequeño</v>
      </c>
      <c r="H51" t="str">
        <v/>
      </c>
      <c r="I51" t="str">
        <v/>
      </c>
      <c r="J51" t="str">
        <v>17/09/2026</v>
      </c>
      <c r="K51" t="str">
        <v>13:21:51</v>
      </c>
      <c r="L51">
        <v>-12.317875</v>
      </c>
      <c r="M51">
        <v>-76.82437</v>
      </c>
      <c r="N51">
        <f>HYPERLINK("https://www.google.com/maps/search/?api=1&amp;query=-12.317875,-76.82437","Punta Hermosa, Lima")</f>
      </c>
      <c r="O51" t="str">
        <v>Vehículo encendido</v>
      </c>
      <c r="P51">
        <v>1051591.2</v>
      </c>
      <c r="Q51" t="str">
        <v/>
      </c>
      <c r="R51">
        <v>0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90</v>
      </c>
      <c r="AB51" t="str">
        <v>17/09/2026</v>
      </c>
      <c r="AC51" t="str">
        <v>13:04:03</v>
      </c>
      <c r="AD51">
        <f>IF("NOGPS"="NOGPS","GPS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13:22:17</v>
      </c>
      <c r="AK51" t="str">
        <v>13:22:17</v>
      </c>
      <c r="AL51" t="str">
        <v/>
      </c>
    </row>
    <row r="52">
      <c r="A52">
        <v>51</v>
      </c>
      <c r="B52" t="str">
        <v>MASS BSF</v>
      </c>
      <c r="C52" t="str">
        <v>B1Y-801</v>
      </c>
      <c r="D52" t="str">
        <v>B1Y-801</v>
      </c>
      <c r="E52" t="str">
        <v/>
      </c>
      <c r="F52" t="str">
        <v>867162025907676</v>
      </c>
      <c r="G52" t="str">
        <v>Bus pequeño</v>
      </c>
      <c r="H52" t="str">
        <v/>
      </c>
      <c r="I52" t="str">
        <v/>
      </c>
      <c r="J52" t="str">
        <v>17/09/2026</v>
      </c>
      <c r="K52" t="str">
        <v>13:21:53</v>
      </c>
      <c r="L52">
        <v>-12.317875</v>
      </c>
      <c r="M52">
        <v>-76.82437</v>
      </c>
      <c r="N52">
        <f>HYPERLINK("https://www.google.com/maps/search/?api=1&amp;query=-12.317875,-76.82437","Punta Hermosa, Lima")</f>
      </c>
      <c r="O52" t="str">
        <v>Vehículo apagado</v>
      </c>
      <c r="P52">
        <v>1051591.2</v>
      </c>
      <c r="Q52" t="str">
        <v/>
      </c>
      <c r="R52">
        <v>0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90</v>
      </c>
      <c r="AB52" t="str">
        <v>17/09/2026</v>
      </c>
      <c r="AC52" t="str">
        <v>13:04:03</v>
      </c>
      <c r="AD52">
        <f>IF("NOGPS"="NOGPS","GPS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13:22:19</v>
      </c>
      <c r="AK52" t="str">
        <v>13:22:19</v>
      </c>
      <c r="AL52" t="str">
        <v/>
      </c>
    </row>
    <row r="53">
      <c r="A53">
        <v>52</v>
      </c>
      <c r="B53" t="str">
        <v>MASS BSF</v>
      </c>
      <c r="C53" t="str">
        <v>B1Y-801</v>
      </c>
      <c r="D53" t="str">
        <v>B1Y-801</v>
      </c>
      <c r="E53" t="str">
        <v/>
      </c>
      <c r="F53" t="str">
        <v>867162025907676</v>
      </c>
      <c r="G53" t="str">
        <v>Bus pequeño</v>
      </c>
      <c r="H53" t="str">
        <v/>
      </c>
      <c r="I53" t="str">
        <v/>
      </c>
      <c r="J53" t="str">
        <v>17/09/2026</v>
      </c>
      <c r="K53" t="str">
        <v>14:01:59</v>
      </c>
      <c r="L53">
        <v>-12.317731</v>
      </c>
      <c r="M53">
        <v>-76.82422</v>
      </c>
      <c r="N53">
        <f>HYPERLINK("https://www.google.com/maps/search/?api=1&amp;query=-12.317731,-76.82422","Punta Hermosa, Lima")</f>
      </c>
      <c r="O53" t="str">
        <v>Vehículo encendido</v>
      </c>
      <c r="P53">
        <v>1051591.2</v>
      </c>
      <c r="Q53" t="str">
        <v/>
      </c>
      <c r="R53">
        <v>0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90</v>
      </c>
      <c r="AB53" t="str">
        <v>17/09/2026</v>
      </c>
      <c r="AC53" t="str">
        <v>13:49:35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14:02:29</v>
      </c>
      <c r="AK53" t="str">
        <v>14:02:29</v>
      </c>
      <c r="AL53" t="str">
        <v/>
      </c>
    </row>
    <row r="54">
      <c r="A54">
        <v>53</v>
      </c>
      <c r="B54" t="str">
        <v>MASS BSF</v>
      </c>
      <c r="C54" t="str">
        <v>B1Y-801</v>
      </c>
      <c r="D54" t="str">
        <v>B1Y-801</v>
      </c>
      <c r="E54" t="str">
        <v/>
      </c>
      <c r="F54" t="str">
        <v>867162025907676</v>
      </c>
      <c r="G54" t="str">
        <v>Bus pequeño</v>
      </c>
      <c r="H54" t="str">
        <v/>
      </c>
      <c r="I54" t="str">
        <v/>
      </c>
      <c r="J54" t="str">
        <v>17/09/2026</v>
      </c>
      <c r="K54" t="str">
        <v>14:02:09</v>
      </c>
      <c r="L54">
        <v>-12.317908</v>
      </c>
      <c r="M54">
        <v>-76.8244</v>
      </c>
      <c r="N54">
        <f>HYPERLINK("https://www.google.com/maps/search/?api=1&amp;query=-12.317908,-76.8244","Punta Hermosa, Lima")</f>
      </c>
      <c r="O54" t="str">
        <v>Vehículo apagado</v>
      </c>
      <c r="P54">
        <v>1051591.2</v>
      </c>
      <c r="Q54" t="str">
        <v/>
      </c>
      <c r="R54">
        <v>3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90</v>
      </c>
      <c r="AB54" t="str">
        <v>17/09/2026</v>
      </c>
      <c r="AC54" t="str">
        <v>14:02:05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14:02:20</v>
      </c>
      <c r="AK54" t="str">
        <v>14:02:20</v>
      </c>
      <c r="AL54" t="str">
        <v/>
      </c>
    </row>
    <row r="55">
      <c r="A55">
        <v>54</v>
      </c>
      <c r="B55" t="str">
        <v>MASS BSF</v>
      </c>
      <c r="C55" t="str">
        <v>B1Y-801</v>
      </c>
      <c r="D55" t="str">
        <v>B1Y-801</v>
      </c>
      <c r="E55" t="str">
        <v/>
      </c>
      <c r="F55" t="str">
        <v>867162025907676</v>
      </c>
      <c r="G55" t="str">
        <v>Bus pequeño</v>
      </c>
      <c r="H55" t="str">
        <v/>
      </c>
      <c r="I55" t="str">
        <v/>
      </c>
      <c r="J55" t="str">
        <v>17/09/2026</v>
      </c>
      <c r="K55" t="str">
        <v>14:06:49</v>
      </c>
      <c r="L55">
        <v>-12.317889</v>
      </c>
      <c r="M55">
        <v>-76.8243</v>
      </c>
      <c r="N55">
        <f>HYPERLINK("https://www.google.com/maps/search/?api=1&amp;query=-12.317889,-76.8243","Punta Hermosa, Lima")</f>
      </c>
      <c r="O55" t="str">
        <v>Vehículo encendido</v>
      </c>
      <c r="P55">
        <v>1051591.2</v>
      </c>
      <c r="Q55" t="str">
        <v/>
      </c>
      <c r="R55">
        <v>0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90</v>
      </c>
      <c r="AB55" t="str">
        <v>17/09/2026</v>
      </c>
      <c r="AC55" t="str">
        <v>14:02:10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14:07:11</v>
      </c>
      <c r="AK55" t="str">
        <v>14:07:11</v>
      </c>
      <c r="AL55" t="str">
        <v/>
      </c>
    </row>
    <row r="56">
      <c r="A56">
        <v>55</v>
      </c>
      <c r="B56" t="str">
        <v>MASS BSF</v>
      </c>
      <c r="C56" t="str">
        <v>B1Y-801</v>
      </c>
      <c r="D56" t="str">
        <v>B1Y-801</v>
      </c>
      <c r="E56" t="str">
        <v/>
      </c>
      <c r="F56" t="str">
        <v>867162025907676</v>
      </c>
      <c r="G56" t="str">
        <v>Bus pequeño</v>
      </c>
      <c r="H56" t="str">
        <v/>
      </c>
      <c r="I56" t="str">
        <v/>
      </c>
      <c r="J56" t="str">
        <v>17/09/2026</v>
      </c>
      <c r="K56" t="str">
        <v>14:08:29</v>
      </c>
      <c r="L56">
        <v>-12.317939</v>
      </c>
      <c r="M56">
        <v>-76.82438</v>
      </c>
      <c r="N56">
        <f>HYPERLINK("https://www.google.com/maps/search/?api=1&amp;query=-12.317939,-76.82438","Punta Hermosa, Lima")</f>
      </c>
      <c r="O56" t="str">
        <v>Vehículo apagado</v>
      </c>
      <c r="P56">
        <v>1051591.2</v>
      </c>
      <c r="Q56" t="str">
        <v/>
      </c>
      <c r="R56">
        <v>0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90</v>
      </c>
      <c r="AB56" t="str">
        <v>17/09/2026</v>
      </c>
      <c r="AC56" t="str">
        <v>14:07:49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14:08:34</v>
      </c>
      <c r="AK56" t="str">
        <v>14:08:34</v>
      </c>
      <c r="AL56" t="str">
        <v/>
      </c>
    </row>
    <row r="57">
      <c r="A57">
        <v>56</v>
      </c>
      <c r="B57" t="str">
        <v>MASS BSF</v>
      </c>
      <c r="C57" t="str">
        <v>B1Y-801</v>
      </c>
      <c r="D57" t="str">
        <v>B1Y-801</v>
      </c>
      <c r="E57" t="str">
        <v/>
      </c>
      <c r="F57" t="str">
        <v>867162025907676</v>
      </c>
      <c r="G57" t="str">
        <v>Bus pequeño</v>
      </c>
      <c r="H57" t="str">
        <v/>
      </c>
      <c r="I57" t="str">
        <v/>
      </c>
      <c r="J57" t="str">
        <v>17/09/2026</v>
      </c>
      <c r="K57" t="str">
        <v>14:21:25</v>
      </c>
      <c r="L57">
        <v>-12.317939</v>
      </c>
      <c r="M57">
        <v>-76.82438</v>
      </c>
      <c r="N57">
        <f>HYPERLINK("https://www.google.com/maps/search/?api=1&amp;query=-12.317939,-76.82438","Punta Hermosa, Lima")</f>
      </c>
      <c r="O57" t="str">
        <v>Vehículo encendido</v>
      </c>
      <c r="P57">
        <v>1051591.2</v>
      </c>
      <c r="Q57" t="str">
        <v/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90</v>
      </c>
      <c r="AB57" t="str">
        <v>17/09/2026</v>
      </c>
      <c r="AC57" t="str">
        <v>14:08:30</v>
      </c>
      <c r="AD57">
        <f>IF("NOGPS"="NOGPS","GPS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14:21:45</v>
      </c>
      <c r="AK57" t="str">
        <v>14:21:45</v>
      </c>
      <c r="AL57" t="str">
        <v/>
      </c>
    </row>
    <row r="58">
      <c r="A58">
        <v>57</v>
      </c>
      <c r="B58" t="str">
        <v>MASS BSF</v>
      </c>
      <c r="C58" t="str">
        <v>B1Y-801</v>
      </c>
      <c r="D58" t="str">
        <v>B1Y-801</v>
      </c>
      <c r="E58" t="str">
        <v/>
      </c>
      <c r="F58" t="str">
        <v>867162025907676</v>
      </c>
      <c r="G58" t="str">
        <v>Bus pequeño</v>
      </c>
      <c r="H58" t="str">
        <v/>
      </c>
      <c r="I58" t="str">
        <v/>
      </c>
      <c r="J58" t="str">
        <v>17/09/2026</v>
      </c>
      <c r="K58" t="str">
        <v>14:21:27</v>
      </c>
      <c r="L58">
        <v>-12.317939</v>
      </c>
      <c r="M58">
        <v>-76.82438</v>
      </c>
      <c r="N58">
        <f>HYPERLINK("https://www.google.com/maps/search/?api=1&amp;query=-12.317939,-76.82438","Punta Hermosa, Lima")</f>
      </c>
      <c r="O58" t="str">
        <v>Vehículo apagado</v>
      </c>
      <c r="P58">
        <v>1051591.2</v>
      </c>
      <c r="Q58" t="str">
        <v/>
      </c>
      <c r="R58">
        <v>0</v>
      </c>
      <c r="S58">
        <v>0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90</v>
      </c>
      <c r="AB58" t="str">
        <v>17/09/2026</v>
      </c>
      <c r="AC58" t="str">
        <v>14:08:30</v>
      </c>
      <c r="AD58">
        <f>IF("NOGPS"="NOGPS","GPS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14:21:46</v>
      </c>
      <c r="AK58" t="str">
        <v>14:21:46</v>
      </c>
      <c r="AL58" t="str">
        <v/>
      </c>
    </row>
    <row r="59">
      <c r="A59">
        <v>58</v>
      </c>
      <c r="B59" t="str">
        <v>MASS BSF</v>
      </c>
      <c r="C59" t="str">
        <v>B1Y-801</v>
      </c>
      <c r="D59" t="str">
        <v>B1Y-801</v>
      </c>
      <c r="E59" t="str">
        <v/>
      </c>
      <c r="F59" t="str">
        <v>867162025907676</v>
      </c>
      <c r="G59" t="str">
        <v>Bus pequeño</v>
      </c>
      <c r="H59" t="str">
        <v/>
      </c>
      <c r="I59" t="str">
        <v/>
      </c>
      <c r="J59" t="str">
        <v>17/09/2026</v>
      </c>
      <c r="K59" t="str">
        <v>14:58:21</v>
      </c>
      <c r="L59">
        <v>-12.317895</v>
      </c>
      <c r="M59">
        <v>-76.824356</v>
      </c>
      <c r="N59">
        <f>HYPERLINK("https://www.google.com/maps/search/?api=1&amp;query=-12.317895,-76.824356","Punta Hermosa, Lima")</f>
      </c>
      <c r="O59" t="str">
        <v>Vehículo encendido</v>
      </c>
      <c r="P59">
        <v>1051591.2</v>
      </c>
      <c r="Q59" t="str">
        <v/>
      </c>
      <c r="R59">
        <v>0</v>
      </c>
      <c r="S59">
        <v>0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90</v>
      </c>
      <c r="AB59" t="str">
        <v>17/09/2026</v>
      </c>
      <c r="AC59" t="str">
        <v>14:49:06</v>
      </c>
      <c r="AD59">
        <f>IF("NOGPS"="NOGPS","GPS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17/09/2026 14:58:28</v>
      </c>
      <c r="AK59" t="str">
        <v>14:58:28</v>
      </c>
      <c r="AL59" t="str">
        <v/>
      </c>
    </row>
    <row r="60">
      <c r="A60">
        <v>59</v>
      </c>
      <c r="B60" t="str">
        <v>MASS BSF</v>
      </c>
      <c r="C60" t="str">
        <v>B1Y-801</v>
      </c>
      <c r="D60" t="str">
        <v>B1Y-801</v>
      </c>
      <c r="E60" t="str">
        <v/>
      </c>
      <c r="F60" t="str">
        <v>867162025907676</v>
      </c>
      <c r="G60" t="str">
        <v>Bus pequeño</v>
      </c>
      <c r="H60" t="str">
        <v/>
      </c>
      <c r="I60" t="str">
        <v/>
      </c>
      <c r="J60" t="str">
        <v>17/09/2026</v>
      </c>
      <c r="K60" t="str">
        <v>15:03:31</v>
      </c>
      <c r="L60">
        <v>-12.318017</v>
      </c>
      <c r="M60">
        <v>-76.824196</v>
      </c>
      <c r="N60">
        <f>HYPERLINK("https://www.google.com/maps/search/?api=1&amp;query=-12.318017,-76.824196","Punta Hermosa, Lima")</f>
      </c>
      <c r="O60" t="str">
        <v>Vehículo apagado</v>
      </c>
      <c r="P60">
        <v>1051591.2</v>
      </c>
      <c r="Q60" t="str">
        <v/>
      </c>
      <c r="R60">
        <v>0</v>
      </c>
      <c r="S60">
        <v>0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90</v>
      </c>
      <c r="AB60" t="str">
        <v>17/09/2026</v>
      </c>
      <c r="AC60" t="str">
        <v>15:03:33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17/09/2026 15:03:50</v>
      </c>
      <c r="AK60" t="str">
        <v>15:03:50</v>
      </c>
      <c r="AL60" t="str">
        <v/>
      </c>
    </row>
    <row r="61">
      <c r="A61">
        <v>60</v>
      </c>
      <c r="B61" t="str">
        <v>MASS BSF</v>
      </c>
      <c r="C61" t="str">
        <v>B1Y-801</v>
      </c>
      <c r="D61" t="str">
        <v>B1Y-801</v>
      </c>
      <c r="E61" t="str">
        <v/>
      </c>
      <c r="F61" t="str">
        <v>867162025907676</v>
      </c>
      <c r="G61" t="str">
        <v>Bus pequeño</v>
      </c>
      <c r="H61" t="str">
        <v/>
      </c>
      <c r="I61" t="str">
        <v/>
      </c>
      <c r="J61" t="str">
        <v>17/09/2026</v>
      </c>
      <c r="K61" t="str">
        <v>16:21:01</v>
      </c>
      <c r="L61">
        <v>-12.318063</v>
      </c>
      <c r="M61">
        <v>-76.82435</v>
      </c>
      <c r="N61">
        <f>HYPERLINK("https://www.google.com/maps/search/?api=1&amp;query=-12.318063,-76.82435","Punta Hermosa, Lima")</f>
      </c>
      <c r="O61" t="str">
        <v>Vehículo encendido</v>
      </c>
      <c r="P61">
        <v>1051591.2</v>
      </c>
      <c r="Q61" t="str">
        <v/>
      </c>
      <c r="R61">
        <v>0</v>
      </c>
      <c r="S61">
        <v>0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90</v>
      </c>
      <c r="AB61" t="str">
        <v>17/09/2026</v>
      </c>
      <c r="AC61" t="str">
        <v>16:01:09</v>
      </c>
      <c r="AD61">
        <f>IF("NOGPS"="NOGPS","GPS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17/09/2026 16:21:16</v>
      </c>
      <c r="AK61" t="str">
        <v>16:21:16</v>
      </c>
      <c r="AL61" t="str">
        <v/>
      </c>
    </row>
    <row r="62">
      <c r="A62">
        <v>61</v>
      </c>
      <c r="B62" t="str">
        <v>MASS BSF</v>
      </c>
      <c r="C62" t="str">
        <v>B1Y-801</v>
      </c>
      <c r="D62" t="str">
        <v>B1Y-801</v>
      </c>
      <c r="E62" t="str">
        <v/>
      </c>
      <c r="F62" t="str">
        <v>867162025907676</v>
      </c>
      <c r="G62" t="str">
        <v>Bus pequeño</v>
      </c>
      <c r="H62" t="str">
        <v/>
      </c>
      <c r="I62" t="str">
        <v xml:space="preserve"> </v>
      </c>
      <c r="J62" t="str">
        <v>17/09/2026</v>
      </c>
      <c r="K62" t="str">
        <v>16:30:16</v>
      </c>
      <c r="L62">
        <v>-12.317398</v>
      </c>
      <c r="M62">
        <v>-76.83032</v>
      </c>
      <c r="N62">
        <f>HYPERLINK("https://www.google.com/maps/search/?api=1&amp;query=-12.317398,-76.83032","Carretera Panamericana Sur, Punta Hermosa, Lima")</f>
      </c>
      <c r="O62" t="str">
        <v>Salió de zona</v>
      </c>
      <c r="P62">
        <v>1051592.2</v>
      </c>
      <c r="Q62" t="str">
        <v>MASS BSF 1</v>
      </c>
      <c r="R62">
        <v>10.3</v>
      </c>
      <c r="S62">
        <v>0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90</v>
      </c>
      <c r="AB62" t="str">
        <v>17/09/2026</v>
      </c>
      <c r="AC62" t="str">
        <v>16:30:15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17/09/2026 16:30:21</v>
      </c>
      <c r="AK62" t="str">
        <v>16:30:21</v>
      </c>
      <c r="AL62" t="str">
        <v/>
      </c>
    </row>
  </sheetData>
  <ignoredErrors>
    <ignoredError numberStoredAsText="1" sqref="A1:AL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