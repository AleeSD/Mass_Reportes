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2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ARY-825</v>
      </c>
      <c r="D2" t="str">
        <v>ARY-825</v>
      </c>
      <c r="E2" t="str">
        <v/>
      </c>
      <c r="F2" t="str">
        <v>867162029858180</v>
      </c>
      <c r="G2" t="str">
        <v/>
      </c>
      <c r="H2" t="str">
        <v/>
      </c>
      <c r="I2" t="str">
        <v/>
      </c>
      <c r="J2" t="str">
        <v>17/09/2026</v>
      </c>
      <c r="K2" t="str">
        <v>05:08:20</v>
      </c>
      <c r="L2">
        <v>-12.213015</v>
      </c>
      <c r="M2">
        <v>-76.95912</v>
      </c>
      <c r="N2">
        <f>HYPERLINK("https://www.google.com/maps/search/?api=1&amp;query=-12.213015,-76.95912","Avenida Villa del Mar, Villa El Salvador, Lima")</f>
      </c>
      <c r="O2" t="str">
        <v>Vehículo encendido</v>
      </c>
      <c r="P2">
        <v>269334.1</v>
      </c>
      <c r="Q2" t="str">
        <v/>
      </c>
      <c r="R2">
        <v>0</v>
      </c>
      <c r="S2">
        <v>71.93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100</v>
      </c>
      <c r="AB2" t="str">
        <v>17/09/2026</v>
      </c>
      <c r="AC2" t="str">
        <v>05:00:04</v>
      </c>
      <c r="AD2">
        <f>IF("NOGPS"="NOGPS","GPS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17/09/2026 05:08:45</v>
      </c>
      <c r="AK2" t="str">
        <v>05:08:45</v>
      </c>
      <c r="AL2" t="str">
        <v/>
      </c>
    </row>
    <row r="3">
      <c r="A3">
        <v>2</v>
      </c>
      <c r="B3" t="str">
        <v>MASS BSF</v>
      </c>
      <c r="C3" t="str">
        <v>ARY-825</v>
      </c>
      <c r="D3" t="str">
        <v>ARY-825</v>
      </c>
      <c r="E3" t="str">
        <v/>
      </c>
      <c r="F3" t="str">
        <v>867162029858180</v>
      </c>
      <c r="G3" t="str">
        <v/>
      </c>
      <c r="H3" t="str">
        <v/>
      </c>
      <c r="I3" t="str">
        <v/>
      </c>
      <c r="J3" t="str">
        <v>17/09/2026</v>
      </c>
      <c r="K3" t="str">
        <v>05:32:38</v>
      </c>
      <c r="L3">
        <v>-12.166491</v>
      </c>
      <c r="M3">
        <v>-76.97444</v>
      </c>
      <c r="N3">
        <f>HYPERLINK("https://www.google.com/maps/search/?api=1&amp;query=-12.166491,-76.97444","Jirón Jesús Morales, San Juan de Miraflores, Lima")</f>
      </c>
      <c r="O3" t="str">
        <v>Vehículo apagado</v>
      </c>
      <c r="P3">
        <v>269341.2</v>
      </c>
      <c r="Q3" t="str">
        <v/>
      </c>
      <c r="R3">
        <v>0</v>
      </c>
      <c r="S3">
        <v>72.33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100</v>
      </c>
      <c r="AB3" t="str">
        <v>17/09/2026</v>
      </c>
      <c r="AC3" t="str">
        <v>05:32:42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17/09/2026 05:33:05</v>
      </c>
      <c r="AK3" t="str">
        <v>05:33:05</v>
      </c>
      <c r="AL3" t="str">
        <v/>
      </c>
    </row>
    <row r="4">
      <c r="A4">
        <v>3</v>
      </c>
      <c r="B4" t="str">
        <v>MASS BSF</v>
      </c>
      <c r="C4" t="str">
        <v>ARY-825</v>
      </c>
      <c r="D4" t="str">
        <v>ARY-825</v>
      </c>
      <c r="E4" t="str">
        <v/>
      </c>
      <c r="F4" t="str">
        <v>867162029858180</v>
      </c>
      <c r="G4" t="str">
        <v/>
      </c>
      <c r="H4" t="str">
        <v/>
      </c>
      <c r="I4" t="str">
        <v/>
      </c>
      <c r="J4" t="str">
        <v>17/09/2026</v>
      </c>
      <c r="K4" t="str">
        <v>07:18:46</v>
      </c>
      <c r="L4">
        <v>-12.166491</v>
      </c>
      <c r="M4">
        <v>-76.97444</v>
      </c>
      <c r="N4">
        <f>HYPERLINK("https://www.google.com/maps/search/?api=1&amp;query=-12.166491,-76.97444","Jirón Jesús Morales, San Juan de Miraflores, Lima")</f>
      </c>
      <c r="O4" t="str">
        <v>Vehículo encendido</v>
      </c>
      <c r="P4">
        <v>269341.2</v>
      </c>
      <c r="Q4" t="str">
        <v/>
      </c>
      <c r="R4">
        <v>0</v>
      </c>
      <c r="S4">
        <v>72.33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100</v>
      </c>
      <c r="AB4" t="str">
        <v>17/09/2026</v>
      </c>
      <c r="AC4" t="str">
        <v>07:00:10</v>
      </c>
      <c r="AD4">
        <f>IF("NOGPS"="NOGPS","GPS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17/09/2026 07:19:03</v>
      </c>
      <c r="AK4" t="str">
        <v>07:19:03</v>
      </c>
      <c r="AL4" t="str">
        <v/>
      </c>
    </row>
    <row r="5">
      <c r="A5">
        <v>4</v>
      </c>
      <c r="B5" t="str">
        <v>MASS BSF</v>
      </c>
      <c r="C5" t="str">
        <v>ARY-825</v>
      </c>
      <c r="D5" t="str">
        <v>ARY-825</v>
      </c>
      <c r="E5" t="str">
        <v/>
      </c>
      <c r="F5" t="str">
        <v>867162029858180</v>
      </c>
      <c r="G5" t="str">
        <v/>
      </c>
      <c r="H5" t="str">
        <v/>
      </c>
      <c r="I5" t="str">
        <v/>
      </c>
      <c r="J5" t="str">
        <v>17/09/2026</v>
      </c>
      <c r="K5" t="str">
        <v>07:28:01</v>
      </c>
      <c r="L5">
        <v>-12.170039</v>
      </c>
      <c r="M5">
        <v>-76.96187</v>
      </c>
      <c r="N5">
        <f>HYPERLINK("https://www.google.com/maps/search/?api=1&amp;query=-12.170039,-76.96187","Avenida Victor Castro Iglesias, San Juan de Miraflores, Lima")</f>
      </c>
      <c r="O5" t="str">
        <v>Vehículo apagado</v>
      </c>
      <c r="P5">
        <v>269343.2</v>
      </c>
      <c r="Q5" t="str">
        <v/>
      </c>
      <c r="R5">
        <v>0</v>
      </c>
      <c r="S5">
        <v>72.48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100</v>
      </c>
      <c r="AB5" t="str">
        <v>17/09/2026</v>
      </c>
      <c r="AC5" t="str">
        <v>07:28:05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17/09/2026 07:28:24</v>
      </c>
      <c r="AK5" t="str">
        <v>07:28:24</v>
      </c>
      <c r="AL5" t="str">
        <v/>
      </c>
    </row>
    <row r="6">
      <c r="A6">
        <v>5</v>
      </c>
      <c r="B6" t="str">
        <v>MASS BSF</v>
      </c>
      <c r="C6" t="str">
        <v>ARY-825</v>
      </c>
      <c r="D6" t="str">
        <v>ARY-825</v>
      </c>
      <c r="E6" t="str">
        <v/>
      </c>
      <c r="F6" t="str">
        <v>867162029858180</v>
      </c>
      <c r="G6" t="str">
        <v/>
      </c>
      <c r="H6" t="str">
        <v/>
      </c>
      <c r="I6" t="str">
        <v/>
      </c>
      <c r="J6" t="str">
        <v>17/09/2026</v>
      </c>
      <c r="K6" t="str">
        <v>07:41:14</v>
      </c>
      <c r="L6">
        <v>-12.170039</v>
      </c>
      <c r="M6">
        <v>-76.96187</v>
      </c>
      <c r="N6">
        <f>HYPERLINK("https://www.google.com/maps/search/?api=1&amp;query=-12.170039,-76.96187","Avenida Victor Castro Iglesias, San Juan de Miraflores, Lima")</f>
      </c>
      <c r="O6" t="str">
        <v>Vehículo encendido</v>
      </c>
      <c r="P6">
        <v>269343.2</v>
      </c>
      <c r="Q6" t="str">
        <v/>
      </c>
      <c r="R6">
        <v>0</v>
      </c>
      <c r="S6">
        <v>72.48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100</v>
      </c>
      <c r="AB6" t="str">
        <v>17/09/2026</v>
      </c>
      <c r="AC6" t="str">
        <v>07:28:05</v>
      </c>
      <c r="AD6">
        <f>IF("NOGPS"="NOGPS","GPS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17/09/2026 07:41:40</v>
      </c>
      <c r="AK6" t="str">
        <v>07:41:40</v>
      </c>
      <c r="AL6" t="str">
        <v/>
      </c>
    </row>
    <row r="7">
      <c r="A7">
        <v>6</v>
      </c>
      <c r="B7" t="str">
        <v>MASS BSF</v>
      </c>
      <c r="C7" t="str">
        <v>ARY-825</v>
      </c>
      <c r="D7" t="str">
        <v>ARY-825</v>
      </c>
      <c r="E7" t="str">
        <v/>
      </c>
      <c r="F7" t="str">
        <v>867162029858180</v>
      </c>
      <c r="G7" t="str">
        <v/>
      </c>
      <c r="H7" t="str">
        <v/>
      </c>
      <c r="I7" t="str">
        <v/>
      </c>
      <c r="J7" t="str">
        <v>17/09/2026</v>
      </c>
      <c r="K7" t="str">
        <v>07:56:26</v>
      </c>
      <c r="L7">
        <v>-12.161364</v>
      </c>
      <c r="M7">
        <v>-76.983</v>
      </c>
      <c r="N7">
        <f>HYPERLINK("https://www.google.com/maps/search/?api=1&amp;query=-12.161364,-76.983","Calle Los Girasoles, San Juan de Miraflores, Lima")</f>
      </c>
      <c r="O7" t="str">
        <v>Vehículo apagado</v>
      </c>
      <c r="P7">
        <v>269347.2</v>
      </c>
      <c r="Q7" t="str">
        <v/>
      </c>
      <c r="R7">
        <v>12.4</v>
      </c>
      <c r="S7">
        <v>72.73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100</v>
      </c>
      <c r="AB7" t="str">
        <v>17/09/2026</v>
      </c>
      <c r="AC7" t="str">
        <v>07:55:28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17/09/2026 07:56:31</v>
      </c>
      <c r="AK7" t="str">
        <v>07:56:31</v>
      </c>
      <c r="AL7" t="str">
        <v/>
      </c>
    </row>
    <row r="8">
      <c r="A8">
        <v>7</v>
      </c>
      <c r="B8" t="str">
        <v>MASS BSF</v>
      </c>
      <c r="C8" t="str">
        <v>ARY-825</v>
      </c>
      <c r="D8" t="str">
        <v>ARY-825</v>
      </c>
      <c r="E8" t="str">
        <v/>
      </c>
      <c r="F8" t="str">
        <v>867162029858180</v>
      </c>
      <c r="G8" t="str">
        <v/>
      </c>
      <c r="H8" t="str">
        <v/>
      </c>
      <c r="I8" t="str">
        <v/>
      </c>
      <c r="J8" t="str">
        <v>17/09/2026</v>
      </c>
      <c r="K8" t="str">
        <v>08:09:53</v>
      </c>
      <c r="L8">
        <v>-12.161526</v>
      </c>
      <c r="M8">
        <v>-76.98259</v>
      </c>
      <c r="N8">
        <f>HYPERLINK("https://www.google.com/maps/search/?api=1&amp;query=-12.161526,-76.98259","Calle Los Girasoles, San Juan de Miraflores, Lima")</f>
      </c>
      <c r="O8" t="str">
        <v>Vehículo encendido</v>
      </c>
      <c r="P8">
        <v>269347.3</v>
      </c>
      <c r="Q8" t="str">
        <v/>
      </c>
      <c r="R8">
        <v>0</v>
      </c>
      <c r="S8">
        <v>72.73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100</v>
      </c>
      <c r="AB8" t="str">
        <v>17/09/2026</v>
      </c>
      <c r="AC8" t="str">
        <v>07:56:30</v>
      </c>
      <c r="AD8">
        <f>IF("NOGPS"="NOGPS","GPS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17/09/2026 08:10:16</v>
      </c>
      <c r="AK8" t="str">
        <v>08:10:16</v>
      </c>
      <c r="AL8" t="str">
        <v/>
      </c>
    </row>
    <row r="9">
      <c r="A9">
        <v>8</v>
      </c>
      <c r="B9" t="str">
        <v>MASS BSF</v>
      </c>
      <c r="C9" t="str">
        <v>ARY-825</v>
      </c>
      <c r="D9" t="str">
        <v>ARY-825</v>
      </c>
      <c r="E9" t="str">
        <v/>
      </c>
      <c r="F9" t="str">
        <v>867162029858180</v>
      </c>
      <c r="G9" t="str">
        <v/>
      </c>
      <c r="H9" t="str">
        <v/>
      </c>
      <c r="I9" t="str">
        <v/>
      </c>
      <c r="J9" t="str">
        <v>17/09/2026</v>
      </c>
      <c r="K9" t="str">
        <v>08:15:04</v>
      </c>
      <c r="L9">
        <v>-12.170489</v>
      </c>
      <c r="M9">
        <v>-76.979935</v>
      </c>
      <c r="N9">
        <f>HYPERLINK("https://www.google.com/maps/search/?api=1&amp;query=-12.170489,-76.979935","Avenida El Triunfo, San Juan de Miraflores, Lima")</f>
      </c>
      <c r="O9" t="str">
        <v>Frenado y giro brusco</v>
      </c>
      <c r="P9">
        <v>269348.8</v>
      </c>
      <c r="Q9" t="str">
        <v/>
      </c>
      <c r="R9">
        <v>22.9</v>
      </c>
      <c r="S9">
        <v>72.73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100</v>
      </c>
      <c r="AB9" t="str">
        <v>17/09/2026</v>
      </c>
      <c r="AC9" t="str">
        <v>08:15:03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17/09/2026 08:15:14</v>
      </c>
      <c r="AK9" t="str">
        <v>08:15:14</v>
      </c>
      <c r="AL9" t="str">
        <v/>
      </c>
    </row>
    <row r="10">
      <c r="A10">
        <v>9</v>
      </c>
      <c r="B10" t="str">
        <v>MASS BSF</v>
      </c>
      <c r="C10" t="str">
        <v>ARY-825</v>
      </c>
      <c r="D10" t="str">
        <v>ARY-825</v>
      </c>
      <c r="E10" t="str">
        <v/>
      </c>
      <c r="F10" t="str">
        <v>867162029858180</v>
      </c>
      <c r="G10" t="str">
        <v/>
      </c>
      <c r="H10" t="str">
        <v/>
      </c>
      <c r="I10" t="str">
        <v/>
      </c>
      <c r="J10" t="str">
        <v>17/09/2026</v>
      </c>
      <c r="K10" t="str">
        <v>08:16:59</v>
      </c>
      <c r="L10">
        <v>-12.179374</v>
      </c>
      <c r="M10">
        <v>-76.97683</v>
      </c>
      <c r="N10">
        <f>HYPERLINK("https://www.google.com/maps/search/?api=1&amp;query=-12.179374,-76.97683","Avenida El Triunfo, San Juan de Miraflores, Lima")</f>
      </c>
      <c r="O10" t="str">
        <v>Exceso de velocidad en segmento vial</v>
      </c>
      <c r="P10">
        <v>269349.9</v>
      </c>
      <c r="Q10" t="str">
        <v/>
      </c>
      <c r="R10">
        <v>44.4</v>
      </c>
      <c r="S10">
        <v>72.73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100</v>
      </c>
      <c r="AB10" t="str">
        <v>17/09/2026</v>
      </c>
      <c r="AC10" t="str">
        <v>08:16:54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17/09/2026 08:17:15</v>
      </c>
      <c r="AK10" t="str">
        <v>08:17:15</v>
      </c>
      <c r="AL10" t="str">
        <v/>
      </c>
    </row>
    <row r="11">
      <c r="A11">
        <v>10</v>
      </c>
      <c r="B11" t="str">
        <v>MASS BSF</v>
      </c>
      <c r="C11" t="str">
        <v>ARY-825</v>
      </c>
      <c r="D11" t="str">
        <v>ARY-825</v>
      </c>
      <c r="E11" t="str">
        <v/>
      </c>
      <c r="F11" t="str">
        <v>867162029858180</v>
      </c>
      <c r="G11" t="str">
        <v/>
      </c>
      <c r="H11" t="str">
        <v/>
      </c>
      <c r="I11" t="str">
        <v/>
      </c>
      <c r="J11" t="str">
        <v>17/09/2026</v>
      </c>
      <c r="K11" t="str">
        <v>08:26:48</v>
      </c>
      <c r="L11">
        <v>-12.24861</v>
      </c>
      <c r="M11">
        <v>-76.93292</v>
      </c>
      <c r="N11">
        <f>HYPERLINK("https://www.google.com/maps/search/?api=1&amp;query=-12.24861,-76.93292","Carretera Panamericana Sur, Lurín, Lima")</f>
      </c>
      <c r="O11" t="str">
        <v>Excedió el límite de velocidad</v>
      </c>
      <c r="P11">
        <v>269360.3</v>
      </c>
      <c r="Q11" t="str">
        <v/>
      </c>
      <c r="R11">
        <v>82.4</v>
      </c>
      <c r="S11">
        <v>72.73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100</v>
      </c>
      <c r="AB11" t="str">
        <v>17/09/2026</v>
      </c>
      <c r="AC11" t="str">
        <v>08:26:48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17/09/2026 08:27:02</v>
      </c>
      <c r="AK11" t="str">
        <v>08:27:02</v>
      </c>
      <c r="AL11" t="str">
        <v/>
      </c>
    </row>
    <row r="12">
      <c r="A12">
        <v>11</v>
      </c>
      <c r="B12" t="str">
        <v>MASS BSF</v>
      </c>
      <c r="C12" t="str">
        <v>ARY-825</v>
      </c>
      <c r="D12" t="str">
        <v>ARY-825</v>
      </c>
      <c r="E12" t="str">
        <v/>
      </c>
      <c r="F12" t="str">
        <v>867162029858180</v>
      </c>
      <c r="G12" t="str">
        <v/>
      </c>
      <c r="H12" t="str">
        <v/>
      </c>
      <c r="I12" t="str">
        <v/>
      </c>
      <c r="J12" t="str">
        <v>17/09/2026</v>
      </c>
      <c r="K12" t="str">
        <v>08:27:57</v>
      </c>
      <c r="L12">
        <v>-12.256374</v>
      </c>
      <c r="M12">
        <v>-76.92126</v>
      </c>
      <c r="N12">
        <f>HYPERLINK("https://www.google.com/maps/search/?api=1&amp;query=-12.256374,-76.92126","Carretera Panamericana Sur, Lurín, Lima")</f>
      </c>
      <c r="O12" t="str">
        <v>Excedió el límite de velocidad</v>
      </c>
      <c r="P12">
        <v>269361.9</v>
      </c>
      <c r="Q12" t="str">
        <v/>
      </c>
      <c r="R12">
        <v>81.9</v>
      </c>
      <c r="S12">
        <v>72.73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100</v>
      </c>
      <c r="AB12" t="str">
        <v>17/09/2026</v>
      </c>
      <c r="AC12" t="str">
        <v>08:27:57</v>
      </c>
      <c r="AD12">
        <f>IF("ONLINE"="NOGPS","GPS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17/09/2026 08:28:08</v>
      </c>
      <c r="AK12" t="str">
        <v>08:28:08</v>
      </c>
      <c r="AL12" t="str">
        <v/>
      </c>
    </row>
    <row r="13">
      <c r="A13">
        <v>12</v>
      </c>
      <c r="B13" t="str">
        <v>MASS BSF</v>
      </c>
      <c r="C13" t="str">
        <v>ARY-825</v>
      </c>
      <c r="D13" t="str">
        <v>ARY-825</v>
      </c>
      <c r="E13" t="str">
        <v/>
      </c>
      <c r="F13" t="str">
        <v>867162029858180</v>
      </c>
      <c r="G13" t="str">
        <v/>
      </c>
      <c r="H13" t="str">
        <v/>
      </c>
      <c r="I13" t="str">
        <v/>
      </c>
      <c r="J13" t="str">
        <v>17/09/2026</v>
      </c>
      <c r="K13" t="str">
        <v>08:31:00</v>
      </c>
      <c r="L13">
        <v>-12.275238</v>
      </c>
      <c r="M13">
        <v>-76.89125</v>
      </c>
      <c r="N13">
        <f>HYPERLINK("https://www.google.com/maps/search/?api=1&amp;query=-12.275238,-76.89125","Carretera Panamericana Sur, Lurín, Lima")</f>
      </c>
      <c r="O13" t="str">
        <v>Excedió el límite de velocidad</v>
      </c>
      <c r="P13">
        <v>269365.7</v>
      </c>
      <c r="Q13" t="str">
        <v/>
      </c>
      <c r="R13">
        <v>81.5</v>
      </c>
      <c r="S13">
        <v>72.73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100</v>
      </c>
      <c r="AB13" t="str">
        <v>17/09/2026</v>
      </c>
      <c r="AC13" t="str">
        <v>08:31:00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17/09/2026 08:31:13</v>
      </c>
      <c r="AK13" t="str">
        <v>08:31:13</v>
      </c>
      <c r="AL13" t="str">
        <v/>
      </c>
    </row>
    <row r="14">
      <c r="A14">
        <v>13</v>
      </c>
      <c r="B14" t="str">
        <v>MASS BSF</v>
      </c>
      <c r="C14" t="str">
        <v>ARY-825</v>
      </c>
      <c r="D14" t="str">
        <v>ARY-825</v>
      </c>
      <c r="E14" t="str">
        <v/>
      </c>
      <c r="F14" t="str">
        <v>867162029858180</v>
      </c>
      <c r="G14" t="str">
        <v/>
      </c>
      <c r="H14" t="str">
        <v/>
      </c>
      <c r="I14" t="str">
        <v/>
      </c>
      <c r="J14" t="str">
        <v>17/09/2026</v>
      </c>
      <c r="K14" t="str">
        <v>08:31:21</v>
      </c>
      <c r="L14">
        <v>-12.277562</v>
      </c>
      <c r="M14">
        <v>-76.88756</v>
      </c>
      <c r="N14">
        <f>HYPERLINK("https://www.google.com/maps/search/?api=1&amp;query=-12.277562,-76.88756","Carretera Panamericana Sur, Lurín, Lima")</f>
      </c>
      <c r="O14" t="str">
        <v>Excedió el límite de velocidad</v>
      </c>
      <c r="P14">
        <v>269366.2</v>
      </c>
      <c r="Q14" t="str">
        <v/>
      </c>
      <c r="R14">
        <v>82.1</v>
      </c>
      <c r="S14">
        <v>72.73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100</v>
      </c>
      <c r="AB14" t="str">
        <v>17/09/2026</v>
      </c>
      <c r="AC14" t="str">
        <v>08:31:21</v>
      </c>
      <c r="AD14">
        <f>IF("ONLINE"="NOGPS","GPS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17/09/2026 08:31:35</v>
      </c>
      <c r="AK14" t="str">
        <v>08:31:35</v>
      </c>
      <c r="AL14" t="str">
        <v/>
      </c>
    </row>
    <row r="15">
      <c r="A15">
        <v>14</v>
      </c>
      <c r="B15" t="str">
        <v>MASS BSF</v>
      </c>
      <c r="C15" t="str">
        <v>ARY-825</v>
      </c>
      <c r="D15" t="str">
        <v>ARY-825</v>
      </c>
      <c r="E15" t="str">
        <v/>
      </c>
      <c r="F15" t="str">
        <v>867162029858180</v>
      </c>
      <c r="G15" t="str">
        <v/>
      </c>
      <c r="H15" t="str">
        <v/>
      </c>
      <c r="I15" t="str">
        <v/>
      </c>
      <c r="J15" t="str">
        <v>17/09/2026</v>
      </c>
      <c r="K15" t="str">
        <v>08:32:31</v>
      </c>
      <c r="L15">
        <v>-12.284224</v>
      </c>
      <c r="M15">
        <v>-76.87694</v>
      </c>
      <c r="N15">
        <f>HYPERLINK("https://www.google.com/maps/search/?api=1&amp;query=-12.284224,-76.87694","Carretera Panamericana Sur, Lurín, Lima")</f>
      </c>
      <c r="O15" t="str">
        <v>Excedió el límite de velocidad</v>
      </c>
      <c r="P15">
        <v>269367.6</v>
      </c>
      <c r="Q15" t="str">
        <v/>
      </c>
      <c r="R15">
        <v>82.7</v>
      </c>
      <c r="S15">
        <v>72.73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100</v>
      </c>
      <c r="AB15" t="str">
        <v>17/09/2026</v>
      </c>
      <c r="AC15" t="str">
        <v>08:32:30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17/09/2026 08:32:47</v>
      </c>
      <c r="AK15" t="str">
        <v>08:32:47</v>
      </c>
      <c r="AL15" t="str">
        <v/>
      </c>
    </row>
    <row r="16">
      <c r="A16">
        <v>15</v>
      </c>
      <c r="B16" t="str">
        <v>MASS BSF</v>
      </c>
      <c r="C16" t="str">
        <v>ARY-825</v>
      </c>
      <c r="D16" t="str">
        <v>ARY-825</v>
      </c>
      <c r="E16" t="str">
        <v/>
      </c>
      <c r="F16" t="str">
        <v>867162029858180</v>
      </c>
      <c r="G16" t="str">
        <v/>
      </c>
      <c r="H16" t="str">
        <v/>
      </c>
      <c r="I16" t="str">
        <v/>
      </c>
      <c r="J16" t="str">
        <v>17/09/2026</v>
      </c>
      <c r="K16" t="str">
        <v>08:33:00</v>
      </c>
      <c r="L16">
        <v>-12.287498</v>
      </c>
      <c r="M16">
        <v>-76.87175</v>
      </c>
      <c r="N16">
        <f>HYPERLINK("https://www.google.com/maps/search/?api=1&amp;query=-12.287498,-76.87175","Carretera Panamericana Sur, Lurín, Lima")</f>
      </c>
      <c r="O16" t="str">
        <v>Excedió el límite de velocidad</v>
      </c>
      <c r="P16">
        <v>269368.3</v>
      </c>
      <c r="Q16" t="str">
        <v/>
      </c>
      <c r="R16">
        <v>85.3</v>
      </c>
      <c r="S16">
        <v>72.73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100</v>
      </c>
      <c r="AB16" t="str">
        <v>17/09/2026</v>
      </c>
      <c r="AC16" t="str">
        <v>08:33:00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17/09/2026 08:33:15</v>
      </c>
      <c r="AK16" t="str">
        <v>08:33:15</v>
      </c>
      <c r="AL16" t="str">
        <v/>
      </c>
    </row>
    <row r="17">
      <c r="A17">
        <v>16</v>
      </c>
      <c r="B17" t="str">
        <v>MASS BSF</v>
      </c>
      <c r="C17" t="str">
        <v>ARY-825</v>
      </c>
      <c r="D17" t="str">
        <v>ARY-825</v>
      </c>
      <c r="E17" t="str">
        <v/>
      </c>
      <c r="F17" t="str">
        <v>867162029858180</v>
      </c>
      <c r="G17" t="str">
        <v/>
      </c>
      <c r="H17" t="str">
        <v/>
      </c>
      <c r="I17" t="str">
        <v/>
      </c>
      <c r="J17" t="str">
        <v>17/09/2026</v>
      </c>
      <c r="K17" t="str">
        <v>08:34:25</v>
      </c>
      <c r="L17">
        <v>-12.296708</v>
      </c>
      <c r="M17">
        <v>-76.85657</v>
      </c>
      <c r="N17">
        <f>HYPERLINK("https://www.google.com/maps/search/?api=1&amp;query=-12.296708,-76.85657","Carretera Panamericana Sur, Lurín, Lima")</f>
      </c>
      <c r="O17" t="str">
        <v>Excedió el límite de velocidad</v>
      </c>
      <c r="P17">
        <v>269370.2</v>
      </c>
      <c r="Q17" t="str">
        <v/>
      </c>
      <c r="R17">
        <v>83</v>
      </c>
      <c r="S17">
        <v>72.73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100</v>
      </c>
      <c r="AB17" t="str">
        <v>17/09/2026</v>
      </c>
      <c r="AC17" t="str">
        <v>08:34:24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17/09/2026 08:34:31</v>
      </c>
      <c r="AK17" t="str">
        <v>08:34:31</v>
      </c>
      <c r="AL17" t="str">
        <v/>
      </c>
    </row>
    <row r="18">
      <c r="A18">
        <v>17</v>
      </c>
      <c r="B18" t="str">
        <v>MASS BSF</v>
      </c>
      <c r="C18" t="str">
        <v>ARY-825</v>
      </c>
      <c r="D18" t="str">
        <v>ARY-825</v>
      </c>
      <c r="E18" t="str">
        <v/>
      </c>
      <c r="F18" t="str">
        <v>867162029858180</v>
      </c>
      <c r="G18" t="str">
        <v/>
      </c>
      <c r="H18" t="str">
        <v/>
      </c>
      <c r="I18" t="str">
        <v/>
      </c>
      <c r="J18" t="str">
        <v>17/09/2026</v>
      </c>
      <c r="K18" t="str">
        <v>08:35:30</v>
      </c>
      <c r="L18">
        <v>-12.301658</v>
      </c>
      <c r="M18">
        <v>-76.845436</v>
      </c>
      <c r="N18">
        <f>HYPERLINK("https://www.google.com/maps/search/?api=1&amp;query=-12.301658,-76.845436","Carretera Panamericana Sur, Lurín, Lima")</f>
      </c>
      <c r="O18" t="str">
        <v>Excedió el límite de velocidad</v>
      </c>
      <c r="P18">
        <v>269371.5</v>
      </c>
      <c r="Q18" t="str">
        <v/>
      </c>
      <c r="R18">
        <v>83.1</v>
      </c>
      <c r="S18">
        <v>72.73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100</v>
      </c>
      <c r="AB18" t="str">
        <v>17/09/2026</v>
      </c>
      <c r="AC18" t="str">
        <v>08:35:30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17/09/2026 08:35:53</v>
      </c>
      <c r="AK18" t="str">
        <v>08:35:53</v>
      </c>
      <c r="AL18" t="str">
        <v/>
      </c>
    </row>
    <row r="19">
      <c r="A19">
        <v>18</v>
      </c>
      <c r="B19" t="str">
        <v>MASS BSF</v>
      </c>
      <c r="C19" t="str">
        <v>ARY-825</v>
      </c>
      <c r="D19" t="str">
        <v>ARY-825</v>
      </c>
      <c r="E19" t="str">
        <v/>
      </c>
      <c r="F19" t="str">
        <v>867162029858180</v>
      </c>
      <c r="G19" t="str">
        <v/>
      </c>
      <c r="H19" t="str">
        <v/>
      </c>
      <c r="I19" t="str">
        <v/>
      </c>
      <c r="J19" t="str">
        <v>17/09/2026</v>
      </c>
      <c r="K19" t="str">
        <v>08:36:12</v>
      </c>
      <c r="L19">
        <v>-12.306274</v>
      </c>
      <c r="M19">
        <v>-76.83845</v>
      </c>
      <c r="N19">
        <f>HYPERLINK("https://www.google.com/maps/search/?api=1&amp;query=-12.306274,-76.83845","Carretera Panamericana Sur, Lurín, Lima")</f>
      </c>
      <c r="O19" t="str">
        <v>Excedió el límite de velocidad</v>
      </c>
      <c r="P19">
        <v>269372.5</v>
      </c>
      <c r="Q19" t="str">
        <v/>
      </c>
      <c r="R19">
        <v>84.1</v>
      </c>
      <c r="S19">
        <v>72.73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100</v>
      </c>
      <c r="AB19" t="str">
        <v>17/09/2026</v>
      </c>
      <c r="AC19" t="str">
        <v>08:36:12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17/09/2026 08:36:33</v>
      </c>
      <c r="AK19" t="str">
        <v>08:36:33</v>
      </c>
      <c r="AL19" t="str">
        <v/>
      </c>
    </row>
    <row r="20">
      <c r="A20">
        <v>19</v>
      </c>
      <c r="B20" t="str">
        <v>MASS BSF</v>
      </c>
      <c r="C20" t="str">
        <v>ARY-825</v>
      </c>
      <c r="D20" t="str">
        <v>ARY-825</v>
      </c>
      <c r="E20" t="str">
        <v/>
      </c>
      <c r="F20" t="str">
        <v>867162029858180</v>
      </c>
      <c r="G20" t="str">
        <v/>
      </c>
      <c r="H20" t="str">
        <v/>
      </c>
      <c r="I20" t="str">
        <v/>
      </c>
      <c r="J20" t="str">
        <v>17/09/2026</v>
      </c>
      <c r="K20" t="str">
        <v>08:40:39</v>
      </c>
      <c r="L20">
        <v>-12.333015</v>
      </c>
      <c r="M20">
        <v>-76.81974</v>
      </c>
      <c r="N20">
        <f>HYPERLINK("https://www.google.com/maps/search/?api=1&amp;query=-12.333015,-76.81974","Avenida Pampa Pacta, Punta Hermosa, Lima")</f>
      </c>
      <c r="O20" t="str">
        <v>Giro brusco</v>
      </c>
      <c r="P20">
        <v>269376.8</v>
      </c>
      <c r="Q20" t="str">
        <v/>
      </c>
      <c r="R20">
        <v>34.9</v>
      </c>
      <c r="S20">
        <v>72.73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100</v>
      </c>
      <c r="AB20" t="str">
        <v>17/09/2026</v>
      </c>
      <c r="AC20" t="str">
        <v>08:40:39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17/09/2026 08:40:56</v>
      </c>
      <c r="AK20" t="str">
        <v>08:40:56</v>
      </c>
      <c r="AL20" t="str">
        <v/>
      </c>
    </row>
    <row r="21">
      <c r="A21">
        <v>20</v>
      </c>
      <c r="B21" t="str">
        <v>MASS BSF</v>
      </c>
      <c r="C21" t="str">
        <v>ARY-825</v>
      </c>
      <c r="D21" t="str">
        <v>ARY-825</v>
      </c>
      <c r="E21" t="str">
        <v/>
      </c>
      <c r="F21" t="str">
        <v>867162029858180</v>
      </c>
      <c r="G21" t="str">
        <v/>
      </c>
      <c r="H21" t="str">
        <v/>
      </c>
      <c r="I21" t="str">
        <v/>
      </c>
      <c r="J21" t="str">
        <v>17/09/2026</v>
      </c>
      <c r="K21" t="str">
        <v>08:41:37</v>
      </c>
      <c r="L21">
        <v>-12.32536</v>
      </c>
      <c r="M21">
        <v>-76.82523</v>
      </c>
      <c r="N21">
        <f>HYPERLINK("https://www.google.com/maps/search/?api=1&amp;query=-12.32536,-76.82523","Carretera Panamericana Sur, Punta Hermosa, Lima")</f>
      </c>
      <c r="O21" t="str">
        <v>Excedió el límite de velocidad</v>
      </c>
      <c r="P21">
        <v>269377.9</v>
      </c>
      <c r="Q21" t="str">
        <v/>
      </c>
      <c r="R21">
        <v>82.6</v>
      </c>
      <c r="S21">
        <v>72.73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100</v>
      </c>
      <c r="AB21" t="str">
        <v>17/09/2026</v>
      </c>
      <c r="AC21" t="str">
        <v>08:41:36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17/09/2026 08:42:02</v>
      </c>
      <c r="AK21" t="str">
        <v>08:42:02</v>
      </c>
      <c r="AL21" t="str">
        <v/>
      </c>
    </row>
    <row r="22">
      <c r="A22">
        <v>21</v>
      </c>
      <c r="B22" t="str">
        <v>MASS BSF</v>
      </c>
      <c r="C22" t="str">
        <v>ARY-825</v>
      </c>
      <c r="D22" t="str">
        <v>ARY-825</v>
      </c>
      <c r="E22" t="str">
        <v/>
      </c>
      <c r="F22" t="str">
        <v>867162029858180</v>
      </c>
      <c r="G22" t="str">
        <v/>
      </c>
      <c r="H22" t="str">
        <v/>
      </c>
      <c r="I22" t="str">
        <v/>
      </c>
      <c r="J22" t="str">
        <v>17/09/2026</v>
      </c>
      <c r="K22" t="str">
        <v>08:48:38</v>
      </c>
      <c r="L22">
        <v>-12.317333</v>
      </c>
      <c r="M22">
        <v>-76.82291</v>
      </c>
      <c r="N22">
        <f>HYPERLINK("https://www.google.com/maps/search/?api=1&amp;query=-12.317333,-76.82291","Punta Hermosa, Lima")</f>
      </c>
      <c r="O22" t="str">
        <v>Vehículo apagado</v>
      </c>
      <c r="P22">
        <v>269380</v>
      </c>
      <c r="Q22" t="str">
        <v/>
      </c>
      <c r="R22">
        <v>8.2</v>
      </c>
      <c r="S22">
        <v>73.38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100</v>
      </c>
      <c r="AB22" t="str">
        <v>17/09/2026</v>
      </c>
      <c r="AC22" t="str">
        <v>08:47:57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17/09/2026 08:48:57</v>
      </c>
      <c r="AK22" t="str">
        <v>08:48:57</v>
      </c>
      <c r="AL22" t="str">
        <v/>
      </c>
    </row>
    <row r="23">
      <c r="A23">
        <v>22</v>
      </c>
      <c r="B23" t="str">
        <v>MASS BSF</v>
      </c>
      <c r="C23" t="str">
        <v>ARY-825</v>
      </c>
      <c r="D23" t="str">
        <v>ARY-825</v>
      </c>
      <c r="E23" t="str">
        <v/>
      </c>
      <c r="F23" t="str">
        <v>867162029858180</v>
      </c>
      <c r="G23" t="str">
        <v/>
      </c>
      <c r="H23" t="str">
        <v/>
      </c>
      <c r="I23" t="str">
        <v/>
      </c>
      <c r="J23" t="str">
        <v>17/09/2026</v>
      </c>
      <c r="K23" t="str">
        <v>08:54:49</v>
      </c>
      <c r="L23">
        <v>-12.317318</v>
      </c>
      <c r="M23">
        <v>-76.82289</v>
      </c>
      <c r="N23">
        <f>HYPERLINK("https://www.google.com/maps/search/?api=1&amp;query=-12.317318,-76.82289","Punta Hermosa, Lima")</f>
      </c>
      <c r="O23" t="str">
        <v>Vehículo encendido</v>
      </c>
      <c r="P23">
        <v>269380</v>
      </c>
      <c r="Q23" t="str">
        <v/>
      </c>
      <c r="R23">
        <v>0</v>
      </c>
      <c r="S23">
        <v>73.38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100</v>
      </c>
      <c r="AB23" t="str">
        <v>17/09/2026</v>
      </c>
      <c r="AC23" t="str">
        <v>08:48:41</v>
      </c>
      <c r="AD23">
        <f>IF("NOGPS"="NOGPS","GPS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17/09/2026 08:55:10</v>
      </c>
      <c r="AK23" t="str">
        <v>08:55:10</v>
      </c>
      <c r="AL23" t="str">
        <v/>
      </c>
    </row>
    <row r="24">
      <c r="A24">
        <v>23</v>
      </c>
      <c r="B24" t="str">
        <v>MASS BSF</v>
      </c>
      <c r="C24" t="str">
        <v>ARY-825</v>
      </c>
      <c r="D24" t="str">
        <v>ARY-825</v>
      </c>
      <c r="E24" t="str">
        <v/>
      </c>
      <c r="F24" t="str">
        <v>867162029858180</v>
      </c>
      <c r="G24" t="str">
        <v/>
      </c>
      <c r="H24" t="str">
        <v/>
      </c>
      <c r="I24" t="str">
        <v/>
      </c>
      <c r="J24" t="str">
        <v>17/09/2026</v>
      </c>
      <c r="K24" t="str">
        <v>08:57:19</v>
      </c>
      <c r="L24">
        <v>-12.31759</v>
      </c>
      <c r="M24">
        <v>-76.82432</v>
      </c>
      <c r="N24">
        <f>HYPERLINK("https://www.google.com/maps/search/?api=1&amp;query=-12.31759,-76.82432","Punta Hermosa, Lima")</f>
      </c>
      <c r="O24" t="str">
        <v>Vehículo apagado</v>
      </c>
      <c r="P24">
        <v>269380.3</v>
      </c>
      <c r="Q24" t="str">
        <v/>
      </c>
      <c r="R24">
        <v>0.1</v>
      </c>
      <c r="S24">
        <v>73.43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100</v>
      </c>
      <c r="AB24" t="str">
        <v>17/09/2026</v>
      </c>
      <c r="AC24" t="str">
        <v>08:57:16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17/09/2026 09:08:11</v>
      </c>
      <c r="AK24" t="str">
        <v>09:08:11</v>
      </c>
      <c r="AL24" t="str">
        <v/>
      </c>
    </row>
    <row r="25">
      <c r="A25">
        <v>24</v>
      </c>
      <c r="B25" t="str">
        <v>MASS BSF</v>
      </c>
      <c r="C25" t="str">
        <v>ARY-825</v>
      </c>
      <c r="D25" t="str">
        <v>ARY-825</v>
      </c>
      <c r="E25" t="str">
        <v/>
      </c>
      <c r="F25" t="str">
        <v>867162029858180</v>
      </c>
      <c r="G25" t="str">
        <v/>
      </c>
      <c r="H25" t="str">
        <v/>
      </c>
      <c r="I25" t="str">
        <v/>
      </c>
      <c r="J25" t="str">
        <v>17/09/2026</v>
      </c>
      <c r="K25" t="str">
        <v>09:24:05</v>
      </c>
      <c r="L25">
        <v>-12.317582</v>
      </c>
      <c r="M25">
        <v>-76.82436</v>
      </c>
      <c r="N25">
        <f>HYPERLINK("https://www.google.com/maps/search/?api=1&amp;query=-12.317582,-76.82436","Punta Hermosa, Lima")</f>
      </c>
      <c r="O25" t="str">
        <v>Vehículo encendido</v>
      </c>
      <c r="P25">
        <v>269380.3</v>
      </c>
      <c r="Q25" t="str">
        <v/>
      </c>
      <c r="R25">
        <v>0</v>
      </c>
      <c r="S25">
        <v>73.43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100</v>
      </c>
      <c r="AB25" t="str">
        <v>17/09/2026</v>
      </c>
      <c r="AC25" t="str">
        <v>09:07:45</v>
      </c>
      <c r="AD25">
        <f>IF("NOGPS"="NOGPS","GPS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17/09/2026 09:24:17</v>
      </c>
      <c r="AK25" t="str">
        <v>09:24:17</v>
      </c>
      <c r="AL25" t="str">
        <v/>
      </c>
    </row>
    <row r="26">
      <c r="A26">
        <v>25</v>
      </c>
      <c r="B26" t="str">
        <v>MASS BSF</v>
      </c>
      <c r="C26" t="str">
        <v>ARY-825</v>
      </c>
      <c r="D26" t="str">
        <v>ARY-825</v>
      </c>
      <c r="E26" t="str">
        <v/>
      </c>
      <c r="F26" t="str">
        <v>867162029858180</v>
      </c>
      <c r="G26" t="str">
        <v/>
      </c>
      <c r="H26" t="str">
        <v/>
      </c>
      <c r="I26" t="str">
        <v/>
      </c>
      <c r="J26" t="str">
        <v>17/09/2026</v>
      </c>
      <c r="K26" t="str">
        <v>09:26:13</v>
      </c>
      <c r="L26">
        <v>-12.317498</v>
      </c>
      <c r="M26">
        <v>-76.82442</v>
      </c>
      <c r="N26">
        <f>HYPERLINK("https://www.google.com/maps/search/?api=1&amp;query=-12.317498,-76.82442","Punta Hermosa, Lima")</f>
      </c>
      <c r="O26" t="str">
        <v>Vehículo apagado</v>
      </c>
      <c r="P26">
        <v>269380.3</v>
      </c>
      <c r="Q26" t="str">
        <v/>
      </c>
      <c r="R26">
        <v>0</v>
      </c>
      <c r="S26">
        <v>73.43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100</v>
      </c>
      <c r="AB26" t="str">
        <v>17/09/2026</v>
      </c>
      <c r="AC26" t="str">
        <v>09:26:15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17/09/2026 09:28:11</v>
      </c>
      <c r="AK26" t="str">
        <v>09:28:11</v>
      </c>
      <c r="AL26" t="str">
        <v/>
      </c>
    </row>
    <row r="27">
      <c r="A27">
        <v>26</v>
      </c>
      <c r="B27" t="str">
        <v>MASS BSF</v>
      </c>
      <c r="C27" t="str">
        <v>ARY-825</v>
      </c>
      <c r="D27" t="str">
        <v>ARY-825</v>
      </c>
      <c r="E27" t="str">
        <v/>
      </c>
      <c r="F27" t="str">
        <v>867162029858180</v>
      </c>
      <c r="G27" t="str">
        <v/>
      </c>
      <c r="H27" t="str">
        <v/>
      </c>
      <c r="I27" t="str">
        <v/>
      </c>
      <c r="J27" t="str">
        <v>17/09/2026</v>
      </c>
      <c r="K27" t="str">
        <v>10:16:03</v>
      </c>
      <c r="L27">
        <v>-12.317498</v>
      </c>
      <c r="M27">
        <v>-76.82442</v>
      </c>
      <c r="N27">
        <f>HYPERLINK("https://www.google.com/maps/search/?api=1&amp;query=-12.317498,-76.82442","Punta Hermosa, Lima")</f>
      </c>
      <c r="O27" t="str">
        <v>Vehículo encendido</v>
      </c>
      <c r="P27">
        <v>269380.3</v>
      </c>
      <c r="Q27" t="str">
        <v/>
      </c>
      <c r="R27">
        <v>0</v>
      </c>
      <c r="S27">
        <v>73.43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100</v>
      </c>
      <c r="AB27" t="str">
        <v>17/09/2026</v>
      </c>
      <c r="AC27" t="str">
        <v>09:53:40</v>
      </c>
      <c r="AD27">
        <f>IF("NOGPS"="NOGPS","GPS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17/09/2026 10:16:13</v>
      </c>
      <c r="AK27" t="str">
        <v>10:16:13</v>
      </c>
      <c r="AL27" t="str">
        <v/>
      </c>
    </row>
    <row r="28">
      <c r="A28">
        <v>27</v>
      </c>
      <c r="B28" t="str">
        <v>MASS BSF</v>
      </c>
      <c r="C28" t="str">
        <v>ARY-825</v>
      </c>
      <c r="D28" t="str">
        <v>ARY-825</v>
      </c>
      <c r="E28" t="str">
        <v/>
      </c>
      <c r="F28" t="str">
        <v>867162029858180</v>
      </c>
      <c r="G28" t="str">
        <v/>
      </c>
      <c r="H28" t="str">
        <v/>
      </c>
      <c r="I28" t="str">
        <v/>
      </c>
      <c r="J28" t="str">
        <v>17/09/2026</v>
      </c>
      <c r="K28" t="str">
        <v>10:27:18</v>
      </c>
      <c r="L28">
        <v>-12.297354</v>
      </c>
      <c r="M28">
        <v>-76.85489</v>
      </c>
      <c r="N28">
        <f>HYPERLINK("https://www.google.com/maps/search/?api=1&amp;query=-12.297354,-76.85489","Carretera Panamericana Sur, Lurín, Lima")</f>
      </c>
      <c r="O28" t="str">
        <v>Excedió el límite de velocidad</v>
      </c>
      <c r="P28">
        <v>269384.8</v>
      </c>
      <c r="Q28" t="str">
        <v/>
      </c>
      <c r="R28">
        <v>84.8</v>
      </c>
      <c r="S28">
        <v>73.43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100</v>
      </c>
      <c r="AB28" t="str">
        <v>17/09/2026</v>
      </c>
      <c r="AC28" t="str">
        <v>10:27:18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17/09/2026 10:27:29</v>
      </c>
      <c r="AK28" t="str">
        <v>10:27:29</v>
      </c>
      <c r="AL28" t="str">
        <v/>
      </c>
    </row>
    <row r="29">
      <c r="A29">
        <v>28</v>
      </c>
      <c r="B29" t="str">
        <v>MASS BSF</v>
      </c>
      <c r="C29" t="str">
        <v>ARY-825</v>
      </c>
      <c r="D29" t="str">
        <v>ARY-825</v>
      </c>
      <c r="E29" t="str">
        <v/>
      </c>
      <c r="F29" t="str">
        <v>867162029858180</v>
      </c>
      <c r="G29" t="str">
        <v/>
      </c>
      <c r="H29" t="str">
        <v/>
      </c>
      <c r="I29" t="str">
        <v/>
      </c>
      <c r="J29" t="str">
        <v>17/09/2026</v>
      </c>
      <c r="K29" t="str">
        <v>10:28:45</v>
      </c>
      <c r="L29">
        <v>-12.288459</v>
      </c>
      <c r="M29">
        <v>-76.87005</v>
      </c>
      <c r="N29">
        <f>HYPERLINK("https://www.google.com/maps/search/?api=1&amp;query=-12.288459,-76.87005","Carretera Panamericana Sur, Lurín, Lima")</f>
      </c>
      <c r="O29" t="str">
        <v>Excedió el límite de velocidad</v>
      </c>
      <c r="P29">
        <v>269386.7</v>
      </c>
      <c r="Q29" t="str">
        <v/>
      </c>
      <c r="R29">
        <v>81.1</v>
      </c>
      <c r="S29">
        <v>73.43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100</v>
      </c>
      <c r="AB29" t="str">
        <v>17/09/2026</v>
      </c>
      <c r="AC29" t="str">
        <v>10:28:45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17/09/2026 10:29:00</v>
      </c>
      <c r="AK29" t="str">
        <v>10:29:00</v>
      </c>
      <c r="AL29" t="str">
        <v/>
      </c>
    </row>
    <row r="30">
      <c r="A30">
        <v>29</v>
      </c>
      <c r="B30" t="str">
        <v>MASS BSF</v>
      </c>
      <c r="C30" t="str">
        <v>ARY-825</v>
      </c>
      <c r="D30" t="str">
        <v>ARY-825</v>
      </c>
      <c r="E30" t="str">
        <v/>
      </c>
      <c r="F30" t="str">
        <v>867162029858180</v>
      </c>
      <c r="G30" t="str">
        <v/>
      </c>
      <c r="H30" t="str">
        <v/>
      </c>
      <c r="I30" t="str">
        <v/>
      </c>
      <c r="J30" t="str">
        <v>17/09/2026</v>
      </c>
      <c r="K30" t="str">
        <v>10:31:34</v>
      </c>
      <c r="L30">
        <v>-12.270967</v>
      </c>
      <c r="M30">
        <v>-76.89781</v>
      </c>
      <c r="N30">
        <f>HYPERLINK("https://www.google.com/maps/search/?api=1&amp;query=-12.270967,-76.89781","Carretera Panamericana Sur, Lurín, Lima")</f>
      </c>
      <c r="O30" t="str">
        <v>Excedió el límite de velocidad</v>
      </c>
      <c r="P30">
        <v>269390.3</v>
      </c>
      <c r="Q30" t="str">
        <v/>
      </c>
      <c r="R30">
        <v>80.3</v>
      </c>
      <c r="S30">
        <v>73.43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100</v>
      </c>
      <c r="AB30" t="str">
        <v>17/09/2026</v>
      </c>
      <c r="AC30" t="str">
        <v>10:31:33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17/09/2026 10:34:40</v>
      </c>
      <c r="AK30" t="str">
        <v>10:34:40</v>
      </c>
      <c r="AL30" t="str">
        <v/>
      </c>
    </row>
    <row r="31">
      <c r="A31">
        <v>30</v>
      </c>
      <c r="B31" t="str">
        <v>MASS BSF</v>
      </c>
      <c r="C31" t="str">
        <v>ARY-825</v>
      </c>
      <c r="D31" t="str">
        <v>ARY-825</v>
      </c>
      <c r="E31" t="str">
        <v/>
      </c>
      <c r="F31" t="str">
        <v>867162029858180</v>
      </c>
      <c r="G31" t="str">
        <v/>
      </c>
      <c r="H31" t="str">
        <v/>
      </c>
      <c r="I31" t="str">
        <v/>
      </c>
      <c r="J31" t="str">
        <v>17/09/2026</v>
      </c>
      <c r="K31" t="str">
        <v>10:32:24</v>
      </c>
      <c r="L31">
        <v>-12.26548</v>
      </c>
      <c r="M31">
        <v>-76.90654</v>
      </c>
      <c r="N31">
        <f>HYPERLINK("https://www.google.com/maps/search/?api=1&amp;query=-12.26548,-76.90654","Carretera Panamericana Sur, Lurín, Lima")</f>
      </c>
      <c r="O31" t="str">
        <v>Excedió el límite de velocidad</v>
      </c>
      <c r="P31">
        <v>269391.4</v>
      </c>
      <c r="Q31" t="str">
        <v/>
      </c>
      <c r="R31">
        <v>83.2</v>
      </c>
      <c r="S31">
        <v>73.43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100</v>
      </c>
      <c r="AB31" t="str">
        <v>17/09/2026</v>
      </c>
      <c r="AC31" t="str">
        <v>10:32:24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17/09/2026 10:34:28</v>
      </c>
      <c r="AK31" t="str">
        <v>10:34:28</v>
      </c>
      <c r="AL31" t="str">
        <v/>
      </c>
    </row>
    <row r="32">
      <c r="A32">
        <v>31</v>
      </c>
      <c r="B32" t="str">
        <v>MASS BSF</v>
      </c>
      <c r="C32" t="str">
        <v>ARY-825</v>
      </c>
      <c r="D32" t="str">
        <v>ARY-825</v>
      </c>
      <c r="E32" t="str">
        <v/>
      </c>
      <c r="F32" t="str">
        <v>867162029858180</v>
      </c>
      <c r="G32" t="str">
        <v/>
      </c>
      <c r="H32" t="str">
        <v/>
      </c>
      <c r="I32" t="str">
        <v/>
      </c>
      <c r="J32" t="str">
        <v>17/09/2026</v>
      </c>
      <c r="K32" t="str">
        <v>10:36:59</v>
      </c>
      <c r="L32">
        <v>-12.25073</v>
      </c>
      <c r="M32">
        <v>-76.9296</v>
      </c>
      <c r="N32">
        <f>HYPERLINK("https://www.google.com/maps/search/?api=1&amp;query=-12.25073,-76.9296","Antigua Panamericana Sur, Villa El Salvador, Lima")</f>
      </c>
      <c r="O32" t="str">
        <v>Exceso de velocidad en segmento vial</v>
      </c>
      <c r="P32">
        <v>269395.2</v>
      </c>
      <c r="Q32" t="str">
        <v/>
      </c>
      <c r="R32">
        <v>67.7</v>
      </c>
      <c r="S32">
        <v>73.43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100</v>
      </c>
      <c r="AB32" t="str">
        <v>17/09/2026</v>
      </c>
      <c r="AC32" t="str">
        <v>10:36:00</v>
      </c>
      <c r="AD32">
        <f>IF("ONLINE"="NOGPS","GPS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17/09/2026 10:37:27</v>
      </c>
      <c r="AK32" t="str">
        <v>10:37:27</v>
      </c>
      <c r="AL32" t="str">
        <v/>
      </c>
    </row>
    <row r="33">
      <c r="A33">
        <v>32</v>
      </c>
      <c r="B33" t="str">
        <v>MASS BSF</v>
      </c>
      <c r="C33" t="str">
        <v>ARY-825</v>
      </c>
      <c r="D33" t="str">
        <v>ARY-825</v>
      </c>
      <c r="E33" t="str">
        <v/>
      </c>
      <c r="F33" t="str">
        <v>867162029858180</v>
      </c>
      <c r="G33" t="str">
        <v/>
      </c>
      <c r="H33" t="str">
        <v/>
      </c>
      <c r="I33" t="str">
        <v/>
      </c>
      <c r="J33" t="str">
        <v>17/09/2026</v>
      </c>
      <c r="K33" t="str">
        <v>10:38:59</v>
      </c>
      <c r="L33">
        <v>-12.244167</v>
      </c>
      <c r="M33">
        <v>-76.93997</v>
      </c>
      <c r="N33">
        <f>HYPERLINK("https://www.google.com/maps/search/?api=1&amp;query=-12.244167,-76.93997","Antigua Panamericana Sur, Villa El Salvador, Lima")</f>
      </c>
      <c r="O33" t="str">
        <v>Exceso de velocidad en segmento vial</v>
      </c>
      <c r="P33">
        <v>269396.5</v>
      </c>
      <c r="Q33" t="str">
        <v/>
      </c>
      <c r="R33">
        <v>65.6</v>
      </c>
      <c r="S33">
        <v>73.43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100</v>
      </c>
      <c r="AB33" t="str">
        <v>17/09/2026</v>
      </c>
      <c r="AC33" t="str">
        <v>10:38:00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17/09/2026 10:39:14</v>
      </c>
      <c r="AK33" t="str">
        <v>10:39:14</v>
      </c>
      <c r="AL33" t="str">
        <v/>
      </c>
    </row>
    <row r="34">
      <c r="A34">
        <v>33</v>
      </c>
      <c r="B34" t="str">
        <v>MASS BSF</v>
      </c>
      <c r="C34" t="str">
        <v>ARY-825</v>
      </c>
      <c r="D34" t="str">
        <v>ARY-825</v>
      </c>
      <c r="E34" t="str">
        <v/>
      </c>
      <c r="F34" t="str">
        <v>867162029858180</v>
      </c>
      <c r="G34" t="str">
        <v/>
      </c>
      <c r="H34" t="str">
        <v/>
      </c>
      <c r="I34" t="str">
        <v/>
      </c>
      <c r="J34" t="str">
        <v>17/09/2026</v>
      </c>
      <c r="K34" t="str">
        <v>10:41:58</v>
      </c>
      <c r="L34">
        <v>-12.229462</v>
      </c>
      <c r="M34">
        <v>-76.967384</v>
      </c>
      <c r="N34">
        <f>HYPERLINK("https://www.google.com/maps/search/?api=1&amp;query=-12.229462,-76.967384","Antigua Panamericana Sur, Villa El Salvador, Lima")</f>
      </c>
      <c r="O34" t="str">
        <v>Exceso de velocidad en segmento vial</v>
      </c>
      <c r="P34">
        <v>269399.4</v>
      </c>
      <c r="Q34" t="str">
        <v/>
      </c>
      <c r="R34">
        <v>61</v>
      </c>
      <c r="S34">
        <v>73.43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100</v>
      </c>
      <c r="AB34" t="str">
        <v>17/09/2026</v>
      </c>
      <c r="AC34" t="str">
        <v>10:41:57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17/09/2026 10:42:25</v>
      </c>
      <c r="AK34" t="str">
        <v>10:42:25</v>
      </c>
      <c r="AL34" t="str">
        <v/>
      </c>
    </row>
    <row r="35">
      <c r="A35">
        <v>34</v>
      </c>
      <c r="B35" t="str">
        <v>MASS BSF</v>
      </c>
      <c r="C35" t="str">
        <v>ARY-825</v>
      </c>
      <c r="D35" t="str">
        <v>ARY-825</v>
      </c>
      <c r="E35" t="str">
        <v/>
      </c>
      <c r="F35" t="str">
        <v>867162029858180</v>
      </c>
      <c r="G35" t="str">
        <v/>
      </c>
      <c r="H35" t="str">
        <v/>
      </c>
      <c r="I35" t="str">
        <v/>
      </c>
      <c r="J35" t="str">
        <v>17/09/2026</v>
      </c>
      <c r="K35" t="str">
        <v>10:55:29</v>
      </c>
      <c r="L35">
        <v>-12.197845</v>
      </c>
      <c r="M35">
        <v>-76.96635</v>
      </c>
      <c r="N35">
        <f>HYPERLINK("https://www.google.com/maps/search/?api=1&amp;query=-12.197845,-76.96635","Avenida Primero de Mayo, Villa El Salvador, Lima")</f>
      </c>
      <c r="O35" t="str">
        <v>Vehículo apagado</v>
      </c>
      <c r="P35">
        <v>269403.9</v>
      </c>
      <c r="Q35" t="str">
        <v/>
      </c>
      <c r="R35">
        <v>0</v>
      </c>
      <c r="S35">
        <v>74.08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100</v>
      </c>
      <c r="AB35" t="str">
        <v>17/09/2026</v>
      </c>
      <c r="AC35" t="str">
        <v>10:55:32</v>
      </c>
      <c r="AD35">
        <f>IF("ONLINE"="NOGPS","GPS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17/09/2026 10:55:49</v>
      </c>
      <c r="AK35" t="str">
        <v>10:55:49</v>
      </c>
      <c r="AL35" t="str">
        <v/>
      </c>
    </row>
    <row r="36">
      <c r="A36">
        <v>35</v>
      </c>
      <c r="B36" t="str">
        <v>MASS BSF</v>
      </c>
      <c r="C36" t="str">
        <v>ARY-825</v>
      </c>
      <c r="D36" t="str">
        <v>ARY-825</v>
      </c>
      <c r="E36" t="str">
        <v/>
      </c>
      <c r="F36" t="str">
        <v>867162029858180</v>
      </c>
      <c r="G36" t="str">
        <v/>
      </c>
      <c r="H36" t="str">
        <v/>
      </c>
      <c r="I36" t="str">
        <v/>
      </c>
      <c r="J36" t="str">
        <v>17/09/2026</v>
      </c>
      <c r="K36" t="str">
        <v>11:11:08</v>
      </c>
      <c r="L36">
        <v>-12.197845</v>
      </c>
      <c r="M36">
        <v>-76.96635</v>
      </c>
      <c r="N36">
        <f>HYPERLINK("https://www.google.com/maps/search/?api=1&amp;query=-12.197845,-76.96635","Avenida Primero de Mayo, Villa El Salvador, Lima")</f>
      </c>
      <c r="O36" t="str">
        <v>Vehículo encendido</v>
      </c>
      <c r="P36">
        <v>269403.9</v>
      </c>
      <c r="Q36" t="str">
        <v/>
      </c>
      <c r="R36">
        <v>0</v>
      </c>
      <c r="S36">
        <v>74.08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100</v>
      </c>
      <c r="AB36" t="str">
        <v>17/09/2026</v>
      </c>
      <c r="AC36" t="str">
        <v>10:55:32</v>
      </c>
      <c r="AD36">
        <f>IF("NOGPS"="NOGPS","GPS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17/09/2026 11:11:29</v>
      </c>
      <c r="AK36" t="str">
        <v>11:11:29</v>
      </c>
      <c r="AL36" t="str">
        <v/>
      </c>
    </row>
    <row r="37">
      <c r="A37">
        <v>36</v>
      </c>
      <c r="B37" t="str">
        <v>MASS BSF</v>
      </c>
      <c r="C37" t="str">
        <v>ARY-825</v>
      </c>
      <c r="D37" t="str">
        <v>ARY-825</v>
      </c>
      <c r="E37" t="str">
        <v/>
      </c>
      <c r="F37" t="str">
        <v>867162029858180</v>
      </c>
      <c r="G37" t="str">
        <v/>
      </c>
      <c r="H37" t="str">
        <v/>
      </c>
      <c r="I37" t="str">
        <v/>
      </c>
      <c r="J37" t="str">
        <v>17/09/2026</v>
      </c>
      <c r="K37" t="str">
        <v>11:17:33</v>
      </c>
      <c r="L37">
        <v>-12.19476</v>
      </c>
      <c r="M37">
        <v>-76.96006</v>
      </c>
      <c r="N37">
        <f>HYPERLINK("https://www.google.com/maps/search/?api=1&amp;query=-12.19476,-76.96006","Avenida Mariano Pastor Sevilla, Villa El Salvador, Lima")</f>
      </c>
      <c r="O37" t="str">
        <v>Vehículo apagado</v>
      </c>
      <c r="P37">
        <v>269405.7</v>
      </c>
      <c r="Q37" t="str">
        <v/>
      </c>
      <c r="R37">
        <v>27.1</v>
      </c>
      <c r="S37">
        <v>74.18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100</v>
      </c>
      <c r="AB37" t="str">
        <v>17/09/2026</v>
      </c>
      <c r="AC37" t="str">
        <v>11:17:07</v>
      </c>
      <c r="AD37">
        <f>IF("ONLINE"="NOGPS","GPS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17/09/2026 11:17:47</v>
      </c>
      <c r="AK37" t="str">
        <v>11:17:47</v>
      </c>
      <c r="AL37" t="str">
        <v/>
      </c>
    </row>
    <row r="38">
      <c r="A38">
        <v>37</v>
      </c>
      <c r="B38" t="str">
        <v>MASS BSF</v>
      </c>
      <c r="C38" t="str">
        <v>ARY-825</v>
      </c>
      <c r="D38" t="str">
        <v>ARY-825</v>
      </c>
      <c r="E38" t="str">
        <v/>
      </c>
      <c r="F38" t="str">
        <v>867162029858180</v>
      </c>
      <c r="G38" t="str">
        <v/>
      </c>
      <c r="H38" t="str">
        <v/>
      </c>
      <c r="I38" t="str">
        <v/>
      </c>
      <c r="J38" t="str">
        <v>17/09/2026</v>
      </c>
      <c r="K38" t="str">
        <v>11:35:03</v>
      </c>
      <c r="L38">
        <v>-12.195005</v>
      </c>
      <c r="M38">
        <v>-76.95995</v>
      </c>
      <c r="N38">
        <f>HYPERLINK("https://www.google.com/maps/search/?api=1&amp;query=-12.195005,-76.95995","Avenida Mariano Pastor Sevilla, Villa El Salvador, Lima")</f>
      </c>
      <c r="O38" t="str">
        <v>Vehículo encendido</v>
      </c>
      <c r="P38">
        <v>269405.8</v>
      </c>
      <c r="Q38" t="str">
        <v/>
      </c>
      <c r="R38">
        <v>0</v>
      </c>
      <c r="S38">
        <v>74.18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100</v>
      </c>
      <c r="AB38" t="str">
        <v>17/09/2026</v>
      </c>
      <c r="AC38" t="str">
        <v>11:17:36</v>
      </c>
      <c r="AD38">
        <f>IF("NOGPS"="NOGPS","GPS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17/09/2026 11:35:24</v>
      </c>
      <c r="AK38" t="str">
        <v>11:35:24</v>
      </c>
      <c r="AL38" t="str">
        <v/>
      </c>
    </row>
    <row r="39">
      <c r="A39">
        <v>38</v>
      </c>
      <c r="B39" t="str">
        <v>MASS BSF</v>
      </c>
      <c r="C39" t="str">
        <v>ARY-825</v>
      </c>
      <c r="D39" t="str">
        <v>ARY-825</v>
      </c>
      <c r="E39" t="str">
        <v/>
      </c>
      <c r="F39" t="str">
        <v>867162029858180</v>
      </c>
      <c r="G39" t="str">
        <v/>
      </c>
      <c r="H39" t="str">
        <v/>
      </c>
      <c r="I39" t="str">
        <v/>
      </c>
      <c r="J39" t="str">
        <v>17/09/2026</v>
      </c>
      <c r="K39" t="str">
        <v>11:37:06</v>
      </c>
      <c r="L39">
        <v>-12.197726</v>
      </c>
      <c r="M39">
        <v>-76.958206</v>
      </c>
      <c r="N39">
        <f>HYPERLINK("https://www.google.com/maps/search/?api=1&amp;query=-12.197726,-76.958206","Avenida Mariano Pastor Sevilla, Villa El Salvador, Lima")</f>
      </c>
      <c r="O39" t="str">
        <v>Exceso de velocidad en segmento vial</v>
      </c>
      <c r="P39">
        <v>269406.2</v>
      </c>
      <c r="Q39" t="str">
        <v/>
      </c>
      <c r="R39">
        <v>36.8</v>
      </c>
      <c r="S39">
        <v>74.18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100</v>
      </c>
      <c r="AB39" t="str">
        <v>17/09/2026</v>
      </c>
      <c r="AC39" t="str">
        <v>11:37:01</v>
      </c>
      <c r="AD39">
        <f>IF("ONLINE"="NOGPS","GPS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17/09/2026 11:37:20</v>
      </c>
      <c r="AK39" t="str">
        <v>11:37:20</v>
      </c>
      <c r="AL39" t="str">
        <v/>
      </c>
    </row>
    <row r="40">
      <c r="A40">
        <v>39</v>
      </c>
      <c r="B40" t="str">
        <v>MASS BSF</v>
      </c>
      <c r="C40" t="str">
        <v>ARY-825</v>
      </c>
      <c r="D40" t="str">
        <v>ARY-825</v>
      </c>
      <c r="E40" t="str">
        <v/>
      </c>
      <c r="F40" t="str">
        <v>867162029858180</v>
      </c>
      <c r="G40" t="str">
        <v/>
      </c>
      <c r="H40" t="str">
        <v/>
      </c>
      <c r="I40" t="str">
        <v/>
      </c>
      <c r="J40" t="str">
        <v>17/09/2026</v>
      </c>
      <c r="K40" t="str">
        <v>11:38:06</v>
      </c>
      <c r="L40">
        <v>-12.201978</v>
      </c>
      <c r="M40">
        <v>-76.95556</v>
      </c>
      <c r="N40">
        <f>HYPERLINK("https://www.google.com/maps/search/?api=1&amp;query=-12.201978,-76.95556","Avenida Mariano Pastor Sevilla, Villa El Salvador, Lima")</f>
      </c>
      <c r="O40" t="str">
        <v>Exceso de velocidad en segmento vial</v>
      </c>
      <c r="P40">
        <v>269406.7</v>
      </c>
      <c r="Q40" t="str">
        <v/>
      </c>
      <c r="R40">
        <v>31</v>
      </c>
      <c r="S40">
        <v>74.18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100</v>
      </c>
      <c r="AB40" t="str">
        <v>17/09/2026</v>
      </c>
      <c r="AC40" t="str">
        <v>11:38:01</v>
      </c>
      <c r="AD40">
        <f>IF("ONLINE"="NOGPS","GPS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17/09/2026 11:38:28</v>
      </c>
      <c r="AK40" t="str">
        <v>11:38:28</v>
      </c>
      <c r="AL40" t="str">
        <v/>
      </c>
    </row>
    <row r="41">
      <c r="A41">
        <v>40</v>
      </c>
      <c r="B41" t="str">
        <v>MASS BSF</v>
      </c>
      <c r="C41" t="str">
        <v>ARY-825</v>
      </c>
      <c r="D41" t="str">
        <v>ARY-825</v>
      </c>
      <c r="E41" t="str">
        <v/>
      </c>
      <c r="F41" t="str">
        <v>867162029858180</v>
      </c>
      <c r="G41" t="str">
        <v/>
      </c>
      <c r="H41" t="str">
        <v/>
      </c>
      <c r="I41" t="str">
        <v/>
      </c>
      <c r="J41" t="str">
        <v>17/09/2026</v>
      </c>
      <c r="K41" t="str">
        <v>11:47:50</v>
      </c>
      <c r="L41">
        <v>-12.205911</v>
      </c>
      <c r="M41">
        <v>-76.94112</v>
      </c>
      <c r="N41">
        <f>HYPERLINK("https://www.google.com/maps/search/?api=1&amp;query=-12.205911,-76.94112","Avenida Revolución, Villa El Salvador, Lima")</f>
      </c>
      <c r="O41" t="str">
        <v>Vehículo apagado</v>
      </c>
      <c r="P41">
        <v>269409.6</v>
      </c>
      <c r="Q41" t="str">
        <v/>
      </c>
      <c r="R41">
        <v>0</v>
      </c>
      <c r="S41">
        <v>74.4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100</v>
      </c>
      <c r="AB41" t="str">
        <v>17/09/2026</v>
      </c>
      <c r="AC41" t="str">
        <v>11:47:54</v>
      </c>
      <c r="AD41">
        <f>IF("ONLINE"="NOGPS","GPS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17/09/2026 11:48:16</v>
      </c>
      <c r="AK41" t="str">
        <v>11:48:16</v>
      </c>
      <c r="AL41" t="str">
        <v/>
      </c>
    </row>
    <row r="42">
      <c r="A42">
        <v>41</v>
      </c>
      <c r="B42" t="str">
        <v>MASS BSF</v>
      </c>
      <c r="C42" t="str">
        <v>ARY-825</v>
      </c>
      <c r="D42" t="str">
        <v>ARY-825</v>
      </c>
      <c r="E42" t="str">
        <v/>
      </c>
      <c r="F42" t="str">
        <v>867162029858180</v>
      </c>
      <c r="G42" t="str">
        <v/>
      </c>
      <c r="H42" t="str">
        <v/>
      </c>
      <c r="I42" t="str">
        <v/>
      </c>
      <c r="J42" t="str">
        <v>17/09/2026</v>
      </c>
      <c r="K42" t="str">
        <v>11:56:01</v>
      </c>
      <c r="L42">
        <v>-12.205911</v>
      </c>
      <c r="M42">
        <v>-76.94112</v>
      </c>
      <c r="N42">
        <f>HYPERLINK("https://www.google.com/maps/search/?api=1&amp;query=-12.205911,-76.94112","Avenida Revolución, Villa El Salvador, Lima")</f>
      </c>
      <c r="O42" t="str">
        <v>Vehículo encendido</v>
      </c>
      <c r="P42">
        <v>269409.6</v>
      </c>
      <c r="Q42" t="str">
        <v/>
      </c>
      <c r="R42">
        <v>0</v>
      </c>
      <c r="S42">
        <v>74.4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100</v>
      </c>
      <c r="AB42" t="str">
        <v>17/09/2026</v>
      </c>
      <c r="AC42" t="str">
        <v>11:47:54</v>
      </c>
      <c r="AD42">
        <f>IF("NOGPS"="NOGPS","GPS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17/09/2026 11:56:20</v>
      </c>
      <c r="AK42" t="str">
        <v>11:56:20</v>
      </c>
      <c r="AL42" t="str">
        <v/>
      </c>
    </row>
    <row r="43">
      <c r="A43">
        <v>42</v>
      </c>
      <c r="B43" t="str">
        <v>MASS BSF</v>
      </c>
      <c r="C43" t="str">
        <v>ARY-825</v>
      </c>
      <c r="D43" t="str">
        <v>ARY-825</v>
      </c>
      <c r="E43" t="str">
        <v/>
      </c>
      <c r="F43" t="str">
        <v>867162029858180</v>
      </c>
      <c r="G43" t="str">
        <v/>
      </c>
      <c r="H43" t="str">
        <v/>
      </c>
      <c r="I43" t="str">
        <v/>
      </c>
      <c r="J43" t="str">
        <v>17/09/2026</v>
      </c>
      <c r="K43" t="str">
        <v>12:18:40</v>
      </c>
      <c r="L43">
        <v>-12.186724</v>
      </c>
      <c r="M43">
        <v>-76.9297</v>
      </c>
      <c r="N43">
        <f>HYPERLINK("https://www.google.com/maps/search/?api=1&amp;query=-12.186724,-76.9297","Jirón Túpac Yupanqui, Villa María del Triunfo, Lima")</f>
      </c>
      <c r="O43" t="str">
        <v>Vehículo apagado</v>
      </c>
      <c r="P43">
        <v>269417.3</v>
      </c>
      <c r="Q43" t="str">
        <v/>
      </c>
      <c r="R43">
        <v>4.8</v>
      </c>
      <c r="S43">
        <v>74.78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100</v>
      </c>
      <c r="AB43" t="str">
        <v>17/09/2026</v>
      </c>
      <c r="AC43" t="str">
        <v>12:18:00</v>
      </c>
      <c r="AD43">
        <f>IF("ONLINE"="NOGPS","GPS Antiguo","En línea")</f>
      </c>
      <c r="AE43">
        <f>IF(0=0,"Sin atender", IF(0=1,"Atendida","Atendida y Reportada"))</f>
      </c>
      <c r="AF43" t="str">
        <v/>
      </c>
      <c r="AG43" t="str">
        <v/>
      </c>
      <c r="AH43" t="str">
        <v/>
      </c>
      <c r="AI43" t="str">
        <v/>
      </c>
      <c r="AJ43" t="str">
        <v>17/09/2026 12:18:56</v>
      </c>
      <c r="AK43" t="str">
        <v>12:18:56</v>
      </c>
      <c r="AL43" t="str">
        <v/>
      </c>
    </row>
    <row r="44">
      <c r="A44">
        <v>43</v>
      </c>
      <c r="B44" t="str">
        <v>MASS BSF</v>
      </c>
      <c r="C44" t="str">
        <v>ARY-825</v>
      </c>
      <c r="D44" t="str">
        <v>ARY-825</v>
      </c>
      <c r="E44" t="str">
        <v/>
      </c>
      <c r="F44" t="str">
        <v>867162029858180</v>
      </c>
      <c r="G44" t="str">
        <v/>
      </c>
      <c r="H44" t="str">
        <v/>
      </c>
      <c r="I44" t="str">
        <v/>
      </c>
      <c r="J44" t="str">
        <v>17/09/2026</v>
      </c>
      <c r="K44" t="str">
        <v>14:15:23</v>
      </c>
      <c r="L44">
        <v>-12.186748</v>
      </c>
      <c r="M44">
        <v>-76.92977</v>
      </c>
      <c r="N44">
        <f>HYPERLINK("https://www.google.com/maps/search/?api=1&amp;query=-12.186748,-76.92977","Jirón Túpac Yupanqui, Villa María del Triunfo, Lima")</f>
      </c>
      <c r="O44" t="str">
        <v>Vehículo encendido</v>
      </c>
      <c r="P44">
        <v>269417.3</v>
      </c>
      <c r="Q44" t="str">
        <v/>
      </c>
      <c r="R44">
        <v>0</v>
      </c>
      <c r="S44">
        <v>74.83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100</v>
      </c>
      <c r="AB44" t="str">
        <v>17/09/2026</v>
      </c>
      <c r="AC44" t="str">
        <v>13:46:21</v>
      </c>
      <c r="AD44">
        <f>IF("NOGPS"="NOGPS","GPS Antiguo","En línea")</f>
      </c>
      <c r="AE44">
        <f>IF(0=0,"Sin atender", IF(0=1,"Atendida","Atendida y Reportada"))</f>
      </c>
      <c r="AF44" t="str">
        <v/>
      </c>
      <c r="AG44" t="str">
        <v/>
      </c>
      <c r="AH44" t="str">
        <v/>
      </c>
      <c r="AI44" t="str">
        <v/>
      </c>
      <c r="AJ44" t="str">
        <v>17/09/2026 14:15:33</v>
      </c>
      <c r="AK44" t="str">
        <v>14:15:33</v>
      </c>
      <c r="AL44" t="str">
        <v/>
      </c>
    </row>
    <row r="45">
      <c r="A45">
        <v>44</v>
      </c>
      <c r="B45" t="str">
        <v>MASS BSF</v>
      </c>
      <c r="C45" t="str">
        <v>ARY-825</v>
      </c>
      <c r="D45" t="str">
        <v>ARY-825</v>
      </c>
      <c r="E45" t="str">
        <v/>
      </c>
      <c r="F45" t="str">
        <v>867162029858180</v>
      </c>
      <c r="G45" t="str">
        <v/>
      </c>
      <c r="H45" t="str">
        <v/>
      </c>
      <c r="I45" t="str">
        <v/>
      </c>
      <c r="J45" t="str">
        <v>17/09/2026</v>
      </c>
      <c r="K45" t="str">
        <v>14:16:38</v>
      </c>
      <c r="L45">
        <v>-12.186807</v>
      </c>
      <c r="M45">
        <v>-76.929726</v>
      </c>
      <c r="N45">
        <f>HYPERLINK("https://www.google.com/maps/search/?api=1&amp;query=-12.186807,-76.929726","Jirón Túpac Yupanqui, Villa María del Triunfo, Lima")</f>
      </c>
      <c r="O45" t="str">
        <v>Vehículo apagado</v>
      </c>
      <c r="P45">
        <v>269417.3</v>
      </c>
      <c r="Q45" t="str">
        <v/>
      </c>
      <c r="R45">
        <v>0</v>
      </c>
      <c r="S45">
        <v>74.85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100</v>
      </c>
      <c r="AB45" t="str">
        <v>17/09/2026</v>
      </c>
      <c r="AC45" t="str">
        <v>14:16:20</v>
      </c>
      <c r="AD45">
        <f>IF("ONLINE"="NOGPS","GPS Antiguo","En línea")</f>
      </c>
      <c r="AE45">
        <f>IF(0=0,"Sin atender", IF(0=1,"Atendida","Atendida y Reportada"))</f>
      </c>
      <c r="AF45" t="str">
        <v/>
      </c>
      <c r="AG45" t="str">
        <v/>
      </c>
      <c r="AH45" t="str">
        <v/>
      </c>
      <c r="AI45" t="str">
        <v/>
      </c>
      <c r="AJ45" t="str">
        <v>17/09/2026 14:16:54</v>
      </c>
      <c r="AK45" t="str">
        <v>14:16:54</v>
      </c>
      <c r="AL45" t="str">
        <v/>
      </c>
    </row>
    <row r="46">
      <c r="A46">
        <v>45</v>
      </c>
      <c r="B46" t="str">
        <v>MASS BSF</v>
      </c>
      <c r="C46" t="str">
        <v>ARY-825</v>
      </c>
      <c r="D46" t="str">
        <v>ARY-825</v>
      </c>
      <c r="E46" t="str">
        <v/>
      </c>
      <c r="F46" t="str">
        <v>867162029858180</v>
      </c>
      <c r="G46" t="str">
        <v/>
      </c>
      <c r="H46" t="str">
        <v/>
      </c>
      <c r="I46" t="str">
        <v/>
      </c>
      <c r="J46" t="str">
        <v>17/09/2026</v>
      </c>
      <c r="K46" t="str">
        <v>14:27:51</v>
      </c>
      <c r="L46">
        <v>-12.186803</v>
      </c>
      <c r="M46">
        <v>-76.929726</v>
      </c>
      <c r="N46">
        <f>HYPERLINK("https://www.google.com/maps/search/?api=1&amp;query=-12.186803,-76.929726","Jirón Túpac Yupanqui, Villa María del Triunfo, Lima")</f>
      </c>
      <c r="O46" t="str">
        <v>Vehículo encendido</v>
      </c>
      <c r="P46">
        <v>269417.3</v>
      </c>
      <c r="Q46" t="str">
        <v/>
      </c>
      <c r="R46">
        <v>0</v>
      </c>
      <c r="S46">
        <v>74.85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100</v>
      </c>
      <c r="AB46" t="str">
        <v>17/09/2026</v>
      </c>
      <c r="AC46" t="str">
        <v>14:16:40</v>
      </c>
      <c r="AD46">
        <f>IF("NOGPS"="NOGPS","GPS Antiguo","En línea")</f>
      </c>
      <c r="AE46">
        <f>IF(0=0,"Sin atender", IF(0=1,"Atendida","Atendida y Reportada"))</f>
      </c>
      <c r="AF46" t="str">
        <v/>
      </c>
      <c r="AG46" t="str">
        <v/>
      </c>
      <c r="AH46" t="str">
        <v/>
      </c>
      <c r="AI46" t="str">
        <v/>
      </c>
      <c r="AJ46" t="str">
        <v>17/09/2026 14:28:15</v>
      </c>
      <c r="AK46" t="str">
        <v>14:28:15</v>
      </c>
      <c r="AL46" t="str">
        <v/>
      </c>
    </row>
    <row r="47">
      <c r="A47">
        <v>46</v>
      </c>
      <c r="B47" t="str">
        <v>MASS BSF</v>
      </c>
      <c r="C47" t="str">
        <v>ARY-825</v>
      </c>
      <c r="D47" t="str">
        <v>ARY-825</v>
      </c>
      <c r="E47" t="str">
        <v/>
      </c>
      <c r="F47" t="str">
        <v>867162029858180</v>
      </c>
      <c r="G47" t="str">
        <v/>
      </c>
      <c r="H47" t="str">
        <v/>
      </c>
      <c r="I47" t="str">
        <v/>
      </c>
      <c r="J47" t="str">
        <v>17/09/2026</v>
      </c>
      <c r="K47" t="str">
        <v>14:31:05</v>
      </c>
      <c r="L47">
        <v>-12.186773</v>
      </c>
      <c r="M47">
        <v>-76.92974</v>
      </c>
      <c r="N47">
        <f>HYPERLINK("https://www.google.com/maps/search/?api=1&amp;query=-12.186773,-76.92974","Jirón Túpac Yupanqui, Villa María del Triunfo, Lima")</f>
      </c>
      <c r="O47" t="str">
        <v>Vehículo apagado</v>
      </c>
      <c r="P47">
        <v>269417.3</v>
      </c>
      <c r="Q47" t="str">
        <v/>
      </c>
      <c r="R47">
        <v>1.6</v>
      </c>
      <c r="S47">
        <v>74.9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100</v>
      </c>
      <c r="AB47" t="str">
        <v>17/09/2026</v>
      </c>
      <c r="AC47" t="str">
        <v>14:30:50</v>
      </c>
      <c r="AD47">
        <f>IF("ONLINE"="NOGPS","GPS Antiguo","En línea")</f>
      </c>
      <c r="AE47">
        <f>IF(0=0,"Sin atender", IF(0=1,"Atendida","Atendida y Reportada"))</f>
      </c>
      <c r="AF47" t="str">
        <v/>
      </c>
      <c r="AG47" t="str">
        <v/>
      </c>
      <c r="AH47" t="str">
        <v/>
      </c>
      <c r="AI47" t="str">
        <v/>
      </c>
      <c r="AJ47" t="str">
        <v>17/09/2026 14:31:13</v>
      </c>
      <c r="AK47" t="str">
        <v>14:31:13</v>
      </c>
      <c r="AL47" t="str">
        <v/>
      </c>
    </row>
    <row r="48">
      <c r="A48">
        <v>47</v>
      </c>
      <c r="B48" t="str">
        <v>MASS BSF</v>
      </c>
      <c r="C48" t="str">
        <v>ARY-825</v>
      </c>
      <c r="D48" t="str">
        <v>ARY-825</v>
      </c>
      <c r="E48" t="str">
        <v/>
      </c>
      <c r="F48" t="str">
        <v>867162029858180</v>
      </c>
      <c r="G48" t="str">
        <v/>
      </c>
      <c r="H48" t="str">
        <v/>
      </c>
      <c r="I48" t="str">
        <v/>
      </c>
      <c r="J48" t="str">
        <v>17/09/2026</v>
      </c>
      <c r="K48" t="str">
        <v>15:50:51</v>
      </c>
      <c r="L48">
        <v>-12.186773</v>
      </c>
      <c r="M48">
        <v>-76.92974</v>
      </c>
      <c r="N48">
        <f>HYPERLINK("https://www.google.com/maps/search/?api=1&amp;query=-12.186773,-76.92974","Jirón Túpac Yupanqui, Villa María del Triunfo, Lima")</f>
      </c>
      <c r="O48" t="str">
        <v>Vehículo encendido</v>
      </c>
      <c r="P48">
        <v>269417.3</v>
      </c>
      <c r="Q48" t="str">
        <v/>
      </c>
      <c r="R48">
        <v>0</v>
      </c>
      <c r="S48">
        <v>74.9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100</v>
      </c>
      <c r="AB48" t="str">
        <v>17/09/2026</v>
      </c>
      <c r="AC48" t="str">
        <v>15:28:33</v>
      </c>
      <c r="AD48">
        <f>IF("NOGPS"="NOGPS","GPS Antiguo","En línea")</f>
      </c>
      <c r="AE48">
        <f>IF(0=0,"Sin atender", IF(0=1,"Atendida","Atendida y Reportada"))</f>
      </c>
      <c r="AF48" t="str">
        <v/>
      </c>
      <c r="AG48" t="str">
        <v/>
      </c>
      <c r="AH48" t="str">
        <v/>
      </c>
      <c r="AI48" t="str">
        <v/>
      </c>
      <c r="AJ48" t="str">
        <v>17/09/2026 15:50:57</v>
      </c>
      <c r="AK48" t="str">
        <v>15:50:57</v>
      </c>
      <c r="AL48" t="str">
        <v/>
      </c>
    </row>
    <row r="49">
      <c r="A49">
        <v>48</v>
      </c>
      <c r="B49" t="str">
        <v>MASS BSF</v>
      </c>
      <c r="C49" t="str">
        <v>ARY-825</v>
      </c>
      <c r="D49" t="str">
        <v>ARY-825</v>
      </c>
      <c r="E49" t="str">
        <v/>
      </c>
      <c r="F49" t="str">
        <v>867162029858180</v>
      </c>
      <c r="G49" t="str">
        <v/>
      </c>
      <c r="H49" t="str">
        <v/>
      </c>
      <c r="I49" t="str">
        <v/>
      </c>
      <c r="J49" t="str">
        <v>17/09/2026</v>
      </c>
      <c r="K49" t="str">
        <v>15:55:07</v>
      </c>
      <c r="L49">
        <v>-12.187154</v>
      </c>
      <c r="M49">
        <v>-76.93042</v>
      </c>
      <c r="N49">
        <f>HYPERLINK("https://www.google.com/maps/search/?api=1&amp;query=-12.187154,-76.93042","Jirón Túpac Yupanqui, Villa María del Triunfo, Lima")</f>
      </c>
      <c r="O49" t="str">
        <v>Giro brusco</v>
      </c>
      <c r="P49">
        <v>269418.3</v>
      </c>
      <c r="Q49" t="str">
        <v/>
      </c>
      <c r="R49">
        <v>21.8</v>
      </c>
      <c r="S49">
        <v>74.9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100</v>
      </c>
      <c r="AB49" t="str">
        <v>17/09/2026</v>
      </c>
      <c r="AC49" t="str">
        <v>15:55:05</v>
      </c>
      <c r="AD49">
        <f>IF("ONLINE"="NOGPS","GPS Antiguo","En línea")</f>
      </c>
      <c r="AE49">
        <f>IF(0=0,"Sin atender", IF(0=1,"Atendida","Atendida y Reportada"))</f>
      </c>
      <c r="AF49" t="str">
        <v/>
      </c>
      <c r="AG49" t="str">
        <v/>
      </c>
      <c r="AH49" t="str">
        <v/>
      </c>
      <c r="AI49" t="str">
        <v/>
      </c>
      <c r="AJ49" t="str">
        <v>17/09/2026 15:55:28</v>
      </c>
      <c r="AK49" t="str">
        <v>15:55:28</v>
      </c>
      <c r="AL49" t="str">
        <v/>
      </c>
    </row>
    <row r="50">
      <c r="A50">
        <v>49</v>
      </c>
      <c r="B50" t="str">
        <v>MASS BSF</v>
      </c>
      <c r="C50" t="str">
        <v>ARY-825</v>
      </c>
      <c r="D50" t="str">
        <v>ARY-825</v>
      </c>
      <c r="E50" t="str">
        <v/>
      </c>
      <c r="F50" t="str">
        <v>867162029858180</v>
      </c>
      <c r="G50" t="str">
        <v/>
      </c>
      <c r="H50" t="str">
        <v/>
      </c>
      <c r="I50" t="str">
        <v/>
      </c>
      <c r="J50" t="str">
        <v>17/09/2026</v>
      </c>
      <c r="K50" t="str">
        <v>15:58:44</v>
      </c>
      <c r="L50">
        <v>-12.192967</v>
      </c>
      <c r="M50">
        <v>-76.92594</v>
      </c>
      <c r="N50">
        <f>HYPERLINK("https://www.google.com/maps/search/?api=1&amp;query=-12.192967,-76.92594","Avenida La Mariscala, Villa María del Triunfo, Lima")</f>
      </c>
      <c r="O50" t="str">
        <v>Vehículo apagado</v>
      </c>
      <c r="P50">
        <v>269419.2</v>
      </c>
      <c r="Q50" t="str">
        <v/>
      </c>
      <c r="R50">
        <v>19.9</v>
      </c>
      <c r="S50">
        <v>75.03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100</v>
      </c>
      <c r="AB50" t="str">
        <v>17/09/2026</v>
      </c>
      <c r="AC50" t="str">
        <v>15:58:14</v>
      </c>
      <c r="AD50">
        <f>IF("ONLINE"="NOGPS","GPS Antiguo","En línea")</f>
      </c>
      <c r="AE50">
        <f>IF(0=0,"Sin atender", IF(0=1,"Atendida","Atendida y Reportada"))</f>
      </c>
      <c r="AF50" t="str">
        <v/>
      </c>
      <c r="AG50" t="str">
        <v/>
      </c>
      <c r="AH50" t="str">
        <v/>
      </c>
      <c r="AI50" t="str">
        <v/>
      </c>
      <c r="AJ50" t="str">
        <v>17/09/2026 15:58:57</v>
      </c>
      <c r="AK50" t="str">
        <v>15:58:57</v>
      </c>
      <c r="AL50" t="str">
        <v/>
      </c>
    </row>
    <row r="51">
      <c r="A51">
        <v>50</v>
      </c>
      <c r="B51" t="str">
        <v>MASS BSF</v>
      </c>
      <c r="C51" t="str">
        <v>ARY-825</v>
      </c>
      <c r="D51" t="str">
        <v>ARY-825</v>
      </c>
      <c r="E51" t="str">
        <v/>
      </c>
      <c r="F51" t="str">
        <v>867162029858180</v>
      </c>
      <c r="G51" t="str">
        <v/>
      </c>
      <c r="H51" t="str">
        <v/>
      </c>
      <c r="I51" t="str">
        <v/>
      </c>
      <c r="J51" t="str">
        <v>17/09/2026</v>
      </c>
      <c r="K51" t="str">
        <v>16:02:31</v>
      </c>
      <c r="L51">
        <v>-12.193393</v>
      </c>
      <c r="M51">
        <v>-76.92665</v>
      </c>
      <c r="N51">
        <f>HYPERLINK("https://www.google.com/maps/search/?api=1&amp;query=-12.193393,-76.92665","Avenida La Mariscala, Villa María del Triunfo, Lima")</f>
      </c>
      <c r="O51" t="str">
        <v>Vehículo encendido</v>
      </c>
      <c r="P51">
        <v>269419.3</v>
      </c>
      <c r="Q51" t="str">
        <v/>
      </c>
      <c r="R51">
        <v>0</v>
      </c>
      <c r="S51">
        <v>75.03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100</v>
      </c>
      <c r="AB51" t="str">
        <v>17/09/2026</v>
      </c>
      <c r="AC51" t="str">
        <v>15:58:46</v>
      </c>
      <c r="AD51">
        <f>IF("ONLINE"="NOGPS","GPS Antiguo","En línea")</f>
      </c>
      <c r="AE51">
        <f>IF(0=0,"Sin atender", IF(0=1,"Atendida","Atendida y Reportada"))</f>
      </c>
      <c r="AF51" t="str">
        <v/>
      </c>
      <c r="AG51" t="str">
        <v/>
      </c>
      <c r="AH51" t="str">
        <v/>
      </c>
      <c r="AI51" t="str">
        <v/>
      </c>
      <c r="AJ51" t="str">
        <v>17/09/2026 16:02:48</v>
      </c>
      <c r="AK51" t="str">
        <v>16:02:48</v>
      </c>
      <c r="AL51" t="str">
        <v/>
      </c>
    </row>
    <row r="52">
      <c r="A52">
        <v>51</v>
      </c>
      <c r="B52" t="str">
        <v>MASS BSF</v>
      </c>
      <c r="C52" t="str">
        <v>ARY-825</v>
      </c>
      <c r="D52" t="str">
        <v>ARY-825</v>
      </c>
      <c r="E52" t="str">
        <v/>
      </c>
      <c r="F52" t="str">
        <v>867162029858180</v>
      </c>
      <c r="G52" t="str">
        <v/>
      </c>
      <c r="H52" t="str">
        <v/>
      </c>
      <c r="I52" t="str">
        <v/>
      </c>
      <c r="J52" t="str">
        <v>17/09/2026</v>
      </c>
      <c r="K52" t="str">
        <v>16:06:55</v>
      </c>
      <c r="L52">
        <v>-12.193371</v>
      </c>
      <c r="M52">
        <v>-76.92701</v>
      </c>
      <c r="N52">
        <f>HYPERLINK("https://www.google.com/maps/search/?api=1&amp;query=-12.193371,-76.92701","Avenida La Mariscala, Villa María del Triunfo, Lima")</f>
      </c>
      <c r="O52" t="str">
        <v>Vehículo apagado</v>
      </c>
      <c r="P52">
        <v>269419.4</v>
      </c>
      <c r="Q52" t="str">
        <v/>
      </c>
      <c r="R52">
        <v>0</v>
      </c>
      <c r="S52">
        <v>75.1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100</v>
      </c>
      <c r="AB52" t="str">
        <v>17/09/2026</v>
      </c>
      <c r="AC52" t="str">
        <v>16:06:57</v>
      </c>
      <c r="AD52">
        <f>IF("ONLINE"="NOGPS","GPS Antiguo","En línea")</f>
      </c>
      <c r="AE52">
        <f>IF(0=0,"Sin atender", IF(0=1,"Atendida","Atendida y Reportada"))</f>
      </c>
      <c r="AF52" t="str">
        <v/>
      </c>
      <c r="AG52" t="str">
        <v/>
      </c>
      <c r="AH52" t="str">
        <v/>
      </c>
      <c r="AI52" t="str">
        <v/>
      </c>
      <c r="AJ52" t="str">
        <v>17/09/2026 16:07:11</v>
      </c>
      <c r="AK52" t="str">
        <v>16:07:11</v>
      </c>
      <c r="AL52" t="str">
        <v/>
      </c>
    </row>
  </sheetData>
  <ignoredErrors>
    <ignoredError numberStoredAsText="1" sqref="A1:AL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