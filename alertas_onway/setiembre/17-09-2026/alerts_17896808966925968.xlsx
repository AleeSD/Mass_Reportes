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17/09/2026</v>
      </c>
      <c r="K2" t="str">
        <v>05:08:46</v>
      </c>
      <c r="L2">
        <v>-12.213025</v>
      </c>
      <c r="M2">
        <v>-76.95882</v>
      </c>
      <c r="N2">
        <f>HYPERLINK("https://www.google.com/maps/search/?api=1&amp;query=-12.213025,-76.95882","Villa El Salvador, Lima")</f>
      </c>
      <c r="O2" t="str">
        <v>Vehículo encendido</v>
      </c>
      <c r="P2">
        <v>1446.5</v>
      </c>
      <c r="Q2" t="str">
        <v/>
      </c>
      <c r="R2">
        <v>0</v>
      </c>
      <c r="S2">
        <v>103.15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93</v>
      </c>
      <c r="AB2" t="str">
        <v>17/09/2026</v>
      </c>
      <c r="AC2" t="str">
        <v>05:08:45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05:08:59</v>
      </c>
      <c r="AK2" t="str">
        <v>05:08:59</v>
      </c>
      <c r="AL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17/09/2026</v>
      </c>
      <c r="K3" t="str">
        <v>05:47:44</v>
      </c>
      <c r="L3">
        <v>-12.168752</v>
      </c>
      <c r="M3">
        <v>-76.95082</v>
      </c>
      <c r="N3">
        <f>HYPERLINK("https://www.google.com/maps/search/?api=1&amp;query=-12.168752,-76.95082","Avenida Pachacútec, Villa María del Triunfo, Lima")</f>
      </c>
      <c r="O3" t="str">
        <v>Vehículo apagado</v>
      </c>
      <c r="P3">
        <v>1456.3</v>
      </c>
      <c r="Q3" t="str">
        <v/>
      </c>
      <c r="R3">
        <v>0</v>
      </c>
      <c r="S3">
        <v>103.8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93</v>
      </c>
      <c r="AB3" t="str">
        <v>17/09/2026</v>
      </c>
      <c r="AC3" t="str">
        <v>05:47:42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05:48:00</v>
      </c>
      <c r="AK3" t="str">
        <v>05:48:00</v>
      </c>
      <c r="AL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/>
      </c>
      <c r="J4" t="str">
        <v>17/09/2026</v>
      </c>
      <c r="K4" t="str">
        <v>05:47:44</v>
      </c>
      <c r="L4">
        <v>-12.168752</v>
      </c>
      <c r="M4">
        <v>-76.95082</v>
      </c>
      <c r="N4">
        <f>HYPERLINK("https://www.google.com/maps/search/?api=1&amp;query=-12.168752,-76.95082","Avenida Pachacútec, Villa María del Triunfo, Lima")</f>
      </c>
      <c r="O4" t="str">
        <v>Se detuvo</v>
      </c>
      <c r="P4">
        <v>1456.3</v>
      </c>
      <c r="Q4" t="str">
        <v/>
      </c>
      <c r="R4">
        <v>0</v>
      </c>
      <c r="S4">
        <v>103.15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93</v>
      </c>
      <c r="AB4" t="str">
        <v>17/09/2026</v>
      </c>
      <c r="AC4" t="str">
        <v>05:47:42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05:47:51</v>
      </c>
      <c r="AK4" t="str">
        <v>05:47:51</v>
      </c>
      <c r="AL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/>
      </c>
      <c r="J5" t="str">
        <v>17/09/2026</v>
      </c>
      <c r="K5" t="str">
        <v>06:47:13</v>
      </c>
      <c r="L5">
        <v>-12.168752</v>
      </c>
      <c r="M5">
        <v>-76.95082</v>
      </c>
      <c r="N5">
        <f>HYPERLINK("https://www.google.com/maps/search/?api=1&amp;query=-12.168752,-76.95082","Avenida Pachacútec, Villa María del Triunfo, Lima")</f>
      </c>
      <c r="O5" t="str">
        <v>Vehículo encendido</v>
      </c>
      <c r="P5">
        <v>1456.3</v>
      </c>
      <c r="Q5" t="str">
        <v/>
      </c>
      <c r="R5">
        <v>0</v>
      </c>
      <c r="S5">
        <v>103.8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83</v>
      </c>
      <c r="AB5" t="str">
        <v>17/09/2026</v>
      </c>
      <c r="AC5" t="str">
        <v>06:47:12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06:47:21</v>
      </c>
      <c r="AK5" t="str">
        <v>06:47:21</v>
      </c>
      <c r="AL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/>
      </c>
      <c r="J6" t="str">
        <v>17/09/2026</v>
      </c>
      <c r="K6" t="str">
        <v>06:54:43</v>
      </c>
      <c r="L6">
        <v>-12.168752</v>
      </c>
      <c r="M6">
        <v>-76.95082</v>
      </c>
      <c r="N6">
        <f>HYPERLINK("https://www.google.com/maps/search/?api=1&amp;query=-12.168752,-76.95082","Avenida Pachacútec, Villa María del Triunfo, Lima")</f>
      </c>
      <c r="O6" t="str">
        <v>Vehículo apagado</v>
      </c>
      <c r="P6">
        <v>1456.3</v>
      </c>
      <c r="Q6" t="str">
        <v/>
      </c>
      <c r="R6">
        <v>0</v>
      </c>
      <c r="S6">
        <v>103.93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83</v>
      </c>
      <c r="AB6" t="str">
        <v>17/09/2026</v>
      </c>
      <c r="AC6" t="str">
        <v>06:54:41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06:54:55</v>
      </c>
      <c r="AK6" t="str">
        <v>06:54:55</v>
      </c>
      <c r="AL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/>
      </c>
      <c r="J7" t="str">
        <v>17/09/2026</v>
      </c>
      <c r="K7" t="str">
        <v>06:54:43</v>
      </c>
      <c r="L7">
        <v>-12.168752</v>
      </c>
      <c r="M7">
        <v>-76.95082</v>
      </c>
      <c r="N7">
        <f>HYPERLINK("https://www.google.com/maps/search/?api=1&amp;query=-12.168752,-76.95082","Avenida Pachacútec, Villa María del Triunfo, Lima")</f>
      </c>
      <c r="O7" t="str">
        <v>Se detuvo</v>
      </c>
      <c r="P7">
        <v>1456.3</v>
      </c>
      <c r="Q7" t="str">
        <v/>
      </c>
      <c r="R7">
        <v>0</v>
      </c>
      <c r="S7">
        <v>103.8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83</v>
      </c>
      <c r="AB7" t="str">
        <v>17/09/2026</v>
      </c>
      <c r="AC7" t="str">
        <v>06:54:41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06:54:53</v>
      </c>
      <c r="AK7" t="str">
        <v>06:54:53</v>
      </c>
      <c r="AL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/>
      </c>
      <c r="J8" t="str">
        <v>17/09/2026</v>
      </c>
      <c r="K8" t="str">
        <v>07:40:13</v>
      </c>
      <c r="L8">
        <v>-12.168752</v>
      </c>
      <c r="M8">
        <v>-76.95082</v>
      </c>
      <c r="N8">
        <f>HYPERLINK("https://www.google.com/maps/search/?api=1&amp;query=-12.168752,-76.95082","Avenida Pachacútec, Villa María del Triunfo, Lima")</f>
      </c>
      <c r="O8" t="str">
        <v>Vehículo encendido</v>
      </c>
      <c r="P8">
        <v>1456.3</v>
      </c>
      <c r="Q8" t="str">
        <v/>
      </c>
      <c r="R8">
        <v>0</v>
      </c>
      <c r="S8">
        <v>103.93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83</v>
      </c>
      <c r="AB8" t="str">
        <v>17/09/2026</v>
      </c>
      <c r="AC8" t="str">
        <v>07:40:11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07:40:35</v>
      </c>
      <c r="AK8" t="str">
        <v>07:40:35</v>
      </c>
      <c r="AL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/>
      </c>
      <c r="J9" t="str">
        <v>17/09/2026</v>
      </c>
      <c r="K9" t="str">
        <v>08:14:33</v>
      </c>
      <c r="L9">
        <v>-12.193395</v>
      </c>
      <c r="M9">
        <v>-76.92678</v>
      </c>
      <c r="N9">
        <f>HYPERLINK("https://www.google.com/maps/search/?api=1&amp;query=-12.193395,-76.92678","Avenida La Mariscala, Villa María del Triunfo, Lima")</f>
      </c>
      <c r="O9" t="str">
        <v>Vehículo apagado</v>
      </c>
      <c r="P9">
        <v>1460.9</v>
      </c>
      <c r="Q9" t="str">
        <v/>
      </c>
      <c r="R9">
        <v>0</v>
      </c>
      <c r="S9">
        <v>104.5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85</v>
      </c>
      <c r="AB9" t="str">
        <v>17/09/2026</v>
      </c>
      <c r="AC9" t="str">
        <v>08:14:30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08:14:55</v>
      </c>
      <c r="AK9" t="str">
        <v>08:14:55</v>
      </c>
      <c r="AL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/>
      </c>
      <c r="J10" t="str">
        <v>17/09/2026</v>
      </c>
      <c r="K10" t="str">
        <v>08:14:33</v>
      </c>
      <c r="L10">
        <v>-12.193395</v>
      </c>
      <c r="M10">
        <v>-76.92678</v>
      </c>
      <c r="N10">
        <f>HYPERLINK("https://www.google.com/maps/search/?api=1&amp;query=-12.193395,-76.92678","Avenida La Mariscala, Villa María del Triunfo, Lima")</f>
      </c>
      <c r="O10" t="str">
        <v>Se detuvo</v>
      </c>
      <c r="P10">
        <v>1460.9</v>
      </c>
      <c r="Q10" t="str">
        <v/>
      </c>
      <c r="R10">
        <v>0</v>
      </c>
      <c r="S10">
        <v>103.93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85</v>
      </c>
      <c r="AB10" t="str">
        <v>17/09/2026</v>
      </c>
      <c r="AC10" t="str">
        <v>08:14:30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08:14:56</v>
      </c>
      <c r="AK10" t="str">
        <v>08:14:56</v>
      </c>
      <c r="AL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/>
      </c>
      <c r="J11" t="str">
        <v>17/09/2026</v>
      </c>
      <c r="K11" t="str">
        <v>08:29:23</v>
      </c>
      <c r="L11">
        <v>-12.193395</v>
      </c>
      <c r="M11">
        <v>-76.92678</v>
      </c>
      <c r="N11">
        <f>HYPERLINK("https://www.google.com/maps/search/?api=1&amp;query=-12.193395,-76.92678","Avenida La Mariscala, Villa María del Triunfo, Lima")</f>
      </c>
      <c r="O11" t="str">
        <v>Vehículo encendido</v>
      </c>
      <c r="P11">
        <v>1460.9</v>
      </c>
      <c r="Q11" t="str">
        <v/>
      </c>
      <c r="R11">
        <v>0</v>
      </c>
      <c r="S11">
        <v>104.5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85</v>
      </c>
      <c r="AB11" t="str">
        <v>17/09/2026</v>
      </c>
      <c r="AC11" t="str">
        <v>08:29:20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08:29:41</v>
      </c>
      <c r="AK11" t="str">
        <v>08:29:41</v>
      </c>
      <c r="AL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/>
      </c>
      <c r="J12" t="str">
        <v>17/09/2026</v>
      </c>
      <c r="K12" t="str">
        <v>08:43:33</v>
      </c>
      <c r="L12">
        <v>-12.182894</v>
      </c>
      <c r="M12">
        <v>-76.92295</v>
      </c>
      <c r="N12">
        <f>HYPERLINK("https://www.google.com/maps/search/?api=1&amp;query=-12.182894,-76.92295","Jirón Mayta Cápac, Villa María del Triunfo, Lima")</f>
      </c>
      <c r="O12" t="str">
        <v>Vehículo apagado</v>
      </c>
      <c r="P12">
        <v>1462.8</v>
      </c>
      <c r="Q12" t="str">
        <v/>
      </c>
      <c r="R12">
        <v>0</v>
      </c>
      <c r="S12">
        <v>104.73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91</v>
      </c>
      <c r="AB12" t="str">
        <v>17/09/2026</v>
      </c>
      <c r="AC12" t="str">
        <v>08:43:30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08:43:39</v>
      </c>
      <c r="AK12" t="str">
        <v>08:43:39</v>
      </c>
      <c r="AL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17/09/2026</v>
      </c>
      <c r="K13" t="str">
        <v>08:43:33</v>
      </c>
      <c r="L13">
        <v>-12.182894</v>
      </c>
      <c r="M13">
        <v>-76.92295</v>
      </c>
      <c r="N13">
        <f>HYPERLINK("https://www.google.com/maps/search/?api=1&amp;query=-12.182894,-76.92295","Jirón Mayta Cápac, Villa María del Triunfo, Lima")</f>
      </c>
      <c r="O13" t="str">
        <v>Se detuvo</v>
      </c>
      <c r="P13">
        <v>1462.8</v>
      </c>
      <c r="Q13" t="str">
        <v/>
      </c>
      <c r="R13">
        <v>0</v>
      </c>
      <c r="S13">
        <v>104.5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91</v>
      </c>
      <c r="AB13" t="str">
        <v>17/09/2026</v>
      </c>
      <c r="AC13" t="str">
        <v>08:43:30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08:43:39</v>
      </c>
      <c r="AK13" t="str">
        <v>08:43:39</v>
      </c>
      <c r="AL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17/09/2026</v>
      </c>
      <c r="K14" t="str">
        <v>09:08:33</v>
      </c>
      <c r="L14">
        <v>-12.182894</v>
      </c>
      <c r="M14">
        <v>-76.92295</v>
      </c>
      <c r="N14">
        <f>HYPERLINK("https://www.google.com/maps/search/?api=1&amp;query=-12.182894,-76.92295","Jirón Mayta Cápac, Villa María del Triunfo, Lima")</f>
      </c>
      <c r="O14" t="str">
        <v>Vehículo encendido</v>
      </c>
      <c r="P14">
        <v>1462.8</v>
      </c>
      <c r="Q14" t="str">
        <v/>
      </c>
      <c r="R14">
        <v>0</v>
      </c>
      <c r="S14">
        <v>104.73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82</v>
      </c>
      <c r="AB14" t="str">
        <v>17/09/2026</v>
      </c>
      <c r="AC14" t="str">
        <v>09:08:31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09:08:49</v>
      </c>
      <c r="AK14" t="str">
        <v>09:08:49</v>
      </c>
      <c r="AL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17/09/2026</v>
      </c>
      <c r="K15" t="str">
        <v>09:12:54</v>
      </c>
      <c r="L15">
        <v>-12.190164</v>
      </c>
      <c r="M15">
        <v>-76.93008</v>
      </c>
      <c r="N15">
        <f>HYPERLINK("https://www.google.com/maps/search/?api=1&amp;query=-12.190164,-76.93008","Avenida 27 de Diciembre, Villa María del Triunfo, Lima")</f>
      </c>
      <c r="O15" t="str">
        <v>Exceso de velocidad en segmento vial</v>
      </c>
      <c r="P15">
        <v>1464.2</v>
      </c>
      <c r="Q15" t="str">
        <v/>
      </c>
      <c r="R15">
        <v>55</v>
      </c>
      <c r="S15">
        <v>104.73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90</v>
      </c>
      <c r="AB15" t="str">
        <v>17/09/2026</v>
      </c>
      <c r="AC15" t="str">
        <v>09:12:51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09:13:13</v>
      </c>
      <c r="AK15" t="str">
        <v>09:13:13</v>
      </c>
      <c r="AL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17/09/2026</v>
      </c>
      <c r="K16" t="str">
        <v>09:19:14</v>
      </c>
      <c r="L16">
        <v>-12.21416</v>
      </c>
      <c r="M16">
        <v>-76.92253</v>
      </c>
      <c r="N16">
        <f>HYPERLINK("https://www.google.com/maps/search/?api=1&amp;query=-12.21416,-76.92253","Avenida Pachacútec, Villa El Salvador, Lima")</f>
      </c>
      <c r="O16" t="str">
        <v>Exceso de velocidad en segmento vial</v>
      </c>
      <c r="P16">
        <v>1468</v>
      </c>
      <c r="Q16" t="str">
        <v/>
      </c>
      <c r="R16">
        <v>65.5</v>
      </c>
      <c r="S16">
        <v>104.73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89</v>
      </c>
      <c r="AB16" t="str">
        <v>17/09/2026</v>
      </c>
      <c r="AC16" t="str">
        <v>09:19:12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09:19:21</v>
      </c>
      <c r="AK16" t="str">
        <v>09:19:21</v>
      </c>
      <c r="AL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17/09/2026</v>
      </c>
      <c r="K17" t="str">
        <v>09:19:59</v>
      </c>
      <c r="L17">
        <v>-12.221672</v>
      </c>
      <c r="M17">
        <v>-76.9205</v>
      </c>
      <c r="N17">
        <f>HYPERLINK("https://www.google.com/maps/search/?api=1&amp;query=-12.221672,-76.9205","Avenida Pachacútec, Villa El Salvador, Lima")</f>
      </c>
      <c r="O17" t="str">
        <v>Exceso de velocidad en segmento vial</v>
      </c>
      <c r="P17">
        <v>1468.9</v>
      </c>
      <c r="Q17" t="str">
        <v/>
      </c>
      <c r="R17">
        <v>76.4</v>
      </c>
      <c r="S17">
        <v>104.73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93</v>
      </c>
      <c r="AB17" t="str">
        <v>17/09/2026</v>
      </c>
      <c r="AC17" t="str">
        <v>09:19:57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09:20:15</v>
      </c>
      <c r="AK17" t="str">
        <v>09:20:15</v>
      </c>
      <c r="AL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17/09/2026</v>
      </c>
      <c r="K18" t="str">
        <v>10:05:41</v>
      </c>
      <c r="L18">
        <v>-12.317353</v>
      </c>
      <c r="M18">
        <v>-76.82298</v>
      </c>
      <c r="N18">
        <f>HYPERLINK("https://www.google.com/maps/search/?api=1&amp;query=-12.317353,-76.82298","Punta Hermosa, Lima")</f>
      </c>
      <c r="O18" t="str">
        <v>Vehículo apagado</v>
      </c>
      <c r="P18">
        <v>1493.9</v>
      </c>
      <c r="Q18" t="str">
        <v/>
      </c>
      <c r="R18">
        <v>0</v>
      </c>
      <c r="S18">
        <v>105.68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90</v>
      </c>
      <c r="AB18" t="str">
        <v>17/09/2026</v>
      </c>
      <c r="AC18" t="str">
        <v>10:05:38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10:05:48</v>
      </c>
      <c r="AK18" t="str">
        <v>10:05:48</v>
      </c>
      <c r="AL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17/09/2026</v>
      </c>
      <c r="K19" t="str">
        <v>10:05:41</v>
      </c>
      <c r="L19">
        <v>-12.317353</v>
      </c>
      <c r="M19">
        <v>-76.82298</v>
      </c>
      <c r="N19">
        <f>HYPERLINK("https://www.google.com/maps/search/?api=1&amp;query=-12.317353,-76.82298","Punta Hermosa, Lima")</f>
      </c>
      <c r="O19" t="str">
        <v>Se detuvo</v>
      </c>
      <c r="P19">
        <v>1493.9</v>
      </c>
      <c r="Q19" t="str">
        <v/>
      </c>
      <c r="R19">
        <v>0</v>
      </c>
      <c r="S19">
        <v>104.73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90</v>
      </c>
      <c r="AB19" t="str">
        <v>17/09/2026</v>
      </c>
      <c r="AC19" t="str">
        <v>10:05:38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10:05:48</v>
      </c>
      <c r="AK19" t="str">
        <v>10:05:48</v>
      </c>
      <c r="AL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17/09/2026</v>
      </c>
      <c r="K20" t="str">
        <v>10:06:26</v>
      </c>
      <c r="L20">
        <v>-12.317353</v>
      </c>
      <c r="M20">
        <v>-76.82298</v>
      </c>
      <c r="N20">
        <f>HYPERLINK("https://www.google.com/maps/search/?api=1&amp;query=-12.317353,-76.82298","Punta Hermosa, Lima")</f>
      </c>
      <c r="O20" t="str">
        <v>Vehículo encendido</v>
      </c>
      <c r="P20">
        <v>1493.9</v>
      </c>
      <c r="Q20" t="str">
        <v/>
      </c>
      <c r="R20">
        <v>0</v>
      </c>
      <c r="S20">
        <v>105.68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90</v>
      </c>
      <c r="AB20" t="str">
        <v>17/09/2026</v>
      </c>
      <c r="AC20" t="str">
        <v>10:06:23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10:06:36</v>
      </c>
      <c r="AK20" t="str">
        <v>10:06:36</v>
      </c>
      <c r="AL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/>
      </c>
      <c r="J21" t="str">
        <v>17/09/2026</v>
      </c>
      <c r="K21" t="str">
        <v>10:15:26</v>
      </c>
      <c r="L21">
        <v>-12.317832</v>
      </c>
      <c r="M21">
        <v>-76.82419</v>
      </c>
      <c r="N21">
        <f>HYPERLINK("https://www.google.com/maps/search/?api=1&amp;query=-12.317832,-76.82419","Punta Hermosa, Lima")</f>
      </c>
      <c r="O21" t="str">
        <v>Vehículo apagado</v>
      </c>
      <c r="P21">
        <v>1494.2</v>
      </c>
      <c r="Q21" t="str">
        <v/>
      </c>
      <c r="R21">
        <v>0</v>
      </c>
      <c r="S21">
        <v>105.83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90</v>
      </c>
      <c r="AB21" t="str">
        <v>17/09/2026</v>
      </c>
      <c r="AC21" t="str">
        <v>10:15:22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10:15:43</v>
      </c>
      <c r="AK21" t="str">
        <v>10:15:43</v>
      </c>
      <c r="AL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17/09/2026</v>
      </c>
      <c r="K22" t="str">
        <v>10:15:26</v>
      </c>
      <c r="L22">
        <v>-12.317832</v>
      </c>
      <c r="M22">
        <v>-76.82419</v>
      </c>
      <c r="N22">
        <f>HYPERLINK("https://www.google.com/maps/search/?api=1&amp;query=-12.317832,-76.82419","Punta Hermosa, Lima")</f>
      </c>
      <c r="O22" t="str">
        <v>Se detuvo</v>
      </c>
      <c r="P22">
        <v>1494.2</v>
      </c>
      <c r="Q22" t="str">
        <v/>
      </c>
      <c r="R22">
        <v>0</v>
      </c>
      <c r="S22">
        <v>105.68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90</v>
      </c>
      <c r="AB22" t="str">
        <v>17/09/2026</v>
      </c>
      <c r="AC22" t="str">
        <v>10:15:22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10:15:43</v>
      </c>
      <c r="AK22" t="str">
        <v>10:15:43</v>
      </c>
      <c r="AL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17/09/2026</v>
      </c>
      <c r="K23" t="str">
        <v>10:20:35</v>
      </c>
      <c r="L23">
        <v>-12.317832</v>
      </c>
      <c r="M23">
        <v>-76.82419</v>
      </c>
      <c r="N23">
        <f>HYPERLINK("https://www.google.com/maps/search/?api=1&amp;query=-12.317832,-76.82419","Punta Hermosa, Lima")</f>
      </c>
      <c r="O23" t="str">
        <v>Vehículo encendido</v>
      </c>
      <c r="P23">
        <v>1494.2</v>
      </c>
      <c r="Q23" t="str">
        <v/>
      </c>
      <c r="R23">
        <v>0</v>
      </c>
      <c r="S23">
        <v>105.83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90</v>
      </c>
      <c r="AB23" t="str">
        <v>17/09/2026</v>
      </c>
      <c r="AC23" t="str">
        <v>10:20:32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10:20:48</v>
      </c>
      <c r="AK23" t="str">
        <v>10:20:48</v>
      </c>
      <c r="AL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17/09/2026</v>
      </c>
      <c r="K24" t="str">
        <v>10:31:02</v>
      </c>
      <c r="L24">
        <v>-12.317743</v>
      </c>
      <c r="M24">
        <v>-76.82417</v>
      </c>
      <c r="N24">
        <f>HYPERLINK("https://www.google.com/maps/search/?api=1&amp;query=-12.317743,-76.82417","Punta Hermosa, Lima")</f>
      </c>
      <c r="O24" t="str">
        <v>Vehículo apagado</v>
      </c>
      <c r="P24">
        <v>1494.3</v>
      </c>
      <c r="Q24" t="str">
        <v/>
      </c>
      <c r="R24">
        <v>0</v>
      </c>
      <c r="S24">
        <v>106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92</v>
      </c>
      <c r="AB24" t="str">
        <v>17/09/2026</v>
      </c>
      <c r="AC24" t="str">
        <v>10:30:58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10:31:12</v>
      </c>
      <c r="AK24" t="str">
        <v>10:31:12</v>
      </c>
      <c r="AL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/>
      </c>
      <c r="J25" t="str">
        <v>17/09/2026</v>
      </c>
      <c r="K25" t="str">
        <v>10:31:02</v>
      </c>
      <c r="L25">
        <v>-12.317743</v>
      </c>
      <c r="M25">
        <v>-76.82417</v>
      </c>
      <c r="N25">
        <f>HYPERLINK("https://www.google.com/maps/search/?api=1&amp;query=-12.317743,-76.82417","Punta Hermosa, Lima")</f>
      </c>
      <c r="O25" t="str">
        <v>Se detuvo</v>
      </c>
      <c r="P25">
        <v>1494.3</v>
      </c>
      <c r="Q25" t="str">
        <v/>
      </c>
      <c r="R25">
        <v>0</v>
      </c>
      <c r="S25">
        <v>105.83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92</v>
      </c>
      <c r="AB25" t="str">
        <v>17/09/2026</v>
      </c>
      <c r="AC25" t="str">
        <v>10:30:58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10:31:12</v>
      </c>
      <c r="AK25" t="str">
        <v>10:31:12</v>
      </c>
      <c r="AL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/>
      </c>
      <c r="J26" t="str">
        <v>17/09/2026</v>
      </c>
      <c r="K26" t="str">
        <v>11:02:00</v>
      </c>
      <c r="L26">
        <v>-12.317743</v>
      </c>
      <c r="M26">
        <v>-76.82417</v>
      </c>
      <c r="N26">
        <f>HYPERLINK("https://www.google.com/maps/search/?api=1&amp;query=-12.317743,-76.82417","Punta Hermosa, Lima")</f>
      </c>
      <c r="O26" t="str">
        <v>Vehículo encendido</v>
      </c>
      <c r="P26">
        <v>1494.3</v>
      </c>
      <c r="Q26" t="str">
        <v/>
      </c>
      <c r="R26">
        <v>0</v>
      </c>
      <c r="S26">
        <v>106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91</v>
      </c>
      <c r="AB26" t="str">
        <v>17/09/2026</v>
      </c>
      <c r="AC26" t="str">
        <v>11:01:56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11:02:09</v>
      </c>
      <c r="AK26" t="str">
        <v>11:02:09</v>
      </c>
      <c r="AL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17/09/2026</v>
      </c>
      <c r="K27" t="str">
        <v>11:47:54</v>
      </c>
      <c r="L27">
        <v>-12.170036</v>
      </c>
      <c r="M27">
        <v>-76.96823</v>
      </c>
      <c r="N27">
        <f>HYPERLINK("https://www.google.com/maps/search/?api=1&amp;query=-12.170036,-76.96823","Avenida César Canevaro, San Juan de Miraflores, Lima")</f>
      </c>
      <c r="O27" t="str">
        <v>Vehículo apagado</v>
      </c>
      <c r="P27">
        <v>1521.6</v>
      </c>
      <c r="Q27" t="str">
        <v/>
      </c>
      <c r="R27">
        <v>0</v>
      </c>
      <c r="S27">
        <v>106.77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91</v>
      </c>
      <c r="AB27" t="str">
        <v>17/09/2026</v>
      </c>
      <c r="AC27" t="str">
        <v>11:47:50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11:48:06</v>
      </c>
      <c r="AK27" t="str">
        <v>11:48:06</v>
      </c>
      <c r="AL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17/09/2026</v>
      </c>
      <c r="K28" t="str">
        <v>11:47:54</v>
      </c>
      <c r="L28">
        <v>-12.170036</v>
      </c>
      <c r="M28">
        <v>-76.96823</v>
      </c>
      <c r="N28">
        <f>HYPERLINK("https://www.google.com/maps/search/?api=1&amp;query=-12.170036,-76.96823","Avenida César Canevaro, San Juan de Miraflores, Lima")</f>
      </c>
      <c r="O28" t="str">
        <v>Se detuvo</v>
      </c>
      <c r="P28">
        <v>1521.6</v>
      </c>
      <c r="Q28" t="str">
        <v/>
      </c>
      <c r="R28">
        <v>0</v>
      </c>
      <c r="S28">
        <v>106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91</v>
      </c>
      <c r="AB28" t="str">
        <v>17/09/2026</v>
      </c>
      <c r="AC28" t="str">
        <v>11:47:50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11:48:06</v>
      </c>
      <c r="AK28" t="str">
        <v>11:48:06</v>
      </c>
      <c r="AL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17/09/2026</v>
      </c>
      <c r="K29" t="str">
        <v>11:53:51</v>
      </c>
      <c r="L29">
        <v>-12.170036</v>
      </c>
      <c r="M29">
        <v>-76.96823</v>
      </c>
      <c r="N29">
        <f>HYPERLINK("https://www.google.com/maps/search/?api=1&amp;query=-12.170036,-76.96823","Avenida César Canevaro, San Juan de Miraflores, Lima")</f>
      </c>
      <c r="O29" t="str">
        <v>Vehículo encendido</v>
      </c>
      <c r="P29">
        <v>1521.6</v>
      </c>
      <c r="Q29" t="str">
        <v/>
      </c>
      <c r="R29">
        <v>0</v>
      </c>
      <c r="S29">
        <v>106.77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91</v>
      </c>
      <c r="AB29" t="str">
        <v>17/09/2026</v>
      </c>
      <c r="AC29" t="str">
        <v>11:53:42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11:54:04</v>
      </c>
      <c r="AK29" t="str">
        <v>11:54:04</v>
      </c>
      <c r="AL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17/09/2026</v>
      </c>
      <c r="K30" t="str">
        <v>12:04:44</v>
      </c>
      <c r="L30">
        <v>-12.163961</v>
      </c>
      <c r="M30">
        <v>-76.96908</v>
      </c>
      <c r="N30">
        <f>HYPERLINK("https://www.google.com/maps/search/?api=1&amp;query=-12.163961,-76.96908","Avenida César Canevaro, San Juan de Miraflores, Lima")</f>
      </c>
      <c r="O30" t="str">
        <v>Vehículo apagado</v>
      </c>
      <c r="P30">
        <v>1522.3</v>
      </c>
      <c r="Q30" t="str">
        <v/>
      </c>
      <c r="R30">
        <v>0</v>
      </c>
      <c r="S30">
        <v>106.95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83</v>
      </c>
      <c r="AB30" t="str">
        <v>17/09/2026</v>
      </c>
      <c r="AC30" t="str">
        <v>12:04:40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12:04:57</v>
      </c>
      <c r="AK30" t="str">
        <v>12:04:57</v>
      </c>
      <c r="AL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17/09/2026</v>
      </c>
      <c r="K31" t="str">
        <v>12:04:44</v>
      </c>
      <c r="L31">
        <v>-12.163961</v>
      </c>
      <c r="M31">
        <v>-76.96908</v>
      </c>
      <c r="N31">
        <f>HYPERLINK("https://www.google.com/maps/search/?api=1&amp;query=-12.163961,-76.96908","Avenida César Canevaro, San Juan de Miraflores, Lima")</f>
      </c>
      <c r="O31" t="str">
        <v>Se detuvo</v>
      </c>
      <c r="P31">
        <v>1522.3</v>
      </c>
      <c r="Q31" t="str">
        <v/>
      </c>
      <c r="R31">
        <v>0</v>
      </c>
      <c r="S31">
        <v>106.77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83</v>
      </c>
      <c r="AB31" t="str">
        <v>17/09/2026</v>
      </c>
      <c r="AC31" t="str">
        <v>12:04:40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12:05:02</v>
      </c>
      <c r="AK31" t="str">
        <v>12:05:02</v>
      </c>
      <c r="AL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17/09/2026</v>
      </c>
      <c r="K32" t="str">
        <v>12:12:00</v>
      </c>
      <c r="L32">
        <v>-12.163961</v>
      </c>
      <c r="M32">
        <v>-76.96908</v>
      </c>
      <c r="N32">
        <f>HYPERLINK("https://www.google.com/maps/search/?api=1&amp;query=-12.163961,-76.96908","Avenida César Canevaro, San Juan de Miraflores, Lima")</f>
      </c>
      <c r="O32" t="str">
        <v>Vehículo encendido</v>
      </c>
      <c r="P32">
        <v>1522.3</v>
      </c>
      <c r="Q32" t="str">
        <v/>
      </c>
      <c r="R32">
        <v>0</v>
      </c>
      <c r="S32">
        <v>106.95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83</v>
      </c>
      <c r="AB32" t="str">
        <v>17/09/2026</v>
      </c>
      <c r="AC32" t="str">
        <v>12:11:56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12:12:04</v>
      </c>
      <c r="AK32" t="str">
        <v>12:12:04</v>
      </c>
      <c r="AL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17/09/2026</v>
      </c>
      <c r="K33" t="str">
        <v>12:22:33</v>
      </c>
      <c r="L33">
        <v>-12.162824</v>
      </c>
      <c r="M33">
        <v>-76.965546</v>
      </c>
      <c r="N33">
        <f>HYPERLINK("https://www.google.com/maps/search/?api=1&amp;query=-12.162824,-76.965546","Avenida Belisario Suárez, San Juan de Miraflores, Lima")</f>
      </c>
      <c r="O33" t="str">
        <v>Vehículo apagado</v>
      </c>
      <c r="P33">
        <v>1523.2</v>
      </c>
      <c r="Q33" t="str">
        <v/>
      </c>
      <c r="R33">
        <v>0</v>
      </c>
      <c r="S33">
        <v>107.13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87</v>
      </c>
      <c r="AB33" t="str">
        <v>17/09/2026</v>
      </c>
      <c r="AC33" t="str">
        <v>12:22:29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12:22:42</v>
      </c>
      <c r="AK33" t="str">
        <v>12:22:42</v>
      </c>
      <c r="AL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/>
      </c>
      <c r="J34" t="str">
        <v>17/09/2026</v>
      </c>
      <c r="K34" t="str">
        <v>12:22:33</v>
      </c>
      <c r="L34">
        <v>-12.162824</v>
      </c>
      <c r="M34">
        <v>-76.965546</v>
      </c>
      <c r="N34">
        <f>HYPERLINK("https://www.google.com/maps/search/?api=1&amp;query=-12.162824,-76.965546","Avenida Belisario Suárez, San Juan de Miraflores, Lima")</f>
      </c>
      <c r="O34" t="str">
        <v>Se detuvo</v>
      </c>
      <c r="P34">
        <v>1523.2</v>
      </c>
      <c r="Q34" t="str">
        <v/>
      </c>
      <c r="R34">
        <v>0</v>
      </c>
      <c r="S34">
        <v>106.95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87</v>
      </c>
      <c r="AB34" t="str">
        <v>17/09/2026</v>
      </c>
      <c r="AC34" t="str">
        <v>12:22:29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12:22:37</v>
      </c>
      <c r="AK34" t="str">
        <v>12:22:37</v>
      </c>
      <c r="AL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/>
      </c>
      <c r="J35" t="str">
        <v>17/09/2026</v>
      </c>
      <c r="K35" t="str">
        <v>12:35:34</v>
      </c>
      <c r="L35">
        <v>-12.162824</v>
      </c>
      <c r="M35">
        <v>-76.965546</v>
      </c>
      <c r="N35">
        <f>HYPERLINK("https://www.google.com/maps/search/?api=1&amp;query=-12.162824,-76.965546","Avenida Belisario Suárez, San Juan de Miraflores, Lima")</f>
      </c>
      <c r="O35" t="str">
        <v>Vehículo encendido</v>
      </c>
      <c r="P35">
        <v>1523.2</v>
      </c>
      <c r="Q35" t="str">
        <v/>
      </c>
      <c r="R35">
        <v>0</v>
      </c>
      <c r="S35">
        <v>107.13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87</v>
      </c>
      <c r="AB35" t="str">
        <v>17/09/2026</v>
      </c>
      <c r="AC35" t="str">
        <v>12:35:30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12:35:43</v>
      </c>
      <c r="AK35" t="str">
        <v>12:35:43</v>
      </c>
      <c r="AL35" t="str">
        <v/>
      </c>
    </row>
    <row r="36">
      <c r="A36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/>
      </c>
      <c r="J36" t="str">
        <v>17/09/2026</v>
      </c>
      <c r="K36" t="str">
        <v>12:43:04</v>
      </c>
      <c r="L36">
        <v>-12.162824</v>
      </c>
      <c r="M36">
        <v>-76.965546</v>
      </c>
      <c r="N36">
        <f>HYPERLINK("https://www.google.com/maps/search/?api=1&amp;query=-12.162824,-76.965546","Avenida Belisario Suárez, San Juan de Miraflores, Lima")</f>
      </c>
      <c r="O36" t="str">
        <v>Vehículo apagado</v>
      </c>
      <c r="P36">
        <v>1523.2</v>
      </c>
      <c r="Q36" t="str">
        <v/>
      </c>
      <c r="R36">
        <v>0</v>
      </c>
      <c r="S36">
        <v>107.27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87</v>
      </c>
      <c r="AB36" t="str">
        <v>17/09/2026</v>
      </c>
      <c r="AC36" t="str">
        <v>12:43:00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12:43:13</v>
      </c>
      <c r="AK36" t="str">
        <v>12:43:13</v>
      </c>
      <c r="AL36" t="str">
        <v/>
      </c>
    </row>
    <row r="37">
      <c r="A37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/>
      </c>
      <c r="J37" t="str">
        <v>17/09/2026</v>
      </c>
      <c r="K37" t="str">
        <v>12:43:04</v>
      </c>
      <c r="L37">
        <v>-12.162824</v>
      </c>
      <c r="M37">
        <v>-76.965546</v>
      </c>
      <c r="N37">
        <f>HYPERLINK("https://www.google.com/maps/search/?api=1&amp;query=-12.162824,-76.965546","Avenida Belisario Suárez, San Juan de Miraflores, Lima")</f>
      </c>
      <c r="O37" t="str">
        <v>Se detuvo</v>
      </c>
      <c r="P37">
        <v>1523.2</v>
      </c>
      <c r="Q37" t="str">
        <v/>
      </c>
      <c r="R37">
        <v>0</v>
      </c>
      <c r="S37">
        <v>107.13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87</v>
      </c>
      <c r="AB37" t="str">
        <v>17/09/2026</v>
      </c>
      <c r="AC37" t="str">
        <v>12:43:00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12:43:14</v>
      </c>
      <c r="AK37" t="str">
        <v>12:43:14</v>
      </c>
      <c r="AL37" t="str">
        <v/>
      </c>
    </row>
    <row r="38">
      <c r="A38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/>
      </c>
      <c r="J38" t="str">
        <v>17/09/2026</v>
      </c>
      <c r="K38" t="str">
        <v>12:43:09</v>
      </c>
      <c r="L38">
        <v>-12.162824</v>
      </c>
      <c r="M38">
        <v>-76.965546</v>
      </c>
      <c r="N38">
        <f>HYPERLINK("https://www.google.com/maps/search/?api=1&amp;query=-12.162824,-76.965546","Avenida Belisario Suárez, San Juan de Miraflores, Lima")</f>
      </c>
      <c r="O38" t="str">
        <v>Vehículo encendido</v>
      </c>
      <c r="P38">
        <v>1523.2</v>
      </c>
      <c r="Q38" t="str">
        <v/>
      </c>
      <c r="R38">
        <v>0</v>
      </c>
      <c r="S38">
        <v>107.27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87</v>
      </c>
      <c r="AB38" t="str">
        <v>17/09/2026</v>
      </c>
      <c r="AC38" t="str">
        <v>12:43:05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12:43:23</v>
      </c>
      <c r="AK38" t="str">
        <v>12:43:23</v>
      </c>
      <c r="AL38" t="str">
        <v/>
      </c>
    </row>
    <row r="39">
      <c r="A39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/>
      </c>
      <c r="J39" t="str">
        <v>17/09/2026</v>
      </c>
      <c r="K39" t="str">
        <v>12:54:55</v>
      </c>
      <c r="L39">
        <v>-12.164605</v>
      </c>
      <c r="M39">
        <v>-76.974915</v>
      </c>
      <c r="N39">
        <f>HYPERLINK("https://www.google.com/maps/search/?api=1&amp;query=-12.164605,-76.974915","Avenida Lizardo Montero, San Juan de Miraflores, Lima")</f>
      </c>
      <c r="O39" t="str">
        <v>Vehículo apagado</v>
      </c>
      <c r="P39">
        <v>1524.6</v>
      </c>
      <c r="Q39" t="str">
        <v/>
      </c>
      <c r="R39">
        <v>0</v>
      </c>
      <c r="S39">
        <v>107.47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85</v>
      </c>
      <c r="AB39" t="str">
        <v>17/09/2026</v>
      </c>
      <c r="AC39" t="str">
        <v>12:54:50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12:55:02</v>
      </c>
      <c r="AK39" t="str">
        <v>12:55:02</v>
      </c>
      <c r="AL39" t="str">
        <v/>
      </c>
    </row>
    <row r="40">
      <c r="A40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/>
      </c>
      <c r="J40" t="str">
        <v>17/09/2026</v>
      </c>
      <c r="K40" t="str">
        <v>12:54:55</v>
      </c>
      <c r="L40">
        <v>-12.164605</v>
      </c>
      <c r="M40">
        <v>-76.974915</v>
      </c>
      <c r="N40">
        <f>HYPERLINK("https://www.google.com/maps/search/?api=1&amp;query=-12.164605,-76.974915","Avenida Lizardo Montero, San Juan de Miraflores, Lima")</f>
      </c>
      <c r="O40" t="str">
        <v>Se detuvo</v>
      </c>
      <c r="P40">
        <v>1524.6</v>
      </c>
      <c r="Q40" t="str">
        <v/>
      </c>
      <c r="R40">
        <v>0</v>
      </c>
      <c r="S40">
        <v>107.27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85</v>
      </c>
      <c r="AB40" t="str">
        <v>17/09/2026</v>
      </c>
      <c r="AC40" t="str">
        <v>12:54:50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12:55:00</v>
      </c>
      <c r="AK40" t="str">
        <v>12:55:00</v>
      </c>
      <c r="AL40" t="str">
        <v/>
      </c>
    </row>
    <row r="41">
      <c r="A41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/>
      </c>
      <c r="J41" t="str">
        <v>17/09/2026</v>
      </c>
      <c r="K41" t="str">
        <v>13:54:54</v>
      </c>
      <c r="L41">
        <v>-12.164605</v>
      </c>
      <c r="M41">
        <v>-76.974915</v>
      </c>
      <c r="N41">
        <f>HYPERLINK("https://www.google.com/maps/search/?api=1&amp;query=-12.164605,-76.974915","Avenida Lizardo Montero, San Juan de Miraflores, Lima")</f>
      </c>
      <c r="O41" t="str">
        <v>Vehículo encendido</v>
      </c>
      <c r="P41">
        <v>1524.6</v>
      </c>
      <c r="Q41" t="str">
        <v/>
      </c>
      <c r="R41">
        <v>0</v>
      </c>
      <c r="S41">
        <v>103.02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83</v>
      </c>
      <c r="AB41" t="str">
        <v>17/09/2026</v>
      </c>
      <c r="AC41" t="str">
        <v>13:54:49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13:55:03</v>
      </c>
      <c r="AK41" t="str">
        <v>13:55:03</v>
      </c>
      <c r="AL41" t="str">
        <v/>
      </c>
    </row>
    <row r="42">
      <c r="A42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/>
      </c>
      <c r="J42" t="str">
        <v>17/09/2026</v>
      </c>
      <c r="K42" t="str">
        <v>13:54:54</v>
      </c>
      <c r="L42">
        <v>-12.164605</v>
      </c>
      <c r="M42">
        <v>-76.974915</v>
      </c>
      <c r="N42">
        <f>HYPERLINK("https://www.google.com/maps/search/?api=1&amp;query=-12.164605,-76.974915","Avenida Lizardo Montero, San Juan de Miraflores, Lima")</f>
      </c>
      <c r="O42" t="str">
        <v>Se movio</v>
      </c>
      <c r="P42">
        <v>1524.6</v>
      </c>
      <c r="Q42" t="str">
        <v/>
      </c>
      <c r="R42">
        <v>0</v>
      </c>
      <c r="S42">
        <v>103.02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83</v>
      </c>
      <c r="AB42" t="str">
        <v>17/09/2026</v>
      </c>
      <c r="AC42" t="str">
        <v>13:54:49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13:55:05</v>
      </c>
      <c r="AK42" t="str">
        <v>13:55:05</v>
      </c>
      <c r="AL42" t="str">
        <v/>
      </c>
    </row>
    <row r="43">
      <c r="A43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/>
      </c>
      <c r="J43" t="str">
        <v>17/09/2026</v>
      </c>
      <c r="K43" t="str">
        <v>14:03:49</v>
      </c>
      <c r="L43">
        <v>-12.191863</v>
      </c>
      <c r="M43">
        <v>-76.972755</v>
      </c>
      <c r="N43">
        <f>HYPERLINK("https://www.google.com/maps/search/?api=1&amp;query=-12.191863,-76.972755","Carretera Panamericana Sur, San Juan de Miraflores, Lima")</f>
      </c>
      <c r="O43" t="str">
        <v>Exceso de velocidad en segmento vial</v>
      </c>
      <c r="P43">
        <v>1528.8</v>
      </c>
      <c r="Q43" t="str">
        <v/>
      </c>
      <c r="R43">
        <v>72.7</v>
      </c>
      <c r="S43">
        <v>103.02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93</v>
      </c>
      <c r="AB43" t="str">
        <v>17/09/2026</v>
      </c>
      <c r="AC43" t="str">
        <v>14:03:45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14:04:06</v>
      </c>
      <c r="AK43" t="str">
        <v>14:04:06</v>
      </c>
      <c r="AL43" t="str">
        <v/>
      </c>
    </row>
    <row r="44">
      <c r="A44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/>
      </c>
      <c r="J44" t="str">
        <v>17/09/2026</v>
      </c>
      <c r="K44" t="str">
        <v>14:35:15</v>
      </c>
      <c r="L44">
        <v>-12.32746</v>
      </c>
      <c r="M44">
        <v>-76.82496</v>
      </c>
      <c r="N44">
        <f>HYPERLINK("https://www.google.com/maps/search/?api=1&amp;query=-12.32746,-76.82496","Antigua Panamericana Sur, Punta Hermosa, Lima")</f>
      </c>
      <c r="O44" t="str">
        <v>Vehículo apagado</v>
      </c>
      <c r="P44">
        <v>1554.9</v>
      </c>
      <c r="Q44" t="str">
        <v/>
      </c>
      <c r="R44">
        <v>0</v>
      </c>
      <c r="S44">
        <v>103.68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91</v>
      </c>
      <c r="AB44" t="str">
        <v>17/09/2026</v>
      </c>
      <c r="AC44" t="str">
        <v>14:35:10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14:35:16</v>
      </c>
      <c r="AK44" t="str">
        <v>14:35:16</v>
      </c>
      <c r="AL44" t="str">
        <v/>
      </c>
    </row>
    <row r="45">
      <c r="A45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/>
      </c>
      <c r="J45" t="str">
        <v>17/09/2026</v>
      </c>
      <c r="K45" t="str">
        <v>14:38:10</v>
      </c>
      <c r="L45">
        <v>-12.32746</v>
      </c>
      <c r="M45">
        <v>-76.82496</v>
      </c>
      <c r="N45">
        <f>HYPERLINK("https://www.google.com/maps/search/?api=1&amp;query=-12.32746,-76.82496","Antigua Panamericana Sur, Punta Hermosa, Lima")</f>
      </c>
      <c r="O45" t="str">
        <v>Vehículo encendido</v>
      </c>
      <c r="P45">
        <v>1554.9</v>
      </c>
      <c r="Q45" t="str">
        <v/>
      </c>
      <c r="R45">
        <v>0</v>
      </c>
      <c r="S45">
        <v>103.68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91</v>
      </c>
      <c r="AB45" t="str">
        <v>17/09/2026</v>
      </c>
      <c r="AC45" t="str">
        <v>14:38:05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14:38:20</v>
      </c>
      <c r="AK45" t="str">
        <v>14:38:20</v>
      </c>
      <c r="AL45" t="str">
        <v/>
      </c>
    </row>
    <row r="46">
      <c r="A46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/>
      </c>
      <c r="J46" t="str">
        <v>17/09/2026</v>
      </c>
      <c r="K46" t="str">
        <v>14:38:10</v>
      </c>
      <c r="L46">
        <v>-12.32746</v>
      </c>
      <c r="M46">
        <v>-76.82496</v>
      </c>
      <c r="N46">
        <f>HYPERLINK("https://www.google.com/maps/search/?api=1&amp;query=-12.32746,-76.82496","Antigua Panamericana Sur, Punta Hermosa, Lima")</f>
      </c>
      <c r="O46" t="str">
        <v>Se movio</v>
      </c>
      <c r="P46">
        <v>1554.9</v>
      </c>
      <c r="Q46" t="str">
        <v/>
      </c>
      <c r="R46">
        <v>0</v>
      </c>
      <c r="S46">
        <v>103.68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91</v>
      </c>
      <c r="AB46" t="str">
        <v>17/09/2026</v>
      </c>
      <c r="AC46" t="str">
        <v>14:38:05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14:38:27</v>
      </c>
      <c r="AK46" t="str">
        <v>14:38:27</v>
      </c>
      <c r="AL46" t="str">
        <v/>
      </c>
    </row>
    <row r="47">
      <c r="A47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/>
      </c>
      <c r="J47" t="str">
        <v>17/09/2026</v>
      </c>
      <c r="K47" t="str">
        <v>14:55:14</v>
      </c>
      <c r="L47">
        <v>-12.31736</v>
      </c>
      <c r="M47">
        <v>-76.82297</v>
      </c>
      <c r="N47">
        <f>HYPERLINK("https://www.google.com/maps/search/?api=1&amp;query=-12.31736,-76.82297","Punta Hermosa, Lima")</f>
      </c>
      <c r="O47" t="str">
        <v>Vehículo apagado</v>
      </c>
      <c r="P47">
        <v>1559</v>
      </c>
      <c r="Q47" t="str">
        <v/>
      </c>
      <c r="R47">
        <v>0</v>
      </c>
      <c r="S47">
        <v>103.97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86</v>
      </c>
      <c r="AB47" t="str">
        <v>17/09/2026</v>
      </c>
      <c r="AC47" t="str">
        <v>14:55:09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14:55:28</v>
      </c>
      <c r="AK47" t="str">
        <v>14:55:28</v>
      </c>
      <c r="AL47" t="str">
        <v/>
      </c>
    </row>
    <row r="48">
      <c r="A48">
        <v>47</v>
      </c>
      <c r="B48" t="str">
        <v>MASS BSF</v>
      </c>
      <c r="C48" t="str">
        <v>AAR-880</v>
      </c>
      <c r="D48" t="str">
        <v>AAR-880</v>
      </c>
      <c r="E48" t="str">
        <v/>
      </c>
      <c r="F48" t="str">
        <v>867806078847433</v>
      </c>
      <c r="G48" t="str">
        <v>Otro</v>
      </c>
      <c r="H48" t="str">
        <v/>
      </c>
      <c r="I48" t="str">
        <v/>
      </c>
      <c r="J48" t="str">
        <v>17/09/2026</v>
      </c>
      <c r="K48" t="str">
        <v>15:07:33</v>
      </c>
      <c r="L48">
        <v>-12.31736</v>
      </c>
      <c r="M48">
        <v>-76.82297</v>
      </c>
      <c r="N48">
        <f>HYPERLINK("https://www.google.com/maps/search/?api=1&amp;query=-12.31736,-76.82297","Punta Hermosa, Lima")</f>
      </c>
      <c r="O48" t="str">
        <v>Vehículo encendido</v>
      </c>
      <c r="P48">
        <v>1559</v>
      </c>
      <c r="Q48" t="str">
        <v/>
      </c>
      <c r="R48">
        <v>0</v>
      </c>
      <c r="S48">
        <v>103.97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86</v>
      </c>
      <c r="AB48" t="str">
        <v>17/09/2026</v>
      </c>
      <c r="AC48" t="str">
        <v>15:07:28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15:07:43</v>
      </c>
      <c r="AK48" t="str">
        <v>15:07:43</v>
      </c>
      <c r="AL48" t="str">
        <v/>
      </c>
    </row>
    <row r="49">
      <c r="A49">
        <v>48</v>
      </c>
      <c r="B49" t="str">
        <v>MASS BSF</v>
      </c>
      <c r="C49" t="str">
        <v>AAR-880</v>
      </c>
      <c r="D49" t="str">
        <v>AAR-880</v>
      </c>
      <c r="E49" t="str">
        <v/>
      </c>
      <c r="F49" t="str">
        <v>867806078847433</v>
      </c>
      <c r="G49" t="str">
        <v>Otro</v>
      </c>
      <c r="H49" t="str">
        <v/>
      </c>
      <c r="I49" t="str">
        <v/>
      </c>
      <c r="J49" t="str">
        <v>17/09/2026</v>
      </c>
      <c r="K49" t="str">
        <v>15:07:33</v>
      </c>
      <c r="L49">
        <v>-12.31736</v>
      </c>
      <c r="M49">
        <v>-76.82297</v>
      </c>
      <c r="N49">
        <f>HYPERLINK("https://www.google.com/maps/search/?api=1&amp;query=-12.31736,-76.82297","Punta Hermosa, Lima")</f>
      </c>
      <c r="O49" t="str">
        <v>Se movio</v>
      </c>
      <c r="P49">
        <v>1559</v>
      </c>
      <c r="Q49" t="str">
        <v/>
      </c>
      <c r="R49">
        <v>0</v>
      </c>
      <c r="S49">
        <v>103.97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86</v>
      </c>
      <c r="AB49" t="str">
        <v>17/09/2026</v>
      </c>
      <c r="AC49" t="str">
        <v>15:07:28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17/09/2026 15:07:47</v>
      </c>
      <c r="AK49" t="str">
        <v>15:07:47</v>
      </c>
      <c r="AL49" t="str">
        <v/>
      </c>
    </row>
    <row r="50">
      <c r="A50">
        <v>49</v>
      </c>
      <c r="B50" t="str">
        <v>MASS BSF</v>
      </c>
      <c r="C50" t="str">
        <v>AAR-880</v>
      </c>
      <c r="D50" t="str">
        <v>AAR-880</v>
      </c>
      <c r="E50" t="str">
        <v/>
      </c>
      <c r="F50" t="str">
        <v>867806078847433</v>
      </c>
      <c r="G50" t="str">
        <v>Otro</v>
      </c>
      <c r="H50" t="str">
        <v/>
      </c>
      <c r="I50" t="str">
        <v/>
      </c>
      <c r="J50" t="str">
        <v>17/09/2026</v>
      </c>
      <c r="K50" t="str">
        <v>15:17:18</v>
      </c>
      <c r="L50">
        <v>-12.317757</v>
      </c>
      <c r="M50">
        <v>-76.82423</v>
      </c>
      <c r="N50">
        <f>HYPERLINK("https://www.google.com/maps/search/?api=1&amp;query=-12.317757,-76.82423","Punta Hermosa, Lima")</f>
      </c>
      <c r="O50" t="str">
        <v>Vehículo apagado</v>
      </c>
      <c r="P50">
        <v>1559.3</v>
      </c>
      <c r="Q50" t="str">
        <v/>
      </c>
      <c r="R50">
        <v>0</v>
      </c>
      <c r="S50">
        <v>104.13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93</v>
      </c>
      <c r="AB50" t="str">
        <v>17/09/2026</v>
      </c>
      <c r="AC50" t="str">
        <v>15:17:18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17/09/2026 15:17:42</v>
      </c>
      <c r="AK50" t="str">
        <v>15:17:42</v>
      </c>
      <c r="AL50" t="str">
        <v/>
      </c>
    </row>
    <row r="51">
      <c r="A51">
        <v>50</v>
      </c>
      <c r="B51" t="str">
        <v>MASS BSF</v>
      </c>
      <c r="C51" t="str">
        <v>AAR-880</v>
      </c>
      <c r="D51" t="str">
        <v>AAR-880</v>
      </c>
      <c r="E51" t="str">
        <v/>
      </c>
      <c r="F51" t="str">
        <v>867806078847433</v>
      </c>
      <c r="G51" t="str">
        <v>Otro</v>
      </c>
      <c r="H51" t="str">
        <v/>
      </c>
      <c r="I51" t="str">
        <v/>
      </c>
      <c r="J51" t="str">
        <v>17/09/2026</v>
      </c>
      <c r="K51" t="str">
        <v>15:49:14</v>
      </c>
      <c r="L51">
        <v>-12.317757</v>
      </c>
      <c r="M51">
        <v>-76.82423</v>
      </c>
      <c r="N51">
        <f>HYPERLINK("https://www.google.com/maps/search/?api=1&amp;query=-12.317757,-76.82423","Punta Hermosa, Lima")</f>
      </c>
      <c r="O51" t="str">
        <v>Vehículo encendido</v>
      </c>
      <c r="P51">
        <v>1559.3</v>
      </c>
      <c r="Q51" t="str">
        <v/>
      </c>
      <c r="R51">
        <v>0</v>
      </c>
      <c r="S51">
        <v>104.13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85</v>
      </c>
      <c r="AB51" t="str">
        <v>17/09/2026</v>
      </c>
      <c r="AC51" t="str">
        <v>15:49:13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17/09/2026 15:49:36</v>
      </c>
      <c r="AK51" t="str">
        <v>15:49:36</v>
      </c>
      <c r="AL51" t="str">
        <v/>
      </c>
    </row>
    <row r="52">
      <c r="A52">
        <v>51</v>
      </c>
      <c r="B52" t="str">
        <v>MASS BSF</v>
      </c>
      <c r="C52" t="str">
        <v>AAR-880</v>
      </c>
      <c r="D52" t="str">
        <v>AAR-880</v>
      </c>
      <c r="E52" t="str">
        <v/>
      </c>
      <c r="F52" t="str">
        <v>867806078847433</v>
      </c>
      <c r="G52" t="str">
        <v>Otro</v>
      </c>
      <c r="H52" t="str">
        <v/>
      </c>
      <c r="I52" t="str">
        <v/>
      </c>
      <c r="J52" t="str">
        <v>17/09/2026</v>
      </c>
      <c r="K52" t="str">
        <v>15:49:14</v>
      </c>
      <c r="L52">
        <v>-12.317757</v>
      </c>
      <c r="M52">
        <v>-76.82423</v>
      </c>
      <c r="N52">
        <f>HYPERLINK("https://www.google.com/maps/search/?api=1&amp;query=-12.317757,-76.82423","Punta Hermosa, Lima")</f>
      </c>
      <c r="O52" t="str">
        <v>Se movio</v>
      </c>
      <c r="P52">
        <v>1559.3</v>
      </c>
      <c r="Q52" t="str">
        <v/>
      </c>
      <c r="R52">
        <v>0</v>
      </c>
      <c r="S52">
        <v>104.13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85</v>
      </c>
      <c r="AB52" t="str">
        <v>17/09/2026</v>
      </c>
      <c r="AC52" t="str">
        <v>15:49:13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17/09/2026 15:49:38</v>
      </c>
      <c r="AK52" t="str">
        <v>15:49:38</v>
      </c>
      <c r="AL52" t="str">
        <v/>
      </c>
    </row>
    <row r="53">
      <c r="A53">
        <v>52</v>
      </c>
      <c r="B53" t="str">
        <v>MASS BSF</v>
      </c>
      <c r="C53" t="str">
        <v>AAR-880</v>
      </c>
      <c r="D53" t="str">
        <v>AAR-880</v>
      </c>
      <c r="E53" t="str">
        <v/>
      </c>
      <c r="F53" t="str">
        <v>867806078847433</v>
      </c>
      <c r="G53" t="str">
        <v>Otro</v>
      </c>
      <c r="H53" t="str">
        <v/>
      </c>
      <c r="I53" t="str">
        <v/>
      </c>
      <c r="J53" t="str">
        <v>17/09/2026</v>
      </c>
      <c r="K53" t="str">
        <v>15:57:23</v>
      </c>
      <c r="L53">
        <v>-12.317465</v>
      </c>
      <c r="M53">
        <v>-76.824425</v>
      </c>
      <c r="N53">
        <f>HYPERLINK("https://www.google.com/maps/search/?api=1&amp;query=-12.317465,-76.824425","Punta Hermosa, Lima")</f>
      </c>
      <c r="O53" t="str">
        <v>Vehículo apagado</v>
      </c>
      <c r="P53">
        <v>1559.4</v>
      </c>
      <c r="Q53" t="str">
        <v/>
      </c>
      <c r="R53">
        <v>0</v>
      </c>
      <c r="S53">
        <v>104.27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93</v>
      </c>
      <c r="AB53" t="str">
        <v>17/09/2026</v>
      </c>
      <c r="AC53" t="str">
        <v>15:57:22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17/09/2026 15:57:37</v>
      </c>
      <c r="AK53" t="str">
        <v>15:57:37</v>
      </c>
      <c r="AL53" t="str">
        <v/>
      </c>
    </row>
    <row r="54">
      <c r="A54">
        <v>53</v>
      </c>
      <c r="B54" t="str">
        <v>MASS BSF</v>
      </c>
      <c r="C54" t="str">
        <v>AAR-880</v>
      </c>
      <c r="D54" t="str">
        <v>AAR-880</v>
      </c>
      <c r="E54" t="str">
        <v/>
      </c>
      <c r="F54" t="str">
        <v>867806078847433</v>
      </c>
      <c r="G54" t="str">
        <v>Otro</v>
      </c>
      <c r="H54" t="str">
        <v/>
      </c>
      <c r="I54" t="str">
        <v/>
      </c>
      <c r="J54" t="str">
        <v>17/09/2026</v>
      </c>
      <c r="K54" t="str">
        <v>16:15:43</v>
      </c>
      <c r="L54">
        <v>-12.317465</v>
      </c>
      <c r="M54">
        <v>-76.824425</v>
      </c>
      <c r="N54">
        <f>HYPERLINK("https://www.google.com/maps/search/?api=1&amp;query=-12.317465,-76.824425","Punta Hermosa, Lima")</f>
      </c>
      <c r="O54" t="str">
        <v>Vehículo encendido</v>
      </c>
      <c r="P54">
        <v>1559.4</v>
      </c>
      <c r="Q54" t="str">
        <v/>
      </c>
      <c r="R54">
        <v>0</v>
      </c>
      <c r="S54">
        <v>104.27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93</v>
      </c>
      <c r="AB54" t="str">
        <v>17/09/2026</v>
      </c>
      <c r="AC54" t="str">
        <v>16:15:43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17/09/2026 16:16:00</v>
      </c>
      <c r="AK54" t="str">
        <v>16:16:00</v>
      </c>
      <c r="AL54" t="str">
        <v/>
      </c>
    </row>
    <row r="55">
      <c r="A55">
        <v>54</v>
      </c>
      <c r="B55" t="str">
        <v>MASS BSF</v>
      </c>
      <c r="C55" t="str">
        <v>AAR-880</v>
      </c>
      <c r="D55" t="str">
        <v>AAR-880</v>
      </c>
      <c r="E55" t="str">
        <v/>
      </c>
      <c r="F55" t="str">
        <v>867806078847433</v>
      </c>
      <c r="G55" t="str">
        <v>Otro</v>
      </c>
      <c r="H55" t="str">
        <v/>
      </c>
      <c r="I55" t="str">
        <v/>
      </c>
      <c r="J55" t="str">
        <v>17/09/2026</v>
      </c>
      <c r="K55" t="str">
        <v>16:15:43</v>
      </c>
      <c r="L55">
        <v>-12.317465</v>
      </c>
      <c r="M55">
        <v>-76.824425</v>
      </c>
      <c r="N55">
        <f>HYPERLINK("https://www.google.com/maps/search/?api=1&amp;query=-12.317465,-76.824425","Punta Hermosa, Lima")</f>
      </c>
      <c r="O55" t="str">
        <v>Se movio</v>
      </c>
      <c r="P55">
        <v>1559.4</v>
      </c>
      <c r="Q55" t="str">
        <v/>
      </c>
      <c r="R55">
        <v>0</v>
      </c>
      <c r="S55">
        <v>104.27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93</v>
      </c>
      <c r="AB55" t="str">
        <v>17/09/2026</v>
      </c>
      <c r="AC55" t="str">
        <v>16:15:43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17/09/2026 16:15:57</v>
      </c>
      <c r="AK55" t="str">
        <v>16:15:57</v>
      </c>
      <c r="AL55" t="str">
        <v/>
      </c>
    </row>
    <row r="56">
      <c r="A56">
        <v>55</v>
      </c>
      <c r="B56" t="str">
        <v>MASS BSF</v>
      </c>
      <c r="C56" t="str">
        <v>AAR-880</v>
      </c>
      <c r="D56" t="str">
        <v>AAR-880</v>
      </c>
      <c r="E56" t="str">
        <v/>
      </c>
      <c r="F56" t="str">
        <v>867806078847433</v>
      </c>
      <c r="G56" t="str">
        <v>Otro</v>
      </c>
      <c r="H56" t="str">
        <v/>
      </c>
      <c r="I56" t="str">
        <v/>
      </c>
      <c r="J56" t="str">
        <v>17/09/2026</v>
      </c>
      <c r="K56" t="str">
        <v>16:26:25</v>
      </c>
      <c r="L56">
        <v>-12.317785</v>
      </c>
      <c r="M56">
        <v>-76.82422</v>
      </c>
      <c r="N56">
        <f>HYPERLINK("https://www.google.com/maps/search/?api=1&amp;query=-12.317785,-76.82422","Punta Hermosa, Lima")</f>
      </c>
      <c r="O56" t="str">
        <v>Vehículo apagado</v>
      </c>
      <c r="P56">
        <v>1559.4</v>
      </c>
      <c r="Q56" t="str">
        <v/>
      </c>
      <c r="R56">
        <v>0</v>
      </c>
      <c r="S56">
        <v>104.45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83</v>
      </c>
      <c r="AB56" t="str">
        <v>17/09/2026</v>
      </c>
      <c r="AC56" t="str">
        <v>16:26:24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17/09/2026 16:26:40</v>
      </c>
      <c r="AK56" t="str">
        <v>16:26:40</v>
      </c>
      <c r="AL56" t="str">
        <v/>
      </c>
    </row>
    <row r="57">
      <c r="A57">
        <v>56</v>
      </c>
      <c r="B57" t="str">
        <v>MASS BSF</v>
      </c>
      <c r="C57" t="str">
        <v>AAR-880</v>
      </c>
      <c r="D57" t="str">
        <v>AAR-880</v>
      </c>
      <c r="E57" t="str">
        <v/>
      </c>
      <c r="F57" t="str">
        <v>867806078847433</v>
      </c>
      <c r="G57" t="str">
        <v>Otro</v>
      </c>
      <c r="H57" t="str">
        <v/>
      </c>
      <c r="I57" t="str">
        <v/>
      </c>
      <c r="J57" t="str">
        <v>17/09/2026</v>
      </c>
      <c r="K57" t="str">
        <v>16:46:06</v>
      </c>
      <c r="L57">
        <v>-12.317785</v>
      </c>
      <c r="M57">
        <v>-76.824218</v>
      </c>
      <c r="N57">
        <f>HYPERLINK("https://www.google.com/maps/search/?api=1&amp;query=-12.317785,-76.824218","Punta Hermosa, Lima")</f>
      </c>
      <c r="O57" t="str">
        <v>Se movio</v>
      </c>
      <c r="P57">
        <v>1559.4</v>
      </c>
      <c r="Q57" t="str">
        <v/>
      </c>
      <c r="R57">
        <v>0</v>
      </c>
      <c r="S57">
        <v>104.45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83</v>
      </c>
      <c r="AB57" t="str">
        <v>17/09/2026</v>
      </c>
      <c r="AC57" t="str">
        <v>16:46:05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17/09/2026 16:46:19</v>
      </c>
      <c r="AK57" t="str">
        <v>16:46:19</v>
      </c>
      <c r="AL57" t="str">
        <v/>
      </c>
    </row>
    <row r="58">
      <c r="A58">
        <v>57</v>
      </c>
      <c r="B58" t="str">
        <v>MASS BSF</v>
      </c>
      <c r="C58" t="str">
        <v>AAR-880</v>
      </c>
      <c r="D58" t="str">
        <v>AAR-880</v>
      </c>
      <c r="E58" t="str">
        <v/>
      </c>
      <c r="F58" t="str">
        <v>867806078847433</v>
      </c>
      <c r="G58" t="str">
        <v>Otro</v>
      </c>
      <c r="H58" t="str">
        <v/>
      </c>
      <c r="I58" t="str">
        <v/>
      </c>
      <c r="J58" t="str">
        <v>17/09/2026</v>
      </c>
      <c r="K58" t="str">
        <v>16:46:06</v>
      </c>
      <c r="L58">
        <v>-12.317785</v>
      </c>
      <c r="M58">
        <v>-76.824218</v>
      </c>
      <c r="N58">
        <f>HYPERLINK("https://www.google.com/maps/search/?api=1&amp;query=-12.317785,-76.824218","Punta Hermosa, Lima")</f>
      </c>
      <c r="O58" t="str">
        <v>Vehículo encendido</v>
      </c>
      <c r="P58">
        <v>1559.4</v>
      </c>
      <c r="Q58" t="str">
        <v/>
      </c>
      <c r="R58">
        <v>0</v>
      </c>
      <c r="S58">
        <v>104.45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83</v>
      </c>
      <c r="AB58" t="str">
        <v>17/09/2026</v>
      </c>
      <c r="AC58" t="str">
        <v>16:46:05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17/09/2026 16:46:18</v>
      </c>
      <c r="AK58" t="str">
        <v>16:46:18</v>
      </c>
      <c r="AL58" t="str">
        <v/>
      </c>
    </row>
  </sheetData>
  <ignoredErrors>
    <ignoredError numberStoredAsText="1" sqref="A1:A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