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0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Odómetro (Km)</v>
      </c>
      <c r="Q1" t="str">
        <v>Zona</v>
      </c>
      <c r="R1" t="str">
        <v>Velocidad (Km/h)</v>
      </c>
      <c r="S1" t="str">
        <v>Horómetro (Hrs)</v>
      </c>
      <c r="T1" t="str">
        <v>Velocidad máxima permitida</v>
      </c>
      <c r="U1" t="str">
        <v>Velocidad máxima alcanzada</v>
      </c>
      <c r="V1" t="str">
        <v>Velocidad promedio</v>
      </c>
      <c r="W1" t="str">
        <v>Duración (segundos)</v>
      </c>
      <c r="X1" t="str">
        <v>Severidad de la alerta</v>
      </c>
      <c r="Y1" t="str">
        <v>Fecha y hora de inicio del exceso</v>
      </c>
      <c r="Z1" t="str">
        <v>Fecha y hora de fin del exceso</v>
      </c>
      <c r="AA1" t="str">
        <v>% Batería</v>
      </c>
      <c r="AB1" t="str">
        <v>Fecha GPS</v>
      </c>
      <c r="AC1" t="str">
        <v>Hora GPS</v>
      </c>
      <c r="AD1" t="str">
        <v>Estado GPS</v>
      </c>
      <c r="AE1" t="str">
        <v>Atención Alerta</v>
      </c>
      <c r="AF1" t="str">
        <v>Reporte de Alerta</v>
      </c>
      <c r="AG1" t="str">
        <v>Fecha Reporte Al.</v>
      </c>
      <c r="AH1" t="str">
        <v>Hora Reporte Al.</v>
      </c>
      <c r="AI1" t="str">
        <v>Registro de Atención</v>
      </c>
      <c r="AJ1" t="str">
        <v>Fecha Registro At.</v>
      </c>
      <c r="AK1" t="str">
        <v>Hora Registro At.</v>
      </c>
      <c r="AL1" t="str">
        <v>Notas</v>
      </c>
    </row>
    <row r="2">
      <c r="A2">
        <v>1</v>
      </c>
      <c r="B2" t="str">
        <v>MASS BSF</v>
      </c>
      <c r="C2" t="str">
        <v>AKO-712</v>
      </c>
      <c r="D2" t="str">
        <v>AKO-712</v>
      </c>
      <c r="E2" t="str">
        <v/>
      </c>
      <c r="F2" t="str">
        <v>867162027717156</v>
      </c>
      <c r="G2" t="str">
        <v>TBD</v>
      </c>
      <c r="H2" t="str">
        <v/>
      </c>
      <c r="I2" t="str">
        <v/>
      </c>
      <c r="J2" t="str">
        <v>17/09/2026</v>
      </c>
      <c r="K2" t="str">
        <v>06:09:38</v>
      </c>
      <c r="L2">
        <v>-12.213152</v>
      </c>
      <c r="M2">
        <v>-76.9589</v>
      </c>
      <c r="N2">
        <f>HYPERLINK("https://www.google.com/maps/search/?api=1&amp;query=-12.213152,-76.9589","Villa El Salvador, Lima")</f>
      </c>
      <c r="O2" t="str">
        <v>Vehículo encendido</v>
      </c>
      <c r="P2">
        <v>560582.5</v>
      </c>
      <c r="Q2" t="str">
        <v/>
      </c>
      <c r="R2">
        <v>0</v>
      </c>
      <c r="S2">
        <v>0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>
        <v>98</v>
      </c>
      <c r="AB2" t="str">
        <v>17/09/2026</v>
      </c>
      <c r="AC2" t="str">
        <v>06:00:35</v>
      </c>
      <c r="AD2">
        <f>IF("NOGPS"="NOGPS","GPS Antiguo","En línea")</f>
      </c>
      <c r="AE2">
        <f>IF(0=0,"Sin atender", IF(0=1,"Atendida","Atendida y Reportada"))</f>
      </c>
      <c r="AF2" t="str">
        <v/>
      </c>
      <c r="AG2" t="str">
        <v/>
      </c>
      <c r="AH2" t="str">
        <v/>
      </c>
      <c r="AI2" t="str">
        <v/>
      </c>
      <c r="AJ2" t="str">
        <v>17/09/2026 06:09:46</v>
      </c>
      <c r="AK2" t="str">
        <v>06:09:46</v>
      </c>
      <c r="AL2" t="str">
        <v/>
      </c>
    </row>
    <row r="3">
      <c r="A3">
        <v>2</v>
      </c>
      <c r="B3" t="str">
        <v>MASS BSF</v>
      </c>
      <c r="C3" t="str">
        <v>AKO-712</v>
      </c>
      <c r="D3" t="str">
        <v>AKO-712</v>
      </c>
      <c r="E3" t="str">
        <v/>
      </c>
      <c r="F3" t="str">
        <v>867162027717156</v>
      </c>
      <c r="G3" t="str">
        <v>TBD</v>
      </c>
      <c r="H3" t="str">
        <v/>
      </c>
      <c r="I3" t="str">
        <v/>
      </c>
      <c r="J3" t="str">
        <v>17/09/2026</v>
      </c>
      <c r="K3" t="str">
        <v>06:40:51</v>
      </c>
      <c r="L3">
        <v>-12.15029</v>
      </c>
      <c r="M3">
        <v>-76.95117</v>
      </c>
      <c r="N3">
        <f>HYPERLINK("https://www.google.com/maps/search/?api=1&amp;query=-12.15029,-76.95117","Avenida José Carlos Mariátegui, Villa María del Triunfo, Lima")</f>
      </c>
      <c r="O3" t="str">
        <v>Vehículo apagado</v>
      </c>
      <c r="P3">
        <v>560592.7</v>
      </c>
      <c r="Q3" t="str">
        <v/>
      </c>
      <c r="R3">
        <v>37.1</v>
      </c>
      <c r="S3">
        <v>0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>
        <v>98</v>
      </c>
      <c r="AB3" t="str">
        <v>17/09/2026</v>
      </c>
      <c r="AC3" t="str">
        <v>06:39:35</v>
      </c>
      <c r="AD3">
        <f>IF("ONLINE"="NOGPS","GPS Antiguo","En línea")</f>
      </c>
      <c r="AE3">
        <f>IF(0=0,"Sin atender", IF(0=1,"Atendida","Atendida y Reportada"))</f>
      </c>
      <c r="AF3" t="str">
        <v/>
      </c>
      <c r="AG3" t="str">
        <v/>
      </c>
      <c r="AH3" t="str">
        <v/>
      </c>
      <c r="AI3" t="str">
        <v/>
      </c>
      <c r="AJ3" t="str">
        <v>17/09/2026 06:41:12</v>
      </c>
      <c r="AK3" t="str">
        <v>06:41:12</v>
      </c>
      <c r="AL3" t="str">
        <v/>
      </c>
    </row>
    <row r="4">
      <c r="A4">
        <v>3</v>
      </c>
      <c r="B4" t="str">
        <v>MASS BSF</v>
      </c>
      <c r="C4" t="str">
        <v>AKO-712</v>
      </c>
      <c r="D4" t="str">
        <v>AKO-712</v>
      </c>
      <c r="E4" t="str">
        <v/>
      </c>
      <c r="F4" t="str">
        <v>867162027717156</v>
      </c>
      <c r="G4" t="str">
        <v>TBD</v>
      </c>
      <c r="H4" t="str">
        <v/>
      </c>
      <c r="I4" t="str">
        <v/>
      </c>
      <c r="J4" t="str">
        <v>17/09/2026</v>
      </c>
      <c r="K4" t="str">
        <v>06:56:46</v>
      </c>
      <c r="L4">
        <v>-12.148314</v>
      </c>
      <c r="M4">
        <v>-76.95071</v>
      </c>
      <c r="N4">
        <f>HYPERLINK("https://www.google.com/maps/search/?api=1&amp;query=-12.148314,-76.95071","Jirón Apurimac, Villa María del Triunfo, Lima")</f>
      </c>
      <c r="O4" t="str">
        <v>Vehículo encendido</v>
      </c>
      <c r="P4">
        <v>560592.7</v>
      </c>
      <c r="Q4" t="str">
        <v/>
      </c>
      <c r="R4">
        <v>0</v>
      </c>
      <c r="S4">
        <v>0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>
        <v>96</v>
      </c>
      <c r="AB4" t="str">
        <v>17/09/2026</v>
      </c>
      <c r="AC4" t="str">
        <v>06:40:55</v>
      </c>
      <c r="AD4">
        <f>IF("NOGPS"="NOGPS","GPS Antiguo","En línea")</f>
      </c>
      <c r="AE4">
        <f>IF(0=0,"Sin atender", IF(0=1,"Atendida","Atendida y Reportada"))</f>
      </c>
      <c r="AF4" t="str">
        <v/>
      </c>
      <c r="AG4" t="str">
        <v/>
      </c>
      <c r="AH4" t="str">
        <v/>
      </c>
      <c r="AI4" t="str">
        <v/>
      </c>
      <c r="AJ4" t="str">
        <v>17/09/2026 06:57:03</v>
      </c>
      <c r="AK4" t="str">
        <v>06:57:03</v>
      </c>
      <c r="AL4" t="str">
        <v/>
      </c>
    </row>
    <row r="5">
      <c r="A5">
        <v>4</v>
      </c>
      <c r="B5" t="str">
        <v>MASS BSF</v>
      </c>
      <c r="C5" t="str">
        <v>AKO-712</v>
      </c>
      <c r="D5" t="str">
        <v>AKO-712</v>
      </c>
      <c r="E5" t="str">
        <v/>
      </c>
      <c r="F5" t="str">
        <v>867162027717156</v>
      </c>
      <c r="G5" t="str">
        <v>TBD</v>
      </c>
      <c r="H5" t="str">
        <v/>
      </c>
      <c r="I5" t="str">
        <v/>
      </c>
      <c r="J5" t="str">
        <v>17/09/2026</v>
      </c>
      <c r="K5" t="str">
        <v>07:01:36</v>
      </c>
      <c r="L5">
        <v>-12.148056</v>
      </c>
      <c r="M5">
        <v>-76.94502</v>
      </c>
      <c r="N5">
        <f>HYPERLINK("https://www.google.com/maps/search/?api=1&amp;query=-12.148056,-76.94502","Inca Garcilaso de La Vega, Villa María del Triunfo, Lima")</f>
      </c>
      <c r="O5" t="str">
        <v>Vehículo apagado</v>
      </c>
      <c r="P5">
        <v>560593.3</v>
      </c>
      <c r="Q5" t="str">
        <v/>
      </c>
      <c r="R5">
        <v>0</v>
      </c>
      <c r="S5">
        <v>0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96</v>
      </c>
      <c r="AB5" t="str">
        <v>17/09/2026</v>
      </c>
      <c r="AC5" t="str">
        <v>07:00:44</v>
      </c>
      <c r="AD5">
        <f>IF("ONLINE"="NOGPS","GPS Antiguo","En línea")</f>
      </c>
      <c r="AE5">
        <f>IF(0=0,"Sin atender", IF(0=1,"Atendida","Atendida y Reportada"))</f>
      </c>
      <c r="AF5" t="str">
        <v/>
      </c>
      <c r="AG5" t="str">
        <v/>
      </c>
      <c r="AH5" t="str">
        <v/>
      </c>
      <c r="AI5" t="str">
        <v/>
      </c>
      <c r="AJ5" t="str">
        <v>17/09/2026 07:01:48</v>
      </c>
      <c r="AK5" t="str">
        <v>07:01:48</v>
      </c>
      <c r="AL5" t="str">
        <v/>
      </c>
    </row>
    <row r="6">
      <c r="A6">
        <v>5</v>
      </c>
      <c r="B6" t="str">
        <v>MASS BSF</v>
      </c>
      <c r="C6" t="str">
        <v>AKO-712</v>
      </c>
      <c r="D6" t="str">
        <v>AKO-712</v>
      </c>
      <c r="E6" t="str">
        <v/>
      </c>
      <c r="F6" t="str">
        <v>867162027717156</v>
      </c>
      <c r="G6" t="str">
        <v>TBD</v>
      </c>
      <c r="H6" t="str">
        <v/>
      </c>
      <c r="I6" t="str">
        <v/>
      </c>
      <c r="J6" t="str">
        <v>17/09/2026</v>
      </c>
      <c r="K6" t="str">
        <v>07:15:31</v>
      </c>
      <c r="L6">
        <v>-12.148056</v>
      </c>
      <c r="M6">
        <v>-76.94502</v>
      </c>
      <c r="N6">
        <f>HYPERLINK("https://www.google.com/maps/search/?api=1&amp;query=-12.148056,-76.94502","Inca Garcilaso de La Vega, Villa María del Triunfo, Lima")</f>
      </c>
      <c r="O6" t="str">
        <v>Vehículo encendido</v>
      </c>
      <c r="P6">
        <v>560593.4</v>
      </c>
      <c r="Q6" t="str">
        <v/>
      </c>
      <c r="R6">
        <v>0</v>
      </c>
      <c r="S6">
        <v>0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96</v>
      </c>
      <c r="AB6" t="str">
        <v>17/09/2026</v>
      </c>
      <c r="AC6" t="str">
        <v>07:01:40</v>
      </c>
      <c r="AD6">
        <f>IF("NOGPS"="NOGPS","GPS Antiguo","En línea")</f>
      </c>
      <c r="AE6">
        <f>IF(0=0,"Sin atender", IF(0=1,"Atendida","Atendida y Reportada"))</f>
      </c>
      <c r="AF6" t="str">
        <v/>
      </c>
      <c r="AG6" t="str">
        <v/>
      </c>
      <c r="AH6" t="str">
        <v/>
      </c>
      <c r="AI6" t="str">
        <v/>
      </c>
      <c r="AJ6" t="str">
        <v>17/09/2026 07:15:50</v>
      </c>
      <c r="AK6" t="str">
        <v>07:15:50</v>
      </c>
      <c r="AL6" t="str">
        <v/>
      </c>
    </row>
    <row r="7">
      <c r="A7">
        <v>6</v>
      </c>
      <c r="B7" t="str">
        <v>MASS BSF</v>
      </c>
      <c r="C7" t="str">
        <v>AKO-712</v>
      </c>
      <c r="D7" t="str">
        <v>AKO-712</v>
      </c>
      <c r="E7" t="str">
        <v/>
      </c>
      <c r="F7" t="str">
        <v>867162027717156</v>
      </c>
      <c r="G7" t="str">
        <v>TBD</v>
      </c>
      <c r="H7" t="str">
        <v/>
      </c>
      <c r="I7" t="str">
        <v/>
      </c>
      <c r="J7" t="str">
        <v>17/09/2026</v>
      </c>
      <c r="K7" t="str">
        <v>07:22:59</v>
      </c>
      <c r="L7">
        <v>-12.143291</v>
      </c>
      <c r="M7">
        <v>-76.94483</v>
      </c>
      <c r="N7">
        <f>HYPERLINK("https://www.google.com/maps/search/?api=1&amp;query=-12.143291,-76.94483","Avenida José Olaya, Villa María del Triunfo, Lima")</f>
      </c>
      <c r="O7" t="str">
        <v>Vehículo apagado</v>
      </c>
      <c r="P7">
        <v>560594.9</v>
      </c>
      <c r="Q7" t="str">
        <v/>
      </c>
      <c r="R7">
        <v>2.7</v>
      </c>
      <c r="S7">
        <v>0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96</v>
      </c>
      <c r="AB7" t="str">
        <v>17/09/2026</v>
      </c>
      <c r="AC7" t="str">
        <v>07:22:32</v>
      </c>
      <c r="AD7">
        <f>IF("ONLINE"="NOGPS","GPS Antiguo","En línea")</f>
      </c>
      <c r="AE7">
        <f>IF(0=0,"Sin atender", IF(0=1,"Atendida","Atendida y Reportada"))</f>
      </c>
      <c r="AF7" t="str">
        <v/>
      </c>
      <c r="AG7" t="str">
        <v/>
      </c>
      <c r="AH7" t="str">
        <v/>
      </c>
      <c r="AI7" t="str">
        <v/>
      </c>
      <c r="AJ7" t="str">
        <v>17/09/2026 07:23:09</v>
      </c>
      <c r="AK7" t="str">
        <v>07:23:09</v>
      </c>
      <c r="AL7" t="str">
        <v/>
      </c>
    </row>
    <row r="8">
      <c r="A8">
        <v>7</v>
      </c>
      <c r="B8" t="str">
        <v>MASS BSF</v>
      </c>
      <c r="C8" t="str">
        <v>AKO-712</v>
      </c>
      <c r="D8" t="str">
        <v>AKO-712</v>
      </c>
      <c r="E8" t="str">
        <v/>
      </c>
      <c r="F8" t="str">
        <v>867162027717156</v>
      </c>
      <c r="G8" t="str">
        <v>TBD</v>
      </c>
      <c r="H8" t="str">
        <v/>
      </c>
      <c r="I8" t="str">
        <v/>
      </c>
      <c r="J8" t="str">
        <v>17/09/2026</v>
      </c>
      <c r="K8" t="str">
        <v>07:31:15</v>
      </c>
      <c r="L8">
        <v>-12.143285</v>
      </c>
      <c r="M8">
        <v>-76.94469</v>
      </c>
      <c r="N8">
        <f>HYPERLINK("https://www.google.com/maps/search/?api=1&amp;query=-12.143285,-76.94469","Avenida José Olaya, Villa María del Triunfo, Lima")</f>
      </c>
      <c r="O8" t="str">
        <v>Vehículo encendido</v>
      </c>
      <c r="P8">
        <v>560594.9</v>
      </c>
      <c r="Q8" t="str">
        <v/>
      </c>
      <c r="R8">
        <v>0</v>
      </c>
      <c r="S8">
        <v>0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96</v>
      </c>
      <c r="AB8" t="str">
        <v>17/09/2026</v>
      </c>
      <c r="AC8" t="str">
        <v>07:23:01</v>
      </c>
      <c r="AD8">
        <f>IF("NOGPS"="NOGPS","GPS Antiguo","En línea")</f>
      </c>
      <c r="AE8">
        <f>IF(0=0,"Sin atender", IF(0=1,"Atendida","Atendida y Reportada"))</f>
      </c>
      <c r="AF8" t="str">
        <v/>
      </c>
      <c r="AG8" t="str">
        <v/>
      </c>
      <c r="AH8" t="str">
        <v/>
      </c>
      <c r="AI8" t="str">
        <v/>
      </c>
      <c r="AJ8" t="str">
        <v>17/09/2026 07:31:26</v>
      </c>
      <c r="AK8" t="str">
        <v>07:31:26</v>
      </c>
      <c r="AL8" t="str">
        <v/>
      </c>
    </row>
    <row r="9">
      <c r="A9">
        <v>8</v>
      </c>
      <c r="B9" t="str">
        <v>MASS BSF</v>
      </c>
      <c r="C9" t="str">
        <v>AKO-712</v>
      </c>
      <c r="D9" t="str">
        <v>AKO-712</v>
      </c>
      <c r="E9" t="str">
        <v/>
      </c>
      <c r="F9" t="str">
        <v>867162027717156</v>
      </c>
      <c r="G9" t="str">
        <v>TBD</v>
      </c>
      <c r="H9" t="str">
        <v/>
      </c>
      <c r="I9" t="str">
        <v/>
      </c>
      <c r="J9" t="str">
        <v>17/09/2026</v>
      </c>
      <c r="K9" t="str">
        <v>07:35:22</v>
      </c>
      <c r="L9">
        <v>-12.14259</v>
      </c>
      <c r="M9">
        <v>-76.93911</v>
      </c>
      <c r="N9">
        <f>HYPERLINK("https://www.google.com/maps/search/?api=1&amp;query=-12.14259,-76.93911","Avenida Inca Ollantay, Villa María del Triunfo, Lima")</f>
      </c>
      <c r="O9" t="str">
        <v>Vehículo apagado</v>
      </c>
      <c r="P9">
        <v>560595.6</v>
      </c>
      <c r="Q9" t="str">
        <v/>
      </c>
      <c r="R9">
        <v>6.5</v>
      </c>
      <c r="S9">
        <v>0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96</v>
      </c>
      <c r="AB9" t="str">
        <v>17/09/2026</v>
      </c>
      <c r="AC9" t="str">
        <v>07:34:16</v>
      </c>
      <c r="AD9">
        <f>IF("ONLINE"="NOGPS","GPS Antiguo","En línea")</f>
      </c>
      <c r="AE9">
        <f>IF(0=0,"Sin atender", IF(0=1,"Atendida","Atendida y Reportada"))</f>
      </c>
      <c r="AF9" t="str">
        <v/>
      </c>
      <c r="AG9" t="str">
        <v/>
      </c>
      <c r="AH9" t="str">
        <v/>
      </c>
      <c r="AI9" t="str">
        <v/>
      </c>
      <c r="AJ9" t="str">
        <v>17/09/2026 07:35:36</v>
      </c>
      <c r="AK9" t="str">
        <v>07:35:36</v>
      </c>
      <c r="AL9" t="str">
        <v/>
      </c>
    </row>
    <row r="10">
      <c r="A10">
        <v>9</v>
      </c>
      <c r="B10" t="str">
        <v>MASS BSF</v>
      </c>
      <c r="C10" t="str">
        <v>AKO-712</v>
      </c>
      <c r="D10" t="str">
        <v>AKO-712</v>
      </c>
      <c r="E10" t="str">
        <v/>
      </c>
      <c r="F10" t="str">
        <v>867162027717156</v>
      </c>
      <c r="G10" t="str">
        <v>TBD</v>
      </c>
      <c r="H10" t="str">
        <v/>
      </c>
      <c r="I10" t="str">
        <v/>
      </c>
      <c r="J10" t="str">
        <v>17/09/2026</v>
      </c>
      <c r="K10" t="str">
        <v>07:51:38</v>
      </c>
      <c r="L10">
        <v>-12.142782</v>
      </c>
      <c r="M10">
        <v>-76.93907</v>
      </c>
      <c r="N10">
        <f>HYPERLINK("https://www.google.com/maps/search/?api=1&amp;query=-12.142782,-76.93907","Avenida Inca Ollantay, Villa María del Triunfo, Lima")</f>
      </c>
      <c r="O10" t="str">
        <v>Vehículo encendido</v>
      </c>
      <c r="P10">
        <v>560595.6</v>
      </c>
      <c r="Q10" t="str">
        <v/>
      </c>
      <c r="R10">
        <v>0</v>
      </c>
      <c r="S10">
        <v>0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96</v>
      </c>
      <c r="AB10" t="str">
        <v>17/09/2026</v>
      </c>
      <c r="AC10" t="str">
        <v>07:35:24</v>
      </c>
      <c r="AD10">
        <f>IF("NOGPS"="NOGPS","GPS Antiguo","En línea")</f>
      </c>
      <c r="AE10">
        <f>IF(0=0,"Sin atender", IF(0=1,"Atendida","Atendida y Reportada"))</f>
      </c>
      <c r="AF10" t="str">
        <v/>
      </c>
      <c r="AG10" t="str">
        <v/>
      </c>
      <c r="AH10" t="str">
        <v/>
      </c>
      <c r="AI10" t="str">
        <v/>
      </c>
      <c r="AJ10" t="str">
        <v>17/09/2026 07:52:05</v>
      </c>
      <c r="AK10" t="str">
        <v>07:52:05</v>
      </c>
      <c r="AL10" t="str">
        <v/>
      </c>
    </row>
    <row r="11">
      <c r="A11">
        <v>10</v>
      </c>
      <c r="B11" t="str">
        <v>MASS BSF</v>
      </c>
      <c r="C11" t="str">
        <v>AKO-712</v>
      </c>
      <c r="D11" t="str">
        <v>AKO-712</v>
      </c>
      <c r="E11" t="str">
        <v/>
      </c>
      <c r="F11" t="str">
        <v>867162027717156</v>
      </c>
      <c r="G11" t="str">
        <v>TBD</v>
      </c>
      <c r="H11" t="str">
        <v/>
      </c>
      <c r="I11" t="str">
        <v/>
      </c>
      <c r="J11" t="str">
        <v>17/09/2026</v>
      </c>
      <c r="K11" t="str">
        <v>07:56:44</v>
      </c>
      <c r="L11">
        <v>-12.147569</v>
      </c>
      <c r="M11">
        <v>-76.93466</v>
      </c>
      <c r="N11">
        <f>HYPERLINK("https://www.google.com/maps/search/?api=1&amp;query=-12.147569,-76.93466","Avenida El Paraíso, Villa María del Triunfo, Lima")</f>
      </c>
      <c r="O11" t="str">
        <v>Vehículo apagado</v>
      </c>
      <c r="P11">
        <v>560596.4</v>
      </c>
      <c r="Q11" t="str">
        <v/>
      </c>
      <c r="R11">
        <v>0</v>
      </c>
      <c r="S11">
        <v>0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96</v>
      </c>
      <c r="AB11" t="str">
        <v>17/09/2026</v>
      </c>
      <c r="AC11" t="str">
        <v>07:55:37</v>
      </c>
      <c r="AD11">
        <f>IF("ONLINE"="NOGPS","GPS Antiguo","En línea")</f>
      </c>
      <c r="AE11">
        <f>IF(0=0,"Sin atender", IF(0=1,"Atendida","Atendida y Reportada"))</f>
      </c>
      <c r="AF11" t="str">
        <v/>
      </c>
      <c r="AG11" t="str">
        <v/>
      </c>
      <c r="AH11" t="str">
        <v/>
      </c>
      <c r="AI11" t="str">
        <v/>
      </c>
      <c r="AJ11" t="str">
        <v>17/09/2026 07:57:02</v>
      </c>
      <c r="AK11" t="str">
        <v>07:57:02</v>
      </c>
      <c r="AL11" t="str">
        <v/>
      </c>
    </row>
    <row r="12">
      <c r="A12">
        <v>11</v>
      </c>
      <c r="B12" t="str">
        <v>MASS BSF</v>
      </c>
      <c r="C12" t="str">
        <v>AKO-712</v>
      </c>
      <c r="D12" t="str">
        <v>AKO-712</v>
      </c>
      <c r="E12" t="str">
        <v/>
      </c>
      <c r="F12" t="str">
        <v>867162027717156</v>
      </c>
      <c r="G12" t="str">
        <v>TBD</v>
      </c>
      <c r="H12" t="str">
        <v/>
      </c>
      <c r="I12" t="str">
        <v/>
      </c>
      <c r="J12" t="str">
        <v>17/09/2026</v>
      </c>
      <c r="K12" t="str">
        <v>08:13:15</v>
      </c>
      <c r="L12">
        <v>-12.147569</v>
      </c>
      <c r="M12">
        <v>-76.93466</v>
      </c>
      <c r="N12">
        <f>HYPERLINK("https://www.google.com/maps/search/?api=1&amp;query=-12.147569,-76.93466","Avenida El Paraíso, Villa María del Triunfo, Lima")</f>
      </c>
      <c r="O12" t="str">
        <v>Vehículo encendido</v>
      </c>
      <c r="P12">
        <v>560596.4</v>
      </c>
      <c r="Q12" t="str">
        <v/>
      </c>
      <c r="R12">
        <v>0</v>
      </c>
      <c r="S12">
        <v>0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95</v>
      </c>
      <c r="AB12" t="str">
        <v>17/09/2026</v>
      </c>
      <c r="AC12" t="str">
        <v>07:56:48</v>
      </c>
      <c r="AD12">
        <f>IF("NOGPS"="NOGPS","GPS Antiguo","En línea")</f>
      </c>
      <c r="AE12">
        <f>IF(0=0,"Sin atender", IF(0=1,"Atendida","Atendida y Reportada"))</f>
      </c>
      <c r="AF12" t="str">
        <v/>
      </c>
      <c r="AG12" t="str">
        <v/>
      </c>
      <c r="AH12" t="str">
        <v/>
      </c>
      <c r="AI12" t="str">
        <v/>
      </c>
      <c r="AJ12" t="str">
        <v>17/09/2026 08:13:44</v>
      </c>
      <c r="AK12" t="str">
        <v>08:13:44</v>
      </c>
      <c r="AL12" t="str">
        <v/>
      </c>
    </row>
    <row r="13">
      <c r="A13">
        <v>12</v>
      </c>
      <c r="B13" t="str">
        <v>MASS BSF</v>
      </c>
      <c r="C13" t="str">
        <v>AKO-712</v>
      </c>
      <c r="D13" t="str">
        <v>AKO-712</v>
      </c>
      <c r="E13" t="str">
        <v/>
      </c>
      <c r="F13" t="str">
        <v>867162027717156</v>
      </c>
      <c r="G13" t="str">
        <v>TBD</v>
      </c>
      <c r="H13" t="str">
        <v/>
      </c>
      <c r="I13" t="str">
        <v/>
      </c>
      <c r="J13" t="str">
        <v>17/09/2026</v>
      </c>
      <c r="K13" t="str">
        <v>08:26:25</v>
      </c>
      <c r="L13">
        <v>-12.141815</v>
      </c>
      <c r="M13">
        <v>-76.949715</v>
      </c>
      <c r="N13">
        <f>HYPERLINK("https://www.google.com/maps/search/?api=1&amp;query=-12.141815,-76.949715","Avenida Primavera, Villa María del Triunfo, Lima")</f>
      </c>
      <c r="O13" t="str">
        <v>Vehículo apagado</v>
      </c>
      <c r="P13">
        <v>560599</v>
      </c>
      <c r="Q13" t="str">
        <v/>
      </c>
      <c r="R13">
        <v>0</v>
      </c>
      <c r="S13">
        <v>0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95</v>
      </c>
      <c r="AB13" t="str">
        <v>17/09/2026</v>
      </c>
      <c r="AC13" t="str">
        <v>08:26:11</v>
      </c>
      <c r="AD13">
        <f>IF("ONLINE"="NOGPS","GPS Antiguo","En línea")</f>
      </c>
      <c r="AE13">
        <f>IF(0=0,"Sin atender", IF(0=1,"Atendida","Atendida y Reportada"))</f>
      </c>
      <c r="AF13" t="str">
        <v/>
      </c>
      <c r="AG13" t="str">
        <v/>
      </c>
      <c r="AH13" t="str">
        <v/>
      </c>
      <c r="AI13" t="str">
        <v/>
      </c>
      <c r="AJ13" t="str">
        <v>17/09/2026 08:26:33</v>
      </c>
      <c r="AK13" t="str">
        <v>08:26:33</v>
      </c>
      <c r="AL13" t="str">
        <v/>
      </c>
    </row>
    <row r="14">
      <c r="A14">
        <v>13</v>
      </c>
      <c r="B14" t="str">
        <v>MASS BSF</v>
      </c>
      <c r="C14" t="str">
        <v>AKO-712</v>
      </c>
      <c r="D14" t="str">
        <v>AKO-712</v>
      </c>
      <c r="E14" t="str">
        <v/>
      </c>
      <c r="F14" t="str">
        <v>867162027717156</v>
      </c>
      <c r="G14" t="str">
        <v>TBD</v>
      </c>
      <c r="H14" t="str">
        <v/>
      </c>
      <c r="I14" t="str">
        <v/>
      </c>
      <c r="J14" t="str">
        <v>17/09/2026</v>
      </c>
      <c r="K14" t="str">
        <v>08:47:08</v>
      </c>
      <c r="L14">
        <v>-12.141859</v>
      </c>
      <c r="M14">
        <v>-76.94977</v>
      </c>
      <c r="N14">
        <f>HYPERLINK("https://www.google.com/maps/search/?api=1&amp;query=-12.141859,-76.94977","Avenida Primavera, Villa María del Triunfo, Lima")</f>
      </c>
      <c r="O14" t="str">
        <v>Vehículo encendido</v>
      </c>
      <c r="P14">
        <v>560599</v>
      </c>
      <c r="Q14" t="str">
        <v/>
      </c>
      <c r="R14">
        <v>0</v>
      </c>
      <c r="S14">
        <v>0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95</v>
      </c>
      <c r="AB14" t="str">
        <v>17/09/2026</v>
      </c>
      <c r="AC14" t="str">
        <v>08:26:28</v>
      </c>
      <c r="AD14">
        <f>IF("NOGPS"="NOGPS","GPS Antiguo","En línea")</f>
      </c>
      <c r="AE14">
        <f>IF(0=0,"Sin atender", IF(0=1,"Atendida","Atendida y Reportada"))</f>
      </c>
      <c r="AF14" t="str">
        <v/>
      </c>
      <c r="AG14" t="str">
        <v/>
      </c>
      <c r="AH14" t="str">
        <v/>
      </c>
      <c r="AI14" t="str">
        <v/>
      </c>
      <c r="AJ14" t="str">
        <v>17/09/2026 08:47:32</v>
      </c>
      <c r="AK14" t="str">
        <v>08:47:32</v>
      </c>
      <c r="AL14" t="str">
        <v/>
      </c>
    </row>
    <row r="15">
      <c r="A15">
        <v>14</v>
      </c>
      <c r="B15" t="str">
        <v>MASS BSF</v>
      </c>
      <c r="C15" t="str">
        <v>AKO-712</v>
      </c>
      <c r="D15" t="str">
        <v>AKO-712</v>
      </c>
      <c r="E15" t="str">
        <v/>
      </c>
      <c r="F15" t="str">
        <v>867162027717156</v>
      </c>
      <c r="G15" t="str">
        <v>TBD</v>
      </c>
      <c r="H15" t="str">
        <v/>
      </c>
      <c r="I15" t="str">
        <v/>
      </c>
      <c r="J15" t="str">
        <v>17/09/2026</v>
      </c>
      <c r="K15" t="str">
        <v>09:27:12</v>
      </c>
      <c r="L15">
        <v>-12.235793</v>
      </c>
      <c r="M15">
        <v>-76.9562</v>
      </c>
      <c r="N15">
        <f>HYPERLINK("https://www.google.com/maps/search/?api=1&amp;query=-12.235793,-76.9562","Antigua Panamericana Sur, Villa El Salvador, Lima")</f>
      </c>
      <c r="O15" t="str">
        <v>Exceso de velocidad en segmento vial</v>
      </c>
      <c r="P15">
        <v>560614.6</v>
      </c>
      <c r="Q15" t="str">
        <v/>
      </c>
      <c r="R15">
        <v>64</v>
      </c>
      <c r="S15">
        <v>0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95</v>
      </c>
      <c r="AB15" t="str">
        <v>17/09/2026</v>
      </c>
      <c r="AC15" t="str">
        <v>09:27:09</v>
      </c>
      <c r="AD15">
        <f>IF("ONLINE"="NOGPS","GPS Antiguo","En línea")</f>
      </c>
      <c r="AE15">
        <f>IF(0=0,"Sin atender", IF(0=1,"Atendida","Atendida y Reportada"))</f>
      </c>
      <c r="AF15" t="str">
        <v/>
      </c>
      <c r="AG15" t="str">
        <v/>
      </c>
      <c r="AH15" t="str">
        <v/>
      </c>
      <c r="AI15" t="str">
        <v/>
      </c>
      <c r="AJ15" t="str">
        <v>17/09/2026 09:27:28</v>
      </c>
      <c r="AK15" t="str">
        <v>09:27:28</v>
      </c>
      <c r="AL15" t="str">
        <v/>
      </c>
    </row>
    <row r="16">
      <c r="A16">
        <v>15</v>
      </c>
      <c r="B16" t="str">
        <v>MASS BSF</v>
      </c>
      <c r="C16" t="str">
        <v>AKO-712</v>
      </c>
      <c r="D16" t="str">
        <v>AKO-712</v>
      </c>
      <c r="E16" t="str">
        <v/>
      </c>
      <c r="F16" t="str">
        <v>867162027717156</v>
      </c>
      <c r="G16" t="str">
        <v>TBD</v>
      </c>
      <c r="H16" t="str">
        <v/>
      </c>
      <c r="I16" t="str">
        <v/>
      </c>
      <c r="J16" t="str">
        <v>17/09/2026</v>
      </c>
      <c r="K16" t="str">
        <v>09:32:12</v>
      </c>
      <c r="L16">
        <v>-12.253121</v>
      </c>
      <c r="M16">
        <v>-76.92652</v>
      </c>
      <c r="N16">
        <f>HYPERLINK("https://www.google.com/maps/search/?api=1&amp;query=-12.253121,-76.92652","Antigua Panamericana Sur, Lurín, Lima")</f>
      </c>
      <c r="O16" t="str">
        <v>Exceso de velocidad en segmento vial</v>
      </c>
      <c r="P16">
        <v>560618.4</v>
      </c>
      <c r="Q16" t="str">
        <v/>
      </c>
      <c r="R16">
        <v>62.7</v>
      </c>
      <c r="S16">
        <v>0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95</v>
      </c>
      <c r="AB16" t="str">
        <v>17/09/2026</v>
      </c>
      <c r="AC16" t="str">
        <v>09:32:09</v>
      </c>
      <c r="AD16">
        <f>IF("ONLINE"="NOGPS","GPS Antiguo","En línea")</f>
      </c>
      <c r="AE16">
        <f>IF(0=0,"Sin atender", IF(0=1,"Atendida","Atendida y Reportada"))</f>
      </c>
      <c r="AF16" t="str">
        <v/>
      </c>
      <c r="AG16" t="str">
        <v/>
      </c>
      <c r="AH16" t="str">
        <v/>
      </c>
      <c r="AI16" t="str">
        <v/>
      </c>
      <c r="AJ16" t="str">
        <v>17/09/2026 09:32:31</v>
      </c>
      <c r="AK16" t="str">
        <v>09:32:31</v>
      </c>
      <c r="AL16" t="str">
        <v/>
      </c>
    </row>
    <row r="17">
      <c r="A17">
        <v>16</v>
      </c>
      <c r="B17" t="str">
        <v>MASS BSF</v>
      </c>
      <c r="C17" t="str">
        <v>AKO-712</v>
      </c>
      <c r="D17" t="str">
        <v>AKO-712</v>
      </c>
      <c r="E17" t="str">
        <v/>
      </c>
      <c r="F17" t="str">
        <v>867162027717156</v>
      </c>
      <c r="G17" t="str">
        <v>TBD</v>
      </c>
      <c r="H17" t="str">
        <v/>
      </c>
      <c r="I17" t="str">
        <v/>
      </c>
      <c r="J17" t="str">
        <v>17/09/2026</v>
      </c>
      <c r="K17" t="str">
        <v>09:39:07</v>
      </c>
      <c r="L17">
        <v>-12.284429</v>
      </c>
      <c r="M17">
        <v>-76.87668</v>
      </c>
      <c r="N17">
        <f>HYPERLINK("https://www.google.com/maps/search/?api=1&amp;query=-12.284429,-76.87668","Carretera Panamericana Sur, Lurín, Lima")</f>
      </c>
      <c r="O17" t="str">
        <v>Excedió el límite de velocidad</v>
      </c>
      <c r="P17">
        <v>560625.7</v>
      </c>
      <c r="Q17" t="str">
        <v/>
      </c>
      <c r="R17">
        <v>81.1</v>
      </c>
      <c r="S17">
        <v>0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95</v>
      </c>
      <c r="AB17" t="str">
        <v>17/09/2026</v>
      </c>
      <c r="AC17" t="str">
        <v>09:39:06</v>
      </c>
      <c r="AD17">
        <f>IF("ONLINE"="NOGPS","GPS Antiguo","En línea")</f>
      </c>
      <c r="AE17">
        <f>IF(0=0,"Sin atender", IF(0=1,"Atendida","Atendida y Reportada"))</f>
      </c>
      <c r="AF17" t="str">
        <v/>
      </c>
      <c r="AG17" t="str">
        <v/>
      </c>
      <c r="AH17" t="str">
        <v/>
      </c>
      <c r="AI17" t="str">
        <v/>
      </c>
      <c r="AJ17" t="str">
        <v>17/09/2026 09:39:22</v>
      </c>
      <c r="AK17" t="str">
        <v>09:39:22</v>
      </c>
      <c r="AL17" t="str">
        <v/>
      </c>
    </row>
    <row r="18">
      <c r="A18">
        <v>17</v>
      </c>
      <c r="B18" t="str">
        <v>MASS BSF</v>
      </c>
      <c r="C18" t="str">
        <v>AKO-712</v>
      </c>
      <c r="D18" t="str">
        <v>AKO-712</v>
      </c>
      <c r="E18" t="str">
        <v/>
      </c>
      <c r="F18" t="str">
        <v>867162027717156</v>
      </c>
      <c r="G18" t="str">
        <v>TBD</v>
      </c>
      <c r="H18" t="str">
        <v/>
      </c>
      <c r="I18" t="str">
        <v/>
      </c>
      <c r="J18" t="str">
        <v>17/09/2026</v>
      </c>
      <c r="K18" t="str">
        <v>09:39:28</v>
      </c>
      <c r="L18">
        <v>-12.286716</v>
      </c>
      <c r="M18">
        <v>-76.87303</v>
      </c>
      <c r="N18">
        <f>HYPERLINK("https://www.google.com/maps/search/?api=1&amp;query=-12.286716,-76.87303","Carretera Panamericana Sur, Lurín, Lima")</f>
      </c>
      <c r="O18" t="str">
        <v>Excedió el límite de velocidad</v>
      </c>
      <c r="P18">
        <v>560626.1</v>
      </c>
      <c r="Q18" t="str">
        <v/>
      </c>
      <c r="R18">
        <v>82.1</v>
      </c>
      <c r="S18">
        <v>0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95</v>
      </c>
      <c r="AB18" t="str">
        <v>17/09/2026</v>
      </c>
      <c r="AC18" t="str">
        <v>09:39:27</v>
      </c>
      <c r="AD18">
        <f>IF("ONLINE"="NOGPS","GPS Antiguo","En línea")</f>
      </c>
      <c r="AE18">
        <f>IF(0=0,"Sin atender", IF(0=1,"Atendida","Atendida y Reportada"))</f>
      </c>
      <c r="AF18" t="str">
        <v/>
      </c>
      <c r="AG18" t="str">
        <v/>
      </c>
      <c r="AH18" t="str">
        <v/>
      </c>
      <c r="AI18" t="str">
        <v/>
      </c>
      <c r="AJ18" t="str">
        <v>17/09/2026 09:39:43</v>
      </c>
      <c r="AK18" t="str">
        <v>09:39:43</v>
      </c>
      <c r="AL18" t="str">
        <v/>
      </c>
    </row>
    <row r="19">
      <c r="A19">
        <v>18</v>
      </c>
      <c r="B19" t="str">
        <v>MASS BSF</v>
      </c>
      <c r="C19" t="str">
        <v>AKO-712</v>
      </c>
      <c r="D19" t="str">
        <v>AKO-712</v>
      </c>
      <c r="E19" t="str">
        <v/>
      </c>
      <c r="F19" t="str">
        <v>867162027717156</v>
      </c>
      <c r="G19" t="str">
        <v>TBD</v>
      </c>
      <c r="H19" t="str">
        <v/>
      </c>
      <c r="I19" t="str">
        <v/>
      </c>
      <c r="J19" t="str">
        <v>17/09/2026</v>
      </c>
      <c r="K19" t="str">
        <v>09:40:52</v>
      </c>
      <c r="L19">
        <v>-12.29591</v>
      </c>
      <c r="M19">
        <v>-76.85821</v>
      </c>
      <c r="N19">
        <f>HYPERLINK("https://www.google.com/maps/search/?api=1&amp;query=-12.29591,-76.85821","Carretera Panamericana Sur, Lurín, Lima")</f>
      </c>
      <c r="O19" t="str">
        <v>Excedió el límite de velocidad</v>
      </c>
      <c r="P19">
        <v>560628.1</v>
      </c>
      <c r="Q19" t="str">
        <v/>
      </c>
      <c r="R19">
        <v>81.6</v>
      </c>
      <c r="S19">
        <v>0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95</v>
      </c>
      <c r="AB19" t="str">
        <v>17/09/2026</v>
      </c>
      <c r="AC19" t="str">
        <v>09:40:51</v>
      </c>
      <c r="AD19">
        <f>IF("ONLINE"="NOGPS","GPS Antiguo","En línea")</f>
      </c>
      <c r="AE19">
        <f>IF(0=0,"Sin atender", IF(0=1,"Atendida","Atendida y Reportada"))</f>
      </c>
      <c r="AF19" t="str">
        <v/>
      </c>
      <c r="AG19" t="str">
        <v/>
      </c>
      <c r="AH19" t="str">
        <v/>
      </c>
      <c r="AI19" t="str">
        <v/>
      </c>
      <c r="AJ19" t="str">
        <v>17/09/2026 09:43:32</v>
      </c>
      <c r="AK19" t="str">
        <v>09:43:32</v>
      </c>
      <c r="AL19" t="str">
        <v/>
      </c>
    </row>
    <row r="20">
      <c r="A20">
        <v>19</v>
      </c>
      <c r="B20" t="str">
        <v>MASS BSF</v>
      </c>
      <c r="C20" t="str">
        <v>AKO-712</v>
      </c>
      <c r="D20" t="str">
        <v>AKO-712</v>
      </c>
      <c r="E20" t="str">
        <v/>
      </c>
      <c r="F20" t="str">
        <v>867162027717156</v>
      </c>
      <c r="G20" t="str">
        <v>TBD</v>
      </c>
      <c r="H20" t="str">
        <v/>
      </c>
      <c r="I20" t="str">
        <v/>
      </c>
      <c r="J20" t="str">
        <v>17/09/2026</v>
      </c>
      <c r="K20" t="str">
        <v>09:41:55</v>
      </c>
      <c r="L20">
        <v>-12.301149</v>
      </c>
      <c r="M20">
        <v>-76.8466</v>
      </c>
      <c r="N20">
        <f>HYPERLINK("https://www.google.com/maps/search/?api=1&amp;query=-12.301149,-76.8466","Carretera Panamericana Sur, Lurín, Lima")</f>
      </c>
      <c r="O20" t="str">
        <v>Excedió el límite de velocidad</v>
      </c>
      <c r="P20">
        <v>560629.4</v>
      </c>
      <c r="Q20" t="str">
        <v/>
      </c>
      <c r="R20">
        <v>80.6</v>
      </c>
      <c r="S20">
        <v>0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95</v>
      </c>
      <c r="AB20" t="str">
        <v>17/09/2026</v>
      </c>
      <c r="AC20" t="str">
        <v>09:41:54</v>
      </c>
      <c r="AD20">
        <f>IF("ONLINE"="NOGPS","GPS Antiguo","En línea")</f>
      </c>
      <c r="AE20">
        <f>IF(0=0,"Sin atender", IF(0=1,"Atendida","Atendida y Reportada"))</f>
      </c>
      <c r="AF20" t="str">
        <v/>
      </c>
      <c r="AG20" t="str">
        <v/>
      </c>
      <c r="AH20" t="str">
        <v/>
      </c>
      <c r="AI20" t="str">
        <v/>
      </c>
      <c r="AJ20" t="str">
        <v>17/09/2026 09:43:34</v>
      </c>
      <c r="AK20" t="str">
        <v>09:43:34</v>
      </c>
      <c r="AL20" t="str">
        <v/>
      </c>
    </row>
    <row r="21">
      <c r="A21">
        <v>20</v>
      </c>
      <c r="B21" t="str">
        <v>MASS BSF</v>
      </c>
      <c r="C21" t="str">
        <v>AKO-712</v>
      </c>
      <c r="D21" t="str">
        <v>AKO-712</v>
      </c>
      <c r="E21" t="str">
        <v/>
      </c>
      <c r="F21" t="str">
        <v>867162027717156</v>
      </c>
      <c r="G21" t="str">
        <v>TBD</v>
      </c>
      <c r="H21" t="str">
        <v/>
      </c>
      <c r="I21" t="str">
        <v/>
      </c>
      <c r="J21" t="str">
        <v>17/09/2026</v>
      </c>
      <c r="K21" t="str">
        <v>09:44:46</v>
      </c>
      <c r="L21">
        <v>-12.325018</v>
      </c>
      <c r="M21">
        <v>-76.82563</v>
      </c>
      <c r="N21">
        <f>HYPERLINK("https://www.google.com/maps/search/?api=1&amp;query=-12.325018,-76.82563","Carretera Panamericana Sur, Punta Hermosa, Lima")</f>
      </c>
      <c r="O21" t="str">
        <v>Excedió el límite de velocidad</v>
      </c>
      <c r="P21">
        <v>560633</v>
      </c>
      <c r="Q21" t="str">
        <v/>
      </c>
      <c r="R21">
        <v>80.3</v>
      </c>
      <c r="S21">
        <v>0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95</v>
      </c>
      <c r="AB21" t="str">
        <v>17/09/2026</v>
      </c>
      <c r="AC21" t="str">
        <v>09:44:45</v>
      </c>
      <c r="AD21">
        <f>IF("ONLINE"="NOGPS","GPS Antiguo","En línea")</f>
      </c>
      <c r="AE21">
        <f>IF(0=0,"Sin atender", IF(0=1,"Atendida","Atendida y Reportada"))</f>
      </c>
      <c r="AF21" t="str">
        <v/>
      </c>
      <c r="AG21" t="str">
        <v/>
      </c>
      <c r="AH21" t="str">
        <v/>
      </c>
      <c r="AI21" t="str">
        <v/>
      </c>
      <c r="AJ21" t="str">
        <v>17/09/2026 09:45:11</v>
      </c>
      <c r="AK21" t="str">
        <v>09:45:11</v>
      </c>
      <c r="AL21" t="str">
        <v/>
      </c>
    </row>
    <row r="22">
      <c r="A22">
        <v>21</v>
      </c>
      <c r="B22" t="str">
        <v>MASS BSF</v>
      </c>
      <c r="C22" t="str">
        <v>AKO-712</v>
      </c>
      <c r="D22" t="str">
        <v>AKO-712</v>
      </c>
      <c r="E22" t="str">
        <v/>
      </c>
      <c r="F22" t="str">
        <v>867162027717156</v>
      </c>
      <c r="G22" t="str">
        <v>TBD</v>
      </c>
      <c r="H22" t="str">
        <v/>
      </c>
      <c r="I22" t="str">
        <v xml:space="preserve"> </v>
      </c>
      <c r="J22" t="str">
        <v>17/09/2026</v>
      </c>
      <c r="K22" t="str">
        <v>09:50:22</v>
      </c>
      <c r="L22">
        <v>-12.317588</v>
      </c>
      <c r="M22">
        <v>-76.82965</v>
      </c>
      <c r="N22">
        <f>HYPERLINK("https://www.google.com/maps/search/?api=1&amp;query=-12.317588,-76.82965","Punta Hermosa, Lima")</f>
      </c>
      <c r="O22" t="str">
        <v>Llegó a la zona</v>
      </c>
      <c r="P22">
        <v>560635.2</v>
      </c>
      <c r="Q22" t="str">
        <v>MASS BSF 1</v>
      </c>
      <c r="R22">
        <v>6.6</v>
      </c>
      <c r="S22">
        <v>0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93</v>
      </c>
      <c r="AB22" t="str">
        <v>17/09/2026</v>
      </c>
      <c r="AC22" t="str">
        <v>09:50:21</v>
      </c>
      <c r="AD22">
        <f>IF("ONLINE"="NOGPS","GPS Antiguo","En línea")</f>
      </c>
      <c r="AE22">
        <f>IF(0=0,"Sin atender", IF(0=1,"Atendida","Atendida y Reportada"))</f>
      </c>
      <c r="AF22" t="str">
        <v/>
      </c>
      <c r="AG22" t="str">
        <v/>
      </c>
      <c r="AH22" t="str">
        <v/>
      </c>
      <c r="AI22" t="str">
        <v/>
      </c>
      <c r="AJ22" t="str">
        <v>17/09/2026 09:50:36</v>
      </c>
      <c r="AK22" t="str">
        <v>09:50:36</v>
      </c>
      <c r="AL22" t="str">
        <v/>
      </c>
    </row>
    <row r="23">
      <c r="A23">
        <v>22</v>
      </c>
      <c r="B23" t="str">
        <v>MASS BSF</v>
      </c>
      <c r="C23" t="str">
        <v>AKO-712</v>
      </c>
      <c r="D23" t="str">
        <v>AKO-712</v>
      </c>
      <c r="E23" t="str">
        <v/>
      </c>
      <c r="F23" t="str">
        <v>867162027717156</v>
      </c>
      <c r="G23" t="str">
        <v>TBD</v>
      </c>
      <c r="H23" t="str">
        <v/>
      </c>
      <c r="I23" t="str">
        <v/>
      </c>
      <c r="J23" t="str">
        <v>17/09/2026</v>
      </c>
      <c r="K23" t="str">
        <v>09:57:01</v>
      </c>
      <c r="L23">
        <v>-12.317357</v>
      </c>
      <c r="M23">
        <v>-76.82293</v>
      </c>
      <c r="N23">
        <f>HYPERLINK("https://www.google.com/maps/search/?api=1&amp;query=-12.317357,-76.82293","Punta Hermosa, Lima")</f>
      </c>
      <c r="O23" t="str">
        <v>Vehículo apagado</v>
      </c>
      <c r="P23">
        <v>560638</v>
      </c>
      <c r="Q23" t="str">
        <v/>
      </c>
      <c r="R23">
        <v>0</v>
      </c>
      <c r="S23">
        <v>0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93</v>
      </c>
      <c r="AB23" t="str">
        <v>17/09/2026</v>
      </c>
      <c r="AC23" t="str">
        <v>09:57:02</v>
      </c>
      <c r="AD23">
        <f>IF("ONLINE"="NOGPS","GPS Antiguo","En línea")</f>
      </c>
      <c r="AE23">
        <f>IF(0=0,"Sin atender", IF(0=1,"Atendida","Atendida y Reportada"))</f>
      </c>
      <c r="AF23" t="str">
        <v/>
      </c>
      <c r="AG23" t="str">
        <v/>
      </c>
      <c r="AH23" t="str">
        <v/>
      </c>
      <c r="AI23" t="str">
        <v/>
      </c>
      <c r="AJ23" t="str">
        <v>17/09/2026 09:57:14</v>
      </c>
      <c r="AK23" t="str">
        <v>09:57:14</v>
      </c>
      <c r="AL23" t="str">
        <v/>
      </c>
    </row>
    <row r="24">
      <c r="A24">
        <v>23</v>
      </c>
      <c r="B24" t="str">
        <v>MASS BSF</v>
      </c>
      <c r="C24" t="str">
        <v>AKO-712</v>
      </c>
      <c r="D24" t="str">
        <v>AKO-712</v>
      </c>
      <c r="E24" t="str">
        <v/>
      </c>
      <c r="F24" t="str">
        <v>867162027717156</v>
      </c>
      <c r="G24" t="str">
        <v>TBD</v>
      </c>
      <c r="H24" t="str">
        <v/>
      </c>
      <c r="I24" t="str">
        <v/>
      </c>
      <c r="J24" t="str">
        <v>17/09/2026</v>
      </c>
      <c r="K24" t="str">
        <v>10:07:46</v>
      </c>
      <c r="L24">
        <v>-12.317357</v>
      </c>
      <c r="M24">
        <v>-76.82293</v>
      </c>
      <c r="N24">
        <f>HYPERLINK("https://www.google.com/maps/search/?api=1&amp;query=-12.317357,-76.82293","Punta Hermosa, Lima")</f>
      </c>
      <c r="O24" t="str">
        <v>Vehículo encendido</v>
      </c>
      <c r="P24">
        <v>560638</v>
      </c>
      <c r="Q24" t="str">
        <v/>
      </c>
      <c r="R24">
        <v>0</v>
      </c>
      <c r="S24">
        <v>0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93</v>
      </c>
      <c r="AB24" t="str">
        <v>17/09/2026</v>
      </c>
      <c r="AC24" t="str">
        <v>09:57:02</v>
      </c>
      <c r="AD24">
        <f>IF("NOGPS"="NOGPS","GPS Antiguo","En línea")</f>
      </c>
      <c r="AE24">
        <f>IF(0=0,"Sin atender", IF(0=1,"Atendida","Atendida y Reportada"))</f>
      </c>
      <c r="AF24" t="str">
        <v/>
      </c>
      <c r="AG24" t="str">
        <v/>
      </c>
      <c r="AH24" t="str">
        <v/>
      </c>
      <c r="AI24" t="str">
        <v/>
      </c>
      <c r="AJ24" t="str">
        <v>17/09/2026 10:07:55</v>
      </c>
      <c r="AK24" t="str">
        <v>10:07:55</v>
      </c>
      <c r="AL24" t="str">
        <v/>
      </c>
    </row>
    <row r="25">
      <c r="A25">
        <v>24</v>
      </c>
      <c r="B25" t="str">
        <v>MASS BSF</v>
      </c>
      <c r="C25" t="str">
        <v>AKO-712</v>
      </c>
      <c r="D25" t="str">
        <v>AKO-712</v>
      </c>
      <c r="E25" t="str">
        <v/>
      </c>
      <c r="F25" t="str">
        <v>867162027717156</v>
      </c>
      <c r="G25" t="str">
        <v>TBD</v>
      </c>
      <c r="H25" t="str">
        <v/>
      </c>
      <c r="I25" t="str">
        <v/>
      </c>
      <c r="J25" t="str">
        <v>17/09/2026</v>
      </c>
      <c r="K25" t="str">
        <v>10:10:16</v>
      </c>
      <c r="L25">
        <v>-12.317795</v>
      </c>
      <c r="M25">
        <v>-76.8243</v>
      </c>
      <c r="N25">
        <f>HYPERLINK("https://www.google.com/maps/search/?api=1&amp;query=-12.317795,-76.8243","Punta Hermosa, Lima")</f>
      </c>
      <c r="O25" t="str">
        <v>Vehículo apagado</v>
      </c>
      <c r="P25">
        <v>560638.2</v>
      </c>
      <c r="Q25" t="str">
        <v/>
      </c>
      <c r="R25">
        <v>0</v>
      </c>
      <c r="S25">
        <v>0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93</v>
      </c>
      <c r="AB25" t="str">
        <v>17/09/2026</v>
      </c>
      <c r="AC25" t="str">
        <v>10:10:22</v>
      </c>
      <c r="AD25">
        <f>IF("ONLINE"="NOGPS","GPS Antiguo","En línea")</f>
      </c>
      <c r="AE25">
        <f>IF(0=0,"Sin atender", IF(0=1,"Atendida","Atendida y Reportada"))</f>
      </c>
      <c r="AF25" t="str">
        <v/>
      </c>
      <c r="AG25" t="str">
        <v/>
      </c>
      <c r="AH25" t="str">
        <v/>
      </c>
      <c r="AI25" t="str">
        <v/>
      </c>
      <c r="AJ25" t="str">
        <v>17/09/2026 10:10:33</v>
      </c>
      <c r="AK25" t="str">
        <v>10:10:33</v>
      </c>
      <c r="AL25" t="str">
        <v/>
      </c>
    </row>
    <row r="26">
      <c r="A26">
        <v>25</v>
      </c>
      <c r="B26" t="str">
        <v>MASS BSF</v>
      </c>
      <c r="C26" t="str">
        <v>AKO-712</v>
      </c>
      <c r="D26" t="str">
        <v>AKO-712</v>
      </c>
      <c r="E26" t="str">
        <v/>
      </c>
      <c r="F26" t="str">
        <v>867162027717156</v>
      </c>
      <c r="G26" t="str">
        <v>TBD</v>
      </c>
      <c r="H26" t="str">
        <v/>
      </c>
      <c r="I26" t="str">
        <v/>
      </c>
      <c r="J26" t="str">
        <v>17/09/2026</v>
      </c>
      <c r="K26" t="str">
        <v>10:19:52</v>
      </c>
      <c r="L26">
        <v>-12.317795</v>
      </c>
      <c r="M26">
        <v>-76.8243</v>
      </c>
      <c r="N26">
        <f>HYPERLINK("https://www.google.com/maps/search/?api=1&amp;query=-12.317795,-76.8243","Punta Hermosa, Lima")</f>
      </c>
      <c r="O26" t="str">
        <v>Vehículo encendido</v>
      </c>
      <c r="P26">
        <v>560638.2</v>
      </c>
      <c r="Q26" t="str">
        <v/>
      </c>
      <c r="R26">
        <v>0</v>
      </c>
      <c r="S26">
        <v>0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93</v>
      </c>
      <c r="AB26" t="str">
        <v>17/09/2026</v>
      </c>
      <c r="AC26" t="str">
        <v>10:10:22</v>
      </c>
      <c r="AD26">
        <f>IF("NOGPS"="NOGPS","GPS Antiguo","En línea")</f>
      </c>
      <c r="AE26">
        <f>IF(0=0,"Sin atender", IF(0=1,"Atendida","Atendida y Reportada"))</f>
      </c>
      <c r="AF26" t="str">
        <v/>
      </c>
      <c r="AG26" t="str">
        <v/>
      </c>
      <c r="AH26" t="str">
        <v/>
      </c>
      <c r="AI26" t="str">
        <v/>
      </c>
      <c r="AJ26" t="str">
        <v>17/09/2026 10:20:15</v>
      </c>
      <c r="AK26" t="str">
        <v>10:20:15</v>
      </c>
      <c r="AL26" t="str">
        <v/>
      </c>
    </row>
    <row r="27">
      <c r="A27">
        <v>26</v>
      </c>
      <c r="B27" t="str">
        <v>MASS BSF</v>
      </c>
      <c r="C27" t="str">
        <v>AKO-712</v>
      </c>
      <c r="D27" t="str">
        <v>AKO-712</v>
      </c>
      <c r="E27" t="str">
        <v/>
      </c>
      <c r="F27" t="str">
        <v>867162027717156</v>
      </c>
      <c r="G27" t="str">
        <v>TBD</v>
      </c>
      <c r="H27" t="str">
        <v/>
      </c>
      <c r="I27" t="str">
        <v/>
      </c>
      <c r="J27" t="str">
        <v>17/09/2026</v>
      </c>
      <c r="K27" t="str">
        <v>10:24:58</v>
      </c>
      <c r="L27">
        <v>-12.317564</v>
      </c>
      <c r="M27">
        <v>-76.82448</v>
      </c>
      <c r="N27">
        <f>HYPERLINK("https://www.google.com/maps/search/?api=1&amp;query=-12.317564,-76.82448","Punta Hermosa, Lima")</f>
      </c>
      <c r="O27" t="str">
        <v>Vehículo apagado</v>
      </c>
      <c r="P27">
        <v>560638.3</v>
      </c>
      <c r="Q27" t="str">
        <v/>
      </c>
      <c r="R27">
        <v>0</v>
      </c>
      <c r="S27">
        <v>0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93</v>
      </c>
      <c r="AB27" t="str">
        <v>17/09/2026</v>
      </c>
      <c r="AC27" t="str">
        <v>10:24:51</v>
      </c>
      <c r="AD27">
        <f>IF("ONLINE"="NOGPS","GPS Antiguo","En línea")</f>
      </c>
      <c r="AE27">
        <f>IF(0=0,"Sin atender", IF(0=1,"Atendida","Atendida y Reportada"))</f>
      </c>
      <c r="AF27" t="str">
        <v/>
      </c>
      <c r="AG27" t="str">
        <v/>
      </c>
      <c r="AH27" t="str">
        <v/>
      </c>
      <c r="AI27" t="str">
        <v/>
      </c>
      <c r="AJ27" t="str">
        <v>17/09/2026 10:25:15</v>
      </c>
      <c r="AK27" t="str">
        <v>10:25:15</v>
      </c>
      <c r="AL27" t="str">
        <v/>
      </c>
    </row>
    <row r="28">
      <c r="A28">
        <v>27</v>
      </c>
      <c r="B28" t="str">
        <v>MASS BSF</v>
      </c>
      <c r="C28" t="str">
        <v>AKO-712</v>
      </c>
      <c r="D28" t="str">
        <v>AKO-712</v>
      </c>
      <c r="E28" t="str">
        <v/>
      </c>
      <c r="F28" t="str">
        <v>867162027717156</v>
      </c>
      <c r="G28" t="str">
        <v>TBD</v>
      </c>
      <c r="H28" t="str">
        <v/>
      </c>
      <c r="I28" t="str">
        <v/>
      </c>
      <c r="J28" t="str">
        <v>17/09/2026</v>
      </c>
      <c r="K28" t="str">
        <v>11:29:42</v>
      </c>
      <c r="L28">
        <v>-12.317564</v>
      </c>
      <c r="M28">
        <v>-76.82448</v>
      </c>
      <c r="N28">
        <f>HYPERLINK("https://www.google.com/maps/search/?api=1&amp;query=-12.317564,-76.82448","Punta Hermosa, Lima")</f>
      </c>
      <c r="O28" t="str">
        <v>Vehículo encendido</v>
      </c>
      <c r="P28">
        <v>560638.3</v>
      </c>
      <c r="Q28" t="str">
        <v/>
      </c>
      <c r="R28">
        <v>0</v>
      </c>
      <c r="S28">
        <v>0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93</v>
      </c>
      <c r="AB28" t="str">
        <v>17/09/2026</v>
      </c>
      <c r="AC28" t="str">
        <v>11:22:35</v>
      </c>
      <c r="AD28">
        <f>IF("NOGPS"="NOGPS","GPS Antiguo","En línea")</f>
      </c>
      <c r="AE28">
        <f>IF(0=0,"Sin atender", IF(0=1,"Atendida","Atendida y Reportada"))</f>
      </c>
      <c r="AF28" t="str">
        <v/>
      </c>
      <c r="AG28" t="str">
        <v/>
      </c>
      <c r="AH28" t="str">
        <v/>
      </c>
      <c r="AI28" t="str">
        <v/>
      </c>
      <c r="AJ28" t="str">
        <v>17/09/2026 11:30:02</v>
      </c>
      <c r="AK28" t="str">
        <v>11:30:02</v>
      </c>
      <c r="AL28" t="str">
        <v/>
      </c>
    </row>
    <row r="29">
      <c r="A29">
        <v>28</v>
      </c>
      <c r="B29" t="str">
        <v>MASS BSF</v>
      </c>
      <c r="C29" t="str">
        <v>AKO-712</v>
      </c>
      <c r="D29" t="str">
        <v>AKO-712</v>
      </c>
      <c r="E29" t="str">
        <v/>
      </c>
      <c r="F29" t="str">
        <v>867162027717156</v>
      </c>
      <c r="G29" t="str">
        <v>TBD</v>
      </c>
      <c r="H29" t="str">
        <v/>
      </c>
      <c r="I29" t="str">
        <v xml:space="preserve"> </v>
      </c>
      <c r="J29" t="str">
        <v>17/09/2026</v>
      </c>
      <c r="K29" t="str">
        <v>11:34:58</v>
      </c>
      <c r="L29">
        <v>-12.317468</v>
      </c>
      <c r="M29">
        <v>-76.82998</v>
      </c>
      <c r="N29">
        <f>HYPERLINK("https://www.google.com/maps/search/?api=1&amp;query=-12.317468,-76.82998","Punta Hermosa, Lima")</f>
      </c>
      <c r="O29" t="str">
        <v>Salió de zona</v>
      </c>
      <c r="P29">
        <v>560639.1</v>
      </c>
      <c r="Q29" t="str">
        <v>MASS BSF 1</v>
      </c>
      <c r="R29">
        <v>13.9</v>
      </c>
      <c r="S29">
        <v>0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93</v>
      </c>
      <c r="AB29" t="str">
        <v>17/09/2026</v>
      </c>
      <c r="AC29" t="str">
        <v>11:34:57</v>
      </c>
      <c r="AD29">
        <f>IF("ONLINE"="NOGPS","GPS Antiguo","En línea")</f>
      </c>
      <c r="AE29">
        <f>IF(0=0,"Sin atender", IF(0=1,"Atendida","Atendida y Reportada"))</f>
      </c>
      <c r="AF29" t="str">
        <v/>
      </c>
      <c r="AG29" t="str">
        <v/>
      </c>
      <c r="AH29" t="str">
        <v/>
      </c>
      <c r="AI29" t="str">
        <v/>
      </c>
      <c r="AJ29" t="str">
        <v>17/09/2026 11:35:08</v>
      </c>
      <c r="AK29" t="str">
        <v>11:35:08</v>
      </c>
      <c r="AL29" t="str">
        <v/>
      </c>
    </row>
    <row r="30">
      <c r="A30">
        <v>29</v>
      </c>
      <c r="B30" t="str">
        <v>MASS BSF</v>
      </c>
      <c r="C30" t="str">
        <v>AKO-712</v>
      </c>
      <c r="D30" t="str">
        <v>AKO-712</v>
      </c>
      <c r="E30" t="str">
        <v/>
      </c>
      <c r="F30" t="str">
        <v>867162027717156</v>
      </c>
      <c r="G30" t="str">
        <v>TBD</v>
      </c>
      <c r="H30" t="str">
        <v/>
      </c>
      <c r="I30" t="str">
        <v/>
      </c>
      <c r="J30" t="str">
        <v>17/09/2026</v>
      </c>
      <c r="K30" t="str">
        <v>11:46:23</v>
      </c>
      <c r="L30">
        <v>-12.315766</v>
      </c>
      <c r="M30">
        <v>-76.83297</v>
      </c>
      <c r="N30">
        <f>HYPERLINK("https://www.google.com/maps/search/?api=1&amp;query=-12.315766,-76.83297","Calle Santa Rosa, Punta Hermosa, Lima")</f>
      </c>
      <c r="O30" t="str">
        <v>Vehículo apagado</v>
      </c>
      <c r="P30">
        <v>560643.8</v>
      </c>
      <c r="Q30" t="str">
        <v/>
      </c>
      <c r="R30">
        <v>0</v>
      </c>
      <c r="S30">
        <v>0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93</v>
      </c>
      <c r="AB30" t="str">
        <v>17/09/2026</v>
      </c>
      <c r="AC30" t="str">
        <v>11:46:26</v>
      </c>
      <c r="AD30">
        <f>IF("ONLINE"="NOGPS","GPS Antiguo","En línea")</f>
      </c>
      <c r="AE30">
        <f>IF(0=0,"Sin atender", IF(0=1,"Atendida","Atendida y Reportada"))</f>
      </c>
      <c r="AF30" t="str">
        <v/>
      </c>
      <c r="AG30" t="str">
        <v/>
      </c>
      <c r="AH30" t="str">
        <v/>
      </c>
      <c r="AI30" t="str">
        <v/>
      </c>
      <c r="AJ30" t="str">
        <v>17/09/2026 11:46:43</v>
      </c>
      <c r="AK30" t="str">
        <v>11:46:43</v>
      </c>
      <c r="AL30" t="str">
        <v/>
      </c>
    </row>
    <row r="31">
      <c r="A31">
        <v>30</v>
      </c>
      <c r="B31" t="str">
        <v>MASS BSF</v>
      </c>
      <c r="C31" t="str">
        <v>AKO-712</v>
      </c>
      <c r="D31" t="str">
        <v>AKO-712</v>
      </c>
      <c r="E31" t="str">
        <v/>
      </c>
      <c r="F31" t="str">
        <v>867162027717156</v>
      </c>
      <c r="G31" t="str">
        <v>TBD</v>
      </c>
      <c r="H31" t="str">
        <v/>
      </c>
      <c r="I31" t="str">
        <v/>
      </c>
      <c r="J31" t="str">
        <v>17/09/2026</v>
      </c>
      <c r="K31" t="str">
        <v>11:58:54</v>
      </c>
      <c r="L31">
        <v>-12.315766</v>
      </c>
      <c r="M31">
        <v>-76.83297</v>
      </c>
      <c r="N31">
        <f>HYPERLINK("https://www.google.com/maps/search/?api=1&amp;query=-12.315766,-76.83297","Calle Santa Rosa, Punta Hermosa, Lima")</f>
      </c>
      <c r="O31" t="str">
        <v>Vehículo encendido</v>
      </c>
      <c r="P31">
        <v>560643.8</v>
      </c>
      <c r="Q31" t="str">
        <v/>
      </c>
      <c r="R31">
        <v>0</v>
      </c>
      <c r="S31">
        <v>0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93</v>
      </c>
      <c r="AB31" t="str">
        <v>17/09/2026</v>
      </c>
      <c r="AC31" t="str">
        <v>11:46:26</v>
      </c>
      <c r="AD31">
        <f>IF("NOGPS"="NOGPS","GPS Antiguo","En línea")</f>
      </c>
      <c r="AE31">
        <f>IF(0=0,"Sin atender", IF(0=1,"Atendida","Atendida y Reportada"))</f>
      </c>
      <c r="AF31" t="str">
        <v/>
      </c>
      <c r="AG31" t="str">
        <v/>
      </c>
      <c r="AH31" t="str">
        <v/>
      </c>
      <c r="AI31" t="str">
        <v/>
      </c>
      <c r="AJ31" t="str">
        <v>17/09/2026 11:59:19</v>
      </c>
      <c r="AK31" t="str">
        <v>11:59:19</v>
      </c>
      <c r="AL31" t="str">
        <v/>
      </c>
    </row>
    <row r="32">
      <c r="A32">
        <v>31</v>
      </c>
      <c r="B32" t="str">
        <v>MASS BSF</v>
      </c>
      <c r="C32" t="str">
        <v>AKO-712</v>
      </c>
      <c r="D32" t="str">
        <v>AKO-712</v>
      </c>
      <c r="E32" t="str">
        <v/>
      </c>
      <c r="F32" t="str">
        <v>867162027717156</v>
      </c>
      <c r="G32" t="str">
        <v>TBD</v>
      </c>
      <c r="H32" t="str">
        <v/>
      </c>
      <c r="I32" t="str">
        <v/>
      </c>
      <c r="J32" t="str">
        <v>17/09/2026</v>
      </c>
      <c r="K32" t="str">
        <v>12:13:47</v>
      </c>
      <c r="L32">
        <v>-12.333589</v>
      </c>
      <c r="M32">
        <v>-76.82496</v>
      </c>
      <c r="N32">
        <f>HYPERLINK("https://www.google.com/maps/search/?api=1&amp;query=-12.333589,-76.82496","Avenida Gaston Garcia Rada, Punta Hermosa, Lima")</f>
      </c>
      <c r="O32" t="str">
        <v>Inicio de ralentí</v>
      </c>
      <c r="P32">
        <v>560647</v>
      </c>
      <c r="Q32" t="str">
        <v/>
      </c>
      <c r="R32">
        <v>0</v>
      </c>
      <c r="S32">
        <v>0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93</v>
      </c>
      <c r="AB32" t="str">
        <v>17/09/2026</v>
      </c>
      <c r="AC32" t="str">
        <v>12:12:53</v>
      </c>
      <c r="AD32">
        <f>IF("ONLINE"="NOGPS","GPS Antiguo","En línea")</f>
      </c>
      <c r="AE32">
        <f>IF(0=0,"Sin atender", IF(0=1,"Atendida","Atendida y Reportada"))</f>
      </c>
      <c r="AF32" t="str">
        <v/>
      </c>
      <c r="AG32" t="str">
        <v/>
      </c>
      <c r="AH32" t="str">
        <v/>
      </c>
      <c r="AI32" t="str">
        <v/>
      </c>
      <c r="AJ32" t="str">
        <v>17/09/2026 12:13:56</v>
      </c>
      <c r="AK32" t="str">
        <v>12:13:56</v>
      </c>
      <c r="AL32" t="str">
        <v/>
      </c>
    </row>
    <row r="33">
      <c r="A33">
        <v>32</v>
      </c>
      <c r="B33" t="str">
        <v>MASS BSF</v>
      </c>
      <c r="C33" t="str">
        <v>AKO-712</v>
      </c>
      <c r="D33" t="str">
        <v>AKO-712</v>
      </c>
      <c r="E33" t="str">
        <v/>
      </c>
      <c r="F33" t="str">
        <v>867162027717156</v>
      </c>
      <c r="G33" t="str">
        <v>TBD</v>
      </c>
      <c r="H33" t="str">
        <v/>
      </c>
      <c r="I33" t="str">
        <v/>
      </c>
      <c r="J33" t="str">
        <v>17/09/2026</v>
      </c>
      <c r="K33" t="str">
        <v>12:13:47</v>
      </c>
      <c r="L33">
        <v>-12.333589</v>
      </c>
      <c r="M33">
        <v>-76.82496</v>
      </c>
      <c r="N33">
        <f>HYPERLINK("https://www.google.com/maps/search/?api=1&amp;query=-12.333589,-76.82496","Avenida Gaston Garcia Rada, Punta Hermosa, Lima")</f>
      </c>
      <c r="O33" t="str">
        <v>Vehículo apagado</v>
      </c>
      <c r="P33">
        <v>560647</v>
      </c>
      <c r="Q33" t="str">
        <v/>
      </c>
      <c r="R33">
        <v>0</v>
      </c>
      <c r="S33">
        <v>0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93</v>
      </c>
      <c r="AB33" t="str">
        <v>17/09/2026</v>
      </c>
      <c r="AC33" t="str">
        <v>12:12:53</v>
      </c>
      <c r="AD33">
        <f>IF("ONLINE"="NOGPS","GPS Antiguo","En línea")</f>
      </c>
      <c r="AE33">
        <f>IF(0=0,"Sin atender", IF(0=1,"Atendida","Atendida y Reportada"))</f>
      </c>
      <c r="AF33" t="str">
        <v/>
      </c>
      <c r="AG33" t="str">
        <v/>
      </c>
      <c r="AH33" t="str">
        <v/>
      </c>
      <c r="AI33" t="str">
        <v/>
      </c>
      <c r="AJ33" t="str">
        <v>17/09/2026 12:13:59</v>
      </c>
      <c r="AK33" t="str">
        <v>12:13:59</v>
      </c>
      <c r="AL33" t="str">
        <v/>
      </c>
    </row>
    <row r="34">
      <c r="A34">
        <v>33</v>
      </c>
      <c r="B34" t="str">
        <v>MASS BSF</v>
      </c>
      <c r="C34" t="str">
        <v>AKO-712</v>
      </c>
      <c r="D34" t="str">
        <v>AKO-712</v>
      </c>
      <c r="E34" t="str">
        <v/>
      </c>
      <c r="F34" t="str">
        <v>867162027717156</v>
      </c>
      <c r="G34" t="str">
        <v>TBD</v>
      </c>
      <c r="H34" t="str">
        <v/>
      </c>
      <c r="I34" t="str">
        <v/>
      </c>
      <c r="J34" t="str">
        <v>17/09/2026</v>
      </c>
      <c r="K34" t="str">
        <v>12:14:47</v>
      </c>
      <c r="L34">
        <v>-12.333589</v>
      </c>
      <c r="M34">
        <v>-76.82496</v>
      </c>
      <c r="N34">
        <f>HYPERLINK("https://www.google.com/maps/search/?api=1&amp;query=-12.333589,-76.82496","Avenida Gaston Garcia Rada, Punta Hermosa, Lima")</f>
      </c>
      <c r="O34" t="str">
        <v>Fin de ralentí</v>
      </c>
      <c r="P34">
        <v>560647</v>
      </c>
      <c r="Q34" t="str">
        <v/>
      </c>
      <c r="R34">
        <v>0</v>
      </c>
      <c r="S34">
        <v>0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93</v>
      </c>
      <c r="AB34" t="str">
        <v>17/09/2026</v>
      </c>
      <c r="AC34" t="str">
        <v>12:13:49</v>
      </c>
      <c r="AD34">
        <f>IF("ONLINE"="NOGPS","GPS Antiguo","En línea")</f>
      </c>
      <c r="AE34">
        <f>IF(0=0,"Sin atender", IF(0=1,"Atendida","Atendida y Reportada"))</f>
      </c>
      <c r="AF34" t="str">
        <v/>
      </c>
      <c r="AG34" t="str">
        <v/>
      </c>
      <c r="AH34" t="str">
        <v/>
      </c>
      <c r="AI34" t="str">
        <v/>
      </c>
      <c r="AJ34" t="str">
        <v>17/09/2026 12:14:53</v>
      </c>
      <c r="AK34" t="str">
        <v>12:14:53</v>
      </c>
      <c r="AL34" t="str">
        <v/>
      </c>
    </row>
    <row r="35">
      <c r="A35">
        <v>34</v>
      </c>
      <c r="B35" t="str">
        <v>MASS BSF</v>
      </c>
      <c r="C35" t="str">
        <v>AKO-712</v>
      </c>
      <c r="D35" t="str">
        <v>AKO-712</v>
      </c>
      <c r="E35" t="str">
        <v/>
      </c>
      <c r="F35" t="str">
        <v>867162027717156</v>
      </c>
      <c r="G35" t="str">
        <v>TBD</v>
      </c>
      <c r="H35" t="str">
        <v/>
      </c>
      <c r="I35" t="str">
        <v/>
      </c>
      <c r="J35" t="str">
        <v>17/09/2026</v>
      </c>
      <c r="K35" t="str">
        <v>12:39:02</v>
      </c>
      <c r="L35">
        <v>-12.333589</v>
      </c>
      <c r="M35">
        <v>-76.82496</v>
      </c>
      <c r="N35">
        <f>HYPERLINK("https://www.google.com/maps/search/?api=1&amp;query=-12.333589,-76.82496","Avenida Gaston Garcia Rada, Punta Hermosa, Lima")</f>
      </c>
      <c r="O35" t="str">
        <v>Vehículo encendido</v>
      </c>
      <c r="P35">
        <v>560647.1</v>
      </c>
      <c r="Q35" t="str">
        <v/>
      </c>
      <c r="R35">
        <v>0</v>
      </c>
      <c r="S35">
        <v>0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92</v>
      </c>
      <c r="AB35" t="str">
        <v>17/09/2026</v>
      </c>
      <c r="AC35" t="str">
        <v>12:13:49</v>
      </c>
      <c r="AD35">
        <f>IF("NOGPS"="NOGPS","GPS Antiguo","En línea")</f>
      </c>
      <c r="AE35">
        <f>IF(0=0,"Sin atender", IF(0=1,"Atendida","Atendida y Reportada"))</f>
      </c>
      <c r="AF35" t="str">
        <v/>
      </c>
      <c r="AG35" t="str">
        <v/>
      </c>
      <c r="AH35" t="str">
        <v/>
      </c>
      <c r="AI35" t="str">
        <v/>
      </c>
      <c r="AJ35" t="str">
        <v>17/09/2026 12:39:17</v>
      </c>
      <c r="AK35" t="str">
        <v>12:39:17</v>
      </c>
      <c r="AL35" t="str">
        <v/>
      </c>
    </row>
    <row r="36">
      <c r="A36">
        <v>35</v>
      </c>
      <c r="B36" t="str">
        <v>MASS BSF</v>
      </c>
      <c r="C36" t="str">
        <v>AKO-712</v>
      </c>
      <c r="D36" t="str">
        <v>AKO-712</v>
      </c>
      <c r="E36" t="str">
        <v/>
      </c>
      <c r="F36" t="str">
        <v>867162027717156</v>
      </c>
      <c r="G36" t="str">
        <v>TBD</v>
      </c>
      <c r="H36" t="str">
        <v/>
      </c>
      <c r="I36" t="str">
        <v/>
      </c>
      <c r="J36" t="str">
        <v>17/09/2026</v>
      </c>
      <c r="K36" t="str">
        <v>12:56:05</v>
      </c>
      <c r="L36">
        <v>-12.369183</v>
      </c>
      <c r="M36">
        <v>-76.79093</v>
      </c>
      <c r="N36">
        <f>HYPERLINK("https://www.google.com/maps/search/?api=1&amp;query=-12.369183,-76.79093","Antigua Panamericana Sur, Punta Negra, Lima")</f>
      </c>
      <c r="O36" t="str">
        <v>Exceso de velocidad en segmento vial</v>
      </c>
      <c r="P36">
        <v>560653</v>
      </c>
      <c r="Q36" t="str">
        <v/>
      </c>
      <c r="R36">
        <v>60.7</v>
      </c>
      <c r="S36">
        <v>0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92</v>
      </c>
      <c r="AB36" t="str">
        <v>17/09/2026</v>
      </c>
      <c r="AC36" t="str">
        <v>12:56:01</v>
      </c>
      <c r="AD36">
        <f>IF("ONLINE"="NOGPS","GPS Antiguo","En línea")</f>
      </c>
      <c r="AE36">
        <f>IF(0=0,"Sin atender", IF(0=1,"Atendida","Atendida y Reportada"))</f>
      </c>
      <c r="AF36" t="str">
        <v/>
      </c>
      <c r="AG36" t="str">
        <v/>
      </c>
      <c r="AH36" t="str">
        <v/>
      </c>
      <c r="AI36" t="str">
        <v/>
      </c>
      <c r="AJ36" t="str">
        <v>17/09/2026 12:56:25</v>
      </c>
      <c r="AK36" t="str">
        <v>12:56:25</v>
      </c>
      <c r="AL36" t="str">
        <v/>
      </c>
    </row>
    <row r="37">
      <c r="A37">
        <v>36</v>
      </c>
      <c r="B37" t="str">
        <v>MASS BSF</v>
      </c>
      <c r="C37" t="str">
        <v>AKO-712</v>
      </c>
      <c r="D37" t="str">
        <v>AKO-712</v>
      </c>
      <c r="E37" t="str">
        <v/>
      </c>
      <c r="F37" t="str">
        <v>867162027717156</v>
      </c>
      <c r="G37" t="str">
        <v>TBD</v>
      </c>
      <c r="H37" t="str">
        <v/>
      </c>
      <c r="I37" t="str">
        <v/>
      </c>
      <c r="J37" t="str">
        <v>17/09/2026</v>
      </c>
      <c r="K37" t="str">
        <v>13:01:07</v>
      </c>
      <c r="L37">
        <v>-12.386641</v>
      </c>
      <c r="M37">
        <v>-76.77171</v>
      </c>
      <c r="N37">
        <f>HYPERLINK("https://www.google.com/maps/search/?api=1&amp;query=-12.386641,-76.77171","San Bartolo, Lima")</f>
      </c>
      <c r="O37" t="str">
        <v>Vehículo apagado</v>
      </c>
      <c r="P37">
        <v>560655.8</v>
      </c>
      <c r="Q37" t="str">
        <v/>
      </c>
      <c r="R37">
        <v>0</v>
      </c>
      <c r="S37">
        <v>0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92</v>
      </c>
      <c r="AB37" t="str">
        <v>17/09/2026</v>
      </c>
      <c r="AC37" t="str">
        <v>13:01:09</v>
      </c>
      <c r="AD37">
        <f>IF("ONLINE"="NOGPS","GPS Antiguo","En línea")</f>
      </c>
      <c r="AE37">
        <f>IF(0=0,"Sin atender", IF(0=1,"Atendida","Atendida y Reportada"))</f>
      </c>
      <c r="AF37" t="str">
        <v/>
      </c>
      <c r="AG37" t="str">
        <v/>
      </c>
      <c r="AH37" t="str">
        <v/>
      </c>
      <c r="AI37" t="str">
        <v/>
      </c>
      <c r="AJ37" t="str">
        <v>17/09/2026 13:01:33</v>
      </c>
      <c r="AK37" t="str">
        <v>13:01:33</v>
      </c>
      <c r="AL37" t="str">
        <v/>
      </c>
    </row>
    <row r="38">
      <c r="A38">
        <v>37</v>
      </c>
      <c r="B38" t="str">
        <v>MASS BSF</v>
      </c>
      <c r="C38" t="str">
        <v>AKO-712</v>
      </c>
      <c r="D38" t="str">
        <v>AKO-712</v>
      </c>
      <c r="E38" t="str">
        <v/>
      </c>
      <c r="F38" t="str">
        <v>867162027717156</v>
      </c>
      <c r="G38" t="str">
        <v>TBD</v>
      </c>
      <c r="H38" t="str">
        <v/>
      </c>
      <c r="I38" t="str">
        <v/>
      </c>
      <c r="J38" t="str">
        <v>17/09/2026</v>
      </c>
      <c r="K38" t="str">
        <v>13:23:26</v>
      </c>
      <c r="L38">
        <v>-12.386641</v>
      </c>
      <c r="M38">
        <v>-76.77171</v>
      </c>
      <c r="N38">
        <f>HYPERLINK("https://www.google.com/maps/search/?api=1&amp;query=-12.386641,-76.77171","San Bartolo, Lima")</f>
      </c>
      <c r="O38" t="str">
        <v>Vehículo encendido</v>
      </c>
      <c r="P38">
        <v>560655.8</v>
      </c>
      <c r="Q38" t="str">
        <v/>
      </c>
      <c r="R38">
        <v>0</v>
      </c>
      <c r="S38">
        <v>0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92</v>
      </c>
      <c r="AB38" t="str">
        <v>17/09/2026</v>
      </c>
      <c r="AC38" t="str">
        <v>13:01:09</v>
      </c>
      <c r="AD38">
        <f>IF("NOGPS"="NOGPS","GPS Antiguo","En línea")</f>
      </c>
      <c r="AE38">
        <f>IF(0=0,"Sin atender", IF(0=1,"Atendida","Atendida y Reportada"))</f>
      </c>
      <c r="AF38" t="str">
        <v/>
      </c>
      <c r="AG38" t="str">
        <v/>
      </c>
      <c r="AH38" t="str">
        <v/>
      </c>
      <c r="AI38" t="str">
        <v/>
      </c>
      <c r="AJ38" t="str">
        <v>17/09/2026 13:23:38</v>
      </c>
      <c r="AK38" t="str">
        <v>13:23:38</v>
      </c>
      <c r="AL38" t="str">
        <v/>
      </c>
    </row>
    <row r="39">
      <c r="A39">
        <v>38</v>
      </c>
      <c r="B39" t="str">
        <v>MASS BSF</v>
      </c>
      <c r="C39" t="str">
        <v>AKO-712</v>
      </c>
      <c r="D39" t="str">
        <v>AKO-712</v>
      </c>
      <c r="E39" t="str">
        <v/>
      </c>
      <c r="F39" t="str">
        <v>867162027717156</v>
      </c>
      <c r="G39" t="str">
        <v>TBD</v>
      </c>
      <c r="H39" t="str">
        <v/>
      </c>
      <c r="I39" t="str">
        <v xml:space="preserve"> </v>
      </c>
      <c r="J39" t="str">
        <v>17/09/2026</v>
      </c>
      <c r="K39" t="str">
        <v>13:38:08</v>
      </c>
      <c r="L39">
        <v>-12.317559</v>
      </c>
      <c r="M39">
        <v>-76.82967</v>
      </c>
      <c r="N39">
        <f>HYPERLINK("https://www.google.com/maps/search/?api=1&amp;query=-12.317559,-76.82967","Punta Hermosa, Lima")</f>
      </c>
      <c r="O39" t="str">
        <v>Llegó a la zona</v>
      </c>
      <c r="P39">
        <v>560664.8</v>
      </c>
      <c r="Q39" t="str">
        <v>MASS BSF 1</v>
      </c>
      <c r="R39">
        <v>6.8</v>
      </c>
      <c r="S39">
        <v>0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92</v>
      </c>
      <c r="AB39" t="str">
        <v>17/09/2026</v>
      </c>
      <c r="AC39" t="str">
        <v>13:38:07</v>
      </c>
      <c r="AD39">
        <f>IF("ONLINE"="NOGPS","GPS Antiguo","En línea")</f>
      </c>
      <c r="AE39">
        <f>IF(0=0,"Sin atender", IF(0=1,"Atendida","Atendida y Reportada"))</f>
      </c>
      <c r="AF39" t="str">
        <v/>
      </c>
      <c r="AG39" t="str">
        <v/>
      </c>
      <c r="AH39" t="str">
        <v/>
      </c>
      <c r="AI39" t="str">
        <v/>
      </c>
      <c r="AJ39" t="str">
        <v>17/09/2026 13:38:17</v>
      </c>
      <c r="AK39" t="str">
        <v>13:38:17</v>
      </c>
      <c r="AL39" t="str">
        <v/>
      </c>
    </row>
    <row r="40">
      <c r="A40">
        <v>39</v>
      </c>
      <c r="B40" t="str">
        <v>MASS BSF</v>
      </c>
      <c r="C40" t="str">
        <v>AKO-712</v>
      </c>
      <c r="D40" t="str">
        <v>AKO-712</v>
      </c>
      <c r="E40" t="str">
        <v/>
      </c>
      <c r="F40" t="str">
        <v>867162027717156</v>
      </c>
      <c r="G40" t="str">
        <v>TBD</v>
      </c>
      <c r="H40" t="str">
        <v/>
      </c>
      <c r="I40" t="str">
        <v/>
      </c>
      <c r="J40" t="str">
        <v>17/09/2026</v>
      </c>
      <c r="K40" t="str">
        <v>13:46:11</v>
      </c>
      <c r="L40">
        <v>-12.317308</v>
      </c>
      <c r="M40">
        <v>-76.82301</v>
      </c>
      <c r="N40">
        <f>HYPERLINK("https://www.google.com/maps/search/?api=1&amp;query=-12.317308,-76.82301","Punta Hermosa, Lima")</f>
      </c>
      <c r="O40" t="str">
        <v>Vehículo apagado</v>
      </c>
      <c r="P40">
        <v>560667.2</v>
      </c>
      <c r="Q40" t="str">
        <v/>
      </c>
      <c r="R40">
        <v>0</v>
      </c>
      <c r="S40">
        <v>0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92</v>
      </c>
      <c r="AB40" t="str">
        <v>17/09/2026</v>
      </c>
      <c r="AC40" t="str">
        <v>13:46:12</v>
      </c>
      <c r="AD40">
        <f>IF("ONLINE"="NOGPS","GPS Antiguo","En línea")</f>
      </c>
      <c r="AE40">
        <f>IF(0=0,"Sin atender", IF(0=1,"Atendida","Atendida y Reportada"))</f>
      </c>
      <c r="AF40" t="str">
        <v/>
      </c>
      <c r="AG40" t="str">
        <v/>
      </c>
      <c r="AH40" t="str">
        <v/>
      </c>
      <c r="AI40" t="str">
        <v/>
      </c>
      <c r="AJ40" t="str">
        <v>17/09/2026 13:46:26</v>
      </c>
      <c r="AK40" t="str">
        <v>13:46:26</v>
      </c>
      <c r="AL40" t="str">
        <v/>
      </c>
    </row>
    <row r="41">
      <c r="A41">
        <v>40</v>
      </c>
      <c r="B41" t="str">
        <v>MASS BSF</v>
      </c>
      <c r="C41" t="str">
        <v>AKO-712</v>
      </c>
      <c r="D41" t="str">
        <v>AKO-712</v>
      </c>
      <c r="E41" t="str">
        <v/>
      </c>
      <c r="F41" t="str">
        <v>867162027717156</v>
      </c>
      <c r="G41" t="str">
        <v>TBD</v>
      </c>
      <c r="H41" t="str">
        <v/>
      </c>
      <c r="I41" t="str">
        <v/>
      </c>
      <c r="J41" t="str">
        <v>17/09/2026</v>
      </c>
      <c r="K41" t="str">
        <v>14:03:41</v>
      </c>
      <c r="L41">
        <v>-12.317308</v>
      </c>
      <c r="M41">
        <v>-76.82301</v>
      </c>
      <c r="N41">
        <f>HYPERLINK("https://www.google.com/maps/search/?api=1&amp;query=-12.317308,-76.82301","Punta Hermosa, Lima")</f>
      </c>
      <c r="O41" t="str">
        <v>Vehículo encendido</v>
      </c>
      <c r="P41">
        <v>560667.2</v>
      </c>
      <c r="Q41" t="str">
        <v/>
      </c>
      <c r="R41">
        <v>0</v>
      </c>
      <c r="S41">
        <v>0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>
        <v>92</v>
      </c>
      <c r="AB41" t="str">
        <v>17/09/2026</v>
      </c>
      <c r="AC41" t="str">
        <v>13:46:12</v>
      </c>
      <c r="AD41">
        <f>IF("NOGPS"="NOGPS","GPS Antiguo","En línea")</f>
      </c>
      <c r="AE41">
        <f>IF(0=0,"Sin atender", IF(0=1,"Atendida","Atendida y Reportada"))</f>
      </c>
      <c r="AF41" t="str">
        <v/>
      </c>
      <c r="AG41" t="str">
        <v/>
      </c>
      <c r="AH41" t="str">
        <v/>
      </c>
      <c r="AI41" t="str">
        <v/>
      </c>
      <c r="AJ41" t="str">
        <v>17/09/2026 14:03:53</v>
      </c>
      <c r="AK41" t="str">
        <v>14:03:53</v>
      </c>
      <c r="AL41" t="str">
        <v/>
      </c>
    </row>
    <row r="42">
      <c r="A42">
        <v>41</v>
      </c>
      <c r="B42" t="str">
        <v>MASS BSF</v>
      </c>
      <c r="C42" t="str">
        <v>AKO-712</v>
      </c>
      <c r="D42" t="str">
        <v>AKO-712</v>
      </c>
      <c r="E42" t="str">
        <v/>
      </c>
      <c r="F42" t="str">
        <v>867162027717156</v>
      </c>
      <c r="G42" t="str">
        <v>TBD</v>
      </c>
      <c r="H42" t="str">
        <v/>
      </c>
      <c r="I42" t="str">
        <v xml:space="preserve"> </v>
      </c>
      <c r="J42" t="str">
        <v>17/09/2026</v>
      </c>
      <c r="K42" t="str">
        <v>14:13:46</v>
      </c>
      <c r="L42">
        <v>-12.317515</v>
      </c>
      <c r="M42">
        <v>-76.82979</v>
      </c>
      <c r="N42">
        <f>HYPERLINK("https://www.google.com/maps/search/?api=1&amp;query=-12.317515,-76.82979","Punta Hermosa, Lima")</f>
      </c>
      <c r="O42" t="str">
        <v>Salió de zona</v>
      </c>
      <c r="P42">
        <v>560668.2</v>
      </c>
      <c r="Q42" t="str">
        <v>MASS BSF 1</v>
      </c>
      <c r="R42">
        <v>6.8</v>
      </c>
      <c r="S42">
        <v>0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>
        <v>90</v>
      </c>
      <c r="AB42" t="str">
        <v>17/09/2026</v>
      </c>
      <c r="AC42" t="str">
        <v>14:13:43</v>
      </c>
      <c r="AD42">
        <f>IF("ONLINE"="NOGPS","GPS Antiguo","En línea")</f>
      </c>
      <c r="AE42">
        <f>IF(0=0,"Sin atender", IF(0=1,"Atendida","Atendida y Reportada"))</f>
      </c>
      <c r="AF42" t="str">
        <v/>
      </c>
      <c r="AG42" t="str">
        <v/>
      </c>
      <c r="AH42" t="str">
        <v/>
      </c>
      <c r="AI42" t="str">
        <v/>
      </c>
      <c r="AJ42" t="str">
        <v>17/09/2026 14:13:51</v>
      </c>
      <c r="AK42" t="str">
        <v>14:13:51</v>
      </c>
      <c r="AL42" t="str">
        <v/>
      </c>
    </row>
    <row r="43">
      <c r="A43">
        <v>42</v>
      </c>
      <c r="B43" t="str">
        <v>MASS BSF</v>
      </c>
      <c r="C43" t="str">
        <v>AKO-712</v>
      </c>
      <c r="D43" t="str">
        <v>AKO-712</v>
      </c>
      <c r="E43" t="str">
        <v/>
      </c>
      <c r="F43" t="str">
        <v>867162027717156</v>
      </c>
      <c r="G43" t="str">
        <v>TBD</v>
      </c>
      <c r="H43" t="str">
        <v/>
      </c>
      <c r="I43" t="str">
        <v/>
      </c>
      <c r="J43" t="str">
        <v>17/09/2026</v>
      </c>
      <c r="K43" t="str">
        <v>14:54:16</v>
      </c>
      <c r="L43">
        <v>-12.21289</v>
      </c>
      <c r="M43">
        <v>-76.95906</v>
      </c>
      <c r="N43">
        <f>HYPERLINK("https://www.google.com/maps/search/?api=1&amp;query=-12.21289,-76.95906","Avenida Villa del Mar, Villa El Salvador, Lima")</f>
      </c>
      <c r="O43" t="str">
        <v>Vehículo apagado</v>
      </c>
      <c r="P43">
        <v>560692.6</v>
      </c>
      <c r="Q43" t="str">
        <v/>
      </c>
      <c r="R43">
        <v>0</v>
      </c>
      <c r="S43">
        <v>0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>
        <v>90</v>
      </c>
      <c r="AB43" t="str">
        <v>17/09/2026</v>
      </c>
      <c r="AC43" t="str">
        <v>14:53:43</v>
      </c>
      <c r="AD43">
        <f>IF("ONLINE"="NOGPS","GPS Antiguo","En línea")</f>
      </c>
      <c r="AE43">
        <f>IF(0=0,"Sin atender", IF(0=1,"Atendida","Atendida y Reportada"))</f>
      </c>
      <c r="AF43" t="str">
        <v/>
      </c>
      <c r="AG43" t="str">
        <v/>
      </c>
      <c r="AH43" t="str">
        <v/>
      </c>
      <c r="AI43" t="str">
        <v/>
      </c>
      <c r="AJ43" t="str">
        <v>17/09/2026 14:54:38</v>
      </c>
      <c r="AK43" t="str">
        <v>14:54:38</v>
      </c>
      <c r="AL43" t="str">
        <v/>
      </c>
    </row>
    <row r="44">
      <c r="A44">
        <v>43</v>
      </c>
      <c r="B44" t="str">
        <v>MASS BSF</v>
      </c>
      <c r="C44" t="str">
        <v>AKO-712</v>
      </c>
      <c r="D44" t="str">
        <v>AKO-712</v>
      </c>
      <c r="E44" t="str">
        <v/>
      </c>
      <c r="F44" t="str">
        <v>867162027717156</v>
      </c>
      <c r="G44" t="str">
        <v>TBD</v>
      </c>
      <c r="H44" t="str">
        <v/>
      </c>
      <c r="I44" t="str">
        <v/>
      </c>
      <c r="J44" t="str">
        <v>17/09/2026</v>
      </c>
      <c r="K44" t="str">
        <v>15:02:31</v>
      </c>
      <c r="L44">
        <v>-12.212872</v>
      </c>
      <c r="M44">
        <v>-76.95901</v>
      </c>
      <c r="N44">
        <f>HYPERLINK("https://www.google.com/maps/search/?api=1&amp;query=-12.212872,-76.95901","Avenida Villa del Mar, Villa El Salvador, Lima")</f>
      </c>
      <c r="O44" t="str">
        <v>Vehículo encendido</v>
      </c>
      <c r="P44">
        <v>560692.6</v>
      </c>
      <c r="Q44" t="str">
        <v/>
      </c>
      <c r="R44">
        <v>0</v>
      </c>
      <c r="S44">
        <v>0</v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>
        <v>90</v>
      </c>
      <c r="AB44" t="str">
        <v>17/09/2026</v>
      </c>
      <c r="AC44" t="str">
        <v>14:54:18</v>
      </c>
      <c r="AD44">
        <f>IF("NOGPS"="NOGPS","GPS Antiguo","En línea")</f>
      </c>
      <c r="AE44">
        <f>IF(0=0,"Sin atender", IF(0=1,"Atendida","Atendida y Reportada"))</f>
      </c>
      <c r="AF44" t="str">
        <v/>
      </c>
      <c r="AG44" t="str">
        <v/>
      </c>
      <c r="AH44" t="str">
        <v/>
      </c>
      <c r="AI44" t="str">
        <v/>
      </c>
      <c r="AJ44" t="str">
        <v>17/09/2026 15:02:55</v>
      </c>
      <c r="AK44" t="str">
        <v>15:02:55</v>
      </c>
      <c r="AL44" t="str">
        <v/>
      </c>
    </row>
    <row r="45">
      <c r="A45">
        <v>44</v>
      </c>
      <c r="B45" t="str">
        <v>MASS BSF</v>
      </c>
      <c r="C45" t="str">
        <v>AKO-712</v>
      </c>
      <c r="D45" t="str">
        <v>AKO-712</v>
      </c>
      <c r="E45" t="str">
        <v/>
      </c>
      <c r="F45" t="str">
        <v>867162027717156</v>
      </c>
      <c r="G45" t="str">
        <v>TBD</v>
      </c>
      <c r="H45" t="str">
        <v/>
      </c>
      <c r="I45" t="str">
        <v/>
      </c>
      <c r="J45" t="str">
        <v>17/09/2026</v>
      </c>
      <c r="K45" t="str">
        <v>15:04:31</v>
      </c>
      <c r="L45">
        <v>-12.21297</v>
      </c>
      <c r="M45">
        <v>-76.959114</v>
      </c>
      <c r="N45">
        <f>HYPERLINK("https://www.google.com/maps/search/?api=1&amp;query=-12.21297,-76.959114","Avenida Villa del Mar, Villa El Salvador, Lima")</f>
      </c>
      <c r="O45" t="str">
        <v>Vehículo apagado</v>
      </c>
      <c r="P45">
        <v>560692.6</v>
      </c>
      <c r="Q45" t="str">
        <v/>
      </c>
      <c r="R45">
        <v>0</v>
      </c>
      <c r="S45">
        <v>0</v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>
        <v>90</v>
      </c>
      <c r="AB45" t="str">
        <v>17/09/2026</v>
      </c>
      <c r="AC45" t="str">
        <v>15:03:30</v>
      </c>
      <c r="AD45">
        <f>IF("ONLINE"="NOGPS","GPS Antiguo","En línea")</f>
      </c>
      <c r="AE45">
        <f>IF(0=0,"Sin atender", IF(0=1,"Atendida","Atendida y Reportada"))</f>
      </c>
      <c r="AF45" t="str">
        <v/>
      </c>
      <c r="AG45" t="str">
        <v/>
      </c>
      <c r="AH45" t="str">
        <v/>
      </c>
      <c r="AI45" t="str">
        <v/>
      </c>
      <c r="AJ45" t="str">
        <v>17/09/2026 15:04:48</v>
      </c>
      <c r="AK45" t="str">
        <v>15:04:48</v>
      </c>
      <c r="AL45" t="str">
        <v/>
      </c>
    </row>
    <row r="46">
      <c r="A46">
        <v>45</v>
      </c>
      <c r="B46" t="str">
        <v>MASS BSF</v>
      </c>
      <c r="C46" t="str">
        <v>AKO-712</v>
      </c>
      <c r="D46" t="str">
        <v>AKO-712</v>
      </c>
      <c r="E46" t="str">
        <v/>
      </c>
      <c r="F46" t="str">
        <v>867162027717156</v>
      </c>
      <c r="G46" t="str">
        <v>TBD</v>
      </c>
      <c r="H46" t="str">
        <v/>
      </c>
      <c r="I46" t="str">
        <v/>
      </c>
      <c r="J46" t="str">
        <v>17/09/2026</v>
      </c>
      <c r="K46" t="str">
        <v>15:08:19</v>
      </c>
      <c r="L46">
        <v>-12.21297</v>
      </c>
      <c r="M46">
        <v>-76.959114</v>
      </c>
      <c r="N46">
        <f>HYPERLINK("https://www.google.com/maps/search/?api=1&amp;query=-12.21297,-76.959114","Avenida Villa del Mar, Villa El Salvador, Lima")</f>
      </c>
      <c r="O46" t="str">
        <v>Vehículo encendido</v>
      </c>
      <c r="P46">
        <v>560692.6</v>
      </c>
      <c r="Q46" t="str">
        <v/>
      </c>
      <c r="R46">
        <v>0</v>
      </c>
      <c r="S46">
        <v>0</v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>
        <v>90</v>
      </c>
      <c r="AB46" t="str">
        <v>17/09/2026</v>
      </c>
      <c r="AC46" t="str">
        <v>15:04:35</v>
      </c>
      <c r="AD46">
        <f>IF("ONLINE"="NOGPS","GPS Antiguo","En línea")</f>
      </c>
      <c r="AE46">
        <f>IF(0=0,"Sin atender", IF(0=1,"Atendida","Atendida y Reportada"))</f>
      </c>
      <c r="AF46" t="str">
        <v/>
      </c>
      <c r="AG46" t="str">
        <v/>
      </c>
      <c r="AH46" t="str">
        <v/>
      </c>
      <c r="AI46" t="str">
        <v/>
      </c>
      <c r="AJ46" t="str">
        <v>17/09/2026 15:08:30</v>
      </c>
      <c r="AK46" t="str">
        <v>15:08:30</v>
      </c>
      <c r="AL46" t="str">
        <v/>
      </c>
    </row>
    <row r="47">
      <c r="A47">
        <v>46</v>
      </c>
      <c r="B47" t="str">
        <v>MASS BSF</v>
      </c>
      <c r="C47" t="str">
        <v>AKO-712</v>
      </c>
      <c r="D47" t="str">
        <v>AKO-712</v>
      </c>
      <c r="E47" t="str">
        <v/>
      </c>
      <c r="F47" t="str">
        <v>867162027717156</v>
      </c>
      <c r="G47" t="str">
        <v>TBD</v>
      </c>
      <c r="H47" t="str">
        <v/>
      </c>
      <c r="I47" t="str">
        <v/>
      </c>
      <c r="J47" t="str">
        <v>17/09/2026</v>
      </c>
      <c r="K47" t="str">
        <v>15:09:03</v>
      </c>
      <c r="L47">
        <v>-12.212975</v>
      </c>
      <c r="M47">
        <v>-76.9591</v>
      </c>
      <c r="N47">
        <f>HYPERLINK("https://www.google.com/maps/search/?api=1&amp;query=-12.212975,-76.9591","Avenida Villa del Mar, Villa El Salvador, Lima")</f>
      </c>
      <c r="O47" t="str">
        <v>Vehículo apagado</v>
      </c>
      <c r="P47">
        <v>560692.6</v>
      </c>
      <c r="Q47" t="str">
        <v/>
      </c>
      <c r="R47">
        <v>0</v>
      </c>
      <c r="S47">
        <v>0</v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>
        <v>90</v>
      </c>
      <c r="AB47" t="str">
        <v>17/09/2026</v>
      </c>
      <c r="AC47" t="str">
        <v>15:09:04</v>
      </c>
      <c r="AD47">
        <f>IF("ONLINE"="NOGPS","GPS Antiguo","En línea")</f>
      </c>
      <c r="AE47">
        <f>IF(0=0,"Sin atender", IF(0=1,"Atendida","Atendida y Reportada"))</f>
      </c>
      <c r="AF47" t="str">
        <v/>
      </c>
      <c r="AG47" t="str">
        <v/>
      </c>
      <c r="AH47" t="str">
        <v/>
      </c>
      <c r="AI47" t="str">
        <v/>
      </c>
      <c r="AJ47" t="str">
        <v>17/09/2026 15:09:23</v>
      </c>
      <c r="AK47" t="str">
        <v>15:09:23</v>
      </c>
      <c r="AL47" t="str">
        <v/>
      </c>
    </row>
    <row r="48">
      <c r="A48">
        <v>47</v>
      </c>
      <c r="B48" t="str">
        <v>MASS BSF</v>
      </c>
      <c r="C48" t="str">
        <v>AKO-712</v>
      </c>
      <c r="D48" t="str">
        <v>AKO-712</v>
      </c>
      <c r="E48" t="str">
        <v/>
      </c>
      <c r="F48" t="str">
        <v>867162027717156</v>
      </c>
      <c r="G48" t="str">
        <v>TBD</v>
      </c>
      <c r="H48" t="str">
        <v/>
      </c>
      <c r="I48" t="str">
        <v/>
      </c>
      <c r="J48" t="str">
        <v>17/09/2026</v>
      </c>
      <c r="K48" t="str">
        <v>15:33:14</v>
      </c>
      <c r="L48">
        <v>-12.212975</v>
      </c>
      <c r="M48">
        <v>-76.9591</v>
      </c>
      <c r="N48">
        <f>HYPERLINK("https://www.google.com/maps/search/?api=1&amp;query=-12.212975,-76.9591","Avenida Villa del Mar, Villa El Salvador, Lima")</f>
      </c>
      <c r="O48" t="str">
        <v>Vehículo encendido</v>
      </c>
      <c r="P48">
        <v>560692.6</v>
      </c>
      <c r="Q48" t="str">
        <v/>
      </c>
      <c r="R48">
        <v>0</v>
      </c>
      <c r="S48">
        <v>0</v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>
        <v>90</v>
      </c>
      <c r="AB48" t="str">
        <v>17/09/2026</v>
      </c>
      <c r="AC48" t="str">
        <v>15:09:04</v>
      </c>
      <c r="AD48">
        <f>IF("NOGPS"="NOGPS","GPS Antiguo","En línea")</f>
      </c>
      <c r="AE48">
        <f>IF(0=0,"Sin atender", IF(0=1,"Atendida","Atendida y Reportada"))</f>
      </c>
      <c r="AF48" t="str">
        <v/>
      </c>
      <c r="AG48" t="str">
        <v/>
      </c>
      <c r="AH48" t="str">
        <v/>
      </c>
      <c r="AI48" t="str">
        <v/>
      </c>
      <c r="AJ48" t="str">
        <v>17/09/2026 15:33:29</v>
      </c>
      <c r="AK48" t="str">
        <v>15:33:29</v>
      </c>
      <c r="AL48" t="str">
        <v/>
      </c>
    </row>
    <row r="49">
      <c r="A49">
        <v>48</v>
      </c>
      <c r="B49" t="str">
        <v>MASS BSF</v>
      </c>
      <c r="C49" t="str">
        <v>AKO-712</v>
      </c>
      <c r="D49" t="str">
        <v>AKO-712</v>
      </c>
      <c r="E49" t="str">
        <v/>
      </c>
      <c r="F49" t="str">
        <v>867162027717156</v>
      </c>
      <c r="G49" t="str">
        <v>TBD</v>
      </c>
      <c r="H49" t="str">
        <v/>
      </c>
      <c r="I49" t="str">
        <v/>
      </c>
      <c r="J49" t="str">
        <v>17/09/2026</v>
      </c>
      <c r="K49" t="str">
        <v>15:49:17</v>
      </c>
      <c r="L49">
        <v>-12.180961</v>
      </c>
      <c r="M49">
        <v>-76.97446</v>
      </c>
      <c r="N49">
        <f>HYPERLINK("https://www.google.com/maps/search/?api=1&amp;query=-12.180961,-76.97446","Avenida Prolongación Pedro Miotta, San Juan de Miraflores, Lima")</f>
      </c>
      <c r="O49" t="str">
        <v>Exceso de velocidad en segmento vial</v>
      </c>
      <c r="P49">
        <v>560698.5</v>
      </c>
      <c r="Q49" t="str">
        <v/>
      </c>
      <c r="R49">
        <v>48.5</v>
      </c>
      <c r="S49">
        <v>0</v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>
        <v>90</v>
      </c>
      <c r="AB49" t="str">
        <v>17/09/2026</v>
      </c>
      <c r="AC49" t="str">
        <v>15:49:13</v>
      </c>
      <c r="AD49">
        <f>IF("ONLINE"="NOGPS","GPS Antiguo","En línea")</f>
      </c>
      <c r="AE49">
        <f>IF(0=0,"Sin atender", IF(0=1,"Atendida","Atendida y Reportada"))</f>
      </c>
      <c r="AF49" t="str">
        <v/>
      </c>
      <c r="AG49" t="str">
        <v/>
      </c>
      <c r="AH49" t="str">
        <v/>
      </c>
      <c r="AI49" t="str">
        <v/>
      </c>
      <c r="AJ49" t="str">
        <v>17/09/2026 15:49:36</v>
      </c>
      <c r="AK49" t="str">
        <v>15:49:36</v>
      </c>
      <c r="AL49" t="str">
        <v/>
      </c>
    </row>
    <row r="50">
      <c r="A50">
        <v>49</v>
      </c>
      <c r="B50" t="str">
        <v>MASS BSF</v>
      </c>
      <c r="C50" t="str">
        <v>AKO-712</v>
      </c>
      <c r="D50" t="str">
        <v>AKO-712</v>
      </c>
      <c r="E50" t="str">
        <v/>
      </c>
      <c r="F50" t="str">
        <v>867162027717156</v>
      </c>
      <c r="G50" t="str">
        <v>TBD</v>
      </c>
      <c r="H50" t="str">
        <v/>
      </c>
      <c r="I50" t="str">
        <v/>
      </c>
      <c r="J50" t="str">
        <v>17/09/2026</v>
      </c>
      <c r="K50" t="str">
        <v>15:56:44</v>
      </c>
      <c r="L50">
        <v>-12.165653</v>
      </c>
      <c r="M50">
        <v>-76.97404</v>
      </c>
      <c r="N50">
        <f>HYPERLINK("https://www.google.com/maps/search/?api=1&amp;query=-12.165653,-76.97404","Avenida Ramón Vargas Machuca, San Juan de Miraflores, Lima")</f>
      </c>
      <c r="O50" t="str">
        <v>Vehículo apagado</v>
      </c>
      <c r="P50">
        <v>560700.6</v>
      </c>
      <c r="Q50" t="str">
        <v/>
      </c>
      <c r="R50">
        <v>0</v>
      </c>
      <c r="S50">
        <v>0</v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>
        <v>90</v>
      </c>
      <c r="AB50" t="str">
        <v>17/09/2026</v>
      </c>
      <c r="AC50" t="str">
        <v>15:56:13</v>
      </c>
      <c r="AD50">
        <f>IF("ONLINE"="NOGPS","GPS Antiguo","En línea")</f>
      </c>
      <c r="AE50">
        <f>IF(0=0,"Sin atender", IF(0=1,"Atendida","Atendida y Reportada"))</f>
      </c>
      <c r="AF50" t="str">
        <v/>
      </c>
      <c r="AG50" t="str">
        <v/>
      </c>
      <c r="AH50" t="str">
        <v/>
      </c>
      <c r="AI50" t="str">
        <v/>
      </c>
      <c r="AJ50" t="str">
        <v>17/09/2026 15:56:57</v>
      </c>
      <c r="AK50" t="str">
        <v>15:56:57</v>
      </c>
      <c r="AL50" t="str">
        <v/>
      </c>
    </row>
  </sheetData>
  <ignoredErrors>
    <ignoredError numberStoredAsText="1" sqref="A1:AL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