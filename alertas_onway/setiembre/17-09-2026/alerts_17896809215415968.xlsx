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IMEI</v>
      </c>
      <c r="F1" t="str">
        <v>Tipo de carrocería</v>
      </c>
      <c r="G1" t="str">
        <v>Empresa</v>
      </c>
      <c r="H1" t="str">
        <v>Conductor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Alerta</v>
      </c>
      <c r="O1" t="str">
        <v>Odómetro (Km)</v>
      </c>
      <c r="P1" t="str">
        <v>Zona</v>
      </c>
      <c r="Q1" t="str">
        <v>Velocidad (Km/h)</v>
      </c>
      <c r="R1" t="str">
        <v>Horómetro (Hrs)</v>
      </c>
      <c r="S1" t="str">
        <v>Velocidad máxima permitida</v>
      </c>
      <c r="T1" t="str">
        <v>Velocidad máxima alcanzada</v>
      </c>
      <c r="U1" t="str">
        <v>Velocidad promedio</v>
      </c>
      <c r="V1" t="str">
        <v>Duración (segundos)</v>
      </c>
      <c r="W1" t="str">
        <v>Severidad de la alerta</v>
      </c>
      <c r="X1" t="str">
        <v>Fecha y hora de inicio del exceso</v>
      </c>
      <c r="Y1" t="str">
        <v>Fecha y hora de fin del exceso</v>
      </c>
      <c r="Z1" t="str">
        <v>% Batería</v>
      </c>
      <c r="AA1" t="str">
        <v>Fecha GPS</v>
      </c>
      <c r="AB1" t="str">
        <v>Hora GPS</v>
      </c>
      <c r="AC1" t="str">
        <v>Estado GPS</v>
      </c>
      <c r="AD1" t="str">
        <v>Atención Alerta</v>
      </c>
      <c r="AE1" t="str">
        <v>Reporte de Alerta</v>
      </c>
      <c r="AF1" t="str">
        <v>Fecha Reporte Al.</v>
      </c>
      <c r="AG1" t="str">
        <v>Hora Reporte Al.</v>
      </c>
      <c r="AH1" t="str">
        <v>Registro de Atención</v>
      </c>
      <c r="AI1" t="str">
        <v>Fecha Registro At.</v>
      </c>
      <c r="AJ1" t="str">
        <v>Hora Registro At.</v>
      </c>
      <c r="AK1" t="str">
        <v>Notas</v>
      </c>
    </row>
    <row r="2">
      <c r="A2">
        <v>1</v>
      </c>
      <c r="B2" t="str">
        <v>MASS BSF</v>
      </c>
      <c r="C2" t="str">
        <v>F8R-810</v>
      </c>
      <c r="D2" t="str">
        <v>F8R-810</v>
      </c>
      <c r="E2" t="str">
        <v>867806078868827</v>
      </c>
      <c r="F2" t="str">
        <v>TBD</v>
      </c>
      <c r="G2" t="str">
        <v/>
      </c>
      <c r="H2" t="str">
        <v/>
      </c>
      <c r="I2" t="str">
        <v>17/09/2026</v>
      </c>
      <c r="J2" t="str">
        <v>05:54:03</v>
      </c>
      <c r="K2">
        <v>-12.213225</v>
      </c>
      <c r="L2">
        <v>-76.95903</v>
      </c>
      <c r="M2">
        <f>HYPERLINK("https://www.google.com/maps/search/?api=1&amp;query=-12.213225,-76.95903","Villa El Salvador, Lima")</f>
      </c>
      <c r="N2" t="str">
        <v>Vehículo encendido</v>
      </c>
      <c r="O2">
        <v>648.5</v>
      </c>
      <c r="P2" t="str">
        <v/>
      </c>
      <c r="Q2">
        <v>0</v>
      </c>
      <c r="R2">
        <v>25.1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>
        <v>88</v>
      </c>
      <c r="AA2" t="str">
        <v>17/09/2026</v>
      </c>
      <c r="AB2" t="str">
        <v>05:54:03</v>
      </c>
      <c r="AC2">
        <f>IF("ONLINE"="NOGPS","GPS Antiguo","En línea")</f>
      </c>
      <c r="AD2">
        <f>IF(0=0,"Sin atender", IF(0=1,"Atendida","Atendida y Reportada"))</f>
      </c>
      <c r="AE2" t="str">
        <v/>
      </c>
      <c r="AF2" t="str">
        <v/>
      </c>
      <c r="AG2" t="str">
        <v/>
      </c>
      <c r="AH2" t="str">
        <v/>
      </c>
      <c r="AI2" t="str">
        <v>17/09/2026 05:54:18</v>
      </c>
      <c r="AJ2" t="str">
        <v>05:54:18</v>
      </c>
      <c r="AK2" t="str">
        <v/>
      </c>
    </row>
    <row r="3">
      <c r="A3">
        <v>2</v>
      </c>
      <c r="B3" t="str">
        <v>MASS BSF</v>
      </c>
      <c r="C3" t="str">
        <v>F8R-810</v>
      </c>
      <c r="D3" t="str">
        <v>F8R-810</v>
      </c>
      <c r="E3" t="str">
        <v>867806078868827</v>
      </c>
      <c r="F3" t="str">
        <v>TBD</v>
      </c>
      <c r="G3" t="str">
        <v/>
      </c>
      <c r="H3" t="str">
        <v/>
      </c>
      <c r="I3" t="str">
        <v>17/09/2026</v>
      </c>
      <c r="J3" t="str">
        <v>05:55:10</v>
      </c>
      <c r="K3">
        <v>-12.213225</v>
      </c>
      <c r="L3">
        <v>-76.95903</v>
      </c>
      <c r="M3">
        <f>HYPERLINK("https://www.google.com/maps/search/?api=1&amp;query=-12.213225,-76.95903","Villa El Salvador, Lima")</f>
      </c>
      <c r="N3" t="str">
        <v>Se movio</v>
      </c>
      <c r="O3">
        <v>648.5</v>
      </c>
      <c r="P3" t="str">
        <v/>
      </c>
      <c r="Q3">
        <v>0</v>
      </c>
      <c r="R3">
        <v>25.1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>
        <v>86</v>
      </c>
      <c r="AA3" t="str">
        <v>17/09/2026</v>
      </c>
      <c r="AB3" t="str">
        <v>05:55:10</v>
      </c>
      <c r="AC3">
        <f>IF("ONLINE"="NOGPS","GPS Antiguo","En línea")</f>
      </c>
      <c r="AD3">
        <f>IF(0=0,"Sin atender", IF(0=1,"Atendida","Atendida y Reportada"))</f>
      </c>
      <c r="AE3" t="str">
        <v/>
      </c>
      <c r="AF3" t="str">
        <v/>
      </c>
      <c r="AG3" t="str">
        <v/>
      </c>
      <c r="AH3" t="str">
        <v/>
      </c>
      <c r="AI3" t="str">
        <v>17/09/2026 05:55:33</v>
      </c>
      <c r="AJ3" t="str">
        <v>05:55:33</v>
      </c>
      <c r="AK3" t="str">
        <v/>
      </c>
    </row>
    <row r="4">
      <c r="A4">
        <v>3</v>
      </c>
      <c r="B4" t="str">
        <v>MASS BSF</v>
      </c>
      <c r="C4" t="str">
        <v>F8R-810</v>
      </c>
      <c r="D4" t="str">
        <v>F8R-810</v>
      </c>
      <c r="E4" t="str">
        <v>867806078868827</v>
      </c>
      <c r="F4" t="str">
        <v>TBD</v>
      </c>
      <c r="G4" t="str">
        <v/>
      </c>
      <c r="H4" t="str">
        <v/>
      </c>
      <c r="I4" t="str">
        <v>17/09/2026</v>
      </c>
      <c r="J4" t="str">
        <v>05:55:14</v>
      </c>
      <c r="K4">
        <v>-12.213225</v>
      </c>
      <c r="L4">
        <v>-76.95903</v>
      </c>
      <c r="M4">
        <f>HYPERLINK("https://www.google.com/maps/search/?api=1&amp;query=-12.213225,-76.95903","Villa El Salvador, Lima")</f>
      </c>
      <c r="N4" t="str">
        <v>Acelerado y giro brusco</v>
      </c>
      <c r="O4">
        <v>648.5</v>
      </c>
      <c r="P4" t="str">
        <v/>
      </c>
      <c r="Q4">
        <v>0</v>
      </c>
      <c r="R4">
        <v>25.1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>
        <v>86</v>
      </c>
      <c r="AA4" t="str">
        <v>17/09/2026</v>
      </c>
      <c r="AB4" t="str">
        <v>05:55:14</v>
      </c>
      <c r="AC4">
        <f>IF("ONLINE"="NOGPS","GPS Antiguo","En línea")</f>
      </c>
      <c r="AD4">
        <f>IF(0=0,"Sin atender", IF(0=1,"Atendida","Atendida y Reportada"))</f>
      </c>
      <c r="AE4" t="str">
        <v/>
      </c>
      <c r="AF4" t="str">
        <v/>
      </c>
      <c r="AG4" t="str">
        <v/>
      </c>
      <c r="AH4" t="str">
        <v/>
      </c>
      <c r="AI4" t="str">
        <v>17/09/2026 05:55:26</v>
      </c>
      <c r="AJ4" t="str">
        <v>05:55:26</v>
      </c>
      <c r="AK4" t="str">
        <v/>
      </c>
    </row>
    <row r="5">
      <c r="A5">
        <v>4</v>
      </c>
      <c r="B5" t="str">
        <v>MASS BSF</v>
      </c>
      <c r="C5" t="str">
        <v>F8R-810</v>
      </c>
      <c r="D5" t="str">
        <v>F8R-810</v>
      </c>
      <c r="E5" t="str">
        <v>867806078868827</v>
      </c>
      <c r="F5" t="str">
        <v>TBD</v>
      </c>
      <c r="G5" t="str">
        <v/>
      </c>
      <c r="H5" t="str">
        <v/>
      </c>
      <c r="I5" t="str">
        <v>17/09/2026</v>
      </c>
      <c r="J5" t="str">
        <v>05:55:33</v>
      </c>
      <c r="K5">
        <v>-12.213225</v>
      </c>
      <c r="L5">
        <v>-76.95903</v>
      </c>
      <c r="M5">
        <f>HYPERLINK("https://www.google.com/maps/search/?api=1&amp;query=-12.213225,-76.95903","Villa El Salvador, Lima")</f>
      </c>
      <c r="N5" t="str">
        <v>Acelerado y giro brusco</v>
      </c>
      <c r="O5">
        <v>648.5</v>
      </c>
      <c r="P5" t="str">
        <v/>
      </c>
      <c r="Q5">
        <v>0</v>
      </c>
      <c r="R5">
        <v>25.1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>
        <v>86</v>
      </c>
      <c r="AA5" t="str">
        <v>17/09/2026</v>
      </c>
      <c r="AB5" t="str">
        <v>05:55:33</v>
      </c>
      <c r="AC5">
        <f>IF("ONLINE"="NOGPS","GPS Antiguo","En línea")</f>
      </c>
      <c r="AD5">
        <f>IF(0=0,"Sin atender", IF(0=1,"Atendida","Atendida y Reportada"))</f>
      </c>
      <c r="AE5" t="str">
        <v/>
      </c>
      <c r="AF5" t="str">
        <v/>
      </c>
      <c r="AG5" t="str">
        <v/>
      </c>
      <c r="AH5" t="str">
        <v/>
      </c>
      <c r="AI5" t="str">
        <v>17/09/2026 05:55:52</v>
      </c>
      <c r="AJ5" t="str">
        <v>05:55:52</v>
      </c>
      <c r="AK5" t="str">
        <v/>
      </c>
    </row>
    <row r="6">
      <c r="A6">
        <v>5</v>
      </c>
      <c r="B6" t="str">
        <v>MASS BSF</v>
      </c>
      <c r="C6" t="str">
        <v>F8R-810</v>
      </c>
      <c r="D6" t="str">
        <v>F8R-810</v>
      </c>
      <c r="E6" t="str">
        <v>867806078868827</v>
      </c>
      <c r="F6" t="str">
        <v>TBD</v>
      </c>
      <c r="G6" t="str">
        <v/>
      </c>
      <c r="H6" t="str">
        <v/>
      </c>
      <c r="I6" t="str">
        <v>17/09/2026</v>
      </c>
      <c r="J6" t="str">
        <v>05:55:55</v>
      </c>
      <c r="K6">
        <v>-12.213135</v>
      </c>
      <c r="L6">
        <v>-76.959045</v>
      </c>
      <c r="M6">
        <f>HYPERLINK("https://www.google.com/maps/search/?api=1&amp;query=-12.213135,-76.959045","Villa El Salvador, Lima")</f>
      </c>
      <c r="N6" t="str">
        <v>Acelerado y giro brusco</v>
      </c>
      <c r="O6">
        <v>648.5</v>
      </c>
      <c r="P6" t="str">
        <v/>
      </c>
      <c r="Q6">
        <v>0</v>
      </c>
      <c r="R6">
        <v>25.1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>
        <v>86</v>
      </c>
      <c r="AA6" t="str">
        <v>17/09/2026</v>
      </c>
      <c r="AB6" t="str">
        <v>05:55:55</v>
      </c>
      <c r="AC6">
        <f>IF("ONLINE"="NOGPS","GPS Antiguo","En línea")</f>
      </c>
      <c r="AD6">
        <f>IF(0=0,"Sin atender", IF(0=1,"Atendida","Atendida y Reportada"))</f>
      </c>
      <c r="AE6" t="str">
        <v/>
      </c>
      <c r="AF6" t="str">
        <v/>
      </c>
      <c r="AG6" t="str">
        <v/>
      </c>
      <c r="AH6" t="str">
        <v/>
      </c>
      <c r="AI6" t="str">
        <v>17/09/2026 05:56:17</v>
      </c>
      <c r="AJ6" t="str">
        <v>05:56:17</v>
      </c>
      <c r="AK6" t="str">
        <v/>
      </c>
    </row>
    <row r="7">
      <c r="A7">
        <v>6</v>
      </c>
      <c r="B7" t="str">
        <v>MASS BSF</v>
      </c>
      <c r="C7" t="str">
        <v>F8R-810</v>
      </c>
      <c r="D7" t="str">
        <v>F8R-810</v>
      </c>
      <c r="E7" t="str">
        <v>867806078868827</v>
      </c>
      <c r="F7" t="str">
        <v>TBD</v>
      </c>
      <c r="G7" t="str">
        <v/>
      </c>
      <c r="H7" t="str">
        <v/>
      </c>
      <c r="I7" t="str">
        <v>17/09/2026</v>
      </c>
      <c r="J7" t="str">
        <v>05:58:04</v>
      </c>
      <c r="K7">
        <v>-12.213185</v>
      </c>
      <c r="L7">
        <v>-76.95986</v>
      </c>
      <c r="M7">
        <f>HYPERLINK("https://www.google.com/maps/search/?api=1&amp;query=-12.213185,-76.95986","Avenida Villa del Mar, Villa El Salvador, Lima")</f>
      </c>
      <c r="N7" t="str">
        <v>Acelerado y giro brusco</v>
      </c>
      <c r="O7">
        <v>648.6</v>
      </c>
      <c r="P7" t="str">
        <v/>
      </c>
      <c r="Q7">
        <v>9.2</v>
      </c>
      <c r="R7">
        <v>25.1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>
        <v>87</v>
      </c>
      <c r="AA7" t="str">
        <v>17/09/2026</v>
      </c>
      <c r="AB7" t="str">
        <v>05:58:03</v>
      </c>
      <c r="AC7">
        <f>IF("ONLINE"="NOGPS","GPS Antiguo","En línea")</f>
      </c>
      <c r="AD7">
        <f>IF(0=0,"Sin atender", IF(0=1,"Atendida","Atendida y Reportada"))</f>
      </c>
      <c r="AE7" t="str">
        <v/>
      </c>
      <c r="AF7" t="str">
        <v/>
      </c>
      <c r="AG7" t="str">
        <v/>
      </c>
      <c r="AH7" t="str">
        <v/>
      </c>
      <c r="AI7" t="str">
        <v>17/09/2026 05:58:36</v>
      </c>
      <c r="AJ7" t="str">
        <v>05:58:36</v>
      </c>
      <c r="AK7" t="str">
        <v/>
      </c>
    </row>
    <row r="8">
      <c r="A8">
        <v>7</v>
      </c>
      <c r="B8" t="str">
        <v>MASS BSF</v>
      </c>
      <c r="C8" t="str">
        <v>F8R-810</v>
      </c>
      <c r="D8" t="str">
        <v>F8R-810</v>
      </c>
      <c r="E8" t="str">
        <v>867806078868827</v>
      </c>
      <c r="F8" t="str">
        <v>TBD</v>
      </c>
      <c r="G8" t="str">
        <v/>
      </c>
      <c r="H8" t="str">
        <v/>
      </c>
      <c r="I8" t="str">
        <v>17/09/2026</v>
      </c>
      <c r="J8" t="str">
        <v>05:58:29</v>
      </c>
      <c r="K8">
        <v>-12.213647</v>
      </c>
      <c r="L8">
        <v>-76.9606</v>
      </c>
      <c r="M8">
        <f>HYPERLINK("https://www.google.com/maps/search/?api=1&amp;query=-12.213647,-76.9606","Avenida Villa del Mar, Villa El Salvador, Lima")</f>
      </c>
      <c r="N8" t="str">
        <v>Acelerado y giro brusco</v>
      </c>
      <c r="O8">
        <v>648.7</v>
      </c>
      <c r="P8" t="str">
        <v/>
      </c>
      <c r="Q8">
        <v>12.2</v>
      </c>
      <c r="R8">
        <v>25.1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>
        <v>86</v>
      </c>
      <c r="AA8" t="str">
        <v>17/09/2026</v>
      </c>
      <c r="AB8" t="str">
        <v>05:58:29</v>
      </c>
      <c r="AC8">
        <f>IF("ONLINE"="NOGPS","GPS Antiguo","En línea")</f>
      </c>
      <c r="AD8">
        <f>IF(0=0,"Sin atender", IF(0=1,"Atendida","Atendida y Reportada"))</f>
      </c>
      <c r="AE8" t="str">
        <v/>
      </c>
      <c r="AF8" t="str">
        <v/>
      </c>
      <c r="AG8" t="str">
        <v/>
      </c>
      <c r="AH8" t="str">
        <v/>
      </c>
      <c r="AI8" t="str">
        <v>17/09/2026 05:58:44</v>
      </c>
      <c r="AJ8" t="str">
        <v>05:58:44</v>
      </c>
      <c r="AK8" t="str">
        <v/>
      </c>
    </row>
    <row r="9">
      <c r="A9">
        <v>8</v>
      </c>
      <c r="B9" t="str">
        <v>MASS BSF</v>
      </c>
      <c r="C9" t="str">
        <v>F8R-810</v>
      </c>
      <c r="D9" t="str">
        <v>F8R-810</v>
      </c>
      <c r="E9" t="str">
        <v>867806078868827</v>
      </c>
      <c r="F9" t="str">
        <v>TBD</v>
      </c>
      <c r="G9" t="str">
        <v/>
      </c>
      <c r="H9" t="str">
        <v/>
      </c>
      <c r="I9" t="str">
        <v>17/09/2026</v>
      </c>
      <c r="J9" t="str">
        <v>05:58:51</v>
      </c>
      <c r="K9">
        <v>-12.214082</v>
      </c>
      <c r="L9">
        <v>-76.9613</v>
      </c>
      <c r="M9">
        <f>HYPERLINK("https://www.google.com/maps/search/?api=1&amp;query=-12.214082,-76.9613","Avenida Villa del Mar, Villa El Salvador, Lima")</f>
      </c>
      <c r="N9" t="str">
        <v>Acelerado y giro brusco</v>
      </c>
      <c r="O9">
        <v>648.8</v>
      </c>
      <c r="P9" t="str">
        <v/>
      </c>
      <c r="Q9">
        <v>18.8</v>
      </c>
      <c r="R9">
        <v>25.1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>
        <v>86</v>
      </c>
      <c r="AA9" t="str">
        <v>17/09/2026</v>
      </c>
      <c r="AB9" t="str">
        <v>05:58:50</v>
      </c>
      <c r="AC9">
        <f>IF("ONLINE"="NOGPS","GPS Antiguo","En línea")</f>
      </c>
      <c r="AD9">
        <f>IF(0=0,"Sin atender", IF(0=1,"Atendida","Atendida y Reportada"))</f>
      </c>
      <c r="AE9" t="str">
        <v/>
      </c>
      <c r="AF9" t="str">
        <v/>
      </c>
      <c r="AG9" t="str">
        <v/>
      </c>
      <c r="AH9" t="str">
        <v/>
      </c>
      <c r="AI9" t="str">
        <v>17/09/2026 05:59:07</v>
      </c>
      <c r="AJ9" t="str">
        <v>05:59:07</v>
      </c>
      <c r="AK9" t="str">
        <v/>
      </c>
    </row>
    <row r="10">
      <c r="A10">
        <v>9</v>
      </c>
      <c r="B10" t="str">
        <v>MASS BSF</v>
      </c>
      <c r="C10" t="str">
        <v>F8R-810</v>
      </c>
      <c r="D10" t="str">
        <v>F8R-810</v>
      </c>
      <c r="E10" t="str">
        <v>867806078868827</v>
      </c>
      <c r="F10" t="str">
        <v>TBD</v>
      </c>
      <c r="G10" t="str">
        <v/>
      </c>
      <c r="H10" t="str">
        <v/>
      </c>
      <c r="I10" t="str">
        <v>17/09/2026</v>
      </c>
      <c r="J10" t="str">
        <v>05:59:04</v>
      </c>
      <c r="K10">
        <v>-12.21438</v>
      </c>
      <c r="L10">
        <v>-76.961784</v>
      </c>
      <c r="M10">
        <f>HYPERLINK("https://www.google.com/maps/search/?api=1&amp;query=-12.21438,-76.961784","Avenida Villa del Mar, Villa El Salvador, Lima")</f>
      </c>
      <c r="N10" t="str">
        <v>Acelerado y giro brusco</v>
      </c>
      <c r="O10">
        <v>648.8</v>
      </c>
      <c r="P10" t="str">
        <v/>
      </c>
      <c r="Q10">
        <v>13.5</v>
      </c>
      <c r="R10">
        <v>25.1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>
        <v>86</v>
      </c>
      <c r="AA10" t="str">
        <v>17/09/2026</v>
      </c>
      <c r="AB10" t="str">
        <v>05:59:04</v>
      </c>
      <c r="AC10">
        <f>IF("ONLINE"="NOGPS","GPS Antiguo","En línea")</f>
      </c>
      <c r="AD10">
        <f>IF(0=0,"Sin atender", IF(0=1,"Atendida","Atendida y Reportada"))</f>
      </c>
      <c r="AE10" t="str">
        <v/>
      </c>
      <c r="AF10" t="str">
        <v/>
      </c>
      <c r="AG10" t="str">
        <v/>
      </c>
      <c r="AH10" t="str">
        <v/>
      </c>
      <c r="AI10" t="str">
        <v>17/09/2026 05:59:18</v>
      </c>
      <c r="AJ10" t="str">
        <v>05:59:18</v>
      </c>
      <c r="AK10" t="str">
        <v/>
      </c>
    </row>
    <row r="11">
      <c r="A11">
        <v>10</v>
      </c>
      <c r="B11" t="str">
        <v>MASS BSF</v>
      </c>
      <c r="C11" t="str">
        <v>F8R-810</v>
      </c>
      <c r="D11" t="str">
        <v>F8R-810</v>
      </c>
      <c r="E11" t="str">
        <v>867806078868827</v>
      </c>
      <c r="F11" t="str">
        <v>TBD</v>
      </c>
      <c r="G11" t="str">
        <v/>
      </c>
      <c r="H11" t="str">
        <v/>
      </c>
      <c r="I11" t="str">
        <v>17/09/2026</v>
      </c>
      <c r="J11" t="str">
        <v>05:59:10</v>
      </c>
      <c r="K11">
        <v>-12.214477</v>
      </c>
      <c r="L11">
        <v>-76.96198</v>
      </c>
      <c r="M11">
        <f>HYPERLINK("https://www.google.com/maps/search/?api=1&amp;query=-12.214477,-76.96198","Avenida Villa del Mar, Villa El Salvador, Lima")</f>
      </c>
      <c r="N11" t="str">
        <v>Acelerado y giro brusco</v>
      </c>
      <c r="O11">
        <v>648.8</v>
      </c>
      <c r="P11" t="str">
        <v/>
      </c>
      <c r="Q11">
        <v>14.2</v>
      </c>
      <c r="R11">
        <v>25.1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>
        <v>86</v>
      </c>
      <c r="AA11" t="str">
        <v>17/09/2026</v>
      </c>
      <c r="AB11" t="str">
        <v>05:59:10</v>
      </c>
      <c r="AC11">
        <f>IF("ONLINE"="NOGPS","GPS Antiguo","En línea")</f>
      </c>
      <c r="AD11">
        <f>IF(0=0,"Sin atender", IF(0=1,"Atendida","Atendida y Reportada"))</f>
      </c>
      <c r="AE11" t="str">
        <v/>
      </c>
      <c r="AF11" t="str">
        <v/>
      </c>
      <c r="AG11" t="str">
        <v/>
      </c>
      <c r="AH11" t="str">
        <v/>
      </c>
      <c r="AI11" t="str">
        <v>17/09/2026 05:59:33</v>
      </c>
      <c r="AJ11" t="str">
        <v>05:59:33</v>
      </c>
      <c r="AK11" t="str">
        <v/>
      </c>
    </row>
    <row r="12">
      <c r="A12">
        <v>11</v>
      </c>
      <c r="B12" t="str">
        <v>MASS BSF</v>
      </c>
      <c r="C12" t="str">
        <v>F8R-810</v>
      </c>
      <c r="D12" t="str">
        <v>F8R-810</v>
      </c>
      <c r="E12" t="str">
        <v>867806078868827</v>
      </c>
      <c r="F12" t="str">
        <v>TBD</v>
      </c>
      <c r="G12" t="str">
        <v/>
      </c>
      <c r="H12" t="str">
        <v/>
      </c>
      <c r="I12" t="str">
        <v>17/09/2026</v>
      </c>
      <c r="J12" t="str">
        <v>05:59:16</v>
      </c>
      <c r="K12">
        <v>-12.214613</v>
      </c>
      <c r="L12">
        <v>-76.96219</v>
      </c>
      <c r="M12">
        <f>HYPERLINK("https://www.google.com/maps/search/?api=1&amp;query=-12.214613,-76.96219","Avenida Villa del Mar, Villa El Salvador, Lima")</f>
      </c>
      <c r="N12" t="str">
        <v>Acelerado y giro brusco</v>
      </c>
      <c r="O12">
        <v>648.9</v>
      </c>
      <c r="P12" t="str">
        <v/>
      </c>
      <c r="Q12">
        <v>17.5</v>
      </c>
      <c r="R12">
        <v>25.1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>
        <v>86</v>
      </c>
      <c r="AA12" t="str">
        <v>17/09/2026</v>
      </c>
      <c r="AB12" t="str">
        <v>05:59:16</v>
      </c>
      <c r="AC12">
        <f>IF("ONLINE"="NOGPS","GPS Antiguo","En línea")</f>
      </c>
      <c r="AD12">
        <f>IF(0=0,"Sin atender", IF(0=1,"Atendida","Atendida y Reportada"))</f>
      </c>
      <c r="AE12" t="str">
        <v/>
      </c>
      <c r="AF12" t="str">
        <v/>
      </c>
      <c r="AG12" t="str">
        <v/>
      </c>
      <c r="AH12" t="str">
        <v/>
      </c>
      <c r="AI12" t="str">
        <v>17/09/2026 05:59:33</v>
      </c>
      <c r="AJ12" t="str">
        <v>05:59:33</v>
      </c>
      <c r="AK12" t="str">
        <v/>
      </c>
    </row>
    <row r="13">
      <c r="A13">
        <v>12</v>
      </c>
      <c r="B13" t="str">
        <v>MASS BSF</v>
      </c>
      <c r="C13" t="str">
        <v>F8R-810</v>
      </c>
      <c r="D13" t="str">
        <v>F8R-810</v>
      </c>
      <c r="E13" t="str">
        <v>867806078868827</v>
      </c>
      <c r="F13" t="str">
        <v>TBD</v>
      </c>
      <c r="G13" t="str">
        <v/>
      </c>
      <c r="H13" t="str">
        <v/>
      </c>
      <c r="I13" t="str">
        <v>17/09/2026</v>
      </c>
      <c r="J13" t="str">
        <v>05:59:21</v>
      </c>
      <c r="K13">
        <v>-12.214702</v>
      </c>
      <c r="L13">
        <v>-76.96234</v>
      </c>
      <c r="M13">
        <f>HYPERLINK("https://www.google.com/maps/search/?api=1&amp;query=-12.214702,-76.96234","Avenida Villa del Mar, Villa El Salvador, Lima")</f>
      </c>
      <c r="N13" t="str">
        <v>Acelerado y giro brusco</v>
      </c>
      <c r="O13">
        <v>648.9</v>
      </c>
      <c r="P13" t="str">
        <v/>
      </c>
      <c r="Q13">
        <v>16.1</v>
      </c>
      <c r="R13">
        <v>25.1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>
        <v>86</v>
      </c>
      <c r="AA13" t="str">
        <v>17/09/2026</v>
      </c>
      <c r="AB13" t="str">
        <v>05:59:20</v>
      </c>
      <c r="AC13">
        <f>IF("ONLINE"="NOGPS","GPS Antiguo","En línea")</f>
      </c>
      <c r="AD13">
        <f>IF(0=0,"Sin atender", IF(0=1,"Atendida","Atendida y Reportada"))</f>
      </c>
      <c r="AE13" t="str">
        <v/>
      </c>
      <c r="AF13" t="str">
        <v/>
      </c>
      <c r="AG13" t="str">
        <v/>
      </c>
      <c r="AH13" t="str">
        <v/>
      </c>
      <c r="AI13" t="str">
        <v>17/09/2026 05:59:41</v>
      </c>
      <c r="AJ13" t="str">
        <v>05:59:41</v>
      </c>
      <c r="AK13" t="str">
        <v/>
      </c>
    </row>
    <row r="14">
      <c r="A14">
        <v>13</v>
      </c>
      <c r="B14" t="str">
        <v>MASS BSF</v>
      </c>
      <c r="C14" t="str">
        <v>F8R-810</v>
      </c>
      <c r="D14" t="str">
        <v>F8R-810</v>
      </c>
      <c r="E14" t="str">
        <v>867806078868827</v>
      </c>
      <c r="F14" t="str">
        <v>TBD</v>
      </c>
      <c r="G14" t="str">
        <v/>
      </c>
      <c r="H14" t="str">
        <v/>
      </c>
      <c r="I14" t="str">
        <v>17/09/2026</v>
      </c>
      <c r="J14" t="str">
        <v>05:59:40</v>
      </c>
      <c r="K14">
        <v>-12.215134</v>
      </c>
      <c r="L14">
        <v>-76.96309</v>
      </c>
      <c r="M14">
        <f>HYPERLINK("https://www.google.com/maps/search/?api=1&amp;query=-12.215134,-76.96309","Avenida Villa del Mar, Villa El Salvador, Lima")</f>
      </c>
      <c r="N14" t="str">
        <v>Acelerado y giro brusco</v>
      </c>
      <c r="O14">
        <v>649</v>
      </c>
      <c r="P14" t="str">
        <v/>
      </c>
      <c r="Q14">
        <v>19.2</v>
      </c>
      <c r="R14">
        <v>25.1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>
        <v>86</v>
      </c>
      <c r="AA14" t="str">
        <v>17/09/2026</v>
      </c>
      <c r="AB14" t="str">
        <v>05:59:40</v>
      </c>
      <c r="AC14">
        <f>IF("ONLINE"="NOGPS","GPS Antiguo","En línea")</f>
      </c>
      <c r="AD14">
        <f>IF(0=0,"Sin atender", IF(0=1,"Atendida","Atendida y Reportada"))</f>
      </c>
      <c r="AE14" t="str">
        <v/>
      </c>
      <c r="AF14" t="str">
        <v/>
      </c>
      <c r="AG14" t="str">
        <v/>
      </c>
      <c r="AH14" t="str">
        <v/>
      </c>
      <c r="AI14" t="str">
        <v>17/09/2026 05:59:50</v>
      </c>
      <c r="AJ14" t="str">
        <v>05:59:50</v>
      </c>
      <c r="AK14" t="str">
        <v/>
      </c>
    </row>
    <row r="15">
      <c r="A15">
        <v>14</v>
      </c>
      <c r="B15" t="str">
        <v>MASS BSF</v>
      </c>
      <c r="C15" t="str">
        <v>F8R-810</v>
      </c>
      <c r="D15" t="str">
        <v>F8R-810</v>
      </c>
      <c r="E15" t="str">
        <v>867806078868827</v>
      </c>
      <c r="F15" t="str">
        <v>TBD</v>
      </c>
      <c r="G15" t="str">
        <v/>
      </c>
      <c r="H15" t="str">
        <v/>
      </c>
      <c r="I15" t="str">
        <v>17/09/2026</v>
      </c>
      <c r="J15" t="str">
        <v>05:59:47</v>
      </c>
      <c r="K15">
        <v>-12.215301</v>
      </c>
      <c r="L15">
        <v>-76.96338</v>
      </c>
      <c r="M15">
        <f>HYPERLINK("https://www.google.com/maps/search/?api=1&amp;query=-12.215301,-76.96338","Avenida Villa del Mar, Villa El Salvador, Lima")</f>
      </c>
      <c r="N15" t="str">
        <v>Aceleración brusca</v>
      </c>
      <c r="O15">
        <v>649</v>
      </c>
      <c r="P15" t="str">
        <v/>
      </c>
      <c r="Q15">
        <v>15.1</v>
      </c>
      <c r="R15">
        <v>25.1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>
        <v>86</v>
      </c>
      <c r="AA15" t="str">
        <v>17/09/2026</v>
      </c>
      <c r="AB15" t="str">
        <v>05:59:47</v>
      </c>
      <c r="AC15">
        <f>IF("ONLINE"="NOGPS","GPS Antiguo","En línea")</f>
      </c>
      <c r="AD15">
        <f>IF(0=0,"Sin atender", IF(0=1,"Atendida","Atendida y Reportada"))</f>
      </c>
      <c r="AE15" t="str">
        <v/>
      </c>
      <c r="AF15" t="str">
        <v/>
      </c>
      <c r="AG15" t="str">
        <v/>
      </c>
      <c r="AH15" t="str">
        <v/>
      </c>
      <c r="AI15" t="str">
        <v>17/09/2026 06:00:01</v>
      </c>
      <c r="AJ15" t="str">
        <v>06:00:01</v>
      </c>
      <c r="AK15" t="str">
        <v/>
      </c>
    </row>
    <row r="16">
      <c r="A16">
        <v>15</v>
      </c>
      <c r="B16" t="str">
        <v>MASS BSF</v>
      </c>
      <c r="C16" t="str">
        <v>F8R-810</v>
      </c>
      <c r="D16" t="str">
        <v>F8R-810</v>
      </c>
      <c r="E16" t="str">
        <v>867806078868827</v>
      </c>
      <c r="F16" t="str">
        <v>TBD</v>
      </c>
      <c r="G16" t="str">
        <v/>
      </c>
      <c r="H16" t="str">
        <v/>
      </c>
      <c r="I16" t="str">
        <v>17/09/2026</v>
      </c>
      <c r="J16" t="str">
        <v>06:00:01</v>
      </c>
      <c r="K16">
        <v>-12.215547</v>
      </c>
      <c r="L16">
        <v>-76.96378</v>
      </c>
      <c r="M16">
        <f>HYPERLINK("https://www.google.com/maps/search/?api=1&amp;query=-12.215547,-76.96378","Avenida Villa del Mar, Villa El Salvador, Lima")</f>
      </c>
      <c r="N16" t="str">
        <v>Acelerado y giro brusco</v>
      </c>
      <c r="O16">
        <v>649.1</v>
      </c>
      <c r="P16" t="str">
        <v/>
      </c>
      <c r="Q16">
        <v>12.5</v>
      </c>
      <c r="R16">
        <v>25.1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v>86</v>
      </c>
      <c r="AA16" t="str">
        <v>17/09/2026</v>
      </c>
      <c r="AB16" t="str">
        <v>06:00:01</v>
      </c>
      <c r="AC16">
        <f>IF("ONLINE"="NOGPS","GPS Antiguo","En línea")</f>
      </c>
      <c r="AD16">
        <f>IF(0=0,"Sin atender", IF(0=1,"Atendida","Atendida y Reportada"))</f>
      </c>
      <c r="AE16" t="str">
        <v/>
      </c>
      <c r="AF16" t="str">
        <v/>
      </c>
      <c r="AG16" t="str">
        <v/>
      </c>
      <c r="AH16" t="str">
        <v/>
      </c>
      <c r="AI16" t="str">
        <v>17/09/2026 06:00:26</v>
      </c>
      <c r="AJ16" t="str">
        <v>06:00:26</v>
      </c>
      <c r="AK16" t="str">
        <v/>
      </c>
    </row>
    <row r="17">
      <c r="A17">
        <v>16</v>
      </c>
      <c r="B17" t="str">
        <v>MASS BSF</v>
      </c>
      <c r="C17" t="str">
        <v>F8R-810</v>
      </c>
      <c r="D17" t="str">
        <v>F8R-810</v>
      </c>
      <c r="E17" t="str">
        <v>867806078868827</v>
      </c>
      <c r="F17" t="str">
        <v>TBD</v>
      </c>
      <c r="G17" t="str">
        <v/>
      </c>
      <c r="H17" t="str">
        <v/>
      </c>
      <c r="I17" t="str">
        <v>17/09/2026</v>
      </c>
      <c r="J17" t="str">
        <v>06:00:06</v>
      </c>
      <c r="K17">
        <v>-12.21546</v>
      </c>
      <c r="L17">
        <v>-76.963905</v>
      </c>
      <c r="M17">
        <f>HYPERLINK("https://www.google.com/maps/search/?api=1&amp;query=-12.21546,-76.963905","Avenida Los Forestales, Villa El Salvador, Lima")</f>
      </c>
      <c r="N17" t="str">
        <v>Acelerado y giro brusco</v>
      </c>
      <c r="O17">
        <v>649.1</v>
      </c>
      <c r="P17" t="str">
        <v/>
      </c>
      <c r="Q17">
        <v>14</v>
      </c>
      <c r="R17">
        <v>25.1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v>86</v>
      </c>
      <c r="AA17" t="str">
        <v>17/09/2026</v>
      </c>
      <c r="AB17" t="str">
        <v>06:00:06</v>
      </c>
      <c r="AC17">
        <f>IF("ONLINE"="NOGPS","GPS Antiguo","En línea")</f>
      </c>
      <c r="AD17">
        <f>IF(0=0,"Sin atender", IF(0=1,"Atendida","Atendida y Reportada"))</f>
      </c>
      <c r="AE17" t="str">
        <v/>
      </c>
      <c r="AF17" t="str">
        <v/>
      </c>
      <c r="AG17" t="str">
        <v/>
      </c>
      <c r="AH17" t="str">
        <v/>
      </c>
      <c r="AI17" t="str">
        <v>17/09/2026 06:00:27</v>
      </c>
      <c r="AJ17" t="str">
        <v>06:00:27</v>
      </c>
      <c r="AK17" t="str">
        <v/>
      </c>
    </row>
    <row r="18">
      <c r="A18">
        <v>17</v>
      </c>
      <c r="B18" t="str">
        <v>MASS BSF</v>
      </c>
      <c r="C18" t="str">
        <v>F8R-810</v>
      </c>
      <c r="D18" t="str">
        <v>F8R-810</v>
      </c>
      <c r="E18" t="str">
        <v>867806078868827</v>
      </c>
      <c r="F18" t="str">
        <v>TBD</v>
      </c>
      <c r="G18" t="str">
        <v/>
      </c>
      <c r="H18" t="str">
        <v/>
      </c>
      <c r="I18" t="str">
        <v>17/09/2026</v>
      </c>
      <c r="J18" t="str">
        <v>06:00:22</v>
      </c>
      <c r="K18">
        <v>-12.214827</v>
      </c>
      <c r="L18">
        <v>-76.963844</v>
      </c>
      <c r="M18">
        <f>HYPERLINK("https://www.google.com/maps/search/?api=1&amp;query=-12.214827,-76.963844","Avenida Los Forestales, Villa El Salvador, Lima")</f>
      </c>
      <c r="N18" t="str">
        <v>Acelerado y giro brusco</v>
      </c>
      <c r="O18">
        <v>649.2</v>
      </c>
      <c r="P18" t="str">
        <v/>
      </c>
      <c r="Q18">
        <v>15.9</v>
      </c>
      <c r="R18">
        <v>25.1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v>86</v>
      </c>
      <c r="AA18" t="str">
        <v>17/09/2026</v>
      </c>
      <c r="AB18" t="str">
        <v>06:00:22</v>
      </c>
      <c r="AC18">
        <f>IF("ONLINE"="NOGPS","GPS Antiguo","En línea")</f>
      </c>
      <c r="AD18">
        <f>IF(0=0,"Sin atender", IF(0=1,"Atendida","Atendida y Reportada"))</f>
      </c>
      <c r="AE18" t="str">
        <v/>
      </c>
      <c r="AF18" t="str">
        <v/>
      </c>
      <c r="AG18" t="str">
        <v/>
      </c>
      <c r="AH18" t="str">
        <v/>
      </c>
      <c r="AI18" t="str">
        <v>17/09/2026 06:00:38</v>
      </c>
      <c r="AJ18" t="str">
        <v>06:00:38</v>
      </c>
      <c r="AK18" t="str">
        <v/>
      </c>
    </row>
    <row r="19">
      <c r="A19">
        <v>18</v>
      </c>
      <c r="B19" t="str">
        <v>MASS BSF</v>
      </c>
      <c r="C19" t="str">
        <v>F8R-810</v>
      </c>
      <c r="D19" t="str">
        <v>F8R-810</v>
      </c>
      <c r="E19" t="str">
        <v>867806078868827</v>
      </c>
      <c r="F19" t="str">
        <v>TBD</v>
      </c>
      <c r="G19" t="str">
        <v/>
      </c>
      <c r="H19" t="str">
        <v/>
      </c>
      <c r="I19" t="str">
        <v>17/09/2026</v>
      </c>
      <c r="J19" t="str">
        <v>06:00:25</v>
      </c>
      <c r="K19">
        <v>-12.21472</v>
      </c>
      <c r="L19">
        <v>-76.96383</v>
      </c>
      <c r="M19">
        <f>HYPERLINK("https://www.google.com/maps/search/?api=1&amp;query=-12.21472,-76.96383","Avenida Los Forestales, Villa El Salvador, Lima")</f>
      </c>
      <c r="N19" t="str">
        <v>Acelerado y giro brusco</v>
      </c>
      <c r="O19">
        <v>649.2</v>
      </c>
      <c r="P19" t="str">
        <v/>
      </c>
      <c r="Q19">
        <v>13.1</v>
      </c>
      <c r="R19">
        <v>25.1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v>86</v>
      </c>
      <c r="AA19" t="str">
        <v>17/09/2026</v>
      </c>
      <c r="AB19" t="str">
        <v>06:00:25</v>
      </c>
      <c r="AC19">
        <f>IF("ONLINE"="NOGPS","GPS Antiguo","En línea")</f>
      </c>
      <c r="AD19">
        <f>IF(0=0,"Sin atender", IF(0=1,"Atendida","Atendida y Reportada"))</f>
      </c>
      <c r="AE19" t="str">
        <v/>
      </c>
      <c r="AF19" t="str">
        <v/>
      </c>
      <c r="AG19" t="str">
        <v/>
      </c>
      <c r="AH19" t="str">
        <v/>
      </c>
      <c r="AI19" t="str">
        <v>17/09/2026 06:00:32</v>
      </c>
      <c r="AJ19" t="str">
        <v>06:00:32</v>
      </c>
      <c r="AK19" t="str">
        <v/>
      </c>
    </row>
    <row r="20">
      <c r="A20">
        <v>19</v>
      </c>
      <c r="B20" t="str">
        <v>MASS BSF</v>
      </c>
      <c r="C20" t="str">
        <v>F8R-810</v>
      </c>
      <c r="D20" t="str">
        <v>F8R-810</v>
      </c>
      <c r="E20" t="str">
        <v>867806078868827</v>
      </c>
      <c r="F20" t="str">
        <v>TBD</v>
      </c>
      <c r="G20" t="str">
        <v/>
      </c>
      <c r="H20" t="str">
        <v/>
      </c>
      <c r="I20" t="str">
        <v>17/09/2026</v>
      </c>
      <c r="J20" t="str">
        <v>06:00:30</v>
      </c>
      <c r="K20">
        <v>-12.214575</v>
      </c>
      <c r="L20">
        <v>-76.96384</v>
      </c>
      <c r="M20">
        <f>HYPERLINK("https://www.google.com/maps/search/?api=1&amp;query=-12.214575,-76.96384","Avenida Los Forestales, Villa El Salvador, Lima")</f>
      </c>
      <c r="N20" t="str">
        <v>Acelerado y giro brusco</v>
      </c>
      <c r="O20">
        <v>649.2</v>
      </c>
      <c r="P20" t="str">
        <v/>
      </c>
      <c r="Q20">
        <v>15.9</v>
      </c>
      <c r="R20">
        <v>25.1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v>90</v>
      </c>
      <c r="AA20" t="str">
        <v>17/09/2026</v>
      </c>
      <c r="AB20" t="str">
        <v>06:00:29</v>
      </c>
      <c r="AC20">
        <f>IF("ONLINE"="NOGPS","GPS Antiguo","En línea")</f>
      </c>
      <c r="AD20">
        <f>IF(0=0,"Sin atender", IF(0=1,"Atendida","Atendida y Reportada"))</f>
      </c>
      <c r="AE20" t="str">
        <v/>
      </c>
      <c r="AF20" t="str">
        <v/>
      </c>
      <c r="AG20" t="str">
        <v/>
      </c>
      <c r="AH20" t="str">
        <v/>
      </c>
      <c r="AI20" t="str">
        <v>17/09/2026 06:00:51</v>
      </c>
      <c r="AJ20" t="str">
        <v>06:00:51</v>
      </c>
      <c r="AK20" t="str">
        <v/>
      </c>
    </row>
    <row r="21">
      <c r="A21">
        <v>20</v>
      </c>
      <c r="B21" t="str">
        <v>MASS BSF</v>
      </c>
      <c r="C21" t="str">
        <v>F8R-810</v>
      </c>
      <c r="D21" t="str">
        <v>F8R-810</v>
      </c>
      <c r="E21" t="str">
        <v>867806078868827</v>
      </c>
      <c r="F21" t="str">
        <v>TBD</v>
      </c>
      <c r="G21" t="str">
        <v/>
      </c>
      <c r="H21" t="str">
        <v/>
      </c>
      <c r="I21" t="str">
        <v>17/09/2026</v>
      </c>
      <c r="J21" t="str">
        <v>06:00:38</v>
      </c>
      <c r="K21">
        <v>-12.214235</v>
      </c>
      <c r="L21">
        <v>-76.963806</v>
      </c>
      <c r="M21">
        <f>HYPERLINK("https://www.google.com/maps/search/?api=1&amp;query=-12.214235,-76.963806","Avenida Los Forestales, Villa El Salvador, Lima")</f>
      </c>
      <c r="N21" t="str">
        <v>Aceleración brusca</v>
      </c>
      <c r="O21">
        <v>649.2</v>
      </c>
      <c r="P21" t="str">
        <v/>
      </c>
      <c r="Q21">
        <v>11.4</v>
      </c>
      <c r="R21">
        <v>25.1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v>90</v>
      </c>
      <c r="AA21" t="str">
        <v>17/09/2026</v>
      </c>
      <c r="AB21" t="str">
        <v>06:00:38</v>
      </c>
      <c r="AC21">
        <f>IF("ONLINE"="NOGPS","GPS Antiguo","En línea")</f>
      </c>
      <c r="AD21">
        <f>IF(0=0,"Sin atender", IF(0=1,"Atendida","Atendida y Reportada"))</f>
      </c>
      <c r="AE21" t="str">
        <v/>
      </c>
      <c r="AF21" t="str">
        <v/>
      </c>
      <c r="AG21" t="str">
        <v/>
      </c>
      <c r="AH21" t="str">
        <v/>
      </c>
      <c r="AI21" t="str">
        <v>17/09/2026 06:00:56</v>
      </c>
      <c r="AJ21" t="str">
        <v>06:00:56</v>
      </c>
      <c r="AK21" t="str">
        <v/>
      </c>
    </row>
    <row r="22">
      <c r="A22">
        <v>21</v>
      </c>
      <c r="B22" t="str">
        <v>MASS BSF</v>
      </c>
      <c r="C22" t="str">
        <v>F8R-810</v>
      </c>
      <c r="D22" t="str">
        <v>F8R-810</v>
      </c>
      <c r="E22" t="str">
        <v>867806078868827</v>
      </c>
      <c r="F22" t="str">
        <v>TBD</v>
      </c>
      <c r="G22" t="str">
        <v/>
      </c>
      <c r="H22" t="str">
        <v/>
      </c>
      <c r="I22" t="str">
        <v>17/09/2026</v>
      </c>
      <c r="J22" t="str">
        <v>06:00:43</v>
      </c>
      <c r="K22">
        <v>-12.214107</v>
      </c>
      <c r="L22">
        <v>-76.9638</v>
      </c>
      <c r="M22">
        <f>HYPERLINK("https://www.google.com/maps/search/?api=1&amp;query=-12.214107,-76.9638","Avenida Los Forestales, Villa El Salvador, Lima")</f>
      </c>
      <c r="N22" t="str">
        <v>Acelerado y giro brusco</v>
      </c>
      <c r="O22">
        <v>649.2</v>
      </c>
      <c r="P22" t="str">
        <v/>
      </c>
      <c r="Q22">
        <v>14.6</v>
      </c>
      <c r="R22">
        <v>25.1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v>90</v>
      </c>
      <c r="AA22" t="str">
        <v>17/09/2026</v>
      </c>
      <c r="AB22" t="str">
        <v>06:00:42</v>
      </c>
      <c r="AC22">
        <f>IF("ONLINE"="NOGPS","GPS Antiguo","En línea")</f>
      </c>
      <c r="AD22">
        <f>IF(0=0,"Sin atender", IF(0=1,"Atendida","Atendida y Reportada"))</f>
      </c>
      <c r="AE22" t="str">
        <v/>
      </c>
      <c r="AF22" t="str">
        <v/>
      </c>
      <c r="AG22" t="str">
        <v/>
      </c>
      <c r="AH22" t="str">
        <v/>
      </c>
      <c r="AI22" t="str">
        <v>17/09/2026 06:00:52</v>
      </c>
      <c r="AJ22" t="str">
        <v>06:00:52</v>
      </c>
      <c r="AK22" t="str">
        <v/>
      </c>
    </row>
    <row r="23">
      <c r="A23">
        <v>22</v>
      </c>
      <c r="B23" t="str">
        <v>MASS BSF</v>
      </c>
      <c r="C23" t="str">
        <v>F8R-810</v>
      </c>
      <c r="D23" t="str">
        <v>F8R-810</v>
      </c>
      <c r="E23" t="str">
        <v>867806078868827</v>
      </c>
      <c r="F23" t="str">
        <v>TBD</v>
      </c>
      <c r="G23" t="str">
        <v/>
      </c>
      <c r="H23" t="str">
        <v/>
      </c>
      <c r="I23" t="str">
        <v>17/09/2026</v>
      </c>
      <c r="J23" t="str">
        <v>06:00:46</v>
      </c>
      <c r="K23">
        <v>-12.213993</v>
      </c>
      <c r="L23">
        <v>-76.96379</v>
      </c>
      <c r="M23">
        <f>HYPERLINK("https://www.google.com/maps/search/?api=1&amp;query=-12.213993,-76.96379","Avenida Los Forestales, Villa El Salvador, Lima")</f>
      </c>
      <c r="N23" t="str">
        <v>Bache</v>
      </c>
      <c r="O23">
        <v>649.3</v>
      </c>
      <c r="P23" t="str">
        <v/>
      </c>
      <c r="Q23">
        <v>8.5</v>
      </c>
      <c r="R23">
        <v>25.1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v>90</v>
      </c>
      <c r="AA23" t="str">
        <v>17/09/2026</v>
      </c>
      <c r="AB23" t="str">
        <v>06:00:46</v>
      </c>
      <c r="AC23">
        <f>IF("ONLINE"="NOGPS","GPS Antiguo","En línea")</f>
      </c>
      <c r="AD23">
        <f>IF(0=0,"Sin atender", IF(0=1,"Atendida","Atendida y Reportada"))</f>
      </c>
      <c r="AE23" t="str">
        <v/>
      </c>
      <c r="AF23" t="str">
        <v/>
      </c>
      <c r="AG23" t="str">
        <v/>
      </c>
      <c r="AH23" t="str">
        <v/>
      </c>
      <c r="AI23" t="str">
        <v>17/09/2026 06:01:13</v>
      </c>
      <c r="AJ23" t="str">
        <v>06:01:13</v>
      </c>
      <c r="AK23" t="str">
        <v/>
      </c>
    </row>
    <row r="24">
      <c r="A24">
        <v>23</v>
      </c>
      <c r="B24" t="str">
        <v>MASS BSF</v>
      </c>
      <c r="C24" t="str">
        <v>F8R-810</v>
      </c>
      <c r="D24" t="str">
        <v>F8R-810</v>
      </c>
      <c r="E24" t="str">
        <v>867806078868827</v>
      </c>
      <c r="F24" t="str">
        <v>TBD</v>
      </c>
      <c r="G24" t="str">
        <v/>
      </c>
      <c r="H24" t="str">
        <v/>
      </c>
      <c r="I24" t="str">
        <v>17/09/2026</v>
      </c>
      <c r="J24" t="str">
        <v>06:00:53</v>
      </c>
      <c r="K24">
        <v>-12.21375</v>
      </c>
      <c r="L24">
        <v>-76.9638</v>
      </c>
      <c r="M24">
        <f>HYPERLINK("https://www.google.com/maps/search/?api=1&amp;query=-12.21375,-76.9638","Avenida Los Forestales, Villa El Salvador, Lima")</f>
      </c>
      <c r="N24" t="str">
        <v>Acelerado y giro brusco</v>
      </c>
      <c r="O24">
        <v>649.3</v>
      </c>
      <c r="P24" t="str">
        <v/>
      </c>
      <c r="Q24">
        <v>18.5</v>
      </c>
      <c r="R24">
        <v>25.1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v>90</v>
      </c>
      <c r="AA24" t="str">
        <v>17/09/2026</v>
      </c>
      <c r="AB24" t="str">
        <v>06:00:53</v>
      </c>
      <c r="AC24">
        <f>IF("ONLINE"="NOGPS","GPS Antiguo","En línea")</f>
      </c>
      <c r="AD24">
        <f>IF(0=0,"Sin atender", IF(0=1,"Atendida","Atendida y Reportada"))</f>
      </c>
      <c r="AE24" t="str">
        <v/>
      </c>
      <c r="AF24" t="str">
        <v/>
      </c>
      <c r="AG24" t="str">
        <v/>
      </c>
      <c r="AH24" t="str">
        <v/>
      </c>
      <c r="AI24" t="str">
        <v>17/09/2026 06:01:09</v>
      </c>
      <c r="AJ24" t="str">
        <v>06:01:09</v>
      </c>
      <c r="AK24" t="str">
        <v/>
      </c>
    </row>
    <row r="25">
      <c r="A25">
        <v>24</v>
      </c>
      <c r="B25" t="str">
        <v>MASS BSF</v>
      </c>
      <c r="C25" t="str">
        <v>F8R-810</v>
      </c>
      <c r="D25" t="str">
        <v>F8R-810</v>
      </c>
      <c r="E25" t="str">
        <v>867806078868827</v>
      </c>
      <c r="F25" t="str">
        <v>TBD</v>
      </c>
      <c r="G25" t="str">
        <v/>
      </c>
      <c r="H25" t="str">
        <v/>
      </c>
      <c r="I25" t="str">
        <v>17/09/2026</v>
      </c>
      <c r="J25" t="str">
        <v>06:01:06</v>
      </c>
      <c r="K25">
        <v>-12.213266</v>
      </c>
      <c r="L25">
        <v>-76.96374</v>
      </c>
      <c r="M25">
        <f>HYPERLINK("https://www.google.com/maps/search/?api=1&amp;query=-12.213266,-76.96374","Avenida Los Forestales, Villa El Salvador, Lima")</f>
      </c>
      <c r="N25" t="str">
        <v>Acelerado y giro brusco</v>
      </c>
      <c r="O25">
        <v>649.3</v>
      </c>
      <c r="P25" t="str">
        <v/>
      </c>
      <c r="Q25">
        <v>12</v>
      </c>
      <c r="R25">
        <v>25.1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v>90</v>
      </c>
      <c r="AA25" t="str">
        <v>17/09/2026</v>
      </c>
      <c r="AB25" t="str">
        <v>06:01:06</v>
      </c>
      <c r="AC25">
        <f>IF("ONLINE"="NOGPS","GPS Antiguo","En línea")</f>
      </c>
      <c r="AD25">
        <f>IF(0=0,"Sin atender", IF(0=1,"Atendida","Atendida y Reportada"))</f>
      </c>
      <c r="AE25" t="str">
        <v/>
      </c>
      <c r="AF25" t="str">
        <v/>
      </c>
      <c r="AG25" t="str">
        <v/>
      </c>
      <c r="AH25" t="str">
        <v/>
      </c>
      <c r="AI25" t="str">
        <v>17/09/2026 06:01:21</v>
      </c>
      <c r="AJ25" t="str">
        <v>06:01:21</v>
      </c>
      <c r="AK25" t="str">
        <v/>
      </c>
    </row>
    <row r="26">
      <c r="A26">
        <v>25</v>
      </c>
      <c r="B26" t="str">
        <v>MASS BSF</v>
      </c>
      <c r="C26" t="str">
        <v>F8R-810</v>
      </c>
      <c r="D26" t="str">
        <v>F8R-810</v>
      </c>
      <c r="E26" t="str">
        <v>867806078868827</v>
      </c>
      <c r="F26" t="str">
        <v>TBD</v>
      </c>
      <c r="G26" t="str">
        <v/>
      </c>
      <c r="H26" t="str">
        <v/>
      </c>
      <c r="I26" t="str">
        <v>17/09/2026</v>
      </c>
      <c r="J26" t="str">
        <v>06:02:24</v>
      </c>
      <c r="K26">
        <v>-12.213092</v>
      </c>
      <c r="L26">
        <v>-76.96548</v>
      </c>
      <c r="M26">
        <f>HYPERLINK("https://www.google.com/maps/search/?api=1&amp;query=-12.213092,-76.96548","Avenida El Sol, Villa El Salvador, Lima")</f>
      </c>
      <c r="N26" t="str">
        <v>Acelerado y giro brusco</v>
      </c>
      <c r="O26">
        <v>649.7</v>
      </c>
      <c r="P26" t="str">
        <v/>
      </c>
      <c r="Q26">
        <v>27.2</v>
      </c>
      <c r="R26">
        <v>25.1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v>87</v>
      </c>
      <c r="AA26" t="str">
        <v>17/09/2026</v>
      </c>
      <c r="AB26" t="str">
        <v>06:02:24</v>
      </c>
      <c r="AC26">
        <f>IF("ONLINE"="NOGPS","GPS Antiguo","En línea")</f>
      </c>
      <c r="AD26">
        <f>IF(0=0,"Sin atender", IF(0=1,"Atendida","Atendida y Reportada"))</f>
      </c>
      <c r="AE26" t="str">
        <v/>
      </c>
      <c r="AF26" t="str">
        <v/>
      </c>
      <c r="AG26" t="str">
        <v/>
      </c>
      <c r="AH26" t="str">
        <v/>
      </c>
      <c r="AI26" t="str">
        <v>17/09/2026 06:02:45</v>
      </c>
      <c r="AJ26" t="str">
        <v>06:02:45</v>
      </c>
      <c r="AK26" t="str">
        <v/>
      </c>
    </row>
    <row r="27">
      <c r="A27">
        <v>26</v>
      </c>
      <c r="B27" t="str">
        <v>MASS BSF</v>
      </c>
      <c r="C27" t="str">
        <v>F8R-810</v>
      </c>
      <c r="D27" t="str">
        <v>F8R-810</v>
      </c>
      <c r="E27" t="str">
        <v>867806078868827</v>
      </c>
      <c r="F27" t="str">
        <v>TBD</v>
      </c>
      <c r="G27" t="str">
        <v/>
      </c>
      <c r="H27" t="str">
        <v/>
      </c>
      <c r="I27" t="str">
        <v>17/09/2026</v>
      </c>
      <c r="J27" t="str">
        <v>06:02:30</v>
      </c>
      <c r="K27">
        <v>-12.213397</v>
      </c>
      <c r="L27">
        <v>-76.96576</v>
      </c>
      <c r="M27">
        <f>HYPERLINK("https://www.google.com/maps/search/?api=1&amp;query=-12.213397,-76.96576","Avenida El Sol, Villa El Salvador, Lima")</f>
      </c>
      <c r="N27" t="str">
        <v>Acelerado y giro brusco</v>
      </c>
      <c r="O27">
        <v>649.7</v>
      </c>
      <c r="P27" t="str">
        <v/>
      </c>
      <c r="Q27">
        <v>29.2</v>
      </c>
      <c r="R27">
        <v>25.1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v>87</v>
      </c>
      <c r="AA27" t="str">
        <v>17/09/2026</v>
      </c>
      <c r="AB27" t="str">
        <v>06:02:30</v>
      </c>
      <c r="AC27">
        <f>IF("ONLINE"="NOGPS","GPS Antiguo","En línea")</f>
      </c>
      <c r="AD27">
        <f>IF(0=0,"Sin atender", IF(0=1,"Atendida","Atendida y Reportada"))</f>
      </c>
      <c r="AE27" t="str">
        <v/>
      </c>
      <c r="AF27" t="str">
        <v/>
      </c>
      <c r="AG27" t="str">
        <v/>
      </c>
      <c r="AH27" t="str">
        <v/>
      </c>
      <c r="AI27" t="str">
        <v>17/09/2026 06:03:02</v>
      </c>
      <c r="AJ27" t="str">
        <v>06:03:02</v>
      </c>
      <c r="AK27" t="str">
        <v/>
      </c>
    </row>
    <row r="28">
      <c r="A28">
        <v>27</v>
      </c>
      <c r="B28" t="str">
        <v>MASS BSF</v>
      </c>
      <c r="C28" t="str">
        <v>F8R-810</v>
      </c>
      <c r="D28" t="str">
        <v>F8R-810</v>
      </c>
      <c r="E28" t="str">
        <v>867806078868827</v>
      </c>
      <c r="F28" t="str">
        <v>TBD</v>
      </c>
      <c r="G28" t="str">
        <v/>
      </c>
      <c r="H28" t="str">
        <v/>
      </c>
      <c r="I28" t="str">
        <v>17/09/2026</v>
      </c>
      <c r="J28" t="str">
        <v>06:02:44</v>
      </c>
      <c r="K28">
        <v>-12.214295</v>
      </c>
      <c r="L28">
        <v>-76.96665</v>
      </c>
      <c r="M28">
        <f>HYPERLINK("https://www.google.com/maps/search/?api=1&amp;query=-12.214295,-76.96665","Avenida El Sol, Villa El Salvador, Lima")</f>
      </c>
      <c r="N28" t="str">
        <v>Acelerado y giro brusco</v>
      </c>
      <c r="O28">
        <v>649.9</v>
      </c>
      <c r="P28" t="str">
        <v/>
      </c>
      <c r="Q28">
        <v>37.5</v>
      </c>
      <c r="R28">
        <v>25.1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v>87</v>
      </c>
      <c r="AA28" t="str">
        <v>17/09/2026</v>
      </c>
      <c r="AB28" t="str">
        <v>06:02:44</v>
      </c>
      <c r="AC28">
        <f>IF("ONLINE"="NOGPS","GPS Antiguo","En línea")</f>
      </c>
      <c r="AD28">
        <f>IF(0=0,"Sin atender", IF(0=1,"Atendida","Atendida y Reportada"))</f>
      </c>
      <c r="AE28" t="str">
        <v/>
      </c>
      <c r="AF28" t="str">
        <v/>
      </c>
      <c r="AG28" t="str">
        <v/>
      </c>
      <c r="AH28" t="str">
        <v/>
      </c>
      <c r="AI28" t="str">
        <v>17/09/2026 06:03:21</v>
      </c>
      <c r="AJ28" t="str">
        <v>06:03:21</v>
      </c>
      <c r="AK28" t="str">
        <v/>
      </c>
    </row>
    <row r="29">
      <c r="A29">
        <v>28</v>
      </c>
      <c r="B29" t="str">
        <v>MASS BSF</v>
      </c>
      <c r="C29" t="str">
        <v>F8R-810</v>
      </c>
      <c r="D29" t="str">
        <v>F8R-810</v>
      </c>
      <c r="E29" t="str">
        <v>867806078868827</v>
      </c>
      <c r="F29" t="str">
        <v>TBD</v>
      </c>
      <c r="G29" t="str">
        <v/>
      </c>
      <c r="H29" t="str">
        <v/>
      </c>
      <c r="I29" t="str">
        <v>17/09/2026</v>
      </c>
      <c r="J29" t="str">
        <v>06:03:11</v>
      </c>
      <c r="K29">
        <v>-12.216237</v>
      </c>
      <c r="L29">
        <v>-76.96812</v>
      </c>
      <c r="M29">
        <f>HYPERLINK("https://www.google.com/maps/search/?api=1&amp;query=-12.216237,-76.96812","Avenida El Sol, Villa El Salvador, Lima")</f>
      </c>
      <c r="N29" t="str">
        <v>Acelerado y giro brusco</v>
      </c>
      <c r="O29">
        <v>650.1</v>
      </c>
      <c r="P29" t="str">
        <v/>
      </c>
      <c r="Q29">
        <v>28.3</v>
      </c>
      <c r="R29">
        <v>25.1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v>86</v>
      </c>
      <c r="AA29" t="str">
        <v>17/09/2026</v>
      </c>
      <c r="AB29" t="str">
        <v>06:03:11</v>
      </c>
      <c r="AC29">
        <f>IF("ONLINE"="NOGPS","GPS Antiguo","En línea")</f>
      </c>
      <c r="AD29">
        <f>IF(0=0,"Sin atender", IF(0=1,"Atendida","Atendida y Reportada"))</f>
      </c>
      <c r="AE29" t="str">
        <v/>
      </c>
      <c r="AF29" t="str">
        <v/>
      </c>
      <c r="AG29" t="str">
        <v/>
      </c>
      <c r="AH29" t="str">
        <v/>
      </c>
      <c r="AI29" t="str">
        <v>17/09/2026 06:03:39</v>
      </c>
      <c r="AJ29" t="str">
        <v>06:03:39</v>
      </c>
      <c r="AK29" t="str">
        <v/>
      </c>
    </row>
    <row r="30">
      <c r="A30">
        <v>29</v>
      </c>
      <c r="B30" t="str">
        <v>MASS BSF</v>
      </c>
      <c r="C30" t="str">
        <v>F8R-810</v>
      </c>
      <c r="D30" t="str">
        <v>F8R-810</v>
      </c>
      <c r="E30" t="str">
        <v>867806078868827</v>
      </c>
      <c r="F30" t="str">
        <v>TBD</v>
      </c>
      <c r="G30" t="str">
        <v/>
      </c>
      <c r="H30" t="str">
        <v/>
      </c>
      <c r="I30" t="str">
        <v>17/09/2026</v>
      </c>
      <c r="J30" t="str">
        <v>06:03:20</v>
      </c>
      <c r="K30">
        <v>-12.21646</v>
      </c>
      <c r="L30">
        <v>-76.96837</v>
      </c>
      <c r="M30">
        <f>HYPERLINK("https://www.google.com/maps/search/?api=1&amp;query=-12.21646,-76.96837","Avenida El Sol, Villa El Salvador, Lima")</f>
      </c>
      <c r="N30" t="str">
        <v>Aceleración brusca</v>
      </c>
      <c r="O30">
        <v>650.2</v>
      </c>
      <c r="P30" t="str">
        <v/>
      </c>
      <c r="Q30">
        <v>7.7</v>
      </c>
      <c r="R30">
        <v>25.1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v>86</v>
      </c>
      <c r="AA30" t="str">
        <v>17/09/2026</v>
      </c>
      <c r="AB30" t="str">
        <v>06:03:20</v>
      </c>
      <c r="AC30">
        <f>IF("ONLINE"="NOGPS","GPS Antiguo","En línea")</f>
      </c>
      <c r="AD30">
        <f>IF(0=0,"Sin atender", IF(0=1,"Atendida","Atendida y Reportada"))</f>
      </c>
      <c r="AE30" t="str">
        <v/>
      </c>
      <c r="AF30" t="str">
        <v/>
      </c>
      <c r="AG30" t="str">
        <v/>
      </c>
      <c r="AH30" t="str">
        <v/>
      </c>
      <c r="AI30" t="str">
        <v>17/09/2026 06:03:48</v>
      </c>
      <c r="AJ30" t="str">
        <v>06:03:48</v>
      </c>
      <c r="AK30" t="str">
        <v/>
      </c>
    </row>
    <row r="31">
      <c r="A31">
        <v>30</v>
      </c>
      <c r="B31" t="str">
        <v>MASS BSF</v>
      </c>
      <c r="C31" t="str">
        <v>F8R-810</v>
      </c>
      <c r="D31" t="str">
        <v>F8R-810</v>
      </c>
      <c r="E31" t="str">
        <v>867806078868827</v>
      </c>
      <c r="F31" t="str">
        <v>TBD</v>
      </c>
      <c r="G31" t="str">
        <v/>
      </c>
      <c r="H31" t="str">
        <v/>
      </c>
      <c r="I31" t="str">
        <v>17/09/2026</v>
      </c>
      <c r="J31" t="str">
        <v>06:03:23</v>
      </c>
      <c r="K31">
        <v>-12.216481</v>
      </c>
      <c r="L31">
        <v>-76.96839</v>
      </c>
      <c r="M31">
        <f>HYPERLINK("https://www.google.com/maps/search/?api=1&amp;query=-12.216481,-76.96839","Avenida El Sol, Villa El Salvador, Lima")</f>
      </c>
      <c r="N31" t="str">
        <v>Acelerado y giro brusco</v>
      </c>
      <c r="O31">
        <v>650.2</v>
      </c>
      <c r="P31" t="str">
        <v/>
      </c>
      <c r="Q31">
        <v>5.9</v>
      </c>
      <c r="R31">
        <v>25.1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v>86</v>
      </c>
      <c r="AA31" t="str">
        <v>17/09/2026</v>
      </c>
      <c r="AB31" t="str">
        <v>06:03:22</v>
      </c>
      <c r="AC31">
        <f>IF("ONLINE"="NOGPS","GPS Antiguo","En línea")</f>
      </c>
      <c r="AD31">
        <f>IF(0=0,"Sin atender", IF(0=1,"Atendida","Atendida y Reportada"))</f>
      </c>
      <c r="AE31" t="str">
        <v/>
      </c>
      <c r="AF31" t="str">
        <v/>
      </c>
      <c r="AG31" t="str">
        <v/>
      </c>
      <c r="AH31" t="str">
        <v/>
      </c>
      <c r="AI31" t="str">
        <v>17/09/2026 06:03:48</v>
      </c>
      <c r="AJ31" t="str">
        <v>06:03:48</v>
      </c>
      <c r="AK31" t="str">
        <v/>
      </c>
    </row>
    <row r="32">
      <c r="A32">
        <v>31</v>
      </c>
      <c r="B32" t="str">
        <v>MASS BSF</v>
      </c>
      <c r="C32" t="str">
        <v>F8R-810</v>
      </c>
      <c r="D32" t="str">
        <v>F8R-810</v>
      </c>
      <c r="E32" t="str">
        <v>867806078868827</v>
      </c>
      <c r="F32" t="str">
        <v>TBD</v>
      </c>
      <c r="G32" t="str">
        <v/>
      </c>
      <c r="H32" t="str">
        <v/>
      </c>
      <c r="I32" t="str">
        <v>17/09/2026</v>
      </c>
      <c r="J32" t="str">
        <v>06:03:30</v>
      </c>
      <c r="K32">
        <v>-12.216661</v>
      </c>
      <c r="L32">
        <v>-76.96858</v>
      </c>
      <c r="M32">
        <f>HYPERLINK("https://www.google.com/maps/search/?api=1&amp;query=-12.216661,-76.96858","Avenida El Sol, Villa El Salvador, Lima")</f>
      </c>
      <c r="N32" t="str">
        <v>Acelerado y giro brusco</v>
      </c>
      <c r="O32">
        <v>650.2</v>
      </c>
      <c r="P32" t="str">
        <v/>
      </c>
      <c r="Q32">
        <v>21.6</v>
      </c>
      <c r="R32">
        <v>25.1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v>86</v>
      </c>
      <c r="AA32" t="str">
        <v>17/09/2026</v>
      </c>
      <c r="AB32" t="str">
        <v>06:03:30</v>
      </c>
      <c r="AC32">
        <f>IF("ONLINE"="NOGPS","GPS Antiguo","En línea")</f>
      </c>
      <c r="AD32">
        <f>IF(0=0,"Sin atender", IF(0=1,"Atendida","Atendida y Reportada"))</f>
      </c>
      <c r="AE32" t="str">
        <v/>
      </c>
      <c r="AF32" t="str">
        <v/>
      </c>
      <c r="AG32" t="str">
        <v/>
      </c>
      <c r="AH32" t="str">
        <v/>
      </c>
      <c r="AI32" t="str">
        <v>17/09/2026 06:03:55</v>
      </c>
      <c r="AJ32" t="str">
        <v>06:03:55</v>
      </c>
      <c r="AK32" t="str">
        <v/>
      </c>
    </row>
    <row r="33">
      <c r="A33">
        <v>32</v>
      </c>
      <c r="B33" t="str">
        <v>MASS BSF</v>
      </c>
      <c r="C33" t="str">
        <v>F8R-810</v>
      </c>
      <c r="D33" t="str">
        <v>F8R-810</v>
      </c>
      <c r="E33" t="str">
        <v>867806078868827</v>
      </c>
      <c r="F33" t="str">
        <v>TBD</v>
      </c>
      <c r="G33" t="str">
        <v/>
      </c>
      <c r="H33" t="str">
        <v/>
      </c>
      <c r="I33" t="str">
        <v>17/09/2026</v>
      </c>
      <c r="J33" t="str">
        <v>06:03:53</v>
      </c>
      <c r="K33">
        <v>-12.217836</v>
      </c>
      <c r="L33">
        <v>-76.96986</v>
      </c>
      <c r="M33">
        <f>HYPERLINK("https://www.google.com/maps/search/?api=1&amp;query=-12.217836,-76.96986","Avenida El Sol, Villa El Salvador, Lima")</f>
      </c>
      <c r="N33" t="str">
        <v>Acelerado y giro brusco</v>
      </c>
      <c r="O33">
        <v>650.4</v>
      </c>
      <c r="P33" t="str">
        <v/>
      </c>
      <c r="Q33">
        <v>22.2</v>
      </c>
      <c r="R33">
        <v>25.1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v>86</v>
      </c>
      <c r="AA33" t="str">
        <v>17/09/2026</v>
      </c>
      <c r="AB33" t="str">
        <v>06:03:53</v>
      </c>
      <c r="AC33">
        <f>IF("ONLINE"="NOGPS","GPS Antiguo","En línea")</f>
      </c>
      <c r="AD33">
        <f>IF(0=0,"Sin atender", IF(0=1,"Atendida","Atendida y Reportada"))</f>
      </c>
      <c r="AE33" t="str">
        <v/>
      </c>
      <c r="AF33" t="str">
        <v/>
      </c>
      <c r="AG33" t="str">
        <v/>
      </c>
      <c r="AH33" t="str">
        <v/>
      </c>
      <c r="AI33" t="str">
        <v>17/09/2026 06:04:06</v>
      </c>
      <c r="AJ33" t="str">
        <v>06:04:06</v>
      </c>
      <c r="AK33" t="str">
        <v/>
      </c>
    </row>
    <row r="34">
      <c r="A34">
        <v>33</v>
      </c>
      <c r="B34" t="str">
        <v>MASS BSF</v>
      </c>
      <c r="C34" t="str">
        <v>F8R-810</v>
      </c>
      <c r="D34" t="str">
        <v>F8R-810</v>
      </c>
      <c r="E34" t="str">
        <v>867806078868827</v>
      </c>
      <c r="F34" t="str">
        <v>TBD</v>
      </c>
      <c r="G34" t="str">
        <v/>
      </c>
      <c r="H34" t="str">
        <v/>
      </c>
      <c r="I34" t="str">
        <v>17/09/2026</v>
      </c>
      <c r="J34" t="str">
        <v>06:04:20</v>
      </c>
      <c r="K34">
        <v>-12.218957</v>
      </c>
      <c r="L34">
        <v>-76.971054</v>
      </c>
      <c r="M34">
        <f>HYPERLINK("https://www.google.com/maps/search/?api=1&amp;query=-12.218957,-76.971054","Avenida El Sol, Villa El Salvador, Lima")</f>
      </c>
      <c r="N34" t="str">
        <v>Acelerado y giro brusco</v>
      </c>
      <c r="O34">
        <v>650.6</v>
      </c>
      <c r="P34" t="str">
        <v/>
      </c>
      <c r="Q34">
        <v>34</v>
      </c>
      <c r="R34">
        <v>25.1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v>86</v>
      </c>
      <c r="AA34" t="str">
        <v>17/09/2026</v>
      </c>
      <c r="AB34" t="str">
        <v>06:04:20</v>
      </c>
      <c r="AC34">
        <f>IF("ONLINE"="NOGPS","GPS Antiguo","En línea")</f>
      </c>
      <c r="AD34">
        <f>IF(0=0,"Sin atender", IF(0=1,"Atendida","Atendida y Reportada"))</f>
      </c>
      <c r="AE34" t="str">
        <v/>
      </c>
      <c r="AF34" t="str">
        <v/>
      </c>
      <c r="AG34" t="str">
        <v/>
      </c>
      <c r="AH34" t="str">
        <v/>
      </c>
      <c r="AI34" t="str">
        <v>17/09/2026 06:04:41</v>
      </c>
      <c r="AJ34" t="str">
        <v>06:04:41</v>
      </c>
      <c r="AK34" t="str">
        <v/>
      </c>
    </row>
    <row r="35">
      <c r="A35">
        <v>34</v>
      </c>
      <c r="B35" t="str">
        <v>MASS BSF</v>
      </c>
      <c r="C35" t="str">
        <v>F8R-810</v>
      </c>
      <c r="D35" t="str">
        <v>F8R-810</v>
      </c>
      <c r="E35" t="str">
        <v>867806078868827</v>
      </c>
      <c r="F35" t="str">
        <v>TBD</v>
      </c>
      <c r="G35" t="str">
        <v/>
      </c>
      <c r="H35" t="str">
        <v/>
      </c>
      <c r="I35" t="str">
        <v>17/09/2026</v>
      </c>
      <c r="J35" t="str">
        <v>06:04:26</v>
      </c>
      <c r="K35">
        <v>-12.219308</v>
      </c>
      <c r="L35">
        <v>-76.97142</v>
      </c>
      <c r="M35">
        <f>HYPERLINK("https://www.google.com/maps/search/?api=1&amp;query=-12.219308,-76.97142","Avenida El Sol, Villa El Salvador, Lima")</f>
      </c>
      <c r="N35" t="str">
        <v>Aceleración brusca</v>
      </c>
      <c r="O35">
        <v>650.6</v>
      </c>
      <c r="P35" t="str">
        <v/>
      </c>
      <c r="Q35">
        <v>34.2</v>
      </c>
      <c r="R35">
        <v>25.1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v>86</v>
      </c>
      <c r="AA35" t="str">
        <v>17/09/2026</v>
      </c>
      <c r="AB35" t="str">
        <v>06:04:26</v>
      </c>
      <c r="AC35">
        <f>IF("ONLINE"="NOGPS","GPS Antiguo","En línea")</f>
      </c>
      <c r="AD35">
        <f>IF(0=0,"Sin atender", IF(0=1,"Atendida","Atendida y Reportada"))</f>
      </c>
      <c r="AE35" t="str">
        <v/>
      </c>
      <c r="AF35" t="str">
        <v/>
      </c>
      <c r="AG35" t="str">
        <v/>
      </c>
      <c r="AH35" t="str">
        <v/>
      </c>
      <c r="AI35" t="str">
        <v>17/09/2026 06:04:42</v>
      </c>
      <c r="AJ35" t="str">
        <v>06:04:42</v>
      </c>
      <c r="AK35" t="str">
        <v/>
      </c>
    </row>
    <row r="36">
      <c r="A36">
        <v>35</v>
      </c>
      <c r="B36" t="str">
        <v>MASS BSF</v>
      </c>
      <c r="C36" t="str">
        <v>F8R-810</v>
      </c>
      <c r="D36" t="str">
        <v>F8R-810</v>
      </c>
      <c r="E36" t="str">
        <v>867806078868827</v>
      </c>
      <c r="F36" t="str">
        <v>TBD</v>
      </c>
      <c r="G36" t="str">
        <v/>
      </c>
      <c r="H36" t="str">
        <v/>
      </c>
      <c r="I36" t="str">
        <v>17/09/2026</v>
      </c>
      <c r="J36" t="str">
        <v>06:04:46</v>
      </c>
      <c r="K36">
        <v>-12.220465</v>
      </c>
      <c r="L36">
        <v>-76.97267</v>
      </c>
      <c r="M36">
        <f>HYPERLINK("https://www.google.com/maps/search/?api=1&amp;query=-12.220465,-76.97267","Avenida El Sol, Villa El Salvador, Lima")</f>
      </c>
      <c r="N36" t="str">
        <v>Acelerado y giro brusco</v>
      </c>
      <c r="O36">
        <v>650.8</v>
      </c>
      <c r="P36" t="str">
        <v/>
      </c>
      <c r="Q36">
        <v>45.1</v>
      </c>
      <c r="R36">
        <v>25.1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v>86</v>
      </c>
      <c r="AA36" t="str">
        <v>17/09/2026</v>
      </c>
      <c r="AB36" t="str">
        <v>06:04:46</v>
      </c>
      <c r="AC36">
        <f>IF("ONLINE"="NOGPS","GPS Antiguo","En línea")</f>
      </c>
      <c r="AD36">
        <f>IF(0=0,"Sin atender", IF(0=1,"Atendida","Atendida y Reportada"))</f>
      </c>
      <c r="AE36" t="str">
        <v/>
      </c>
      <c r="AF36" t="str">
        <v/>
      </c>
      <c r="AG36" t="str">
        <v/>
      </c>
      <c r="AH36" t="str">
        <v/>
      </c>
      <c r="AI36" t="str">
        <v>17/09/2026 06:05:16</v>
      </c>
      <c r="AJ36" t="str">
        <v>06:05:16</v>
      </c>
      <c r="AK36" t="str">
        <v/>
      </c>
    </row>
    <row r="37">
      <c r="A37">
        <v>36</v>
      </c>
      <c r="B37" t="str">
        <v>MASS BSF</v>
      </c>
      <c r="C37" t="str">
        <v>F8R-810</v>
      </c>
      <c r="D37" t="str">
        <v>F8R-810</v>
      </c>
      <c r="E37" t="str">
        <v>867806078868827</v>
      </c>
      <c r="F37" t="str">
        <v>TBD</v>
      </c>
      <c r="G37" t="str">
        <v/>
      </c>
      <c r="H37" t="str">
        <v/>
      </c>
      <c r="I37" t="str">
        <v>17/09/2026</v>
      </c>
      <c r="J37" t="str">
        <v>06:05:25</v>
      </c>
      <c r="K37">
        <v>-12.222016</v>
      </c>
      <c r="L37">
        <v>-76.97461</v>
      </c>
      <c r="M37">
        <f>HYPERLINK("https://www.google.com/maps/search/?api=1&amp;query=-12.222016,-76.97461","Antigua Panamericana Sur, Villa El Salvador, Lima")</f>
      </c>
      <c r="N37" t="str">
        <v>Acelerado y giro brusco</v>
      </c>
      <c r="O37">
        <v>651.1</v>
      </c>
      <c r="P37" t="str">
        <v/>
      </c>
      <c r="Q37">
        <v>13.5</v>
      </c>
      <c r="R37">
        <v>25.1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v>86</v>
      </c>
      <c r="AA37" t="str">
        <v>17/09/2026</v>
      </c>
      <c r="AB37" t="str">
        <v>06:05:25</v>
      </c>
      <c r="AC37">
        <f>IF("ONLINE"="NOGPS","GPS Antiguo","En línea")</f>
      </c>
      <c r="AD37">
        <f>IF(0=0,"Sin atender", IF(0=1,"Atendida","Atendida y Reportada"))</f>
      </c>
      <c r="AE37" t="str">
        <v/>
      </c>
      <c r="AF37" t="str">
        <v/>
      </c>
      <c r="AG37" t="str">
        <v/>
      </c>
      <c r="AH37" t="str">
        <v/>
      </c>
      <c r="AI37" t="str">
        <v>17/09/2026 06:05:46</v>
      </c>
      <c r="AJ37" t="str">
        <v>06:05:46</v>
      </c>
      <c r="AK37" t="str">
        <v/>
      </c>
    </row>
    <row r="38">
      <c r="A38">
        <v>37</v>
      </c>
      <c r="B38" t="str">
        <v>MASS BSF</v>
      </c>
      <c r="C38" t="str">
        <v>F8R-810</v>
      </c>
      <c r="D38" t="str">
        <v>F8R-810</v>
      </c>
      <c r="E38" t="str">
        <v>867806078868827</v>
      </c>
      <c r="F38" t="str">
        <v>TBD</v>
      </c>
      <c r="G38" t="str">
        <v/>
      </c>
      <c r="H38" t="str">
        <v/>
      </c>
      <c r="I38" t="str">
        <v>17/09/2026</v>
      </c>
      <c r="J38" t="str">
        <v>06:05:31</v>
      </c>
      <c r="K38">
        <v>-12.221795</v>
      </c>
      <c r="L38">
        <v>-76.974815</v>
      </c>
      <c r="M38">
        <f>HYPERLINK("https://www.google.com/maps/search/?api=1&amp;query=-12.221795,-76.974815","Antigua Panamericana Sur, Villa El Salvador, Lima")</f>
      </c>
      <c r="N38" t="str">
        <v>Acelerado y giro brusco</v>
      </c>
      <c r="O38">
        <v>651.1</v>
      </c>
      <c r="P38" t="str">
        <v/>
      </c>
      <c r="Q38">
        <v>25.9</v>
      </c>
      <c r="R38">
        <v>25.1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v>85</v>
      </c>
      <c r="AA38" t="str">
        <v>17/09/2026</v>
      </c>
      <c r="AB38" t="str">
        <v>06:05:31</v>
      </c>
      <c r="AC38">
        <f>IF("ONLINE"="NOGPS","GPS Antiguo","En línea")</f>
      </c>
      <c r="AD38">
        <f>IF(0=0,"Sin atender", IF(0=1,"Atendida","Atendida y Reportada"))</f>
      </c>
      <c r="AE38" t="str">
        <v/>
      </c>
      <c r="AF38" t="str">
        <v/>
      </c>
      <c r="AG38" t="str">
        <v/>
      </c>
      <c r="AH38" t="str">
        <v/>
      </c>
      <c r="AI38" t="str">
        <v>17/09/2026 06:06:00</v>
      </c>
      <c r="AJ38" t="str">
        <v>06:06:00</v>
      </c>
      <c r="AK38" t="str">
        <v/>
      </c>
    </row>
    <row r="39">
      <c r="A39">
        <v>38</v>
      </c>
      <c r="B39" t="str">
        <v>MASS BSF</v>
      </c>
      <c r="C39" t="str">
        <v>F8R-810</v>
      </c>
      <c r="D39" t="str">
        <v>F8R-810</v>
      </c>
      <c r="E39" t="str">
        <v>867806078868827</v>
      </c>
      <c r="F39" t="str">
        <v>TBD</v>
      </c>
      <c r="G39" t="str">
        <v/>
      </c>
      <c r="H39" t="str">
        <v/>
      </c>
      <c r="I39" t="str">
        <v>17/09/2026</v>
      </c>
      <c r="J39" t="str">
        <v>06:05:51</v>
      </c>
      <c r="K39">
        <v>-12.220408</v>
      </c>
      <c r="L39">
        <v>-76.97576</v>
      </c>
      <c r="M39">
        <f>HYPERLINK("https://www.google.com/maps/search/?api=1&amp;query=-12.220408,-76.97576","Antigua Panamericana Sur, Villa El Salvador, Lima")</f>
      </c>
      <c r="N39" t="str">
        <v>Acelerado y giro brusco</v>
      </c>
      <c r="O39">
        <v>651.3</v>
      </c>
      <c r="P39" t="str">
        <v/>
      </c>
      <c r="Q39">
        <v>36.2</v>
      </c>
      <c r="R39">
        <v>25.1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v>91</v>
      </c>
      <c r="AA39" t="str">
        <v>17/09/2026</v>
      </c>
      <c r="AB39" t="str">
        <v>06:05:50</v>
      </c>
      <c r="AC39">
        <f>IF("ONLINE"="NOGPS","GPS Antiguo","En línea")</f>
      </c>
      <c r="AD39">
        <f>IF(0=0,"Sin atender", IF(0=1,"Atendida","Atendida y Reportada"))</f>
      </c>
      <c r="AE39" t="str">
        <v/>
      </c>
      <c r="AF39" t="str">
        <v/>
      </c>
      <c r="AG39" t="str">
        <v/>
      </c>
      <c r="AH39" t="str">
        <v/>
      </c>
      <c r="AI39" t="str">
        <v>17/09/2026 06:06:11</v>
      </c>
      <c r="AJ39" t="str">
        <v>06:06:11</v>
      </c>
      <c r="AK39" t="str">
        <v/>
      </c>
    </row>
    <row r="40">
      <c r="A40">
        <v>39</v>
      </c>
      <c r="B40" t="str">
        <v>MASS BSF</v>
      </c>
      <c r="C40" t="str">
        <v>F8R-810</v>
      </c>
      <c r="D40" t="str">
        <v>F8R-810</v>
      </c>
      <c r="E40" t="str">
        <v>867806078868827</v>
      </c>
      <c r="F40" t="str">
        <v>TBD</v>
      </c>
      <c r="G40" t="str">
        <v/>
      </c>
      <c r="H40" t="str">
        <v/>
      </c>
      <c r="I40" t="str">
        <v>17/09/2026</v>
      </c>
      <c r="J40" t="str">
        <v>06:06:02</v>
      </c>
      <c r="K40">
        <v>-12.219671</v>
      </c>
      <c r="L40">
        <v>-76.97575</v>
      </c>
      <c r="M40">
        <f>HYPERLINK("https://www.google.com/maps/search/?api=1&amp;query=-12.219671,-76.97575","Antigua Panamericana Sur, Villa El Salvador, Lima")</f>
      </c>
      <c r="N40" t="str">
        <v>Acelerado y giro brusco</v>
      </c>
      <c r="O40">
        <v>651.4</v>
      </c>
      <c r="P40" t="str">
        <v/>
      </c>
      <c r="Q40">
        <v>16.2</v>
      </c>
      <c r="R40">
        <v>25.1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v>91</v>
      </c>
      <c r="AA40" t="str">
        <v>17/09/2026</v>
      </c>
      <c r="AB40" t="str">
        <v>06:06:01</v>
      </c>
      <c r="AC40">
        <f>IF("ONLINE"="NOGPS","GPS Antiguo","En línea")</f>
      </c>
      <c r="AD40">
        <f>IF(0=0,"Sin atender", IF(0=1,"Atendida","Atendida y Reportada"))</f>
      </c>
      <c r="AE40" t="str">
        <v/>
      </c>
      <c r="AF40" t="str">
        <v/>
      </c>
      <c r="AG40" t="str">
        <v/>
      </c>
      <c r="AH40" t="str">
        <v/>
      </c>
      <c r="AI40" t="str">
        <v>17/09/2026 06:06:24</v>
      </c>
      <c r="AJ40" t="str">
        <v>06:06:24</v>
      </c>
      <c r="AK40" t="str">
        <v/>
      </c>
    </row>
    <row r="41">
      <c r="A41">
        <v>40</v>
      </c>
      <c r="B41" t="str">
        <v>MASS BSF</v>
      </c>
      <c r="C41" t="str">
        <v>F8R-810</v>
      </c>
      <c r="D41" t="str">
        <v>F8R-810</v>
      </c>
      <c r="E41" t="str">
        <v>867806078868827</v>
      </c>
      <c r="F41" t="str">
        <v>TBD</v>
      </c>
      <c r="G41" t="str">
        <v/>
      </c>
      <c r="H41" t="str">
        <v/>
      </c>
      <c r="I41" t="str">
        <v>17/09/2026</v>
      </c>
      <c r="J41" t="str">
        <v>06:06:30</v>
      </c>
      <c r="K41">
        <v>-12.21793</v>
      </c>
      <c r="L41">
        <v>-76.97664</v>
      </c>
      <c r="M41">
        <f>HYPERLINK("https://www.google.com/maps/search/?api=1&amp;query=-12.21793,-76.97664","Avenida Caminos del Inca, Villa El Salvador, Lima")</f>
      </c>
      <c r="N41" t="str">
        <v>Acelerado y giro brusco</v>
      </c>
      <c r="O41">
        <v>651.6</v>
      </c>
      <c r="P41" t="str">
        <v/>
      </c>
      <c r="Q41">
        <v>37.4</v>
      </c>
      <c r="R41">
        <v>25.1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v>85</v>
      </c>
      <c r="AA41" t="str">
        <v>17/09/2026</v>
      </c>
      <c r="AB41" t="str">
        <v>06:06:30</v>
      </c>
      <c r="AC41">
        <f>IF("ONLINE"="NOGPS","GPS Antiguo","En línea")</f>
      </c>
      <c r="AD41">
        <f>IF(0=0,"Sin atender", IF(0=1,"Atendida","Atendida y Reportada"))</f>
      </c>
      <c r="AE41" t="str">
        <v/>
      </c>
      <c r="AF41" t="str">
        <v/>
      </c>
      <c r="AG41" t="str">
        <v/>
      </c>
      <c r="AH41" t="str">
        <v/>
      </c>
      <c r="AI41" t="str">
        <v>17/09/2026 06:06:58</v>
      </c>
      <c r="AJ41" t="str">
        <v>06:06:58</v>
      </c>
      <c r="AK41" t="str">
        <v/>
      </c>
    </row>
    <row r="42">
      <c r="A42">
        <v>41</v>
      </c>
      <c r="B42" t="str">
        <v>MASS BSF</v>
      </c>
      <c r="C42" t="str">
        <v>F8R-810</v>
      </c>
      <c r="D42" t="str">
        <v>F8R-810</v>
      </c>
      <c r="E42" t="str">
        <v>867806078868827</v>
      </c>
      <c r="F42" t="str">
        <v>TBD</v>
      </c>
      <c r="G42" t="str">
        <v/>
      </c>
      <c r="H42" t="str">
        <v/>
      </c>
      <c r="I42" t="str">
        <v>17/09/2026</v>
      </c>
      <c r="J42" t="str">
        <v>06:06:52</v>
      </c>
      <c r="K42">
        <v>-12.21787</v>
      </c>
      <c r="L42">
        <v>-76.97789</v>
      </c>
      <c r="M42">
        <f>HYPERLINK("https://www.google.com/maps/search/?api=1&amp;query=-12.21787,-76.97789","Avenida Caminos del Inca, Chorrillos, Lima")</f>
      </c>
      <c r="N42" t="str">
        <v>Aceleración brusca</v>
      </c>
      <c r="O42">
        <v>651.8</v>
      </c>
      <c r="P42" t="str">
        <v/>
      </c>
      <c r="Q42">
        <v>14.2</v>
      </c>
      <c r="R42">
        <v>25.1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v>85</v>
      </c>
      <c r="AA42" t="str">
        <v>17/09/2026</v>
      </c>
      <c r="AB42" t="str">
        <v>06:06:52</v>
      </c>
      <c r="AC42">
        <f>IF("ONLINE"="NOGPS","GPS Antiguo","En línea")</f>
      </c>
      <c r="AD42">
        <f>IF(0=0,"Sin atender", IF(0=1,"Atendida","Atendida y Reportada"))</f>
      </c>
      <c r="AE42" t="str">
        <v/>
      </c>
      <c r="AF42" t="str">
        <v/>
      </c>
      <c r="AG42" t="str">
        <v/>
      </c>
      <c r="AH42" t="str">
        <v/>
      </c>
      <c r="AI42" t="str">
        <v>17/09/2026 06:07:21</v>
      </c>
      <c r="AJ42" t="str">
        <v>06:07:21</v>
      </c>
      <c r="AK42" t="str">
        <v/>
      </c>
    </row>
    <row r="43">
      <c r="A43">
        <v>42</v>
      </c>
      <c r="B43" t="str">
        <v>MASS BSF</v>
      </c>
      <c r="C43" t="str">
        <v>F8R-810</v>
      </c>
      <c r="D43" t="str">
        <v>F8R-810</v>
      </c>
      <c r="E43" t="str">
        <v>867806078868827</v>
      </c>
      <c r="F43" t="str">
        <v>TBD</v>
      </c>
      <c r="G43" t="str">
        <v/>
      </c>
      <c r="H43" t="str">
        <v/>
      </c>
      <c r="I43" t="str">
        <v>17/09/2026</v>
      </c>
      <c r="J43" t="str">
        <v>06:06:56</v>
      </c>
      <c r="K43">
        <v>-12.217869</v>
      </c>
      <c r="L43">
        <v>-76.97803</v>
      </c>
      <c r="M43">
        <f>HYPERLINK("https://www.google.com/maps/search/?api=1&amp;query=-12.217869,-76.97803","Avenida Caminos del Inca, Chorrillos, Lima")</f>
      </c>
      <c r="N43" t="str">
        <v>Bache</v>
      </c>
      <c r="O43">
        <v>651.8</v>
      </c>
      <c r="P43" t="str">
        <v/>
      </c>
      <c r="Q43">
        <v>14.4</v>
      </c>
      <c r="R43">
        <v>25.1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v>85</v>
      </c>
      <c r="AA43" t="str">
        <v>17/09/2026</v>
      </c>
      <c r="AB43" t="str">
        <v>06:06:56</v>
      </c>
      <c r="AC43">
        <f>IF("ONLINE"="NOGPS","GPS Antiguo","En línea")</f>
      </c>
      <c r="AD43">
        <f>IF(0=0,"Sin atender", IF(0=1,"Atendida","Atendida y Reportada"))</f>
      </c>
      <c r="AE43" t="str">
        <v/>
      </c>
      <c r="AF43" t="str">
        <v/>
      </c>
      <c r="AG43" t="str">
        <v/>
      </c>
      <c r="AH43" t="str">
        <v/>
      </c>
      <c r="AI43" t="str">
        <v>17/09/2026 06:07:13</v>
      </c>
      <c r="AJ43" t="str">
        <v>06:07:13</v>
      </c>
      <c r="AK43" t="str">
        <v/>
      </c>
    </row>
    <row r="44">
      <c r="A44">
        <v>43</v>
      </c>
      <c r="B44" t="str">
        <v>MASS BSF</v>
      </c>
      <c r="C44" t="str">
        <v>F8R-810</v>
      </c>
      <c r="D44" t="str">
        <v>F8R-810</v>
      </c>
      <c r="E44" t="str">
        <v>867806078868827</v>
      </c>
      <c r="F44" t="str">
        <v>TBD</v>
      </c>
      <c r="G44" t="str">
        <v/>
      </c>
      <c r="H44" t="str">
        <v/>
      </c>
      <c r="I44" t="str">
        <v>17/09/2026</v>
      </c>
      <c r="J44" t="str">
        <v>06:07:29</v>
      </c>
      <c r="K44">
        <v>-12.216113</v>
      </c>
      <c r="L44">
        <v>-76.98064</v>
      </c>
      <c r="M44">
        <f>HYPERLINK("https://www.google.com/maps/search/?api=1&amp;query=-12.216113,-76.98064","Avenida Caminos del Inca, Chorrillos, Lima")</f>
      </c>
      <c r="N44" t="str">
        <v>Acelerado y giro brusco</v>
      </c>
      <c r="O44">
        <v>652.1</v>
      </c>
      <c r="P44" t="str">
        <v/>
      </c>
      <c r="Q44">
        <v>30.7</v>
      </c>
      <c r="R44">
        <v>25.1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v>85</v>
      </c>
      <c r="AA44" t="str">
        <v>17/09/2026</v>
      </c>
      <c r="AB44" t="str">
        <v>06:07:29</v>
      </c>
      <c r="AC44">
        <f>IF("ONLINE"="NOGPS","GPS Antiguo","En línea")</f>
      </c>
      <c r="AD44">
        <f>IF(0=0,"Sin atender", IF(0=1,"Atendida","Atendida y Reportada"))</f>
      </c>
      <c r="AE44" t="str">
        <v/>
      </c>
      <c r="AF44" t="str">
        <v/>
      </c>
      <c r="AG44" t="str">
        <v/>
      </c>
      <c r="AH44" t="str">
        <v/>
      </c>
      <c r="AI44" t="str">
        <v>17/09/2026 06:07:40</v>
      </c>
      <c r="AJ44" t="str">
        <v>06:07:40</v>
      </c>
      <c r="AK44" t="str">
        <v/>
      </c>
    </row>
    <row r="45">
      <c r="A45">
        <v>44</v>
      </c>
      <c r="B45" t="str">
        <v>MASS BSF</v>
      </c>
      <c r="C45" t="str">
        <v>F8R-810</v>
      </c>
      <c r="D45" t="str">
        <v>F8R-810</v>
      </c>
      <c r="E45" t="str">
        <v>867806078868827</v>
      </c>
      <c r="F45" t="str">
        <v>TBD</v>
      </c>
      <c r="G45" t="str">
        <v/>
      </c>
      <c r="H45" t="str">
        <v/>
      </c>
      <c r="I45" t="str">
        <v>17/09/2026</v>
      </c>
      <c r="J45" t="str">
        <v>06:08:29</v>
      </c>
      <c r="K45">
        <v>-12.21874</v>
      </c>
      <c r="L45">
        <v>-76.97795</v>
      </c>
      <c r="M45">
        <f>HYPERLINK("https://www.google.com/maps/search/?api=1&amp;query=-12.21874,-76.97795","Chorrillos, Lima")</f>
      </c>
      <c r="N45" t="str">
        <v>Acelerado y giro brusco</v>
      </c>
      <c r="O45">
        <v>652.7</v>
      </c>
      <c r="P45" t="str">
        <v/>
      </c>
      <c r="Q45">
        <v>52.7</v>
      </c>
      <c r="R45">
        <v>25.1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v>88</v>
      </c>
      <c r="AA45" t="str">
        <v>17/09/2026</v>
      </c>
      <c r="AB45" t="str">
        <v>06:08:29</v>
      </c>
      <c r="AC45">
        <f>IF("ONLINE"="NOGPS","GPS Antiguo","En línea")</f>
      </c>
      <c r="AD45">
        <f>IF(0=0,"Sin atender", IF(0=1,"Atendida","Atendida y Reportada"))</f>
      </c>
      <c r="AE45" t="str">
        <v/>
      </c>
      <c r="AF45" t="str">
        <v/>
      </c>
      <c r="AG45" t="str">
        <v/>
      </c>
      <c r="AH45" t="str">
        <v/>
      </c>
      <c r="AI45" t="str">
        <v>17/09/2026 06:08:42</v>
      </c>
      <c r="AJ45" t="str">
        <v>06:08:42</v>
      </c>
      <c r="AK45" t="str">
        <v/>
      </c>
    </row>
    <row r="46">
      <c r="A46">
        <v>45</v>
      </c>
      <c r="B46" t="str">
        <v>MASS BSF</v>
      </c>
      <c r="C46" t="str">
        <v>F8R-810</v>
      </c>
      <c r="D46" t="str">
        <v>F8R-810</v>
      </c>
      <c r="E46" t="str">
        <v>867806078868827</v>
      </c>
      <c r="F46" t="str">
        <v>TBD</v>
      </c>
      <c r="G46" t="str">
        <v/>
      </c>
      <c r="H46" t="str">
        <v/>
      </c>
      <c r="I46" t="str">
        <v>17/09/2026</v>
      </c>
      <c r="J46" t="str">
        <v>06:08:47</v>
      </c>
      <c r="K46">
        <v>-12.220913</v>
      </c>
      <c r="L46">
        <v>-76.976295</v>
      </c>
      <c r="M46">
        <f>HYPERLINK("https://www.google.com/maps/search/?api=1&amp;query=-12.220913,-76.976295","Carretera Panamericana Sur, Chorrillos, Lima")</f>
      </c>
      <c r="N46" t="str">
        <v>Acelerado y giro brusco</v>
      </c>
      <c r="O46">
        <v>653</v>
      </c>
      <c r="P46" t="str">
        <v/>
      </c>
      <c r="Q46">
        <v>67.7</v>
      </c>
      <c r="R46">
        <v>25.1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v>88</v>
      </c>
      <c r="AA46" t="str">
        <v>17/09/2026</v>
      </c>
      <c r="AB46" t="str">
        <v>06:08:46</v>
      </c>
      <c r="AC46">
        <f>IF("ONLINE"="NOGPS","GPS Antiguo","En línea")</f>
      </c>
      <c r="AD46">
        <f>IF(0=0,"Sin atender", IF(0=1,"Atendida","Atendida y Reportada"))</f>
      </c>
      <c r="AE46" t="str">
        <v/>
      </c>
      <c r="AF46" t="str">
        <v/>
      </c>
      <c r="AG46" t="str">
        <v/>
      </c>
      <c r="AH46" t="str">
        <v/>
      </c>
      <c r="AI46" t="str">
        <v>17/09/2026 06:08:54</v>
      </c>
      <c r="AJ46" t="str">
        <v>06:08:54</v>
      </c>
      <c r="AK46" t="str">
        <v/>
      </c>
    </row>
    <row r="47">
      <c r="A47">
        <v>46</v>
      </c>
      <c r="B47" t="str">
        <v>MASS BSF</v>
      </c>
      <c r="C47" t="str">
        <v>F8R-810</v>
      </c>
      <c r="D47" t="str">
        <v>F8R-810</v>
      </c>
      <c r="E47" t="str">
        <v>867806078868827</v>
      </c>
      <c r="F47" t="str">
        <v>TBD</v>
      </c>
      <c r="G47" t="str">
        <v/>
      </c>
      <c r="H47" t="str">
        <v/>
      </c>
      <c r="I47" t="str">
        <v>17/09/2026</v>
      </c>
      <c r="J47" t="str">
        <v>06:09:35</v>
      </c>
      <c r="K47">
        <v>-12.226352</v>
      </c>
      <c r="L47">
        <v>-76.9709</v>
      </c>
      <c r="M47">
        <f>HYPERLINK("https://www.google.com/maps/search/?api=1&amp;query=-12.226352,-76.9709","Carretera Panamericana Sur, Villa El Salvador, Lima")</f>
      </c>
      <c r="N47" t="str">
        <v>Acelerado y giro brusco</v>
      </c>
      <c r="O47">
        <v>653.8</v>
      </c>
      <c r="P47" t="str">
        <v/>
      </c>
      <c r="Q47">
        <v>33.7</v>
      </c>
      <c r="R47">
        <v>25.1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v>88</v>
      </c>
      <c r="AA47" t="str">
        <v>17/09/2026</v>
      </c>
      <c r="AB47" t="str">
        <v>06:09:35</v>
      </c>
      <c r="AC47">
        <f>IF("ONLINE"="NOGPS","GPS Antiguo","En línea")</f>
      </c>
      <c r="AD47">
        <f>IF(0=0,"Sin atender", IF(0=1,"Atendida","Atendida y Reportada"))</f>
      </c>
      <c r="AE47" t="str">
        <v/>
      </c>
      <c r="AF47" t="str">
        <v/>
      </c>
      <c r="AG47" t="str">
        <v/>
      </c>
      <c r="AH47" t="str">
        <v/>
      </c>
      <c r="AI47" t="str">
        <v>17/09/2026 06:09:49</v>
      </c>
      <c r="AJ47" t="str">
        <v>06:09:49</v>
      </c>
      <c r="AK47" t="str">
        <v/>
      </c>
    </row>
    <row r="48">
      <c r="A48">
        <v>47</v>
      </c>
      <c r="B48" t="str">
        <v>MASS BSF</v>
      </c>
      <c r="C48" t="str">
        <v>F8R-810</v>
      </c>
      <c r="D48" t="str">
        <v>F8R-810</v>
      </c>
      <c r="E48" t="str">
        <v>867806078868827</v>
      </c>
      <c r="F48" t="str">
        <v>TBD</v>
      </c>
      <c r="G48" t="str">
        <v/>
      </c>
      <c r="H48" t="str">
        <v/>
      </c>
      <c r="I48" t="str">
        <v>17/09/2026</v>
      </c>
      <c r="J48" t="str">
        <v>06:09:38</v>
      </c>
      <c r="K48">
        <v>-12.226521</v>
      </c>
      <c r="L48">
        <v>-76.970726</v>
      </c>
      <c r="M48">
        <f>HYPERLINK("https://www.google.com/maps/search/?api=1&amp;query=-12.226521,-76.970726","Carretera Panamericana Sur, Villa El Salvador, Lima")</f>
      </c>
      <c r="N48" t="str">
        <v>Acelerado y giro brusco</v>
      </c>
      <c r="O48">
        <v>653.9</v>
      </c>
      <c r="P48" t="str">
        <v/>
      </c>
      <c r="Q48">
        <v>32</v>
      </c>
      <c r="R48">
        <v>25.1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v>88</v>
      </c>
      <c r="AA48" t="str">
        <v>17/09/2026</v>
      </c>
      <c r="AB48" t="str">
        <v>06:09:38</v>
      </c>
      <c r="AC48">
        <f>IF("ONLINE"="NOGPS","GPS Antiguo","En línea")</f>
      </c>
      <c r="AD48">
        <f>IF(0=0,"Sin atender", IF(0=1,"Atendida","Atendida y Reportada"))</f>
      </c>
      <c r="AE48" t="str">
        <v/>
      </c>
      <c r="AF48" t="str">
        <v/>
      </c>
      <c r="AG48" t="str">
        <v/>
      </c>
      <c r="AH48" t="str">
        <v/>
      </c>
      <c r="AI48" t="str">
        <v>17/09/2026 06:10:01</v>
      </c>
      <c r="AJ48" t="str">
        <v>06:10:01</v>
      </c>
      <c r="AK48" t="str">
        <v/>
      </c>
    </row>
    <row r="49">
      <c r="A49">
        <v>48</v>
      </c>
      <c r="B49" t="str">
        <v>MASS BSF</v>
      </c>
      <c r="C49" t="str">
        <v>F8R-810</v>
      </c>
      <c r="D49" t="str">
        <v>F8R-810</v>
      </c>
      <c r="E49" t="str">
        <v>867806078868827</v>
      </c>
      <c r="F49" t="str">
        <v>TBD</v>
      </c>
      <c r="G49" t="str">
        <v/>
      </c>
      <c r="H49" t="str">
        <v/>
      </c>
      <c r="I49" t="str">
        <v>17/09/2026</v>
      </c>
      <c r="J49" t="str">
        <v>06:09:44</v>
      </c>
      <c r="K49">
        <v>-12.22689</v>
      </c>
      <c r="L49">
        <v>-76.97037</v>
      </c>
      <c r="M49">
        <f>HYPERLINK("https://www.google.com/maps/search/?api=1&amp;query=-12.22689,-76.97037","Carretera Panamericana Sur, Villa El Salvador, Lima")</f>
      </c>
      <c r="N49" t="str">
        <v>Acelerado y giro brusco</v>
      </c>
      <c r="O49">
        <v>653.9</v>
      </c>
      <c r="P49" t="str">
        <v/>
      </c>
      <c r="Q49">
        <v>36.1</v>
      </c>
      <c r="R49">
        <v>25.1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v>88</v>
      </c>
      <c r="AA49" t="str">
        <v>17/09/2026</v>
      </c>
      <c r="AB49" t="str">
        <v>06:09:44</v>
      </c>
      <c r="AC49">
        <f>IF("ONLINE"="NOGPS","GPS Antiguo","En línea")</f>
      </c>
      <c r="AD49">
        <f>IF(0=0,"Sin atender", IF(0=1,"Atendida","Atendida y Reportada"))</f>
      </c>
      <c r="AE49" t="str">
        <v/>
      </c>
      <c r="AF49" t="str">
        <v/>
      </c>
      <c r="AG49" t="str">
        <v/>
      </c>
      <c r="AH49" t="str">
        <v/>
      </c>
      <c r="AI49" t="str">
        <v>17/09/2026 06:09:58</v>
      </c>
      <c r="AJ49" t="str">
        <v>06:09:58</v>
      </c>
      <c r="AK49" t="str">
        <v/>
      </c>
    </row>
    <row r="50">
      <c r="A50">
        <v>49</v>
      </c>
      <c r="B50" t="str">
        <v>MASS BSF</v>
      </c>
      <c r="C50" t="str">
        <v>F8R-810</v>
      </c>
      <c r="D50" t="str">
        <v>F8R-810</v>
      </c>
      <c r="E50" t="str">
        <v>867806078868827</v>
      </c>
      <c r="F50" t="str">
        <v>TBD</v>
      </c>
      <c r="G50" t="str">
        <v/>
      </c>
      <c r="H50" t="str">
        <v/>
      </c>
      <c r="I50" t="str">
        <v>17/09/2026</v>
      </c>
      <c r="J50" t="str">
        <v>06:10:23</v>
      </c>
      <c r="K50">
        <v>-12.230547</v>
      </c>
      <c r="L50">
        <v>-76.96666</v>
      </c>
      <c r="M50">
        <f>HYPERLINK("https://www.google.com/maps/search/?api=1&amp;query=-12.230547,-76.96666","Carretera Panamericana Sur, Villa El Salvador, Lima")</f>
      </c>
      <c r="N50" t="str">
        <v>Acelerado y giro brusco</v>
      </c>
      <c r="O50">
        <v>654.5</v>
      </c>
      <c r="P50" t="str">
        <v/>
      </c>
      <c r="Q50">
        <v>65.7</v>
      </c>
      <c r="R50">
        <v>25.1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v>85</v>
      </c>
      <c r="AA50" t="str">
        <v>17/09/2026</v>
      </c>
      <c r="AB50" t="str">
        <v>06:10:23</v>
      </c>
      <c r="AC50">
        <f>IF("ONLINE"="NOGPS","GPS Antiguo","En línea")</f>
      </c>
      <c r="AD50">
        <f>IF(0=0,"Sin atender", IF(0=1,"Atendida","Atendida y Reportada"))</f>
      </c>
      <c r="AE50" t="str">
        <v/>
      </c>
      <c r="AF50" t="str">
        <v/>
      </c>
      <c r="AG50" t="str">
        <v/>
      </c>
      <c r="AH50" t="str">
        <v/>
      </c>
      <c r="AI50" t="str">
        <v>17/09/2026 06:10:52</v>
      </c>
      <c r="AJ50" t="str">
        <v>06:10:52</v>
      </c>
      <c r="AK50" t="str">
        <v/>
      </c>
    </row>
    <row r="51">
      <c r="A51">
        <v>50</v>
      </c>
      <c r="B51" t="str">
        <v>MASS BSF</v>
      </c>
      <c r="C51" t="str">
        <v>F8R-810</v>
      </c>
      <c r="D51" t="str">
        <v>F8R-810</v>
      </c>
      <c r="E51" t="str">
        <v>867806078868827</v>
      </c>
      <c r="F51" t="str">
        <v>TBD</v>
      </c>
      <c r="G51" t="str">
        <v/>
      </c>
      <c r="H51" t="str">
        <v/>
      </c>
      <c r="I51" t="str">
        <v>17/09/2026</v>
      </c>
      <c r="J51" t="str">
        <v>06:11:01</v>
      </c>
      <c r="K51">
        <v>-12.233784</v>
      </c>
      <c r="L51">
        <v>-76.96078</v>
      </c>
      <c r="M51">
        <f>HYPERLINK("https://www.google.com/maps/search/?api=1&amp;query=-12.233784,-76.96078","Carretera Panamericana Sur, Villa El Salvador, Lima")</f>
      </c>
      <c r="N51" t="str">
        <v>Aceleración brusca</v>
      </c>
      <c r="O51">
        <v>655.2</v>
      </c>
      <c r="P51" t="str">
        <v/>
      </c>
      <c r="Q51">
        <v>73.3</v>
      </c>
      <c r="R51">
        <v>25.1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v>85</v>
      </c>
      <c r="AA51" t="str">
        <v>17/09/2026</v>
      </c>
      <c r="AB51" t="str">
        <v>06:11:01</v>
      </c>
      <c r="AC51">
        <f>IF("ONLINE"="NOGPS","GPS Antiguo","En línea")</f>
      </c>
      <c r="AD51">
        <f>IF(0=0,"Sin atender", IF(0=1,"Atendida","Atendida y Reportada"))</f>
      </c>
      <c r="AE51" t="str">
        <v/>
      </c>
      <c r="AF51" t="str">
        <v/>
      </c>
      <c r="AG51" t="str">
        <v/>
      </c>
      <c r="AH51" t="str">
        <v/>
      </c>
      <c r="AI51" t="str">
        <v>17/09/2026 06:11:16</v>
      </c>
      <c r="AJ51" t="str">
        <v>06:11:16</v>
      </c>
      <c r="AK51" t="str">
        <v/>
      </c>
    </row>
    <row r="52">
      <c r="A52">
        <v>51</v>
      </c>
      <c r="B52" t="str">
        <v>MASS BSF</v>
      </c>
      <c r="C52" t="str">
        <v>F8R-810</v>
      </c>
      <c r="D52" t="str">
        <v>F8R-810</v>
      </c>
      <c r="E52" t="str">
        <v>867806078868827</v>
      </c>
      <c r="F52" t="str">
        <v>TBD</v>
      </c>
      <c r="G52" t="str">
        <v/>
      </c>
      <c r="H52" t="str">
        <v/>
      </c>
      <c r="I52" t="str">
        <v>17/09/2026</v>
      </c>
      <c r="J52" t="str">
        <v>06:11:05</v>
      </c>
      <c r="K52">
        <v>-12.23413</v>
      </c>
      <c r="L52">
        <v>-76.960106</v>
      </c>
      <c r="M52">
        <f>HYPERLINK("https://www.google.com/maps/search/?api=1&amp;query=-12.23413,-76.960106","Carretera Panamericana Sur, Villa El Salvador, Lima")</f>
      </c>
      <c r="N52" t="str">
        <v>Aceleración brusca</v>
      </c>
      <c r="O52">
        <v>655.3</v>
      </c>
      <c r="P52" t="str">
        <v/>
      </c>
      <c r="Q52">
        <v>73.7</v>
      </c>
      <c r="R52">
        <v>25.1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v>85</v>
      </c>
      <c r="AA52" t="str">
        <v>17/09/2026</v>
      </c>
      <c r="AB52" t="str">
        <v>06:11:05</v>
      </c>
      <c r="AC52">
        <f>IF("ONLINE"="NOGPS","GPS Antiguo","En línea")</f>
      </c>
      <c r="AD52">
        <f>IF(0=0,"Sin atender", IF(0=1,"Atendida","Atendida y Reportada"))</f>
      </c>
      <c r="AE52" t="str">
        <v/>
      </c>
      <c r="AF52" t="str">
        <v/>
      </c>
      <c r="AG52" t="str">
        <v/>
      </c>
      <c r="AH52" t="str">
        <v/>
      </c>
      <c r="AI52" t="str">
        <v>17/09/2026 06:11:23</v>
      </c>
      <c r="AJ52" t="str">
        <v>06:11:23</v>
      </c>
      <c r="AK52" t="str">
        <v/>
      </c>
    </row>
    <row r="53">
      <c r="A53">
        <v>52</v>
      </c>
      <c r="B53" t="str">
        <v>MASS BSF</v>
      </c>
      <c r="C53" t="str">
        <v>F8R-810</v>
      </c>
      <c r="D53" t="str">
        <v>F8R-810</v>
      </c>
      <c r="E53" t="str">
        <v>867806078868827</v>
      </c>
      <c r="F53" t="str">
        <v>TBD</v>
      </c>
      <c r="G53" t="str">
        <v/>
      </c>
      <c r="H53" t="str">
        <v/>
      </c>
      <c r="I53" t="str">
        <v>17/09/2026</v>
      </c>
      <c r="J53" t="str">
        <v>06:11:34</v>
      </c>
      <c r="K53">
        <v>-12.236691</v>
      </c>
      <c r="L53">
        <v>-76.95518</v>
      </c>
      <c r="M53">
        <f>HYPERLINK("https://www.google.com/maps/search/?api=1&amp;query=-12.236691,-76.95518","Carretera Panamericana Sur, Villa El Salvador, Lima")</f>
      </c>
      <c r="N53" t="str">
        <v>Aceleración brusca</v>
      </c>
      <c r="O53">
        <v>655.9</v>
      </c>
      <c r="P53" t="str">
        <v/>
      </c>
      <c r="Q53">
        <v>75.7</v>
      </c>
      <c r="R53">
        <v>25.1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v>86</v>
      </c>
      <c r="AA53" t="str">
        <v>17/09/2026</v>
      </c>
      <c r="AB53" t="str">
        <v>06:11:34</v>
      </c>
      <c r="AC53">
        <f>IF("ONLINE"="NOGPS","GPS Antiguo","En línea")</f>
      </c>
      <c r="AD53">
        <f>IF(0=0,"Sin atender", IF(0=1,"Atendida","Atendida y Reportada"))</f>
      </c>
      <c r="AE53" t="str">
        <v/>
      </c>
      <c r="AF53" t="str">
        <v/>
      </c>
      <c r="AG53" t="str">
        <v/>
      </c>
      <c r="AH53" t="str">
        <v/>
      </c>
      <c r="AI53" t="str">
        <v>17/09/2026 06:11:52</v>
      </c>
      <c r="AJ53" t="str">
        <v>06:11:52</v>
      </c>
      <c r="AK53" t="str">
        <v/>
      </c>
    </row>
    <row r="54">
      <c r="A54">
        <v>53</v>
      </c>
      <c r="B54" t="str">
        <v>MASS BSF</v>
      </c>
      <c r="C54" t="str">
        <v>F8R-810</v>
      </c>
      <c r="D54" t="str">
        <v>F8R-810</v>
      </c>
      <c r="E54" t="str">
        <v>867806078868827</v>
      </c>
      <c r="F54" t="str">
        <v>TBD</v>
      </c>
      <c r="G54" t="str">
        <v/>
      </c>
      <c r="H54" t="str">
        <v/>
      </c>
      <c r="I54" t="str">
        <v>17/09/2026</v>
      </c>
      <c r="J54" t="str">
        <v>06:12:19</v>
      </c>
      <c r="K54">
        <v>-12.240535</v>
      </c>
      <c r="L54">
        <v>-76.94777</v>
      </c>
      <c r="M54">
        <f>HYPERLINK("https://www.google.com/maps/search/?api=1&amp;query=-12.240535,-76.94777","Carretera Panamericana Sur, Villa El Salvador, Lima")</f>
      </c>
      <c r="N54" t="str">
        <v>Aceleración brusca</v>
      </c>
      <c r="O54">
        <v>656.8</v>
      </c>
      <c r="P54" t="str">
        <v/>
      </c>
      <c r="Q54">
        <v>73.1</v>
      </c>
      <c r="R54">
        <v>25.1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v>87</v>
      </c>
      <c r="AA54" t="str">
        <v>17/09/2026</v>
      </c>
      <c r="AB54" t="str">
        <v>06:12:18</v>
      </c>
      <c r="AC54">
        <f>IF("ONLINE"="NOGPS","GPS Antiguo","En línea")</f>
      </c>
      <c r="AD54">
        <f>IF(0=0,"Sin atender", IF(0=1,"Atendida","Atendida y Reportada"))</f>
      </c>
      <c r="AE54" t="str">
        <v/>
      </c>
      <c r="AF54" t="str">
        <v/>
      </c>
      <c r="AG54" t="str">
        <v/>
      </c>
      <c r="AH54" t="str">
        <v/>
      </c>
      <c r="AI54" t="str">
        <v>17/09/2026 06:12:33</v>
      </c>
      <c r="AJ54" t="str">
        <v>06:12:33</v>
      </c>
      <c r="AK54" t="str">
        <v/>
      </c>
    </row>
    <row r="55">
      <c r="A55">
        <v>54</v>
      </c>
      <c r="B55" t="str">
        <v>MASS BSF</v>
      </c>
      <c r="C55" t="str">
        <v>F8R-810</v>
      </c>
      <c r="D55" t="str">
        <v>F8R-810</v>
      </c>
      <c r="E55" t="str">
        <v>867806078868827</v>
      </c>
      <c r="F55" t="str">
        <v>TBD</v>
      </c>
      <c r="G55" t="str">
        <v/>
      </c>
      <c r="H55" t="str">
        <v/>
      </c>
      <c r="I55" t="str">
        <v>17/09/2026</v>
      </c>
      <c r="J55" t="str">
        <v>06:14:01</v>
      </c>
      <c r="K55">
        <v>-12.249703</v>
      </c>
      <c r="L55">
        <v>-76.93157</v>
      </c>
      <c r="M55">
        <f>HYPERLINK("https://www.google.com/maps/search/?api=1&amp;query=-12.249703,-76.93157","Carretera Panamericana Sur, Lurín, Lima")</f>
      </c>
      <c r="N55" t="str">
        <v>Acelerado y giro brusco</v>
      </c>
      <c r="O55">
        <v>658.8</v>
      </c>
      <c r="P55" t="str">
        <v/>
      </c>
      <c r="Q55">
        <v>47.5</v>
      </c>
      <c r="R55">
        <v>25.1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v>87</v>
      </c>
      <c r="AA55" t="str">
        <v>17/09/2026</v>
      </c>
      <c r="AB55" t="str">
        <v>06:14:01</v>
      </c>
      <c r="AC55">
        <f>IF("ONLINE"="NOGPS","GPS Antiguo","En línea")</f>
      </c>
      <c r="AD55">
        <f>IF(0=0,"Sin atender", IF(0=1,"Atendida","Atendida y Reportada"))</f>
      </c>
      <c r="AE55" t="str">
        <v/>
      </c>
      <c r="AF55" t="str">
        <v/>
      </c>
      <c r="AG55" t="str">
        <v/>
      </c>
      <c r="AH55" t="str">
        <v/>
      </c>
      <c r="AI55" t="str">
        <v>17/09/2026 06:14:12</v>
      </c>
      <c r="AJ55" t="str">
        <v>06:14:12</v>
      </c>
      <c r="AK55" t="str">
        <v/>
      </c>
    </row>
    <row r="56">
      <c r="A56">
        <v>55</v>
      </c>
      <c r="B56" t="str">
        <v>MASS BSF</v>
      </c>
      <c r="C56" t="str">
        <v>F8R-810</v>
      </c>
      <c r="D56" t="str">
        <v>F8R-810</v>
      </c>
      <c r="E56" t="str">
        <v>867806078868827</v>
      </c>
      <c r="F56" t="str">
        <v>TBD</v>
      </c>
      <c r="G56" t="str">
        <v/>
      </c>
      <c r="H56" t="str">
        <v/>
      </c>
      <c r="I56" t="str">
        <v>17/09/2026</v>
      </c>
      <c r="J56" t="str">
        <v>06:16:43</v>
      </c>
      <c r="K56">
        <v>-12.26338</v>
      </c>
      <c r="L56">
        <v>-76.910194</v>
      </c>
      <c r="M56">
        <f>HYPERLINK("https://www.google.com/maps/search/?api=1&amp;query=-12.26338,-76.910194","Carretera Panamericana Sur, Lurín, Lima")</f>
      </c>
      <c r="N56" t="str">
        <v>Acelerado y giro brusco</v>
      </c>
      <c r="O56">
        <v>661.6</v>
      </c>
      <c r="P56" t="str">
        <v/>
      </c>
      <c r="Q56">
        <v>66.6</v>
      </c>
      <c r="R56">
        <v>25.1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v>86</v>
      </c>
      <c r="AA56" t="str">
        <v>17/09/2026</v>
      </c>
      <c r="AB56" t="str">
        <v>06:16:43</v>
      </c>
      <c r="AC56">
        <f>IF("ONLINE"="NOGPS","GPS Antiguo","En línea")</f>
      </c>
      <c r="AD56">
        <f>IF(0=0,"Sin atender", IF(0=1,"Atendida","Atendida y Reportada"))</f>
      </c>
      <c r="AE56" t="str">
        <v/>
      </c>
      <c r="AF56" t="str">
        <v/>
      </c>
      <c r="AG56" t="str">
        <v/>
      </c>
      <c r="AH56" t="str">
        <v/>
      </c>
      <c r="AI56" t="str">
        <v>17/09/2026 06:17:04</v>
      </c>
      <c r="AJ56" t="str">
        <v>06:17:04</v>
      </c>
      <c r="AK56" t="str">
        <v/>
      </c>
    </row>
    <row r="57">
      <c r="A57">
        <v>56</v>
      </c>
      <c r="B57" t="str">
        <v>MASS BSF</v>
      </c>
      <c r="C57" t="str">
        <v>F8R-810</v>
      </c>
      <c r="D57" t="str">
        <v>F8R-810</v>
      </c>
      <c r="E57" t="str">
        <v>867806078868827</v>
      </c>
      <c r="F57" t="str">
        <v>TBD</v>
      </c>
      <c r="G57" t="str">
        <v/>
      </c>
      <c r="H57" t="str">
        <v/>
      </c>
      <c r="I57" t="str">
        <v>17/09/2026</v>
      </c>
      <c r="J57" t="str">
        <v>06:19:07</v>
      </c>
      <c r="K57">
        <v>-12.278098</v>
      </c>
      <c r="L57">
        <v>-76.886826</v>
      </c>
      <c r="M57">
        <f>HYPERLINK("https://www.google.com/maps/search/?api=1&amp;query=-12.278098,-76.886826","Carretera Panamericana Sur, Lurín, Lima")</f>
      </c>
      <c r="N57" t="str">
        <v>Aceleración brusca</v>
      </c>
      <c r="O57">
        <v>664.6</v>
      </c>
      <c r="P57" t="str">
        <v/>
      </c>
      <c r="Q57">
        <v>71.8</v>
      </c>
      <c r="R57">
        <v>25.1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v>85</v>
      </c>
      <c r="AA57" t="str">
        <v>17/09/2026</v>
      </c>
      <c r="AB57" t="str">
        <v>06:19:07</v>
      </c>
      <c r="AC57">
        <f>IF("ONLINE"="NOGPS","GPS Antiguo","En línea")</f>
      </c>
      <c r="AD57">
        <f>IF(0=0,"Sin atender", IF(0=1,"Atendida","Atendida y Reportada"))</f>
      </c>
      <c r="AE57" t="str">
        <v/>
      </c>
      <c r="AF57" t="str">
        <v/>
      </c>
      <c r="AG57" t="str">
        <v/>
      </c>
      <c r="AH57" t="str">
        <v/>
      </c>
      <c r="AI57" t="str">
        <v>17/09/2026 06:19:16</v>
      </c>
      <c r="AJ57" t="str">
        <v>06:19:16</v>
      </c>
      <c r="AK57" t="str">
        <v/>
      </c>
    </row>
    <row r="58">
      <c r="A58">
        <v>57</v>
      </c>
      <c r="B58" t="str">
        <v>MASS BSF</v>
      </c>
      <c r="C58" t="str">
        <v>F8R-810</v>
      </c>
      <c r="D58" t="str">
        <v>F8R-810</v>
      </c>
      <c r="E58" t="str">
        <v>867806078868827</v>
      </c>
      <c r="F58" t="str">
        <v>TBD</v>
      </c>
      <c r="G58" t="str">
        <v/>
      </c>
      <c r="H58" t="str">
        <v/>
      </c>
      <c r="I58" t="str">
        <v>17/09/2026</v>
      </c>
      <c r="J58" t="str">
        <v>06:19:51</v>
      </c>
      <c r="K58">
        <v>-12.281952</v>
      </c>
      <c r="L58">
        <v>-76.88068</v>
      </c>
      <c r="M58">
        <f>HYPERLINK("https://www.google.com/maps/search/?api=1&amp;query=-12.281952,-76.88068","Carretera Panamericana Sur, Lurín, Lima")</f>
      </c>
      <c r="N58" t="str">
        <v>Acelerado y giro brusco</v>
      </c>
      <c r="O58">
        <v>665.4</v>
      </c>
      <c r="P58" t="str">
        <v/>
      </c>
      <c r="Q58">
        <v>54.6</v>
      </c>
      <c r="R58">
        <v>25.1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v>85</v>
      </c>
      <c r="AA58" t="str">
        <v>17/09/2026</v>
      </c>
      <c r="AB58" t="str">
        <v>06:19:50</v>
      </c>
      <c r="AC58">
        <f>IF("ONLINE"="NOGPS","GPS Antiguo","En línea")</f>
      </c>
      <c r="AD58">
        <f>IF(0=0,"Sin atender", IF(0=1,"Atendida","Atendida y Reportada"))</f>
      </c>
      <c r="AE58" t="str">
        <v/>
      </c>
      <c r="AF58" t="str">
        <v/>
      </c>
      <c r="AG58" t="str">
        <v/>
      </c>
      <c r="AH58" t="str">
        <v/>
      </c>
      <c r="AI58" t="str">
        <v>17/09/2026 06:20:09</v>
      </c>
      <c r="AJ58" t="str">
        <v>06:20:09</v>
      </c>
      <c r="AK58" t="str">
        <v/>
      </c>
    </row>
    <row r="59">
      <c r="A59">
        <v>58</v>
      </c>
      <c r="B59" t="str">
        <v>MASS BSF</v>
      </c>
      <c r="C59" t="str">
        <v>F8R-810</v>
      </c>
      <c r="D59" t="str">
        <v>F8R-810</v>
      </c>
      <c r="E59" t="str">
        <v>867806078868827</v>
      </c>
      <c r="F59" t="str">
        <v>TBD</v>
      </c>
      <c r="G59" t="str">
        <v/>
      </c>
      <c r="H59" t="str">
        <v/>
      </c>
      <c r="I59" t="str">
        <v>17/09/2026</v>
      </c>
      <c r="J59" t="str">
        <v>06:19:59</v>
      </c>
      <c r="K59">
        <v>-12.282595</v>
      </c>
      <c r="L59">
        <v>-76.87976</v>
      </c>
      <c r="M59">
        <f>HYPERLINK("https://www.google.com/maps/search/?api=1&amp;query=-12.282595,-76.87976","Carretera Panamericana Sur, Lurín, Lima")</f>
      </c>
      <c r="N59" t="str">
        <v>Acelerado y giro brusco</v>
      </c>
      <c r="O59">
        <v>665.5</v>
      </c>
      <c r="P59" t="str">
        <v/>
      </c>
      <c r="Q59">
        <v>45.7</v>
      </c>
      <c r="R59">
        <v>25.1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v>85</v>
      </c>
      <c r="AA59" t="str">
        <v>17/09/2026</v>
      </c>
      <c r="AB59" t="str">
        <v>06:19:59</v>
      </c>
      <c r="AC59">
        <f>IF("ONLINE"="NOGPS","GPS Antiguo","En línea")</f>
      </c>
      <c r="AD59">
        <f>IF(0=0,"Sin atender", IF(0=1,"Atendida","Atendida y Reportada"))</f>
      </c>
      <c r="AE59" t="str">
        <v/>
      </c>
      <c r="AF59" t="str">
        <v/>
      </c>
      <c r="AG59" t="str">
        <v/>
      </c>
      <c r="AH59" t="str">
        <v/>
      </c>
      <c r="AI59" t="str">
        <v>17/09/2026 06:20:05</v>
      </c>
      <c r="AJ59" t="str">
        <v>06:20:05</v>
      </c>
      <c r="AK59" t="str">
        <v/>
      </c>
    </row>
    <row r="60">
      <c r="A60">
        <v>59</v>
      </c>
      <c r="B60" t="str">
        <v>MASS BSF</v>
      </c>
      <c r="C60" t="str">
        <v>F8R-810</v>
      </c>
      <c r="D60" t="str">
        <v>F8R-810</v>
      </c>
      <c r="E60" t="str">
        <v>867806078868827</v>
      </c>
      <c r="F60" t="str">
        <v>TBD</v>
      </c>
      <c r="G60" t="str">
        <v/>
      </c>
      <c r="H60" t="str">
        <v/>
      </c>
      <c r="I60" t="str">
        <v>17/09/2026</v>
      </c>
      <c r="J60" t="str">
        <v>06:20:28</v>
      </c>
      <c r="K60">
        <v>-12.284518</v>
      </c>
      <c r="L60">
        <v>-76.8795</v>
      </c>
      <c r="M60">
        <f>HYPERLINK("https://www.google.com/maps/search/?api=1&amp;query=-12.284518,-76.8795","Avenida San Pedro, Lurín, Lima")</f>
      </c>
      <c r="N60" t="str">
        <v>Acelerado y giro brusco</v>
      </c>
      <c r="O60">
        <v>665.8</v>
      </c>
      <c r="P60" t="str">
        <v/>
      </c>
      <c r="Q60">
        <v>27.5</v>
      </c>
      <c r="R60">
        <v>25.1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v>92</v>
      </c>
      <c r="AA60" t="str">
        <v>17/09/2026</v>
      </c>
      <c r="AB60" t="str">
        <v>06:20:28</v>
      </c>
      <c r="AC60">
        <f>IF("ONLINE"="NOGPS","GPS Antiguo","En línea")</f>
      </c>
      <c r="AD60">
        <f>IF(0=0,"Sin atender", IF(0=1,"Atendida","Atendida y Reportada"))</f>
      </c>
      <c r="AE60" t="str">
        <v/>
      </c>
      <c r="AF60" t="str">
        <v/>
      </c>
      <c r="AG60" t="str">
        <v/>
      </c>
      <c r="AH60" t="str">
        <v/>
      </c>
      <c r="AI60" t="str">
        <v>17/09/2026 06:21:08</v>
      </c>
      <c r="AJ60" t="str">
        <v>06:21:08</v>
      </c>
      <c r="AK60" t="str">
        <v/>
      </c>
    </row>
    <row r="61">
      <c r="A61">
        <v>60</v>
      </c>
      <c r="B61" t="str">
        <v>MASS BSF</v>
      </c>
      <c r="C61" t="str">
        <v>F8R-810</v>
      </c>
      <c r="D61" t="str">
        <v>F8R-810</v>
      </c>
      <c r="E61" t="str">
        <v>867806078868827</v>
      </c>
      <c r="F61" t="str">
        <v>TBD</v>
      </c>
      <c r="G61" t="str">
        <v/>
      </c>
      <c r="H61" t="str">
        <v/>
      </c>
      <c r="I61" t="str">
        <v>17/09/2026</v>
      </c>
      <c r="J61" t="str">
        <v>06:20:28</v>
      </c>
      <c r="K61">
        <v>-12.284518</v>
      </c>
      <c r="L61">
        <v>-76.8795</v>
      </c>
      <c r="M61">
        <f>HYPERLINK("https://www.google.com/maps/search/?api=1&amp;query=-12.284518,-76.8795","Avenida San Pedro, Lurín, Lima")</f>
      </c>
      <c r="N61" t="str">
        <v>Acelerado y giro brusco</v>
      </c>
      <c r="O61">
        <v>665.8</v>
      </c>
      <c r="P61" t="str">
        <v/>
      </c>
      <c r="Q61">
        <v>27.5</v>
      </c>
      <c r="R61">
        <v>25.1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v>92</v>
      </c>
      <c r="AA61" t="str">
        <v>17/09/2026</v>
      </c>
      <c r="AB61" t="str">
        <v>06:20:28</v>
      </c>
      <c r="AC61">
        <f>IF("ONLINE"="NOGPS","GPS Antiguo","En línea")</f>
      </c>
      <c r="AD61">
        <f>IF(0=0,"Sin atender", IF(0=1,"Atendida","Atendida y Reportada"))</f>
      </c>
      <c r="AE61" t="str">
        <v/>
      </c>
      <c r="AF61" t="str">
        <v/>
      </c>
      <c r="AG61" t="str">
        <v/>
      </c>
      <c r="AH61" t="str">
        <v/>
      </c>
      <c r="AI61" t="str">
        <v>17/09/2026 06:21:03</v>
      </c>
      <c r="AJ61" t="str">
        <v>06:21:03</v>
      </c>
      <c r="AK61" t="str">
        <v/>
      </c>
    </row>
    <row r="62">
      <c r="A62">
        <v>61</v>
      </c>
      <c r="B62" t="str">
        <v>MASS BSF</v>
      </c>
      <c r="C62" t="str">
        <v>F8R-810</v>
      </c>
      <c r="D62" t="str">
        <v>F8R-810</v>
      </c>
      <c r="E62" t="str">
        <v>867806078868827</v>
      </c>
      <c r="F62" t="str">
        <v>TBD</v>
      </c>
      <c r="G62" t="str">
        <v/>
      </c>
      <c r="H62" t="str">
        <v/>
      </c>
      <c r="I62" t="str">
        <v>17/09/2026</v>
      </c>
      <c r="J62" t="str">
        <v>06:20:40</v>
      </c>
      <c r="K62">
        <v>-12.285015</v>
      </c>
      <c r="L62">
        <v>-76.879776</v>
      </c>
      <c r="M62">
        <f>HYPERLINK("https://www.google.com/maps/search/?api=1&amp;query=-12.285015,-76.879776","Lurín, Lima")</f>
      </c>
      <c r="N62" t="str">
        <v>Acelerado y giro brusco</v>
      </c>
      <c r="O62">
        <v>665.9</v>
      </c>
      <c r="P62" t="str">
        <v/>
      </c>
      <c r="Q62">
        <v>21.6</v>
      </c>
      <c r="R62">
        <v>25.1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v>92</v>
      </c>
      <c r="AA62" t="str">
        <v>17/09/2026</v>
      </c>
      <c r="AB62" t="str">
        <v>06:20:40</v>
      </c>
      <c r="AC62">
        <f>IF("ONLINE"="NOGPS","GPS Antiguo","En línea")</f>
      </c>
      <c r="AD62">
        <f>IF(0=0,"Sin atender", IF(0=1,"Atendida","Atendida y Reportada"))</f>
      </c>
      <c r="AE62" t="str">
        <v/>
      </c>
      <c r="AF62" t="str">
        <v/>
      </c>
      <c r="AG62" t="str">
        <v/>
      </c>
      <c r="AH62" t="str">
        <v/>
      </c>
      <c r="AI62" t="str">
        <v>17/09/2026 06:21:11</v>
      </c>
      <c r="AJ62" t="str">
        <v>06:21:11</v>
      </c>
      <c r="AK62" t="str">
        <v/>
      </c>
    </row>
    <row r="63">
      <c r="A63">
        <v>62</v>
      </c>
      <c r="B63" t="str">
        <v>MASS BSF</v>
      </c>
      <c r="C63" t="str">
        <v>F8R-810</v>
      </c>
      <c r="D63" t="str">
        <v>F8R-810</v>
      </c>
      <c r="E63" t="str">
        <v>867806078868827</v>
      </c>
      <c r="F63" t="str">
        <v>TBD</v>
      </c>
      <c r="G63" t="str">
        <v/>
      </c>
      <c r="H63" t="str">
        <v/>
      </c>
      <c r="I63" t="str">
        <v>17/09/2026</v>
      </c>
      <c r="J63" t="str">
        <v>06:20:48</v>
      </c>
      <c r="K63">
        <v>-12.285283</v>
      </c>
      <c r="L63">
        <v>-76.87966</v>
      </c>
      <c r="M63">
        <f>HYPERLINK("https://www.google.com/maps/search/?api=1&amp;query=-12.285283,-76.87966","Lurín, Lima")</f>
      </c>
      <c r="N63" t="str">
        <v>Giro brusco</v>
      </c>
      <c r="O63">
        <v>665.9</v>
      </c>
      <c r="P63" t="str">
        <v/>
      </c>
      <c r="Q63">
        <v>16.2</v>
      </c>
      <c r="R63">
        <v>25.1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v>92</v>
      </c>
      <c r="AA63" t="str">
        <v>17/09/2026</v>
      </c>
      <c r="AB63" t="str">
        <v>06:20:48</v>
      </c>
      <c r="AC63">
        <f>IF("ONLINE"="NOGPS","GPS Antiguo","En línea")</f>
      </c>
      <c r="AD63">
        <f>IF(0=0,"Sin atender", IF(0=1,"Atendida","Atendida y Reportada"))</f>
      </c>
      <c r="AE63" t="str">
        <v/>
      </c>
      <c r="AF63" t="str">
        <v/>
      </c>
      <c r="AG63" t="str">
        <v/>
      </c>
      <c r="AH63" t="str">
        <v/>
      </c>
      <c r="AI63" t="str">
        <v>17/09/2026 06:21:06</v>
      </c>
      <c r="AJ63" t="str">
        <v>06:21:06</v>
      </c>
      <c r="AK63" t="str">
        <v/>
      </c>
    </row>
    <row r="64">
      <c r="A64">
        <v>63</v>
      </c>
      <c r="B64" t="str">
        <v>MASS BSF</v>
      </c>
      <c r="C64" t="str">
        <v>F8R-810</v>
      </c>
      <c r="D64" t="str">
        <v>F8R-810</v>
      </c>
      <c r="E64" t="str">
        <v>867806078868827</v>
      </c>
      <c r="F64" t="str">
        <v>TBD</v>
      </c>
      <c r="G64" t="str">
        <v/>
      </c>
      <c r="H64" t="str">
        <v/>
      </c>
      <c r="I64" t="str">
        <v>17/09/2026</v>
      </c>
      <c r="J64" t="str">
        <v>06:20:52</v>
      </c>
      <c r="K64">
        <v>-12.285176</v>
      </c>
      <c r="L64">
        <v>-76.87953</v>
      </c>
      <c r="M64">
        <f>HYPERLINK("https://www.google.com/maps/search/?api=1&amp;query=-12.285176,-76.87953","Lurín, Lima")</f>
      </c>
      <c r="N64" t="str">
        <v>Giro brusco</v>
      </c>
      <c r="O64">
        <v>665.9</v>
      </c>
      <c r="P64" t="str">
        <v/>
      </c>
      <c r="Q64">
        <v>19.2</v>
      </c>
      <c r="R64">
        <v>25.1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v>92</v>
      </c>
      <c r="AA64" t="str">
        <v>17/09/2026</v>
      </c>
      <c r="AB64" t="str">
        <v>06:20:52</v>
      </c>
      <c r="AC64">
        <f>IF("ONLINE"="NOGPS","GPS Antiguo","En línea")</f>
      </c>
      <c r="AD64">
        <f>IF(0=0,"Sin atender", IF(0=1,"Atendida","Atendida y Reportada"))</f>
      </c>
      <c r="AE64" t="str">
        <v/>
      </c>
      <c r="AF64" t="str">
        <v/>
      </c>
      <c r="AG64" t="str">
        <v/>
      </c>
      <c r="AH64" t="str">
        <v/>
      </c>
      <c r="AI64" t="str">
        <v>17/09/2026 06:21:17</v>
      </c>
      <c r="AJ64" t="str">
        <v>06:21:17</v>
      </c>
      <c r="AK64" t="str">
        <v/>
      </c>
    </row>
    <row r="65">
      <c r="A65">
        <v>64</v>
      </c>
      <c r="B65" t="str">
        <v>MASS BSF</v>
      </c>
      <c r="C65" t="str">
        <v>F8R-810</v>
      </c>
      <c r="D65" t="str">
        <v>F8R-810</v>
      </c>
      <c r="E65" t="str">
        <v>867806078868827</v>
      </c>
      <c r="F65" t="str">
        <v>TBD</v>
      </c>
      <c r="G65" t="str">
        <v/>
      </c>
      <c r="H65" t="str">
        <v/>
      </c>
      <c r="I65" t="str">
        <v>17/09/2026</v>
      </c>
      <c r="J65" t="str">
        <v>06:21:25</v>
      </c>
      <c r="K65">
        <v>-12.283598</v>
      </c>
      <c r="L65">
        <v>-76.878654</v>
      </c>
      <c r="M65">
        <f>HYPERLINK("https://www.google.com/maps/search/?api=1&amp;query=-12.283598,-76.878654","Avenida San Pedro, Lurín, Lima")</f>
      </c>
      <c r="N65" t="str">
        <v>Acelerado y giro brusco</v>
      </c>
      <c r="O65">
        <v>666.1</v>
      </c>
      <c r="P65" t="str">
        <v/>
      </c>
      <c r="Q65">
        <v>22.2</v>
      </c>
      <c r="R65">
        <v>25.1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v>92</v>
      </c>
      <c r="AA65" t="str">
        <v>17/09/2026</v>
      </c>
      <c r="AB65" t="str">
        <v>06:21:25</v>
      </c>
      <c r="AC65">
        <f>IF("ONLINE"="NOGPS","GPS Antiguo","En línea")</f>
      </c>
      <c r="AD65">
        <f>IF(0=0,"Sin atender", IF(0=1,"Atendida","Atendida y Reportada"))</f>
      </c>
      <c r="AE65" t="str">
        <v/>
      </c>
      <c r="AF65" t="str">
        <v/>
      </c>
      <c r="AG65" t="str">
        <v/>
      </c>
      <c r="AH65" t="str">
        <v/>
      </c>
      <c r="AI65" t="str">
        <v>17/09/2026 06:21:43</v>
      </c>
      <c r="AJ65" t="str">
        <v>06:21:43</v>
      </c>
      <c r="AK65" t="str">
        <v/>
      </c>
    </row>
    <row r="66">
      <c r="A66">
        <v>65</v>
      </c>
      <c r="B66" t="str">
        <v>MASS BSF</v>
      </c>
      <c r="C66" t="str">
        <v>F8R-810</v>
      </c>
      <c r="D66" t="str">
        <v>F8R-810</v>
      </c>
      <c r="E66" t="str">
        <v>867806078868827</v>
      </c>
      <c r="F66" t="str">
        <v>TBD</v>
      </c>
      <c r="G66" t="str">
        <v/>
      </c>
      <c r="H66" t="str">
        <v/>
      </c>
      <c r="I66" t="str">
        <v>17/09/2026</v>
      </c>
      <c r="J66" t="str">
        <v>06:21:40</v>
      </c>
      <c r="K66">
        <v>-12.282845</v>
      </c>
      <c r="L66">
        <v>-76.878174</v>
      </c>
      <c r="M66">
        <f>HYPERLINK("https://www.google.com/maps/search/?api=1&amp;query=-12.282845,-76.878174","Avenida San Pedro, Lurín, Lima")</f>
      </c>
      <c r="N66" t="str">
        <v>Aceleración brusca</v>
      </c>
      <c r="O66">
        <v>666.2</v>
      </c>
      <c r="P66" t="str">
        <v/>
      </c>
      <c r="Q66">
        <v>33.5</v>
      </c>
      <c r="R66">
        <v>25.1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v>92</v>
      </c>
      <c r="AA66" t="str">
        <v>17/09/2026</v>
      </c>
      <c r="AB66" t="str">
        <v>06:21:39</v>
      </c>
      <c r="AC66">
        <f>IF("ONLINE"="NOGPS","GPS Antiguo","En línea")</f>
      </c>
      <c r="AD66">
        <f>IF(0=0,"Sin atender", IF(0=1,"Atendida","Atendida y Reportada"))</f>
      </c>
      <c r="AE66" t="str">
        <v/>
      </c>
      <c r="AF66" t="str">
        <v/>
      </c>
      <c r="AG66" t="str">
        <v/>
      </c>
      <c r="AH66" t="str">
        <v/>
      </c>
      <c r="AI66" t="str">
        <v>17/09/2026 06:22:04</v>
      </c>
      <c r="AJ66" t="str">
        <v>06:22:04</v>
      </c>
      <c r="AK66" t="str">
        <v/>
      </c>
    </row>
    <row r="67">
      <c r="A67">
        <v>66</v>
      </c>
      <c r="B67" t="str">
        <v>MASS BSF</v>
      </c>
      <c r="C67" t="str">
        <v>F8R-810</v>
      </c>
      <c r="D67" t="str">
        <v>F8R-810</v>
      </c>
      <c r="E67" t="str">
        <v>867806078868827</v>
      </c>
      <c r="F67" t="str">
        <v>TBD</v>
      </c>
      <c r="G67" t="str">
        <v/>
      </c>
      <c r="H67" t="str">
        <v/>
      </c>
      <c r="I67" t="str">
        <v>17/09/2026</v>
      </c>
      <c r="J67" t="str">
        <v>06:21:49</v>
      </c>
      <c r="K67">
        <v>-12.282188</v>
      </c>
      <c r="L67">
        <v>-76.87774</v>
      </c>
      <c r="M67">
        <f>HYPERLINK("https://www.google.com/maps/search/?api=1&amp;query=-12.282188,-76.87774","Avenida San Pedro, Lurín, Lima")</f>
      </c>
      <c r="N67" t="str">
        <v>Acelerado y giro brusco</v>
      </c>
      <c r="O67">
        <v>666.3</v>
      </c>
      <c r="P67" t="str">
        <v/>
      </c>
      <c r="Q67">
        <v>23.8</v>
      </c>
      <c r="R67">
        <v>25.1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v>92</v>
      </c>
      <c r="AA67" t="str">
        <v>17/09/2026</v>
      </c>
      <c r="AB67" t="str">
        <v>06:21:49</v>
      </c>
      <c r="AC67">
        <f>IF("ONLINE"="NOGPS","GPS Antiguo","En línea")</f>
      </c>
      <c r="AD67">
        <f>IF(0=0,"Sin atender", IF(0=1,"Atendida","Atendida y Reportada"))</f>
      </c>
      <c r="AE67" t="str">
        <v/>
      </c>
      <c r="AF67" t="str">
        <v/>
      </c>
      <c r="AG67" t="str">
        <v/>
      </c>
      <c r="AH67" t="str">
        <v/>
      </c>
      <c r="AI67" t="str">
        <v>17/09/2026 06:22:05</v>
      </c>
      <c r="AJ67" t="str">
        <v>06:22:05</v>
      </c>
      <c r="AK67" t="str">
        <v/>
      </c>
    </row>
    <row r="68">
      <c r="A68">
        <v>67</v>
      </c>
      <c r="B68" t="str">
        <v>MASS BSF</v>
      </c>
      <c r="C68" t="str">
        <v>F8R-810</v>
      </c>
      <c r="D68" t="str">
        <v>F8R-810</v>
      </c>
      <c r="E68" t="str">
        <v>867806078868827</v>
      </c>
      <c r="F68" t="str">
        <v>TBD</v>
      </c>
      <c r="G68" t="str">
        <v/>
      </c>
      <c r="H68" t="str">
        <v/>
      </c>
      <c r="I68" t="str">
        <v>17/09/2026</v>
      </c>
      <c r="J68" t="str">
        <v>06:22:06</v>
      </c>
      <c r="K68">
        <v>-12.281669</v>
      </c>
      <c r="L68">
        <v>-76.87723</v>
      </c>
      <c r="M68">
        <f>HYPERLINK("https://www.google.com/maps/search/?api=1&amp;query=-12.281669,-76.87723","Lurín, Lima")</f>
      </c>
      <c r="N68" t="str">
        <v>Acelerado y giro brusco</v>
      </c>
      <c r="O68">
        <v>666.4</v>
      </c>
      <c r="P68" t="str">
        <v/>
      </c>
      <c r="Q68">
        <v>17.7</v>
      </c>
      <c r="R68">
        <v>25.1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v>87</v>
      </c>
      <c r="AA68" t="str">
        <v>17/09/2026</v>
      </c>
      <c r="AB68" t="str">
        <v>06:22:06</v>
      </c>
      <c r="AC68">
        <f>IF("ONLINE"="NOGPS","GPS Antiguo","En línea")</f>
      </c>
      <c r="AD68">
        <f>IF(0=0,"Sin atender", IF(0=1,"Atendida","Atendida y Reportada"))</f>
      </c>
      <c r="AE68" t="str">
        <v/>
      </c>
      <c r="AF68" t="str">
        <v/>
      </c>
      <c r="AG68" t="str">
        <v/>
      </c>
      <c r="AH68" t="str">
        <v/>
      </c>
      <c r="AI68" t="str">
        <v>17/09/2026 06:22:29</v>
      </c>
      <c r="AJ68" t="str">
        <v>06:22:29</v>
      </c>
      <c r="AK68" t="str">
        <v/>
      </c>
    </row>
    <row r="69">
      <c r="A69">
        <v>68</v>
      </c>
      <c r="B69" t="str">
        <v>MASS BSF</v>
      </c>
      <c r="C69" t="str">
        <v>F8R-810</v>
      </c>
      <c r="D69" t="str">
        <v>F8R-810</v>
      </c>
      <c r="E69" t="str">
        <v>867806078868827</v>
      </c>
      <c r="F69" t="str">
        <v>TBD</v>
      </c>
      <c r="G69" t="str">
        <v/>
      </c>
      <c r="H69" t="str">
        <v/>
      </c>
      <c r="I69" t="str">
        <v>17/09/2026</v>
      </c>
      <c r="J69" t="str">
        <v>06:22:30</v>
      </c>
      <c r="K69">
        <v>-12.28025</v>
      </c>
      <c r="L69">
        <v>-76.87634</v>
      </c>
      <c r="M69">
        <f>HYPERLINK("https://www.google.com/maps/search/?api=1&amp;query=-12.28025,-76.87634","Avenida San Pedro, Lurín, Lima")</f>
      </c>
      <c r="N69" t="str">
        <v>Aceleración brusca</v>
      </c>
      <c r="O69">
        <v>666.6</v>
      </c>
      <c r="P69" t="str">
        <v/>
      </c>
      <c r="Q69">
        <v>36.8</v>
      </c>
      <c r="R69">
        <v>25.1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v>87</v>
      </c>
      <c r="AA69" t="str">
        <v>17/09/2026</v>
      </c>
      <c r="AB69" t="str">
        <v>06:22:29</v>
      </c>
      <c r="AC69">
        <f>IF("ONLINE"="NOGPS","GPS Antiguo","En línea")</f>
      </c>
      <c r="AD69">
        <f>IF(0=0,"Sin atender", IF(0=1,"Atendida","Atendida y Reportada"))</f>
      </c>
      <c r="AE69" t="str">
        <v/>
      </c>
      <c r="AF69" t="str">
        <v/>
      </c>
      <c r="AG69" t="str">
        <v/>
      </c>
      <c r="AH69" t="str">
        <v/>
      </c>
      <c r="AI69" t="str">
        <v>17/09/2026 06:22:48</v>
      </c>
      <c r="AJ69" t="str">
        <v>06:22:48</v>
      </c>
      <c r="AK69" t="str">
        <v/>
      </c>
    </row>
    <row r="70">
      <c r="A70">
        <v>69</v>
      </c>
      <c r="B70" t="str">
        <v>MASS BSF</v>
      </c>
      <c r="C70" t="str">
        <v>F8R-810</v>
      </c>
      <c r="D70" t="str">
        <v>F8R-810</v>
      </c>
      <c r="E70" t="str">
        <v>867806078868827</v>
      </c>
      <c r="F70" t="str">
        <v>TBD</v>
      </c>
      <c r="G70" t="str">
        <v/>
      </c>
      <c r="H70" t="str">
        <v/>
      </c>
      <c r="I70" t="str">
        <v>17/09/2026</v>
      </c>
      <c r="J70" t="str">
        <v>06:22:48</v>
      </c>
      <c r="K70">
        <v>-12.278608</v>
      </c>
      <c r="L70">
        <v>-76.87534</v>
      </c>
      <c r="M70">
        <f>HYPERLINK("https://www.google.com/maps/search/?api=1&amp;query=-12.278608,-76.87534","Avenida San Pedro, Lurín, Lima")</f>
      </c>
      <c r="N70" t="str">
        <v>Acelerado y giro brusco</v>
      </c>
      <c r="O70">
        <v>666.8</v>
      </c>
      <c r="P70" t="str">
        <v/>
      </c>
      <c r="Q70">
        <v>44.8</v>
      </c>
      <c r="R70">
        <v>25.1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v>87</v>
      </c>
      <c r="AA70" t="str">
        <v>17/09/2026</v>
      </c>
      <c r="AB70" t="str">
        <v>06:22:48</v>
      </c>
      <c r="AC70">
        <f>IF("ONLINE"="NOGPS","GPS Antiguo","En línea")</f>
      </c>
      <c r="AD70">
        <f>IF(0=0,"Sin atender", IF(0=1,"Atendida","Atendida y Reportada"))</f>
      </c>
      <c r="AE70" t="str">
        <v/>
      </c>
      <c r="AF70" t="str">
        <v/>
      </c>
      <c r="AG70" t="str">
        <v/>
      </c>
      <c r="AH70" t="str">
        <v/>
      </c>
      <c r="AI70" t="str">
        <v>17/09/2026 06:22:58</v>
      </c>
      <c r="AJ70" t="str">
        <v>06:22:58</v>
      </c>
      <c r="AK70" t="str">
        <v/>
      </c>
    </row>
    <row r="71">
      <c r="A71">
        <v>70</v>
      </c>
      <c r="B71" t="str">
        <v>MASS BSF</v>
      </c>
      <c r="C71" t="str">
        <v>F8R-810</v>
      </c>
      <c r="D71" t="str">
        <v>F8R-810</v>
      </c>
      <c r="E71" t="str">
        <v>867806078868827</v>
      </c>
      <c r="F71" t="str">
        <v>TBD</v>
      </c>
      <c r="G71" t="str">
        <v/>
      </c>
      <c r="H71" t="str">
        <v/>
      </c>
      <c r="I71" t="str">
        <v>17/09/2026</v>
      </c>
      <c r="J71" t="str">
        <v>06:23:08</v>
      </c>
      <c r="K71">
        <v>-12.276631</v>
      </c>
      <c r="L71">
        <v>-76.87415</v>
      </c>
      <c r="M71">
        <f>HYPERLINK("https://www.google.com/maps/search/?api=1&amp;query=-12.276631,-76.87415","Avenida San Pedro, Lurín, Lima")</f>
      </c>
      <c r="N71" t="str">
        <v>Acelerado y giro brusco</v>
      </c>
      <c r="O71">
        <v>667</v>
      </c>
      <c r="P71" t="str">
        <v/>
      </c>
      <c r="Q71">
        <v>37.2</v>
      </c>
      <c r="R71">
        <v>25.1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>
        <v>87</v>
      </c>
      <c r="AA71" t="str">
        <v>17/09/2026</v>
      </c>
      <c r="AB71" t="str">
        <v>06:23:08</v>
      </c>
      <c r="AC71">
        <f>IF("ONLINE"="NOGPS","GPS Antiguo","En línea")</f>
      </c>
      <c r="AD71">
        <f>IF(0=0,"Sin atender", IF(0=1,"Atendida","Atendida y Reportada"))</f>
      </c>
      <c r="AE71" t="str">
        <v/>
      </c>
      <c r="AF71" t="str">
        <v/>
      </c>
      <c r="AG71" t="str">
        <v/>
      </c>
      <c r="AH71" t="str">
        <v/>
      </c>
      <c r="AI71" t="str">
        <v>17/09/2026 06:23:21</v>
      </c>
      <c r="AJ71" t="str">
        <v>06:23:21</v>
      </c>
      <c r="AK71" t="str">
        <v/>
      </c>
    </row>
    <row r="72">
      <c r="A72">
        <v>71</v>
      </c>
      <c r="B72" t="str">
        <v>MASS BSF</v>
      </c>
      <c r="C72" t="str">
        <v>F8R-810</v>
      </c>
      <c r="D72" t="str">
        <v>F8R-810</v>
      </c>
      <c r="E72" t="str">
        <v>867806078868827</v>
      </c>
      <c r="F72" t="str">
        <v>TBD</v>
      </c>
      <c r="G72" t="str">
        <v/>
      </c>
      <c r="H72" t="str">
        <v/>
      </c>
      <c r="I72" t="str">
        <v>17/09/2026</v>
      </c>
      <c r="J72" t="str">
        <v>06:23:18</v>
      </c>
      <c r="K72">
        <v>-12.276009</v>
      </c>
      <c r="L72">
        <v>-76.87378</v>
      </c>
      <c r="M72">
        <f>HYPERLINK("https://www.google.com/maps/search/?api=1&amp;query=-12.276009,-76.87378","Avenida San Pedro, Lurín, Lima")</f>
      </c>
      <c r="N72" t="str">
        <v>Acelerado y giro brusco</v>
      </c>
      <c r="O72">
        <v>667.1</v>
      </c>
      <c r="P72" t="str">
        <v/>
      </c>
      <c r="Q72">
        <v>31.2</v>
      </c>
      <c r="R72">
        <v>25.1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v>87</v>
      </c>
      <c r="AA72" t="str">
        <v>17/09/2026</v>
      </c>
      <c r="AB72" t="str">
        <v>06:23:18</v>
      </c>
      <c r="AC72">
        <f>IF("ONLINE"="NOGPS","GPS Antiguo","En línea")</f>
      </c>
      <c r="AD72">
        <f>IF(0=0,"Sin atender", IF(0=1,"Atendida","Atendida y Reportada"))</f>
      </c>
      <c r="AE72" t="str">
        <v/>
      </c>
      <c r="AF72" t="str">
        <v/>
      </c>
      <c r="AG72" t="str">
        <v/>
      </c>
      <c r="AH72" t="str">
        <v/>
      </c>
      <c r="AI72" t="str">
        <v>17/09/2026 06:23:46</v>
      </c>
      <c r="AJ72" t="str">
        <v>06:23:46</v>
      </c>
      <c r="AK72" t="str">
        <v/>
      </c>
    </row>
    <row r="73">
      <c r="A73">
        <v>72</v>
      </c>
      <c r="B73" t="str">
        <v>MASS BSF</v>
      </c>
      <c r="C73" t="str">
        <v>F8R-810</v>
      </c>
      <c r="D73" t="str">
        <v>F8R-810</v>
      </c>
      <c r="E73" t="str">
        <v>867806078868827</v>
      </c>
      <c r="F73" t="str">
        <v>TBD</v>
      </c>
      <c r="G73" t="str">
        <v/>
      </c>
      <c r="H73" t="str">
        <v/>
      </c>
      <c r="I73" t="str">
        <v>17/09/2026</v>
      </c>
      <c r="J73" t="str">
        <v>06:24:29</v>
      </c>
      <c r="K73">
        <v>-12.273622</v>
      </c>
      <c r="L73">
        <v>-76.87216</v>
      </c>
      <c r="M73">
        <f>HYPERLINK("https://www.google.com/maps/search/?api=1&amp;query=-12.273622,-76.87216","Avenida San Pedro, Lurín, Lima")</f>
      </c>
      <c r="N73" t="str">
        <v>Acelerado y giro brusco</v>
      </c>
      <c r="O73">
        <v>667.4</v>
      </c>
      <c r="P73" t="str">
        <v/>
      </c>
      <c r="Q73">
        <v>14.8</v>
      </c>
      <c r="R73">
        <v>25.1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>
        <v>88</v>
      </c>
      <c r="AA73" t="str">
        <v>17/09/2026</v>
      </c>
      <c r="AB73" t="str">
        <v>06:24:29</v>
      </c>
      <c r="AC73">
        <f>IF("ONLINE"="NOGPS","GPS Antiguo","En línea")</f>
      </c>
      <c r="AD73">
        <f>IF(0=0,"Sin atender", IF(0=1,"Atendida","Atendida y Reportada"))</f>
      </c>
      <c r="AE73" t="str">
        <v/>
      </c>
      <c r="AF73" t="str">
        <v/>
      </c>
      <c r="AG73" t="str">
        <v/>
      </c>
      <c r="AH73" t="str">
        <v/>
      </c>
      <c r="AI73" t="str">
        <v>17/09/2026 06:24:48</v>
      </c>
      <c r="AJ73" t="str">
        <v>06:24:48</v>
      </c>
      <c r="AK73" t="str">
        <v/>
      </c>
    </row>
    <row r="74">
      <c r="A74">
        <v>73</v>
      </c>
      <c r="B74" t="str">
        <v>MASS BSF</v>
      </c>
      <c r="C74" t="str">
        <v>F8R-810</v>
      </c>
      <c r="D74" t="str">
        <v>F8R-810</v>
      </c>
      <c r="E74" t="str">
        <v>867806078868827</v>
      </c>
      <c r="F74" t="str">
        <v>TBD</v>
      </c>
      <c r="G74" t="str">
        <v/>
      </c>
      <c r="H74" t="str">
        <v/>
      </c>
      <c r="I74" t="str">
        <v>17/09/2026</v>
      </c>
      <c r="J74" t="str">
        <v>06:24:37</v>
      </c>
      <c r="K74">
        <v>-12.273612</v>
      </c>
      <c r="L74">
        <v>-76.87199</v>
      </c>
      <c r="M74">
        <f>HYPERLINK("https://www.google.com/maps/search/?api=1&amp;query=-12.273612,-76.87199","Jirón Ramón Castilla, Lurín, Lima")</f>
      </c>
      <c r="N74" t="str">
        <v>Acelerado y giro brusco</v>
      </c>
      <c r="O74">
        <v>667.4</v>
      </c>
      <c r="P74" t="str">
        <v/>
      </c>
      <c r="Q74">
        <v>14.4</v>
      </c>
      <c r="R74">
        <v>25.1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>
        <v>85</v>
      </c>
      <c r="AA74" t="str">
        <v>17/09/2026</v>
      </c>
      <c r="AB74" t="str">
        <v>06:24:37</v>
      </c>
      <c r="AC74">
        <f>IF("ONLINE"="NOGPS","GPS Antiguo","En línea")</f>
      </c>
      <c r="AD74">
        <f>IF(0=0,"Sin atender", IF(0=1,"Atendida","Atendida y Reportada"))</f>
      </c>
      <c r="AE74" t="str">
        <v/>
      </c>
      <c r="AF74" t="str">
        <v/>
      </c>
      <c r="AG74" t="str">
        <v/>
      </c>
      <c r="AH74" t="str">
        <v/>
      </c>
      <c r="AI74" t="str">
        <v>17/09/2026 06:25:06</v>
      </c>
      <c r="AJ74" t="str">
        <v>06:25:06</v>
      </c>
      <c r="AK74" t="str">
        <v/>
      </c>
    </row>
    <row r="75">
      <c r="A75">
        <v>74</v>
      </c>
      <c r="B75" t="str">
        <v>MASS BSF</v>
      </c>
      <c r="C75" t="str">
        <v>F8R-810</v>
      </c>
      <c r="D75" t="str">
        <v>F8R-810</v>
      </c>
      <c r="E75" t="str">
        <v>867806078868827</v>
      </c>
      <c r="F75" t="str">
        <v>TBD</v>
      </c>
      <c r="G75" t="str">
        <v/>
      </c>
      <c r="H75" t="str">
        <v/>
      </c>
      <c r="I75" t="str">
        <v>17/09/2026</v>
      </c>
      <c r="J75" t="str">
        <v>06:24:41</v>
      </c>
      <c r="K75">
        <v>-12.273702</v>
      </c>
      <c r="L75">
        <v>-76.87192</v>
      </c>
      <c r="M75">
        <f>HYPERLINK("https://www.google.com/maps/search/?api=1&amp;query=-12.273702,-76.87192","Jirón Ramón Castilla, Lurín, Lima")</f>
      </c>
      <c r="N75" t="str">
        <v>Bache</v>
      </c>
      <c r="O75">
        <v>667.5</v>
      </c>
      <c r="P75" t="str">
        <v/>
      </c>
      <c r="Q75">
        <v>7</v>
      </c>
      <c r="R75">
        <v>25.1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>
        <v>85</v>
      </c>
      <c r="AA75" t="str">
        <v>17/09/2026</v>
      </c>
      <c r="AB75" t="str">
        <v>06:24:41</v>
      </c>
      <c r="AC75">
        <f>IF("ONLINE"="NOGPS","GPS Antiguo","En línea")</f>
      </c>
      <c r="AD75">
        <f>IF(0=0,"Sin atender", IF(0=1,"Atendida","Atendida y Reportada"))</f>
      </c>
      <c r="AE75" t="str">
        <v/>
      </c>
      <c r="AF75" t="str">
        <v/>
      </c>
      <c r="AG75" t="str">
        <v/>
      </c>
      <c r="AH75" t="str">
        <v/>
      </c>
      <c r="AI75" t="str">
        <v>17/09/2026 06:24:55</v>
      </c>
      <c r="AJ75" t="str">
        <v>06:24:55</v>
      </c>
      <c r="AK75" t="str">
        <v/>
      </c>
    </row>
    <row r="76">
      <c r="A76">
        <v>75</v>
      </c>
      <c r="B76" t="str">
        <v>MASS BSF</v>
      </c>
      <c r="C76" t="str">
        <v>F8R-810</v>
      </c>
      <c r="D76" t="str">
        <v>F8R-810</v>
      </c>
      <c r="E76" t="str">
        <v>867806078868827</v>
      </c>
      <c r="F76" t="str">
        <v>TBD</v>
      </c>
      <c r="G76" t="str">
        <v/>
      </c>
      <c r="H76" t="str">
        <v/>
      </c>
      <c r="I76" t="str">
        <v>17/09/2026</v>
      </c>
      <c r="J76" t="str">
        <v>06:24:45</v>
      </c>
      <c r="K76">
        <v>-12.273751</v>
      </c>
      <c r="L76">
        <v>-76.871864</v>
      </c>
      <c r="M76">
        <f>HYPERLINK("https://www.google.com/maps/search/?api=1&amp;query=-12.273751,-76.871864","Jirón Ramón Castilla, Lurín, Lima")</f>
      </c>
      <c r="N76" t="str">
        <v>Acelerado y giro brusco</v>
      </c>
      <c r="O76">
        <v>667.5</v>
      </c>
      <c r="P76" t="str">
        <v/>
      </c>
      <c r="Q76">
        <v>13.7</v>
      </c>
      <c r="R76">
        <v>25.1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v>88</v>
      </c>
      <c r="AA76" t="str">
        <v>17/09/2026</v>
      </c>
      <c r="AB76" t="str">
        <v>06:24:44</v>
      </c>
      <c r="AC76">
        <f>IF("ONLINE"="NOGPS","GPS Antiguo","En línea")</f>
      </c>
      <c r="AD76">
        <f>IF(0=0,"Sin atender", IF(0=1,"Atendida","Atendida y Reportada"))</f>
      </c>
      <c r="AE76" t="str">
        <v/>
      </c>
      <c r="AF76" t="str">
        <v/>
      </c>
      <c r="AG76" t="str">
        <v/>
      </c>
      <c r="AH76" t="str">
        <v/>
      </c>
      <c r="AI76" t="str">
        <v>17/09/2026 06:24:57</v>
      </c>
      <c r="AJ76" t="str">
        <v>06:24:57</v>
      </c>
      <c r="AK76" t="str">
        <v/>
      </c>
    </row>
    <row r="77">
      <c r="A77">
        <v>76</v>
      </c>
      <c r="B77" t="str">
        <v>MASS BSF</v>
      </c>
      <c r="C77" t="str">
        <v>F8R-810</v>
      </c>
      <c r="D77" t="str">
        <v>F8R-810</v>
      </c>
      <c r="E77" t="str">
        <v>867806078868827</v>
      </c>
      <c r="F77" t="str">
        <v>TBD</v>
      </c>
      <c r="G77" t="str">
        <v/>
      </c>
      <c r="H77" t="str">
        <v/>
      </c>
      <c r="I77" t="str">
        <v>17/09/2026</v>
      </c>
      <c r="J77" t="str">
        <v>06:24:50</v>
      </c>
      <c r="K77">
        <v>-12.27392</v>
      </c>
      <c r="L77">
        <v>-76.87172</v>
      </c>
      <c r="M77">
        <f>HYPERLINK("https://www.google.com/maps/search/?api=1&amp;query=-12.27392,-76.87172","Jirón Ramón Castilla, Lurín, Lima")</f>
      </c>
      <c r="N77" t="str">
        <v>Acelerado y giro brusco</v>
      </c>
      <c r="O77">
        <v>667.5</v>
      </c>
      <c r="P77" t="str">
        <v/>
      </c>
      <c r="Q77">
        <v>23.1</v>
      </c>
      <c r="R77">
        <v>25.1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>
        <v>85</v>
      </c>
      <c r="AA77" t="str">
        <v>17/09/2026</v>
      </c>
      <c r="AB77" t="str">
        <v>06:24:49</v>
      </c>
      <c r="AC77">
        <f>IF("ONLINE"="NOGPS","GPS Antiguo","En línea")</f>
      </c>
      <c r="AD77">
        <f>IF(0=0,"Sin atender", IF(0=1,"Atendida","Atendida y Reportada"))</f>
      </c>
      <c r="AE77" t="str">
        <v/>
      </c>
      <c r="AF77" t="str">
        <v/>
      </c>
      <c r="AG77" t="str">
        <v/>
      </c>
      <c r="AH77" t="str">
        <v/>
      </c>
      <c r="AI77" t="str">
        <v>17/09/2026 06:25:17</v>
      </c>
      <c r="AJ77" t="str">
        <v>06:25:17</v>
      </c>
      <c r="AK77" t="str">
        <v/>
      </c>
    </row>
    <row r="78">
      <c r="A78">
        <v>77</v>
      </c>
      <c r="B78" t="str">
        <v>MASS BSF</v>
      </c>
      <c r="C78" t="str">
        <v>F8R-810</v>
      </c>
      <c r="D78" t="str">
        <v>F8R-810</v>
      </c>
      <c r="E78" t="str">
        <v>867806078868827</v>
      </c>
      <c r="F78" t="str">
        <v>TBD</v>
      </c>
      <c r="G78" t="str">
        <v/>
      </c>
      <c r="H78" t="str">
        <v/>
      </c>
      <c r="I78" t="str">
        <v>17/09/2026</v>
      </c>
      <c r="J78" t="str">
        <v>06:25:22</v>
      </c>
      <c r="K78">
        <v>-12.275262</v>
      </c>
      <c r="L78">
        <v>-76.87031</v>
      </c>
      <c r="M78">
        <f>HYPERLINK("https://www.google.com/maps/search/?api=1&amp;query=-12.275262,-76.87031","Jirón Ramón Castilla, Lurín, Lima")</f>
      </c>
      <c r="N78" t="str">
        <v>Acelerado y giro brusco</v>
      </c>
      <c r="O78">
        <v>667.7</v>
      </c>
      <c r="P78" t="str">
        <v/>
      </c>
      <c r="Q78">
        <v>22</v>
      </c>
      <c r="R78">
        <v>25.1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>
        <v>85</v>
      </c>
      <c r="AA78" t="str">
        <v>17/09/2026</v>
      </c>
      <c r="AB78" t="str">
        <v>06:25:22</v>
      </c>
      <c r="AC78">
        <f>IF("ONLINE"="NOGPS","GPS Antiguo","En línea")</f>
      </c>
      <c r="AD78">
        <f>IF(0=0,"Sin atender", IF(0=1,"Atendida","Atendida y Reportada"))</f>
      </c>
      <c r="AE78" t="str">
        <v/>
      </c>
      <c r="AF78" t="str">
        <v/>
      </c>
      <c r="AG78" t="str">
        <v/>
      </c>
      <c r="AH78" t="str">
        <v/>
      </c>
      <c r="AI78" t="str">
        <v>17/09/2026 06:25:55</v>
      </c>
      <c r="AJ78" t="str">
        <v>06:25:55</v>
      </c>
      <c r="AK78" t="str">
        <v/>
      </c>
    </row>
    <row r="79">
      <c r="A79">
        <v>78</v>
      </c>
      <c r="B79" t="str">
        <v>MASS BSF</v>
      </c>
      <c r="C79" t="str">
        <v>F8R-810</v>
      </c>
      <c r="D79" t="str">
        <v>F8R-810</v>
      </c>
      <c r="E79" t="str">
        <v>867806078868827</v>
      </c>
      <c r="F79" t="str">
        <v>TBD</v>
      </c>
      <c r="G79" t="str">
        <v/>
      </c>
      <c r="H79" t="str">
        <v/>
      </c>
      <c r="I79" t="str">
        <v>17/09/2026</v>
      </c>
      <c r="J79" t="str">
        <v>06:26:16</v>
      </c>
      <c r="K79">
        <v>-12.276622</v>
      </c>
      <c r="L79">
        <v>-76.86839</v>
      </c>
      <c r="M79">
        <f>HYPERLINK("https://www.google.com/maps/search/?api=1&amp;query=-12.276622,-76.86839","Jirón Ramón Castilla, Lurín, Lima")</f>
      </c>
      <c r="N79" t="str">
        <v>Acelerado y giro brusco</v>
      </c>
      <c r="O79">
        <v>668</v>
      </c>
      <c r="P79" t="str">
        <v/>
      </c>
      <c r="Q79">
        <v>21.8</v>
      </c>
      <c r="R79">
        <v>25.1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>
        <v>90</v>
      </c>
      <c r="AA79" t="str">
        <v>17/09/2026</v>
      </c>
      <c r="AB79" t="str">
        <v>06:26:15</v>
      </c>
      <c r="AC79">
        <f>IF("ONLINE"="NOGPS","GPS Antiguo","En línea")</f>
      </c>
      <c r="AD79">
        <f>IF(0=0,"Sin atender", IF(0=1,"Atendida","Atendida y Reportada"))</f>
      </c>
      <c r="AE79" t="str">
        <v/>
      </c>
      <c r="AF79" t="str">
        <v/>
      </c>
      <c r="AG79" t="str">
        <v/>
      </c>
      <c r="AH79" t="str">
        <v/>
      </c>
      <c r="AI79" t="str">
        <v>17/09/2026 06:26:30</v>
      </c>
      <c r="AJ79" t="str">
        <v>06:26:30</v>
      </c>
      <c r="AK79" t="str">
        <v/>
      </c>
    </row>
    <row r="80">
      <c r="A80">
        <v>79</v>
      </c>
      <c r="B80" t="str">
        <v>MASS BSF</v>
      </c>
      <c r="C80" t="str">
        <v>F8R-810</v>
      </c>
      <c r="D80" t="str">
        <v>F8R-810</v>
      </c>
      <c r="E80" t="str">
        <v>867806078868827</v>
      </c>
      <c r="F80" t="str">
        <v>TBD</v>
      </c>
      <c r="G80" t="str">
        <v/>
      </c>
      <c r="H80" t="str">
        <v/>
      </c>
      <c r="I80" t="str">
        <v>17/09/2026</v>
      </c>
      <c r="J80" t="str">
        <v>06:26:34</v>
      </c>
      <c r="K80">
        <v>-12.27708</v>
      </c>
      <c r="L80">
        <v>-76.8673</v>
      </c>
      <c r="M80">
        <f>HYPERLINK("https://www.google.com/maps/search/?api=1&amp;query=-12.27708,-76.8673","Jirón Ramón Castilla, Lurín, Lima")</f>
      </c>
      <c r="N80" t="str">
        <v>Aceleración brusca</v>
      </c>
      <c r="O80">
        <v>668.1</v>
      </c>
      <c r="P80" t="str">
        <v/>
      </c>
      <c r="Q80">
        <v>30.5</v>
      </c>
      <c r="R80">
        <v>25.1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>
        <v>90</v>
      </c>
      <c r="AA80" t="str">
        <v>17/09/2026</v>
      </c>
      <c r="AB80" t="str">
        <v>06:26:33</v>
      </c>
      <c r="AC80">
        <f>IF("ONLINE"="NOGPS","GPS Antiguo","En línea")</f>
      </c>
      <c r="AD80">
        <f>IF(0=0,"Sin atender", IF(0=1,"Atendida","Atendida y Reportada"))</f>
      </c>
      <c r="AE80" t="str">
        <v/>
      </c>
      <c r="AF80" t="str">
        <v/>
      </c>
      <c r="AG80" t="str">
        <v/>
      </c>
      <c r="AH80" t="str">
        <v/>
      </c>
      <c r="AI80" t="str">
        <v>17/09/2026 06:26:56</v>
      </c>
      <c r="AJ80" t="str">
        <v>06:26:56</v>
      </c>
      <c r="AK80" t="str">
        <v/>
      </c>
    </row>
    <row r="81">
      <c r="A81">
        <v>80</v>
      </c>
      <c r="B81" t="str">
        <v>MASS BSF</v>
      </c>
      <c r="C81" t="str">
        <v>F8R-810</v>
      </c>
      <c r="D81" t="str">
        <v>F8R-810</v>
      </c>
      <c r="E81" t="str">
        <v>867806078868827</v>
      </c>
      <c r="F81" t="str">
        <v>TBD</v>
      </c>
      <c r="G81" t="str">
        <v/>
      </c>
      <c r="H81" t="str">
        <v/>
      </c>
      <c r="I81" t="str">
        <v>17/09/2026</v>
      </c>
      <c r="J81" t="str">
        <v>06:26:39</v>
      </c>
      <c r="K81">
        <v>-12.277237</v>
      </c>
      <c r="L81">
        <v>-76.86705</v>
      </c>
      <c r="M81">
        <f>HYPERLINK("https://www.google.com/maps/search/?api=1&amp;query=-12.277237,-76.86705","Jirón Ramón Castilla, Lurín, Lima")</f>
      </c>
      <c r="N81" t="str">
        <v>Bache</v>
      </c>
      <c r="O81">
        <v>668.1</v>
      </c>
      <c r="P81" t="str">
        <v/>
      </c>
      <c r="Q81">
        <v>12.5</v>
      </c>
      <c r="R81">
        <v>25.1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>
        <v>90</v>
      </c>
      <c r="AA81" t="str">
        <v>17/09/2026</v>
      </c>
      <c r="AB81" t="str">
        <v>06:26:38</v>
      </c>
      <c r="AC81">
        <f>IF("ONLINE"="NOGPS","GPS Antiguo","En línea")</f>
      </c>
      <c r="AD81">
        <f>IF(0=0,"Sin atender", IF(0=1,"Atendida","Atendida y Reportada"))</f>
      </c>
      <c r="AE81" t="str">
        <v/>
      </c>
      <c r="AF81" t="str">
        <v/>
      </c>
      <c r="AG81" t="str">
        <v/>
      </c>
      <c r="AH81" t="str">
        <v/>
      </c>
      <c r="AI81" t="str">
        <v>17/09/2026 06:26:47</v>
      </c>
      <c r="AJ81" t="str">
        <v>06:26:47</v>
      </c>
      <c r="AK81" t="str">
        <v/>
      </c>
    </row>
    <row r="82">
      <c r="A82">
        <v>81</v>
      </c>
      <c r="B82" t="str">
        <v>MASS BSF</v>
      </c>
      <c r="C82" t="str">
        <v>F8R-810</v>
      </c>
      <c r="D82" t="str">
        <v>F8R-810</v>
      </c>
      <c r="E82" t="str">
        <v>867806078868827</v>
      </c>
      <c r="F82" t="str">
        <v>TBD</v>
      </c>
      <c r="G82" t="str">
        <v/>
      </c>
      <c r="H82" t="str">
        <v/>
      </c>
      <c r="I82" t="str">
        <v>17/09/2026</v>
      </c>
      <c r="J82" t="str">
        <v>06:26:42</v>
      </c>
      <c r="K82">
        <v>-12.277318</v>
      </c>
      <c r="L82">
        <v>-76.86694</v>
      </c>
      <c r="M82">
        <f>HYPERLINK("https://www.google.com/maps/search/?api=1&amp;query=-12.277318,-76.86694","Jirón Ramón Castilla, Lurín, Lima")</f>
      </c>
      <c r="N82" t="str">
        <v>Acelerado y giro brusco</v>
      </c>
      <c r="O82">
        <v>668.1</v>
      </c>
      <c r="P82" t="str">
        <v/>
      </c>
      <c r="Q82">
        <v>13.1</v>
      </c>
      <c r="R82">
        <v>25.1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>
        <v>85</v>
      </c>
      <c r="AA82" t="str">
        <v>17/09/2026</v>
      </c>
      <c r="AB82" t="str">
        <v>06:26:42</v>
      </c>
      <c r="AC82">
        <f>IF("ONLINE"="NOGPS","GPS Antiguo","En línea")</f>
      </c>
      <c r="AD82">
        <f>IF(0=0,"Sin atender", IF(0=1,"Atendida","Atendida y Reportada"))</f>
      </c>
      <c r="AE82" t="str">
        <v/>
      </c>
      <c r="AF82" t="str">
        <v/>
      </c>
      <c r="AG82" t="str">
        <v/>
      </c>
      <c r="AH82" t="str">
        <v/>
      </c>
      <c r="AI82" t="str">
        <v>17/09/2026 06:27:03</v>
      </c>
      <c r="AJ82" t="str">
        <v>06:27:03</v>
      </c>
      <c r="AK82" t="str">
        <v/>
      </c>
    </row>
    <row r="83">
      <c r="A83">
        <v>82</v>
      </c>
      <c r="B83" t="str">
        <v>MASS BSF</v>
      </c>
      <c r="C83" t="str">
        <v>F8R-810</v>
      </c>
      <c r="D83" t="str">
        <v>F8R-810</v>
      </c>
      <c r="E83" t="str">
        <v>867806078868827</v>
      </c>
      <c r="F83" t="str">
        <v>TBD</v>
      </c>
      <c r="G83" t="str">
        <v/>
      </c>
      <c r="H83" t="str">
        <v/>
      </c>
      <c r="I83" t="str">
        <v>17/09/2026</v>
      </c>
      <c r="J83" t="str">
        <v>06:26:59</v>
      </c>
      <c r="K83">
        <v>-12.27783</v>
      </c>
      <c r="L83">
        <v>-76.86726</v>
      </c>
      <c r="M83">
        <f>HYPERLINK("https://www.google.com/maps/search/?api=1&amp;query=-12.27783,-76.86726","Calle A, Lurín, Lima")</f>
      </c>
      <c r="N83" t="str">
        <v>Acelerado y giro brusco</v>
      </c>
      <c r="O83">
        <v>668.2</v>
      </c>
      <c r="P83" t="str">
        <v/>
      </c>
      <c r="Q83">
        <v>12</v>
      </c>
      <c r="R83">
        <v>25.1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>
        <v>88</v>
      </c>
      <c r="AA83" t="str">
        <v>17/09/2026</v>
      </c>
      <c r="AB83" t="str">
        <v>06:26:58</v>
      </c>
      <c r="AC83">
        <f>IF("ONLINE"="NOGPS","GPS Antiguo","En línea")</f>
      </c>
      <c r="AD83">
        <f>IF(0=0,"Sin atender", IF(0=1,"Atendida","Atendida y Reportada"))</f>
      </c>
      <c r="AE83" t="str">
        <v/>
      </c>
      <c r="AF83" t="str">
        <v/>
      </c>
      <c r="AG83" t="str">
        <v/>
      </c>
      <c r="AH83" t="str">
        <v/>
      </c>
      <c r="AI83" t="str">
        <v>17/09/2026 06:27:24</v>
      </c>
      <c r="AJ83" t="str">
        <v>06:27:24</v>
      </c>
      <c r="AK83" t="str">
        <v/>
      </c>
    </row>
    <row r="84">
      <c r="A84">
        <v>83</v>
      </c>
      <c r="B84" t="str">
        <v>MASS BSF</v>
      </c>
      <c r="C84" t="str">
        <v>F8R-810</v>
      </c>
      <c r="D84" t="str">
        <v>F8R-810</v>
      </c>
      <c r="E84" t="str">
        <v>867806078868827</v>
      </c>
      <c r="F84" t="str">
        <v>TBD</v>
      </c>
      <c r="G84" t="str">
        <v/>
      </c>
      <c r="H84" t="str">
        <v/>
      </c>
      <c r="I84" t="str">
        <v>17/09/2026</v>
      </c>
      <c r="J84" t="str">
        <v>06:27:23</v>
      </c>
      <c r="K84">
        <v>-12.277435</v>
      </c>
      <c r="L84">
        <v>-76.86697</v>
      </c>
      <c r="M84">
        <f>HYPERLINK("https://www.google.com/maps/search/?api=1&amp;query=-12.277435,-76.86697","Calle 6, Lurín, Lima")</f>
      </c>
      <c r="N84" t="str">
        <v>Acelerado y giro brusco</v>
      </c>
      <c r="O84">
        <v>668.3</v>
      </c>
      <c r="P84" t="str">
        <v/>
      </c>
      <c r="Q84">
        <v>17</v>
      </c>
      <c r="R84">
        <v>25.1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>
        <v>88</v>
      </c>
      <c r="AA84" t="str">
        <v>17/09/2026</v>
      </c>
      <c r="AB84" t="str">
        <v>06:27:23</v>
      </c>
      <c r="AC84">
        <f>IF("ONLINE"="NOGPS","GPS Antiguo","En línea")</f>
      </c>
      <c r="AD84">
        <f>IF(0=0,"Sin atender", IF(0=1,"Atendida","Atendida y Reportada"))</f>
      </c>
      <c r="AE84" t="str">
        <v/>
      </c>
      <c r="AF84" t="str">
        <v/>
      </c>
      <c r="AG84" t="str">
        <v/>
      </c>
      <c r="AH84" t="str">
        <v/>
      </c>
      <c r="AI84" t="str">
        <v>17/09/2026 06:27:34</v>
      </c>
      <c r="AJ84" t="str">
        <v>06:27:34</v>
      </c>
      <c r="AK84" t="str">
        <v/>
      </c>
    </row>
    <row r="85">
      <c r="A85">
        <v>84</v>
      </c>
      <c r="B85" t="str">
        <v>MASS BSF</v>
      </c>
      <c r="C85" t="str">
        <v>F8R-810</v>
      </c>
      <c r="D85" t="str">
        <v>F8R-810</v>
      </c>
      <c r="E85" t="str">
        <v>867806078868827</v>
      </c>
      <c r="F85" t="str">
        <v>TBD</v>
      </c>
      <c r="G85" t="str">
        <v/>
      </c>
      <c r="H85" t="str">
        <v/>
      </c>
      <c r="I85" t="str">
        <v>17/09/2026</v>
      </c>
      <c r="J85" t="str">
        <v>06:27:31</v>
      </c>
      <c r="K85">
        <v>-12.277217</v>
      </c>
      <c r="L85">
        <v>-76.867035</v>
      </c>
      <c r="M85">
        <f>HYPERLINK("https://www.google.com/maps/search/?api=1&amp;query=-12.277217,-76.867035","Jirón Ramón Castilla, Lurín, Lima")</f>
      </c>
      <c r="N85" t="str">
        <v>Acelerado y giro brusco</v>
      </c>
      <c r="O85">
        <v>668.3</v>
      </c>
      <c r="P85" t="str">
        <v/>
      </c>
      <c r="Q85">
        <v>16.2</v>
      </c>
      <c r="R85">
        <v>25.1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>
        <v>88</v>
      </c>
      <c r="AA85" t="str">
        <v>17/09/2026</v>
      </c>
      <c r="AB85" t="str">
        <v>06:27:31</v>
      </c>
      <c r="AC85">
        <f>IF("ONLINE"="NOGPS","GPS Antiguo","En línea")</f>
      </c>
      <c r="AD85">
        <f>IF(0=0,"Sin atender", IF(0=1,"Atendida","Atendida y Reportada"))</f>
      </c>
      <c r="AE85" t="str">
        <v/>
      </c>
      <c r="AF85" t="str">
        <v/>
      </c>
      <c r="AG85" t="str">
        <v/>
      </c>
      <c r="AH85" t="str">
        <v/>
      </c>
      <c r="AI85" t="str">
        <v>17/09/2026 06:27:50</v>
      </c>
      <c r="AJ85" t="str">
        <v>06:27:50</v>
      </c>
      <c r="AK85" t="str">
        <v/>
      </c>
    </row>
    <row r="86">
      <c r="A86">
        <v>85</v>
      </c>
      <c r="B86" t="str">
        <v>MASS BSF</v>
      </c>
      <c r="C86" t="str">
        <v>F8R-810</v>
      </c>
      <c r="D86" t="str">
        <v>F8R-810</v>
      </c>
      <c r="E86" t="str">
        <v>867806078868827</v>
      </c>
      <c r="F86" t="str">
        <v>TBD</v>
      </c>
      <c r="G86" t="str">
        <v/>
      </c>
      <c r="H86" t="str">
        <v/>
      </c>
      <c r="I86" t="str">
        <v>17/09/2026</v>
      </c>
      <c r="J86" t="str">
        <v>06:27:56</v>
      </c>
      <c r="K86">
        <v>-12.276711</v>
      </c>
      <c r="L86">
        <v>-76.86808</v>
      </c>
      <c r="M86">
        <f>HYPERLINK("https://www.google.com/maps/search/?api=1&amp;query=-12.276711,-76.86808","Jirón Ramón Castilla, Lurín, Lima")</f>
      </c>
      <c r="N86" t="str">
        <v>Acelerado y giro brusco</v>
      </c>
      <c r="O86">
        <v>668.4</v>
      </c>
      <c r="P86" t="str">
        <v/>
      </c>
      <c r="Q86">
        <v>23.7</v>
      </c>
      <c r="R86">
        <v>25.1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>
        <v>88</v>
      </c>
      <c r="AA86" t="str">
        <v>17/09/2026</v>
      </c>
      <c r="AB86" t="str">
        <v>06:27:55</v>
      </c>
      <c r="AC86">
        <f>IF("ONLINE"="NOGPS","GPS Antiguo","En línea")</f>
      </c>
      <c r="AD86">
        <f>IF(0=0,"Sin atender", IF(0=1,"Atendida","Atendida y Reportada"))</f>
      </c>
      <c r="AE86" t="str">
        <v/>
      </c>
      <c r="AF86" t="str">
        <v/>
      </c>
      <c r="AG86" t="str">
        <v/>
      </c>
      <c r="AH86" t="str">
        <v/>
      </c>
      <c r="AI86" t="str">
        <v>17/09/2026 06:28:14</v>
      </c>
      <c r="AJ86" t="str">
        <v>06:28:14</v>
      </c>
      <c r="AK86" t="str">
        <v/>
      </c>
    </row>
    <row r="87">
      <c r="A87">
        <v>86</v>
      </c>
      <c r="B87" t="str">
        <v>MASS BSF</v>
      </c>
      <c r="C87" t="str">
        <v>F8R-810</v>
      </c>
      <c r="D87" t="str">
        <v>F8R-810</v>
      </c>
      <c r="E87" t="str">
        <v>867806078868827</v>
      </c>
      <c r="F87" t="str">
        <v>TBD</v>
      </c>
      <c r="G87" t="str">
        <v/>
      </c>
      <c r="H87" t="str">
        <v/>
      </c>
      <c r="I87" t="str">
        <v>17/09/2026</v>
      </c>
      <c r="J87" t="str">
        <v>06:28:07</v>
      </c>
      <c r="K87">
        <v>-12.276578</v>
      </c>
      <c r="L87">
        <v>-76.8685</v>
      </c>
      <c r="M87">
        <f>HYPERLINK("https://www.google.com/maps/search/?api=1&amp;query=-12.276578,-76.8685","Jirón Ramón Castilla, Lurín, Lima")</f>
      </c>
      <c r="N87" t="str">
        <v>Acelerado y giro brusco</v>
      </c>
      <c r="O87">
        <v>668.5</v>
      </c>
      <c r="P87" t="str">
        <v/>
      </c>
      <c r="Q87">
        <v>6.6</v>
      </c>
      <c r="R87">
        <v>25.1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>
        <v>88</v>
      </c>
      <c r="AA87" t="str">
        <v>17/09/2026</v>
      </c>
      <c r="AB87" t="str">
        <v>06:28:07</v>
      </c>
      <c r="AC87">
        <f>IF("ONLINE"="NOGPS","GPS Antiguo","En línea")</f>
      </c>
      <c r="AD87">
        <f>IF(0=0,"Sin atender", IF(0=1,"Atendida","Atendida y Reportada"))</f>
      </c>
      <c r="AE87" t="str">
        <v/>
      </c>
      <c r="AF87" t="str">
        <v/>
      </c>
      <c r="AG87" t="str">
        <v/>
      </c>
      <c r="AH87" t="str">
        <v/>
      </c>
      <c r="AI87" t="str">
        <v>17/09/2026 06:28:16</v>
      </c>
      <c r="AJ87" t="str">
        <v>06:28:16</v>
      </c>
      <c r="AK87" t="str">
        <v/>
      </c>
    </row>
    <row r="88">
      <c r="A88">
        <v>87</v>
      </c>
      <c r="B88" t="str">
        <v>MASS BSF</v>
      </c>
      <c r="C88" t="str">
        <v>F8R-810</v>
      </c>
      <c r="D88" t="str">
        <v>F8R-810</v>
      </c>
      <c r="E88" t="str">
        <v>867806078868827</v>
      </c>
      <c r="F88" t="str">
        <v>TBD</v>
      </c>
      <c r="G88" t="str">
        <v/>
      </c>
      <c r="H88" t="str">
        <v/>
      </c>
      <c r="I88" t="str">
        <v>17/09/2026</v>
      </c>
      <c r="J88" t="str">
        <v>06:32:33</v>
      </c>
      <c r="K88">
        <v>-12.276372</v>
      </c>
      <c r="L88">
        <v>-76.869125</v>
      </c>
      <c r="M88">
        <f>HYPERLINK("https://www.google.com/maps/search/?api=1&amp;query=-12.276372,-76.869125","Jirón Ramón Castilla, Lurín, Lima")</f>
      </c>
      <c r="N88" t="str">
        <v>Aceleración brusca</v>
      </c>
      <c r="O88">
        <v>668.5</v>
      </c>
      <c r="P88" t="str">
        <v/>
      </c>
      <c r="Q88">
        <v>0</v>
      </c>
      <c r="R88">
        <v>25.1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>
        <v>89</v>
      </c>
      <c r="AA88" t="str">
        <v>17/09/2026</v>
      </c>
      <c r="AB88" t="str">
        <v>06:32:33</v>
      </c>
      <c r="AC88">
        <f>IF("ONLINE"="NOGPS","GPS Antiguo","En línea")</f>
      </c>
      <c r="AD88">
        <f>IF(0=0,"Sin atender", IF(0=1,"Atendida","Atendida y Reportada"))</f>
      </c>
      <c r="AE88" t="str">
        <v/>
      </c>
      <c r="AF88" t="str">
        <v/>
      </c>
      <c r="AG88" t="str">
        <v/>
      </c>
      <c r="AH88" t="str">
        <v/>
      </c>
      <c r="AI88" t="str">
        <v>17/09/2026 06:32:44</v>
      </c>
      <c r="AJ88" t="str">
        <v>06:32:44</v>
      </c>
      <c r="AK88" t="str">
        <v/>
      </c>
    </row>
    <row r="89">
      <c r="A89">
        <v>88</v>
      </c>
      <c r="B89" t="str">
        <v>MASS BSF</v>
      </c>
      <c r="C89" t="str">
        <v>F8R-810</v>
      </c>
      <c r="D89" t="str">
        <v>F8R-810</v>
      </c>
      <c r="E89" t="str">
        <v>867806078868827</v>
      </c>
      <c r="F89" t="str">
        <v>TBD</v>
      </c>
      <c r="G89" t="str">
        <v/>
      </c>
      <c r="H89" t="str">
        <v/>
      </c>
      <c r="I89" t="str">
        <v>17/09/2026</v>
      </c>
      <c r="J89" t="str">
        <v>06:32:38</v>
      </c>
      <c r="K89">
        <v>-12.276315</v>
      </c>
      <c r="L89">
        <v>-76.86919</v>
      </c>
      <c r="M89">
        <f>HYPERLINK("https://www.google.com/maps/search/?api=1&amp;query=-12.276315,-76.86919","Jirón Ramón Castilla, Lurín, Lima")</f>
      </c>
      <c r="N89" t="str">
        <v>Aceleración brusca</v>
      </c>
      <c r="O89">
        <v>668.6</v>
      </c>
      <c r="P89" t="str">
        <v/>
      </c>
      <c r="Q89">
        <v>7</v>
      </c>
      <c r="R89">
        <v>25.1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>
        <v>89</v>
      </c>
      <c r="AA89" t="str">
        <v>17/09/2026</v>
      </c>
      <c r="AB89" t="str">
        <v>06:32:38</v>
      </c>
      <c r="AC89">
        <f>IF("ONLINE"="NOGPS","GPS Antiguo","En línea")</f>
      </c>
      <c r="AD89">
        <f>IF(0=0,"Sin atender", IF(0=1,"Atendida","Atendida y Reportada"))</f>
      </c>
      <c r="AE89" t="str">
        <v/>
      </c>
      <c r="AF89" t="str">
        <v/>
      </c>
      <c r="AG89" t="str">
        <v/>
      </c>
      <c r="AH89" t="str">
        <v/>
      </c>
      <c r="AI89" t="str">
        <v>17/09/2026 06:32:55</v>
      </c>
      <c r="AJ89" t="str">
        <v>06:32:55</v>
      </c>
      <c r="AK89" t="str">
        <v/>
      </c>
    </row>
    <row r="90">
      <c r="A90">
        <v>89</v>
      </c>
      <c r="B90" t="str">
        <v>MASS BSF</v>
      </c>
      <c r="C90" t="str">
        <v>F8R-810</v>
      </c>
      <c r="D90" t="str">
        <v>F8R-810</v>
      </c>
      <c r="E90" t="str">
        <v>867806078868827</v>
      </c>
      <c r="F90" t="str">
        <v>TBD</v>
      </c>
      <c r="G90" t="str">
        <v/>
      </c>
      <c r="H90" t="str">
        <v/>
      </c>
      <c r="I90" t="str">
        <v>17/09/2026</v>
      </c>
      <c r="J90" t="str">
        <v>06:32:51</v>
      </c>
      <c r="K90">
        <v>-12.276183</v>
      </c>
      <c r="L90">
        <v>-76.86931</v>
      </c>
      <c r="M90">
        <f>HYPERLINK("https://www.google.com/maps/search/?api=1&amp;query=-12.276183,-76.86931","Jirón Ramón Castilla, Lurín, Lima")</f>
      </c>
      <c r="N90" t="str">
        <v>Vehículo apagado</v>
      </c>
      <c r="O90">
        <v>668.6</v>
      </c>
      <c r="P90" t="str">
        <v/>
      </c>
      <c r="Q90">
        <v>0</v>
      </c>
      <c r="R90">
        <v>25.75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>
        <v>89</v>
      </c>
      <c r="AA90" t="str">
        <v>17/09/2026</v>
      </c>
      <c r="AB90" t="str">
        <v>06:32:51</v>
      </c>
      <c r="AC90">
        <f>IF("ONLINE"="NOGPS","GPS Antiguo","En línea")</f>
      </c>
      <c r="AD90">
        <f>IF(0=0,"Sin atender", IF(0=1,"Atendida","Atendida y Reportada"))</f>
      </c>
      <c r="AE90" t="str">
        <v/>
      </c>
      <c r="AF90" t="str">
        <v/>
      </c>
      <c r="AG90" t="str">
        <v/>
      </c>
      <c r="AH90" t="str">
        <v/>
      </c>
      <c r="AI90" t="str">
        <v>17/09/2026 06:33:04</v>
      </c>
      <c r="AJ90" t="str">
        <v>06:33:04</v>
      </c>
      <c r="AK90" t="str">
        <v/>
      </c>
    </row>
    <row r="91">
      <c r="A91">
        <v>90</v>
      </c>
      <c r="B91" t="str">
        <v>MASS BSF</v>
      </c>
      <c r="C91" t="str">
        <v>F8R-810</v>
      </c>
      <c r="D91" t="str">
        <v>F8R-810</v>
      </c>
      <c r="E91" t="str">
        <v>867806078868827</v>
      </c>
      <c r="F91" t="str">
        <v>TBD</v>
      </c>
      <c r="G91" t="str">
        <v/>
      </c>
      <c r="H91" t="str">
        <v/>
      </c>
      <c r="I91" t="str">
        <v>17/09/2026</v>
      </c>
      <c r="J91" t="str">
        <v>06:39:08</v>
      </c>
      <c r="K91">
        <v>-12.276183</v>
      </c>
      <c r="L91">
        <v>-76.86931</v>
      </c>
      <c r="M91">
        <f>HYPERLINK("https://www.google.com/maps/search/?api=1&amp;query=-12.276183,-76.86931","Jirón Ramón Castilla, Lurín, Lima")</f>
      </c>
      <c r="N91" t="str">
        <v>Vehículo encendido</v>
      </c>
      <c r="O91">
        <v>668.6</v>
      </c>
      <c r="P91" t="str">
        <v/>
      </c>
      <c r="Q91">
        <v>0</v>
      </c>
      <c r="R91">
        <v>25.75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>
        <v>89</v>
      </c>
      <c r="AA91" t="str">
        <v>17/09/2026</v>
      </c>
      <c r="AB91" t="str">
        <v>06:39:07</v>
      </c>
      <c r="AC91">
        <f>IF("ONLINE"="NOGPS","GPS Antiguo","En línea")</f>
      </c>
      <c r="AD91">
        <f>IF(0=0,"Sin atender", IF(0=1,"Atendida","Atendida y Reportada"))</f>
      </c>
      <c r="AE91" t="str">
        <v/>
      </c>
      <c r="AF91" t="str">
        <v/>
      </c>
      <c r="AG91" t="str">
        <v/>
      </c>
      <c r="AH91" t="str">
        <v/>
      </c>
      <c r="AI91" t="str">
        <v>17/09/2026 06:39:20</v>
      </c>
      <c r="AJ91" t="str">
        <v>06:39:20</v>
      </c>
      <c r="AK91" t="str">
        <v/>
      </c>
    </row>
    <row r="92">
      <c r="A92">
        <v>91</v>
      </c>
      <c r="B92" t="str">
        <v>MASS BSF</v>
      </c>
      <c r="C92" t="str">
        <v>F8R-810</v>
      </c>
      <c r="D92" t="str">
        <v>F8R-810</v>
      </c>
      <c r="E92" t="str">
        <v>867806078868827</v>
      </c>
      <c r="F92" t="str">
        <v>TBD</v>
      </c>
      <c r="G92" t="str">
        <v/>
      </c>
      <c r="H92" t="str">
        <v/>
      </c>
      <c r="I92" t="str">
        <v>17/09/2026</v>
      </c>
      <c r="J92" t="str">
        <v>06:42:32</v>
      </c>
      <c r="K92">
        <v>-12.276127</v>
      </c>
      <c r="L92">
        <v>-76.869385</v>
      </c>
      <c r="M92">
        <f>HYPERLINK("https://www.google.com/maps/search/?api=1&amp;query=-12.276127,-76.869385","Jirón Ramón Castilla, Lurín, Lima")</f>
      </c>
      <c r="N92" t="str">
        <v>Se movio</v>
      </c>
      <c r="O92">
        <v>668.6</v>
      </c>
      <c r="P92" t="str">
        <v/>
      </c>
      <c r="Q92">
        <v>0</v>
      </c>
      <c r="R92">
        <v>25.75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>
        <v>89</v>
      </c>
      <c r="AA92" t="str">
        <v>17/09/2026</v>
      </c>
      <c r="AB92" t="str">
        <v>06:42:32</v>
      </c>
      <c r="AC92">
        <f>IF("ONLINE"="NOGPS","GPS Antiguo","En línea")</f>
      </c>
      <c r="AD92">
        <f>IF(0=0,"Sin atender", IF(0=1,"Atendida","Atendida y Reportada"))</f>
      </c>
      <c r="AE92" t="str">
        <v/>
      </c>
      <c r="AF92" t="str">
        <v/>
      </c>
      <c r="AG92" t="str">
        <v/>
      </c>
      <c r="AH92" t="str">
        <v/>
      </c>
      <c r="AI92" t="str">
        <v>17/09/2026 06:42:51</v>
      </c>
      <c r="AJ92" t="str">
        <v>06:42:51</v>
      </c>
      <c r="AK92" t="str">
        <v/>
      </c>
    </row>
    <row r="93">
      <c r="A93">
        <v>92</v>
      </c>
      <c r="B93" t="str">
        <v>MASS BSF</v>
      </c>
      <c r="C93" t="str">
        <v>F8R-810</v>
      </c>
      <c r="D93" t="str">
        <v>F8R-810</v>
      </c>
      <c r="E93" t="str">
        <v>867806078868827</v>
      </c>
      <c r="F93" t="str">
        <v>TBD</v>
      </c>
      <c r="G93" t="str">
        <v/>
      </c>
      <c r="H93" t="str">
        <v/>
      </c>
      <c r="I93" t="str">
        <v>17/09/2026</v>
      </c>
      <c r="J93" t="str">
        <v>06:42:55</v>
      </c>
      <c r="K93">
        <v>-12.276127</v>
      </c>
      <c r="L93">
        <v>-76.869385</v>
      </c>
      <c r="M93">
        <f>HYPERLINK("https://www.google.com/maps/search/?api=1&amp;query=-12.276127,-76.869385","Jirón Ramón Castilla, Lurín, Lima")</f>
      </c>
      <c r="N93" t="str">
        <v>Aceleración brusca</v>
      </c>
      <c r="O93">
        <v>668.6</v>
      </c>
      <c r="P93" t="str">
        <v/>
      </c>
      <c r="Q93">
        <v>0</v>
      </c>
      <c r="R93">
        <v>25.75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>
        <v>89</v>
      </c>
      <c r="AA93" t="str">
        <v>17/09/2026</v>
      </c>
      <c r="AB93" t="str">
        <v>06:42:54</v>
      </c>
      <c r="AC93">
        <f>IF("ONLINE"="NOGPS","GPS Antiguo","En línea")</f>
      </c>
      <c r="AD93">
        <f>IF(0=0,"Sin atender", IF(0=1,"Atendida","Atendida y Reportada"))</f>
      </c>
      <c r="AE93" t="str">
        <v/>
      </c>
      <c r="AF93" t="str">
        <v/>
      </c>
      <c r="AG93" t="str">
        <v/>
      </c>
      <c r="AH93" t="str">
        <v/>
      </c>
      <c r="AI93" t="str">
        <v>17/09/2026 06:43:03</v>
      </c>
      <c r="AJ93" t="str">
        <v>06:43:03</v>
      </c>
      <c r="AK93" t="str">
        <v/>
      </c>
    </row>
    <row r="94">
      <c r="A94">
        <v>93</v>
      </c>
      <c r="B94" t="str">
        <v>MASS BSF</v>
      </c>
      <c r="C94" t="str">
        <v>F8R-810</v>
      </c>
      <c r="D94" t="str">
        <v>F8R-810</v>
      </c>
      <c r="E94" t="str">
        <v>867806078868827</v>
      </c>
      <c r="F94" t="str">
        <v>TBD</v>
      </c>
      <c r="G94" t="str">
        <v/>
      </c>
      <c r="H94" t="str">
        <v/>
      </c>
      <c r="I94" t="str">
        <v>17/09/2026</v>
      </c>
      <c r="J94" t="str">
        <v>06:43:06</v>
      </c>
      <c r="K94">
        <v>-12.276127</v>
      </c>
      <c r="L94">
        <v>-76.869385</v>
      </c>
      <c r="M94">
        <f>HYPERLINK("https://www.google.com/maps/search/?api=1&amp;query=-12.276127,-76.869385","Jirón Ramón Castilla, Lurín, Lima")</f>
      </c>
      <c r="N94" t="str">
        <v>Vehículo apagado</v>
      </c>
      <c r="O94">
        <v>668.6</v>
      </c>
      <c r="P94" t="str">
        <v/>
      </c>
      <c r="Q94">
        <v>0</v>
      </c>
      <c r="R94">
        <v>25.82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>
        <v>89</v>
      </c>
      <c r="AA94" t="str">
        <v>17/09/2026</v>
      </c>
      <c r="AB94" t="str">
        <v>06:43:06</v>
      </c>
      <c r="AC94">
        <f>IF("ONLINE"="NOGPS","GPS Antiguo","En línea")</f>
      </c>
      <c r="AD94">
        <f>IF(0=0,"Sin atender", IF(0=1,"Atendida","Atendida y Reportada"))</f>
      </c>
      <c r="AE94" t="str">
        <v/>
      </c>
      <c r="AF94" t="str">
        <v/>
      </c>
      <c r="AG94" t="str">
        <v/>
      </c>
      <c r="AH94" t="str">
        <v/>
      </c>
      <c r="AI94" t="str">
        <v>17/09/2026 06:43:26</v>
      </c>
      <c r="AJ94" t="str">
        <v>06:43:26</v>
      </c>
      <c r="AK94" t="str">
        <v/>
      </c>
    </row>
    <row r="95">
      <c r="A95">
        <v>94</v>
      </c>
      <c r="B95" t="str">
        <v>MASS BSF</v>
      </c>
      <c r="C95" t="str">
        <v>F8R-810</v>
      </c>
      <c r="D95" t="str">
        <v>F8R-810</v>
      </c>
      <c r="E95" t="str">
        <v>867806078868827</v>
      </c>
      <c r="F95" t="str">
        <v>TBD</v>
      </c>
      <c r="G95" t="str">
        <v/>
      </c>
      <c r="H95" t="str">
        <v/>
      </c>
      <c r="I95" t="str">
        <v>17/09/2026</v>
      </c>
      <c r="J95" t="str">
        <v>06:52:55</v>
      </c>
      <c r="K95">
        <v>-12.276127</v>
      </c>
      <c r="L95">
        <v>-76.869385</v>
      </c>
      <c r="M95">
        <f>HYPERLINK("https://www.google.com/maps/search/?api=1&amp;query=-12.276127,-76.869385","Jirón Ramón Castilla, Lurín, Lima")</f>
      </c>
      <c r="N95" t="str">
        <v>Vehículo encendido</v>
      </c>
      <c r="O95">
        <v>668.6</v>
      </c>
      <c r="P95" t="str">
        <v/>
      </c>
      <c r="Q95">
        <v>0</v>
      </c>
      <c r="R95">
        <v>25.82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>
        <v>89</v>
      </c>
      <c r="AA95" t="str">
        <v>17/09/2026</v>
      </c>
      <c r="AB95" t="str">
        <v>06:52:55</v>
      </c>
      <c r="AC95">
        <f>IF("ONLINE"="NOGPS","GPS Antiguo","En línea")</f>
      </c>
      <c r="AD95">
        <f>IF(0=0,"Sin atender", IF(0=1,"Atendida","Atendida y Reportada"))</f>
      </c>
      <c r="AE95" t="str">
        <v/>
      </c>
      <c r="AF95" t="str">
        <v/>
      </c>
      <c r="AG95" t="str">
        <v/>
      </c>
      <c r="AH95" t="str">
        <v/>
      </c>
      <c r="AI95" t="str">
        <v>17/09/2026 06:53:21</v>
      </c>
      <c r="AJ95" t="str">
        <v>06:53:21</v>
      </c>
      <c r="AK95" t="str">
        <v/>
      </c>
    </row>
    <row r="96">
      <c r="A96">
        <v>95</v>
      </c>
      <c r="B96" t="str">
        <v>MASS BSF</v>
      </c>
      <c r="C96" t="str">
        <v>F8R-810</v>
      </c>
      <c r="D96" t="str">
        <v>F8R-810</v>
      </c>
      <c r="E96" t="str">
        <v>867806078868827</v>
      </c>
      <c r="F96" t="str">
        <v>TBD</v>
      </c>
      <c r="G96" t="str">
        <v/>
      </c>
      <c r="H96" t="str">
        <v/>
      </c>
      <c r="I96" t="str">
        <v>17/09/2026</v>
      </c>
      <c r="J96" t="str">
        <v>06:53:00</v>
      </c>
      <c r="K96">
        <v>-12.276127</v>
      </c>
      <c r="L96">
        <v>-76.869385</v>
      </c>
      <c r="M96">
        <f>HYPERLINK("https://www.google.com/maps/search/?api=1&amp;query=-12.276127,-76.869385","Jirón Ramón Castilla, Lurín, Lima")</f>
      </c>
      <c r="N96" t="str">
        <v>Acelerado y giro brusco</v>
      </c>
      <c r="O96">
        <v>668.6</v>
      </c>
      <c r="P96" t="str">
        <v/>
      </c>
      <c r="Q96">
        <v>0</v>
      </c>
      <c r="R96">
        <v>25.82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>
        <v>89</v>
      </c>
      <c r="AA96" t="str">
        <v>17/09/2026</v>
      </c>
      <c r="AB96" t="str">
        <v>06:52:59</v>
      </c>
      <c r="AC96">
        <f>IF("ONLINE"="NOGPS","GPS Antiguo","En línea")</f>
      </c>
      <c r="AD96">
        <f>IF(0=0,"Sin atender", IF(0=1,"Atendida","Atendida y Reportada"))</f>
      </c>
      <c r="AE96" t="str">
        <v/>
      </c>
      <c r="AF96" t="str">
        <v/>
      </c>
      <c r="AG96" t="str">
        <v/>
      </c>
      <c r="AH96" t="str">
        <v/>
      </c>
      <c r="AI96" t="str">
        <v>17/09/2026 06:53:19</v>
      </c>
      <c r="AJ96" t="str">
        <v>06:53:19</v>
      </c>
      <c r="AK96" t="str">
        <v/>
      </c>
    </row>
    <row r="97">
      <c r="A97">
        <v>96</v>
      </c>
      <c r="B97" t="str">
        <v>MASS BSF</v>
      </c>
      <c r="C97" t="str">
        <v>F8R-810</v>
      </c>
      <c r="D97" t="str">
        <v>F8R-810</v>
      </c>
      <c r="E97" t="str">
        <v>867806078868827</v>
      </c>
      <c r="F97" t="str">
        <v>TBD</v>
      </c>
      <c r="G97" t="str">
        <v/>
      </c>
      <c r="H97" t="str">
        <v/>
      </c>
      <c r="I97" t="str">
        <v>17/09/2026</v>
      </c>
      <c r="J97" t="str">
        <v>06:53:14</v>
      </c>
      <c r="K97">
        <v>-12.276127</v>
      </c>
      <c r="L97">
        <v>-76.869385</v>
      </c>
      <c r="M97">
        <f>HYPERLINK("https://www.google.com/maps/search/?api=1&amp;query=-12.276127,-76.869385","Jirón Ramón Castilla, Lurín, Lima")</f>
      </c>
      <c r="N97" t="str">
        <v>Se movio</v>
      </c>
      <c r="O97">
        <v>668.6</v>
      </c>
      <c r="P97" t="str">
        <v/>
      </c>
      <c r="Q97">
        <v>0</v>
      </c>
      <c r="R97">
        <v>25.82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>
        <v>89</v>
      </c>
      <c r="AA97" t="str">
        <v>17/09/2026</v>
      </c>
      <c r="AB97" t="str">
        <v>06:53:14</v>
      </c>
      <c r="AC97">
        <f>IF("ONLINE"="NOGPS","GPS Antiguo","En línea")</f>
      </c>
      <c r="AD97">
        <f>IF(0=0,"Sin atender", IF(0=1,"Atendida","Atendida y Reportada"))</f>
      </c>
      <c r="AE97" t="str">
        <v/>
      </c>
      <c r="AF97" t="str">
        <v/>
      </c>
      <c r="AG97" t="str">
        <v/>
      </c>
      <c r="AH97" t="str">
        <v/>
      </c>
      <c r="AI97" t="str">
        <v>17/09/2026 06:53:24</v>
      </c>
      <c r="AJ97" t="str">
        <v>06:53:24</v>
      </c>
      <c r="AK97" t="str">
        <v/>
      </c>
    </row>
    <row r="98">
      <c r="A98">
        <v>97</v>
      </c>
      <c r="B98" t="str">
        <v>MASS BSF</v>
      </c>
      <c r="C98" t="str">
        <v>F8R-810</v>
      </c>
      <c r="D98" t="str">
        <v>F8R-810</v>
      </c>
      <c r="E98" t="str">
        <v>867806078868827</v>
      </c>
      <c r="F98" t="str">
        <v>TBD</v>
      </c>
      <c r="G98" t="str">
        <v/>
      </c>
      <c r="H98" t="str">
        <v/>
      </c>
      <c r="I98" t="str">
        <v>17/09/2026</v>
      </c>
      <c r="J98" t="str">
        <v>06:53:43</v>
      </c>
      <c r="K98">
        <v>-12.27626</v>
      </c>
      <c r="L98">
        <v>-76.86922</v>
      </c>
      <c r="M98">
        <f>HYPERLINK("https://www.google.com/maps/search/?api=1&amp;query=-12.27626,-76.86922","Jirón Ramón Castilla, Lurín, Lima")</f>
      </c>
      <c r="N98" t="str">
        <v>Vehículo apagado</v>
      </c>
      <c r="O98">
        <v>668.6</v>
      </c>
      <c r="P98" t="str">
        <v/>
      </c>
      <c r="Q98">
        <v>0</v>
      </c>
      <c r="R98">
        <v>25.83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>
        <v>89</v>
      </c>
      <c r="AA98" t="str">
        <v>17/09/2026</v>
      </c>
      <c r="AB98" t="str">
        <v>06:53:43</v>
      </c>
      <c r="AC98">
        <f>IF("ONLINE"="NOGPS","GPS Antiguo","En línea")</f>
      </c>
      <c r="AD98">
        <f>IF(0=0,"Sin atender", IF(0=1,"Atendida","Atendida y Reportada"))</f>
      </c>
      <c r="AE98" t="str">
        <v/>
      </c>
      <c r="AF98" t="str">
        <v/>
      </c>
      <c r="AG98" t="str">
        <v/>
      </c>
      <c r="AH98" t="str">
        <v/>
      </c>
      <c r="AI98" t="str">
        <v>17/09/2026 06:54:03</v>
      </c>
      <c r="AJ98" t="str">
        <v>06:54:03</v>
      </c>
      <c r="AK98" t="str">
        <v/>
      </c>
    </row>
    <row r="99">
      <c r="A99">
        <v>98</v>
      </c>
      <c r="B99" t="str">
        <v>MASS BSF</v>
      </c>
      <c r="C99" t="str">
        <v>F8R-810</v>
      </c>
      <c r="D99" t="str">
        <v>F8R-810</v>
      </c>
      <c r="E99" t="str">
        <v>867806078868827</v>
      </c>
      <c r="F99" t="str">
        <v>TBD</v>
      </c>
      <c r="G99" t="str">
        <v/>
      </c>
      <c r="H99" t="str">
        <v/>
      </c>
      <c r="I99" t="str">
        <v>17/09/2026</v>
      </c>
      <c r="J99" t="str">
        <v>06:53:57</v>
      </c>
      <c r="K99">
        <v>-12.27626</v>
      </c>
      <c r="L99">
        <v>-76.86922</v>
      </c>
      <c r="M99">
        <f>HYPERLINK("https://www.google.com/maps/search/?api=1&amp;query=-12.27626,-76.86922","Jirón Ramón Castilla, Lurín, Lima")</f>
      </c>
      <c r="N99" t="str">
        <v>Vehículo encendido</v>
      </c>
      <c r="O99">
        <v>668.6</v>
      </c>
      <c r="P99" t="str">
        <v/>
      </c>
      <c r="Q99">
        <v>0</v>
      </c>
      <c r="R99">
        <v>25.83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>
        <v>89</v>
      </c>
      <c r="AA99" t="str">
        <v>17/09/2026</v>
      </c>
      <c r="AB99" t="str">
        <v>06:53:57</v>
      </c>
      <c r="AC99">
        <f>IF("ONLINE"="NOGPS","GPS Antiguo","En línea")</f>
      </c>
      <c r="AD99">
        <f>IF(0=0,"Sin atender", IF(0=1,"Atendida","Atendida y Reportada"))</f>
      </c>
      <c r="AE99" t="str">
        <v/>
      </c>
      <c r="AF99" t="str">
        <v/>
      </c>
      <c r="AG99" t="str">
        <v/>
      </c>
      <c r="AH99" t="str">
        <v/>
      </c>
      <c r="AI99" t="str">
        <v>17/09/2026 06:54:20</v>
      </c>
      <c r="AJ99" t="str">
        <v>06:54:20</v>
      </c>
      <c r="AK99" t="str">
        <v/>
      </c>
    </row>
    <row r="100">
      <c r="A100">
        <v>99</v>
      </c>
      <c r="B100" t="str">
        <v>MASS BSF</v>
      </c>
      <c r="C100" t="str">
        <v>F8R-810</v>
      </c>
      <c r="D100" t="str">
        <v>F8R-810</v>
      </c>
      <c r="E100" t="str">
        <v>867806078868827</v>
      </c>
      <c r="F100" t="str">
        <v>TBD</v>
      </c>
      <c r="G100" t="str">
        <v/>
      </c>
      <c r="H100" t="str">
        <v/>
      </c>
      <c r="I100" t="str">
        <v>17/09/2026</v>
      </c>
      <c r="J100" t="str">
        <v>06:54:09</v>
      </c>
      <c r="K100">
        <v>-12.27626</v>
      </c>
      <c r="L100">
        <v>-76.86922</v>
      </c>
      <c r="M100">
        <f>HYPERLINK("https://www.google.com/maps/search/?api=1&amp;query=-12.27626,-76.86922","Jirón Ramón Castilla, Lurín, Lima")</f>
      </c>
      <c r="N100" t="str">
        <v>Vehículo apagado</v>
      </c>
      <c r="O100">
        <v>668.6</v>
      </c>
      <c r="P100" t="str">
        <v/>
      </c>
      <c r="Q100">
        <v>0</v>
      </c>
      <c r="R100">
        <v>25.83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>
        <v>89</v>
      </c>
      <c r="AA100" t="str">
        <v>17/09/2026</v>
      </c>
      <c r="AB100" t="str">
        <v>06:54:08</v>
      </c>
      <c r="AC100">
        <f>IF("ONLINE"="NOGPS","GPS Antiguo","En línea")</f>
      </c>
      <c r="AD100">
        <f>IF(0=0,"Sin atender", IF(0=1,"Atendida","Atendida y Reportada"))</f>
      </c>
      <c r="AE100" t="str">
        <v/>
      </c>
      <c r="AF100" t="str">
        <v/>
      </c>
      <c r="AG100" t="str">
        <v/>
      </c>
      <c r="AH100" t="str">
        <v/>
      </c>
      <c r="AI100" t="str">
        <v>17/09/2026 06:54:35</v>
      </c>
      <c r="AJ100" t="str">
        <v>06:54:35</v>
      </c>
      <c r="AK100" t="str">
        <v/>
      </c>
    </row>
    <row r="101">
      <c r="A101">
        <v>100</v>
      </c>
      <c r="B101" t="str">
        <v>MASS BSF</v>
      </c>
      <c r="C101" t="str">
        <v>F8R-810</v>
      </c>
      <c r="D101" t="str">
        <v>F8R-810</v>
      </c>
      <c r="E101" t="str">
        <v>867806078868827</v>
      </c>
      <c r="F101" t="str">
        <v>TBD</v>
      </c>
      <c r="G101" t="str">
        <v/>
      </c>
      <c r="H101" t="str">
        <v/>
      </c>
      <c r="I101" t="str">
        <v>17/09/2026</v>
      </c>
      <c r="J101" t="str">
        <v>07:14:37</v>
      </c>
      <c r="K101">
        <v>-12.27626</v>
      </c>
      <c r="L101">
        <v>-76.86922</v>
      </c>
      <c r="M101">
        <f>HYPERLINK("https://www.google.com/maps/search/?api=1&amp;query=-12.27626,-76.86922","Jirón Ramón Castilla, Lurín, Lima")</f>
      </c>
      <c r="N101" t="str">
        <v>Encendido o Entró en cobertura</v>
      </c>
      <c r="O101">
        <v>668.6</v>
      </c>
      <c r="P101" t="str">
        <v/>
      </c>
      <c r="Q101">
        <v>0</v>
      </c>
      <c r="R101">
        <v>25.83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>
        <v>89</v>
      </c>
      <c r="AA101" t="str">
        <v>17/09/2026</v>
      </c>
      <c r="AB101" t="str">
        <v>07:14:08</v>
      </c>
      <c r="AC101">
        <f>IF("ONLINE"="NOGPS","GPS Antiguo","En línea")</f>
      </c>
      <c r="AD101">
        <f>IF(0=0,"Sin atender", IF(0=1,"Atendida","Atendida y Reportada"))</f>
      </c>
      <c r="AE101" t="str">
        <v/>
      </c>
      <c r="AF101" t="str">
        <v/>
      </c>
      <c r="AG101" t="str">
        <v/>
      </c>
      <c r="AH101" t="str">
        <v/>
      </c>
      <c r="AI101" t="str">
        <v>17/09/2026 07:14:46</v>
      </c>
      <c r="AJ101" t="str">
        <v>07:14:46</v>
      </c>
      <c r="AK101" t="str">
        <v/>
      </c>
    </row>
    <row r="102">
      <c r="A102">
        <v>101</v>
      </c>
      <c r="B102" t="str">
        <v>MASS BSF</v>
      </c>
      <c r="C102" t="str">
        <v>F8R-810</v>
      </c>
      <c r="D102" t="str">
        <v>F8R-810</v>
      </c>
      <c r="E102" t="str">
        <v>867806078868827</v>
      </c>
      <c r="F102" t="str">
        <v>TBD</v>
      </c>
      <c r="G102" t="str">
        <v/>
      </c>
      <c r="H102" t="str">
        <v/>
      </c>
      <c r="I102" t="str">
        <v>17/09/2026</v>
      </c>
      <c r="J102" t="str">
        <v>07:23:46</v>
      </c>
      <c r="K102">
        <v>-12.27626</v>
      </c>
      <c r="L102">
        <v>-76.86922</v>
      </c>
      <c r="M102">
        <f>HYPERLINK("https://www.google.com/maps/search/?api=1&amp;query=-12.27626,-76.86922","Jirón Ramón Castilla, Lurín, Lima")</f>
      </c>
      <c r="N102" t="str">
        <v>Vehículo encendido</v>
      </c>
      <c r="O102">
        <v>668.6</v>
      </c>
      <c r="P102" t="str">
        <v/>
      </c>
      <c r="Q102">
        <v>0</v>
      </c>
      <c r="R102">
        <v>25.83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>
        <v>89</v>
      </c>
      <c r="AA102" t="str">
        <v>17/09/2026</v>
      </c>
      <c r="AB102" t="str">
        <v>07:23:45</v>
      </c>
      <c r="AC102">
        <f>IF("ONLINE"="NOGPS","GPS Antiguo","En línea")</f>
      </c>
      <c r="AD102">
        <f>IF(0=0,"Sin atender", IF(0=1,"Atendida","Atendida y Reportada"))</f>
      </c>
      <c r="AE102" t="str">
        <v/>
      </c>
      <c r="AF102" t="str">
        <v/>
      </c>
      <c r="AG102" t="str">
        <v/>
      </c>
      <c r="AH102" t="str">
        <v/>
      </c>
      <c r="AI102" t="str">
        <v>17/09/2026 07:23:55</v>
      </c>
      <c r="AJ102" t="str">
        <v>07:23:55</v>
      </c>
      <c r="AK102" t="str">
        <v/>
      </c>
    </row>
    <row r="103">
      <c r="A103">
        <v>102</v>
      </c>
      <c r="B103" t="str">
        <v>MASS BSF</v>
      </c>
      <c r="C103" t="str">
        <v>F8R-810</v>
      </c>
      <c r="D103" t="str">
        <v>F8R-810</v>
      </c>
      <c r="E103" t="str">
        <v>867806078868827</v>
      </c>
      <c r="F103" t="str">
        <v>TBD</v>
      </c>
      <c r="G103" t="str">
        <v/>
      </c>
      <c r="H103" t="str">
        <v/>
      </c>
      <c r="I103" t="str">
        <v>17/09/2026</v>
      </c>
      <c r="J103" t="str">
        <v>07:24:11</v>
      </c>
      <c r="K103">
        <v>-12.27608</v>
      </c>
      <c r="L103">
        <v>-76.86941</v>
      </c>
      <c r="M103">
        <f>HYPERLINK("https://www.google.com/maps/search/?api=1&amp;query=-12.27608,-76.86941","Jirón Ramón Castilla, Lurín, Lima")</f>
      </c>
      <c r="N103" t="str">
        <v>Acelerado y giro brusco</v>
      </c>
      <c r="O103">
        <v>668.6</v>
      </c>
      <c r="P103" t="str">
        <v/>
      </c>
      <c r="Q103">
        <v>10.3</v>
      </c>
      <c r="R103">
        <v>25.83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>
        <v>93</v>
      </c>
      <c r="AA103" t="str">
        <v>17/09/2026</v>
      </c>
      <c r="AB103" t="str">
        <v>07:24:10</v>
      </c>
      <c r="AC103">
        <f>IF("ONLINE"="NOGPS","GPS Antiguo","En línea")</f>
      </c>
      <c r="AD103">
        <f>IF(0=0,"Sin atender", IF(0=1,"Atendida","Atendida y Reportada"))</f>
      </c>
      <c r="AE103" t="str">
        <v/>
      </c>
      <c r="AF103" t="str">
        <v/>
      </c>
      <c r="AG103" t="str">
        <v/>
      </c>
      <c r="AH103" t="str">
        <v/>
      </c>
      <c r="AI103" t="str">
        <v>17/09/2026 07:24:17</v>
      </c>
      <c r="AJ103" t="str">
        <v>07:24:17</v>
      </c>
      <c r="AK103" t="str">
        <v/>
      </c>
    </row>
    <row r="104">
      <c r="A104">
        <v>103</v>
      </c>
      <c r="B104" t="str">
        <v>MASS BSF</v>
      </c>
      <c r="C104" t="str">
        <v>F8R-810</v>
      </c>
      <c r="D104" t="str">
        <v>F8R-810</v>
      </c>
      <c r="E104" t="str">
        <v>867806078868827</v>
      </c>
      <c r="F104" t="str">
        <v>TBD</v>
      </c>
      <c r="G104" t="str">
        <v/>
      </c>
      <c r="H104" t="str">
        <v/>
      </c>
      <c r="I104" t="str">
        <v>17/09/2026</v>
      </c>
      <c r="J104" t="str">
        <v>07:24:14</v>
      </c>
      <c r="K104">
        <v>-12.276022</v>
      </c>
      <c r="L104">
        <v>-76.86948</v>
      </c>
      <c r="M104">
        <f>HYPERLINK("https://www.google.com/maps/search/?api=1&amp;query=-12.276022,-76.86948","Jirón Ramón Castilla, Lurín, Lima")</f>
      </c>
      <c r="N104" t="str">
        <v>Se movio</v>
      </c>
      <c r="O104">
        <v>668.6</v>
      </c>
      <c r="P104" t="str">
        <v/>
      </c>
      <c r="Q104">
        <v>13.1</v>
      </c>
      <c r="R104">
        <v>25.83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>
        <v>93</v>
      </c>
      <c r="AA104" t="str">
        <v>17/09/2026</v>
      </c>
      <c r="AB104" t="str">
        <v>07:24:13</v>
      </c>
      <c r="AC104">
        <f>IF("ONLINE"="NOGPS","GPS Antiguo","En línea")</f>
      </c>
      <c r="AD104">
        <f>IF(0=0,"Sin atender", IF(0=1,"Atendida","Atendida y Reportada"))</f>
      </c>
      <c r="AE104" t="str">
        <v/>
      </c>
      <c r="AF104" t="str">
        <v/>
      </c>
      <c r="AG104" t="str">
        <v/>
      </c>
      <c r="AH104" t="str">
        <v/>
      </c>
      <c r="AI104" t="str">
        <v>17/09/2026 07:24:40</v>
      </c>
      <c r="AJ104" t="str">
        <v>07:24:40</v>
      </c>
      <c r="AK104" t="str">
        <v/>
      </c>
    </row>
    <row r="105">
      <c r="A105">
        <v>104</v>
      </c>
      <c r="B105" t="str">
        <v>MASS BSF</v>
      </c>
      <c r="C105" t="str">
        <v>F8R-810</v>
      </c>
      <c r="D105" t="str">
        <v>F8R-810</v>
      </c>
      <c r="E105" t="str">
        <v>867806078868827</v>
      </c>
      <c r="F105" t="str">
        <v>TBD</v>
      </c>
      <c r="G105" t="str">
        <v/>
      </c>
      <c r="H105" t="str">
        <v/>
      </c>
      <c r="I105" t="str">
        <v>17/09/2026</v>
      </c>
      <c r="J105" t="str">
        <v>07:24:29</v>
      </c>
      <c r="K105">
        <v>-12.275688</v>
      </c>
      <c r="L105">
        <v>-76.86984</v>
      </c>
      <c r="M105">
        <f>HYPERLINK("https://www.google.com/maps/search/?api=1&amp;query=-12.275688,-76.86984","Jirón Ramón Castilla, Lurín, Lima")</f>
      </c>
      <c r="N105" t="str">
        <v>Acelerado y giro brusco</v>
      </c>
      <c r="O105">
        <v>668.7</v>
      </c>
      <c r="P105" t="str">
        <v/>
      </c>
      <c r="Q105">
        <v>9.2</v>
      </c>
      <c r="R105">
        <v>25.83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>
        <v>93</v>
      </c>
      <c r="AA105" t="str">
        <v>17/09/2026</v>
      </c>
      <c r="AB105" t="str">
        <v>07:24:28</v>
      </c>
      <c r="AC105">
        <f>IF("ONLINE"="NOGPS","GPS Antiguo","En línea")</f>
      </c>
      <c r="AD105">
        <f>IF(0=0,"Sin atender", IF(0=1,"Atendida","Atendida y Reportada"))</f>
      </c>
      <c r="AE105" t="str">
        <v/>
      </c>
      <c r="AF105" t="str">
        <v/>
      </c>
      <c r="AG105" t="str">
        <v/>
      </c>
      <c r="AH105" t="str">
        <v/>
      </c>
      <c r="AI105" t="str">
        <v>17/09/2026 07:24:57</v>
      </c>
      <c r="AJ105" t="str">
        <v>07:24:57</v>
      </c>
      <c r="AK105" t="str">
        <v/>
      </c>
    </row>
    <row r="106">
      <c r="A106">
        <v>105</v>
      </c>
      <c r="B106" t="str">
        <v>MASS BSF</v>
      </c>
      <c r="C106" t="str">
        <v>F8R-810</v>
      </c>
      <c r="D106" t="str">
        <v>F8R-810</v>
      </c>
      <c r="E106" t="str">
        <v>867806078868827</v>
      </c>
      <c r="F106" t="str">
        <v>TBD</v>
      </c>
      <c r="G106" t="str">
        <v/>
      </c>
      <c r="H106" t="str">
        <v/>
      </c>
      <c r="I106" t="str">
        <v>17/09/2026</v>
      </c>
      <c r="J106" t="str">
        <v>07:26:05</v>
      </c>
      <c r="K106">
        <v>-12.275365</v>
      </c>
      <c r="L106">
        <v>-76.87035</v>
      </c>
      <c r="M106">
        <f>HYPERLINK("https://www.google.com/maps/search/?api=1&amp;query=-12.275365,-76.87035","Calle 27 de Octubre, Lurín, Lima")</f>
      </c>
      <c r="N106" t="str">
        <v>Acelerado y giro brusco</v>
      </c>
      <c r="O106">
        <v>668.8</v>
      </c>
      <c r="P106" t="str">
        <v/>
      </c>
      <c r="Q106">
        <v>8.1</v>
      </c>
      <c r="R106">
        <v>25.83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>
        <v>88</v>
      </c>
      <c r="AA106" t="str">
        <v>17/09/2026</v>
      </c>
      <c r="AB106" t="str">
        <v>07:26:04</v>
      </c>
      <c r="AC106">
        <f>IF("ONLINE"="NOGPS","GPS Antiguo","En línea")</f>
      </c>
      <c r="AD106">
        <f>IF(0=0,"Sin atender", IF(0=1,"Atendida","Atendida y Reportada"))</f>
      </c>
      <c r="AE106" t="str">
        <v/>
      </c>
      <c r="AF106" t="str">
        <v/>
      </c>
      <c r="AG106" t="str">
        <v/>
      </c>
      <c r="AH106" t="str">
        <v/>
      </c>
      <c r="AI106" t="str">
        <v>17/09/2026 07:26:14</v>
      </c>
      <c r="AJ106" t="str">
        <v>07:26:14</v>
      </c>
      <c r="AK106" t="str">
        <v/>
      </c>
    </row>
    <row r="107">
      <c r="A107">
        <v>106</v>
      </c>
      <c r="B107" t="str">
        <v>MASS BSF</v>
      </c>
      <c r="C107" t="str">
        <v>F8R-810</v>
      </c>
      <c r="D107" t="str">
        <v>F8R-810</v>
      </c>
      <c r="E107" t="str">
        <v>867806078868827</v>
      </c>
      <c r="F107" t="str">
        <v>TBD</v>
      </c>
      <c r="G107" t="str">
        <v/>
      </c>
      <c r="H107" t="str">
        <v/>
      </c>
      <c r="I107" t="str">
        <v>17/09/2026</v>
      </c>
      <c r="J107" t="str">
        <v>07:26:58</v>
      </c>
      <c r="K107">
        <v>-12.275478</v>
      </c>
      <c r="L107">
        <v>-76.87046</v>
      </c>
      <c r="M107">
        <f>HYPERLINK("https://www.google.com/maps/search/?api=1&amp;query=-12.275478,-76.87046","Calle 27 de Octubre, Lurín, Lima")</f>
      </c>
      <c r="N107" t="str">
        <v>Acelerado y giro brusco</v>
      </c>
      <c r="O107">
        <v>668.8</v>
      </c>
      <c r="P107" t="str">
        <v/>
      </c>
      <c r="Q107">
        <v>0</v>
      </c>
      <c r="R107">
        <v>25.83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>
        <v>90</v>
      </c>
      <c r="AA107" t="str">
        <v>17/09/2026</v>
      </c>
      <c r="AB107" t="str">
        <v>07:26:57</v>
      </c>
      <c r="AC107">
        <f>IF("ONLINE"="NOGPS","GPS Antiguo","En línea")</f>
      </c>
      <c r="AD107">
        <f>IF(0=0,"Sin atender", IF(0=1,"Atendida","Atendida y Reportada"))</f>
      </c>
      <c r="AE107" t="str">
        <v/>
      </c>
      <c r="AF107" t="str">
        <v/>
      </c>
      <c r="AG107" t="str">
        <v/>
      </c>
      <c r="AH107" t="str">
        <v/>
      </c>
      <c r="AI107" t="str">
        <v>17/09/2026 07:27:24</v>
      </c>
      <c r="AJ107" t="str">
        <v>07:27:24</v>
      </c>
      <c r="AK107" t="str">
        <v/>
      </c>
    </row>
    <row r="108">
      <c r="A108">
        <v>107</v>
      </c>
      <c r="B108" t="str">
        <v>MASS BSF</v>
      </c>
      <c r="C108" t="str">
        <v>F8R-810</v>
      </c>
      <c r="D108" t="str">
        <v>F8R-810</v>
      </c>
      <c r="E108" t="str">
        <v>867806078868827</v>
      </c>
      <c r="F108" t="str">
        <v>TBD</v>
      </c>
      <c r="G108" t="str">
        <v/>
      </c>
      <c r="H108" t="str">
        <v/>
      </c>
      <c r="I108" t="str">
        <v>17/09/2026</v>
      </c>
      <c r="J108" t="str">
        <v>07:27:22</v>
      </c>
      <c r="K108">
        <v>-12.275637</v>
      </c>
      <c r="L108">
        <v>-76.870575</v>
      </c>
      <c r="M108">
        <f>HYPERLINK("https://www.google.com/maps/search/?api=1&amp;query=-12.275637,-76.870575","Calle 27 de Octubre, Lurín, Lima")</f>
      </c>
      <c r="N108" t="str">
        <v>Aceleración brusca</v>
      </c>
      <c r="O108">
        <v>668.8</v>
      </c>
      <c r="P108" t="str">
        <v/>
      </c>
      <c r="Q108">
        <v>0</v>
      </c>
      <c r="R108">
        <v>25.83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>
        <v>90</v>
      </c>
      <c r="AA108" t="str">
        <v>17/09/2026</v>
      </c>
      <c r="AB108" t="str">
        <v>07:27:21</v>
      </c>
      <c r="AC108">
        <f>IF("ONLINE"="NOGPS","GPS Antiguo","En línea")</f>
      </c>
      <c r="AD108">
        <f>IF(0=0,"Sin atender", IF(0=1,"Atendida","Atendida y Reportada"))</f>
      </c>
      <c r="AE108" t="str">
        <v/>
      </c>
      <c r="AF108" t="str">
        <v/>
      </c>
      <c r="AG108" t="str">
        <v/>
      </c>
      <c r="AH108" t="str">
        <v/>
      </c>
      <c r="AI108" t="str">
        <v>17/09/2026 07:27:46</v>
      </c>
      <c r="AJ108" t="str">
        <v>07:27:46</v>
      </c>
      <c r="AK108" t="str">
        <v/>
      </c>
    </row>
    <row r="109">
      <c r="A109">
        <v>108</v>
      </c>
      <c r="B109" t="str">
        <v>MASS BSF</v>
      </c>
      <c r="C109" t="str">
        <v>F8R-810</v>
      </c>
      <c r="D109" t="str">
        <v>F8R-810</v>
      </c>
      <c r="E109" t="str">
        <v>867806078868827</v>
      </c>
      <c r="F109" t="str">
        <v>TBD</v>
      </c>
      <c r="G109" t="str">
        <v/>
      </c>
      <c r="H109" t="str">
        <v/>
      </c>
      <c r="I109" t="str">
        <v>17/09/2026</v>
      </c>
      <c r="J109" t="str">
        <v>07:27:38</v>
      </c>
      <c r="K109">
        <v>-12.275785</v>
      </c>
      <c r="L109">
        <v>-76.87073</v>
      </c>
      <c r="M109">
        <f>HYPERLINK("https://www.google.com/maps/search/?api=1&amp;query=-12.275785,-76.87073","Antigua Panamericana Sur, Lurín, Lima")</f>
      </c>
      <c r="N109" t="str">
        <v>Acelerado y giro brusco</v>
      </c>
      <c r="O109">
        <v>668.8</v>
      </c>
      <c r="P109" t="str">
        <v/>
      </c>
      <c r="Q109">
        <v>14.4</v>
      </c>
      <c r="R109">
        <v>25.83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>
        <v>90</v>
      </c>
      <c r="AA109" t="str">
        <v>17/09/2026</v>
      </c>
      <c r="AB109" t="str">
        <v>07:27:38</v>
      </c>
      <c r="AC109">
        <f>IF("ONLINE"="NOGPS","GPS Antiguo","En línea")</f>
      </c>
      <c r="AD109">
        <f>IF(0=0,"Sin atender", IF(0=1,"Atendida","Atendida y Reportada"))</f>
      </c>
      <c r="AE109" t="str">
        <v/>
      </c>
      <c r="AF109" t="str">
        <v/>
      </c>
      <c r="AG109" t="str">
        <v/>
      </c>
      <c r="AH109" t="str">
        <v/>
      </c>
      <c r="AI109" t="str">
        <v>17/09/2026 07:27:51</v>
      </c>
      <c r="AJ109" t="str">
        <v>07:27:51</v>
      </c>
      <c r="AK109" t="str">
        <v/>
      </c>
    </row>
    <row r="110">
      <c r="A110">
        <v>109</v>
      </c>
      <c r="B110" t="str">
        <v>MASS BSF</v>
      </c>
      <c r="C110" t="str">
        <v>F8R-810</v>
      </c>
      <c r="D110" t="str">
        <v>F8R-810</v>
      </c>
      <c r="E110" t="str">
        <v>867806078868827</v>
      </c>
      <c r="F110" t="str">
        <v>TBD</v>
      </c>
      <c r="G110" t="str">
        <v/>
      </c>
      <c r="H110" t="str">
        <v/>
      </c>
      <c r="I110" t="str">
        <v>17/09/2026</v>
      </c>
      <c r="J110" t="str">
        <v>07:27:48</v>
      </c>
      <c r="K110">
        <v>-12.276038</v>
      </c>
      <c r="L110">
        <v>-76.87079</v>
      </c>
      <c r="M110">
        <f>HYPERLINK("https://www.google.com/maps/search/?api=1&amp;query=-12.276038,-76.87079","Antigua Panamericana Sur, Lurín, Lima")</f>
      </c>
      <c r="N110" t="str">
        <v>Acelerado y giro brusco</v>
      </c>
      <c r="O110">
        <v>668.9</v>
      </c>
      <c r="P110" t="str">
        <v/>
      </c>
      <c r="Q110">
        <v>12.5</v>
      </c>
      <c r="R110">
        <v>25.83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>
        <v>85</v>
      </c>
      <c r="AA110" t="str">
        <v>17/09/2026</v>
      </c>
      <c r="AB110" t="str">
        <v>07:27:47</v>
      </c>
      <c r="AC110">
        <f>IF("ONLINE"="NOGPS","GPS Antiguo","En línea")</f>
      </c>
      <c r="AD110">
        <f>IF(0=0,"Sin atender", IF(0=1,"Atendida","Atendida y Reportada"))</f>
      </c>
      <c r="AE110" t="str">
        <v/>
      </c>
      <c r="AF110" t="str">
        <v/>
      </c>
      <c r="AG110" t="str">
        <v/>
      </c>
      <c r="AH110" t="str">
        <v/>
      </c>
      <c r="AI110" t="str">
        <v>17/09/2026 07:28:01</v>
      </c>
      <c r="AJ110" t="str">
        <v>07:28:01</v>
      </c>
      <c r="AK110" t="str">
        <v/>
      </c>
    </row>
    <row r="111">
      <c r="A111">
        <v>110</v>
      </c>
      <c r="B111" t="str">
        <v>MASS BSF</v>
      </c>
      <c r="C111" t="str">
        <v>F8R-810</v>
      </c>
      <c r="D111" t="str">
        <v>F8R-810</v>
      </c>
      <c r="E111" t="str">
        <v>867806078868827</v>
      </c>
      <c r="F111" t="str">
        <v>TBD</v>
      </c>
      <c r="G111" t="str">
        <v/>
      </c>
      <c r="H111" t="str">
        <v/>
      </c>
      <c r="I111" t="str">
        <v>17/09/2026</v>
      </c>
      <c r="J111" t="str">
        <v>07:28:03</v>
      </c>
      <c r="K111">
        <v>-12.276096</v>
      </c>
      <c r="L111">
        <v>-76.87073</v>
      </c>
      <c r="M111">
        <f>HYPERLINK("https://www.google.com/maps/search/?api=1&amp;query=-12.276096,-76.87073","Antigua Panamericana Sur, Lurín, Lima")</f>
      </c>
      <c r="N111" t="str">
        <v>Acelerado y giro brusco</v>
      </c>
      <c r="O111">
        <v>668.9</v>
      </c>
      <c r="P111" t="str">
        <v/>
      </c>
      <c r="Q111">
        <v>0</v>
      </c>
      <c r="R111">
        <v>25.83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>
        <v>85</v>
      </c>
      <c r="AA111" t="str">
        <v>17/09/2026</v>
      </c>
      <c r="AB111" t="str">
        <v>07:28:02</v>
      </c>
      <c r="AC111">
        <f>IF("ONLINE"="NOGPS","GPS Antiguo","En línea")</f>
      </c>
      <c r="AD111">
        <f>IF(0=0,"Sin atender", IF(0=1,"Atendida","Atendida y Reportada"))</f>
      </c>
      <c r="AE111" t="str">
        <v/>
      </c>
      <c r="AF111" t="str">
        <v/>
      </c>
      <c r="AG111" t="str">
        <v/>
      </c>
      <c r="AH111" t="str">
        <v/>
      </c>
      <c r="AI111" t="str">
        <v>17/09/2026 07:28:20</v>
      </c>
      <c r="AJ111" t="str">
        <v>07:28:20</v>
      </c>
      <c r="AK111" t="str">
        <v/>
      </c>
    </row>
    <row r="112">
      <c r="A112">
        <v>111</v>
      </c>
      <c r="B112" t="str">
        <v>MASS BSF</v>
      </c>
      <c r="C112" t="str">
        <v>F8R-810</v>
      </c>
      <c r="D112" t="str">
        <v>F8R-810</v>
      </c>
      <c r="E112" t="str">
        <v>867806078868827</v>
      </c>
      <c r="F112" t="str">
        <v>TBD</v>
      </c>
      <c r="G112" t="str">
        <v/>
      </c>
      <c r="H112" t="str">
        <v/>
      </c>
      <c r="I112" t="str">
        <v>17/09/2026</v>
      </c>
      <c r="J112" t="str">
        <v>07:28:53</v>
      </c>
      <c r="K112">
        <v>-12.276167</v>
      </c>
      <c r="L112">
        <v>-76.87064</v>
      </c>
      <c r="M112">
        <f>HYPERLINK("https://www.google.com/maps/search/?api=1&amp;query=-12.276167,-76.87064","Antigua Panamericana Sur, Lurín, Lima")</f>
      </c>
      <c r="N112" t="str">
        <v>Aceleración brusca</v>
      </c>
      <c r="O112">
        <v>668.9</v>
      </c>
      <c r="P112" t="str">
        <v/>
      </c>
      <c r="Q112">
        <v>0</v>
      </c>
      <c r="R112">
        <v>25.83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>
        <v>85</v>
      </c>
      <c r="AA112" t="str">
        <v>17/09/2026</v>
      </c>
      <c r="AB112" t="str">
        <v>07:28:53</v>
      </c>
      <c r="AC112">
        <f>IF("ONLINE"="NOGPS","GPS Antiguo","En línea")</f>
      </c>
      <c r="AD112">
        <f>IF(0=0,"Sin atender", IF(0=1,"Atendida","Atendida y Reportada"))</f>
      </c>
      <c r="AE112" t="str">
        <v/>
      </c>
      <c r="AF112" t="str">
        <v/>
      </c>
      <c r="AG112" t="str">
        <v/>
      </c>
      <c r="AH112" t="str">
        <v/>
      </c>
      <c r="AI112" t="str">
        <v>17/09/2026 07:29:15</v>
      </c>
      <c r="AJ112" t="str">
        <v>07:29:15</v>
      </c>
      <c r="AK112" t="str">
        <v/>
      </c>
    </row>
    <row r="113">
      <c r="A113">
        <v>112</v>
      </c>
      <c r="B113" t="str">
        <v>MASS BSF</v>
      </c>
      <c r="C113" t="str">
        <v>F8R-810</v>
      </c>
      <c r="D113" t="str">
        <v>F8R-810</v>
      </c>
      <c r="E113" t="str">
        <v>867806078868827</v>
      </c>
      <c r="F113" t="str">
        <v>TBD</v>
      </c>
      <c r="G113" t="str">
        <v/>
      </c>
      <c r="H113" t="str">
        <v/>
      </c>
      <c r="I113" t="str">
        <v>17/09/2026</v>
      </c>
      <c r="J113" t="str">
        <v>07:29:05</v>
      </c>
      <c r="K113">
        <v>-12.276167</v>
      </c>
      <c r="L113">
        <v>-76.87064</v>
      </c>
      <c r="M113">
        <f>HYPERLINK("https://www.google.com/maps/search/?api=1&amp;query=-12.276167,-76.87064","Antigua Panamericana Sur, Lurín, Lima")</f>
      </c>
      <c r="N113" t="str">
        <v>Acelerado y giro brusco</v>
      </c>
      <c r="O113">
        <v>668.9</v>
      </c>
      <c r="P113" t="str">
        <v/>
      </c>
      <c r="Q113">
        <v>0</v>
      </c>
      <c r="R113">
        <v>25.83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>
        <v>85</v>
      </c>
      <c r="AA113" t="str">
        <v>17/09/2026</v>
      </c>
      <c r="AB113" t="str">
        <v>07:29:04</v>
      </c>
      <c r="AC113">
        <f>IF("ONLINE"="NOGPS","GPS Antiguo","En línea")</f>
      </c>
      <c r="AD113">
        <f>IF(0=0,"Sin atender", IF(0=1,"Atendida","Atendida y Reportada"))</f>
      </c>
      <c r="AE113" t="str">
        <v/>
      </c>
      <c r="AF113" t="str">
        <v/>
      </c>
      <c r="AG113" t="str">
        <v/>
      </c>
      <c r="AH113" t="str">
        <v/>
      </c>
      <c r="AI113" t="str">
        <v>17/09/2026 07:29:31</v>
      </c>
      <c r="AJ113" t="str">
        <v>07:29:31</v>
      </c>
      <c r="AK113" t="str">
        <v/>
      </c>
    </row>
    <row r="114">
      <c r="A114">
        <v>113</v>
      </c>
      <c r="B114" t="str">
        <v>MASS BSF</v>
      </c>
      <c r="C114" t="str">
        <v>F8R-810</v>
      </c>
      <c r="D114" t="str">
        <v>F8R-810</v>
      </c>
      <c r="E114" t="str">
        <v>867806078868827</v>
      </c>
      <c r="F114" t="str">
        <v>TBD</v>
      </c>
      <c r="G114" t="str">
        <v/>
      </c>
      <c r="H114" t="str">
        <v/>
      </c>
      <c r="I114" t="str">
        <v>17/09/2026</v>
      </c>
      <c r="J114" t="str">
        <v>07:29:23</v>
      </c>
      <c r="K114">
        <v>-12.276368</v>
      </c>
      <c r="L114">
        <v>-76.87046</v>
      </c>
      <c r="M114">
        <f>HYPERLINK("https://www.google.com/maps/search/?api=1&amp;query=-12.276368,-76.87046","Antigua Panamericana Sur, Lurín, Lima")</f>
      </c>
      <c r="N114" t="str">
        <v>Aceleración brusca</v>
      </c>
      <c r="O114">
        <v>668.9</v>
      </c>
      <c r="P114" t="str">
        <v/>
      </c>
      <c r="Q114">
        <v>7</v>
      </c>
      <c r="R114">
        <v>25.83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>
        <v>85</v>
      </c>
      <c r="AA114" t="str">
        <v>17/09/2026</v>
      </c>
      <c r="AB114" t="str">
        <v>07:29:22</v>
      </c>
      <c r="AC114">
        <f>IF("ONLINE"="NOGPS","GPS Antiguo","En línea")</f>
      </c>
      <c r="AD114">
        <f>IF(0=0,"Sin atender", IF(0=1,"Atendida","Atendida y Reportada"))</f>
      </c>
      <c r="AE114" t="str">
        <v/>
      </c>
      <c r="AF114" t="str">
        <v/>
      </c>
      <c r="AG114" t="str">
        <v/>
      </c>
      <c r="AH114" t="str">
        <v/>
      </c>
      <c r="AI114" t="str">
        <v>17/09/2026 07:29:31</v>
      </c>
      <c r="AJ114" t="str">
        <v>07:29:31</v>
      </c>
      <c r="AK114" t="str">
        <v/>
      </c>
    </row>
    <row r="115">
      <c r="A115">
        <v>114</v>
      </c>
      <c r="B115" t="str">
        <v>MASS BSF</v>
      </c>
      <c r="C115" t="str">
        <v>F8R-810</v>
      </c>
      <c r="D115" t="str">
        <v>F8R-810</v>
      </c>
      <c r="E115" t="str">
        <v>867806078868827</v>
      </c>
      <c r="F115" t="str">
        <v>TBD</v>
      </c>
      <c r="G115" t="str">
        <v/>
      </c>
      <c r="H115" t="str">
        <v/>
      </c>
      <c r="I115" t="str">
        <v>17/09/2026</v>
      </c>
      <c r="J115" t="str">
        <v>07:29:39</v>
      </c>
      <c r="K115">
        <v>-12.27645</v>
      </c>
      <c r="L115">
        <v>-76.87039</v>
      </c>
      <c r="M115">
        <f>HYPERLINK("https://www.google.com/maps/search/?api=1&amp;query=-12.27645,-76.87039","Antigua Panamericana Sur, Lurín, Lima")</f>
      </c>
      <c r="N115" t="str">
        <v>Acelerado y giro brusco</v>
      </c>
      <c r="O115">
        <v>668.9</v>
      </c>
      <c r="P115" t="str">
        <v/>
      </c>
      <c r="Q115">
        <v>0</v>
      </c>
      <c r="R115">
        <v>25.83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>
        <v>85</v>
      </c>
      <c r="AA115" t="str">
        <v>17/09/2026</v>
      </c>
      <c r="AB115" t="str">
        <v>07:29:38</v>
      </c>
      <c r="AC115">
        <f>IF("ONLINE"="NOGPS","GPS Antiguo","En línea")</f>
      </c>
      <c r="AD115">
        <f>IF(0=0,"Sin atender", IF(0=1,"Atendida","Atendida y Reportada"))</f>
      </c>
      <c r="AE115" t="str">
        <v/>
      </c>
      <c r="AF115" t="str">
        <v/>
      </c>
      <c r="AG115" t="str">
        <v/>
      </c>
      <c r="AH115" t="str">
        <v/>
      </c>
      <c r="AI115" t="str">
        <v>17/09/2026 07:29:51</v>
      </c>
      <c r="AJ115" t="str">
        <v>07:29:51</v>
      </c>
      <c r="AK115" t="str">
        <v/>
      </c>
    </row>
    <row r="116">
      <c r="A116">
        <v>115</v>
      </c>
      <c r="B116" t="str">
        <v>MASS BSF</v>
      </c>
      <c r="C116" t="str">
        <v>F8R-810</v>
      </c>
      <c r="D116" t="str">
        <v>F8R-810</v>
      </c>
      <c r="E116" t="str">
        <v>867806078868827</v>
      </c>
      <c r="F116" t="str">
        <v>TBD</v>
      </c>
      <c r="G116" t="str">
        <v/>
      </c>
      <c r="H116" t="str">
        <v/>
      </c>
      <c r="I116" t="str">
        <v>17/09/2026</v>
      </c>
      <c r="J116" t="str">
        <v>07:30:51</v>
      </c>
      <c r="K116">
        <v>-12.27663</v>
      </c>
      <c r="L116">
        <v>-76.87024</v>
      </c>
      <c r="M116">
        <f>HYPERLINK("https://www.google.com/maps/search/?api=1&amp;query=-12.27663,-76.87024","Antigua Panamericana Sur, Lurín, Lima")</f>
      </c>
      <c r="N116" t="str">
        <v>Aceleración brusca</v>
      </c>
      <c r="O116">
        <v>668.9</v>
      </c>
      <c r="P116" t="str">
        <v/>
      </c>
      <c r="Q116">
        <v>0</v>
      </c>
      <c r="R116">
        <v>25.83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>
        <v>85</v>
      </c>
      <c r="AA116" t="str">
        <v>17/09/2026</v>
      </c>
      <c r="AB116" t="str">
        <v>07:30:51</v>
      </c>
      <c r="AC116">
        <f>IF("ONLINE"="NOGPS","GPS Antiguo","En línea")</f>
      </c>
      <c r="AD116">
        <f>IF(0=0,"Sin atender", IF(0=1,"Atendida","Atendida y Reportada"))</f>
      </c>
      <c r="AE116" t="str">
        <v/>
      </c>
      <c r="AF116" t="str">
        <v/>
      </c>
      <c r="AG116" t="str">
        <v/>
      </c>
      <c r="AH116" t="str">
        <v/>
      </c>
      <c r="AI116" t="str">
        <v>17/09/2026 07:31:00</v>
      </c>
      <c r="AJ116" t="str">
        <v>07:31:00</v>
      </c>
      <c r="AK116" t="str">
        <v/>
      </c>
    </row>
    <row r="117">
      <c r="A117">
        <v>116</v>
      </c>
      <c r="B117" t="str">
        <v>MASS BSF</v>
      </c>
      <c r="C117" t="str">
        <v>F8R-810</v>
      </c>
      <c r="D117" t="str">
        <v>F8R-810</v>
      </c>
      <c r="E117" t="str">
        <v>867806078868827</v>
      </c>
      <c r="F117" t="str">
        <v>TBD</v>
      </c>
      <c r="G117" t="str">
        <v/>
      </c>
      <c r="H117" t="str">
        <v/>
      </c>
      <c r="I117" t="str">
        <v>17/09/2026</v>
      </c>
      <c r="J117" t="str">
        <v>07:31:14</v>
      </c>
      <c r="K117">
        <v>-12.276905</v>
      </c>
      <c r="L117">
        <v>-76.87001</v>
      </c>
      <c r="M117">
        <f>HYPERLINK("https://www.google.com/maps/search/?api=1&amp;query=-12.276905,-76.87001","Antigua Panamericana Sur, Lurín, Lima")</f>
      </c>
      <c r="N117" t="str">
        <v>Acelerado y giro brusco</v>
      </c>
      <c r="O117">
        <v>669</v>
      </c>
      <c r="P117" t="str">
        <v/>
      </c>
      <c r="Q117">
        <v>7.2</v>
      </c>
      <c r="R117">
        <v>25.83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>
        <v>85</v>
      </c>
      <c r="AA117" t="str">
        <v>17/09/2026</v>
      </c>
      <c r="AB117" t="str">
        <v>07:31:13</v>
      </c>
      <c r="AC117">
        <f>IF("ONLINE"="NOGPS","GPS Antiguo","En línea")</f>
      </c>
      <c r="AD117">
        <f>IF(0=0,"Sin atender", IF(0=1,"Atendida","Atendida y Reportada"))</f>
      </c>
      <c r="AE117" t="str">
        <v/>
      </c>
      <c r="AF117" t="str">
        <v/>
      </c>
      <c r="AG117" t="str">
        <v/>
      </c>
      <c r="AH117" t="str">
        <v/>
      </c>
      <c r="AI117" t="str">
        <v>17/09/2026 07:31:27</v>
      </c>
      <c r="AJ117" t="str">
        <v>07:31:27</v>
      </c>
      <c r="AK117" t="str">
        <v/>
      </c>
    </row>
    <row r="118">
      <c r="A118">
        <v>117</v>
      </c>
      <c r="B118" t="str">
        <v>MASS BSF</v>
      </c>
      <c r="C118" t="str">
        <v>F8R-810</v>
      </c>
      <c r="D118" t="str">
        <v>F8R-810</v>
      </c>
      <c r="E118" t="str">
        <v>867806078868827</v>
      </c>
      <c r="F118" t="str">
        <v>TBD</v>
      </c>
      <c r="G118" t="str">
        <v/>
      </c>
      <c r="H118" t="str">
        <v/>
      </c>
      <c r="I118" t="str">
        <v>17/09/2026</v>
      </c>
      <c r="J118" t="str">
        <v>07:31:57</v>
      </c>
      <c r="K118">
        <v>-12.278392</v>
      </c>
      <c r="L118">
        <v>-76.8687</v>
      </c>
      <c r="M118">
        <f>HYPERLINK("https://www.google.com/maps/search/?api=1&amp;query=-12.278392,-76.8687","Antigua Panamericana Sur, Lurín, Lima")</f>
      </c>
      <c r="N118" t="str">
        <v>Acelerado y giro brusco</v>
      </c>
      <c r="O118">
        <v>669.2</v>
      </c>
      <c r="P118" t="str">
        <v/>
      </c>
      <c r="Q118">
        <v>14</v>
      </c>
      <c r="R118">
        <v>25.83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>
        <v>88</v>
      </c>
      <c r="AA118" t="str">
        <v>17/09/2026</v>
      </c>
      <c r="AB118" t="str">
        <v>07:31:56</v>
      </c>
      <c r="AC118">
        <f>IF("ONLINE"="NOGPS","GPS Antiguo","En línea")</f>
      </c>
      <c r="AD118">
        <f>IF(0=0,"Sin atender", IF(0=1,"Atendida","Atendida y Reportada"))</f>
      </c>
      <c r="AE118" t="str">
        <v/>
      </c>
      <c r="AF118" t="str">
        <v/>
      </c>
      <c r="AG118" t="str">
        <v/>
      </c>
      <c r="AH118" t="str">
        <v/>
      </c>
      <c r="AI118" t="str">
        <v>17/09/2026 07:32:15</v>
      </c>
      <c r="AJ118" t="str">
        <v>07:32:15</v>
      </c>
      <c r="AK118" t="str">
        <v/>
      </c>
    </row>
    <row r="119">
      <c r="A119">
        <v>118</v>
      </c>
      <c r="B119" t="str">
        <v>MASS BSF</v>
      </c>
      <c r="C119" t="str">
        <v>F8R-810</v>
      </c>
      <c r="D119" t="str">
        <v>F8R-810</v>
      </c>
      <c r="E119" t="str">
        <v>867806078868827</v>
      </c>
      <c r="F119" t="str">
        <v>TBD</v>
      </c>
      <c r="G119" t="str">
        <v/>
      </c>
      <c r="H119" t="str">
        <v/>
      </c>
      <c r="I119" t="str">
        <v>17/09/2026</v>
      </c>
      <c r="J119" t="str">
        <v>07:32:04</v>
      </c>
      <c r="K119">
        <v>-12.278495</v>
      </c>
      <c r="L119">
        <v>-76.868614</v>
      </c>
      <c r="M119">
        <f>HYPERLINK("https://www.google.com/maps/search/?api=1&amp;query=-12.278495,-76.868614","Antigua Panamericana Sur, Lurín, Lima")</f>
      </c>
      <c r="N119" t="str">
        <v>Acelerado y giro brusco</v>
      </c>
      <c r="O119">
        <v>669.2</v>
      </c>
      <c r="P119" t="str">
        <v/>
      </c>
      <c r="Q119">
        <v>10.1</v>
      </c>
      <c r="R119">
        <v>25.83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>
        <v>88</v>
      </c>
      <c r="AA119" t="str">
        <v>17/09/2026</v>
      </c>
      <c r="AB119" t="str">
        <v>07:32:03</v>
      </c>
      <c r="AC119">
        <f>IF("ONLINE"="NOGPS","GPS Antiguo","En línea")</f>
      </c>
      <c r="AD119">
        <f>IF(0=0,"Sin atender", IF(0=1,"Atendida","Atendida y Reportada"))</f>
      </c>
      <c r="AE119" t="str">
        <v/>
      </c>
      <c r="AF119" t="str">
        <v/>
      </c>
      <c r="AG119" t="str">
        <v/>
      </c>
      <c r="AH119" t="str">
        <v/>
      </c>
      <c r="AI119" t="str">
        <v>17/09/2026 07:32:09</v>
      </c>
      <c r="AJ119" t="str">
        <v>07:32:09</v>
      </c>
      <c r="AK119" t="str">
        <v/>
      </c>
    </row>
    <row r="120">
      <c r="A120">
        <v>119</v>
      </c>
      <c r="B120" t="str">
        <v>MASS BSF</v>
      </c>
      <c r="C120" t="str">
        <v>F8R-810</v>
      </c>
      <c r="D120" t="str">
        <v>F8R-810</v>
      </c>
      <c r="E120" t="str">
        <v>867806078868827</v>
      </c>
      <c r="F120" t="str">
        <v>TBD</v>
      </c>
      <c r="G120" t="str">
        <v/>
      </c>
      <c r="H120" t="str">
        <v/>
      </c>
      <c r="I120" t="str">
        <v>17/09/2026</v>
      </c>
      <c r="J120" t="str">
        <v>07:32:08</v>
      </c>
      <c r="K120">
        <v>-12.278533</v>
      </c>
      <c r="L120">
        <v>-76.868576</v>
      </c>
      <c r="M120">
        <f>HYPERLINK("https://www.google.com/maps/search/?api=1&amp;query=-12.278533,-76.868576","Antigua Panamericana Sur, Lurín, Lima")</f>
      </c>
      <c r="N120" t="str">
        <v>Acelerado y giro brusco</v>
      </c>
      <c r="O120">
        <v>669.2</v>
      </c>
      <c r="P120" t="str">
        <v/>
      </c>
      <c r="Q120">
        <v>0</v>
      </c>
      <c r="R120">
        <v>25.83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>
        <v>88</v>
      </c>
      <c r="AA120" t="str">
        <v>17/09/2026</v>
      </c>
      <c r="AB120" t="str">
        <v>07:32:07</v>
      </c>
      <c r="AC120">
        <f>IF("ONLINE"="NOGPS","GPS Antiguo","En línea")</f>
      </c>
      <c r="AD120">
        <f>IF(0=0,"Sin atender", IF(0=1,"Atendida","Atendida y Reportada"))</f>
      </c>
      <c r="AE120" t="str">
        <v/>
      </c>
      <c r="AF120" t="str">
        <v/>
      </c>
      <c r="AG120" t="str">
        <v/>
      </c>
      <c r="AH120" t="str">
        <v/>
      </c>
      <c r="AI120" t="str">
        <v>17/09/2026 07:32:27</v>
      </c>
      <c r="AJ120" t="str">
        <v>07:32:27</v>
      </c>
      <c r="AK120" t="str">
        <v/>
      </c>
    </row>
    <row r="121">
      <c r="A121">
        <v>120</v>
      </c>
      <c r="B121" t="str">
        <v>MASS BSF</v>
      </c>
      <c r="C121" t="str">
        <v>F8R-810</v>
      </c>
      <c r="D121" t="str">
        <v>F8R-810</v>
      </c>
      <c r="E121" t="str">
        <v>867806078868827</v>
      </c>
      <c r="F121" t="str">
        <v>TBD</v>
      </c>
      <c r="G121" t="str">
        <v/>
      </c>
      <c r="H121" t="str">
        <v/>
      </c>
      <c r="I121" t="str">
        <v>17/09/2026</v>
      </c>
      <c r="J121" t="str">
        <v>07:32:24</v>
      </c>
      <c r="K121">
        <v>-12.278671</v>
      </c>
      <c r="L121">
        <v>-76.86841</v>
      </c>
      <c r="M121">
        <f>HYPERLINK("https://www.google.com/maps/search/?api=1&amp;query=-12.278671,-76.86841","Antigua Panamericana Sur, Lurín, Lima")</f>
      </c>
      <c r="N121" t="str">
        <v>Acelerado y giro brusco</v>
      </c>
      <c r="O121">
        <v>669.2</v>
      </c>
      <c r="P121" t="str">
        <v/>
      </c>
      <c r="Q121">
        <v>14</v>
      </c>
      <c r="R121">
        <v>25.83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>
        <v>88</v>
      </c>
      <c r="AA121" t="str">
        <v>17/09/2026</v>
      </c>
      <c r="AB121" t="str">
        <v>07:32:23</v>
      </c>
      <c r="AC121">
        <f>IF("ONLINE"="NOGPS","GPS Antiguo","En línea")</f>
      </c>
      <c r="AD121">
        <f>IF(0=0,"Sin atender", IF(0=1,"Atendida","Atendida y Reportada"))</f>
      </c>
      <c r="AE121" t="str">
        <v/>
      </c>
      <c r="AF121" t="str">
        <v/>
      </c>
      <c r="AG121" t="str">
        <v/>
      </c>
      <c r="AH121" t="str">
        <v/>
      </c>
      <c r="AI121" t="str">
        <v>17/09/2026 07:32:46</v>
      </c>
      <c r="AJ121" t="str">
        <v>07:32:46</v>
      </c>
      <c r="AK121" t="str">
        <v/>
      </c>
    </row>
    <row r="122">
      <c r="A122">
        <v>121</v>
      </c>
      <c r="B122" t="str">
        <v>MASS BSF</v>
      </c>
      <c r="C122" t="str">
        <v>F8R-810</v>
      </c>
      <c r="D122" t="str">
        <v>F8R-810</v>
      </c>
      <c r="E122" t="str">
        <v>867806078868827</v>
      </c>
      <c r="F122" t="str">
        <v>TBD</v>
      </c>
      <c r="G122" t="str">
        <v/>
      </c>
      <c r="H122" t="str">
        <v/>
      </c>
      <c r="I122" t="str">
        <v>17/09/2026</v>
      </c>
      <c r="J122" t="str">
        <v>07:32:31</v>
      </c>
      <c r="K122">
        <v>-12.278929</v>
      </c>
      <c r="L122">
        <v>-76.86818</v>
      </c>
      <c r="M122">
        <f>HYPERLINK("https://www.google.com/maps/search/?api=1&amp;query=-12.278929,-76.86818","Antigua Panamericana Sur, Lurín, Lima")</f>
      </c>
      <c r="N122" t="str">
        <v>Aceleración brusca</v>
      </c>
      <c r="O122">
        <v>669.3</v>
      </c>
      <c r="P122" t="str">
        <v/>
      </c>
      <c r="Q122">
        <v>29.2</v>
      </c>
      <c r="R122">
        <v>25.83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>
        <v>88</v>
      </c>
      <c r="AA122" t="str">
        <v>17/09/2026</v>
      </c>
      <c r="AB122" t="str">
        <v>07:32:30</v>
      </c>
      <c r="AC122">
        <f>IF("ONLINE"="NOGPS","GPS Antiguo","En línea")</f>
      </c>
      <c r="AD122">
        <f>IF(0=0,"Sin atender", IF(0=1,"Atendida","Atendida y Reportada"))</f>
      </c>
      <c r="AE122" t="str">
        <v/>
      </c>
      <c r="AF122" t="str">
        <v/>
      </c>
      <c r="AG122" t="str">
        <v/>
      </c>
      <c r="AH122" t="str">
        <v/>
      </c>
      <c r="AI122" t="str">
        <v>17/09/2026 07:32:39</v>
      </c>
      <c r="AJ122" t="str">
        <v>07:32:39</v>
      </c>
      <c r="AK122" t="str">
        <v/>
      </c>
    </row>
    <row r="123">
      <c r="A123">
        <v>122</v>
      </c>
      <c r="B123" t="str">
        <v>MASS BSF</v>
      </c>
      <c r="C123" t="str">
        <v>F8R-810</v>
      </c>
      <c r="D123" t="str">
        <v>F8R-810</v>
      </c>
      <c r="E123" t="str">
        <v>867806078868827</v>
      </c>
      <c r="F123" t="str">
        <v>TBD</v>
      </c>
      <c r="G123" t="str">
        <v/>
      </c>
      <c r="H123" t="str">
        <v/>
      </c>
      <c r="I123" t="str">
        <v>17/09/2026</v>
      </c>
      <c r="J123" t="str">
        <v>07:32:39</v>
      </c>
      <c r="K123">
        <v>-12.279478</v>
      </c>
      <c r="L123">
        <v>-76.8677</v>
      </c>
      <c r="M123">
        <f>HYPERLINK("https://www.google.com/maps/search/?api=1&amp;query=-12.279478,-76.8677","Antigua Panamericana Sur, Lurín, Lima")</f>
      </c>
      <c r="N123" t="str">
        <v>Aceleración brusca</v>
      </c>
      <c r="O123">
        <v>669.4</v>
      </c>
      <c r="P123" t="str">
        <v/>
      </c>
      <c r="Q123">
        <v>43.8</v>
      </c>
      <c r="R123">
        <v>25.83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>
        <v>88</v>
      </c>
      <c r="AA123" t="str">
        <v>17/09/2026</v>
      </c>
      <c r="AB123" t="str">
        <v>07:32:38</v>
      </c>
      <c r="AC123">
        <f>IF("ONLINE"="NOGPS","GPS Antiguo","En línea")</f>
      </c>
      <c r="AD123">
        <f>IF(0=0,"Sin atender", IF(0=1,"Atendida","Atendida y Reportada"))</f>
      </c>
      <c r="AE123" t="str">
        <v/>
      </c>
      <c r="AF123" t="str">
        <v/>
      </c>
      <c r="AG123" t="str">
        <v/>
      </c>
      <c r="AH123" t="str">
        <v/>
      </c>
      <c r="AI123" t="str">
        <v>17/09/2026 07:33:00</v>
      </c>
      <c r="AJ123" t="str">
        <v>07:33:00</v>
      </c>
      <c r="AK123" t="str">
        <v/>
      </c>
    </row>
    <row r="124">
      <c r="A124">
        <v>123</v>
      </c>
      <c r="B124" t="str">
        <v>MASS BSF</v>
      </c>
      <c r="C124" t="str">
        <v>F8R-810</v>
      </c>
      <c r="D124" t="str">
        <v>F8R-810</v>
      </c>
      <c r="E124" t="str">
        <v>867806078868827</v>
      </c>
      <c r="F124" t="str">
        <v>TBD</v>
      </c>
      <c r="G124" t="str">
        <v/>
      </c>
      <c r="H124" t="str">
        <v/>
      </c>
      <c r="I124" t="str">
        <v>17/09/2026</v>
      </c>
      <c r="J124" t="str">
        <v>07:33:00</v>
      </c>
      <c r="K124">
        <v>-12.281598</v>
      </c>
      <c r="L124">
        <v>-76.865845</v>
      </c>
      <c r="M124">
        <f>HYPERLINK("https://www.google.com/maps/search/?api=1&amp;query=-12.281598,-76.865845","Antigua Panamericana Sur, Lurín, Lima")</f>
      </c>
      <c r="N124" t="str">
        <v>Bache</v>
      </c>
      <c r="O124">
        <v>669.7</v>
      </c>
      <c r="P124" t="str">
        <v/>
      </c>
      <c r="Q124">
        <v>56.3</v>
      </c>
      <c r="R124">
        <v>25.83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>
        <v>88</v>
      </c>
      <c r="AA124" t="str">
        <v>17/09/2026</v>
      </c>
      <c r="AB124" t="str">
        <v>07:32:59</v>
      </c>
      <c r="AC124">
        <f>IF("ONLINE"="NOGPS","GPS Antiguo","En línea")</f>
      </c>
      <c r="AD124">
        <f>IF(0=0,"Sin atender", IF(0=1,"Atendida","Atendida y Reportada"))</f>
      </c>
      <c r="AE124" t="str">
        <v/>
      </c>
      <c r="AF124" t="str">
        <v/>
      </c>
      <c r="AG124" t="str">
        <v/>
      </c>
      <c r="AH124" t="str">
        <v/>
      </c>
      <c r="AI124" t="str">
        <v>17/09/2026 07:33:31</v>
      </c>
      <c r="AJ124" t="str">
        <v>07:33:31</v>
      </c>
      <c r="AK124" t="str">
        <v/>
      </c>
    </row>
    <row r="125">
      <c r="A125">
        <v>124</v>
      </c>
      <c r="B125" t="str">
        <v>MASS BSF</v>
      </c>
      <c r="C125" t="str">
        <v>F8R-810</v>
      </c>
      <c r="D125" t="str">
        <v>F8R-810</v>
      </c>
      <c r="E125" t="str">
        <v>867806078868827</v>
      </c>
      <c r="F125" t="str">
        <v>TBD</v>
      </c>
      <c r="G125" t="str">
        <v/>
      </c>
      <c r="H125" t="str">
        <v/>
      </c>
      <c r="I125" t="str">
        <v>17/09/2026</v>
      </c>
      <c r="J125" t="str">
        <v>07:33:15</v>
      </c>
      <c r="K125">
        <v>-12.282977</v>
      </c>
      <c r="L125">
        <v>-76.86457</v>
      </c>
      <c r="M125">
        <f>HYPERLINK("https://www.google.com/maps/search/?api=1&amp;query=-12.282977,-76.86457","Antigua Panamericana Sur, Lurín, Lima")</f>
      </c>
      <c r="N125" t="str">
        <v>Acelerado y giro brusco</v>
      </c>
      <c r="O125">
        <v>669.9</v>
      </c>
      <c r="P125" t="str">
        <v/>
      </c>
      <c r="Q125">
        <v>37</v>
      </c>
      <c r="R125">
        <v>25.83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>
        <v>88</v>
      </c>
      <c r="AA125" t="str">
        <v>17/09/2026</v>
      </c>
      <c r="AB125" t="str">
        <v>07:33:15</v>
      </c>
      <c r="AC125">
        <f>IF("ONLINE"="NOGPS","GPS Antiguo","En línea")</f>
      </c>
      <c r="AD125">
        <f>IF(0=0,"Sin atender", IF(0=1,"Atendida","Atendida y Reportada"))</f>
      </c>
      <c r="AE125" t="str">
        <v/>
      </c>
      <c r="AF125" t="str">
        <v/>
      </c>
      <c r="AG125" t="str">
        <v/>
      </c>
      <c r="AH125" t="str">
        <v/>
      </c>
      <c r="AI125" t="str">
        <v>17/09/2026 07:33:49</v>
      </c>
      <c r="AJ125" t="str">
        <v>07:33:49</v>
      </c>
      <c r="AK125" t="str">
        <v/>
      </c>
    </row>
    <row r="126">
      <c r="A126">
        <v>125</v>
      </c>
      <c r="B126" t="str">
        <v>MASS BSF</v>
      </c>
      <c r="C126" t="str">
        <v>F8R-810</v>
      </c>
      <c r="D126" t="str">
        <v>F8R-810</v>
      </c>
      <c r="E126" t="str">
        <v>867806078868827</v>
      </c>
      <c r="F126" t="str">
        <v>TBD</v>
      </c>
      <c r="G126" t="str">
        <v/>
      </c>
      <c r="H126" t="str">
        <v/>
      </c>
      <c r="I126" t="str">
        <v>17/09/2026</v>
      </c>
      <c r="J126" t="str">
        <v>07:34:08</v>
      </c>
      <c r="K126">
        <v>-12.286346</v>
      </c>
      <c r="L126">
        <v>-76.861145</v>
      </c>
      <c r="M126">
        <f>HYPERLINK("https://www.google.com/maps/search/?api=1&amp;query=-12.286346,-76.861145","Antigua Panamericana Sur, Lurín, Lima")</f>
      </c>
      <c r="N126" t="str">
        <v>Acelerado y giro brusco</v>
      </c>
      <c r="O126">
        <v>670.4</v>
      </c>
      <c r="P126" t="str">
        <v/>
      </c>
      <c r="Q126">
        <v>34.4</v>
      </c>
      <c r="R126">
        <v>25.83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>
        <v>88</v>
      </c>
      <c r="AA126" t="str">
        <v>17/09/2026</v>
      </c>
      <c r="AB126" t="str">
        <v>07:34:08</v>
      </c>
      <c r="AC126">
        <f>IF("ONLINE"="NOGPS","GPS Antiguo","En línea")</f>
      </c>
      <c r="AD126">
        <f>IF(0=0,"Sin atender", IF(0=1,"Atendida","Atendida y Reportada"))</f>
      </c>
      <c r="AE126" t="str">
        <v/>
      </c>
      <c r="AF126" t="str">
        <v/>
      </c>
      <c r="AG126" t="str">
        <v/>
      </c>
      <c r="AH126" t="str">
        <v/>
      </c>
      <c r="AI126" t="str">
        <v>17/09/2026 07:34:32</v>
      </c>
      <c r="AJ126" t="str">
        <v>07:34:32</v>
      </c>
      <c r="AK126" t="str">
        <v/>
      </c>
    </row>
    <row r="127">
      <c r="A127">
        <v>126</v>
      </c>
      <c r="B127" t="str">
        <v>MASS BSF</v>
      </c>
      <c r="C127" t="str">
        <v>F8R-810</v>
      </c>
      <c r="D127" t="str">
        <v>F8R-810</v>
      </c>
      <c r="E127" t="str">
        <v>867806078868827</v>
      </c>
      <c r="F127" t="str">
        <v>TBD</v>
      </c>
      <c r="G127" t="str">
        <v/>
      </c>
      <c r="H127" t="str">
        <v/>
      </c>
      <c r="I127" t="str">
        <v>17/09/2026</v>
      </c>
      <c r="J127" t="str">
        <v>07:34:20</v>
      </c>
      <c r="K127">
        <v>-12.28717</v>
      </c>
      <c r="L127">
        <v>-76.86027</v>
      </c>
      <c r="M127">
        <f>HYPERLINK("https://www.google.com/maps/search/?api=1&amp;query=-12.28717,-76.86027","Antigua Panamericana Sur, Lurín, Lima")</f>
      </c>
      <c r="N127" t="str">
        <v>Aceleración brusca</v>
      </c>
      <c r="O127">
        <v>670.5</v>
      </c>
      <c r="P127" t="str">
        <v/>
      </c>
      <c r="Q127">
        <v>48.7</v>
      </c>
      <c r="R127">
        <v>25.83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>
        <v>88</v>
      </c>
      <c r="AA127" t="str">
        <v>17/09/2026</v>
      </c>
      <c r="AB127" t="str">
        <v>07:34:19</v>
      </c>
      <c r="AC127">
        <f>IF("ONLINE"="NOGPS","GPS Antiguo","En línea")</f>
      </c>
      <c r="AD127">
        <f>IF(0=0,"Sin atender", IF(0=1,"Atendida","Atendida y Reportada"))</f>
      </c>
      <c r="AE127" t="str">
        <v/>
      </c>
      <c r="AF127" t="str">
        <v/>
      </c>
      <c r="AG127" t="str">
        <v/>
      </c>
      <c r="AH127" t="str">
        <v/>
      </c>
      <c r="AI127" t="str">
        <v>17/09/2026 07:34:34</v>
      </c>
      <c r="AJ127" t="str">
        <v>07:34:34</v>
      </c>
      <c r="AK127" t="str">
        <v/>
      </c>
    </row>
    <row r="128">
      <c r="A128">
        <v>127</v>
      </c>
      <c r="B128" t="str">
        <v>MASS BSF</v>
      </c>
      <c r="C128" t="str">
        <v>F8R-810</v>
      </c>
      <c r="D128" t="str">
        <v>F8R-810</v>
      </c>
      <c r="E128" t="str">
        <v>867806078868827</v>
      </c>
      <c r="F128" t="str">
        <v>TBD</v>
      </c>
      <c r="G128" t="str">
        <v/>
      </c>
      <c r="H128" t="str">
        <v/>
      </c>
      <c r="I128" t="str">
        <v>17/09/2026</v>
      </c>
      <c r="J128" t="str">
        <v>07:34:58</v>
      </c>
      <c r="K128">
        <v>-12.289045</v>
      </c>
      <c r="L128">
        <v>-76.85833</v>
      </c>
      <c r="M128">
        <f>HYPERLINK("https://www.google.com/maps/search/?api=1&amp;query=-12.289045,-76.85833","Antigua Panamericana Sur, Lurín, Lima")</f>
      </c>
      <c r="N128" t="str">
        <v>Acelerado y giro brusco</v>
      </c>
      <c r="O128">
        <v>670.8</v>
      </c>
      <c r="P128" t="str">
        <v/>
      </c>
      <c r="Q128">
        <v>16.8</v>
      </c>
      <c r="R128">
        <v>25.83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>
        <v>85</v>
      </c>
      <c r="AA128" t="str">
        <v>17/09/2026</v>
      </c>
      <c r="AB128" t="str">
        <v>07:34:58</v>
      </c>
      <c r="AC128">
        <f>IF("ONLINE"="NOGPS","GPS Antiguo","En línea")</f>
      </c>
      <c r="AD128">
        <f>IF(0=0,"Sin atender", IF(0=1,"Atendida","Atendida y Reportada"))</f>
      </c>
      <c r="AE128" t="str">
        <v/>
      </c>
      <c r="AF128" t="str">
        <v/>
      </c>
      <c r="AG128" t="str">
        <v/>
      </c>
      <c r="AH128" t="str">
        <v/>
      </c>
      <c r="AI128" t="str">
        <v>17/09/2026 07:35:27</v>
      </c>
      <c r="AJ128" t="str">
        <v>07:35:27</v>
      </c>
      <c r="AK128" t="str">
        <v/>
      </c>
    </row>
    <row r="129">
      <c r="A129">
        <v>128</v>
      </c>
      <c r="B129" t="str">
        <v>MASS BSF</v>
      </c>
      <c r="C129" t="str">
        <v>F8R-810</v>
      </c>
      <c r="D129" t="str">
        <v>F8R-810</v>
      </c>
      <c r="E129" t="str">
        <v>867806078868827</v>
      </c>
      <c r="F129" t="str">
        <v>TBD</v>
      </c>
      <c r="G129" t="str">
        <v/>
      </c>
      <c r="H129" t="str">
        <v/>
      </c>
      <c r="I129" t="str">
        <v>17/09/2026</v>
      </c>
      <c r="J129" t="str">
        <v>07:35:08</v>
      </c>
      <c r="K129">
        <v>-12.28936</v>
      </c>
      <c r="L129">
        <v>-76.85801</v>
      </c>
      <c r="M129">
        <f>HYPERLINK("https://www.google.com/maps/search/?api=1&amp;query=-12.28936,-76.85801","Antigua Panamericana Sur, Lurín, Lima")</f>
      </c>
      <c r="N129" t="str">
        <v>Acelerado y giro brusco</v>
      </c>
      <c r="O129">
        <v>670.9</v>
      </c>
      <c r="P129" t="str">
        <v/>
      </c>
      <c r="Q129">
        <v>26.8</v>
      </c>
      <c r="R129">
        <v>25.83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>
        <v>85</v>
      </c>
      <c r="AA129" t="str">
        <v>17/09/2026</v>
      </c>
      <c r="AB129" t="str">
        <v>07:35:07</v>
      </c>
      <c r="AC129">
        <f>IF("ONLINE"="NOGPS","GPS Antiguo","En línea")</f>
      </c>
      <c r="AD129">
        <f>IF(0=0,"Sin atender", IF(0=1,"Atendida","Atendida y Reportada"))</f>
      </c>
      <c r="AE129" t="str">
        <v/>
      </c>
      <c r="AF129" t="str">
        <v/>
      </c>
      <c r="AG129" t="str">
        <v/>
      </c>
      <c r="AH129" t="str">
        <v/>
      </c>
      <c r="AI129" t="str">
        <v>17/09/2026 07:35:32</v>
      </c>
      <c r="AJ129" t="str">
        <v>07:35:32</v>
      </c>
      <c r="AK129" t="str">
        <v/>
      </c>
    </row>
    <row r="130">
      <c r="A130">
        <v>129</v>
      </c>
      <c r="B130" t="str">
        <v>MASS BSF</v>
      </c>
      <c r="C130" t="str">
        <v>F8R-810</v>
      </c>
      <c r="D130" t="str">
        <v>F8R-810</v>
      </c>
      <c r="E130" t="str">
        <v>867806078868827</v>
      </c>
      <c r="F130" t="str">
        <v>TBD</v>
      </c>
      <c r="G130" t="str">
        <v/>
      </c>
      <c r="H130" t="str">
        <v/>
      </c>
      <c r="I130" t="str">
        <v>17/09/2026</v>
      </c>
      <c r="J130" t="str">
        <v>07:35:33</v>
      </c>
      <c r="K130">
        <v>-12.290539</v>
      </c>
      <c r="L130">
        <v>-76.8568</v>
      </c>
      <c r="M130">
        <f>HYPERLINK("https://www.google.com/maps/search/?api=1&amp;query=-12.290539,-76.8568","Antigua Panamericana Sur, Lurín, Lima")</f>
      </c>
      <c r="N130" t="str">
        <v>Acelerado y giro brusco</v>
      </c>
      <c r="O130">
        <v>671</v>
      </c>
      <c r="P130" t="str">
        <v/>
      </c>
      <c r="Q130">
        <v>16.1</v>
      </c>
      <c r="R130">
        <v>25.83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>
        <v>85</v>
      </c>
      <c r="AA130" t="str">
        <v>17/09/2026</v>
      </c>
      <c r="AB130" t="str">
        <v>07:35:33</v>
      </c>
      <c r="AC130">
        <f>IF("ONLINE"="NOGPS","GPS Antiguo","En línea")</f>
      </c>
      <c r="AD130">
        <f>IF(0=0,"Sin atender", IF(0=1,"Atendida","Atendida y Reportada"))</f>
      </c>
      <c r="AE130" t="str">
        <v/>
      </c>
      <c r="AF130" t="str">
        <v/>
      </c>
      <c r="AG130" t="str">
        <v/>
      </c>
      <c r="AH130" t="str">
        <v/>
      </c>
      <c r="AI130" t="str">
        <v>17/09/2026 07:36:21</v>
      </c>
      <c r="AJ130" t="str">
        <v>07:36:21</v>
      </c>
      <c r="AK130" t="str">
        <v/>
      </c>
    </row>
    <row r="131">
      <c r="A131">
        <v>130</v>
      </c>
      <c r="B131" t="str">
        <v>MASS BSF</v>
      </c>
      <c r="C131" t="str">
        <v>F8R-810</v>
      </c>
      <c r="D131" t="str">
        <v>F8R-810</v>
      </c>
      <c r="E131" t="str">
        <v>867806078868827</v>
      </c>
      <c r="F131" t="str">
        <v>TBD</v>
      </c>
      <c r="G131" t="str">
        <v/>
      </c>
      <c r="H131" t="str">
        <v/>
      </c>
      <c r="I131" t="str">
        <v>17/09/2026</v>
      </c>
      <c r="J131" t="str">
        <v>07:36:06</v>
      </c>
      <c r="K131">
        <v>-12.29083</v>
      </c>
      <c r="L131">
        <v>-76.8565</v>
      </c>
      <c r="M131">
        <f>HYPERLINK("https://www.google.com/maps/search/?api=1&amp;query=-12.29083,-76.8565","Antigua Panamericana Sur, Lurín, Lima")</f>
      </c>
      <c r="N131" t="str">
        <v>Acelerado y giro brusco</v>
      </c>
      <c r="O131">
        <v>671.1</v>
      </c>
      <c r="P131" t="str">
        <v/>
      </c>
      <c r="Q131">
        <v>13.1</v>
      </c>
      <c r="R131">
        <v>25.83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>
        <v>85</v>
      </c>
      <c r="AA131" t="str">
        <v>17/09/2026</v>
      </c>
      <c r="AB131" t="str">
        <v>07:36:05</v>
      </c>
      <c r="AC131">
        <f>IF("ONLINE"="NOGPS","GPS Antiguo","En línea")</f>
      </c>
      <c r="AD131">
        <f>IF(0=0,"Sin atender", IF(0=1,"Atendida","Atendida y Reportada"))</f>
      </c>
      <c r="AE131" t="str">
        <v/>
      </c>
      <c r="AF131" t="str">
        <v/>
      </c>
      <c r="AG131" t="str">
        <v/>
      </c>
      <c r="AH131" t="str">
        <v/>
      </c>
      <c r="AI131" t="str">
        <v>17/09/2026 07:36:19</v>
      </c>
      <c r="AJ131" t="str">
        <v>07:36:19</v>
      </c>
      <c r="AK131" t="str">
        <v/>
      </c>
    </row>
    <row r="132">
      <c r="A132">
        <v>131</v>
      </c>
      <c r="B132" t="str">
        <v>MASS BSF</v>
      </c>
      <c r="C132" t="str">
        <v>F8R-810</v>
      </c>
      <c r="D132" t="str">
        <v>F8R-810</v>
      </c>
      <c r="E132" t="str">
        <v>867806078868827</v>
      </c>
      <c r="F132" t="str">
        <v>TBD</v>
      </c>
      <c r="G132" t="str">
        <v/>
      </c>
      <c r="H132" t="str">
        <v/>
      </c>
      <c r="I132" t="str">
        <v>17/09/2026</v>
      </c>
      <c r="J132" t="str">
        <v>07:36:12</v>
      </c>
      <c r="K132">
        <v>-12.29105</v>
      </c>
      <c r="L132">
        <v>-76.85627</v>
      </c>
      <c r="M132">
        <f>HYPERLINK("https://www.google.com/maps/search/?api=1&amp;query=-12.29105,-76.85627","Antigua Panamericana Sur, Lurín, Lima")</f>
      </c>
      <c r="N132" t="str">
        <v>Acelerado y giro brusco</v>
      </c>
      <c r="O132">
        <v>671.1</v>
      </c>
      <c r="P132" t="str">
        <v/>
      </c>
      <c r="Q132">
        <v>29.4</v>
      </c>
      <c r="R132">
        <v>25.83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>
        <v>85</v>
      </c>
      <c r="AA132" t="str">
        <v>17/09/2026</v>
      </c>
      <c r="AB132" t="str">
        <v>07:36:11</v>
      </c>
      <c r="AC132">
        <f>IF("ONLINE"="NOGPS","GPS Antiguo","En línea")</f>
      </c>
      <c r="AD132">
        <f>IF(0=0,"Sin atender", IF(0=1,"Atendida","Atendida y Reportada"))</f>
      </c>
      <c r="AE132" t="str">
        <v/>
      </c>
      <c r="AF132" t="str">
        <v/>
      </c>
      <c r="AG132" t="str">
        <v/>
      </c>
      <c r="AH132" t="str">
        <v/>
      </c>
      <c r="AI132" t="str">
        <v>17/09/2026 07:36:28</v>
      </c>
      <c r="AJ132" t="str">
        <v>07:36:28</v>
      </c>
      <c r="AK132" t="str">
        <v/>
      </c>
    </row>
    <row r="133">
      <c r="A133">
        <v>132</v>
      </c>
      <c r="B133" t="str">
        <v>MASS BSF</v>
      </c>
      <c r="C133" t="str">
        <v>F8R-810</v>
      </c>
      <c r="D133" t="str">
        <v>F8R-810</v>
      </c>
      <c r="E133" t="str">
        <v>867806078868827</v>
      </c>
      <c r="F133" t="str">
        <v>TBD</v>
      </c>
      <c r="G133" t="str">
        <v/>
      </c>
      <c r="H133" t="str">
        <v/>
      </c>
      <c r="I133" t="str">
        <v>17/09/2026</v>
      </c>
      <c r="J133" t="str">
        <v>07:36:20</v>
      </c>
      <c r="K133">
        <v>-12.291542</v>
      </c>
      <c r="L133">
        <v>-76.85577</v>
      </c>
      <c r="M133">
        <f>HYPERLINK("https://www.google.com/maps/search/?api=1&amp;query=-12.291542,-76.85577","Antigua Panamericana Sur, Lurín, Lima")</f>
      </c>
      <c r="N133" t="str">
        <v>Aceleración brusca</v>
      </c>
      <c r="O133">
        <v>671.2</v>
      </c>
      <c r="P133" t="str">
        <v/>
      </c>
      <c r="Q133">
        <v>41.6</v>
      </c>
      <c r="R133">
        <v>25.83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>
        <v>85</v>
      </c>
      <c r="AA133" t="str">
        <v>17/09/2026</v>
      </c>
      <c r="AB133" t="str">
        <v>07:36:19</v>
      </c>
      <c r="AC133">
        <f>IF("ONLINE"="NOGPS","GPS Antiguo","En línea")</f>
      </c>
      <c r="AD133">
        <f>IF(0=0,"Sin atender", IF(0=1,"Atendida","Atendida y Reportada"))</f>
      </c>
      <c r="AE133" t="str">
        <v/>
      </c>
      <c r="AF133" t="str">
        <v/>
      </c>
      <c r="AG133" t="str">
        <v/>
      </c>
      <c r="AH133" t="str">
        <v/>
      </c>
      <c r="AI133" t="str">
        <v>17/09/2026 07:36:47</v>
      </c>
      <c r="AJ133" t="str">
        <v>07:36:47</v>
      </c>
      <c r="AK133" t="str">
        <v/>
      </c>
    </row>
    <row r="134">
      <c r="A134">
        <v>133</v>
      </c>
      <c r="B134" t="str">
        <v>MASS BSF</v>
      </c>
      <c r="C134" t="str">
        <v>F8R-810</v>
      </c>
      <c r="D134" t="str">
        <v>F8R-810</v>
      </c>
      <c r="E134" t="str">
        <v>867806078868827</v>
      </c>
      <c r="F134" t="str">
        <v>TBD</v>
      </c>
      <c r="G134" t="str">
        <v/>
      </c>
      <c r="H134" t="str">
        <v/>
      </c>
      <c r="I134" t="str">
        <v>17/09/2026</v>
      </c>
      <c r="J134" t="str">
        <v>07:36:43</v>
      </c>
      <c r="K134">
        <v>-12.292983</v>
      </c>
      <c r="L134">
        <v>-76.85429</v>
      </c>
      <c r="M134">
        <f>HYPERLINK("https://www.google.com/maps/search/?api=1&amp;query=-12.292983,-76.85429","Antigua Panamericana Sur, Lurín, Lima")</f>
      </c>
      <c r="N134" t="str">
        <v>Acelerado y giro brusco</v>
      </c>
      <c r="O134">
        <v>671.4</v>
      </c>
      <c r="P134" t="str">
        <v/>
      </c>
      <c r="Q134">
        <v>27.9</v>
      </c>
      <c r="R134">
        <v>25.83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>
        <v>85</v>
      </c>
      <c r="AA134" t="str">
        <v>17/09/2026</v>
      </c>
      <c r="AB134" t="str">
        <v>07:36:42</v>
      </c>
      <c r="AC134">
        <f>IF("ONLINE"="NOGPS","GPS Antiguo","En línea")</f>
      </c>
      <c r="AD134">
        <f>IF(0=0,"Sin atender", IF(0=1,"Atendida","Atendida y Reportada"))</f>
      </c>
      <c r="AE134" t="str">
        <v/>
      </c>
      <c r="AF134" t="str">
        <v/>
      </c>
      <c r="AG134" t="str">
        <v/>
      </c>
      <c r="AH134" t="str">
        <v/>
      </c>
      <c r="AI134" t="str">
        <v>17/09/2026 07:36:59</v>
      </c>
      <c r="AJ134" t="str">
        <v>07:36:59</v>
      </c>
      <c r="AK134" t="str">
        <v/>
      </c>
    </row>
    <row r="135">
      <c r="A135">
        <v>134</v>
      </c>
      <c r="B135" t="str">
        <v>MASS BSF</v>
      </c>
      <c r="C135" t="str">
        <v>F8R-810</v>
      </c>
      <c r="D135" t="str">
        <v>F8R-810</v>
      </c>
      <c r="E135" t="str">
        <v>867806078868827</v>
      </c>
      <c r="F135" t="str">
        <v>TBD</v>
      </c>
      <c r="G135" t="str">
        <v/>
      </c>
      <c r="H135" t="str">
        <v/>
      </c>
      <c r="I135" t="str">
        <v>17/09/2026</v>
      </c>
      <c r="J135" t="str">
        <v>07:36:47</v>
      </c>
      <c r="K135">
        <v>-12.2932</v>
      </c>
      <c r="L135">
        <v>-76.854065</v>
      </c>
      <c r="M135">
        <f>HYPERLINK("https://www.google.com/maps/search/?api=1&amp;query=-12.2932,-76.854065","Antigua Panamericana Sur, Lurín, Lima")</f>
      </c>
      <c r="N135" t="str">
        <v>Acelerado y giro brusco</v>
      </c>
      <c r="O135">
        <v>671.5</v>
      </c>
      <c r="P135" t="str">
        <v/>
      </c>
      <c r="Q135">
        <v>33.7</v>
      </c>
      <c r="R135">
        <v>25.83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>
        <v>85</v>
      </c>
      <c r="AA135" t="str">
        <v>17/09/2026</v>
      </c>
      <c r="AB135" t="str">
        <v>07:36:46</v>
      </c>
      <c r="AC135">
        <f>IF("ONLINE"="NOGPS","GPS Antiguo","En línea")</f>
      </c>
      <c r="AD135">
        <f>IF(0=0,"Sin atender", IF(0=1,"Atendida","Atendida y Reportada"))</f>
      </c>
      <c r="AE135" t="str">
        <v/>
      </c>
      <c r="AF135" t="str">
        <v/>
      </c>
      <c r="AG135" t="str">
        <v/>
      </c>
      <c r="AH135" t="str">
        <v/>
      </c>
      <c r="AI135" t="str">
        <v>17/09/2026 07:37:16</v>
      </c>
      <c r="AJ135" t="str">
        <v>07:37:16</v>
      </c>
      <c r="AK135" t="str">
        <v/>
      </c>
    </row>
    <row r="136">
      <c r="A136">
        <v>135</v>
      </c>
      <c r="B136" t="str">
        <v>MASS BSF</v>
      </c>
      <c r="C136" t="str">
        <v>F8R-810</v>
      </c>
      <c r="D136" t="str">
        <v>F8R-810</v>
      </c>
      <c r="E136" t="str">
        <v>867806078868827</v>
      </c>
      <c r="F136" t="str">
        <v>TBD</v>
      </c>
      <c r="G136" t="str">
        <v/>
      </c>
      <c r="H136" t="str">
        <v/>
      </c>
      <c r="I136" t="str">
        <v>17/09/2026</v>
      </c>
      <c r="J136" t="str">
        <v>07:36:54</v>
      </c>
      <c r="K136">
        <v>-12.293571</v>
      </c>
      <c r="L136">
        <v>-76.85368</v>
      </c>
      <c r="M136">
        <f>HYPERLINK("https://www.google.com/maps/search/?api=1&amp;query=-12.293571,-76.85368","Antigua Panamericana Sur, Lurín, Lima")</f>
      </c>
      <c r="N136" t="str">
        <v>Bache</v>
      </c>
      <c r="O136">
        <v>671.5</v>
      </c>
      <c r="P136" t="str">
        <v/>
      </c>
      <c r="Q136">
        <v>25</v>
      </c>
      <c r="R136">
        <v>25.83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>
        <v>85</v>
      </c>
      <c r="AA136" t="str">
        <v>17/09/2026</v>
      </c>
      <c r="AB136" t="str">
        <v>07:36:54</v>
      </c>
      <c r="AC136">
        <f>IF("ONLINE"="NOGPS","GPS Antiguo","En línea")</f>
      </c>
      <c r="AD136">
        <f>IF(0=0,"Sin atender", IF(0=1,"Atendida","Atendida y Reportada"))</f>
      </c>
      <c r="AE136" t="str">
        <v/>
      </c>
      <c r="AF136" t="str">
        <v/>
      </c>
      <c r="AG136" t="str">
        <v/>
      </c>
      <c r="AH136" t="str">
        <v/>
      </c>
      <c r="AI136" t="str">
        <v>17/09/2026 07:37:02</v>
      </c>
      <c r="AJ136" t="str">
        <v>07:37:02</v>
      </c>
      <c r="AK136" t="str">
        <v/>
      </c>
    </row>
    <row r="137">
      <c r="A137">
        <v>136</v>
      </c>
      <c r="B137" t="str">
        <v>MASS BSF</v>
      </c>
      <c r="C137" t="str">
        <v>F8R-810</v>
      </c>
      <c r="D137" t="str">
        <v>F8R-810</v>
      </c>
      <c r="E137" t="str">
        <v>867806078868827</v>
      </c>
      <c r="F137" t="str">
        <v>TBD</v>
      </c>
      <c r="G137" t="str">
        <v/>
      </c>
      <c r="H137" t="str">
        <v/>
      </c>
      <c r="I137" t="str">
        <v>17/09/2026</v>
      </c>
      <c r="J137" t="str">
        <v>07:37:08</v>
      </c>
      <c r="K137">
        <v>-12.294335</v>
      </c>
      <c r="L137">
        <v>-76.852936</v>
      </c>
      <c r="M137">
        <f>HYPERLINK("https://www.google.com/maps/search/?api=1&amp;query=-12.294335,-76.852936","Antigua Panamericana Sur, Lurín, Lima")</f>
      </c>
      <c r="N137" t="str">
        <v>Acelerado y giro brusco</v>
      </c>
      <c r="O137">
        <v>671.6</v>
      </c>
      <c r="P137" t="str">
        <v/>
      </c>
      <c r="Q137">
        <v>25.3</v>
      </c>
      <c r="R137">
        <v>25.83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>
        <v>85</v>
      </c>
      <c r="AA137" t="str">
        <v>17/09/2026</v>
      </c>
      <c r="AB137" t="str">
        <v>07:37:07</v>
      </c>
      <c r="AC137">
        <f>IF("ONLINE"="NOGPS","GPS Antiguo","En línea")</f>
      </c>
      <c r="AD137">
        <f>IF(0=0,"Sin atender", IF(0=1,"Atendida","Atendida y Reportada"))</f>
      </c>
      <c r="AE137" t="str">
        <v/>
      </c>
      <c r="AF137" t="str">
        <v/>
      </c>
      <c r="AG137" t="str">
        <v/>
      </c>
      <c r="AH137" t="str">
        <v/>
      </c>
      <c r="AI137" t="str">
        <v>17/09/2026 07:37:46</v>
      </c>
      <c r="AJ137" t="str">
        <v>07:37:46</v>
      </c>
      <c r="AK137" t="str">
        <v/>
      </c>
    </row>
    <row r="138">
      <c r="A138">
        <v>137</v>
      </c>
      <c r="B138" t="str">
        <v>MASS BSF</v>
      </c>
      <c r="C138" t="str">
        <v>F8R-810</v>
      </c>
      <c r="D138" t="str">
        <v>F8R-810</v>
      </c>
      <c r="E138" t="str">
        <v>867806078868827</v>
      </c>
      <c r="F138" t="str">
        <v>TBD</v>
      </c>
      <c r="G138" t="str">
        <v/>
      </c>
      <c r="H138" t="str">
        <v/>
      </c>
      <c r="I138" t="str">
        <v>17/09/2026</v>
      </c>
      <c r="J138" t="str">
        <v>07:37:12</v>
      </c>
      <c r="K138">
        <v>-12.29447</v>
      </c>
      <c r="L138">
        <v>-76.852806</v>
      </c>
      <c r="M138">
        <f>HYPERLINK("https://www.google.com/maps/search/?api=1&amp;query=-12.29447,-76.852806","Antigua Panamericana Sur, Lurín, Lima")</f>
      </c>
      <c r="N138" t="str">
        <v>Acelerado y giro brusco</v>
      </c>
      <c r="O138">
        <v>671.6</v>
      </c>
      <c r="P138" t="str">
        <v/>
      </c>
      <c r="Q138">
        <v>13.5</v>
      </c>
      <c r="R138">
        <v>25.83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>
        <v>85</v>
      </c>
      <c r="AA138" t="str">
        <v>17/09/2026</v>
      </c>
      <c r="AB138" t="str">
        <v>07:37:11</v>
      </c>
      <c r="AC138">
        <f>IF("ONLINE"="NOGPS","GPS Antiguo","En línea")</f>
      </c>
      <c r="AD138">
        <f>IF(0=0,"Sin atender", IF(0=1,"Atendida","Atendida y Reportada"))</f>
      </c>
      <c r="AE138" t="str">
        <v/>
      </c>
      <c r="AF138" t="str">
        <v/>
      </c>
      <c r="AG138" t="str">
        <v/>
      </c>
      <c r="AH138" t="str">
        <v/>
      </c>
      <c r="AI138" t="str">
        <v>17/09/2026 07:37:25</v>
      </c>
      <c r="AJ138" t="str">
        <v>07:37:25</v>
      </c>
      <c r="AK138" t="str">
        <v/>
      </c>
    </row>
    <row r="139">
      <c r="A139">
        <v>138</v>
      </c>
      <c r="B139" t="str">
        <v>MASS BSF</v>
      </c>
      <c r="C139" t="str">
        <v>F8R-810</v>
      </c>
      <c r="D139" t="str">
        <v>F8R-810</v>
      </c>
      <c r="E139" t="str">
        <v>867806078868827</v>
      </c>
      <c r="F139" t="str">
        <v>TBD</v>
      </c>
      <c r="G139" t="str">
        <v/>
      </c>
      <c r="H139" t="str">
        <v/>
      </c>
      <c r="I139" t="str">
        <v>17/09/2026</v>
      </c>
      <c r="J139" t="str">
        <v>07:37:38</v>
      </c>
      <c r="K139">
        <v>-12.294632</v>
      </c>
      <c r="L139">
        <v>-76.85269</v>
      </c>
      <c r="M139">
        <f>HYPERLINK("https://www.google.com/maps/search/?api=1&amp;query=-12.294632,-76.85269","Antigua Panamericana Sur, Lurín, Lima")</f>
      </c>
      <c r="N139" t="str">
        <v>Acelerado y giro brusco</v>
      </c>
      <c r="O139">
        <v>671.7</v>
      </c>
      <c r="P139" t="str">
        <v/>
      </c>
      <c r="Q139">
        <v>13.1</v>
      </c>
      <c r="R139">
        <v>25.83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>
        <v>85</v>
      </c>
      <c r="AA139" t="str">
        <v>17/09/2026</v>
      </c>
      <c r="AB139" t="str">
        <v>07:37:37</v>
      </c>
      <c r="AC139">
        <f>IF("ONLINE"="NOGPS","GPS Antiguo","En línea")</f>
      </c>
      <c r="AD139">
        <f>IF(0=0,"Sin atender", IF(0=1,"Atendida","Atendida y Reportada"))</f>
      </c>
      <c r="AE139" t="str">
        <v/>
      </c>
      <c r="AF139" t="str">
        <v/>
      </c>
      <c r="AG139" t="str">
        <v/>
      </c>
      <c r="AH139" t="str">
        <v/>
      </c>
      <c r="AI139" t="str">
        <v>17/09/2026 07:37:47</v>
      </c>
      <c r="AJ139" t="str">
        <v>07:37:47</v>
      </c>
      <c r="AK139" t="str">
        <v/>
      </c>
    </row>
    <row r="140">
      <c r="A140">
        <v>139</v>
      </c>
      <c r="B140" t="str">
        <v>MASS BSF</v>
      </c>
      <c r="C140" t="str">
        <v>F8R-810</v>
      </c>
      <c r="D140" t="str">
        <v>F8R-810</v>
      </c>
      <c r="E140" t="str">
        <v>867806078868827</v>
      </c>
      <c r="F140" t="str">
        <v>TBD</v>
      </c>
      <c r="G140" t="str">
        <v/>
      </c>
      <c r="H140" t="str">
        <v/>
      </c>
      <c r="I140" t="str">
        <v>17/09/2026</v>
      </c>
      <c r="J140" t="str">
        <v>07:37:43</v>
      </c>
      <c r="K140">
        <v>-12.294784</v>
      </c>
      <c r="L140">
        <v>-76.85257</v>
      </c>
      <c r="M140">
        <f>HYPERLINK("https://www.google.com/maps/search/?api=1&amp;query=-12.294784,-76.85257","Antigua Panamericana Sur, Lurín, Lima")</f>
      </c>
      <c r="N140" t="str">
        <v>Acelerado y giro brusco</v>
      </c>
      <c r="O140">
        <v>671.7</v>
      </c>
      <c r="P140" t="str">
        <v/>
      </c>
      <c r="Q140">
        <v>19.2</v>
      </c>
      <c r="R140">
        <v>25.83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>
        <v>85</v>
      </c>
      <c r="AA140" t="str">
        <v>17/09/2026</v>
      </c>
      <c r="AB140" t="str">
        <v>07:37:42</v>
      </c>
      <c r="AC140">
        <f>IF("ONLINE"="NOGPS","GPS Antiguo","En línea")</f>
      </c>
      <c r="AD140">
        <f>IF(0=0,"Sin atender", IF(0=1,"Atendida","Atendida y Reportada"))</f>
      </c>
      <c r="AE140" t="str">
        <v/>
      </c>
      <c r="AF140" t="str">
        <v/>
      </c>
      <c r="AG140" t="str">
        <v/>
      </c>
      <c r="AH140" t="str">
        <v/>
      </c>
      <c r="AI140" t="str">
        <v>17/09/2026 07:37:49</v>
      </c>
      <c r="AJ140" t="str">
        <v>07:37:49</v>
      </c>
      <c r="AK140" t="str">
        <v/>
      </c>
    </row>
    <row r="141">
      <c r="A141">
        <v>140</v>
      </c>
      <c r="B141" t="str">
        <v>MASS BSF</v>
      </c>
      <c r="C141" t="str">
        <v>F8R-810</v>
      </c>
      <c r="D141" t="str">
        <v>F8R-810</v>
      </c>
      <c r="E141" t="str">
        <v>867806078868827</v>
      </c>
      <c r="F141" t="str">
        <v>TBD</v>
      </c>
      <c r="G141" t="str">
        <v/>
      </c>
      <c r="H141" t="str">
        <v/>
      </c>
      <c r="I141" t="str">
        <v>17/09/2026</v>
      </c>
      <c r="J141" t="str">
        <v>07:37:51</v>
      </c>
      <c r="K141">
        <v>-12.295036</v>
      </c>
      <c r="L141">
        <v>-76.85239</v>
      </c>
      <c r="M141">
        <f>HYPERLINK("https://www.google.com/maps/search/?api=1&amp;query=-12.295036,-76.85239","Antigua Panamericana Sur, Lurín, Lima")</f>
      </c>
      <c r="N141" t="str">
        <v>Acelerado y giro brusco</v>
      </c>
      <c r="O141">
        <v>671.7</v>
      </c>
      <c r="P141" t="str">
        <v/>
      </c>
      <c r="Q141">
        <v>16.2</v>
      </c>
      <c r="R141">
        <v>25.83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>
        <v>85</v>
      </c>
      <c r="AA141" t="str">
        <v>17/09/2026</v>
      </c>
      <c r="AB141" t="str">
        <v>07:37:50</v>
      </c>
      <c r="AC141">
        <f>IF("ONLINE"="NOGPS","GPS Antiguo","En línea")</f>
      </c>
      <c r="AD141">
        <f>IF(0=0,"Sin atender", IF(0=1,"Atendida","Atendida y Reportada"))</f>
      </c>
      <c r="AE141" t="str">
        <v/>
      </c>
      <c r="AF141" t="str">
        <v/>
      </c>
      <c r="AG141" t="str">
        <v/>
      </c>
      <c r="AH141" t="str">
        <v/>
      </c>
      <c r="AI141" t="str">
        <v>17/09/2026 07:38:25</v>
      </c>
      <c r="AJ141" t="str">
        <v>07:38:25</v>
      </c>
      <c r="AK141" t="str">
        <v/>
      </c>
    </row>
    <row r="142">
      <c r="A142">
        <v>141</v>
      </c>
      <c r="B142" t="str">
        <v>MASS BSF</v>
      </c>
      <c r="C142" t="str">
        <v>F8R-810</v>
      </c>
      <c r="D142" t="str">
        <v>F8R-810</v>
      </c>
      <c r="E142" t="str">
        <v>867806078868827</v>
      </c>
      <c r="F142" t="str">
        <v>TBD</v>
      </c>
      <c r="G142" t="str">
        <v/>
      </c>
      <c r="H142" t="str">
        <v/>
      </c>
      <c r="I142" t="str">
        <v>17/09/2026</v>
      </c>
      <c r="J142" t="str">
        <v>07:37:57</v>
      </c>
      <c r="K142">
        <v>-12.295286</v>
      </c>
      <c r="L142">
        <v>-76.85213</v>
      </c>
      <c r="M142">
        <f>HYPERLINK("https://www.google.com/maps/search/?api=1&amp;query=-12.295286,-76.85213","Antigua Panamericana Sur, Lurín, Lima")</f>
      </c>
      <c r="N142" t="str">
        <v>Aceleración brusca</v>
      </c>
      <c r="O142">
        <v>671.8</v>
      </c>
      <c r="P142" t="str">
        <v/>
      </c>
      <c r="Q142">
        <v>21.1</v>
      </c>
      <c r="R142">
        <v>25.83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>
        <v>85</v>
      </c>
      <c r="AA142" t="str">
        <v>17/09/2026</v>
      </c>
      <c r="AB142" t="str">
        <v>07:37:57</v>
      </c>
      <c r="AC142">
        <f>IF("ONLINE"="NOGPS","GPS Antiguo","En línea")</f>
      </c>
      <c r="AD142">
        <f>IF(0=0,"Sin atender", IF(0=1,"Atendida","Atendida y Reportada"))</f>
      </c>
      <c r="AE142" t="str">
        <v/>
      </c>
      <c r="AF142" t="str">
        <v/>
      </c>
      <c r="AG142" t="str">
        <v/>
      </c>
      <c r="AH142" t="str">
        <v/>
      </c>
      <c r="AI142" t="str">
        <v>17/09/2026 07:38:12</v>
      </c>
      <c r="AJ142" t="str">
        <v>07:38:12</v>
      </c>
      <c r="AK142" t="str">
        <v/>
      </c>
    </row>
    <row r="143">
      <c r="A143">
        <v>142</v>
      </c>
      <c r="B143" t="str">
        <v>MASS BSF</v>
      </c>
      <c r="C143" t="str">
        <v>F8R-810</v>
      </c>
      <c r="D143" t="str">
        <v>F8R-810</v>
      </c>
      <c r="E143" t="str">
        <v>867806078868827</v>
      </c>
      <c r="F143" t="str">
        <v>TBD</v>
      </c>
      <c r="G143" t="str">
        <v/>
      </c>
      <c r="H143" t="str">
        <v/>
      </c>
      <c r="I143" t="str">
        <v>17/09/2026</v>
      </c>
      <c r="J143" t="str">
        <v>07:38:01</v>
      </c>
      <c r="K143">
        <v>-12.295386</v>
      </c>
      <c r="L143">
        <v>-76.852036</v>
      </c>
      <c r="M143">
        <f>HYPERLINK("https://www.google.com/maps/search/?api=1&amp;query=-12.295386,-76.852036","Antigua Panamericana Sur, Lurín, Lima")</f>
      </c>
      <c r="N143" t="str">
        <v>Bache</v>
      </c>
      <c r="O143">
        <v>671.8</v>
      </c>
      <c r="P143" t="str">
        <v/>
      </c>
      <c r="Q143">
        <v>15.1</v>
      </c>
      <c r="R143">
        <v>26.07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>
        <v>85</v>
      </c>
      <c r="AA143" t="str">
        <v>17/09/2026</v>
      </c>
      <c r="AB143" t="str">
        <v>07:38:00</v>
      </c>
      <c r="AC143">
        <f>IF("ONLINE"="NOGPS","GPS Antiguo","En línea")</f>
      </c>
      <c r="AD143">
        <f>IF(0=0,"Sin atender", IF(0=1,"Atendida","Atendida y Reportada"))</f>
      </c>
      <c r="AE143" t="str">
        <v/>
      </c>
      <c r="AF143" t="str">
        <v/>
      </c>
      <c r="AG143" t="str">
        <v/>
      </c>
      <c r="AH143" t="str">
        <v/>
      </c>
      <c r="AI143" t="str">
        <v>17/09/2026 07:38:29</v>
      </c>
      <c r="AJ143" t="str">
        <v>07:38:29</v>
      </c>
      <c r="AK143" t="str">
        <v/>
      </c>
    </row>
    <row r="144">
      <c r="A144">
        <v>143</v>
      </c>
      <c r="B144" t="str">
        <v>MASS BSF</v>
      </c>
      <c r="C144" t="str">
        <v>F8R-810</v>
      </c>
      <c r="D144" t="str">
        <v>F8R-810</v>
      </c>
      <c r="E144" t="str">
        <v>867806078868827</v>
      </c>
      <c r="F144" t="str">
        <v>TBD</v>
      </c>
      <c r="G144" t="str">
        <v/>
      </c>
      <c r="H144" t="str">
        <v/>
      </c>
      <c r="I144" t="str">
        <v>17/09/2026</v>
      </c>
      <c r="J144" t="str">
        <v>07:38:12</v>
      </c>
      <c r="K144">
        <v>-12.29553</v>
      </c>
      <c r="L144">
        <v>-76.85191</v>
      </c>
      <c r="M144">
        <f>HYPERLINK("https://www.google.com/maps/search/?api=1&amp;query=-12.29553,-76.85191","Antigua Panamericana Sur, Lurín, Lima")</f>
      </c>
      <c r="N144" t="str">
        <v>Vehículo apagado</v>
      </c>
      <c r="O144">
        <v>671.8</v>
      </c>
      <c r="P144" t="str">
        <v/>
      </c>
      <c r="Q144">
        <v>0</v>
      </c>
      <c r="R144">
        <v>26.07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>
        <v>85</v>
      </c>
      <c r="AA144" t="str">
        <v>17/09/2026</v>
      </c>
      <c r="AB144" t="str">
        <v>07:38:11</v>
      </c>
      <c r="AC144">
        <f>IF("ONLINE"="NOGPS","GPS Antiguo","En línea")</f>
      </c>
      <c r="AD144">
        <f>IF(0=0,"Sin atender", IF(0=1,"Atendida","Atendida y Reportada"))</f>
      </c>
      <c r="AE144" t="str">
        <v/>
      </c>
      <c r="AF144" t="str">
        <v/>
      </c>
      <c r="AG144" t="str">
        <v/>
      </c>
      <c r="AH144" t="str">
        <v/>
      </c>
      <c r="AI144" t="str">
        <v>17/09/2026 07:38:29</v>
      </c>
      <c r="AJ144" t="str">
        <v>07:38:29</v>
      </c>
      <c r="AK144" t="str">
        <v/>
      </c>
    </row>
    <row r="145">
      <c r="A145">
        <v>144</v>
      </c>
      <c r="B145" t="str">
        <v>MASS BSF</v>
      </c>
      <c r="C145" t="str">
        <v>F8R-810</v>
      </c>
      <c r="D145" t="str">
        <v>F8R-810</v>
      </c>
      <c r="E145" t="str">
        <v>867806078868827</v>
      </c>
      <c r="F145" t="str">
        <v>TBD</v>
      </c>
      <c r="G145" t="str">
        <v/>
      </c>
      <c r="H145" t="str">
        <v/>
      </c>
      <c r="I145" t="str">
        <v>17/09/2026</v>
      </c>
      <c r="J145" t="str">
        <v>07:39:51</v>
      </c>
      <c r="K145">
        <v>-12.29553</v>
      </c>
      <c r="L145">
        <v>-76.85191</v>
      </c>
      <c r="M145">
        <f>HYPERLINK("https://www.google.com/maps/search/?api=1&amp;query=-12.29553,-76.85191","Antigua Panamericana Sur, Lurín, Lima")</f>
      </c>
      <c r="N145" t="str">
        <v>Vehículo encendido</v>
      </c>
      <c r="O145">
        <v>671.8</v>
      </c>
      <c r="P145" t="str">
        <v/>
      </c>
      <c r="Q145">
        <v>0</v>
      </c>
      <c r="R145">
        <v>26.07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>
        <v>85</v>
      </c>
      <c r="AA145" t="str">
        <v>17/09/2026</v>
      </c>
      <c r="AB145" t="str">
        <v>07:39:50</v>
      </c>
      <c r="AC145">
        <f>IF("ONLINE"="NOGPS","GPS Antiguo","En línea")</f>
      </c>
      <c r="AD145">
        <f>IF(0=0,"Sin atender", IF(0=1,"Atendida","Atendida y Reportada"))</f>
      </c>
      <c r="AE145" t="str">
        <v/>
      </c>
      <c r="AF145" t="str">
        <v/>
      </c>
      <c r="AG145" t="str">
        <v/>
      </c>
      <c r="AH145" t="str">
        <v/>
      </c>
      <c r="AI145" t="str">
        <v>17/09/2026 07:40:13</v>
      </c>
      <c r="AJ145" t="str">
        <v>07:40:13</v>
      </c>
      <c r="AK145" t="str">
        <v/>
      </c>
    </row>
    <row r="146">
      <c r="A146">
        <v>145</v>
      </c>
      <c r="B146" t="str">
        <v>MASS BSF</v>
      </c>
      <c r="C146" t="str">
        <v>F8R-810</v>
      </c>
      <c r="D146" t="str">
        <v>F8R-810</v>
      </c>
      <c r="E146" t="str">
        <v>867806078868827</v>
      </c>
      <c r="F146" t="str">
        <v>TBD</v>
      </c>
      <c r="G146" t="str">
        <v/>
      </c>
      <c r="H146" t="str">
        <v/>
      </c>
      <c r="I146" t="str">
        <v>17/09/2026</v>
      </c>
      <c r="J146" t="str">
        <v>07:40:57</v>
      </c>
      <c r="K146">
        <v>-12.29579</v>
      </c>
      <c r="L146">
        <v>-76.85159</v>
      </c>
      <c r="M146">
        <f>HYPERLINK("https://www.google.com/maps/search/?api=1&amp;query=-12.29579,-76.85159","Antigua Panamericana Sur, Lurín, Lima")</f>
      </c>
      <c r="N146" t="str">
        <v>Acelerado y giro brusco</v>
      </c>
      <c r="O146">
        <v>671.8</v>
      </c>
      <c r="P146" t="str">
        <v/>
      </c>
      <c r="Q146">
        <v>22</v>
      </c>
      <c r="R146">
        <v>26.07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>
        <v>85</v>
      </c>
      <c r="AA146" t="str">
        <v>17/09/2026</v>
      </c>
      <c r="AB146" t="str">
        <v>07:40:56</v>
      </c>
      <c r="AC146">
        <f>IF("ONLINE"="NOGPS","GPS Antiguo","En línea")</f>
      </c>
      <c r="AD146">
        <f>IF(0=0,"Sin atender", IF(0=1,"Atendida","Atendida y Reportada"))</f>
      </c>
      <c r="AE146" t="str">
        <v/>
      </c>
      <c r="AF146" t="str">
        <v/>
      </c>
      <c r="AG146" t="str">
        <v/>
      </c>
      <c r="AH146" t="str">
        <v/>
      </c>
      <c r="AI146" t="str">
        <v>17/09/2026 07:41:23</v>
      </c>
      <c r="AJ146" t="str">
        <v>07:41:23</v>
      </c>
      <c r="AK146" t="str">
        <v/>
      </c>
    </row>
    <row r="147">
      <c r="A147">
        <v>146</v>
      </c>
      <c r="B147" t="str">
        <v>MASS BSF</v>
      </c>
      <c r="C147" t="str">
        <v>F8R-810</v>
      </c>
      <c r="D147" t="str">
        <v>F8R-810</v>
      </c>
      <c r="E147" t="str">
        <v>867806078868827</v>
      </c>
      <c r="F147" t="str">
        <v>TBD</v>
      </c>
      <c r="G147" t="str">
        <v/>
      </c>
      <c r="H147" t="str">
        <v/>
      </c>
      <c r="I147" t="str">
        <v>17/09/2026</v>
      </c>
      <c r="J147" t="str">
        <v>07:41:10</v>
      </c>
      <c r="K147">
        <v>-12.296398</v>
      </c>
      <c r="L147">
        <v>-76.85096</v>
      </c>
      <c r="M147">
        <f>HYPERLINK("https://www.google.com/maps/search/?api=1&amp;query=-12.296398,-76.85096","Jirón 7 de Junio, Lurín, Lima")</f>
      </c>
      <c r="N147" t="str">
        <v>Acelerado y giro brusco</v>
      </c>
      <c r="O147">
        <v>671.9</v>
      </c>
      <c r="P147" t="str">
        <v/>
      </c>
      <c r="Q147">
        <v>30.5</v>
      </c>
      <c r="R147">
        <v>26.07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>
        <v>85</v>
      </c>
      <c r="AA147" t="str">
        <v>17/09/2026</v>
      </c>
      <c r="AB147" t="str">
        <v>07:41:09</v>
      </c>
      <c r="AC147">
        <f>IF("ONLINE"="NOGPS","GPS Antiguo","En línea")</f>
      </c>
      <c r="AD147">
        <f>IF(0=0,"Sin atender", IF(0=1,"Atendida","Atendida y Reportada"))</f>
      </c>
      <c r="AE147" t="str">
        <v/>
      </c>
      <c r="AF147" t="str">
        <v/>
      </c>
      <c r="AG147" t="str">
        <v/>
      </c>
      <c r="AH147" t="str">
        <v/>
      </c>
      <c r="AI147" t="str">
        <v>17/09/2026 07:41:27</v>
      </c>
      <c r="AJ147" t="str">
        <v>07:41:27</v>
      </c>
      <c r="AK147" t="str">
        <v/>
      </c>
    </row>
    <row r="148">
      <c r="A148">
        <v>147</v>
      </c>
      <c r="B148" t="str">
        <v>MASS BSF</v>
      </c>
      <c r="C148" t="str">
        <v>F8R-810</v>
      </c>
      <c r="D148" t="str">
        <v>F8R-810</v>
      </c>
      <c r="E148" t="str">
        <v>867806078868827</v>
      </c>
      <c r="F148" t="str">
        <v>TBD</v>
      </c>
      <c r="G148" t="str">
        <v/>
      </c>
      <c r="H148" t="str">
        <v/>
      </c>
      <c r="I148" t="str">
        <v>17/09/2026</v>
      </c>
      <c r="J148" t="str">
        <v>07:41:19</v>
      </c>
      <c r="K148">
        <v>-12.29672</v>
      </c>
      <c r="L148">
        <v>-76.85063</v>
      </c>
      <c r="M148">
        <f>HYPERLINK("https://www.google.com/maps/search/?api=1&amp;query=-12.29672,-76.85063","Antigua Panamericana Sur, Lurín, Lima")</f>
      </c>
      <c r="N148" t="str">
        <v>Bache</v>
      </c>
      <c r="O148">
        <v>672</v>
      </c>
      <c r="P148" t="str">
        <v/>
      </c>
      <c r="Q148">
        <v>5.5</v>
      </c>
      <c r="R148">
        <v>26.07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>
        <v>85</v>
      </c>
      <c r="AA148" t="str">
        <v>17/09/2026</v>
      </c>
      <c r="AB148" t="str">
        <v>07:41:18</v>
      </c>
      <c r="AC148">
        <f>IF("ONLINE"="NOGPS","GPS Antiguo","En línea")</f>
      </c>
      <c r="AD148">
        <f>IF(0=0,"Sin atender", IF(0=1,"Atendida","Atendida y Reportada"))</f>
      </c>
      <c r="AE148" t="str">
        <v/>
      </c>
      <c r="AF148" t="str">
        <v/>
      </c>
      <c r="AG148" t="str">
        <v/>
      </c>
      <c r="AH148" t="str">
        <v/>
      </c>
      <c r="AI148" t="str">
        <v>17/09/2026 07:41:33</v>
      </c>
      <c r="AJ148" t="str">
        <v>07:41:33</v>
      </c>
      <c r="AK148" t="str">
        <v/>
      </c>
    </row>
    <row r="149">
      <c r="A149">
        <v>148</v>
      </c>
      <c r="B149" t="str">
        <v>MASS BSF</v>
      </c>
      <c r="C149" t="str">
        <v>F8R-810</v>
      </c>
      <c r="D149" t="str">
        <v>F8R-810</v>
      </c>
      <c r="E149" t="str">
        <v>867806078868827</v>
      </c>
      <c r="F149" t="str">
        <v>TBD</v>
      </c>
      <c r="G149" t="str">
        <v/>
      </c>
      <c r="H149" t="str">
        <v/>
      </c>
      <c r="I149" t="str">
        <v>17/09/2026</v>
      </c>
      <c r="J149" t="str">
        <v>07:41:20</v>
      </c>
      <c r="K149">
        <v>-12.296728</v>
      </c>
      <c r="L149">
        <v>-76.850624</v>
      </c>
      <c r="M149">
        <f>HYPERLINK("https://www.google.com/maps/search/?api=1&amp;query=-12.296728,-76.850624","Antigua Panamericana Sur, Lurín, Lima")</f>
      </c>
      <c r="N149" t="str">
        <v>Acelerado y giro brusco</v>
      </c>
      <c r="O149">
        <v>672</v>
      </c>
      <c r="P149" t="str">
        <v/>
      </c>
      <c r="Q149">
        <v>4.8</v>
      </c>
      <c r="R149">
        <v>26.07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>
        <v>85</v>
      </c>
      <c r="AA149" t="str">
        <v>17/09/2026</v>
      </c>
      <c r="AB149" t="str">
        <v>07:41:19</v>
      </c>
      <c r="AC149">
        <f>IF("ONLINE"="NOGPS","GPS Antiguo","En línea")</f>
      </c>
      <c r="AD149">
        <f>IF(0=0,"Sin atender", IF(0=1,"Atendida","Atendida y Reportada"))</f>
      </c>
      <c r="AE149" t="str">
        <v/>
      </c>
      <c r="AF149" t="str">
        <v/>
      </c>
      <c r="AG149" t="str">
        <v/>
      </c>
      <c r="AH149" t="str">
        <v/>
      </c>
      <c r="AI149" t="str">
        <v>17/09/2026 07:41:44</v>
      </c>
      <c r="AJ149" t="str">
        <v>07:41:44</v>
      </c>
      <c r="AK149" t="str">
        <v/>
      </c>
    </row>
    <row r="150">
      <c r="A150">
        <v>149</v>
      </c>
      <c r="B150" t="str">
        <v>MASS BSF</v>
      </c>
      <c r="C150" t="str">
        <v>F8R-810</v>
      </c>
      <c r="D150" t="str">
        <v>F8R-810</v>
      </c>
      <c r="E150" t="str">
        <v>867806078868827</v>
      </c>
      <c r="F150" t="str">
        <v>TBD</v>
      </c>
      <c r="G150" t="str">
        <v/>
      </c>
      <c r="H150" t="str">
        <v/>
      </c>
      <c r="I150" t="str">
        <v>17/09/2026</v>
      </c>
      <c r="J150" t="str">
        <v>07:41:25</v>
      </c>
      <c r="K150">
        <v>-12.296799</v>
      </c>
      <c r="L150">
        <v>-76.85053</v>
      </c>
      <c r="M150">
        <f>HYPERLINK("https://www.google.com/maps/search/?api=1&amp;query=-12.296799,-76.85053","Antigua Panamericana Sur, Lurín, Lima")</f>
      </c>
      <c r="N150" t="str">
        <v>Acelerado y giro brusco</v>
      </c>
      <c r="O150">
        <v>672</v>
      </c>
      <c r="P150" t="str">
        <v/>
      </c>
      <c r="Q150">
        <v>15.9</v>
      </c>
      <c r="R150">
        <v>26.07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>
        <v>85</v>
      </c>
      <c r="AA150" t="str">
        <v>17/09/2026</v>
      </c>
      <c r="AB150" t="str">
        <v>07:41:24</v>
      </c>
      <c r="AC150">
        <f>IF("ONLINE"="NOGPS","GPS Antiguo","En línea")</f>
      </c>
      <c r="AD150">
        <f>IF(0=0,"Sin atender", IF(0=1,"Atendida","Atendida y Reportada"))</f>
      </c>
      <c r="AE150" t="str">
        <v/>
      </c>
      <c r="AF150" t="str">
        <v/>
      </c>
      <c r="AG150" t="str">
        <v/>
      </c>
      <c r="AH150" t="str">
        <v/>
      </c>
      <c r="AI150" t="str">
        <v>17/09/2026 07:41:40</v>
      </c>
      <c r="AJ150" t="str">
        <v>07:41:40</v>
      </c>
      <c r="AK150" t="str">
        <v/>
      </c>
    </row>
    <row r="151">
      <c r="A151">
        <v>150</v>
      </c>
      <c r="B151" t="str">
        <v>MASS BSF</v>
      </c>
      <c r="C151" t="str">
        <v>F8R-810</v>
      </c>
      <c r="D151" t="str">
        <v>F8R-810</v>
      </c>
      <c r="E151" t="str">
        <v>867806078868827</v>
      </c>
      <c r="F151" t="str">
        <v>TBD</v>
      </c>
      <c r="G151" t="str">
        <v/>
      </c>
      <c r="H151" t="str">
        <v/>
      </c>
      <c r="I151" t="str">
        <v>17/09/2026</v>
      </c>
      <c r="J151" t="str">
        <v>07:42:01</v>
      </c>
      <c r="K151">
        <v>-12.298576</v>
      </c>
      <c r="L151">
        <v>-76.84867</v>
      </c>
      <c r="M151">
        <f>HYPERLINK("https://www.google.com/maps/search/?api=1&amp;query=-12.298576,-76.84867","Jirón Ñusta, Lurín, Lima")</f>
      </c>
      <c r="N151" t="str">
        <v>Acelerado y giro brusco</v>
      </c>
      <c r="O151">
        <v>672.3</v>
      </c>
      <c r="P151" t="str">
        <v/>
      </c>
      <c r="Q151">
        <v>19.6</v>
      </c>
      <c r="R151">
        <v>26.07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>
        <v>85</v>
      </c>
      <c r="AA151" t="str">
        <v>17/09/2026</v>
      </c>
      <c r="AB151" t="str">
        <v>07:42:00</v>
      </c>
      <c r="AC151">
        <f>IF("ONLINE"="NOGPS","GPS Antiguo","En línea")</f>
      </c>
      <c r="AD151">
        <f>IF(0=0,"Sin atender", IF(0=1,"Atendida","Atendida y Reportada"))</f>
      </c>
      <c r="AE151" t="str">
        <v/>
      </c>
      <c r="AF151" t="str">
        <v/>
      </c>
      <c r="AG151" t="str">
        <v/>
      </c>
      <c r="AH151" t="str">
        <v/>
      </c>
      <c r="AI151" t="str">
        <v>17/09/2026 07:42:13</v>
      </c>
      <c r="AJ151" t="str">
        <v>07:42:13</v>
      </c>
      <c r="AK151" t="str">
        <v/>
      </c>
    </row>
    <row r="152">
      <c r="A152">
        <v>151</v>
      </c>
      <c r="B152" t="str">
        <v>MASS BSF</v>
      </c>
      <c r="C152" t="str">
        <v>F8R-810</v>
      </c>
      <c r="D152" t="str">
        <v>F8R-810</v>
      </c>
      <c r="E152" t="str">
        <v>867806078868827</v>
      </c>
      <c r="F152" t="str">
        <v>TBD</v>
      </c>
      <c r="G152" t="str">
        <v/>
      </c>
      <c r="H152" t="str">
        <v/>
      </c>
      <c r="I152" t="str">
        <v>17/09/2026</v>
      </c>
      <c r="J152" t="str">
        <v>07:42:07</v>
      </c>
      <c r="K152">
        <v>-12.298705</v>
      </c>
      <c r="L152">
        <v>-76.84853</v>
      </c>
      <c r="M152">
        <f>HYPERLINK("https://www.google.com/maps/search/?api=1&amp;query=-12.298705,-76.84853","Antigua Panamericana Sur, Lurín, Lima")</f>
      </c>
      <c r="N152" t="str">
        <v>Bache</v>
      </c>
      <c r="O152">
        <v>672.3</v>
      </c>
      <c r="P152" t="str">
        <v/>
      </c>
      <c r="Q152">
        <v>5.5</v>
      </c>
      <c r="R152">
        <v>26.07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>
        <v>85</v>
      </c>
      <c r="AA152" t="str">
        <v>17/09/2026</v>
      </c>
      <c r="AB152" t="str">
        <v>07:42:06</v>
      </c>
      <c r="AC152">
        <f>IF("ONLINE"="NOGPS","GPS Antiguo","En línea")</f>
      </c>
      <c r="AD152">
        <f>IF(0=0,"Sin atender", IF(0=1,"Atendida","Atendida y Reportada"))</f>
      </c>
      <c r="AE152" t="str">
        <v/>
      </c>
      <c r="AF152" t="str">
        <v/>
      </c>
      <c r="AG152" t="str">
        <v/>
      </c>
      <c r="AH152" t="str">
        <v/>
      </c>
      <c r="AI152" t="str">
        <v>17/09/2026 07:42:31</v>
      </c>
      <c r="AJ152" t="str">
        <v>07:42:31</v>
      </c>
      <c r="AK152" t="str">
        <v/>
      </c>
    </row>
    <row r="153">
      <c r="A153">
        <v>152</v>
      </c>
      <c r="B153" t="str">
        <v>MASS BSF</v>
      </c>
      <c r="C153" t="str">
        <v>F8R-810</v>
      </c>
      <c r="D153" t="str">
        <v>F8R-810</v>
      </c>
      <c r="E153" t="str">
        <v>867806078868827</v>
      </c>
      <c r="F153" t="str">
        <v>TBD</v>
      </c>
      <c r="G153" t="str">
        <v/>
      </c>
      <c r="H153" t="str">
        <v/>
      </c>
      <c r="I153" t="str">
        <v>17/09/2026</v>
      </c>
      <c r="J153" t="str">
        <v>07:42:37</v>
      </c>
      <c r="K153">
        <v>-12.299646</v>
      </c>
      <c r="L153">
        <v>-76.847565</v>
      </c>
      <c r="M153">
        <f>HYPERLINK("https://www.google.com/maps/search/?api=1&amp;query=-12.299646,-76.847565","Antigua Panamericana Sur, Lurín, Lima")</f>
      </c>
      <c r="N153" t="str">
        <v>Acelerado y giro brusco</v>
      </c>
      <c r="O153">
        <v>672.4</v>
      </c>
      <c r="P153" t="str">
        <v/>
      </c>
      <c r="Q153">
        <v>22.9</v>
      </c>
      <c r="R153">
        <v>26.07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>
        <v>85</v>
      </c>
      <c r="AA153" t="str">
        <v>17/09/2026</v>
      </c>
      <c r="AB153" t="str">
        <v>07:42:36</v>
      </c>
      <c r="AC153">
        <f>IF("ONLINE"="NOGPS","GPS Antiguo","En línea")</f>
      </c>
      <c r="AD153">
        <f>IF(0=0,"Sin atender", IF(0=1,"Atendida","Atendida y Reportada"))</f>
      </c>
      <c r="AE153" t="str">
        <v/>
      </c>
      <c r="AF153" t="str">
        <v/>
      </c>
      <c r="AG153" t="str">
        <v/>
      </c>
      <c r="AH153" t="str">
        <v/>
      </c>
      <c r="AI153" t="str">
        <v>17/09/2026 07:42:54</v>
      </c>
      <c r="AJ153" t="str">
        <v>07:42:54</v>
      </c>
      <c r="AK153" t="str">
        <v/>
      </c>
    </row>
    <row r="154">
      <c r="A154">
        <v>153</v>
      </c>
      <c r="B154" t="str">
        <v>MASS BSF</v>
      </c>
      <c r="C154" t="str">
        <v>F8R-810</v>
      </c>
      <c r="D154" t="str">
        <v>F8R-810</v>
      </c>
      <c r="E154" t="str">
        <v>867806078868827</v>
      </c>
      <c r="F154" t="str">
        <v>TBD</v>
      </c>
      <c r="G154" t="str">
        <v/>
      </c>
      <c r="H154" t="str">
        <v/>
      </c>
      <c r="I154" t="str">
        <v>17/09/2026</v>
      </c>
      <c r="J154" t="str">
        <v>07:42:55</v>
      </c>
      <c r="K154">
        <v>-12.299798</v>
      </c>
      <c r="L154">
        <v>-76.84726</v>
      </c>
      <c r="M154">
        <f>HYPERLINK("https://www.google.com/maps/search/?api=1&amp;query=-12.299798,-76.84726","Antigua Panamericana Sur, Lurín, Lima")</f>
      </c>
      <c r="N154" t="str">
        <v>Acelerado y giro brusco</v>
      </c>
      <c r="O154">
        <v>672.5</v>
      </c>
      <c r="P154" t="str">
        <v/>
      </c>
      <c r="Q154">
        <v>9.6</v>
      </c>
      <c r="R154">
        <v>26.07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>
        <v>93</v>
      </c>
      <c r="AA154" t="str">
        <v>17/09/2026</v>
      </c>
      <c r="AB154" t="str">
        <v>07:42:54</v>
      </c>
      <c r="AC154">
        <f>IF("ONLINE"="NOGPS","GPS Antiguo","En línea")</f>
      </c>
      <c r="AD154">
        <f>IF(0=0,"Sin atender", IF(0=1,"Atendida","Atendida y Reportada"))</f>
      </c>
      <c r="AE154" t="str">
        <v/>
      </c>
      <c r="AF154" t="str">
        <v/>
      </c>
      <c r="AG154" t="str">
        <v/>
      </c>
      <c r="AH154" t="str">
        <v/>
      </c>
      <c r="AI154" t="str">
        <v>17/09/2026 07:43:15</v>
      </c>
      <c r="AJ154" t="str">
        <v>07:43:15</v>
      </c>
      <c r="AK154" t="str">
        <v/>
      </c>
    </row>
    <row r="155">
      <c r="A155">
        <v>154</v>
      </c>
      <c r="B155" t="str">
        <v>MASS BSF</v>
      </c>
      <c r="C155" t="str">
        <v>F8R-810</v>
      </c>
      <c r="D155" t="str">
        <v>F8R-810</v>
      </c>
      <c r="E155" t="str">
        <v>867806078868827</v>
      </c>
      <c r="F155" t="str">
        <v>TBD</v>
      </c>
      <c r="G155" t="str">
        <v/>
      </c>
      <c r="H155" t="str">
        <v/>
      </c>
      <c r="I155" t="str">
        <v>17/09/2026</v>
      </c>
      <c r="J155" t="str">
        <v>07:43:09</v>
      </c>
      <c r="K155">
        <v>-12.299704</v>
      </c>
      <c r="L155">
        <v>-76.84724</v>
      </c>
      <c r="M155">
        <f>HYPERLINK("https://www.google.com/maps/search/?api=1&amp;query=-12.299704,-76.84724","Antigua Panamericana Sur, Lurín, Lima")</f>
      </c>
      <c r="N155" t="str">
        <v>Acelerado y giro brusco</v>
      </c>
      <c r="O155">
        <v>672.5</v>
      </c>
      <c r="P155" t="str">
        <v/>
      </c>
      <c r="Q155">
        <v>0</v>
      </c>
      <c r="R155">
        <v>26.07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>
        <v>85</v>
      </c>
      <c r="AA155" t="str">
        <v>17/09/2026</v>
      </c>
      <c r="AB155" t="str">
        <v>07:43:08</v>
      </c>
      <c r="AC155">
        <f>IF("ONLINE"="NOGPS","GPS Antiguo","En línea")</f>
      </c>
      <c r="AD155">
        <f>IF(0=0,"Sin atender", IF(0=1,"Atendida","Atendida y Reportada"))</f>
      </c>
      <c r="AE155" t="str">
        <v/>
      </c>
      <c r="AF155" t="str">
        <v/>
      </c>
      <c r="AG155" t="str">
        <v/>
      </c>
      <c r="AH155" t="str">
        <v/>
      </c>
      <c r="AI155" t="str">
        <v>17/09/2026 07:43:30</v>
      </c>
      <c r="AJ155" t="str">
        <v>07:43:30</v>
      </c>
      <c r="AK155" t="str">
        <v/>
      </c>
    </row>
    <row r="156">
      <c r="A156">
        <v>155</v>
      </c>
      <c r="B156" t="str">
        <v>MASS BSF</v>
      </c>
      <c r="C156" t="str">
        <v>F8R-810</v>
      </c>
      <c r="D156" t="str">
        <v>F8R-810</v>
      </c>
      <c r="E156" t="str">
        <v>867806078868827</v>
      </c>
      <c r="F156" t="str">
        <v>TBD</v>
      </c>
      <c r="G156" t="str">
        <v/>
      </c>
      <c r="H156" t="str">
        <v/>
      </c>
      <c r="I156" t="str">
        <v>17/09/2026</v>
      </c>
      <c r="J156" t="str">
        <v>07:43:19</v>
      </c>
      <c r="K156">
        <v>-12.299552</v>
      </c>
      <c r="L156">
        <v>-76.84747</v>
      </c>
      <c r="M156">
        <f>HYPERLINK("https://www.google.com/maps/search/?api=1&amp;query=-12.299552,-76.84747","Antigua Panamericana Sur, Lurín, Lima")</f>
      </c>
      <c r="N156" t="str">
        <v>Aceleración brusca</v>
      </c>
      <c r="O156">
        <v>672.5</v>
      </c>
      <c r="P156" t="str">
        <v/>
      </c>
      <c r="Q156">
        <v>12</v>
      </c>
      <c r="R156">
        <v>26.07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>
        <v>85</v>
      </c>
      <c r="AA156" t="str">
        <v>17/09/2026</v>
      </c>
      <c r="AB156" t="str">
        <v>07:43:18</v>
      </c>
      <c r="AC156">
        <f>IF("ONLINE"="NOGPS","GPS Antiguo","En línea")</f>
      </c>
      <c r="AD156">
        <f>IF(0=0,"Sin atender", IF(0=1,"Atendida","Atendida y Reportada"))</f>
      </c>
      <c r="AE156" t="str">
        <v/>
      </c>
      <c r="AF156" t="str">
        <v/>
      </c>
      <c r="AG156" t="str">
        <v/>
      </c>
      <c r="AH156" t="str">
        <v/>
      </c>
      <c r="AI156" t="str">
        <v>17/09/2026 07:43:31</v>
      </c>
      <c r="AJ156" t="str">
        <v>07:43:31</v>
      </c>
      <c r="AK156" t="str">
        <v/>
      </c>
    </row>
    <row r="157">
      <c r="A157">
        <v>156</v>
      </c>
      <c r="B157" t="str">
        <v>MASS BSF</v>
      </c>
      <c r="C157" t="str">
        <v>F8R-810</v>
      </c>
      <c r="D157" t="str">
        <v>F8R-810</v>
      </c>
      <c r="E157" t="str">
        <v>867806078868827</v>
      </c>
      <c r="F157" t="str">
        <v>TBD</v>
      </c>
      <c r="G157" t="str">
        <v/>
      </c>
      <c r="H157" t="str">
        <v/>
      </c>
      <c r="I157" t="str">
        <v>17/09/2026</v>
      </c>
      <c r="J157" t="str">
        <v>07:43:34</v>
      </c>
      <c r="K157">
        <v>-12.299347</v>
      </c>
      <c r="L157">
        <v>-76.84769</v>
      </c>
      <c r="M157">
        <f>HYPERLINK("https://www.google.com/maps/search/?api=1&amp;query=-12.299347,-76.84769","Antigua Panamericana Sur, Lurín, Lima")</f>
      </c>
      <c r="N157" t="str">
        <v>Acelerado y giro brusco</v>
      </c>
      <c r="O157">
        <v>672.6</v>
      </c>
      <c r="P157" t="str">
        <v/>
      </c>
      <c r="Q157">
        <v>11.6</v>
      </c>
      <c r="R157">
        <v>26.07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>
        <v>85</v>
      </c>
      <c r="AA157" t="str">
        <v>17/09/2026</v>
      </c>
      <c r="AB157" t="str">
        <v>07:43:33</v>
      </c>
      <c r="AC157">
        <f>IF("ONLINE"="NOGPS","GPS Antiguo","En línea")</f>
      </c>
      <c r="AD157">
        <f>IF(0=0,"Sin atender", IF(0=1,"Atendida","Atendida y Reportada"))</f>
      </c>
      <c r="AE157" t="str">
        <v/>
      </c>
      <c r="AF157" t="str">
        <v/>
      </c>
      <c r="AG157" t="str">
        <v/>
      </c>
      <c r="AH157" t="str">
        <v/>
      </c>
      <c r="AI157" t="str">
        <v>17/09/2026 07:43:40</v>
      </c>
      <c r="AJ157" t="str">
        <v>07:43:40</v>
      </c>
      <c r="AK157" t="str">
        <v/>
      </c>
    </row>
    <row r="158">
      <c r="A158">
        <v>157</v>
      </c>
      <c r="B158" t="str">
        <v>MASS BSF</v>
      </c>
      <c r="C158" t="str">
        <v>F8R-810</v>
      </c>
      <c r="D158" t="str">
        <v>F8R-810</v>
      </c>
      <c r="E158" t="str">
        <v>867806078868827</v>
      </c>
      <c r="F158" t="str">
        <v>TBD</v>
      </c>
      <c r="G158" t="str">
        <v/>
      </c>
      <c r="H158" t="str">
        <v/>
      </c>
      <c r="I158" t="str">
        <v>17/09/2026</v>
      </c>
      <c r="J158" t="str">
        <v>07:43:41</v>
      </c>
      <c r="K158">
        <v>-12.299127</v>
      </c>
      <c r="L158">
        <v>-76.847916</v>
      </c>
      <c r="M158">
        <f>HYPERLINK("https://www.google.com/maps/search/?api=1&amp;query=-12.299127,-76.847916","Antigua Panamericana Sur, Lurín, Lima")</f>
      </c>
      <c r="N158" t="str">
        <v>Acelerado y giro brusco</v>
      </c>
      <c r="O158">
        <v>672.6</v>
      </c>
      <c r="P158" t="str">
        <v/>
      </c>
      <c r="Q158">
        <v>23.5</v>
      </c>
      <c r="R158">
        <v>26.07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>
        <v>87</v>
      </c>
      <c r="AA158" t="str">
        <v>17/09/2026</v>
      </c>
      <c r="AB158" t="str">
        <v>07:43:40</v>
      </c>
      <c r="AC158">
        <f>IF("ONLINE"="NOGPS","GPS Antiguo","En línea")</f>
      </c>
      <c r="AD158">
        <f>IF(0=0,"Sin atender", IF(0=1,"Atendida","Atendida y Reportada"))</f>
      </c>
      <c r="AE158" t="str">
        <v/>
      </c>
      <c r="AF158" t="str">
        <v/>
      </c>
      <c r="AG158" t="str">
        <v/>
      </c>
      <c r="AH158" t="str">
        <v/>
      </c>
      <c r="AI158" t="str">
        <v>17/09/2026 07:43:51</v>
      </c>
      <c r="AJ158" t="str">
        <v>07:43:51</v>
      </c>
      <c r="AK158" t="str">
        <v/>
      </c>
    </row>
    <row r="159">
      <c r="A159">
        <v>158</v>
      </c>
      <c r="B159" t="str">
        <v>MASS BSF</v>
      </c>
      <c r="C159" t="str">
        <v>F8R-810</v>
      </c>
      <c r="D159" t="str">
        <v>F8R-810</v>
      </c>
      <c r="E159" t="str">
        <v>867806078868827</v>
      </c>
      <c r="F159" t="str">
        <v>TBD</v>
      </c>
      <c r="G159" t="str">
        <v/>
      </c>
      <c r="H159" t="str">
        <v/>
      </c>
      <c r="I159" t="str">
        <v>17/09/2026</v>
      </c>
      <c r="J159" t="str">
        <v>07:43:47</v>
      </c>
      <c r="K159">
        <v>-12.298738</v>
      </c>
      <c r="L159">
        <v>-76.84832</v>
      </c>
      <c r="M159">
        <f>HYPERLINK("https://www.google.com/maps/search/?api=1&amp;query=-12.298738,-76.84832","Antigua Panamericana Sur, Lurín, Lima")</f>
      </c>
      <c r="N159" t="str">
        <v>Acelerado y giro brusco</v>
      </c>
      <c r="O159">
        <v>672.7</v>
      </c>
      <c r="P159" t="str">
        <v/>
      </c>
      <c r="Q159">
        <v>38.3</v>
      </c>
      <c r="R159">
        <v>26.07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>
        <v>87</v>
      </c>
      <c r="AA159" t="str">
        <v>17/09/2026</v>
      </c>
      <c r="AB159" t="str">
        <v>07:43:47</v>
      </c>
      <c r="AC159">
        <f>IF("ONLINE"="NOGPS","GPS Antiguo","En línea")</f>
      </c>
      <c r="AD159">
        <f>IF(0=0,"Sin atender", IF(0=1,"Atendida","Atendida y Reportada"))</f>
      </c>
      <c r="AE159" t="str">
        <v/>
      </c>
      <c r="AF159" t="str">
        <v/>
      </c>
      <c r="AG159" t="str">
        <v/>
      </c>
      <c r="AH159" t="str">
        <v/>
      </c>
      <c r="AI159" t="str">
        <v>17/09/2026 07:43:55</v>
      </c>
      <c r="AJ159" t="str">
        <v>07:43:55</v>
      </c>
      <c r="AK159" t="str">
        <v/>
      </c>
    </row>
    <row r="160">
      <c r="A160">
        <v>159</v>
      </c>
      <c r="B160" t="str">
        <v>MASS BSF</v>
      </c>
      <c r="C160" t="str">
        <v>F8R-810</v>
      </c>
      <c r="D160" t="str">
        <v>F8R-810</v>
      </c>
      <c r="E160" t="str">
        <v>867806078868827</v>
      </c>
      <c r="F160" t="str">
        <v>TBD</v>
      </c>
      <c r="G160" t="str">
        <v/>
      </c>
      <c r="H160" t="str">
        <v/>
      </c>
      <c r="I160" t="str">
        <v>17/09/2026</v>
      </c>
      <c r="J160" t="str">
        <v>07:44:15</v>
      </c>
      <c r="K160">
        <v>-12.29649</v>
      </c>
      <c r="L160">
        <v>-76.85064</v>
      </c>
      <c r="M160">
        <f>HYPERLINK("https://www.google.com/maps/search/?api=1&amp;query=-12.29649,-76.85064","Antigua Panamericana Sur, Lurín, Lima")</f>
      </c>
      <c r="N160" t="str">
        <v>Acelerado y giro brusco</v>
      </c>
      <c r="O160">
        <v>673</v>
      </c>
      <c r="P160" t="str">
        <v/>
      </c>
      <c r="Q160">
        <v>51.1</v>
      </c>
      <c r="R160">
        <v>26.07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>
        <v>87</v>
      </c>
      <c r="AA160" t="str">
        <v>17/09/2026</v>
      </c>
      <c r="AB160" t="str">
        <v>07:44:14</v>
      </c>
      <c r="AC160">
        <f>IF("ONLINE"="NOGPS","GPS Antiguo","En línea")</f>
      </c>
      <c r="AD160">
        <f>IF(0=0,"Sin atender", IF(0=1,"Atendida","Atendida y Reportada"))</f>
      </c>
      <c r="AE160" t="str">
        <v/>
      </c>
      <c r="AF160" t="str">
        <v/>
      </c>
      <c r="AG160" t="str">
        <v/>
      </c>
      <c r="AH160" t="str">
        <v/>
      </c>
      <c r="AI160" t="str">
        <v>17/09/2026 07:44:20</v>
      </c>
      <c r="AJ160" t="str">
        <v>07:44:20</v>
      </c>
      <c r="AK160" t="str">
        <v/>
      </c>
    </row>
    <row r="161">
      <c r="A161">
        <v>160</v>
      </c>
      <c r="B161" t="str">
        <v>MASS BSF</v>
      </c>
      <c r="C161" t="str">
        <v>F8R-810</v>
      </c>
      <c r="D161" t="str">
        <v>F8R-810</v>
      </c>
      <c r="E161" t="str">
        <v>867806078868827</v>
      </c>
      <c r="F161" t="str">
        <v>TBD</v>
      </c>
      <c r="G161" t="str">
        <v/>
      </c>
      <c r="H161" t="str">
        <v/>
      </c>
      <c r="I161" t="str">
        <v>17/09/2026</v>
      </c>
      <c r="J161" t="str">
        <v>07:44:26</v>
      </c>
      <c r="K161">
        <v>-12.295562</v>
      </c>
      <c r="L161">
        <v>-76.85159</v>
      </c>
      <c r="M161">
        <f>HYPERLINK("https://www.google.com/maps/search/?api=1&amp;query=-12.295562,-76.85159","Antigua Panamericana Sur, Lurín, Lima")</f>
      </c>
      <c r="N161" t="str">
        <v>Aceleración brusca</v>
      </c>
      <c r="O161">
        <v>673.1</v>
      </c>
      <c r="P161" t="str">
        <v/>
      </c>
      <c r="Q161">
        <v>44</v>
      </c>
      <c r="R161">
        <v>26.07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>
        <v>85</v>
      </c>
      <c r="AA161" t="str">
        <v>17/09/2026</v>
      </c>
      <c r="AB161" t="str">
        <v>07:44:25</v>
      </c>
      <c r="AC161">
        <f>IF("ONLINE"="NOGPS","GPS Antiguo","En línea")</f>
      </c>
      <c r="AD161">
        <f>IF(0=0,"Sin atender", IF(0=1,"Atendida","Atendida y Reportada"))</f>
      </c>
      <c r="AE161" t="str">
        <v/>
      </c>
      <c r="AF161" t="str">
        <v/>
      </c>
      <c r="AG161" t="str">
        <v/>
      </c>
      <c r="AH161" t="str">
        <v/>
      </c>
      <c r="AI161" t="str">
        <v>17/09/2026 07:44:35</v>
      </c>
      <c r="AJ161" t="str">
        <v>07:44:35</v>
      </c>
      <c r="AK161" t="str">
        <v/>
      </c>
    </row>
    <row r="162">
      <c r="A162">
        <v>161</v>
      </c>
      <c r="B162" t="str">
        <v>MASS BSF</v>
      </c>
      <c r="C162" t="str">
        <v>F8R-810</v>
      </c>
      <c r="D162" t="str">
        <v>F8R-810</v>
      </c>
      <c r="E162" t="str">
        <v>867806078868827</v>
      </c>
      <c r="F162" t="str">
        <v>TBD</v>
      </c>
      <c r="G162" t="str">
        <v/>
      </c>
      <c r="H162" t="str">
        <v/>
      </c>
      <c r="I162" t="str">
        <v>17/09/2026</v>
      </c>
      <c r="J162" t="str">
        <v>07:44:39</v>
      </c>
      <c r="K162">
        <v>-12.294871</v>
      </c>
      <c r="L162">
        <v>-76.85224</v>
      </c>
      <c r="M162">
        <f>HYPERLINK("https://www.google.com/maps/search/?api=1&amp;query=-12.294871,-76.85224","Antigua Panamericana Sur, Lurín, Lima")</f>
      </c>
      <c r="N162" t="str">
        <v>Bache</v>
      </c>
      <c r="O162">
        <v>673.3</v>
      </c>
      <c r="P162" t="str">
        <v/>
      </c>
      <c r="Q162">
        <v>21.4</v>
      </c>
      <c r="R162">
        <v>26.07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>
        <v>85</v>
      </c>
      <c r="AA162" t="str">
        <v>17/09/2026</v>
      </c>
      <c r="AB162" t="str">
        <v>07:44:38</v>
      </c>
      <c r="AC162">
        <f>IF("ONLINE"="NOGPS","GPS Antiguo","En línea")</f>
      </c>
      <c r="AD162">
        <f>IF(0=0,"Sin atender", IF(0=1,"Atendida","Atendida y Reportada"))</f>
      </c>
      <c r="AE162" t="str">
        <v/>
      </c>
      <c r="AF162" t="str">
        <v/>
      </c>
      <c r="AG162" t="str">
        <v/>
      </c>
      <c r="AH162" t="str">
        <v/>
      </c>
      <c r="AI162" t="str">
        <v>17/09/2026 07:45:13</v>
      </c>
      <c r="AJ162" t="str">
        <v>07:45:13</v>
      </c>
      <c r="AK162" t="str">
        <v/>
      </c>
    </row>
    <row r="163">
      <c r="A163">
        <v>162</v>
      </c>
      <c r="B163" t="str">
        <v>MASS BSF</v>
      </c>
      <c r="C163" t="str">
        <v>F8R-810</v>
      </c>
      <c r="D163" t="str">
        <v>F8R-810</v>
      </c>
      <c r="E163" t="str">
        <v>867806078868827</v>
      </c>
      <c r="F163" t="str">
        <v>TBD</v>
      </c>
      <c r="G163" t="str">
        <v/>
      </c>
      <c r="H163" t="str">
        <v/>
      </c>
      <c r="I163" t="str">
        <v>17/09/2026</v>
      </c>
      <c r="J163" t="str">
        <v>07:44:40</v>
      </c>
      <c r="K163">
        <v>-12.294828</v>
      </c>
      <c r="L163">
        <v>-76.85228</v>
      </c>
      <c r="M163">
        <f>HYPERLINK("https://www.google.com/maps/search/?api=1&amp;query=-12.294828,-76.85228","Antigua Panamericana Sur, Lurín, Lima")</f>
      </c>
      <c r="N163" t="str">
        <v>Acelerado y giro brusco</v>
      </c>
      <c r="O163">
        <v>673.3</v>
      </c>
      <c r="P163" t="str">
        <v/>
      </c>
      <c r="Q163">
        <v>23.5</v>
      </c>
      <c r="R163">
        <v>26.07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>
        <v>85</v>
      </c>
      <c r="AA163" t="str">
        <v>17/09/2026</v>
      </c>
      <c r="AB163" t="str">
        <v>07:44:39</v>
      </c>
      <c r="AC163">
        <f>IF("ONLINE"="NOGPS","GPS Antiguo","En línea")</f>
      </c>
      <c r="AD163">
        <f>IF(0=0,"Sin atender", IF(0=1,"Atendida","Atendida y Reportada"))</f>
      </c>
      <c r="AE163" t="str">
        <v/>
      </c>
      <c r="AF163" t="str">
        <v/>
      </c>
      <c r="AG163" t="str">
        <v/>
      </c>
      <c r="AH163" t="str">
        <v/>
      </c>
      <c r="AI163" t="str">
        <v>17/09/2026 07:45:01</v>
      </c>
      <c r="AJ163" t="str">
        <v>07:45:01</v>
      </c>
      <c r="AK163" t="str">
        <v/>
      </c>
    </row>
    <row r="164">
      <c r="A164">
        <v>163</v>
      </c>
      <c r="B164" t="str">
        <v>MASS BSF</v>
      </c>
      <c r="C164" t="str">
        <v>F8R-810</v>
      </c>
      <c r="D164" t="str">
        <v>F8R-810</v>
      </c>
      <c r="E164" t="str">
        <v>867806078868827</v>
      </c>
      <c r="F164" t="str">
        <v>TBD</v>
      </c>
      <c r="G164" t="str">
        <v/>
      </c>
      <c r="H164" t="str">
        <v/>
      </c>
      <c r="I164" t="str">
        <v>17/09/2026</v>
      </c>
      <c r="J164" t="str">
        <v>07:44:45</v>
      </c>
      <c r="K164">
        <v>-12.294659</v>
      </c>
      <c r="L164">
        <v>-76.85246</v>
      </c>
      <c r="M164">
        <f>HYPERLINK("https://www.google.com/maps/search/?api=1&amp;query=-12.294659,-76.85246","Antigua Panamericana Sur, Lurín, Lima")</f>
      </c>
      <c r="N164" t="str">
        <v>Acelerado y giro brusco</v>
      </c>
      <c r="O164">
        <v>673.3</v>
      </c>
      <c r="P164" t="str">
        <v/>
      </c>
      <c r="Q164">
        <v>15.3</v>
      </c>
      <c r="R164">
        <v>26.07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>
        <v>85</v>
      </c>
      <c r="AA164" t="str">
        <v>17/09/2026</v>
      </c>
      <c r="AB164" t="str">
        <v>07:44:44</v>
      </c>
      <c r="AC164">
        <f>IF("ONLINE"="NOGPS","GPS Antiguo","En línea")</f>
      </c>
      <c r="AD164">
        <f>IF(0=0,"Sin atender", IF(0=1,"Atendida","Atendida y Reportada"))</f>
      </c>
      <c r="AE164" t="str">
        <v/>
      </c>
      <c r="AF164" t="str">
        <v/>
      </c>
      <c r="AG164" t="str">
        <v/>
      </c>
      <c r="AH164" t="str">
        <v/>
      </c>
      <c r="AI164" t="str">
        <v>17/09/2026 07:44:58</v>
      </c>
      <c r="AJ164" t="str">
        <v>07:44:58</v>
      </c>
      <c r="AK164" t="str">
        <v/>
      </c>
    </row>
    <row r="165">
      <c r="A165">
        <v>164</v>
      </c>
      <c r="B165" t="str">
        <v>MASS BSF</v>
      </c>
      <c r="C165" t="str">
        <v>F8R-810</v>
      </c>
      <c r="D165" t="str">
        <v>F8R-810</v>
      </c>
      <c r="E165" t="str">
        <v>867806078868827</v>
      </c>
      <c r="F165" t="str">
        <v>TBD</v>
      </c>
      <c r="G165" t="str">
        <v/>
      </c>
      <c r="H165" t="str">
        <v/>
      </c>
      <c r="I165" t="str">
        <v>17/09/2026</v>
      </c>
      <c r="J165" t="str">
        <v>07:45:15</v>
      </c>
      <c r="K165">
        <v>-12.29453</v>
      </c>
      <c r="L165">
        <v>-76.852615</v>
      </c>
      <c r="M165">
        <f>HYPERLINK("https://www.google.com/maps/search/?api=1&amp;query=-12.29453,-76.852615","Antigua Panamericana Sur, Lurín, Lima")</f>
      </c>
      <c r="N165" t="str">
        <v>Bache</v>
      </c>
      <c r="O165">
        <v>673.3</v>
      </c>
      <c r="P165" t="str">
        <v/>
      </c>
      <c r="Q165">
        <v>10.5</v>
      </c>
      <c r="R165">
        <v>26.07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>
        <v>85</v>
      </c>
      <c r="AA165" t="str">
        <v>17/09/2026</v>
      </c>
      <c r="AB165" t="str">
        <v>07:45:14</v>
      </c>
      <c r="AC165">
        <f>IF("ONLINE"="NOGPS","GPS Antiguo","En línea")</f>
      </c>
      <c r="AD165">
        <f>IF(0=0,"Sin atender", IF(0=1,"Atendida","Atendida y Reportada"))</f>
      </c>
      <c r="AE165" t="str">
        <v/>
      </c>
      <c r="AF165" t="str">
        <v/>
      </c>
      <c r="AG165" t="str">
        <v/>
      </c>
      <c r="AH165" t="str">
        <v/>
      </c>
      <c r="AI165" t="str">
        <v>17/09/2026 07:45:46</v>
      </c>
      <c r="AJ165" t="str">
        <v>07:45:46</v>
      </c>
      <c r="AK165" t="str">
        <v/>
      </c>
    </row>
    <row r="166">
      <c r="A166">
        <v>165</v>
      </c>
      <c r="B166" t="str">
        <v>MASS BSF</v>
      </c>
      <c r="C166" t="str">
        <v>F8R-810</v>
      </c>
      <c r="D166" t="str">
        <v>F8R-810</v>
      </c>
      <c r="E166" t="str">
        <v>867806078868827</v>
      </c>
      <c r="F166" t="str">
        <v>TBD</v>
      </c>
      <c r="G166" t="str">
        <v/>
      </c>
      <c r="H166" t="str">
        <v/>
      </c>
      <c r="I166" t="str">
        <v>17/09/2026</v>
      </c>
      <c r="J166" t="str">
        <v>07:45:18</v>
      </c>
      <c r="K166">
        <v>-12.29448</v>
      </c>
      <c r="L166">
        <v>-76.852684</v>
      </c>
      <c r="M166">
        <f>HYPERLINK("https://www.google.com/maps/search/?api=1&amp;query=-12.29448,-76.852684","Antigua Panamericana Sur, Lurín, Lima")</f>
      </c>
      <c r="N166" t="str">
        <v>Acelerado y giro brusco</v>
      </c>
      <c r="O166">
        <v>673.3</v>
      </c>
      <c r="P166" t="str">
        <v/>
      </c>
      <c r="Q166">
        <v>13.8</v>
      </c>
      <c r="R166">
        <v>26.07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>
        <v>85</v>
      </c>
      <c r="AA166" t="str">
        <v>17/09/2026</v>
      </c>
      <c r="AB166" t="str">
        <v>07:45:17</v>
      </c>
      <c r="AC166">
        <f>IF("ONLINE"="NOGPS","GPS Antiguo","En línea")</f>
      </c>
      <c r="AD166">
        <f>IF(0=0,"Sin atender", IF(0=1,"Atendida","Atendida y Reportada"))</f>
      </c>
      <c r="AE166" t="str">
        <v/>
      </c>
      <c r="AF166" t="str">
        <v/>
      </c>
      <c r="AG166" t="str">
        <v/>
      </c>
      <c r="AH166" t="str">
        <v/>
      </c>
      <c r="AI166" t="str">
        <v>17/09/2026 07:45:51</v>
      </c>
      <c r="AJ166" t="str">
        <v>07:45:51</v>
      </c>
      <c r="AK166" t="str">
        <v/>
      </c>
    </row>
    <row r="167">
      <c r="A167">
        <v>166</v>
      </c>
      <c r="B167" t="str">
        <v>MASS BSF</v>
      </c>
      <c r="C167" t="str">
        <v>F8R-810</v>
      </c>
      <c r="D167" t="str">
        <v>F8R-810</v>
      </c>
      <c r="E167" t="str">
        <v>867806078868827</v>
      </c>
      <c r="F167" t="str">
        <v>TBD</v>
      </c>
      <c r="G167" t="str">
        <v/>
      </c>
      <c r="H167" t="str">
        <v/>
      </c>
      <c r="I167" t="str">
        <v>17/09/2026</v>
      </c>
      <c r="J167" t="str">
        <v>07:45:30</v>
      </c>
      <c r="K167">
        <v>-12.293897</v>
      </c>
      <c r="L167">
        <v>-76.853325</v>
      </c>
      <c r="M167">
        <f>HYPERLINK("https://www.google.com/maps/search/?api=1&amp;query=-12.293897,-76.853325","Antigua Panamericana Sur, Lurín, Lima")</f>
      </c>
      <c r="N167" t="str">
        <v>Acelerado y giro brusco</v>
      </c>
      <c r="O167">
        <v>673.4</v>
      </c>
      <c r="P167" t="str">
        <v/>
      </c>
      <c r="Q167">
        <v>38.1</v>
      </c>
      <c r="R167">
        <v>26.07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>
        <v>85</v>
      </c>
      <c r="AA167" t="str">
        <v>17/09/2026</v>
      </c>
      <c r="AB167" t="str">
        <v>07:45:29</v>
      </c>
      <c r="AC167">
        <f>IF("ONLINE"="NOGPS","GPS Antiguo","En línea")</f>
      </c>
      <c r="AD167">
        <f>IF(0=0,"Sin atender", IF(0=1,"Atendida","Atendida y Reportada"))</f>
      </c>
      <c r="AE167" t="str">
        <v/>
      </c>
      <c r="AF167" t="str">
        <v/>
      </c>
      <c r="AG167" t="str">
        <v/>
      </c>
      <c r="AH167" t="str">
        <v/>
      </c>
      <c r="AI167" t="str">
        <v>17/09/2026 07:45:47</v>
      </c>
      <c r="AJ167" t="str">
        <v>07:45:47</v>
      </c>
      <c r="AK167" t="str">
        <v/>
      </c>
    </row>
    <row r="168">
      <c r="A168">
        <v>167</v>
      </c>
      <c r="B168" t="str">
        <v>MASS BSF</v>
      </c>
      <c r="C168" t="str">
        <v>F8R-810</v>
      </c>
      <c r="D168" t="str">
        <v>F8R-810</v>
      </c>
      <c r="E168" t="str">
        <v>867806078868827</v>
      </c>
      <c r="F168" t="str">
        <v>TBD</v>
      </c>
      <c r="G168" t="str">
        <v/>
      </c>
      <c r="H168" t="str">
        <v/>
      </c>
      <c r="I168" t="str">
        <v>17/09/2026</v>
      </c>
      <c r="J168" t="str">
        <v>07:45:47</v>
      </c>
      <c r="K168">
        <v>-12.293253</v>
      </c>
      <c r="L168">
        <v>-76.85399</v>
      </c>
      <c r="M168">
        <f>HYPERLINK("https://www.google.com/maps/search/?api=1&amp;query=-12.293253,-76.85399","Antigua Panamericana Sur, Lurín, Lima")</f>
      </c>
      <c r="N168" t="str">
        <v>Acelerado y giro brusco</v>
      </c>
      <c r="O168">
        <v>673.5</v>
      </c>
      <c r="P168" t="str">
        <v/>
      </c>
      <c r="Q168">
        <v>7.4</v>
      </c>
      <c r="R168">
        <v>26.07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>
        <v>85</v>
      </c>
      <c r="AA168" t="str">
        <v>17/09/2026</v>
      </c>
      <c r="AB168" t="str">
        <v>07:45:46</v>
      </c>
      <c r="AC168">
        <f>IF("ONLINE"="NOGPS","GPS Antiguo","En línea")</f>
      </c>
      <c r="AD168">
        <f>IF(0=0,"Sin atender", IF(0=1,"Atendida","Atendida y Reportada"))</f>
      </c>
      <c r="AE168" t="str">
        <v/>
      </c>
      <c r="AF168" t="str">
        <v/>
      </c>
      <c r="AG168" t="str">
        <v/>
      </c>
      <c r="AH168" t="str">
        <v/>
      </c>
      <c r="AI168" t="str">
        <v>17/09/2026 07:46:10</v>
      </c>
      <c r="AJ168" t="str">
        <v>07:46:10</v>
      </c>
      <c r="AK168" t="str">
        <v/>
      </c>
    </row>
    <row r="169">
      <c r="A169">
        <v>168</v>
      </c>
      <c r="B169" t="str">
        <v>MASS BSF</v>
      </c>
      <c r="C169" t="str">
        <v>F8R-810</v>
      </c>
      <c r="D169" t="str">
        <v>F8R-810</v>
      </c>
      <c r="E169" t="str">
        <v>867806078868827</v>
      </c>
      <c r="F169" t="str">
        <v>TBD</v>
      </c>
      <c r="G169" t="str">
        <v/>
      </c>
      <c r="H169" t="str">
        <v/>
      </c>
      <c r="I169" t="str">
        <v>17/09/2026</v>
      </c>
      <c r="J169" t="str">
        <v>07:46:29</v>
      </c>
      <c r="K169">
        <v>-12.292557</v>
      </c>
      <c r="L169">
        <v>-76.8547</v>
      </c>
      <c r="M169">
        <f>HYPERLINK("https://www.google.com/maps/search/?api=1&amp;query=-12.292557,-76.8547","Antigua Panamericana Sur, Lurín, Lima")</f>
      </c>
      <c r="N169" t="str">
        <v>Acelerado y giro brusco</v>
      </c>
      <c r="O169">
        <v>673.6</v>
      </c>
      <c r="P169" t="str">
        <v/>
      </c>
      <c r="Q169">
        <v>37.9</v>
      </c>
      <c r="R169">
        <v>26.07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>
        <v>85</v>
      </c>
      <c r="AA169" t="str">
        <v>17/09/2026</v>
      </c>
      <c r="AB169" t="str">
        <v>07:46:28</v>
      </c>
      <c r="AC169">
        <f>IF("ONLINE"="NOGPS","GPS Antiguo","En línea")</f>
      </c>
      <c r="AD169">
        <f>IF(0=0,"Sin atender", IF(0=1,"Atendida","Atendida y Reportada"))</f>
      </c>
      <c r="AE169" t="str">
        <v/>
      </c>
      <c r="AF169" t="str">
        <v/>
      </c>
      <c r="AG169" t="str">
        <v/>
      </c>
      <c r="AH169" t="str">
        <v/>
      </c>
      <c r="AI169" t="str">
        <v>17/09/2026 07:46:45</v>
      </c>
      <c r="AJ169" t="str">
        <v>07:46:45</v>
      </c>
      <c r="AK169" t="str">
        <v/>
      </c>
    </row>
    <row r="170">
      <c r="A170">
        <v>169</v>
      </c>
      <c r="B170" t="str">
        <v>MASS BSF</v>
      </c>
      <c r="C170" t="str">
        <v>F8R-810</v>
      </c>
      <c r="D170" t="str">
        <v>F8R-810</v>
      </c>
      <c r="E170" t="str">
        <v>867806078868827</v>
      </c>
      <c r="F170" t="str">
        <v>TBD</v>
      </c>
      <c r="G170" t="str">
        <v/>
      </c>
      <c r="H170" t="str">
        <v/>
      </c>
      <c r="I170" t="str">
        <v>17/09/2026</v>
      </c>
      <c r="J170" t="str">
        <v>07:46:38</v>
      </c>
      <c r="K170">
        <v>-12.291873</v>
      </c>
      <c r="L170">
        <v>-76.8554</v>
      </c>
      <c r="M170">
        <f>HYPERLINK("https://www.google.com/maps/search/?api=1&amp;query=-12.291873,-76.8554","Antigua Panamericana Sur, Lurín, Lima")</f>
      </c>
      <c r="N170" t="str">
        <v>Acelerado y giro brusco</v>
      </c>
      <c r="O170">
        <v>673.7</v>
      </c>
      <c r="P170" t="str">
        <v/>
      </c>
      <c r="Q170">
        <v>47.9</v>
      </c>
      <c r="R170">
        <v>26.07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>
        <v>85</v>
      </c>
      <c r="AA170" t="str">
        <v>17/09/2026</v>
      </c>
      <c r="AB170" t="str">
        <v>07:46:37</v>
      </c>
      <c r="AC170">
        <f>IF("ONLINE"="NOGPS","GPS Antiguo","En línea")</f>
      </c>
      <c r="AD170">
        <f>IF(0=0,"Sin atender", IF(0=1,"Atendida","Atendida y Reportada"))</f>
      </c>
      <c r="AE170" t="str">
        <v/>
      </c>
      <c r="AF170" t="str">
        <v/>
      </c>
      <c r="AG170" t="str">
        <v/>
      </c>
      <c r="AH170" t="str">
        <v/>
      </c>
      <c r="AI170" t="str">
        <v>17/09/2026 07:47:08</v>
      </c>
      <c r="AJ170" t="str">
        <v>07:47:08</v>
      </c>
      <c r="AK170" t="str">
        <v/>
      </c>
    </row>
    <row r="171">
      <c r="A171">
        <v>170</v>
      </c>
      <c r="B171" t="str">
        <v>MASS BSF</v>
      </c>
      <c r="C171" t="str">
        <v>F8R-810</v>
      </c>
      <c r="D171" t="str">
        <v>F8R-810</v>
      </c>
      <c r="E171" t="str">
        <v>867806078868827</v>
      </c>
      <c r="F171" t="str">
        <v>TBD</v>
      </c>
      <c r="G171" t="str">
        <v/>
      </c>
      <c r="H171" t="str">
        <v/>
      </c>
      <c r="I171" t="str">
        <v>17/09/2026</v>
      </c>
      <c r="J171" t="str">
        <v>07:46:46</v>
      </c>
      <c r="K171">
        <v>-12.291137</v>
      </c>
      <c r="L171">
        <v>-76.85616</v>
      </c>
      <c r="M171">
        <f>HYPERLINK("https://www.google.com/maps/search/?api=1&amp;query=-12.291137,-76.85616","Antigua Panamericana Sur, Lurín, Lima")</f>
      </c>
      <c r="N171" t="str">
        <v>Aceleración brusca</v>
      </c>
      <c r="O171">
        <v>673.8</v>
      </c>
      <c r="P171" t="str">
        <v/>
      </c>
      <c r="Q171">
        <v>53.7</v>
      </c>
      <c r="R171">
        <v>26.07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>
        <v>85</v>
      </c>
      <c r="AA171" t="str">
        <v>17/09/2026</v>
      </c>
      <c r="AB171" t="str">
        <v>07:46:45</v>
      </c>
      <c r="AC171">
        <f>IF("ONLINE"="NOGPS","GPS Antiguo","En línea")</f>
      </c>
      <c r="AD171">
        <f>IF(0=0,"Sin atender", IF(0=1,"Atendida","Atendida y Reportada"))</f>
      </c>
      <c r="AE171" t="str">
        <v/>
      </c>
      <c r="AF171" t="str">
        <v/>
      </c>
      <c r="AG171" t="str">
        <v/>
      </c>
      <c r="AH171" t="str">
        <v/>
      </c>
      <c r="AI171" t="str">
        <v>17/09/2026 07:46:53</v>
      </c>
      <c r="AJ171" t="str">
        <v>07:46:53</v>
      </c>
      <c r="AK171" t="str">
        <v/>
      </c>
    </row>
    <row r="172">
      <c r="A172">
        <v>171</v>
      </c>
      <c r="B172" t="str">
        <v>MASS BSF</v>
      </c>
      <c r="C172" t="str">
        <v>F8R-810</v>
      </c>
      <c r="D172" t="str">
        <v>F8R-810</v>
      </c>
      <c r="E172" t="str">
        <v>867806078868827</v>
      </c>
      <c r="F172" t="str">
        <v>TBD</v>
      </c>
      <c r="G172" t="str">
        <v/>
      </c>
      <c r="H172" t="str">
        <v/>
      </c>
      <c r="I172" t="str">
        <v>17/09/2026</v>
      </c>
      <c r="J172" t="str">
        <v>07:46:57</v>
      </c>
      <c r="K172">
        <v>-12.29008</v>
      </c>
      <c r="L172">
        <v>-76.857254</v>
      </c>
      <c r="M172">
        <f>HYPERLINK("https://www.google.com/maps/search/?api=1&amp;query=-12.29008,-76.857254","Antigua Panamericana Sur, Lurín, Lima")</f>
      </c>
      <c r="N172" t="str">
        <v>Acelerado y giro brusco</v>
      </c>
      <c r="O172">
        <v>674</v>
      </c>
      <c r="P172" t="str">
        <v/>
      </c>
      <c r="Q172">
        <v>55</v>
      </c>
      <c r="R172">
        <v>26.07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>
        <v>85</v>
      </c>
      <c r="AA172" t="str">
        <v>17/09/2026</v>
      </c>
      <c r="AB172" t="str">
        <v>07:46:56</v>
      </c>
      <c r="AC172">
        <f>IF("ONLINE"="NOGPS","GPS Antiguo","En línea")</f>
      </c>
      <c r="AD172">
        <f>IF(0=0,"Sin atender", IF(0=1,"Atendida","Atendida y Reportada"))</f>
      </c>
      <c r="AE172" t="str">
        <v/>
      </c>
      <c r="AF172" t="str">
        <v/>
      </c>
      <c r="AG172" t="str">
        <v/>
      </c>
      <c r="AH172" t="str">
        <v/>
      </c>
      <c r="AI172" t="str">
        <v>17/09/2026 07:47:17</v>
      </c>
      <c r="AJ172" t="str">
        <v>07:47:17</v>
      </c>
      <c r="AK172" t="str">
        <v/>
      </c>
    </row>
    <row r="173">
      <c r="A173">
        <v>172</v>
      </c>
      <c r="B173" t="str">
        <v>MASS BSF</v>
      </c>
      <c r="C173" t="str">
        <v>F8R-810</v>
      </c>
      <c r="D173" t="str">
        <v>F8R-810</v>
      </c>
      <c r="E173" t="str">
        <v>867806078868827</v>
      </c>
      <c r="F173" t="str">
        <v>TBD</v>
      </c>
      <c r="G173" t="str">
        <v/>
      </c>
      <c r="H173" t="str">
        <v/>
      </c>
      <c r="I173" t="str">
        <v>17/09/2026</v>
      </c>
      <c r="J173" t="str">
        <v>07:47:04</v>
      </c>
      <c r="K173">
        <v>-12.289433</v>
      </c>
      <c r="L173">
        <v>-76.857925</v>
      </c>
      <c r="M173">
        <f>HYPERLINK("https://www.google.com/maps/search/?api=1&amp;query=-12.289433,-76.857925","Antigua Panamericana Sur, Lurín, Lima")</f>
      </c>
      <c r="N173" t="str">
        <v>Acelerado y giro brusco</v>
      </c>
      <c r="O173">
        <v>674.1</v>
      </c>
      <c r="P173" t="str">
        <v/>
      </c>
      <c r="Q173">
        <v>49.8</v>
      </c>
      <c r="R173">
        <v>26.07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>
        <v>85</v>
      </c>
      <c r="AA173" t="str">
        <v>17/09/2026</v>
      </c>
      <c r="AB173" t="str">
        <v>07:47:03</v>
      </c>
      <c r="AC173">
        <f>IF("ONLINE"="NOGPS","GPS Antiguo","En línea")</f>
      </c>
      <c r="AD173">
        <f>IF(0=0,"Sin atender", IF(0=1,"Atendida","Atendida y Reportada"))</f>
      </c>
      <c r="AE173" t="str">
        <v/>
      </c>
      <c r="AF173" t="str">
        <v/>
      </c>
      <c r="AG173" t="str">
        <v/>
      </c>
      <c r="AH173" t="str">
        <v/>
      </c>
      <c r="AI173" t="str">
        <v>17/09/2026 07:47:14</v>
      </c>
      <c r="AJ173" t="str">
        <v>07:47:14</v>
      </c>
      <c r="AK173" t="str">
        <v/>
      </c>
    </row>
    <row r="174">
      <c r="A174">
        <v>173</v>
      </c>
      <c r="B174" t="str">
        <v>MASS BSF</v>
      </c>
      <c r="C174" t="str">
        <v>F8R-810</v>
      </c>
      <c r="D174" t="str">
        <v>F8R-810</v>
      </c>
      <c r="E174" t="str">
        <v>867806078868827</v>
      </c>
      <c r="F174" t="str">
        <v>TBD</v>
      </c>
      <c r="G174" t="str">
        <v/>
      </c>
      <c r="H174" t="str">
        <v/>
      </c>
      <c r="I174" t="str">
        <v>17/09/2026</v>
      </c>
      <c r="J174" t="str">
        <v>07:47:12</v>
      </c>
      <c r="K174">
        <v>-12.288738</v>
      </c>
      <c r="L174">
        <v>-76.85861</v>
      </c>
      <c r="M174">
        <f>HYPERLINK("https://www.google.com/maps/search/?api=1&amp;query=-12.288738,-76.85861","Antigua Panamericana Sur, Lurín, Lima")</f>
      </c>
      <c r="N174" t="str">
        <v>Acelerado y giro brusco</v>
      </c>
      <c r="O174">
        <v>674.2</v>
      </c>
      <c r="P174" t="str">
        <v/>
      </c>
      <c r="Q174">
        <v>46.8</v>
      </c>
      <c r="R174">
        <v>26.07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>
        <v>85</v>
      </c>
      <c r="AA174" t="str">
        <v>17/09/2026</v>
      </c>
      <c r="AB174" t="str">
        <v>07:47:11</v>
      </c>
      <c r="AC174">
        <f>IF("ONLINE"="NOGPS","GPS Antiguo","En línea")</f>
      </c>
      <c r="AD174">
        <f>IF(0=0,"Sin atender", IF(0=1,"Atendida","Atendida y Reportada"))</f>
      </c>
      <c r="AE174" t="str">
        <v/>
      </c>
      <c r="AF174" t="str">
        <v/>
      </c>
      <c r="AG174" t="str">
        <v/>
      </c>
      <c r="AH174" t="str">
        <v/>
      </c>
      <c r="AI174" t="str">
        <v>17/09/2026 07:47:34</v>
      </c>
      <c r="AJ174" t="str">
        <v>07:47:34</v>
      </c>
      <c r="AK174" t="str">
        <v/>
      </c>
    </row>
    <row r="175">
      <c r="A175">
        <v>174</v>
      </c>
      <c r="B175" t="str">
        <v>MASS BSF</v>
      </c>
      <c r="C175" t="str">
        <v>F8R-810</v>
      </c>
      <c r="D175" t="str">
        <v>F8R-810</v>
      </c>
      <c r="E175" t="str">
        <v>867806078868827</v>
      </c>
      <c r="F175" t="str">
        <v>TBD</v>
      </c>
      <c r="G175" t="str">
        <v/>
      </c>
      <c r="H175" t="str">
        <v/>
      </c>
      <c r="I175" t="str">
        <v>17/09/2026</v>
      </c>
      <c r="J175" t="str">
        <v>07:47:21</v>
      </c>
      <c r="K175">
        <v>-12.28799</v>
      </c>
      <c r="L175">
        <v>-76.85936</v>
      </c>
      <c r="M175">
        <f>HYPERLINK("https://www.google.com/maps/search/?api=1&amp;query=-12.28799,-76.85936","Antigua Panamericana Sur, Lurín, Lima")</f>
      </c>
      <c r="N175" t="str">
        <v>Acelerado y giro brusco</v>
      </c>
      <c r="O175">
        <v>674.3</v>
      </c>
      <c r="P175" t="str">
        <v/>
      </c>
      <c r="Q175">
        <v>47</v>
      </c>
      <c r="R175">
        <v>26.07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>
        <v>85</v>
      </c>
      <c r="AA175" t="str">
        <v>17/09/2026</v>
      </c>
      <c r="AB175" t="str">
        <v>07:47:20</v>
      </c>
      <c r="AC175">
        <f>IF("ONLINE"="NOGPS","GPS Antiguo","En línea")</f>
      </c>
      <c r="AD175">
        <f>IF(0=0,"Sin atender", IF(0=1,"Atendida","Atendida y Reportada"))</f>
      </c>
      <c r="AE175" t="str">
        <v/>
      </c>
      <c r="AF175" t="str">
        <v/>
      </c>
      <c r="AG175" t="str">
        <v/>
      </c>
      <c r="AH175" t="str">
        <v/>
      </c>
      <c r="AI175" t="str">
        <v>17/09/2026 07:47:32</v>
      </c>
      <c r="AJ175" t="str">
        <v>07:47:32</v>
      </c>
      <c r="AK175" t="str">
        <v/>
      </c>
    </row>
    <row r="176">
      <c r="A176">
        <v>175</v>
      </c>
      <c r="B176" t="str">
        <v>MASS BSF</v>
      </c>
      <c r="C176" t="str">
        <v>F8R-810</v>
      </c>
      <c r="D176" t="str">
        <v>F8R-810</v>
      </c>
      <c r="E176" t="str">
        <v>867806078868827</v>
      </c>
      <c r="F176" t="str">
        <v>TBD</v>
      </c>
      <c r="G176" t="str">
        <v/>
      </c>
      <c r="H176" t="str">
        <v/>
      </c>
      <c r="I176" t="str">
        <v>17/09/2026</v>
      </c>
      <c r="J176" t="str">
        <v>07:47:28</v>
      </c>
      <c r="K176">
        <v>-12.287403</v>
      </c>
      <c r="L176">
        <v>-76.85996</v>
      </c>
      <c r="M176">
        <f>HYPERLINK("https://www.google.com/maps/search/?api=1&amp;query=-12.287403,-76.85996","Antigua Panamericana Sur, Lurín, Lima")</f>
      </c>
      <c r="N176" t="str">
        <v>Acelerado y giro brusco</v>
      </c>
      <c r="O176">
        <v>674.4</v>
      </c>
      <c r="P176" t="str">
        <v/>
      </c>
      <c r="Q176">
        <v>47.4</v>
      </c>
      <c r="R176">
        <v>26.07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>
        <v>85</v>
      </c>
      <c r="AA176" t="str">
        <v>17/09/2026</v>
      </c>
      <c r="AB176" t="str">
        <v>07:47:27</v>
      </c>
      <c r="AC176">
        <f>IF("ONLINE"="NOGPS","GPS Antiguo","En línea")</f>
      </c>
      <c r="AD176">
        <f>IF(0=0,"Sin atender", IF(0=1,"Atendida","Atendida y Reportada"))</f>
      </c>
      <c r="AE176" t="str">
        <v/>
      </c>
      <c r="AF176" t="str">
        <v/>
      </c>
      <c r="AG176" t="str">
        <v/>
      </c>
      <c r="AH176" t="str">
        <v/>
      </c>
      <c r="AI176" t="str">
        <v>17/09/2026 07:47:44</v>
      </c>
      <c r="AJ176" t="str">
        <v>07:47:44</v>
      </c>
      <c r="AK176" t="str">
        <v/>
      </c>
    </row>
    <row r="177">
      <c r="A177">
        <v>176</v>
      </c>
      <c r="B177" t="str">
        <v>MASS BSF</v>
      </c>
      <c r="C177" t="str">
        <v>F8R-810</v>
      </c>
      <c r="D177" t="str">
        <v>F8R-810</v>
      </c>
      <c r="E177" t="str">
        <v>867806078868827</v>
      </c>
      <c r="F177" t="str">
        <v>TBD</v>
      </c>
      <c r="G177" t="str">
        <v/>
      </c>
      <c r="H177" t="str">
        <v/>
      </c>
      <c r="I177" t="str">
        <v>17/09/2026</v>
      </c>
      <c r="J177" t="str">
        <v>07:47:32</v>
      </c>
      <c r="K177">
        <v>-12.287082</v>
      </c>
      <c r="L177">
        <v>-76.8603</v>
      </c>
      <c r="M177">
        <f>HYPERLINK("https://www.google.com/maps/search/?api=1&amp;query=-12.287082,-76.8603","Antigua Panamericana Sur, Lurín, Lima")</f>
      </c>
      <c r="N177" t="str">
        <v>Acelerado y giro brusco</v>
      </c>
      <c r="O177">
        <v>674.5</v>
      </c>
      <c r="P177" t="str">
        <v/>
      </c>
      <c r="Q177">
        <v>44.2</v>
      </c>
      <c r="R177">
        <v>26.07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>
        <v>85</v>
      </c>
      <c r="AA177" t="str">
        <v>17/09/2026</v>
      </c>
      <c r="AB177" t="str">
        <v>07:47:31</v>
      </c>
      <c r="AC177">
        <f>IF("ONLINE"="NOGPS","GPS Antiguo","En línea")</f>
      </c>
      <c r="AD177">
        <f>IF(0=0,"Sin atender", IF(0=1,"Atendida","Atendida y Reportada"))</f>
      </c>
      <c r="AE177" t="str">
        <v/>
      </c>
      <c r="AF177" t="str">
        <v/>
      </c>
      <c r="AG177" t="str">
        <v/>
      </c>
      <c r="AH177" t="str">
        <v/>
      </c>
      <c r="AI177" t="str">
        <v>17/09/2026 07:47:39</v>
      </c>
      <c r="AJ177" t="str">
        <v>07:47:39</v>
      </c>
      <c r="AK177" t="str">
        <v/>
      </c>
    </row>
    <row r="178">
      <c r="A178">
        <v>177</v>
      </c>
      <c r="B178" t="str">
        <v>MASS BSF</v>
      </c>
      <c r="C178" t="str">
        <v>F8R-810</v>
      </c>
      <c r="D178" t="str">
        <v>F8R-810</v>
      </c>
      <c r="E178" t="str">
        <v>867806078868827</v>
      </c>
      <c r="F178" t="str">
        <v>TBD</v>
      </c>
      <c r="G178" t="str">
        <v/>
      </c>
      <c r="H178" t="str">
        <v/>
      </c>
      <c r="I178" t="str">
        <v>17/09/2026</v>
      </c>
      <c r="J178" t="str">
        <v>07:47:42</v>
      </c>
      <c r="K178">
        <v>-12.286377</v>
      </c>
      <c r="L178">
        <v>-76.861015</v>
      </c>
      <c r="M178">
        <f>HYPERLINK("https://www.google.com/maps/search/?api=1&amp;query=-12.286377,-76.861015","Antigua Panamericana Sur, Lurín, Lima")</f>
      </c>
      <c r="N178" t="str">
        <v>Acelerado y giro brusco</v>
      </c>
      <c r="O178">
        <v>674.6</v>
      </c>
      <c r="P178" t="str">
        <v/>
      </c>
      <c r="Q178">
        <v>36.2</v>
      </c>
      <c r="R178">
        <v>26.07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>
        <v>85</v>
      </c>
      <c r="AA178" t="str">
        <v>17/09/2026</v>
      </c>
      <c r="AB178" t="str">
        <v>07:47:41</v>
      </c>
      <c r="AC178">
        <f>IF("ONLINE"="NOGPS","GPS Antiguo","En línea")</f>
      </c>
      <c r="AD178">
        <f>IF(0=0,"Sin atender", IF(0=1,"Atendida","Atendida y Reportada"))</f>
      </c>
      <c r="AE178" t="str">
        <v/>
      </c>
      <c r="AF178" t="str">
        <v/>
      </c>
      <c r="AG178" t="str">
        <v/>
      </c>
      <c r="AH178" t="str">
        <v/>
      </c>
      <c r="AI178" t="str">
        <v>17/09/2026 07:48:01</v>
      </c>
      <c r="AJ178" t="str">
        <v>07:48:01</v>
      </c>
      <c r="AK178" t="str">
        <v/>
      </c>
    </row>
    <row r="179">
      <c r="A179">
        <v>178</v>
      </c>
      <c r="B179" t="str">
        <v>MASS BSF</v>
      </c>
      <c r="C179" t="str">
        <v>F8R-810</v>
      </c>
      <c r="D179" t="str">
        <v>F8R-810</v>
      </c>
      <c r="E179" t="str">
        <v>867806078868827</v>
      </c>
      <c r="F179" t="str">
        <v>TBD</v>
      </c>
      <c r="G179" t="str">
        <v/>
      </c>
      <c r="H179" t="str">
        <v/>
      </c>
      <c r="I179" t="str">
        <v>17/09/2026</v>
      </c>
      <c r="J179" t="str">
        <v>07:47:57</v>
      </c>
      <c r="K179">
        <v>-12.285515</v>
      </c>
      <c r="L179">
        <v>-76.86194</v>
      </c>
      <c r="M179">
        <f>HYPERLINK("https://www.google.com/maps/search/?api=1&amp;query=-12.285515,-76.86194","Antigua Panamericana Sur, Lurín, Lima")</f>
      </c>
      <c r="N179" t="str">
        <v>Acelerado y giro brusco</v>
      </c>
      <c r="O179">
        <v>674.7</v>
      </c>
      <c r="P179" t="str">
        <v/>
      </c>
      <c r="Q179">
        <v>38.7</v>
      </c>
      <c r="R179">
        <v>26.07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>
        <v>85</v>
      </c>
      <c r="AA179" t="str">
        <v>17/09/2026</v>
      </c>
      <c r="AB179" t="str">
        <v>07:47:56</v>
      </c>
      <c r="AC179">
        <f>IF("ONLINE"="NOGPS","GPS Antiguo","En línea")</f>
      </c>
      <c r="AD179">
        <f>IF(0=0,"Sin atender", IF(0=1,"Atendida","Atendida y Reportada"))</f>
      </c>
      <c r="AE179" t="str">
        <v/>
      </c>
      <c r="AF179" t="str">
        <v/>
      </c>
      <c r="AG179" t="str">
        <v/>
      </c>
      <c r="AH179" t="str">
        <v/>
      </c>
      <c r="AI179" t="str">
        <v>17/09/2026 07:47:59</v>
      </c>
      <c r="AJ179" t="str">
        <v>07:47:59</v>
      </c>
      <c r="AK179" t="str">
        <v/>
      </c>
    </row>
    <row r="180">
      <c r="A180">
        <v>179</v>
      </c>
      <c r="B180" t="str">
        <v>MASS BSF</v>
      </c>
      <c r="C180" t="str">
        <v>F8R-810</v>
      </c>
      <c r="D180" t="str">
        <v>F8R-810</v>
      </c>
      <c r="E180" t="str">
        <v>867806078868827</v>
      </c>
      <c r="F180" t="str">
        <v>TBD</v>
      </c>
      <c r="G180" t="str">
        <v/>
      </c>
      <c r="H180" t="str">
        <v/>
      </c>
      <c r="I180" t="str">
        <v>17/09/2026</v>
      </c>
      <c r="J180" t="str">
        <v>07:48:22</v>
      </c>
      <c r="K180">
        <v>-12.283216</v>
      </c>
      <c r="L180">
        <v>-76.864265</v>
      </c>
      <c r="M180">
        <f>HYPERLINK("https://www.google.com/maps/search/?api=1&amp;query=-12.283216,-76.864265","Antigua Panamericana Sur, Lurín, Lima")</f>
      </c>
      <c r="N180" t="str">
        <v>Acelerado y giro brusco</v>
      </c>
      <c r="O180">
        <v>675.1</v>
      </c>
      <c r="P180" t="str">
        <v/>
      </c>
      <c r="Q180">
        <v>47.9</v>
      </c>
      <c r="R180">
        <v>26.07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>
        <v>85</v>
      </c>
      <c r="AA180" t="str">
        <v>17/09/2026</v>
      </c>
      <c r="AB180" t="str">
        <v>07:48:21</v>
      </c>
      <c r="AC180">
        <f>IF("ONLINE"="NOGPS","GPS Antiguo","En línea")</f>
      </c>
      <c r="AD180">
        <f>IF(0=0,"Sin atender", IF(0=1,"Atendida","Atendida y Reportada"))</f>
      </c>
      <c r="AE180" t="str">
        <v/>
      </c>
      <c r="AF180" t="str">
        <v/>
      </c>
      <c r="AG180" t="str">
        <v/>
      </c>
      <c r="AH180" t="str">
        <v/>
      </c>
      <c r="AI180" t="str">
        <v>17/09/2026 07:48:38</v>
      </c>
      <c r="AJ180" t="str">
        <v>07:48:38</v>
      </c>
      <c r="AK180" t="str">
        <v/>
      </c>
    </row>
    <row r="181">
      <c r="A181">
        <v>180</v>
      </c>
      <c r="B181" t="str">
        <v>MASS BSF</v>
      </c>
      <c r="C181" t="str">
        <v>F8R-810</v>
      </c>
      <c r="D181" t="str">
        <v>F8R-810</v>
      </c>
      <c r="E181" t="str">
        <v>867806078868827</v>
      </c>
      <c r="F181" t="str">
        <v>TBD</v>
      </c>
      <c r="G181" t="str">
        <v/>
      </c>
      <c r="H181" t="str">
        <v/>
      </c>
      <c r="I181" t="str">
        <v>17/09/2026</v>
      </c>
      <c r="J181" t="str">
        <v>07:49:01</v>
      </c>
      <c r="K181">
        <v>-12.280077</v>
      </c>
      <c r="L181">
        <v>-76.86712</v>
      </c>
      <c r="M181">
        <f>HYPERLINK("https://www.google.com/maps/search/?api=1&amp;query=-12.280077,-76.86712","Antigua Panamericana Sur, Lurín, Lima")</f>
      </c>
      <c r="N181" t="str">
        <v>Acelerado y giro brusco</v>
      </c>
      <c r="O181">
        <v>675.5</v>
      </c>
      <c r="P181" t="str">
        <v/>
      </c>
      <c r="Q181">
        <v>30.1</v>
      </c>
      <c r="R181">
        <v>26.07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>
        <v>85</v>
      </c>
      <c r="AA181" t="str">
        <v>17/09/2026</v>
      </c>
      <c r="AB181" t="str">
        <v>07:49:00</v>
      </c>
      <c r="AC181">
        <f>IF("ONLINE"="NOGPS","GPS Antiguo","En línea")</f>
      </c>
      <c r="AD181">
        <f>IF(0=0,"Sin atender", IF(0=1,"Atendida","Atendida y Reportada"))</f>
      </c>
      <c r="AE181" t="str">
        <v/>
      </c>
      <c r="AF181" t="str">
        <v/>
      </c>
      <c r="AG181" t="str">
        <v/>
      </c>
      <c r="AH181" t="str">
        <v/>
      </c>
      <c r="AI181" t="str">
        <v>17/09/2026 07:49:10</v>
      </c>
      <c r="AJ181" t="str">
        <v>07:49:10</v>
      </c>
      <c r="AK181" t="str">
        <v/>
      </c>
    </row>
    <row r="182">
      <c r="A182">
        <v>181</v>
      </c>
      <c r="B182" t="str">
        <v>MASS BSF</v>
      </c>
      <c r="C182" t="str">
        <v>F8R-810</v>
      </c>
      <c r="D182" t="str">
        <v>F8R-810</v>
      </c>
      <c r="E182" t="str">
        <v>867806078868827</v>
      </c>
      <c r="F182" t="str">
        <v>TBD</v>
      </c>
      <c r="G182" t="str">
        <v/>
      </c>
      <c r="H182" t="str">
        <v/>
      </c>
      <c r="I182" t="str">
        <v>17/09/2026</v>
      </c>
      <c r="J182" t="str">
        <v>07:49:14</v>
      </c>
      <c r="K182">
        <v>-12.279168</v>
      </c>
      <c r="L182">
        <v>-76.86791</v>
      </c>
      <c r="M182">
        <f>HYPERLINK("https://www.google.com/maps/search/?api=1&amp;query=-12.279168,-76.86791","Antigua Panamericana Sur, Lurín, Lima")</f>
      </c>
      <c r="N182" t="str">
        <v>Acelerado y giro brusco</v>
      </c>
      <c r="O182">
        <v>675.7</v>
      </c>
      <c r="P182" t="str">
        <v/>
      </c>
      <c r="Q182">
        <v>31.6</v>
      </c>
      <c r="R182">
        <v>26.07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>
        <v>85</v>
      </c>
      <c r="AA182" t="str">
        <v>17/09/2026</v>
      </c>
      <c r="AB182" t="str">
        <v>07:49:13</v>
      </c>
      <c r="AC182">
        <f>IF("ONLINE"="NOGPS","GPS Antiguo","En línea")</f>
      </c>
      <c r="AD182">
        <f>IF(0=0,"Sin atender", IF(0=1,"Atendida","Atendida y Reportada"))</f>
      </c>
      <c r="AE182" t="str">
        <v/>
      </c>
      <c r="AF182" t="str">
        <v/>
      </c>
      <c r="AG182" t="str">
        <v/>
      </c>
      <c r="AH182" t="str">
        <v/>
      </c>
      <c r="AI182" t="str">
        <v>17/09/2026 07:49:28</v>
      </c>
      <c r="AJ182" t="str">
        <v>07:49:28</v>
      </c>
      <c r="AK182" t="str">
        <v/>
      </c>
    </row>
    <row r="183">
      <c r="A183">
        <v>182</v>
      </c>
      <c r="B183" t="str">
        <v>MASS BSF</v>
      </c>
      <c r="C183" t="str">
        <v>F8R-810</v>
      </c>
      <c r="D183" t="str">
        <v>F8R-810</v>
      </c>
      <c r="E183" t="str">
        <v>867806078868827</v>
      </c>
      <c r="F183" t="str">
        <v>TBD</v>
      </c>
      <c r="G183" t="str">
        <v/>
      </c>
      <c r="H183" t="str">
        <v/>
      </c>
      <c r="I183" t="str">
        <v>17/09/2026</v>
      </c>
      <c r="J183" t="str">
        <v>07:49:27</v>
      </c>
      <c r="K183">
        <v>-12.278618</v>
      </c>
      <c r="L183">
        <v>-76.8683</v>
      </c>
      <c r="M183">
        <f>HYPERLINK("https://www.google.com/maps/search/?api=1&amp;query=-12.278618,-76.8683","Antigua Panamericana Sur, Lurín, Lima")</f>
      </c>
      <c r="N183" t="str">
        <v>Acelerado y giro brusco</v>
      </c>
      <c r="O183">
        <v>675.7</v>
      </c>
      <c r="P183" t="str">
        <v/>
      </c>
      <c r="Q183">
        <v>15.5</v>
      </c>
      <c r="R183">
        <v>26.07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>
        <v>85</v>
      </c>
      <c r="AA183" t="str">
        <v>17/09/2026</v>
      </c>
      <c r="AB183" t="str">
        <v>07:49:26</v>
      </c>
      <c r="AC183">
        <f>IF("ONLINE"="NOGPS","GPS Antiguo","En línea")</f>
      </c>
      <c r="AD183">
        <f>IF(0=0,"Sin atender", IF(0=1,"Atendida","Atendida y Reportada"))</f>
      </c>
      <c r="AE183" t="str">
        <v/>
      </c>
      <c r="AF183" t="str">
        <v/>
      </c>
      <c r="AG183" t="str">
        <v/>
      </c>
      <c r="AH183" t="str">
        <v/>
      </c>
      <c r="AI183" t="str">
        <v>17/09/2026 07:49:43</v>
      </c>
      <c r="AJ183" t="str">
        <v>07:49:43</v>
      </c>
      <c r="AK183" t="str">
        <v/>
      </c>
    </row>
    <row r="184">
      <c r="A184">
        <v>183</v>
      </c>
      <c r="B184" t="str">
        <v>MASS BSF</v>
      </c>
      <c r="C184" t="str">
        <v>F8R-810</v>
      </c>
      <c r="D184" t="str">
        <v>F8R-810</v>
      </c>
      <c r="E184" t="str">
        <v>867806078868827</v>
      </c>
      <c r="F184" t="str">
        <v>TBD</v>
      </c>
      <c r="G184" t="str">
        <v/>
      </c>
      <c r="H184" t="str">
        <v/>
      </c>
      <c r="I184" t="str">
        <v>17/09/2026</v>
      </c>
      <c r="J184" t="str">
        <v>07:49:35</v>
      </c>
      <c r="K184">
        <v>-12.27835</v>
      </c>
      <c r="L184">
        <v>-76.86854</v>
      </c>
      <c r="M184">
        <f>HYPERLINK("https://www.google.com/maps/search/?api=1&amp;query=-12.27835,-76.86854","Antigua Panamericana Sur, Lurín, Lima")</f>
      </c>
      <c r="N184" t="str">
        <v>Acelerado y giro brusco</v>
      </c>
      <c r="O184">
        <v>675.8</v>
      </c>
      <c r="P184" t="str">
        <v/>
      </c>
      <c r="Q184">
        <v>18.1</v>
      </c>
      <c r="R184">
        <v>26.07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>
        <v>85</v>
      </c>
      <c r="AA184" t="str">
        <v>17/09/2026</v>
      </c>
      <c r="AB184" t="str">
        <v>07:49:35</v>
      </c>
      <c r="AC184">
        <f>IF("ONLINE"="NOGPS","GPS Antiguo","En línea")</f>
      </c>
      <c r="AD184">
        <f>IF(0=0,"Sin atender", IF(0=1,"Atendida","Atendida y Reportada"))</f>
      </c>
      <c r="AE184" t="str">
        <v/>
      </c>
      <c r="AF184" t="str">
        <v/>
      </c>
      <c r="AG184" t="str">
        <v/>
      </c>
      <c r="AH184" t="str">
        <v/>
      </c>
      <c r="AI184" t="str">
        <v>17/09/2026 07:49:57</v>
      </c>
      <c r="AJ184" t="str">
        <v>07:49:57</v>
      </c>
      <c r="AK184" t="str">
        <v/>
      </c>
    </row>
    <row r="185">
      <c r="A185">
        <v>184</v>
      </c>
      <c r="B185" t="str">
        <v>MASS BSF</v>
      </c>
      <c r="C185" t="str">
        <v>F8R-810</v>
      </c>
      <c r="D185" t="str">
        <v>F8R-810</v>
      </c>
      <c r="E185" t="str">
        <v>867806078868827</v>
      </c>
      <c r="F185" t="str">
        <v>TBD</v>
      </c>
      <c r="G185" t="str">
        <v/>
      </c>
      <c r="H185" t="str">
        <v/>
      </c>
      <c r="I185" t="str">
        <v>17/09/2026</v>
      </c>
      <c r="J185" t="str">
        <v>07:49:56</v>
      </c>
      <c r="K185">
        <v>-12.277701</v>
      </c>
      <c r="L185">
        <v>-76.869064</v>
      </c>
      <c r="M185">
        <f>HYPERLINK("https://www.google.com/maps/search/?api=1&amp;query=-12.277701,-76.869064","Antigua Panamericana Sur, Lurín, Lima")</f>
      </c>
      <c r="N185" t="str">
        <v>Acelerado y giro brusco</v>
      </c>
      <c r="O185">
        <v>675.9</v>
      </c>
      <c r="P185" t="str">
        <v/>
      </c>
      <c r="Q185">
        <v>11.1</v>
      </c>
      <c r="R185">
        <v>26.07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>
        <v>85</v>
      </c>
      <c r="AA185" t="str">
        <v>17/09/2026</v>
      </c>
      <c r="AB185" t="str">
        <v>07:49:55</v>
      </c>
      <c r="AC185">
        <f>IF("ONLINE"="NOGPS","GPS Antiguo","En línea")</f>
      </c>
      <c r="AD185">
        <f>IF(0=0,"Sin atender", IF(0=1,"Atendida","Atendida y Reportada"))</f>
      </c>
      <c r="AE185" t="str">
        <v/>
      </c>
      <c r="AF185" t="str">
        <v/>
      </c>
      <c r="AG185" t="str">
        <v/>
      </c>
      <c r="AH185" t="str">
        <v/>
      </c>
      <c r="AI185" t="str">
        <v>17/09/2026 07:50:09</v>
      </c>
      <c r="AJ185" t="str">
        <v>07:50:09</v>
      </c>
      <c r="AK185" t="str">
        <v/>
      </c>
    </row>
    <row r="186">
      <c r="A186">
        <v>185</v>
      </c>
      <c r="B186" t="str">
        <v>MASS BSF</v>
      </c>
      <c r="C186" t="str">
        <v>F8R-810</v>
      </c>
      <c r="D186" t="str">
        <v>F8R-810</v>
      </c>
      <c r="E186" t="str">
        <v>867806078868827</v>
      </c>
      <c r="F186" t="str">
        <v>TBD</v>
      </c>
      <c r="G186" t="str">
        <v/>
      </c>
      <c r="H186" t="str">
        <v/>
      </c>
      <c r="I186" t="str">
        <v>17/09/2026</v>
      </c>
      <c r="J186" t="str">
        <v>07:50:22</v>
      </c>
      <c r="K186">
        <v>-12.277652</v>
      </c>
      <c r="L186">
        <v>-76.86911</v>
      </c>
      <c r="M186">
        <f>HYPERLINK("https://www.google.com/maps/search/?api=1&amp;query=-12.277652,-76.86911","Antigua Panamericana Sur, Lurín, Lima")</f>
      </c>
      <c r="N186" t="str">
        <v>Vehículo apagado</v>
      </c>
      <c r="O186">
        <v>675.9</v>
      </c>
      <c r="P186" t="str">
        <v/>
      </c>
      <c r="Q186">
        <v>0</v>
      </c>
      <c r="R186">
        <v>26.25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>
        <v>85</v>
      </c>
      <c r="AA186" t="str">
        <v>17/09/2026</v>
      </c>
      <c r="AB186" t="str">
        <v>07:50:21</v>
      </c>
      <c r="AC186">
        <f>IF("ONLINE"="NOGPS","GPS Antiguo","En línea")</f>
      </c>
      <c r="AD186">
        <f>IF(0=0,"Sin atender", IF(0=1,"Atendida","Atendida y Reportada"))</f>
      </c>
      <c r="AE186" t="str">
        <v/>
      </c>
      <c r="AF186" t="str">
        <v/>
      </c>
      <c r="AG186" t="str">
        <v/>
      </c>
      <c r="AH186" t="str">
        <v/>
      </c>
      <c r="AI186" t="str">
        <v>17/09/2026 07:50:40</v>
      </c>
      <c r="AJ186" t="str">
        <v>07:50:40</v>
      </c>
      <c r="AK186" t="str">
        <v/>
      </c>
    </row>
    <row r="187">
      <c r="A187">
        <v>186</v>
      </c>
      <c r="B187" t="str">
        <v>MASS BSF</v>
      </c>
      <c r="C187" t="str">
        <v>F8R-810</v>
      </c>
      <c r="D187" t="str">
        <v>F8R-810</v>
      </c>
      <c r="E187" t="str">
        <v>867806078868827</v>
      </c>
      <c r="F187" t="str">
        <v>TBD</v>
      </c>
      <c r="G187" t="str">
        <v/>
      </c>
      <c r="H187" t="str">
        <v/>
      </c>
      <c r="I187" t="str">
        <v>17/09/2026</v>
      </c>
      <c r="J187" t="str">
        <v>07:52:31</v>
      </c>
      <c r="K187">
        <v>-12.277652</v>
      </c>
      <c r="L187">
        <v>-76.86911</v>
      </c>
      <c r="M187">
        <f>HYPERLINK("https://www.google.com/maps/search/?api=1&amp;query=-12.277652,-76.86911","Antigua Panamericana Sur, Lurín, Lima")</f>
      </c>
      <c r="N187" t="str">
        <v>Vehículo encendido</v>
      </c>
      <c r="O187">
        <v>675.9</v>
      </c>
      <c r="P187" t="str">
        <v/>
      </c>
      <c r="Q187">
        <v>0</v>
      </c>
      <c r="R187">
        <v>26.25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>
        <v>85</v>
      </c>
      <c r="AA187" t="str">
        <v>17/09/2026</v>
      </c>
      <c r="AB187" t="str">
        <v>07:52:30</v>
      </c>
      <c r="AC187">
        <f>IF("ONLINE"="NOGPS","GPS Antiguo","En línea")</f>
      </c>
      <c r="AD187">
        <f>IF(0=0,"Sin atender", IF(0=1,"Atendida","Atendida y Reportada"))</f>
      </c>
      <c r="AE187" t="str">
        <v/>
      </c>
      <c r="AF187" t="str">
        <v/>
      </c>
      <c r="AG187" t="str">
        <v/>
      </c>
      <c r="AH187" t="str">
        <v/>
      </c>
      <c r="AI187" t="str">
        <v>17/09/2026 07:52:53</v>
      </c>
      <c r="AJ187" t="str">
        <v>07:52:53</v>
      </c>
      <c r="AK187" t="str">
        <v/>
      </c>
    </row>
    <row r="188">
      <c r="A188">
        <v>187</v>
      </c>
      <c r="B188" t="str">
        <v>MASS BSF</v>
      </c>
      <c r="C188" t="str">
        <v>F8R-810</v>
      </c>
      <c r="D188" t="str">
        <v>F8R-810</v>
      </c>
      <c r="E188" t="str">
        <v>867806078868827</v>
      </c>
      <c r="F188" t="str">
        <v>TBD</v>
      </c>
      <c r="G188" t="str">
        <v/>
      </c>
      <c r="H188" t="str">
        <v/>
      </c>
      <c r="I188" t="str">
        <v>17/09/2026</v>
      </c>
      <c r="J188" t="str">
        <v>07:52:52</v>
      </c>
      <c r="K188">
        <v>-12.277652</v>
      </c>
      <c r="L188">
        <v>-76.86911</v>
      </c>
      <c r="M188">
        <f>HYPERLINK("https://www.google.com/maps/search/?api=1&amp;query=-12.277652,-76.86911","Antigua Panamericana Sur, Lurín, Lima")</f>
      </c>
      <c r="N188" t="str">
        <v>Vehículo apagado</v>
      </c>
      <c r="O188">
        <v>675.9</v>
      </c>
      <c r="P188" t="str">
        <v/>
      </c>
      <c r="Q188">
        <v>0</v>
      </c>
      <c r="R188">
        <v>26.25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>
        <v>85</v>
      </c>
      <c r="AA188" t="str">
        <v>17/09/2026</v>
      </c>
      <c r="AB188" t="str">
        <v>07:52:51</v>
      </c>
      <c r="AC188">
        <f>IF("ONLINE"="NOGPS","GPS Antiguo","En línea")</f>
      </c>
      <c r="AD188">
        <f>IF(0=0,"Sin atender", IF(0=1,"Atendida","Atendida y Reportada"))</f>
      </c>
      <c r="AE188" t="str">
        <v/>
      </c>
      <c r="AF188" t="str">
        <v/>
      </c>
      <c r="AG188" t="str">
        <v/>
      </c>
      <c r="AH188" t="str">
        <v/>
      </c>
      <c r="AI188" t="str">
        <v>17/09/2026 07:53:02</v>
      </c>
      <c r="AJ188" t="str">
        <v>07:53:02</v>
      </c>
      <c r="AK188" t="str">
        <v/>
      </c>
    </row>
    <row r="189">
      <c r="A189">
        <v>188</v>
      </c>
      <c r="B189" t="str">
        <v>MASS BSF</v>
      </c>
      <c r="C189" t="str">
        <v>F8R-810</v>
      </c>
      <c r="D189" t="str">
        <v>F8R-810</v>
      </c>
      <c r="E189" t="str">
        <v>867806078868827</v>
      </c>
      <c r="F189" t="str">
        <v>TBD</v>
      </c>
      <c r="G189" t="str">
        <v/>
      </c>
      <c r="H189" t="str">
        <v/>
      </c>
      <c r="I189" t="str">
        <v>17/09/2026</v>
      </c>
      <c r="J189" t="str">
        <v>07:53:17</v>
      </c>
      <c r="K189">
        <v>-12.277652</v>
      </c>
      <c r="L189">
        <v>-76.86911</v>
      </c>
      <c r="M189">
        <f>HYPERLINK("https://www.google.com/maps/search/?api=1&amp;query=-12.277652,-76.86911","Antigua Panamericana Sur, Lurín, Lima")</f>
      </c>
      <c r="N189" t="str">
        <v>Vehículo encendido</v>
      </c>
      <c r="O189">
        <v>675.9</v>
      </c>
      <c r="P189" t="str">
        <v/>
      </c>
      <c r="Q189">
        <v>0</v>
      </c>
      <c r="R189">
        <v>26.25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>
        <v>95</v>
      </c>
      <c r="AA189" t="str">
        <v>17/09/2026</v>
      </c>
      <c r="AB189" t="str">
        <v>07:53:16</v>
      </c>
      <c r="AC189">
        <f>IF("ONLINE"="NOGPS","GPS Antiguo","En línea")</f>
      </c>
      <c r="AD189">
        <f>IF(0=0,"Sin atender", IF(0=1,"Atendida","Atendida y Reportada"))</f>
      </c>
      <c r="AE189" t="str">
        <v/>
      </c>
      <c r="AF189" t="str">
        <v/>
      </c>
      <c r="AG189" t="str">
        <v/>
      </c>
      <c r="AH189" t="str">
        <v/>
      </c>
      <c r="AI189" t="str">
        <v>17/09/2026 07:53:39</v>
      </c>
      <c r="AJ189" t="str">
        <v>07:53:39</v>
      </c>
      <c r="AK189" t="str">
        <v/>
      </c>
    </row>
    <row r="190">
      <c r="A190">
        <v>189</v>
      </c>
      <c r="B190" t="str">
        <v>MASS BSF</v>
      </c>
      <c r="C190" t="str">
        <v>F8R-810</v>
      </c>
      <c r="D190" t="str">
        <v>F8R-810</v>
      </c>
      <c r="E190" t="str">
        <v>867806078868827</v>
      </c>
      <c r="F190" t="str">
        <v>TBD</v>
      </c>
      <c r="G190" t="str">
        <v/>
      </c>
      <c r="H190" t="str">
        <v/>
      </c>
      <c r="I190" t="str">
        <v>17/09/2026</v>
      </c>
      <c r="J190" t="str">
        <v>07:53:34</v>
      </c>
      <c r="K190">
        <v>-12.277652</v>
      </c>
      <c r="L190">
        <v>-76.86911</v>
      </c>
      <c r="M190">
        <f>HYPERLINK("https://www.google.com/maps/search/?api=1&amp;query=-12.277652,-76.86911","Antigua Panamericana Sur, Lurín, Lima")</f>
      </c>
      <c r="N190" t="str">
        <v>Vehículo apagado</v>
      </c>
      <c r="O190">
        <v>675.9</v>
      </c>
      <c r="P190" t="str">
        <v/>
      </c>
      <c r="Q190">
        <v>0</v>
      </c>
      <c r="R190">
        <v>26.25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>
        <v>95</v>
      </c>
      <c r="AA190" t="str">
        <v>17/09/2026</v>
      </c>
      <c r="AB190" t="str">
        <v>07:53:33</v>
      </c>
      <c r="AC190">
        <f>IF("ONLINE"="NOGPS","GPS Antiguo","En línea")</f>
      </c>
      <c r="AD190">
        <f>IF(0=0,"Sin atender", IF(0=1,"Atendida","Atendida y Reportada"))</f>
      </c>
      <c r="AE190" t="str">
        <v/>
      </c>
      <c r="AF190" t="str">
        <v/>
      </c>
      <c r="AG190" t="str">
        <v/>
      </c>
      <c r="AH190" t="str">
        <v/>
      </c>
      <c r="AI190" t="str">
        <v>17/09/2026 07:53:58</v>
      </c>
      <c r="AJ190" t="str">
        <v>07:53:58</v>
      </c>
      <c r="AK190" t="str">
        <v/>
      </c>
    </row>
    <row r="191">
      <c r="A191">
        <v>190</v>
      </c>
      <c r="B191" t="str">
        <v>MASS BSF</v>
      </c>
      <c r="C191" t="str">
        <v>F8R-810</v>
      </c>
      <c r="D191" t="str">
        <v>F8R-810</v>
      </c>
      <c r="E191" t="str">
        <v>867806078868827</v>
      </c>
      <c r="F191" t="str">
        <v>TBD</v>
      </c>
      <c r="G191" t="str">
        <v/>
      </c>
      <c r="H191" t="str">
        <v/>
      </c>
      <c r="I191" t="str">
        <v>17/09/2026</v>
      </c>
      <c r="J191" t="str">
        <v>08:06:41</v>
      </c>
      <c r="K191">
        <v>-12.277652</v>
      </c>
      <c r="L191">
        <v>-76.86911</v>
      </c>
      <c r="M191">
        <f>HYPERLINK("https://www.google.com/maps/search/?api=1&amp;query=-12.277652,-76.86911","Antigua Panamericana Sur, Lurín, Lima")</f>
      </c>
      <c r="N191" t="str">
        <v>Vehículo encendido</v>
      </c>
      <c r="O191">
        <v>675.9</v>
      </c>
      <c r="P191" t="str">
        <v/>
      </c>
      <c r="Q191">
        <v>0</v>
      </c>
      <c r="R191">
        <v>26.25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>
        <v>95</v>
      </c>
      <c r="AA191" t="str">
        <v>17/09/2026</v>
      </c>
      <c r="AB191" t="str">
        <v>08:06:40</v>
      </c>
      <c r="AC191">
        <f>IF("ONLINE"="NOGPS","GPS Antiguo","En línea")</f>
      </c>
      <c r="AD191">
        <f>IF(0=0,"Sin atender", IF(0=1,"Atendida","Atendida y Reportada"))</f>
      </c>
      <c r="AE191" t="str">
        <v/>
      </c>
      <c r="AF191" t="str">
        <v/>
      </c>
      <c r="AG191" t="str">
        <v/>
      </c>
      <c r="AH191" t="str">
        <v/>
      </c>
      <c r="AI191" t="str">
        <v>17/09/2026 08:07:01</v>
      </c>
      <c r="AJ191" t="str">
        <v>08:07:01</v>
      </c>
      <c r="AK191" t="str">
        <v/>
      </c>
    </row>
    <row r="192">
      <c r="A192">
        <v>191</v>
      </c>
      <c r="B192" t="str">
        <v>MASS BSF</v>
      </c>
      <c r="C192" t="str">
        <v>F8R-810</v>
      </c>
      <c r="D192" t="str">
        <v>F8R-810</v>
      </c>
      <c r="E192" t="str">
        <v>867806078868827</v>
      </c>
      <c r="F192" t="str">
        <v>TBD</v>
      </c>
      <c r="G192" t="str">
        <v/>
      </c>
      <c r="H192" t="str">
        <v/>
      </c>
      <c r="I192" t="str">
        <v>17/09/2026</v>
      </c>
      <c r="J192" t="str">
        <v>08:07:16</v>
      </c>
      <c r="K192">
        <v>-12.277652</v>
      </c>
      <c r="L192">
        <v>-76.86911</v>
      </c>
      <c r="M192">
        <f>HYPERLINK("https://www.google.com/maps/search/?api=1&amp;query=-12.277652,-76.86911","Antigua Panamericana Sur, Lurín, Lima")</f>
      </c>
      <c r="N192" t="str">
        <v>Se movio</v>
      </c>
      <c r="O192">
        <v>675.9</v>
      </c>
      <c r="P192" t="str">
        <v/>
      </c>
      <c r="Q192">
        <v>0</v>
      </c>
      <c r="R192">
        <v>26.25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>
        <v>95</v>
      </c>
      <c r="AA192" t="str">
        <v>17/09/2026</v>
      </c>
      <c r="AB192" t="str">
        <v>08:07:15</v>
      </c>
      <c r="AC192">
        <f>IF("ONLINE"="NOGPS","GPS Antiguo","En línea")</f>
      </c>
      <c r="AD192">
        <f>IF(0=0,"Sin atender", IF(0=1,"Atendida","Atendida y Reportada"))</f>
      </c>
      <c r="AE192" t="str">
        <v/>
      </c>
      <c r="AF192" t="str">
        <v/>
      </c>
      <c r="AG192" t="str">
        <v/>
      </c>
      <c r="AH192" t="str">
        <v/>
      </c>
      <c r="AI192" t="str">
        <v>17/09/2026 08:07:34</v>
      </c>
      <c r="AJ192" t="str">
        <v>08:07:34</v>
      </c>
      <c r="AK192" t="str">
        <v/>
      </c>
    </row>
    <row r="193">
      <c r="A193">
        <v>192</v>
      </c>
      <c r="B193" t="str">
        <v>MASS BSF</v>
      </c>
      <c r="C193" t="str">
        <v>F8R-810</v>
      </c>
      <c r="D193" t="str">
        <v>F8R-810</v>
      </c>
      <c r="E193" t="str">
        <v>867806078868827</v>
      </c>
      <c r="F193" t="str">
        <v>TBD</v>
      </c>
      <c r="G193" t="str">
        <v/>
      </c>
      <c r="H193" t="str">
        <v/>
      </c>
      <c r="I193" t="str">
        <v>17/09/2026</v>
      </c>
      <c r="J193" t="str">
        <v>08:07:41</v>
      </c>
      <c r="K193">
        <v>-12.27713</v>
      </c>
      <c r="L193">
        <v>-76.86959</v>
      </c>
      <c r="M193">
        <f>HYPERLINK("https://www.google.com/maps/search/?api=1&amp;query=-12.27713,-76.86959","Antigua Panamericana Sur, Lurín, Lima")</f>
      </c>
      <c r="N193" t="str">
        <v>Aceleración brusca</v>
      </c>
      <c r="O193">
        <v>676</v>
      </c>
      <c r="P193" t="str">
        <v/>
      </c>
      <c r="Q193">
        <v>17.2</v>
      </c>
      <c r="R193">
        <v>26.25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>
        <v>95</v>
      </c>
      <c r="AA193" t="str">
        <v>17/09/2026</v>
      </c>
      <c r="AB193" t="str">
        <v>08:07:40</v>
      </c>
      <c r="AC193">
        <f>IF("ONLINE"="NOGPS","GPS Antiguo","En línea")</f>
      </c>
      <c r="AD193">
        <f>IF(0=0,"Sin atender", IF(0=1,"Atendida","Atendida y Reportada"))</f>
      </c>
      <c r="AE193" t="str">
        <v/>
      </c>
      <c r="AF193" t="str">
        <v/>
      </c>
      <c r="AG193" t="str">
        <v/>
      </c>
      <c r="AH193" t="str">
        <v/>
      </c>
      <c r="AI193" t="str">
        <v>17/09/2026 08:07:52</v>
      </c>
      <c r="AJ193" t="str">
        <v>08:07:52</v>
      </c>
      <c r="AK193" t="str">
        <v/>
      </c>
    </row>
    <row r="194">
      <c r="A194">
        <v>193</v>
      </c>
      <c r="B194" t="str">
        <v>MASS BSF</v>
      </c>
      <c r="C194" t="str">
        <v>F8R-810</v>
      </c>
      <c r="D194" t="str">
        <v>F8R-810</v>
      </c>
      <c r="E194" t="str">
        <v>867806078868827</v>
      </c>
      <c r="F194" t="str">
        <v>TBD</v>
      </c>
      <c r="G194" t="str">
        <v/>
      </c>
      <c r="H194" t="str">
        <v/>
      </c>
      <c r="I194" t="str">
        <v>17/09/2026</v>
      </c>
      <c r="J194" t="str">
        <v>08:08:00</v>
      </c>
      <c r="K194">
        <v>-12.27668</v>
      </c>
      <c r="L194">
        <v>-76.86999</v>
      </c>
      <c r="M194">
        <f>HYPERLINK("https://www.google.com/maps/search/?api=1&amp;query=-12.27668,-76.86999","Antigua Panamericana Sur, Lurín, Lima")</f>
      </c>
      <c r="N194" t="str">
        <v>Aceleración brusca</v>
      </c>
      <c r="O194">
        <v>676</v>
      </c>
      <c r="P194" t="str">
        <v/>
      </c>
      <c r="Q194">
        <v>12.4</v>
      </c>
      <c r="R194">
        <v>26.25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>
        <v>95</v>
      </c>
      <c r="AA194" t="str">
        <v>17/09/2026</v>
      </c>
      <c r="AB194" t="str">
        <v>08:07:59</v>
      </c>
      <c r="AC194">
        <f>IF("ONLINE"="NOGPS","GPS Antiguo","En línea")</f>
      </c>
      <c r="AD194">
        <f>IF(0=0,"Sin atender", IF(0=1,"Atendida","Atendida y Reportada"))</f>
      </c>
      <c r="AE194" t="str">
        <v/>
      </c>
      <c r="AF194" t="str">
        <v/>
      </c>
      <c r="AG194" t="str">
        <v/>
      </c>
      <c r="AH194" t="str">
        <v/>
      </c>
      <c r="AI194" t="str">
        <v>17/09/2026 08:08:30</v>
      </c>
      <c r="AJ194" t="str">
        <v>08:08:30</v>
      </c>
      <c r="AK194" t="str">
        <v/>
      </c>
    </row>
    <row r="195">
      <c r="A195">
        <v>194</v>
      </c>
      <c r="B195" t="str">
        <v>MASS BSF</v>
      </c>
      <c r="C195" t="str">
        <v>F8R-810</v>
      </c>
      <c r="D195" t="str">
        <v>F8R-810</v>
      </c>
      <c r="E195" t="str">
        <v>867806078868827</v>
      </c>
      <c r="F195" t="str">
        <v>TBD</v>
      </c>
      <c r="G195" t="str">
        <v/>
      </c>
      <c r="H195" t="str">
        <v/>
      </c>
      <c r="I195" t="str">
        <v>17/09/2026</v>
      </c>
      <c r="J195" t="str">
        <v>08:08:14</v>
      </c>
      <c r="K195">
        <v>-12.276327</v>
      </c>
      <c r="L195">
        <v>-76.8703</v>
      </c>
      <c r="M195">
        <f>HYPERLINK("https://www.google.com/maps/search/?api=1&amp;query=-12.276327,-76.8703","Antigua Panamericana Sur, Lurín, Lima")</f>
      </c>
      <c r="N195" t="str">
        <v>Acelerado y giro brusco</v>
      </c>
      <c r="O195">
        <v>676.1</v>
      </c>
      <c r="P195" t="str">
        <v/>
      </c>
      <c r="Q195">
        <v>14.2</v>
      </c>
      <c r="R195">
        <v>26.25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>
        <v>95</v>
      </c>
      <c r="AA195" t="str">
        <v>17/09/2026</v>
      </c>
      <c r="AB195" t="str">
        <v>08:08:13</v>
      </c>
      <c r="AC195">
        <f>IF("ONLINE"="NOGPS","GPS Antiguo","En línea")</f>
      </c>
      <c r="AD195">
        <f>IF(0=0,"Sin atender", IF(0=1,"Atendida","Atendida y Reportada"))</f>
      </c>
      <c r="AE195" t="str">
        <v/>
      </c>
      <c r="AF195" t="str">
        <v/>
      </c>
      <c r="AG195" t="str">
        <v/>
      </c>
      <c r="AH195" t="str">
        <v/>
      </c>
      <c r="AI195" t="str">
        <v>17/09/2026 08:08:19</v>
      </c>
      <c r="AJ195" t="str">
        <v>08:08:19</v>
      </c>
      <c r="AK195" t="str">
        <v/>
      </c>
    </row>
    <row r="196">
      <c r="A196">
        <v>195</v>
      </c>
      <c r="B196" t="str">
        <v>MASS BSF</v>
      </c>
      <c r="C196" t="str">
        <v>F8R-810</v>
      </c>
      <c r="D196" t="str">
        <v>F8R-810</v>
      </c>
      <c r="E196" t="str">
        <v>867806078868827</v>
      </c>
      <c r="F196" t="str">
        <v>TBD</v>
      </c>
      <c r="G196" t="str">
        <v/>
      </c>
      <c r="H196" t="str">
        <v/>
      </c>
      <c r="I196" t="str">
        <v>17/09/2026</v>
      </c>
      <c r="J196" t="str">
        <v>08:09:23</v>
      </c>
      <c r="K196">
        <v>-12.275831</v>
      </c>
      <c r="L196">
        <v>-76.87076</v>
      </c>
      <c r="M196">
        <f>HYPERLINK("https://www.google.com/maps/search/?api=1&amp;query=-12.275831,-76.87076","Calle 27 de Octubre, Lurín, Lima")</f>
      </c>
      <c r="N196" t="str">
        <v>Acelerado y giro brusco</v>
      </c>
      <c r="O196">
        <v>676.1</v>
      </c>
      <c r="P196" t="str">
        <v/>
      </c>
      <c r="Q196">
        <v>11.6</v>
      </c>
      <c r="R196">
        <v>26.25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>
        <v>85</v>
      </c>
      <c r="AA196" t="str">
        <v>17/09/2026</v>
      </c>
      <c r="AB196" t="str">
        <v>08:09:22</v>
      </c>
      <c r="AC196">
        <f>IF("ONLINE"="NOGPS","GPS Antiguo","En línea")</f>
      </c>
      <c r="AD196">
        <f>IF(0=0,"Sin atender", IF(0=1,"Atendida","Atendida y Reportada"))</f>
      </c>
      <c r="AE196" t="str">
        <v/>
      </c>
      <c r="AF196" t="str">
        <v/>
      </c>
      <c r="AG196" t="str">
        <v/>
      </c>
      <c r="AH196" t="str">
        <v/>
      </c>
      <c r="AI196" t="str">
        <v>17/09/2026 08:09:38</v>
      </c>
      <c r="AJ196" t="str">
        <v>08:09:38</v>
      </c>
      <c r="AK196" t="str">
        <v/>
      </c>
    </row>
    <row r="197">
      <c r="A197">
        <v>196</v>
      </c>
      <c r="B197" t="str">
        <v>MASS BSF</v>
      </c>
      <c r="C197" t="str">
        <v>F8R-810</v>
      </c>
      <c r="D197" t="str">
        <v>F8R-810</v>
      </c>
      <c r="E197" t="str">
        <v>867806078868827</v>
      </c>
      <c r="F197" t="str">
        <v>TBD</v>
      </c>
      <c r="G197" t="str">
        <v/>
      </c>
      <c r="H197" t="str">
        <v/>
      </c>
      <c r="I197" t="str">
        <v>17/09/2026</v>
      </c>
      <c r="J197" t="str">
        <v>08:09:29</v>
      </c>
      <c r="K197">
        <v>-12.275748</v>
      </c>
      <c r="L197">
        <v>-76.87092</v>
      </c>
      <c r="M197">
        <f>HYPERLINK("https://www.google.com/maps/search/?api=1&amp;query=-12.275748,-76.87092","Antigua Panamericana Sur, Lurín, Lima")</f>
      </c>
      <c r="N197" t="str">
        <v>Acelerado y giro brusco</v>
      </c>
      <c r="O197">
        <v>676.2</v>
      </c>
      <c r="P197" t="str">
        <v/>
      </c>
      <c r="Q197">
        <v>18.8</v>
      </c>
      <c r="R197">
        <v>26.25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>
        <v>85</v>
      </c>
      <c r="AA197" t="str">
        <v>17/09/2026</v>
      </c>
      <c r="AB197" t="str">
        <v>08:09:28</v>
      </c>
      <c r="AC197">
        <f>IF("ONLINE"="NOGPS","GPS Antiguo","En línea")</f>
      </c>
      <c r="AD197">
        <f>IF(0=0,"Sin atender", IF(0=1,"Atendida","Atendida y Reportada"))</f>
      </c>
      <c r="AE197" t="str">
        <v/>
      </c>
      <c r="AF197" t="str">
        <v/>
      </c>
      <c r="AG197" t="str">
        <v/>
      </c>
      <c r="AH197" t="str">
        <v/>
      </c>
      <c r="AI197" t="str">
        <v>17/09/2026 08:09:42</v>
      </c>
      <c r="AJ197" t="str">
        <v>08:09:42</v>
      </c>
      <c r="AK197" t="str">
        <v/>
      </c>
    </row>
    <row r="198">
      <c r="A198">
        <v>197</v>
      </c>
      <c r="B198" t="str">
        <v>MASS BSF</v>
      </c>
      <c r="C198" t="str">
        <v>F8R-810</v>
      </c>
      <c r="D198" t="str">
        <v>F8R-810</v>
      </c>
      <c r="E198" t="str">
        <v>867806078868827</v>
      </c>
      <c r="F198" t="str">
        <v>TBD</v>
      </c>
      <c r="G198" t="str">
        <v/>
      </c>
      <c r="H198" t="str">
        <v/>
      </c>
      <c r="I198" t="str">
        <v>17/09/2026</v>
      </c>
      <c r="J198" t="str">
        <v>08:09:34</v>
      </c>
      <c r="K198">
        <v>-12.275543</v>
      </c>
      <c r="L198">
        <v>-76.87112</v>
      </c>
      <c r="M198">
        <f>HYPERLINK("https://www.google.com/maps/search/?api=1&amp;query=-12.275543,-76.87112","Antigua Panamericana Sur, Lurín, Lima")</f>
      </c>
      <c r="N198" t="str">
        <v>Aceleración brusca</v>
      </c>
      <c r="O198">
        <v>676.2</v>
      </c>
      <c r="P198" t="str">
        <v/>
      </c>
      <c r="Q198">
        <v>26.4</v>
      </c>
      <c r="R198">
        <v>26.25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>
        <v>85</v>
      </c>
      <c r="AA198" t="str">
        <v>17/09/2026</v>
      </c>
      <c r="AB198" t="str">
        <v>08:09:33</v>
      </c>
      <c r="AC198">
        <f>IF("ONLINE"="NOGPS","GPS Antiguo","En línea")</f>
      </c>
      <c r="AD198">
        <f>IF(0=0,"Sin atender", IF(0=1,"Atendida","Atendida y Reportada"))</f>
      </c>
      <c r="AE198" t="str">
        <v/>
      </c>
      <c r="AF198" t="str">
        <v/>
      </c>
      <c r="AG198" t="str">
        <v/>
      </c>
      <c r="AH198" t="str">
        <v/>
      </c>
      <c r="AI198" t="str">
        <v>17/09/2026 08:09:53</v>
      </c>
      <c r="AJ198" t="str">
        <v>08:09:53</v>
      </c>
      <c r="AK198" t="str">
        <v/>
      </c>
    </row>
    <row r="199">
      <c r="A199">
        <v>198</v>
      </c>
      <c r="B199" t="str">
        <v>MASS BSF</v>
      </c>
      <c r="C199" t="str">
        <v>F8R-810</v>
      </c>
      <c r="D199" t="str">
        <v>F8R-810</v>
      </c>
      <c r="E199" t="str">
        <v>867806078868827</v>
      </c>
      <c r="F199" t="str">
        <v>TBD</v>
      </c>
      <c r="G199" t="str">
        <v/>
      </c>
      <c r="H199" t="str">
        <v/>
      </c>
      <c r="I199" t="str">
        <v>17/09/2026</v>
      </c>
      <c r="J199" t="str">
        <v>08:09:40</v>
      </c>
      <c r="K199">
        <v>-12.275307</v>
      </c>
      <c r="L199">
        <v>-76.87132</v>
      </c>
      <c r="M199">
        <f>HYPERLINK("https://www.google.com/maps/search/?api=1&amp;query=-12.275307,-76.87132","Antigua Panamericana Sur, Lurín, Lima")</f>
      </c>
      <c r="N199" t="str">
        <v>Acelerado y giro brusco</v>
      </c>
      <c r="O199">
        <v>676.2</v>
      </c>
      <c r="P199" t="str">
        <v/>
      </c>
      <c r="Q199">
        <v>10.9</v>
      </c>
      <c r="R199">
        <v>26.25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>
        <v>85</v>
      </c>
      <c r="AA199" t="str">
        <v>17/09/2026</v>
      </c>
      <c r="AB199" t="str">
        <v>08:09:39</v>
      </c>
      <c r="AC199">
        <f>IF("ONLINE"="NOGPS","GPS Antiguo","En línea")</f>
      </c>
      <c r="AD199">
        <f>IF(0=0,"Sin atender", IF(0=1,"Atendida","Atendida y Reportada"))</f>
      </c>
      <c r="AE199" t="str">
        <v/>
      </c>
      <c r="AF199" t="str">
        <v/>
      </c>
      <c r="AG199" t="str">
        <v/>
      </c>
      <c r="AH199" t="str">
        <v/>
      </c>
      <c r="AI199" t="str">
        <v>17/09/2026 08:09:50</v>
      </c>
      <c r="AJ199" t="str">
        <v>08:09:50</v>
      </c>
      <c r="AK199" t="str">
        <v/>
      </c>
    </row>
    <row r="200">
      <c r="A200">
        <v>199</v>
      </c>
      <c r="B200" t="str">
        <v>MASS BSF</v>
      </c>
      <c r="C200" t="str">
        <v>F8R-810</v>
      </c>
      <c r="D200" t="str">
        <v>F8R-810</v>
      </c>
      <c r="E200" t="str">
        <v>867806078868827</v>
      </c>
      <c r="F200" t="str">
        <v>TBD</v>
      </c>
      <c r="G200" t="str">
        <v/>
      </c>
      <c r="H200" t="str">
        <v/>
      </c>
      <c r="I200" t="str">
        <v>17/09/2026</v>
      </c>
      <c r="J200" t="str">
        <v>08:09:52</v>
      </c>
      <c r="K200">
        <v>-12.275195</v>
      </c>
      <c r="L200">
        <v>-76.87143</v>
      </c>
      <c r="M200">
        <f>HYPERLINK("https://www.google.com/maps/search/?api=1&amp;query=-12.275195,-76.87143","Antigua Panamericana Sur, Lurín, Lima")</f>
      </c>
      <c r="N200" t="str">
        <v>Acelerado y giro brusco</v>
      </c>
      <c r="O200">
        <v>676.2</v>
      </c>
      <c r="P200" t="str">
        <v/>
      </c>
      <c r="Q200">
        <v>13.3</v>
      </c>
      <c r="R200">
        <v>26.25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>
        <v>85</v>
      </c>
      <c r="AA200" t="str">
        <v>17/09/2026</v>
      </c>
      <c r="AB200" t="str">
        <v>08:09:51</v>
      </c>
      <c r="AC200">
        <f>IF("ONLINE"="NOGPS","GPS Antiguo","En línea")</f>
      </c>
      <c r="AD200">
        <f>IF(0=0,"Sin atender", IF(0=1,"Atendida","Atendida y Reportada"))</f>
      </c>
      <c r="AE200" t="str">
        <v/>
      </c>
      <c r="AF200" t="str">
        <v/>
      </c>
      <c r="AG200" t="str">
        <v/>
      </c>
      <c r="AH200" t="str">
        <v/>
      </c>
      <c r="AI200" t="str">
        <v>17/09/2026 08:10:10</v>
      </c>
      <c r="AJ200" t="str">
        <v>08:10:10</v>
      </c>
      <c r="AK200" t="str">
        <v/>
      </c>
    </row>
    <row r="201">
      <c r="A201">
        <v>200</v>
      </c>
      <c r="B201" t="str">
        <v>MASS BSF</v>
      </c>
      <c r="C201" t="str">
        <v>F8R-810</v>
      </c>
      <c r="D201" t="str">
        <v>F8R-810</v>
      </c>
      <c r="E201" t="str">
        <v>867806078868827</v>
      </c>
      <c r="F201" t="str">
        <v>TBD</v>
      </c>
      <c r="G201" t="str">
        <v/>
      </c>
      <c r="H201" t="str">
        <v/>
      </c>
      <c r="I201" t="str">
        <v>17/09/2026</v>
      </c>
      <c r="J201" t="str">
        <v>08:11:28</v>
      </c>
      <c r="K201">
        <v>-12.274662</v>
      </c>
      <c r="L201">
        <v>-76.871895</v>
      </c>
      <c r="M201">
        <f>HYPERLINK("https://www.google.com/maps/search/?api=1&amp;query=-12.274662,-76.871895","Antigua Panamericana Sur, Lurín, Lima")</f>
      </c>
      <c r="N201" t="str">
        <v>Acelerado y giro brusco</v>
      </c>
      <c r="O201">
        <v>676.3</v>
      </c>
      <c r="P201" t="str">
        <v/>
      </c>
      <c r="Q201">
        <v>0</v>
      </c>
      <c r="R201">
        <v>26.25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>
        <v>85</v>
      </c>
      <c r="AA201" t="str">
        <v>17/09/2026</v>
      </c>
      <c r="AB201" t="str">
        <v>08:11:27</v>
      </c>
      <c r="AC201">
        <f>IF("ONLINE"="NOGPS","GPS Antiguo","En línea")</f>
      </c>
      <c r="AD201">
        <f>IF(0=0,"Sin atender", IF(0=1,"Atendida","Atendida y Reportada"))</f>
      </c>
      <c r="AE201" t="str">
        <v/>
      </c>
      <c r="AF201" t="str">
        <v/>
      </c>
      <c r="AG201" t="str">
        <v/>
      </c>
      <c r="AH201" t="str">
        <v/>
      </c>
      <c r="AI201" t="str">
        <v>17/09/2026 08:11:50</v>
      </c>
      <c r="AJ201" t="str">
        <v>08:11:50</v>
      </c>
      <c r="AK201" t="str">
        <v/>
      </c>
    </row>
    <row r="202">
      <c r="A202">
        <v>201</v>
      </c>
      <c r="B202" t="str">
        <v>MASS BSF</v>
      </c>
      <c r="C202" t="str">
        <v>F8R-810</v>
      </c>
      <c r="D202" t="str">
        <v>F8R-810</v>
      </c>
      <c r="E202" t="str">
        <v>867806078868827</v>
      </c>
      <c r="F202" t="str">
        <v>TBD</v>
      </c>
      <c r="G202" t="str">
        <v/>
      </c>
      <c r="H202" t="str">
        <v/>
      </c>
      <c r="I202" t="str">
        <v>17/09/2026</v>
      </c>
      <c r="J202" t="str">
        <v>08:12:51</v>
      </c>
      <c r="K202">
        <v>-12.274335</v>
      </c>
      <c r="L202">
        <v>-76.872154</v>
      </c>
      <c r="M202">
        <f>HYPERLINK("https://www.google.com/maps/search/?api=1&amp;query=-12.274335,-76.872154","Antigua Panamericana Sur, Lurín, Lima")</f>
      </c>
      <c r="N202" t="str">
        <v>Acelerado y giro brusco</v>
      </c>
      <c r="O202">
        <v>676.4</v>
      </c>
      <c r="P202" t="str">
        <v/>
      </c>
      <c r="Q202">
        <v>14.6</v>
      </c>
      <c r="R202">
        <v>26.25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>
        <v>92</v>
      </c>
      <c r="AA202" t="str">
        <v>17/09/2026</v>
      </c>
      <c r="AB202" t="str">
        <v>08:12:50</v>
      </c>
      <c r="AC202">
        <f>IF("ONLINE"="NOGPS","GPS Antiguo","En línea")</f>
      </c>
      <c r="AD202">
        <f>IF(0=0,"Sin atender", IF(0=1,"Atendida","Atendida y Reportada"))</f>
      </c>
      <c r="AE202" t="str">
        <v/>
      </c>
      <c r="AF202" t="str">
        <v/>
      </c>
      <c r="AG202" t="str">
        <v/>
      </c>
      <c r="AH202" t="str">
        <v/>
      </c>
      <c r="AI202" t="str">
        <v>17/09/2026 08:13:07</v>
      </c>
      <c r="AJ202" t="str">
        <v>08:13:07</v>
      </c>
      <c r="AK202" t="str">
        <v/>
      </c>
    </row>
    <row r="203">
      <c r="A203">
        <v>202</v>
      </c>
      <c r="B203" t="str">
        <v>MASS BSF</v>
      </c>
      <c r="C203" t="str">
        <v>F8R-810</v>
      </c>
      <c r="D203" t="str">
        <v>F8R-810</v>
      </c>
      <c r="E203" t="str">
        <v>867806078868827</v>
      </c>
      <c r="F203" t="str">
        <v>TBD</v>
      </c>
      <c r="G203" t="str">
        <v/>
      </c>
      <c r="H203" t="str">
        <v/>
      </c>
      <c r="I203" t="str">
        <v>17/09/2026</v>
      </c>
      <c r="J203" t="str">
        <v>08:12:55</v>
      </c>
      <c r="K203">
        <v>-12.274223</v>
      </c>
      <c r="L203">
        <v>-76.87222</v>
      </c>
      <c r="M203">
        <f>HYPERLINK("https://www.google.com/maps/search/?api=1&amp;query=-12.274223,-76.87222","Antigua Panamericana Sur, Lurín, Lima")</f>
      </c>
      <c r="N203" t="str">
        <v>Acelerado y giro brusco</v>
      </c>
      <c r="O203">
        <v>676.4</v>
      </c>
      <c r="P203" t="str">
        <v/>
      </c>
      <c r="Q203">
        <v>10.3</v>
      </c>
      <c r="R203">
        <v>26.25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>
        <v>92</v>
      </c>
      <c r="AA203" t="str">
        <v>17/09/2026</v>
      </c>
      <c r="AB203" t="str">
        <v>08:12:54</v>
      </c>
      <c r="AC203">
        <f>IF("ONLINE"="NOGPS","GPS Antiguo","En línea")</f>
      </c>
      <c r="AD203">
        <f>IF(0=0,"Sin atender", IF(0=1,"Atendida","Atendida y Reportada"))</f>
      </c>
      <c r="AE203" t="str">
        <v/>
      </c>
      <c r="AF203" t="str">
        <v/>
      </c>
      <c r="AG203" t="str">
        <v/>
      </c>
      <c r="AH203" t="str">
        <v/>
      </c>
      <c r="AI203" t="str">
        <v>17/09/2026 08:13:16</v>
      </c>
      <c r="AJ203" t="str">
        <v>08:13:16</v>
      </c>
      <c r="AK203" t="str">
        <v/>
      </c>
    </row>
    <row r="204">
      <c r="A204">
        <v>203</v>
      </c>
      <c r="B204" t="str">
        <v>MASS BSF</v>
      </c>
      <c r="C204" t="str">
        <v>F8R-810</v>
      </c>
      <c r="D204" t="str">
        <v>F8R-810</v>
      </c>
      <c r="E204" t="str">
        <v>867806078868827</v>
      </c>
      <c r="F204" t="str">
        <v>TBD</v>
      </c>
      <c r="G204" t="str">
        <v/>
      </c>
      <c r="H204" t="str">
        <v/>
      </c>
      <c r="I204" t="str">
        <v>17/09/2026</v>
      </c>
      <c r="J204" t="str">
        <v>08:13:04</v>
      </c>
      <c r="K204">
        <v>-12.274112</v>
      </c>
      <c r="L204">
        <v>-76.87228</v>
      </c>
      <c r="M204">
        <f>HYPERLINK("https://www.google.com/maps/search/?api=1&amp;query=-12.274112,-76.87228","Antigua Panamericana Sur, Lurín, Lima")</f>
      </c>
      <c r="N204" t="str">
        <v>Acelerado y giro brusco</v>
      </c>
      <c r="O204">
        <v>676.4</v>
      </c>
      <c r="P204" t="str">
        <v/>
      </c>
      <c r="Q204">
        <v>0</v>
      </c>
      <c r="R204">
        <v>26.25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>
        <v>92</v>
      </c>
      <c r="AA204" t="str">
        <v>17/09/2026</v>
      </c>
      <c r="AB204" t="str">
        <v>08:13:03</v>
      </c>
      <c r="AC204">
        <f>IF("ONLINE"="NOGPS","GPS Antiguo","En línea")</f>
      </c>
      <c r="AD204">
        <f>IF(0=0,"Sin atender", IF(0=1,"Atendida","Atendida y Reportada"))</f>
      </c>
      <c r="AE204" t="str">
        <v/>
      </c>
      <c r="AF204" t="str">
        <v/>
      </c>
      <c r="AG204" t="str">
        <v/>
      </c>
      <c r="AH204" t="str">
        <v/>
      </c>
      <c r="AI204" t="str">
        <v>17/09/2026 08:13:12</v>
      </c>
      <c r="AJ204" t="str">
        <v>08:13:12</v>
      </c>
      <c r="AK204" t="str">
        <v/>
      </c>
    </row>
    <row r="205">
      <c r="A205">
        <v>204</v>
      </c>
      <c r="B205" t="str">
        <v>MASS BSF</v>
      </c>
      <c r="C205" t="str">
        <v>F8R-810</v>
      </c>
      <c r="D205" t="str">
        <v>F8R-810</v>
      </c>
      <c r="E205" t="str">
        <v>867806078868827</v>
      </c>
      <c r="F205" t="str">
        <v>TBD</v>
      </c>
      <c r="G205" t="str">
        <v/>
      </c>
      <c r="H205" t="str">
        <v/>
      </c>
      <c r="I205" t="str">
        <v>17/09/2026</v>
      </c>
      <c r="J205" t="str">
        <v>08:13:07</v>
      </c>
      <c r="K205">
        <v>-12.274112</v>
      </c>
      <c r="L205">
        <v>-76.87228</v>
      </c>
      <c r="M205">
        <f>HYPERLINK("https://www.google.com/maps/search/?api=1&amp;query=-12.274112,-76.87228","Antigua Panamericana Sur, Lurín, Lima")</f>
      </c>
      <c r="N205" t="str">
        <v>Acelerado y giro brusco</v>
      </c>
      <c r="O205">
        <v>676.4</v>
      </c>
      <c r="P205" t="str">
        <v/>
      </c>
      <c r="Q205">
        <v>0</v>
      </c>
      <c r="R205">
        <v>26.25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>
        <v>92</v>
      </c>
      <c r="AA205" t="str">
        <v>17/09/2026</v>
      </c>
      <c r="AB205" t="str">
        <v>08:13:06</v>
      </c>
      <c r="AC205">
        <f>IF("ONLINE"="NOGPS","GPS Antiguo","En línea")</f>
      </c>
      <c r="AD205">
        <f>IF(0=0,"Sin atender", IF(0=1,"Atendida","Atendida y Reportada"))</f>
      </c>
      <c r="AE205" t="str">
        <v/>
      </c>
      <c r="AF205" t="str">
        <v/>
      </c>
      <c r="AG205" t="str">
        <v/>
      </c>
      <c r="AH205" t="str">
        <v/>
      </c>
      <c r="AI205" t="str">
        <v>17/09/2026 08:13:22</v>
      </c>
      <c r="AJ205" t="str">
        <v>08:13:22</v>
      </c>
      <c r="AK205" t="str">
        <v/>
      </c>
    </row>
    <row r="206">
      <c r="A206">
        <v>205</v>
      </c>
      <c r="B206" t="str">
        <v>MASS BSF</v>
      </c>
      <c r="C206" t="str">
        <v>F8R-810</v>
      </c>
      <c r="D206" t="str">
        <v>F8R-810</v>
      </c>
      <c r="E206" t="str">
        <v>867806078868827</v>
      </c>
      <c r="F206" t="str">
        <v>TBD</v>
      </c>
      <c r="G206" t="str">
        <v/>
      </c>
      <c r="H206" t="str">
        <v/>
      </c>
      <c r="I206" t="str">
        <v>17/09/2026</v>
      </c>
      <c r="J206" t="str">
        <v>08:13:15</v>
      </c>
      <c r="K206">
        <v>-12.273993</v>
      </c>
      <c r="L206">
        <v>-76.87237</v>
      </c>
      <c r="M206">
        <f>HYPERLINK("https://www.google.com/maps/search/?api=1&amp;query=-12.273993,-76.87237","Antigua Panamericana Sur, Lurín, Lima")</f>
      </c>
      <c r="N206" t="str">
        <v>Acelerado y giro brusco</v>
      </c>
      <c r="O206">
        <v>676.4</v>
      </c>
      <c r="P206" t="str">
        <v/>
      </c>
      <c r="Q206">
        <v>12</v>
      </c>
      <c r="R206">
        <v>26.25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>
        <v>85</v>
      </c>
      <c r="AA206" t="str">
        <v>17/09/2026</v>
      </c>
      <c r="AB206" t="str">
        <v>08:13:14</v>
      </c>
      <c r="AC206">
        <f>IF("ONLINE"="NOGPS","GPS Antiguo","En línea")</f>
      </c>
      <c r="AD206">
        <f>IF(0=0,"Sin atender", IF(0=1,"Atendida","Atendida y Reportada"))</f>
      </c>
      <c r="AE206" t="str">
        <v/>
      </c>
      <c r="AF206" t="str">
        <v/>
      </c>
      <c r="AG206" t="str">
        <v/>
      </c>
      <c r="AH206" t="str">
        <v/>
      </c>
      <c r="AI206" t="str">
        <v>17/09/2026 08:13:27</v>
      </c>
      <c r="AJ206" t="str">
        <v>08:13:27</v>
      </c>
      <c r="AK206" t="str">
        <v/>
      </c>
    </row>
    <row r="207">
      <c r="A207">
        <v>206</v>
      </c>
      <c r="B207" t="str">
        <v>MASS BSF</v>
      </c>
      <c r="C207" t="str">
        <v>F8R-810</v>
      </c>
      <c r="D207" t="str">
        <v>F8R-810</v>
      </c>
      <c r="E207" t="str">
        <v>867806078868827</v>
      </c>
      <c r="F207" t="str">
        <v>TBD</v>
      </c>
      <c r="G207" t="str">
        <v/>
      </c>
      <c r="H207" t="str">
        <v/>
      </c>
      <c r="I207" t="str">
        <v>17/09/2026</v>
      </c>
      <c r="J207" t="str">
        <v>08:13:22</v>
      </c>
      <c r="K207">
        <v>-12.273858</v>
      </c>
      <c r="L207">
        <v>-76.87258</v>
      </c>
      <c r="M207">
        <f>HYPERLINK("https://www.google.com/maps/search/?api=1&amp;query=-12.273858,-76.87258","Avenida San Pedro, Lurín, Lima")</f>
      </c>
      <c r="N207" t="str">
        <v>Giro brusco</v>
      </c>
      <c r="O207">
        <v>676.4</v>
      </c>
      <c r="P207" t="str">
        <v/>
      </c>
      <c r="Q207">
        <v>14.4</v>
      </c>
      <c r="R207">
        <v>26.25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>
        <v>90</v>
      </c>
      <c r="AA207" t="str">
        <v>17/09/2026</v>
      </c>
      <c r="AB207" t="str">
        <v>08:13:21</v>
      </c>
      <c r="AC207">
        <f>IF("ONLINE"="NOGPS","GPS Antiguo","En línea")</f>
      </c>
      <c r="AD207">
        <f>IF(0=0,"Sin atender", IF(0=1,"Atendida","Atendida y Reportada"))</f>
      </c>
      <c r="AE207" t="str">
        <v/>
      </c>
      <c r="AF207" t="str">
        <v/>
      </c>
      <c r="AG207" t="str">
        <v/>
      </c>
      <c r="AH207" t="str">
        <v/>
      </c>
      <c r="AI207" t="str">
        <v>17/09/2026 08:13:49</v>
      </c>
      <c r="AJ207" t="str">
        <v>08:13:49</v>
      </c>
      <c r="AK207" t="str">
        <v/>
      </c>
    </row>
    <row r="208">
      <c r="A208">
        <v>207</v>
      </c>
      <c r="B208" t="str">
        <v>MASS BSF</v>
      </c>
      <c r="C208" t="str">
        <v>F8R-810</v>
      </c>
      <c r="D208" t="str">
        <v>F8R-810</v>
      </c>
      <c r="E208" t="str">
        <v>867806078868827</v>
      </c>
      <c r="F208" t="str">
        <v>TBD</v>
      </c>
      <c r="G208" t="str">
        <v/>
      </c>
      <c r="H208" t="str">
        <v/>
      </c>
      <c r="I208" t="str">
        <v>17/09/2026</v>
      </c>
      <c r="J208" t="str">
        <v>08:13:54</v>
      </c>
      <c r="K208">
        <v>-12.275523</v>
      </c>
      <c r="L208">
        <v>-76.87351</v>
      </c>
      <c r="M208">
        <f>HYPERLINK("https://www.google.com/maps/search/?api=1&amp;query=-12.275523,-76.87351","Avenida San Pedro, Lurín, Lima")</f>
      </c>
      <c r="N208" t="str">
        <v>Acelerado y giro brusco</v>
      </c>
      <c r="O208">
        <v>676.6</v>
      </c>
      <c r="P208" t="str">
        <v/>
      </c>
      <c r="Q208">
        <v>32.5</v>
      </c>
      <c r="R208">
        <v>26.25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>
        <v>90</v>
      </c>
      <c r="AA208" t="str">
        <v>17/09/2026</v>
      </c>
      <c r="AB208" t="str">
        <v>08:13:53</v>
      </c>
      <c r="AC208">
        <f>IF("ONLINE"="NOGPS","GPS Antiguo","En línea")</f>
      </c>
      <c r="AD208">
        <f>IF(0=0,"Sin atender", IF(0=1,"Atendida","Atendida y Reportada"))</f>
      </c>
      <c r="AE208" t="str">
        <v/>
      </c>
      <c r="AF208" t="str">
        <v/>
      </c>
      <c r="AG208" t="str">
        <v/>
      </c>
      <c r="AH208" t="str">
        <v/>
      </c>
      <c r="AI208" t="str">
        <v>17/09/2026 08:14:10</v>
      </c>
      <c r="AJ208" t="str">
        <v>08:14:10</v>
      </c>
      <c r="AK208" t="str">
        <v/>
      </c>
    </row>
    <row r="209">
      <c r="A209">
        <v>208</v>
      </c>
      <c r="B209" t="str">
        <v>MASS BSF</v>
      </c>
      <c r="C209" t="str">
        <v>F8R-810</v>
      </c>
      <c r="D209" t="str">
        <v>F8R-810</v>
      </c>
      <c r="E209" t="str">
        <v>867806078868827</v>
      </c>
      <c r="F209" t="str">
        <v>TBD</v>
      </c>
      <c r="G209" t="str">
        <v/>
      </c>
      <c r="H209" t="str">
        <v/>
      </c>
      <c r="I209" t="str">
        <v>17/09/2026</v>
      </c>
      <c r="J209" t="str">
        <v>08:14:03</v>
      </c>
      <c r="K209">
        <v>-12.276135</v>
      </c>
      <c r="L209">
        <v>-76.87388</v>
      </c>
      <c r="M209">
        <f>HYPERLINK("https://www.google.com/maps/search/?api=1&amp;query=-12.276135,-76.87388","Avenida San Pedro, Lurín, Lima")</f>
      </c>
      <c r="N209" t="str">
        <v>Acelerado y giro brusco</v>
      </c>
      <c r="O209">
        <v>676.7</v>
      </c>
      <c r="P209" t="str">
        <v/>
      </c>
      <c r="Q209">
        <v>34.4</v>
      </c>
      <c r="R209">
        <v>26.25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>
        <v>90</v>
      </c>
      <c r="AA209" t="str">
        <v>17/09/2026</v>
      </c>
      <c r="AB209" t="str">
        <v>08:14:02</v>
      </c>
      <c r="AC209">
        <f>IF("ONLINE"="NOGPS","GPS Antiguo","En línea")</f>
      </c>
      <c r="AD209">
        <f>IF(0=0,"Sin atender", IF(0=1,"Atendida","Atendida y Reportada"))</f>
      </c>
      <c r="AE209" t="str">
        <v/>
      </c>
      <c r="AF209" t="str">
        <v/>
      </c>
      <c r="AG209" t="str">
        <v/>
      </c>
      <c r="AH209" t="str">
        <v/>
      </c>
      <c r="AI209" t="str">
        <v>17/09/2026 08:14:12</v>
      </c>
      <c r="AJ209" t="str">
        <v>08:14:12</v>
      </c>
      <c r="AK209" t="str">
        <v/>
      </c>
    </row>
    <row r="210">
      <c r="A210">
        <v>209</v>
      </c>
      <c r="B210" t="str">
        <v>MASS BSF</v>
      </c>
      <c r="C210" t="str">
        <v>F8R-810</v>
      </c>
      <c r="D210" t="str">
        <v>F8R-810</v>
      </c>
      <c r="E210" t="str">
        <v>867806078868827</v>
      </c>
      <c r="F210" t="str">
        <v>TBD</v>
      </c>
      <c r="G210" t="str">
        <v/>
      </c>
      <c r="H210" t="str">
        <v/>
      </c>
      <c r="I210" t="str">
        <v>17/09/2026</v>
      </c>
      <c r="J210" t="str">
        <v>08:14:16</v>
      </c>
      <c r="K210">
        <v>-12.277244</v>
      </c>
      <c r="L210">
        <v>-76.874565</v>
      </c>
      <c r="M210">
        <f>HYPERLINK("https://www.google.com/maps/search/?api=1&amp;query=-12.277244,-76.874565","Avenida San Pedro, Lurín, Lima")</f>
      </c>
      <c r="N210" t="str">
        <v>Acelerado y giro brusco</v>
      </c>
      <c r="O210">
        <v>676.9</v>
      </c>
      <c r="P210" t="str">
        <v/>
      </c>
      <c r="Q210">
        <v>40.3</v>
      </c>
      <c r="R210">
        <v>26.25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>
        <v>90</v>
      </c>
      <c r="AA210" t="str">
        <v>17/09/2026</v>
      </c>
      <c r="AB210" t="str">
        <v>08:14:15</v>
      </c>
      <c r="AC210">
        <f>IF("ONLINE"="NOGPS","GPS Antiguo","En línea")</f>
      </c>
      <c r="AD210">
        <f>IF(0=0,"Sin atender", IF(0=1,"Atendida","Atendida y Reportada"))</f>
      </c>
      <c r="AE210" t="str">
        <v/>
      </c>
      <c r="AF210" t="str">
        <v/>
      </c>
      <c r="AG210" t="str">
        <v/>
      </c>
      <c r="AH210" t="str">
        <v/>
      </c>
      <c r="AI210" t="str">
        <v>17/09/2026 08:14:33</v>
      </c>
      <c r="AJ210" t="str">
        <v>08:14:33</v>
      </c>
      <c r="AK210" t="str">
        <v/>
      </c>
    </row>
    <row r="211">
      <c r="A211">
        <v>210</v>
      </c>
      <c r="B211" t="str">
        <v>MASS BSF</v>
      </c>
      <c r="C211" t="str">
        <v>F8R-810</v>
      </c>
      <c r="D211" t="str">
        <v>F8R-810</v>
      </c>
      <c r="E211" t="str">
        <v>867806078868827</v>
      </c>
      <c r="F211" t="str">
        <v>TBD</v>
      </c>
      <c r="G211" t="str">
        <v/>
      </c>
      <c r="H211" t="str">
        <v/>
      </c>
      <c r="I211" t="str">
        <v>17/09/2026</v>
      </c>
      <c r="J211" t="str">
        <v>08:14:25</v>
      </c>
      <c r="K211">
        <v>-12.277968</v>
      </c>
      <c r="L211">
        <v>-76.87498</v>
      </c>
      <c r="M211">
        <f>HYPERLINK("https://www.google.com/maps/search/?api=1&amp;query=-12.277968,-76.87498","Avenida San Pedro, Lurín, Lima")</f>
      </c>
      <c r="N211" t="str">
        <v>Acelerado y giro brusco</v>
      </c>
      <c r="O211">
        <v>677</v>
      </c>
      <c r="P211" t="str">
        <v/>
      </c>
      <c r="Q211">
        <v>31.8</v>
      </c>
      <c r="R211">
        <v>26.25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>
        <v>90</v>
      </c>
      <c r="AA211" t="str">
        <v>17/09/2026</v>
      </c>
      <c r="AB211" t="str">
        <v>08:14:24</v>
      </c>
      <c r="AC211">
        <f>IF("ONLINE"="NOGPS","GPS Antiguo","En línea")</f>
      </c>
      <c r="AD211">
        <f>IF(0=0,"Sin atender", IF(0=1,"Atendida","Atendida y Reportada"))</f>
      </c>
      <c r="AE211" t="str">
        <v/>
      </c>
      <c r="AF211" t="str">
        <v/>
      </c>
      <c r="AG211" t="str">
        <v/>
      </c>
      <c r="AH211" t="str">
        <v/>
      </c>
      <c r="AI211" t="str">
        <v>17/09/2026 08:14:46</v>
      </c>
      <c r="AJ211" t="str">
        <v>08:14:46</v>
      </c>
      <c r="AK211" t="str">
        <v/>
      </c>
    </row>
    <row r="212">
      <c r="A212">
        <v>211</v>
      </c>
      <c r="B212" t="str">
        <v>MASS BSF</v>
      </c>
      <c r="C212" t="str">
        <v>F8R-810</v>
      </c>
      <c r="D212" t="str">
        <v>F8R-810</v>
      </c>
      <c r="E212" t="str">
        <v>867806078868827</v>
      </c>
      <c r="F212" t="str">
        <v>TBD</v>
      </c>
      <c r="G212" t="str">
        <v/>
      </c>
      <c r="H212" t="str">
        <v/>
      </c>
      <c r="I212" t="str">
        <v>17/09/2026</v>
      </c>
      <c r="J212" t="str">
        <v>08:14:39</v>
      </c>
      <c r="K212">
        <v>-12.278843</v>
      </c>
      <c r="L212">
        <v>-76.8755</v>
      </c>
      <c r="M212">
        <f>HYPERLINK("https://www.google.com/maps/search/?api=1&amp;query=-12.278843,-76.8755","Avenida San Pedro, Lurín, Lima")</f>
      </c>
      <c r="N212" t="str">
        <v>Acelerado y giro brusco</v>
      </c>
      <c r="O212">
        <v>677.1</v>
      </c>
      <c r="P212" t="str">
        <v/>
      </c>
      <c r="Q212">
        <v>27</v>
      </c>
      <c r="R212">
        <v>26.25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>
        <v>90</v>
      </c>
      <c r="AA212" t="str">
        <v>17/09/2026</v>
      </c>
      <c r="AB212" t="str">
        <v>08:14:38</v>
      </c>
      <c r="AC212">
        <f>IF("ONLINE"="NOGPS","GPS Antiguo","En línea")</f>
      </c>
      <c r="AD212">
        <f>IF(0=0,"Sin atender", IF(0=1,"Atendida","Atendida y Reportada"))</f>
      </c>
      <c r="AE212" t="str">
        <v/>
      </c>
      <c r="AF212" t="str">
        <v/>
      </c>
      <c r="AG212" t="str">
        <v/>
      </c>
      <c r="AH212" t="str">
        <v/>
      </c>
      <c r="AI212" t="str">
        <v>17/09/2026 08:14:57</v>
      </c>
      <c r="AJ212" t="str">
        <v>08:14:57</v>
      </c>
      <c r="AK212" t="str">
        <v/>
      </c>
    </row>
    <row r="213">
      <c r="A213">
        <v>212</v>
      </c>
      <c r="B213" t="str">
        <v>MASS BSF</v>
      </c>
      <c r="C213" t="str">
        <v>F8R-810</v>
      </c>
      <c r="D213" t="str">
        <v>F8R-810</v>
      </c>
      <c r="E213" t="str">
        <v>867806078868827</v>
      </c>
      <c r="F213" t="str">
        <v>TBD</v>
      </c>
      <c r="G213" t="str">
        <v/>
      </c>
      <c r="H213" t="str">
        <v/>
      </c>
      <c r="I213" t="str">
        <v>17/09/2026</v>
      </c>
      <c r="J213" t="str">
        <v>08:14:46</v>
      </c>
      <c r="K213">
        <v>-12.27924</v>
      </c>
      <c r="L213">
        <v>-76.87577</v>
      </c>
      <c r="M213">
        <f>HYPERLINK("https://www.google.com/maps/search/?api=1&amp;query=-12.27924,-76.87577","Avenida San Pedro, Lurín, Lima")</f>
      </c>
      <c r="N213" t="str">
        <v>Acelerado y giro brusco</v>
      </c>
      <c r="O213">
        <v>677.1</v>
      </c>
      <c r="P213" t="str">
        <v/>
      </c>
      <c r="Q213">
        <v>31.4</v>
      </c>
      <c r="R213">
        <v>26.25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>
        <v>90</v>
      </c>
      <c r="AA213" t="str">
        <v>17/09/2026</v>
      </c>
      <c r="AB213" t="str">
        <v>08:14:45</v>
      </c>
      <c r="AC213">
        <f>IF("ONLINE"="NOGPS","GPS Antiguo","En línea")</f>
      </c>
      <c r="AD213">
        <f>IF(0=0,"Sin atender", IF(0=1,"Atendida","Atendida y Reportada"))</f>
      </c>
      <c r="AE213" t="str">
        <v/>
      </c>
      <c r="AF213" t="str">
        <v/>
      </c>
      <c r="AG213" t="str">
        <v/>
      </c>
      <c r="AH213" t="str">
        <v/>
      </c>
      <c r="AI213" t="str">
        <v>17/09/2026 08:15:04</v>
      </c>
      <c r="AJ213" t="str">
        <v>08:15:04</v>
      </c>
      <c r="AK213" t="str">
        <v/>
      </c>
    </row>
    <row r="214">
      <c r="A214">
        <v>213</v>
      </c>
      <c r="B214" t="str">
        <v>MASS BSF</v>
      </c>
      <c r="C214" t="str">
        <v>F8R-810</v>
      </c>
      <c r="D214" t="str">
        <v>F8R-810</v>
      </c>
      <c r="E214" t="str">
        <v>867806078868827</v>
      </c>
      <c r="F214" t="str">
        <v>TBD</v>
      </c>
      <c r="G214" t="str">
        <v/>
      </c>
      <c r="H214" t="str">
        <v/>
      </c>
      <c r="I214" t="str">
        <v>17/09/2026</v>
      </c>
      <c r="J214" t="str">
        <v>08:15:01</v>
      </c>
      <c r="K214">
        <v>-12.280207</v>
      </c>
      <c r="L214">
        <v>-76.87636</v>
      </c>
      <c r="M214">
        <f>HYPERLINK("https://www.google.com/maps/search/?api=1&amp;query=-12.280207,-76.87636","Avenida San Pedro, Lurín, Lima")</f>
      </c>
      <c r="N214" t="str">
        <v>Acelerado y giro brusco</v>
      </c>
      <c r="O214">
        <v>677.2</v>
      </c>
      <c r="P214" t="str">
        <v/>
      </c>
      <c r="Q214">
        <v>11.8</v>
      </c>
      <c r="R214">
        <v>26.25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>
        <v>90</v>
      </c>
      <c r="AA214" t="str">
        <v>17/09/2026</v>
      </c>
      <c r="AB214" t="str">
        <v>08:15:00</v>
      </c>
      <c r="AC214">
        <f>IF("ONLINE"="NOGPS","GPS Antiguo","En línea")</f>
      </c>
      <c r="AD214">
        <f>IF(0=0,"Sin atender", IF(0=1,"Atendida","Atendida y Reportada"))</f>
      </c>
      <c r="AE214" t="str">
        <v/>
      </c>
      <c r="AF214" t="str">
        <v/>
      </c>
      <c r="AG214" t="str">
        <v/>
      </c>
      <c r="AH214" t="str">
        <v/>
      </c>
      <c r="AI214" t="str">
        <v>17/09/2026 08:15:08</v>
      </c>
      <c r="AJ214" t="str">
        <v>08:15:08</v>
      </c>
      <c r="AK214" t="str">
        <v/>
      </c>
    </row>
    <row r="215">
      <c r="A215">
        <v>214</v>
      </c>
      <c r="B215" t="str">
        <v>MASS BSF</v>
      </c>
      <c r="C215" t="str">
        <v>F8R-810</v>
      </c>
      <c r="D215" t="str">
        <v>F8R-810</v>
      </c>
      <c r="E215" t="str">
        <v>867806078868827</v>
      </c>
      <c r="F215" t="str">
        <v>TBD</v>
      </c>
      <c r="G215" t="str">
        <v/>
      </c>
      <c r="H215" t="str">
        <v/>
      </c>
      <c r="I215" t="str">
        <v>17/09/2026</v>
      </c>
      <c r="J215" t="str">
        <v>08:15:22</v>
      </c>
      <c r="K215">
        <v>-12.281127</v>
      </c>
      <c r="L215">
        <v>-76.87702</v>
      </c>
      <c r="M215">
        <f>HYPERLINK("https://www.google.com/maps/search/?api=1&amp;query=-12.281127,-76.87702","Avenida San Pedro, Lurín, Lima")</f>
      </c>
      <c r="N215" t="str">
        <v>Acelerado y giro brusco</v>
      </c>
      <c r="O215">
        <v>677.4</v>
      </c>
      <c r="P215" t="str">
        <v/>
      </c>
      <c r="Q215">
        <v>32.7</v>
      </c>
      <c r="R215">
        <v>26.25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>
        <v>90</v>
      </c>
      <c r="AA215" t="str">
        <v>17/09/2026</v>
      </c>
      <c r="AB215" t="str">
        <v>08:15:21</v>
      </c>
      <c r="AC215">
        <f>IF("ONLINE"="NOGPS","GPS Antiguo","En línea")</f>
      </c>
      <c r="AD215">
        <f>IF(0=0,"Sin atender", IF(0=1,"Atendida","Atendida y Reportada"))</f>
      </c>
      <c r="AE215" t="str">
        <v/>
      </c>
      <c r="AF215" t="str">
        <v/>
      </c>
      <c r="AG215" t="str">
        <v/>
      </c>
      <c r="AH215" t="str">
        <v/>
      </c>
      <c r="AI215" t="str">
        <v>17/09/2026 08:15:45</v>
      </c>
      <c r="AJ215" t="str">
        <v>08:15:45</v>
      </c>
      <c r="AK215" t="str">
        <v/>
      </c>
    </row>
    <row r="216">
      <c r="A216">
        <v>215</v>
      </c>
      <c r="B216" t="str">
        <v>MASS BSF</v>
      </c>
      <c r="C216" t="str">
        <v>F8R-810</v>
      </c>
      <c r="D216" t="str">
        <v>F8R-810</v>
      </c>
      <c r="E216" t="str">
        <v>867806078868827</v>
      </c>
      <c r="F216" t="str">
        <v>TBD</v>
      </c>
      <c r="G216" t="str">
        <v/>
      </c>
      <c r="H216" t="str">
        <v/>
      </c>
      <c r="I216" t="str">
        <v>17/09/2026</v>
      </c>
      <c r="J216" t="str">
        <v>08:15:31</v>
      </c>
      <c r="K216">
        <v>-12.281595</v>
      </c>
      <c r="L216">
        <v>-76.87745</v>
      </c>
      <c r="M216">
        <f>HYPERLINK("https://www.google.com/maps/search/?api=1&amp;query=-12.281595,-76.87745","Lurín, Lima")</f>
      </c>
      <c r="N216" t="str">
        <v>Acelerado y giro brusco</v>
      </c>
      <c r="O216">
        <v>677.4</v>
      </c>
      <c r="P216" t="str">
        <v/>
      </c>
      <c r="Q216">
        <v>30.3</v>
      </c>
      <c r="R216">
        <v>26.25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>
        <v>90</v>
      </c>
      <c r="AA216" t="str">
        <v>17/09/2026</v>
      </c>
      <c r="AB216" t="str">
        <v>08:15:30</v>
      </c>
      <c r="AC216">
        <f>IF("ONLINE"="NOGPS","GPS Antiguo","En línea")</f>
      </c>
      <c r="AD216">
        <f>IF(0=0,"Sin atender", IF(0=1,"Atendida","Atendida y Reportada"))</f>
      </c>
      <c r="AE216" t="str">
        <v/>
      </c>
      <c r="AF216" t="str">
        <v/>
      </c>
      <c r="AG216" t="str">
        <v/>
      </c>
      <c r="AH216" t="str">
        <v/>
      </c>
      <c r="AI216" t="str">
        <v>17/09/2026 08:15:45</v>
      </c>
      <c r="AJ216" t="str">
        <v>08:15:45</v>
      </c>
      <c r="AK216" t="str">
        <v/>
      </c>
    </row>
    <row r="217">
      <c r="A217">
        <v>216</v>
      </c>
      <c r="B217" t="str">
        <v>MASS BSF</v>
      </c>
      <c r="C217" t="str">
        <v>F8R-810</v>
      </c>
      <c r="D217" t="str">
        <v>F8R-810</v>
      </c>
      <c r="E217" t="str">
        <v>867806078868827</v>
      </c>
      <c r="F217" t="str">
        <v>TBD</v>
      </c>
      <c r="G217" t="str">
        <v/>
      </c>
      <c r="H217" t="str">
        <v/>
      </c>
      <c r="I217" t="str">
        <v>17/09/2026</v>
      </c>
      <c r="J217" t="str">
        <v>08:15:51</v>
      </c>
      <c r="K217">
        <v>-12.283412</v>
      </c>
      <c r="L217">
        <v>-76.87854</v>
      </c>
      <c r="M217">
        <f>HYPERLINK("https://www.google.com/maps/search/?api=1&amp;query=-12.283412,-76.87854","Avenida San Pedro, Lurín, Lima")</f>
      </c>
      <c r="N217" t="str">
        <v>Acelerado y giro brusco</v>
      </c>
      <c r="O217">
        <v>677.7</v>
      </c>
      <c r="P217" t="str">
        <v/>
      </c>
      <c r="Q217">
        <v>48.8</v>
      </c>
      <c r="R217">
        <v>26.25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>
        <v>85</v>
      </c>
      <c r="AA217" t="str">
        <v>17/09/2026</v>
      </c>
      <c r="AB217" t="str">
        <v>08:15:50</v>
      </c>
      <c r="AC217">
        <f>IF("ONLINE"="NOGPS","GPS Antiguo","En línea")</f>
      </c>
      <c r="AD217">
        <f>IF(0=0,"Sin atender", IF(0=1,"Atendida","Atendida y Reportada"))</f>
      </c>
      <c r="AE217" t="str">
        <v/>
      </c>
      <c r="AF217" t="str">
        <v/>
      </c>
      <c r="AG217" t="str">
        <v/>
      </c>
      <c r="AH217" t="str">
        <v/>
      </c>
      <c r="AI217" t="str">
        <v>17/09/2026 08:16:02</v>
      </c>
      <c r="AJ217" t="str">
        <v>08:16:02</v>
      </c>
      <c r="AK217" t="str">
        <v/>
      </c>
    </row>
    <row r="218">
      <c r="A218">
        <v>217</v>
      </c>
      <c r="B218" t="str">
        <v>MASS BSF</v>
      </c>
      <c r="C218" t="str">
        <v>F8R-810</v>
      </c>
      <c r="D218" t="str">
        <v>F8R-810</v>
      </c>
      <c r="E218" t="str">
        <v>867806078868827</v>
      </c>
      <c r="F218" t="str">
        <v>TBD</v>
      </c>
      <c r="G218" t="str">
        <v/>
      </c>
      <c r="H218" t="str">
        <v/>
      </c>
      <c r="I218" t="str">
        <v>17/09/2026</v>
      </c>
      <c r="J218" t="str">
        <v>08:15:53</v>
      </c>
      <c r="K218">
        <v>-12.283627</v>
      </c>
      <c r="L218">
        <v>-76.87868</v>
      </c>
      <c r="M218">
        <f>HYPERLINK("https://www.google.com/maps/search/?api=1&amp;query=-12.283627,-76.87868","Avenida San Pedro, Lurín, Lima")</f>
      </c>
      <c r="N218" t="str">
        <v>Acelerado y giro brusco</v>
      </c>
      <c r="O218">
        <v>677.7</v>
      </c>
      <c r="P218" t="str">
        <v/>
      </c>
      <c r="Q218">
        <v>52.4</v>
      </c>
      <c r="R218">
        <v>26.25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>
        <v>85</v>
      </c>
      <c r="AA218" t="str">
        <v>17/09/2026</v>
      </c>
      <c r="AB218" t="str">
        <v>08:15:52</v>
      </c>
      <c r="AC218">
        <f>IF("ONLINE"="NOGPS","GPS Antiguo","En línea")</f>
      </c>
      <c r="AD218">
        <f>IF(0=0,"Sin atender", IF(0=1,"Atendida","Atendida y Reportada"))</f>
      </c>
      <c r="AE218" t="str">
        <v/>
      </c>
      <c r="AF218" t="str">
        <v/>
      </c>
      <c r="AG218" t="str">
        <v/>
      </c>
      <c r="AH218" t="str">
        <v/>
      </c>
      <c r="AI218" t="str">
        <v>17/09/2026 08:16:21</v>
      </c>
      <c r="AJ218" t="str">
        <v>08:16:21</v>
      </c>
      <c r="AK218" t="str">
        <v/>
      </c>
    </row>
    <row r="219">
      <c r="A219">
        <v>218</v>
      </c>
      <c r="B219" t="str">
        <v>MASS BSF</v>
      </c>
      <c r="C219" t="str">
        <v>F8R-810</v>
      </c>
      <c r="D219" t="str">
        <v>F8R-810</v>
      </c>
      <c r="E219" t="str">
        <v>867806078868827</v>
      </c>
      <c r="F219" t="str">
        <v>TBD</v>
      </c>
      <c r="G219" t="str">
        <v/>
      </c>
      <c r="H219" t="str">
        <v/>
      </c>
      <c r="I219" t="str">
        <v>17/09/2026</v>
      </c>
      <c r="J219" t="str">
        <v>08:15:59</v>
      </c>
      <c r="K219">
        <v>-12.284307</v>
      </c>
      <c r="L219">
        <v>-76.87912</v>
      </c>
      <c r="M219">
        <f>HYPERLINK("https://www.google.com/maps/search/?api=1&amp;query=-12.284307,-76.87912","Avenida San Pedro, Lurín, Lima")</f>
      </c>
      <c r="N219" t="str">
        <v>Aceleración brusca</v>
      </c>
      <c r="O219">
        <v>677.8</v>
      </c>
      <c r="P219" t="str">
        <v/>
      </c>
      <c r="Q219">
        <v>52.7</v>
      </c>
      <c r="R219">
        <v>26.25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>
        <v>85</v>
      </c>
      <c r="AA219" t="str">
        <v>17/09/2026</v>
      </c>
      <c r="AB219" t="str">
        <v>08:15:58</v>
      </c>
      <c r="AC219">
        <f>IF("ONLINE"="NOGPS","GPS Antiguo","En línea")</f>
      </c>
      <c r="AD219">
        <f>IF(0=0,"Sin atender", IF(0=1,"Atendida","Atendida y Reportada"))</f>
      </c>
      <c r="AE219" t="str">
        <v/>
      </c>
      <c r="AF219" t="str">
        <v/>
      </c>
      <c r="AG219" t="str">
        <v/>
      </c>
      <c r="AH219" t="str">
        <v/>
      </c>
      <c r="AI219" t="str">
        <v>17/09/2026 08:16:19</v>
      </c>
      <c r="AJ219" t="str">
        <v>08:16:19</v>
      </c>
      <c r="AK219" t="str">
        <v/>
      </c>
    </row>
    <row r="220">
      <c r="A220">
        <v>219</v>
      </c>
      <c r="B220" t="str">
        <v>MASS BSF</v>
      </c>
      <c r="C220" t="str">
        <v>F8R-810</v>
      </c>
      <c r="D220" t="str">
        <v>F8R-810</v>
      </c>
      <c r="E220" t="str">
        <v>867806078868827</v>
      </c>
      <c r="F220" t="str">
        <v>TBD</v>
      </c>
      <c r="G220" t="str">
        <v/>
      </c>
      <c r="H220" t="str">
        <v/>
      </c>
      <c r="I220" t="str">
        <v>17/09/2026</v>
      </c>
      <c r="J220" t="str">
        <v>08:16:05</v>
      </c>
      <c r="K220">
        <v>-12.284862</v>
      </c>
      <c r="L220">
        <v>-76.87949</v>
      </c>
      <c r="M220">
        <f>HYPERLINK("https://www.google.com/maps/search/?api=1&amp;query=-12.284862,-76.87949","Avenida San Pedro, Lurín, Lima")</f>
      </c>
      <c r="N220" t="str">
        <v>Acelerado y giro brusco</v>
      </c>
      <c r="O220">
        <v>677.9</v>
      </c>
      <c r="P220" t="str">
        <v/>
      </c>
      <c r="Q220">
        <v>31.1</v>
      </c>
      <c r="R220">
        <v>26.25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>
        <v>85</v>
      </c>
      <c r="AA220" t="str">
        <v>17/09/2026</v>
      </c>
      <c r="AB220" t="str">
        <v>08:16:04</v>
      </c>
      <c r="AC220">
        <f>IF("ONLINE"="NOGPS","GPS Antiguo","En línea")</f>
      </c>
      <c r="AD220">
        <f>IF(0=0,"Sin atender", IF(0=1,"Atendida","Atendida y Reportada"))</f>
      </c>
      <c r="AE220" t="str">
        <v/>
      </c>
      <c r="AF220" t="str">
        <v/>
      </c>
      <c r="AG220" t="str">
        <v/>
      </c>
      <c r="AH220" t="str">
        <v/>
      </c>
      <c r="AI220" t="str">
        <v>17/09/2026 08:16:22</v>
      </c>
      <c r="AJ220" t="str">
        <v>08:16:22</v>
      </c>
      <c r="AK220" t="str">
        <v/>
      </c>
    </row>
    <row r="221">
      <c r="A221">
        <v>220</v>
      </c>
      <c r="B221" t="str">
        <v>MASS BSF</v>
      </c>
      <c r="C221" t="str">
        <v>F8R-810</v>
      </c>
      <c r="D221" t="str">
        <v>F8R-810</v>
      </c>
      <c r="E221" t="str">
        <v>867806078868827</v>
      </c>
      <c r="F221" t="str">
        <v>TBD</v>
      </c>
      <c r="G221" t="str">
        <v/>
      </c>
      <c r="H221" t="str">
        <v/>
      </c>
      <c r="I221" t="str">
        <v>17/09/2026</v>
      </c>
      <c r="J221" t="str">
        <v>08:16:05</v>
      </c>
      <c r="K221">
        <v>-12.284862</v>
      </c>
      <c r="L221">
        <v>-76.87949</v>
      </c>
      <c r="M221">
        <f>HYPERLINK("https://www.google.com/maps/search/?api=1&amp;query=-12.284862,-76.87949","Avenida San Pedro, Lurín, Lima")</f>
      </c>
      <c r="N221" t="str">
        <v>Acelerado y giro brusco</v>
      </c>
      <c r="O221">
        <v>677.9</v>
      </c>
      <c r="P221" t="str">
        <v/>
      </c>
      <c r="Q221">
        <v>31.1</v>
      </c>
      <c r="R221">
        <v>26.25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>
        <v>85</v>
      </c>
      <c r="AA221" t="str">
        <v>17/09/2026</v>
      </c>
      <c r="AB221" t="str">
        <v>08:16:04</v>
      </c>
      <c r="AC221">
        <f>IF("ONLINE"="NOGPS","GPS Antiguo","En línea")</f>
      </c>
      <c r="AD221">
        <f>IF(0=0,"Sin atender", IF(0=1,"Atendida","Atendida y Reportada"))</f>
      </c>
      <c r="AE221" t="str">
        <v/>
      </c>
      <c r="AF221" t="str">
        <v/>
      </c>
      <c r="AG221" t="str">
        <v/>
      </c>
      <c r="AH221" t="str">
        <v/>
      </c>
      <c r="AI221" t="str">
        <v>17/09/2026 08:16:36</v>
      </c>
      <c r="AJ221" t="str">
        <v>08:16:36</v>
      </c>
      <c r="AK221" t="str">
        <v/>
      </c>
    </row>
    <row r="222">
      <c r="A222">
        <v>221</v>
      </c>
      <c r="B222" t="str">
        <v>MASS BSF</v>
      </c>
      <c r="C222" t="str">
        <v>F8R-810</v>
      </c>
      <c r="D222" t="str">
        <v>F8R-810</v>
      </c>
      <c r="E222" t="str">
        <v>867806078868827</v>
      </c>
      <c r="F222" t="str">
        <v>TBD</v>
      </c>
      <c r="G222" t="str">
        <v/>
      </c>
      <c r="H222" t="str">
        <v/>
      </c>
      <c r="I222" t="str">
        <v>17/09/2026</v>
      </c>
      <c r="J222" t="str">
        <v>08:16:36</v>
      </c>
      <c r="K222">
        <v>-12.284055</v>
      </c>
      <c r="L222">
        <v>-76.878555</v>
      </c>
      <c r="M222">
        <f>HYPERLINK("https://www.google.com/maps/search/?api=1&amp;query=-12.284055,-76.878555","Lurín, Lima")</f>
      </c>
      <c r="N222" t="str">
        <v>Acelerado y giro brusco</v>
      </c>
      <c r="O222">
        <v>678.1</v>
      </c>
      <c r="P222" t="str">
        <v/>
      </c>
      <c r="Q222">
        <v>38.3</v>
      </c>
      <c r="R222">
        <v>26.25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>
        <v>85</v>
      </c>
      <c r="AA222" t="str">
        <v>17/09/2026</v>
      </c>
      <c r="AB222" t="str">
        <v>08:16:34</v>
      </c>
      <c r="AC222">
        <f>IF("ONLINE"="NOGPS","GPS Antiguo","En línea")</f>
      </c>
      <c r="AD222">
        <f>IF(0=0,"Sin atender", IF(0=1,"Atendida","Atendida y Reportada"))</f>
      </c>
      <c r="AE222" t="str">
        <v/>
      </c>
      <c r="AF222" t="str">
        <v/>
      </c>
      <c r="AG222" t="str">
        <v/>
      </c>
      <c r="AH222" t="str">
        <v/>
      </c>
      <c r="AI222" t="str">
        <v>17/09/2026 08:16:46</v>
      </c>
      <c r="AJ222" t="str">
        <v>08:16:46</v>
      </c>
      <c r="AK222" t="str">
        <v/>
      </c>
    </row>
    <row r="223">
      <c r="A223">
        <v>222</v>
      </c>
      <c r="B223" t="str">
        <v>MASS BSF</v>
      </c>
      <c r="C223" t="str">
        <v>F8R-810</v>
      </c>
      <c r="D223" t="str">
        <v>F8R-810</v>
      </c>
      <c r="E223" t="str">
        <v>867806078868827</v>
      </c>
      <c r="F223" t="str">
        <v>TBD</v>
      </c>
      <c r="G223" t="str">
        <v/>
      </c>
      <c r="H223" t="str">
        <v/>
      </c>
      <c r="I223" t="str">
        <v>17/09/2026</v>
      </c>
      <c r="J223" t="str">
        <v>08:16:51</v>
      </c>
      <c r="K223">
        <v>-12.284108</v>
      </c>
      <c r="L223">
        <v>-76.87733</v>
      </c>
      <c r="M223">
        <f>HYPERLINK("https://www.google.com/maps/search/?api=1&amp;query=-12.284108,-76.87733","Carretera Panamericana Sur, Lurín, Lima")</f>
      </c>
      <c r="N223" t="str">
        <v>Acelerado y giro brusco</v>
      </c>
      <c r="O223">
        <v>678.3</v>
      </c>
      <c r="P223" t="str">
        <v/>
      </c>
      <c r="Q223">
        <v>46.4</v>
      </c>
      <c r="R223">
        <v>26.25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>
        <v>85</v>
      </c>
      <c r="AA223" t="str">
        <v>17/09/2026</v>
      </c>
      <c r="AB223" t="str">
        <v>08:16:49</v>
      </c>
      <c r="AC223">
        <f>IF("ONLINE"="NOGPS","GPS Antiguo","En línea")</f>
      </c>
      <c r="AD223">
        <f>IF(0=0,"Sin atender", IF(0=1,"Atendida","Atendida y Reportada"))</f>
      </c>
      <c r="AE223" t="str">
        <v/>
      </c>
      <c r="AF223" t="str">
        <v/>
      </c>
      <c r="AG223" t="str">
        <v/>
      </c>
      <c r="AH223" t="str">
        <v/>
      </c>
      <c r="AI223" t="str">
        <v>17/09/2026 08:17:01</v>
      </c>
      <c r="AJ223" t="str">
        <v>08:17:01</v>
      </c>
      <c r="AK223" t="str">
        <v/>
      </c>
    </row>
    <row r="224">
      <c r="A224">
        <v>223</v>
      </c>
      <c r="B224" t="str">
        <v>MASS BSF</v>
      </c>
      <c r="C224" t="str">
        <v>F8R-810</v>
      </c>
      <c r="D224" t="str">
        <v>F8R-810</v>
      </c>
      <c r="E224" t="str">
        <v>867806078868827</v>
      </c>
      <c r="F224" t="str">
        <v>TBD</v>
      </c>
      <c r="G224" t="str">
        <v/>
      </c>
      <c r="H224" t="str">
        <v/>
      </c>
      <c r="I224" t="str">
        <v>17/09/2026</v>
      </c>
      <c r="J224" t="str">
        <v>08:16:56</v>
      </c>
      <c r="K224">
        <v>-12.284456</v>
      </c>
      <c r="L224">
        <v>-76.87671</v>
      </c>
      <c r="M224">
        <f>HYPERLINK("https://www.google.com/maps/search/?api=1&amp;query=-12.284456,-76.87671","Carretera Panamericana Sur, Lurín, Lima")</f>
      </c>
      <c r="N224" t="str">
        <v>Acelerado y giro brusco</v>
      </c>
      <c r="O224">
        <v>678.3</v>
      </c>
      <c r="P224" t="str">
        <v/>
      </c>
      <c r="Q224">
        <v>48.3</v>
      </c>
      <c r="R224">
        <v>26.25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>
        <v>85</v>
      </c>
      <c r="AA224" t="str">
        <v>17/09/2026</v>
      </c>
      <c r="AB224" t="str">
        <v>08:16:55</v>
      </c>
      <c r="AC224">
        <f>IF("ONLINE"="NOGPS","GPS Antiguo","En línea")</f>
      </c>
      <c r="AD224">
        <f>IF(0=0,"Sin atender", IF(0=1,"Atendida","Atendida y Reportada"))</f>
      </c>
      <c r="AE224" t="str">
        <v/>
      </c>
      <c r="AF224" t="str">
        <v/>
      </c>
      <c r="AG224" t="str">
        <v/>
      </c>
      <c r="AH224" t="str">
        <v/>
      </c>
      <c r="AI224" t="str">
        <v>17/09/2026 08:17:09</v>
      </c>
      <c r="AJ224" t="str">
        <v>08:17:09</v>
      </c>
      <c r="AK224" t="str">
        <v/>
      </c>
    </row>
    <row r="225">
      <c r="A225">
        <v>224</v>
      </c>
      <c r="B225" t="str">
        <v>MASS BSF</v>
      </c>
      <c r="C225" t="str">
        <v>F8R-810</v>
      </c>
      <c r="D225" t="str">
        <v>F8R-810</v>
      </c>
      <c r="E225" t="str">
        <v>867806078868827</v>
      </c>
      <c r="F225" t="str">
        <v>TBD</v>
      </c>
      <c r="G225" t="str">
        <v/>
      </c>
      <c r="H225" t="str">
        <v/>
      </c>
      <c r="I225" t="str">
        <v>17/09/2026</v>
      </c>
      <c r="J225" t="str">
        <v>08:19:35</v>
      </c>
      <c r="K225">
        <v>-12.29939</v>
      </c>
      <c r="L225">
        <v>-76.85056</v>
      </c>
      <c r="M225">
        <f>HYPERLINK("https://www.google.com/maps/search/?api=1&amp;query=-12.29939,-76.85056","Carretera Panamericana Sur, Lurín, Lima")</f>
      </c>
      <c r="N225" t="str">
        <v>Aceleración brusca</v>
      </c>
      <c r="O225">
        <v>681.6</v>
      </c>
      <c r="P225" t="str">
        <v/>
      </c>
      <c r="Q225">
        <v>62.2</v>
      </c>
      <c r="R225">
        <v>26.25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>
        <v>85</v>
      </c>
      <c r="AA225" t="str">
        <v>17/09/2026</v>
      </c>
      <c r="AB225" t="str">
        <v>08:19:34</v>
      </c>
      <c r="AC225">
        <f>IF("ONLINE"="NOGPS","GPS Antiguo","En línea")</f>
      </c>
      <c r="AD225">
        <f>IF(0=0,"Sin atender", IF(0=1,"Atendida","Atendida y Reportada"))</f>
      </c>
      <c r="AE225" t="str">
        <v/>
      </c>
      <c r="AF225" t="str">
        <v/>
      </c>
      <c r="AG225" t="str">
        <v/>
      </c>
      <c r="AH225" t="str">
        <v/>
      </c>
      <c r="AI225" t="str">
        <v>17/09/2026 08:19:47</v>
      </c>
      <c r="AJ225" t="str">
        <v>08:19:47</v>
      </c>
      <c r="AK225" t="str">
        <v/>
      </c>
    </row>
    <row r="226">
      <c r="A226">
        <v>225</v>
      </c>
      <c r="B226" t="str">
        <v>MASS BSF</v>
      </c>
      <c r="C226" t="str">
        <v>F8R-810</v>
      </c>
      <c r="D226" t="str">
        <v>F8R-810</v>
      </c>
      <c r="E226" t="str">
        <v>867806078868827</v>
      </c>
      <c r="F226" t="str">
        <v>TBD</v>
      </c>
      <c r="G226" t="str">
        <v/>
      </c>
      <c r="H226" t="str">
        <v/>
      </c>
      <c r="I226" t="str">
        <v>17/09/2026</v>
      </c>
      <c r="J226" t="str">
        <v>08:21:51</v>
      </c>
      <c r="K226">
        <v>-12.313175</v>
      </c>
      <c r="L226">
        <v>-76.83352</v>
      </c>
      <c r="M226">
        <f>HYPERLINK("https://www.google.com/maps/search/?api=1&amp;query=-12.313175,-76.83352","Carretera Panamericana Sur, Punta Hermosa, Lima")</f>
      </c>
      <c r="N226" t="str">
        <v>Aceleración brusca</v>
      </c>
      <c r="O226">
        <v>684.1</v>
      </c>
      <c r="P226" t="str">
        <v/>
      </c>
      <c r="Q226">
        <v>72.2</v>
      </c>
      <c r="R226">
        <v>26.25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>
        <v>85</v>
      </c>
      <c r="AA226" t="str">
        <v>17/09/2026</v>
      </c>
      <c r="AB226" t="str">
        <v>08:21:50</v>
      </c>
      <c r="AC226">
        <f>IF("ONLINE"="NOGPS","GPS Antiguo","En línea")</f>
      </c>
      <c r="AD226">
        <f>IF(0=0,"Sin atender", IF(0=1,"Atendida","Atendida y Reportada"))</f>
      </c>
      <c r="AE226" t="str">
        <v/>
      </c>
      <c r="AF226" t="str">
        <v/>
      </c>
      <c r="AG226" t="str">
        <v/>
      </c>
      <c r="AH226" t="str">
        <v/>
      </c>
      <c r="AI226" t="str">
        <v>17/09/2026 08:22:03</v>
      </c>
      <c r="AJ226" t="str">
        <v>08:22:03</v>
      </c>
      <c r="AK226" t="str">
        <v/>
      </c>
    </row>
    <row r="227">
      <c r="A227">
        <v>226</v>
      </c>
      <c r="B227" t="str">
        <v>MASS BSF</v>
      </c>
      <c r="C227" t="str">
        <v>F8R-810</v>
      </c>
      <c r="D227" t="str">
        <v>F8R-810</v>
      </c>
      <c r="E227" t="str">
        <v>867806078868827</v>
      </c>
      <c r="F227" t="str">
        <v>TBD</v>
      </c>
      <c r="G227" t="str">
        <v/>
      </c>
      <c r="H227" t="str">
        <v/>
      </c>
      <c r="I227" t="str">
        <v>17/09/2026</v>
      </c>
      <c r="J227" t="str">
        <v>08:22:14</v>
      </c>
      <c r="K227">
        <v>-12.316524</v>
      </c>
      <c r="L227">
        <v>-76.831276</v>
      </c>
      <c r="M227">
        <f>HYPERLINK("https://www.google.com/maps/search/?api=1&amp;query=-12.316524,-76.831276","Carretera Panamericana Sur, Punta Hermosa, Lima")</f>
      </c>
      <c r="N227" t="str">
        <v>Acelerado y giro brusco</v>
      </c>
      <c r="O227">
        <v>684.5</v>
      </c>
      <c r="P227" t="str">
        <v/>
      </c>
      <c r="Q227">
        <v>67.7</v>
      </c>
      <c r="R227">
        <v>26.25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>
        <v>87</v>
      </c>
      <c r="AA227" t="str">
        <v>17/09/2026</v>
      </c>
      <c r="AB227" t="str">
        <v>08:22:13</v>
      </c>
      <c r="AC227">
        <f>IF("ONLINE"="NOGPS","GPS Antiguo","En línea")</f>
      </c>
      <c r="AD227">
        <f>IF(0=0,"Sin atender", IF(0=1,"Atendida","Atendida y Reportada"))</f>
      </c>
      <c r="AE227" t="str">
        <v/>
      </c>
      <c r="AF227" t="str">
        <v/>
      </c>
      <c r="AG227" t="str">
        <v/>
      </c>
      <c r="AH227" t="str">
        <v/>
      </c>
      <c r="AI227" t="str">
        <v>17/09/2026 08:22:21</v>
      </c>
      <c r="AJ227" t="str">
        <v>08:22:21</v>
      </c>
      <c r="AK227" t="str">
        <v/>
      </c>
    </row>
    <row r="228">
      <c r="A228">
        <v>227</v>
      </c>
      <c r="B228" t="str">
        <v>MASS BSF</v>
      </c>
      <c r="C228" t="str">
        <v>F8R-810</v>
      </c>
      <c r="D228" t="str">
        <v>F8R-810</v>
      </c>
      <c r="E228" t="str">
        <v>867806078868827</v>
      </c>
      <c r="F228" t="str">
        <v>TBD</v>
      </c>
      <c r="G228" t="str">
        <v/>
      </c>
      <c r="H228" t="str">
        <v/>
      </c>
      <c r="I228" t="str">
        <v>17/09/2026</v>
      </c>
      <c r="J228" t="str">
        <v>08:23:47</v>
      </c>
      <c r="K228">
        <v>-12.318042</v>
      </c>
      <c r="L228">
        <v>-76.83036</v>
      </c>
      <c r="M228">
        <f>HYPERLINK("https://www.google.com/maps/search/?api=1&amp;query=-12.318042,-76.83036","Carretera Panamericana Sur, Punta Hermosa, Lima")</f>
      </c>
      <c r="N228" t="str">
        <v>Vehículo apagado</v>
      </c>
      <c r="O228">
        <v>684.7</v>
      </c>
      <c r="P228" t="str">
        <v/>
      </c>
      <c r="Q228">
        <v>0</v>
      </c>
      <c r="R228">
        <v>26.53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>
        <v>87</v>
      </c>
      <c r="AA228" t="str">
        <v>17/09/2026</v>
      </c>
      <c r="AB228" t="str">
        <v>08:23:46</v>
      </c>
      <c r="AC228">
        <f>IF("ONLINE"="NOGPS","GPS Antiguo","En línea")</f>
      </c>
      <c r="AD228">
        <f>IF(0=0,"Sin atender", IF(0=1,"Atendida","Atendida y Reportada"))</f>
      </c>
      <c r="AE228" t="str">
        <v/>
      </c>
      <c r="AF228" t="str">
        <v/>
      </c>
      <c r="AG228" t="str">
        <v/>
      </c>
      <c r="AH228" t="str">
        <v/>
      </c>
      <c r="AI228" t="str">
        <v>17/09/2026 08:23:54</v>
      </c>
      <c r="AJ228" t="str">
        <v>08:23:54</v>
      </c>
      <c r="AK228" t="str">
        <v/>
      </c>
    </row>
    <row r="229">
      <c r="A229">
        <v>228</v>
      </c>
      <c r="B229" t="str">
        <v>MASS BSF</v>
      </c>
      <c r="C229" t="str">
        <v>F8R-810</v>
      </c>
      <c r="D229" t="str">
        <v>F8R-810</v>
      </c>
      <c r="E229" t="str">
        <v>867806078868827</v>
      </c>
      <c r="F229" t="str">
        <v>TBD</v>
      </c>
      <c r="G229" t="str">
        <v/>
      </c>
      <c r="H229" t="str">
        <v/>
      </c>
      <c r="I229" t="str">
        <v>17/09/2026</v>
      </c>
      <c r="J229" t="str">
        <v>08:24:14</v>
      </c>
      <c r="K229">
        <v>-12.318042</v>
      </c>
      <c r="L229">
        <v>-76.83036</v>
      </c>
      <c r="M229">
        <f>HYPERLINK("https://www.google.com/maps/search/?api=1&amp;query=-12.318042,-76.83036","Carretera Panamericana Sur, Punta Hermosa, Lima")</f>
      </c>
      <c r="N229" t="str">
        <v>Vehículo encendido</v>
      </c>
      <c r="O229">
        <v>684.7</v>
      </c>
      <c r="P229" t="str">
        <v/>
      </c>
      <c r="Q229">
        <v>0</v>
      </c>
      <c r="R229">
        <v>26.53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>
        <v>87</v>
      </c>
      <c r="AA229" t="str">
        <v>17/09/2026</v>
      </c>
      <c r="AB229" t="str">
        <v>08:24:13</v>
      </c>
      <c r="AC229">
        <f>IF("ONLINE"="NOGPS","GPS Antiguo","En línea")</f>
      </c>
      <c r="AD229">
        <f>IF(0=0,"Sin atender", IF(0=1,"Atendida","Atendida y Reportada"))</f>
      </c>
      <c r="AE229" t="str">
        <v/>
      </c>
      <c r="AF229" t="str">
        <v/>
      </c>
      <c r="AG229" t="str">
        <v/>
      </c>
      <c r="AH229" t="str">
        <v/>
      </c>
      <c r="AI229" t="str">
        <v>17/09/2026 08:24:27</v>
      </c>
      <c r="AJ229" t="str">
        <v>08:24:27</v>
      </c>
      <c r="AK229" t="str">
        <v/>
      </c>
    </row>
    <row r="230">
      <c r="A230">
        <v>229</v>
      </c>
      <c r="B230" t="str">
        <v>MASS BSF</v>
      </c>
      <c r="C230" t="str">
        <v>F8R-810</v>
      </c>
      <c r="D230" t="str">
        <v>F8R-810</v>
      </c>
      <c r="E230" t="str">
        <v>867806078868827</v>
      </c>
      <c r="F230" t="str">
        <v>TBD</v>
      </c>
      <c r="G230" t="str">
        <v/>
      </c>
      <c r="H230" t="str">
        <v/>
      </c>
      <c r="I230" t="str">
        <v>17/09/2026</v>
      </c>
      <c r="J230" t="str">
        <v>08:25:38</v>
      </c>
      <c r="K230">
        <v>-12.323918</v>
      </c>
      <c r="L230">
        <v>-76.82633</v>
      </c>
      <c r="M230">
        <f>HYPERLINK("https://www.google.com/maps/search/?api=1&amp;query=-12.323918,-76.82633","Carretera Panamericana Sur, Punta Hermosa, Lima")</f>
      </c>
      <c r="N230" t="str">
        <v>Acelerado y giro brusco</v>
      </c>
      <c r="O230">
        <v>685.5</v>
      </c>
      <c r="P230" t="str">
        <v/>
      </c>
      <c r="Q230">
        <v>63.7</v>
      </c>
      <c r="R230">
        <v>26.53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>
        <v>88</v>
      </c>
      <c r="AA230" t="str">
        <v>17/09/2026</v>
      </c>
      <c r="AB230" t="str">
        <v>08:25:37</v>
      </c>
      <c r="AC230">
        <f>IF("ONLINE"="NOGPS","GPS Antiguo","En línea")</f>
      </c>
      <c r="AD230">
        <f>IF(0=0,"Sin atender", IF(0=1,"Atendida","Atendida y Reportada"))</f>
      </c>
      <c r="AE230" t="str">
        <v/>
      </c>
      <c r="AF230" t="str">
        <v/>
      </c>
      <c r="AG230" t="str">
        <v/>
      </c>
      <c r="AH230" t="str">
        <v/>
      </c>
      <c r="AI230" t="str">
        <v>17/09/2026 08:25:54</v>
      </c>
      <c r="AJ230" t="str">
        <v>08:25:54</v>
      </c>
      <c r="AK230" t="str">
        <v/>
      </c>
    </row>
    <row r="231">
      <c r="A231">
        <v>230</v>
      </c>
      <c r="B231" t="str">
        <v>MASS BSF</v>
      </c>
      <c r="C231" t="str">
        <v>F8R-810</v>
      </c>
      <c r="D231" t="str">
        <v>F8R-810</v>
      </c>
      <c r="E231" t="str">
        <v>867806078868827</v>
      </c>
      <c r="F231" t="str">
        <v>TBD</v>
      </c>
      <c r="G231" t="str">
        <v/>
      </c>
      <c r="H231" t="str">
        <v/>
      </c>
      <c r="I231" t="str">
        <v>17/09/2026</v>
      </c>
      <c r="J231" t="str">
        <v>08:26:25</v>
      </c>
      <c r="K231">
        <v>-12.33057</v>
      </c>
      <c r="L231">
        <v>-76.821884</v>
      </c>
      <c r="M231">
        <f>HYPERLINK("https://www.google.com/maps/search/?api=1&amp;query=-12.33057,-76.821884","Carretera Panamericana Sur, Punta Hermosa, Lima")</f>
      </c>
      <c r="N231" t="str">
        <v>Aceleración brusca</v>
      </c>
      <c r="O231">
        <v>686.4</v>
      </c>
      <c r="P231" t="str">
        <v/>
      </c>
      <c r="Q231">
        <v>71.1</v>
      </c>
      <c r="R231">
        <v>26.53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>
        <v>93</v>
      </c>
      <c r="AA231" t="str">
        <v>17/09/2026</v>
      </c>
      <c r="AB231" t="str">
        <v>08:26:24</v>
      </c>
      <c r="AC231">
        <f>IF("ONLINE"="NOGPS","GPS Antiguo","En línea")</f>
      </c>
      <c r="AD231">
        <f>IF(0=0,"Sin atender", IF(0=1,"Atendida","Atendida y Reportada"))</f>
      </c>
      <c r="AE231" t="str">
        <v/>
      </c>
      <c r="AF231" t="str">
        <v/>
      </c>
      <c r="AG231" t="str">
        <v/>
      </c>
      <c r="AH231" t="str">
        <v/>
      </c>
      <c r="AI231" t="str">
        <v>17/09/2026 08:26:37</v>
      </c>
      <c r="AJ231" t="str">
        <v>08:26:37</v>
      </c>
      <c r="AK231" t="str">
        <v/>
      </c>
    </row>
    <row r="232">
      <c r="A232">
        <v>231</v>
      </c>
      <c r="B232" t="str">
        <v>MASS BSF</v>
      </c>
      <c r="C232" t="str">
        <v>F8R-810</v>
      </c>
      <c r="D232" t="str">
        <v>F8R-810</v>
      </c>
      <c r="E232" t="str">
        <v>867806078868827</v>
      </c>
      <c r="F232" t="str">
        <v>TBD</v>
      </c>
      <c r="G232" t="str">
        <v/>
      </c>
      <c r="H232" t="str">
        <v/>
      </c>
      <c r="I232" t="str">
        <v>17/09/2026</v>
      </c>
      <c r="J232" t="str">
        <v>08:26:41</v>
      </c>
      <c r="K232">
        <v>-12.332915</v>
      </c>
      <c r="L232">
        <v>-76.82032</v>
      </c>
      <c r="M232">
        <f>HYPERLINK("https://www.google.com/maps/search/?api=1&amp;query=-12.332915,-76.82032","Carretera Panamericana Sur, Punta Hermosa, Lima")</f>
      </c>
      <c r="N232" t="str">
        <v>Acelerado y giro brusco</v>
      </c>
      <c r="O232">
        <v>686.7</v>
      </c>
      <c r="P232" t="str">
        <v/>
      </c>
      <c r="Q232">
        <v>68.5</v>
      </c>
      <c r="R232">
        <v>26.53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>
        <v>93</v>
      </c>
      <c r="AA232" t="str">
        <v>17/09/2026</v>
      </c>
      <c r="AB232" t="str">
        <v>08:26:40</v>
      </c>
      <c r="AC232">
        <f>IF("ONLINE"="NOGPS","GPS Antiguo","En línea")</f>
      </c>
      <c r="AD232">
        <f>IF(0=0,"Sin atender", IF(0=1,"Atendida","Atendida y Reportada"))</f>
      </c>
      <c r="AE232" t="str">
        <v/>
      </c>
      <c r="AF232" t="str">
        <v/>
      </c>
      <c r="AG232" t="str">
        <v/>
      </c>
      <c r="AH232" t="str">
        <v/>
      </c>
      <c r="AI232" t="str">
        <v>17/09/2026 08:27:07</v>
      </c>
      <c r="AJ232" t="str">
        <v>08:27:07</v>
      </c>
      <c r="AK232" t="str">
        <v/>
      </c>
    </row>
    <row r="233">
      <c r="A233">
        <v>232</v>
      </c>
      <c r="B233" t="str">
        <v>MASS BSF</v>
      </c>
      <c r="C233" t="str">
        <v>F8R-810</v>
      </c>
      <c r="D233" t="str">
        <v>F8R-810</v>
      </c>
      <c r="E233" t="str">
        <v>867806078868827</v>
      </c>
      <c r="F233" t="str">
        <v>TBD</v>
      </c>
      <c r="G233" t="str">
        <v/>
      </c>
      <c r="H233" t="str">
        <v/>
      </c>
      <c r="I233" t="str">
        <v>17/09/2026</v>
      </c>
      <c r="J233" t="str">
        <v>08:26:55</v>
      </c>
      <c r="K233">
        <v>-12.334831</v>
      </c>
      <c r="L233">
        <v>-76.81912</v>
      </c>
      <c r="M233">
        <f>HYPERLINK("https://www.google.com/maps/search/?api=1&amp;query=-12.334831,-76.81912","Carretera Panamericana Sur, Punta Hermosa, Lima")</f>
      </c>
      <c r="N233" t="str">
        <v>Bache</v>
      </c>
      <c r="O233">
        <v>686.9</v>
      </c>
      <c r="P233" t="str">
        <v/>
      </c>
      <c r="Q233">
        <v>53.7</v>
      </c>
      <c r="R233">
        <v>26.53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>
        <v>93</v>
      </c>
      <c r="AA233" t="str">
        <v>17/09/2026</v>
      </c>
      <c r="AB233" t="str">
        <v>08:26:54</v>
      </c>
      <c r="AC233">
        <f>IF("ONLINE"="NOGPS","GPS Antiguo","En línea")</f>
      </c>
      <c r="AD233">
        <f>IF(0=0,"Sin atender", IF(0=1,"Atendida","Atendida y Reportada"))</f>
      </c>
      <c r="AE233" t="str">
        <v/>
      </c>
      <c r="AF233" t="str">
        <v/>
      </c>
      <c r="AG233" t="str">
        <v/>
      </c>
      <c r="AH233" t="str">
        <v/>
      </c>
      <c r="AI233" t="str">
        <v>17/09/2026 08:27:19</v>
      </c>
      <c r="AJ233" t="str">
        <v>08:27:19</v>
      </c>
      <c r="AK233" t="str">
        <v/>
      </c>
    </row>
    <row r="234">
      <c r="A234">
        <v>233</v>
      </c>
      <c r="B234" t="str">
        <v>MASS BSF</v>
      </c>
      <c r="C234" t="str">
        <v>F8R-810</v>
      </c>
      <c r="D234" t="str">
        <v>F8R-810</v>
      </c>
      <c r="E234" t="str">
        <v>867806078868827</v>
      </c>
      <c r="F234" t="str">
        <v>TBD</v>
      </c>
      <c r="G234" t="str">
        <v/>
      </c>
      <c r="H234" t="str">
        <v/>
      </c>
      <c r="I234" t="str">
        <v>17/09/2026</v>
      </c>
      <c r="J234" t="str">
        <v>08:27:44</v>
      </c>
      <c r="K234">
        <v>-12.333993</v>
      </c>
      <c r="L234">
        <v>-76.82039</v>
      </c>
      <c r="M234">
        <f>HYPERLINK("https://www.google.com/maps/search/?api=1&amp;query=-12.333993,-76.82039","Antigua Panamericana Sur, Punta Hermosa, Lima")</f>
      </c>
      <c r="N234" t="str">
        <v>Acelerado y giro brusco</v>
      </c>
      <c r="O234">
        <v>687.3</v>
      </c>
      <c r="P234" t="str">
        <v/>
      </c>
      <c r="Q234">
        <v>27.2</v>
      </c>
      <c r="R234">
        <v>26.53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>
        <v>85</v>
      </c>
      <c r="AA234" t="str">
        <v>17/09/2026</v>
      </c>
      <c r="AB234" t="str">
        <v>08:27:43</v>
      </c>
      <c r="AC234">
        <f>IF("ONLINE"="NOGPS","GPS Antiguo","En línea")</f>
      </c>
      <c r="AD234">
        <f>IF(0=0,"Sin atender", IF(0=1,"Atendida","Atendida y Reportada"))</f>
      </c>
      <c r="AE234" t="str">
        <v/>
      </c>
      <c r="AF234" t="str">
        <v/>
      </c>
      <c r="AG234" t="str">
        <v/>
      </c>
      <c r="AH234" t="str">
        <v/>
      </c>
      <c r="AI234" t="str">
        <v>17/09/2026 08:28:07</v>
      </c>
      <c r="AJ234" t="str">
        <v>08:28:07</v>
      </c>
      <c r="AK234" t="str">
        <v/>
      </c>
    </row>
    <row r="235">
      <c r="A235">
        <v>234</v>
      </c>
      <c r="B235" t="str">
        <v>MASS BSF</v>
      </c>
      <c r="C235" t="str">
        <v>F8R-810</v>
      </c>
      <c r="D235" t="str">
        <v>F8R-810</v>
      </c>
      <c r="E235" t="str">
        <v>867806078868827</v>
      </c>
      <c r="F235" t="str">
        <v>TBD</v>
      </c>
      <c r="G235" t="str">
        <v/>
      </c>
      <c r="H235" t="str">
        <v/>
      </c>
      <c r="I235" t="str">
        <v>17/09/2026</v>
      </c>
      <c r="J235" t="str">
        <v>08:27:54</v>
      </c>
      <c r="K235">
        <v>-12.333703</v>
      </c>
      <c r="L235">
        <v>-76.82029</v>
      </c>
      <c r="M235">
        <f>HYPERLINK("https://www.google.com/maps/search/?api=1&amp;query=-12.333703,-76.82029","Antigua Panamericana Sur, Punta Hermosa, Lima")</f>
      </c>
      <c r="N235" t="str">
        <v>Acelerado y giro brusco</v>
      </c>
      <c r="O235">
        <v>687.4</v>
      </c>
      <c r="P235" t="str">
        <v/>
      </c>
      <c r="Q235">
        <v>22</v>
      </c>
      <c r="R235">
        <v>26.53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>
        <v>85</v>
      </c>
      <c r="AA235" t="str">
        <v>17/09/2026</v>
      </c>
      <c r="AB235" t="str">
        <v>08:27:53</v>
      </c>
      <c r="AC235">
        <f>IF("ONLINE"="NOGPS","GPS Antiguo","En línea")</f>
      </c>
      <c r="AD235">
        <f>IF(0=0,"Sin atender", IF(0=1,"Atendida","Atendida y Reportada"))</f>
      </c>
      <c r="AE235" t="str">
        <v/>
      </c>
      <c r="AF235" t="str">
        <v/>
      </c>
      <c r="AG235" t="str">
        <v/>
      </c>
      <c r="AH235" t="str">
        <v/>
      </c>
      <c r="AI235" t="str">
        <v>17/09/2026 08:28:12</v>
      </c>
      <c r="AJ235" t="str">
        <v>08:28:12</v>
      </c>
      <c r="AK235" t="str">
        <v/>
      </c>
    </row>
    <row r="236">
      <c r="A236">
        <v>235</v>
      </c>
      <c r="B236" t="str">
        <v>MASS BSF</v>
      </c>
      <c r="C236" t="str">
        <v>F8R-810</v>
      </c>
      <c r="D236" t="str">
        <v>F8R-810</v>
      </c>
      <c r="E236" t="str">
        <v>867806078868827</v>
      </c>
      <c r="F236" t="str">
        <v>TBD</v>
      </c>
      <c r="G236" t="str">
        <v/>
      </c>
      <c r="H236" t="str">
        <v/>
      </c>
      <c r="I236" t="str">
        <v>17/09/2026</v>
      </c>
      <c r="J236" t="str">
        <v>08:28:01</v>
      </c>
      <c r="K236">
        <v>-12.333642</v>
      </c>
      <c r="L236">
        <v>-76.81981</v>
      </c>
      <c r="M236">
        <f>HYPERLINK("https://www.google.com/maps/search/?api=1&amp;query=-12.333642,-76.81981","Carretera Panamericana Sur, Punta Hermosa, Lima")</f>
      </c>
      <c r="N236" t="str">
        <v>Acelerado y giro brusco</v>
      </c>
      <c r="O236">
        <v>687.4</v>
      </c>
      <c r="P236" t="str">
        <v/>
      </c>
      <c r="Q236">
        <v>29.8</v>
      </c>
      <c r="R236">
        <v>26.53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>
        <v>85</v>
      </c>
      <c r="AA236" t="str">
        <v>17/09/2026</v>
      </c>
      <c r="AB236" t="str">
        <v>08:28:00</v>
      </c>
      <c r="AC236">
        <f>IF("ONLINE"="NOGPS","GPS Antiguo","En línea")</f>
      </c>
      <c r="AD236">
        <f>IF(0=0,"Sin atender", IF(0=1,"Atendida","Atendida y Reportada"))</f>
      </c>
      <c r="AE236" t="str">
        <v/>
      </c>
      <c r="AF236" t="str">
        <v/>
      </c>
      <c r="AG236" t="str">
        <v/>
      </c>
      <c r="AH236" t="str">
        <v/>
      </c>
      <c r="AI236" t="str">
        <v>17/09/2026 08:28:16</v>
      </c>
      <c r="AJ236" t="str">
        <v>08:28:16</v>
      </c>
      <c r="AK236" t="str">
        <v/>
      </c>
    </row>
    <row r="237">
      <c r="A237">
        <v>236</v>
      </c>
      <c r="B237" t="str">
        <v>MASS BSF</v>
      </c>
      <c r="C237" t="str">
        <v>F8R-810</v>
      </c>
      <c r="D237" t="str">
        <v>F8R-810</v>
      </c>
      <c r="E237" t="str">
        <v>867806078868827</v>
      </c>
      <c r="F237" t="str">
        <v>TBD</v>
      </c>
      <c r="G237" t="str">
        <v/>
      </c>
      <c r="H237" t="str">
        <v/>
      </c>
      <c r="I237" t="str">
        <v>17/09/2026</v>
      </c>
      <c r="J237" t="str">
        <v>08:28:11</v>
      </c>
      <c r="K237">
        <v>-12.333128</v>
      </c>
      <c r="L237">
        <v>-76.819626</v>
      </c>
      <c r="M237">
        <f>HYPERLINK("https://www.google.com/maps/search/?api=1&amp;query=-12.333128,-76.819626","Avenida Pampa Pacta, Punta Hermosa, Lima")</f>
      </c>
      <c r="N237" t="str">
        <v>Acelerado y giro brusco</v>
      </c>
      <c r="O237">
        <v>687.5</v>
      </c>
      <c r="P237" t="str">
        <v/>
      </c>
      <c r="Q237">
        <v>22.4</v>
      </c>
      <c r="R237">
        <v>26.53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>
        <v>85</v>
      </c>
      <c r="AA237" t="str">
        <v>17/09/2026</v>
      </c>
      <c r="AB237" t="str">
        <v>08:28:10</v>
      </c>
      <c r="AC237">
        <f>IF("ONLINE"="NOGPS","GPS Antiguo","En línea")</f>
      </c>
      <c r="AD237">
        <f>IF(0=0,"Sin atender", IF(0=1,"Atendida","Atendida y Reportada"))</f>
      </c>
      <c r="AE237" t="str">
        <v/>
      </c>
      <c r="AF237" t="str">
        <v/>
      </c>
      <c r="AG237" t="str">
        <v/>
      </c>
      <c r="AH237" t="str">
        <v/>
      </c>
      <c r="AI237" t="str">
        <v>17/09/2026 08:28:24</v>
      </c>
      <c r="AJ237" t="str">
        <v>08:28:24</v>
      </c>
      <c r="AK237" t="str">
        <v/>
      </c>
    </row>
    <row r="238">
      <c r="A238">
        <v>237</v>
      </c>
      <c r="B238" t="str">
        <v>MASS BSF</v>
      </c>
      <c r="C238" t="str">
        <v>F8R-810</v>
      </c>
      <c r="D238" t="str">
        <v>F8R-810</v>
      </c>
      <c r="E238" t="str">
        <v>867806078868827</v>
      </c>
      <c r="F238" t="str">
        <v>TBD</v>
      </c>
      <c r="G238" t="str">
        <v/>
      </c>
      <c r="H238" t="str">
        <v/>
      </c>
      <c r="I238" t="str">
        <v>17/09/2026</v>
      </c>
      <c r="J238" t="str">
        <v>08:28:18</v>
      </c>
      <c r="K238">
        <v>-12.33279</v>
      </c>
      <c r="L238">
        <v>-76.819984</v>
      </c>
      <c r="M238">
        <f>HYPERLINK("https://www.google.com/maps/search/?api=1&amp;query=-12.33279,-76.819984","Carretera Panamericana Sur, Punta Hermosa, Lima")</f>
      </c>
      <c r="N238" t="str">
        <v>Aceleración brusca</v>
      </c>
      <c r="O238">
        <v>687.6</v>
      </c>
      <c r="P238" t="str">
        <v/>
      </c>
      <c r="Q238">
        <v>27.9</v>
      </c>
      <c r="R238">
        <v>26.53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>
        <v>87</v>
      </c>
      <c r="AA238" t="str">
        <v>17/09/2026</v>
      </c>
      <c r="AB238" t="str">
        <v>08:28:17</v>
      </c>
      <c r="AC238">
        <f>IF("ONLINE"="NOGPS","GPS Antiguo","En línea")</f>
      </c>
      <c r="AD238">
        <f>IF(0=0,"Sin atender", IF(0=1,"Atendida","Atendida y Reportada"))</f>
      </c>
      <c r="AE238" t="str">
        <v/>
      </c>
      <c r="AF238" t="str">
        <v/>
      </c>
      <c r="AG238" t="str">
        <v/>
      </c>
      <c r="AH238" t="str">
        <v/>
      </c>
      <c r="AI238" t="str">
        <v>17/09/2026 08:28:32</v>
      </c>
      <c r="AJ238" t="str">
        <v>08:28:32</v>
      </c>
      <c r="AK238" t="str">
        <v/>
      </c>
    </row>
    <row r="239">
      <c r="A239">
        <v>238</v>
      </c>
      <c r="B239" t="str">
        <v>MASS BSF</v>
      </c>
      <c r="C239" t="str">
        <v>F8R-810</v>
      </c>
      <c r="D239" t="str">
        <v>F8R-810</v>
      </c>
      <c r="E239" t="str">
        <v>867806078868827</v>
      </c>
      <c r="F239" t="str">
        <v>TBD</v>
      </c>
      <c r="G239" t="str">
        <v/>
      </c>
      <c r="H239" t="str">
        <v/>
      </c>
      <c r="I239" t="str">
        <v>17/09/2026</v>
      </c>
      <c r="J239" t="str">
        <v>08:28:56</v>
      </c>
      <c r="K239">
        <v>-12.329534</v>
      </c>
      <c r="L239">
        <v>-76.82242</v>
      </c>
      <c r="M239">
        <f>HYPERLINK("https://www.google.com/maps/search/?api=1&amp;query=-12.329534,-76.82242","Carretera Panamericana Sur, Punta Hermosa, Lima")</f>
      </c>
      <c r="N239" t="str">
        <v>Aceleración brusca</v>
      </c>
      <c r="O239">
        <v>688</v>
      </c>
      <c r="P239" t="str">
        <v/>
      </c>
      <c r="Q239">
        <v>62.9</v>
      </c>
      <c r="R239">
        <v>26.53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>
        <v>87</v>
      </c>
      <c r="AA239" t="str">
        <v>17/09/2026</v>
      </c>
      <c r="AB239" t="str">
        <v>08:28:55</v>
      </c>
      <c r="AC239">
        <f>IF("ONLINE"="NOGPS","GPS Antiguo","En línea")</f>
      </c>
      <c r="AD239">
        <f>IF(0=0,"Sin atender", IF(0=1,"Atendida","Atendida y Reportada"))</f>
      </c>
      <c r="AE239" t="str">
        <v/>
      </c>
      <c r="AF239" t="str">
        <v/>
      </c>
      <c r="AG239" t="str">
        <v/>
      </c>
      <c r="AH239" t="str">
        <v/>
      </c>
      <c r="AI239" t="str">
        <v>17/09/2026 08:29:11</v>
      </c>
      <c r="AJ239" t="str">
        <v>08:29:11</v>
      </c>
      <c r="AK239" t="str">
        <v/>
      </c>
    </row>
    <row r="240">
      <c r="A240">
        <v>239</v>
      </c>
      <c r="B240" t="str">
        <v>MASS BSF</v>
      </c>
      <c r="C240" t="str">
        <v>F8R-810</v>
      </c>
      <c r="D240" t="str">
        <v>F8R-810</v>
      </c>
      <c r="E240" t="str">
        <v>867806078868827</v>
      </c>
      <c r="F240" t="str">
        <v>TBD</v>
      </c>
      <c r="G240" t="str">
        <v/>
      </c>
      <c r="H240" t="str">
        <v/>
      </c>
      <c r="I240" t="str">
        <v>17/09/2026</v>
      </c>
      <c r="J240" t="str">
        <v>08:29:06</v>
      </c>
      <c r="K240">
        <v>-12.32815</v>
      </c>
      <c r="L240">
        <v>-76.82334</v>
      </c>
      <c r="M240">
        <f>HYPERLINK("https://www.google.com/maps/search/?api=1&amp;query=-12.32815,-76.82334","Carretera Panamericana Sur, Punta Hermosa, Lima")</f>
      </c>
      <c r="N240" t="str">
        <v>Aceleración brusca</v>
      </c>
      <c r="O240">
        <v>688.2</v>
      </c>
      <c r="P240" t="str">
        <v/>
      </c>
      <c r="Q240">
        <v>67.4</v>
      </c>
      <c r="R240">
        <v>26.53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>
        <v>87</v>
      </c>
      <c r="AA240" t="str">
        <v>17/09/2026</v>
      </c>
      <c r="AB240" t="str">
        <v>08:29:05</v>
      </c>
      <c r="AC240">
        <f>IF("ONLINE"="NOGPS","GPS Antiguo","En línea")</f>
      </c>
      <c r="AD240">
        <f>IF(0=0,"Sin atender", IF(0=1,"Atendida","Atendida y Reportada"))</f>
      </c>
      <c r="AE240" t="str">
        <v/>
      </c>
      <c r="AF240" t="str">
        <v/>
      </c>
      <c r="AG240" t="str">
        <v/>
      </c>
      <c r="AH240" t="str">
        <v/>
      </c>
      <c r="AI240" t="str">
        <v>17/09/2026 08:29:19</v>
      </c>
      <c r="AJ240" t="str">
        <v>08:29:19</v>
      </c>
      <c r="AK240" t="str">
        <v/>
      </c>
    </row>
    <row r="241">
      <c r="A241">
        <v>240</v>
      </c>
      <c r="B241" t="str">
        <v>MASS BSF</v>
      </c>
      <c r="C241" t="str">
        <v>F8R-810</v>
      </c>
      <c r="D241" t="str">
        <v>F8R-810</v>
      </c>
      <c r="E241" t="str">
        <v>867806078868827</v>
      </c>
      <c r="F241" t="str">
        <v>TBD</v>
      </c>
      <c r="G241" t="str">
        <v/>
      </c>
      <c r="H241" t="str">
        <v/>
      </c>
      <c r="I241" t="str">
        <v>17/09/2026</v>
      </c>
      <c r="J241" t="str">
        <v>08:29:11</v>
      </c>
      <c r="K241">
        <v>-12.327436</v>
      </c>
      <c r="L241">
        <v>-76.82382</v>
      </c>
      <c r="M241">
        <f>HYPERLINK("https://www.google.com/maps/search/?api=1&amp;query=-12.327436,-76.82382","Carretera Panamericana Sur, Punta Hermosa, Lima")</f>
      </c>
      <c r="N241" t="str">
        <v>Aceleración brusca</v>
      </c>
      <c r="O241">
        <v>688.3</v>
      </c>
      <c r="P241" t="str">
        <v/>
      </c>
      <c r="Q241">
        <v>69</v>
      </c>
      <c r="R241">
        <v>26.53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>
        <v>87</v>
      </c>
      <c r="AA241" t="str">
        <v>17/09/2026</v>
      </c>
      <c r="AB241" t="str">
        <v>08:29:10</v>
      </c>
      <c r="AC241">
        <f>IF("ONLINE"="NOGPS","GPS Antiguo","En línea")</f>
      </c>
      <c r="AD241">
        <f>IF(0=0,"Sin atender", IF(0=1,"Atendida","Atendida y Reportada"))</f>
      </c>
      <c r="AE241" t="str">
        <v/>
      </c>
      <c r="AF241" t="str">
        <v/>
      </c>
      <c r="AG241" t="str">
        <v/>
      </c>
      <c r="AH241" t="str">
        <v/>
      </c>
      <c r="AI241" t="str">
        <v>17/09/2026 08:29:30</v>
      </c>
      <c r="AJ241" t="str">
        <v>08:29:30</v>
      </c>
      <c r="AK241" t="str">
        <v/>
      </c>
    </row>
    <row r="242">
      <c r="A242">
        <v>241</v>
      </c>
      <c r="B242" t="str">
        <v>MASS BSF</v>
      </c>
      <c r="C242" t="str">
        <v>F8R-810</v>
      </c>
      <c r="D242" t="str">
        <v>F8R-810</v>
      </c>
      <c r="E242" t="str">
        <v>867806078868827</v>
      </c>
      <c r="F242" t="str">
        <v>TBD</v>
      </c>
      <c r="G242" t="str">
        <v/>
      </c>
      <c r="H242" t="str">
        <v/>
      </c>
      <c r="I242" t="str">
        <v>17/09/2026</v>
      </c>
      <c r="J242" t="str">
        <v>08:29:41</v>
      </c>
      <c r="K242">
        <v>-12.32289</v>
      </c>
      <c r="L242">
        <v>-76.82686</v>
      </c>
      <c r="M242">
        <f>HYPERLINK("https://www.google.com/maps/search/?api=1&amp;query=-12.32289,-76.82686","Carretera Panamericana Sur, Punta Hermosa, Lima")</f>
      </c>
      <c r="N242" t="str">
        <v>Aceleración brusca</v>
      </c>
      <c r="O242">
        <v>688.9</v>
      </c>
      <c r="P242" t="str">
        <v/>
      </c>
      <c r="Q242">
        <v>74.4</v>
      </c>
      <c r="R242">
        <v>26.53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>
        <v>87</v>
      </c>
      <c r="AA242" t="str">
        <v>17/09/2026</v>
      </c>
      <c r="AB242" t="str">
        <v>08:29:40</v>
      </c>
      <c r="AC242">
        <f>IF("ONLINE"="NOGPS","GPS Antiguo","En línea")</f>
      </c>
      <c r="AD242">
        <f>IF(0=0,"Sin atender", IF(0=1,"Atendida","Atendida y Reportada"))</f>
      </c>
      <c r="AE242" t="str">
        <v/>
      </c>
      <c r="AF242" t="str">
        <v/>
      </c>
      <c r="AG242" t="str">
        <v/>
      </c>
      <c r="AH242" t="str">
        <v/>
      </c>
      <c r="AI242" t="str">
        <v>17/09/2026 08:29:59</v>
      </c>
      <c r="AJ242" t="str">
        <v>08:29:59</v>
      </c>
      <c r="AK242" t="str">
        <v/>
      </c>
    </row>
    <row r="243">
      <c r="A243">
        <v>242</v>
      </c>
      <c r="B243" t="str">
        <v>MASS BSF</v>
      </c>
      <c r="C243" t="str">
        <v>F8R-810</v>
      </c>
      <c r="D243" t="str">
        <v>F8R-810</v>
      </c>
      <c r="E243" t="str">
        <v>867806078868827</v>
      </c>
      <c r="F243" t="str">
        <v>TBD</v>
      </c>
      <c r="G243" t="str">
        <v/>
      </c>
      <c r="H243" t="str">
        <v/>
      </c>
      <c r="I243" t="str">
        <v>17/09/2026</v>
      </c>
      <c r="J243" t="str">
        <v>08:30:10</v>
      </c>
      <c r="K243">
        <v>-12.318758</v>
      </c>
      <c r="L243">
        <v>-76.82953</v>
      </c>
      <c r="M243">
        <f>HYPERLINK("https://www.google.com/maps/search/?api=1&amp;query=-12.318758,-76.82953","Carretera Panamericana Sur, Punta Hermosa, Lima")</f>
      </c>
      <c r="N243" t="str">
        <v>Bache</v>
      </c>
      <c r="O243">
        <v>689.4</v>
      </c>
      <c r="P243" t="str">
        <v/>
      </c>
      <c r="Q243">
        <v>46.8</v>
      </c>
      <c r="R243">
        <v>26.53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>
        <v>87</v>
      </c>
      <c r="AA243" t="str">
        <v>17/09/2026</v>
      </c>
      <c r="AB243" t="str">
        <v>08:30:09</v>
      </c>
      <c r="AC243">
        <f>IF("ONLINE"="NOGPS","GPS Antiguo","En línea")</f>
      </c>
      <c r="AD243">
        <f>IF(0=0,"Sin atender", IF(0=1,"Atendida","Atendida y Reportada"))</f>
      </c>
      <c r="AE243" t="str">
        <v/>
      </c>
      <c r="AF243" t="str">
        <v/>
      </c>
      <c r="AG243" t="str">
        <v/>
      </c>
      <c r="AH243" t="str">
        <v/>
      </c>
      <c r="AI243" t="str">
        <v>17/09/2026 08:30:25</v>
      </c>
      <c r="AJ243" t="str">
        <v>08:30:25</v>
      </c>
      <c r="AK243" t="str">
        <v/>
      </c>
    </row>
    <row r="244">
      <c r="A244">
        <v>243</v>
      </c>
      <c r="B244" t="str">
        <v>MASS BSF</v>
      </c>
      <c r="C244" t="str">
        <v>F8R-810</v>
      </c>
      <c r="D244" t="str">
        <v>F8R-810</v>
      </c>
      <c r="E244" t="str">
        <v>867806078868827</v>
      </c>
      <c r="F244" t="str">
        <v>TBD</v>
      </c>
      <c r="G244" t="str">
        <v/>
      </c>
      <c r="H244" t="str">
        <v/>
      </c>
      <c r="I244" t="str">
        <v>17/09/2026</v>
      </c>
      <c r="J244" t="str">
        <v>08:31:03</v>
      </c>
      <c r="K244">
        <v>-12.317375</v>
      </c>
      <c r="L244">
        <v>-76.829285</v>
      </c>
      <c r="M244">
        <f>HYPERLINK("https://www.google.com/maps/search/?api=1&amp;query=-12.317375,-76.829285","Punta Hermosa, Lima")</f>
      </c>
      <c r="N244" t="str">
        <v>Acelerado y giro brusco</v>
      </c>
      <c r="O244">
        <v>689.6</v>
      </c>
      <c r="P244" t="str">
        <v/>
      </c>
      <c r="Q244">
        <v>12.4</v>
      </c>
      <c r="R244">
        <v>26.53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>
        <v>86</v>
      </c>
      <c r="AA244" t="str">
        <v>17/09/2026</v>
      </c>
      <c r="AB244" t="str">
        <v>08:31:01</v>
      </c>
      <c r="AC244">
        <f>IF("ONLINE"="NOGPS","GPS Antiguo","En línea")</f>
      </c>
      <c r="AD244">
        <f>IF(0=0,"Sin atender", IF(0=1,"Atendida","Atendida y Reportada"))</f>
      </c>
      <c r="AE244" t="str">
        <v/>
      </c>
      <c r="AF244" t="str">
        <v/>
      </c>
      <c r="AG244" t="str">
        <v/>
      </c>
      <c r="AH244" t="str">
        <v/>
      </c>
      <c r="AI244" t="str">
        <v>17/09/2026 08:31:16</v>
      </c>
      <c r="AJ244" t="str">
        <v>08:31:16</v>
      </c>
      <c r="AK244" t="str">
        <v/>
      </c>
    </row>
    <row r="245">
      <c r="A245">
        <v>244</v>
      </c>
      <c r="B245" t="str">
        <v>MASS BSF</v>
      </c>
      <c r="C245" t="str">
        <v>F8R-810</v>
      </c>
      <c r="D245" t="str">
        <v>F8R-810</v>
      </c>
      <c r="E245" t="str">
        <v>867806078868827</v>
      </c>
      <c r="F245" t="str">
        <v>TBD</v>
      </c>
      <c r="G245" t="str">
        <v/>
      </c>
      <c r="H245" t="str">
        <v/>
      </c>
      <c r="I245" t="str">
        <v>17/09/2026</v>
      </c>
      <c r="J245" t="str">
        <v>08:31:07</v>
      </c>
      <c r="K245">
        <v>-12.317284</v>
      </c>
      <c r="L245">
        <v>-76.82915</v>
      </c>
      <c r="M245">
        <f>HYPERLINK("https://www.google.com/maps/search/?api=1&amp;query=-12.317284,-76.82915","Punta Hermosa, Lima")</f>
      </c>
      <c r="N245" t="str">
        <v>Acelerado y giro brusco</v>
      </c>
      <c r="O245">
        <v>689.6</v>
      </c>
      <c r="P245" t="str">
        <v/>
      </c>
      <c r="Q245">
        <v>13.1</v>
      </c>
      <c r="R245">
        <v>26.53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>
        <v>86</v>
      </c>
      <c r="AA245" t="str">
        <v>17/09/2026</v>
      </c>
      <c r="AB245" t="str">
        <v>08:31:06</v>
      </c>
      <c r="AC245">
        <f>IF("ONLINE"="NOGPS","GPS Antiguo","En línea")</f>
      </c>
      <c r="AD245">
        <f>IF(0=0,"Sin atender", IF(0=1,"Atendida","Atendida y Reportada"))</f>
      </c>
      <c r="AE245" t="str">
        <v/>
      </c>
      <c r="AF245" t="str">
        <v/>
      </c>
      <c r="AG245" t="str">
        <v/>
      </c>
      <c r="AH245" t="str">
        <v/>
      </c>
      <c r="AI245" t="str">
        <v>17/09/2026 08:31:15</v>
      </c>
      <c r="AJ245" t="str">
        <v>08:31:15</v>
      </c>
      <c r="AK245" t="str">
        <v/>
      </c>
    </row>
    <row r="246">
      <c r="A246">
        <v>245</v>
      </c>
      <c r="B246" t="str">
        <v>MASS BSF</v>
      </c>
      <c r="C246" t="str">
        <v>F8R-810</v>
      </c>
      <c r="D246" t="str">
        <v>F8R-810</v>
      </c>
      <c r="E246" t="str">
        <v>867806078868827</v>
      </c>
      <c r="F246" t="str">
        <v>TBD</v>
      </c>
      <c r="G246" t="str">
        <v/>
      </c>
      <c r="H246" t="str">
        <v/>
      </c>
      <c r="I246" t="str">
        <v>17/09/2026</v>
      </c>
      <c r="J246" t="str">
        <v>08:31:17</v>
      </c>
      <c r="K246">
        <v>-12.317083</v>
      </c>
      <c r="L246">
        <v>-76.82887</v>
      </c>
      <c r="M246">
        <f>HYPERLINK("https://www.google.com/maps/search/?api=1&amp;query=-12.317083,-76.82887","Punta Hermosa, Lima")</f>
      </c>
      <c r="N246" t="str">
        <v>Acelerado y giro brusco</v>
      </c>
      <c r="O246">
        <v>689.7</v>
      </c>
      <c r="P246" t="str">
        <v/>
      </c>
      <c r="Q246">
        <v>12.7</v>
      </c>
      <c r="R246">
        <v>26.53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>
        <v>86</v>
      </c>
      <c r="AA246" t="str">
        <v>17/09/2026</v>
      </c>
      <c r="AB246" t="str">
        <v>08:31:15</v>
      </c>
      <c r="AC246">
        <f>IF("ONLINE"="NOGPS","GPS Antiguo","En línea")</f>
      </c>
      <c r="AD246">
        <f>IF(0=0,"Sin atender", IF(0=1,"Atendida","Atendida y Reportada"))</f>
      </c>
      <c r="AE246" t="str">
        <v/>
      </c>
      <c r="AF246" t="str">
        <v/>
      </c>
      <c r="AG246" t="str">
        <v/>
      </c>
      <c r="AH246" t="str">
        <v/>
      </c>
      <c r="AI246" t="str">
        <v>17/09/2026 08:31:30</v>
      </c>
      <c r="AJ246" t="str">
        <v>08:31:30</v>
      </c>
      <c r="AK246" t="str">
        <v/>
      </c>
    </row>
    <row r="247">
      <c r="A247">
        <v>246</v>
      </c>
      <c r="B247" t="str">
        <v>MASS BSF</v>
      </c>
      <c r="C247" t="str">
        <v>F8R-810</v>
      </c>
      <c r="D247" t="str">
        <v>F8R-810</v>
      </c>
      <c r="E247" t="str">
        <v>867806078868827</v>
      </c>
      <c r="F247" t="str">
        <v>TBD</v>
      </c>
      <c r="G247" t="str">
        <v/>
      </c>
      <c r="H247" t="str">
        <v/>
      </c>
      <c r="I247" t="str">
        <v>17/09/2026</v>
      </c>
      <c r="J247" t="str">
        <v>08:31:41</v>
      </c>
      <c r="K247">
        <v>-12.316642</v>
      </c>
      <c r="L247">
        <v>-76.82814</v>
      </c>
      <c r="M247">
        <f>HYPERLINK("https://www.google.com/maps/search/?api=1&amp;query=-12.316642,-76.82814","Punta Hermosa, Lima")</f>
      </c>
      <c r="N247" t="str">
        <v>Acelerado y giro brusco</v>
      </c>
      <c r="O247">
        <v>689.7</v>
      </c>
      <c r="P247" t="str">
        <v/>
      </c>
      <c r="Q247">
        <v>16.6</v>
      </c>
      <c r="R247">
        <v>26.53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>
        <v>86</v>
      </c>
      <c r="AA247" t="str">
        <v>17/09/2026</v>
      </c>
      <c r="AB247" t="str">
        <v>08:31:40</v>
      </c>
      <c r="AC247">
        <f>IF("ONLINE"="NOGPS","GPS Antiguo","En línea")</f>
      </c>
      <c r="AD247">
        <f>IF(0=0,"Sin atender", IF(0=1,"Atendida","Atendida y Reportada"))</f>
      </c>
      <c r="AE247" t="str">
        <v/>
      </c>
      <c r="AF247" t="str">
        <v/>
      </c>
      <c r="AG247" t="str">
        <v/>
      </c>
      <c r="AH247" t="str">
        <v/>
      </c>
      <c r="AI247" t="str">
        <v>17/09/2026 08:31:56</v>
      </c>
      <c r="AJ247" t="str">
        <v>08:31:56</v>
      </c>
      <c r="AK247" t="str">
        <v/>
      </c>
    </row>
    <row r="248">
      <c r="A248">
        <v>247</v>
      </c>
      <c r="B248" t="str">
        <v>MASS BSF</v>
      </c>
      <c r="C248" t="str">
        <v>F8R-810</v>
      </c>
      <c r="D248" t="str">
        <v>F8R-810</v>
      </c>
      <c r="E248" t="str">
        <v>867806078868827</v>
      </c>
      <c r="F248" t="str">
        <v>TBD</v>
      </c>
      <c r="G248" t="str">
        <v/>
      </c>
      <c r="H248" t="str">
        <v/>
      </c>
      <c r="I248" t="str">
        <v>17/09/2026</v>
      </c>
      <c r="J248" t="str">
        <v>08:31:56</v>
      </c>
      <c r="K248">
        <v>-12.316274</v>
      </c>
      <c r="L248">
        <v>-76.82752</v>
      </c>
      <c r="M248">
        <f>HYPERLINK("https://www.google.com/maps/search/?api=1&amp;query=-12.316274,-76.82752","Punta Hermosa, Lima")</f>
      </c>
      <c r="N248" t="str">
        <v>Acelerado y giro brusco</v>
      </c>
      <c r="O248">
        <v>689.8</v>
      </c>
      <c r="P248" t="str">
        <v/>
      </c>
      <c r="Q248">
        <v>16.1</v>
      </c>
      <c r="R248">
        <v>26.53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>
        <v>86</v>
      </c>
      <c r="AA248" t="str">
        <v>17/09/2026</v>
      </c>
      <c r="AB248" t="str">
        <v>08:31:55</v>
      </c>
      <c r="AC248">
        <f>IF("ONLINE"="NOGPS","GPS Antiguo","En línea")</f>
      </c>
      <c r="AD248">
        <f>IF(0=0,"Sin atender", IF(0=1,"Atendida","Atendida y Reportada"))</f>
      </c>
      <c r="AE248" t="str">
        <v/>
      </c>
      <c r="AF248" t="str">
        <v/>
      </c>
      <c r="AG248" t="str">
        <v/>
      </c>
      <c r="AH248" t="str">
        <v/>
      </c>
      <c r="AI248" t="str">
        <v>17/09/2026 08:32:07</v>
      </c>
      <c r="AJ248" t="str">
        <v>08:32:07</v>
      </c>
      <c r="AK248" t="str">
        <v/>
      </c>
    </row>
    <row r="249">
      <c r="A249">
        <v>248</v>
      </c>
      <c r="B249" t="str">
        <v>MASS BSF</v>
      </c>
      <c r="C249" t="str">
        <v>F8R-810</v>
      </c>
      <c r="D249" t="str">
        <v>F8R-810</v>
      </c>
      <c r="E249" t="str">
        <v>867806078868827</v>
      </c>
      <c r="F249" t="str">
        <v>TBD</v>
      </c>
      <c r="G249" t="str">
        <v/>
      </c>
      <c r="H249" t="str">
        <v/>
      </c>
      <c r="I249" t="str">
        <v>17/09/2026</v>
      </c>
      <c r="J249" t="str">
        <v>08:32:08</v>
      </c>
      <c r="K249">
        <v>-12.316118</v>
      </c>
      <c r="L249">
        <v>-76.82711</v>
      </c>
      <c r="M249">
        <f>HYPERLINK("https://www.google.com/maps/search/?api=1&amp;query=-12.316118,-76.82711","Punta Hermosa, Lima")</f>
      </c>
      <c r="N249" t="str">
        <v>Aceleración brusca</v>
      </c>
      <c r="O249">
        <v>689.9</v>
      </c>
      <c r="P249" t="str">
        <v/>
      </c>
      <c r="Q249">
        <v>14.4</v>
      </c>
      <c r="R249">
        <v>26.53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>
        <v>86</v>
      </c>
      <c r="AA249" t="str">
        <v>17/09/2026</v>
      </c>
      <c r="AB249" t="str">
        <v>08:32:07</v>
      </c>
      <c r="AC249">
        <f>IF("ONLINE"="NOGPS","GPS Antiguo","En línea")</f>
      </c>
      <c r="AD249">
        <f>IF(0=0,"Sin atender", IF(0=1,"Atendida","Atendida y Reportada"))</f>
      </c>
      <c r="AE249" t="str">
        <v/>
      </c>
      <c r="AF249" t="str">
        <v/>
      </c>
      <c r="AG249" t="str">
        <v/>
      </c>
      <c r="AH249" t="str">
        <v/>
      </c>
      <c r="AI249" t="str">
        <v>17/09/2026 08:32:21</v>
      </c>
      <c r="AJ249" t="str">
        <v>08:32:21</v>
      </c>
      <c r="AK249" t="str">
        <v/>
      </c>
    </row>
    <row r="250">
      <c r="A250">
        <v>249</v>
      </c>
      <c r="B250" t="str">
        <v>MASS BSF</v>
      </c>
      <c r="C250" t="str">
        <v>F8R-810</v>
      </c>
      <c r="D250" t="str">
        <v>F8R-810</v>
      </c>
      <c r="E250" t="str">
        <v>867806078868827</v>
      </c>
      <c r="F250" t="str">
        <v>TBD</v>
      </c>
      <c r="G250" t="str">
        <v/>
      </c>
      <c r="H250" t="str">
        <v/>
      </c>
      <c r="I250" t="str">
        <v>17/09/2026</v>
      </c>
      <c r="J250" t="str">
        <v>08:32:50</v>
      </c>
      <c r="K250">
        <v>-12.317112</v>
      </c>
      <c r="L250">
        <v>-76.82576</v>
      </c>
      <c r="M250">
        <f>HYPERLINK("https://www.google.com/maps/search/?api=1&amp;query=-12.317112,-76.82576","Punta Hermosa, Lima")</f>
      </c>
      <c r="N250" t="str">
        <v>Aceleración brusca</v>
      </c>
      <c r="O250">
        <v>690.1</v>
      </c>
      <c r="P250" t="str">
        <v/>
      </c>
      <c r="Q250">
        <v>19.4</v>
      </c>
      <c r="R250">
        <v>26.53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>
        <v>85</v>
      </c>
      <c r="AA250" t="str">
        <v>17/09/2026</v>
      </c>
      <c r="AB250" t="str">
        <v>08:32:49</v>
      </c>
      <c r="AC250">
        <f>IF("ONLINE"="NOGPS","GPS Antiguo","En línea")</f>
      </c>
      <c r="AD250">
        <f>IF(0=0,"Sin atender", IF(0=1,"Atendida","Atendida y Reportada"))</f>
      </c>
      <c r="AE250" t="str">
        <v/>
      </c>
      <c r="AF250" t="str">
        <v/>
      </c>
      <c r="AG250" t="str">
        <v/>
      </c>
      <c r="AH250" t="str">
        <v/>
      </c>
      <c r="AI250" t="str">
        <v>17/09/2026 08:33:05</v>
      </c>
      <c r="AJ250" t="str">
        <v>08:33:05</v>
      </c>
      <c r="AK250" t="str">
        <v/>
      </c>
    </row>
    <row r="251">
      <c r="A251">
        <v>250</v>
      </c>
      <c r="B251" t="str">
        <v>MASS BSF</v>
      </c>
      <c r="C251" t="str">
        <v>F8R-810</v>
      </c>
      <c r="D251" t="str">
        <v>F8R-810</v>
      </c>
      <c r="E251" t="str">
        <v>867806078868827</v>
      </c>
      <c r="F251" t="str">
        <v>TBD</v>
      </c>
      <c r="G251" t="str">
        <v/>
      </c>
      <c r="H251" t="str">
        <v/>
      </c>
      <c r="I251" t="str">
        <v>17/09/2026</v>
      </c>
      <c r="J251" t="str">
        <v>08:32:57</v>
      </c>
      <c r="K251">
        <v>-12.316927</v>
      </c>
      <c r="L251">
        <v>-76.825455</v>
      </c>
      <c r="M251">
        <f>HYPERLINK("https://www.google.com/maps/search/?api=1&amp;query=-12.316927,-76.825455","Punta Hermosa, Lima")</f>
      </c>
      <c r="N251" t="str">
        <v>Bache</v>
      </c>
      <c r="O251">
        <v>690.1</v>
      </c>
      <c r="P251" t="str">
        <v/>
      </c>
      <c r="Q251">
        <v>18.1</v>
      </c>
      <c r="R251">
        <v>26.53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>
        <v>85</v>
      </c>
      <c r="AA251" t="str">
        <v>17/09/2026</v>
      </c>
      <c r="AB251" t="str">
        <v>08:32:56</v>
      </c>
      <c r="AC251">
        <f>IF("ONLINE"="NOGPS","GPS Antiguo","En línea")</f>
      </c>
      <c r="AD251">
        <f>IF(0=0,"Sin atender", IF(0=1,"Atendida","Atendida y Reportada"))</f>
      </c>
      <c r="AE251" t="str">
        <v/>
      </c>
      <c r="AF251" t="str">
        <v/>
      </c>
      <c r="AG251" t="str">
        <v/>
      </c>
      <c r="AH251" t="str">
        <v/>
      </c>
      <c r="AI251" t="str">
        <v>17/09/2026 08:33:07</v>
      </c>
      <c r="AJ251" t="str">
        <v>08:33:07</v>
      </c>
      <c r="AK251" t="str">
        <v/>
      </c>
    </row>
    <row r="252">
      <c r="A252">
        <v>251</v>
      </c>
      <c r="B252" t="str">
        <v>MASS BSF</v>
      </c>
      <c r="C252" t="str">
        <v>F8R-810</v>
      </c>
      <c r="D252" t="str">
        <v>F8R-810</v>
      </c>
      <c r="E252" t="str">
        <v>867806078868827</v>
      </c>
      <c r="F252" t="str">
        <v>TBD</v>
      </c>
      <c r="G252" t="str">
        <v/>
      </c>
      <c r="H252" t="str">
        <v/>
      </c>
      <c r="I252" t="str">
        <v>17/09/2026</v>
      </c>
      <c r="J252" t="str">
        <v>08:33:01</v>
      </c>
      <c r="K252">
        <v>-12.316833</v>
      </c>
      <c r="L252">
        <v>-76.82531</v>
      </c>
      <c r="M252">
        <f>HYPERLINK("https://www.google.com/maps/search/?api=1&amp;query=-12.316833,-76.82531","Punta Hermosa, Lima")</f>
      </c>
      <c r="N252" t="str">
        <v>Acelerado y giro brusco</v>
      </c>
      <c r="O252">
        <v>690.1</v>
      </c>
      <c r="P252" t="str">
        <v/>
      </c>
      <c r="Q252">
        <v>17.9</v>
      </c>
      <c r="R252">
        <v>26.53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>
        <v>85</v>
      </c>
      <c r="AA252" t="str">
        <v>17/09/2026</v>
      </c>
      <c r="AB252" t="str">
        <v>08:33:00</v>
      </c>
      <c r="AC252">
        <f>IF("ONLINE"="NOGPS","GPS Antiguo","En línea")</f>
      </c>
      <c r="AD252">
        <f>IF(0=0,"Sin atender", IF(0=1,"Atendida","Atendida y Reportada"))</f>
      </c>
      <c r="AE252" t="str">
        <v/>
      </c>
      <c r="AF252" t="str">
        <v/>
      </c>
      <c r="AG252" t="str">
        <v/>
      </c>
      <c r="AH252" t="str">
        <v/>
      </c>
      <c r="AI252" t="str">
        <v>17/09/2026 08:33:18</v>
      </c>
      <c r="AJ252" t="str">
        <v>08:33:18</v>
      </c>
      <c r="AK252" t="str">
        <v/>
      </c>
    </row>
    <row r="253">
      <c r="A253">
        <v>252</v>
      </c>
      <c r="B253" t="str">
        <v>MASS BSF</v>
      </c>
      <c r="C253" t="str">
        <v>F8R-810</v>
      </c>
      <c r="D253" t="str">
        <v>F8R-810</v>
      </c>
      <c r="E253" t="str">
        <v>867806078868827</v>
      </c>
      <c r="F253" t="str">
        <v>TBD</v>
      </c>
      <c r="G253" t="str">
        <v/>
      </c>
      <c r="H253" t="str">
        <v/>
      </c>
      <c r="I253" t="str">
        <v>17/09/2026</v>
      </c>
      <c r="J253" t="str">
        <v>08:33:10</v>
      </c>
      <c r="K253">
        <v>-12.316749</v>
      </c>
      <c r="L253">
        <v>-76.825035</v>
      </c>
      <c r="M253">
        <f>HYPERLINK("https://www.google.com/maps/search/?api=1&amp;query=-12.316749,-76.825035","Punta Hermosa, Lima")</f>
      </c>
      <c r="N253" t="str">
        <v>Aceleración brusca</v>
      </c>
      <c r="O253">
        <v>690.2</v>
      </c>
      <c r="P253" t="str">
        <v/>
      </c>
      <c r="Q253">
        <v>17.4</v>
      </c>
      <c r="R253">
        <v>26.53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>
        <v>85</v>
      </c>
      <c r="AA253" t="str">
        <v>17/09/2026</v>
      </c>
      <c r="AB253" t="str">
        <v>08:33:08</v>
      </c>
      <c r="AC253">
        <f>IF("ONLINE"="NOGPS","GPS Antiguo","En línea")</f>
      </c>
      <c r="AD253">
        <f>IF(0=0,"Sin atender", IF(0=1,"Atendida","Atendida y Reportada"))</f>
      </c>
      <c r="AE253" t="str">
        <v/>
      </c>
      <c r="AF253" t="str">
        <v/>
      </c>
      <c r="AG253" t="str">
        <v/>
      </c>
      <c r="AH253" t="str">
        <v/>
      </c>
      <c r="AI253" t="str">
        <v>17/09/2026 08:33:29</v>
      </c>
      <c r="AJ253" t="str">
        <v>08:33:29</v>
      </c>
      <c r="AK253" t="str">
        <v/>
      </c>
    </row>
    <row r="254">
      <c r="A254">
        <v>253</v>
      </c>
      <c r="B254" t="str">
        <v>MASS BSF</v>
      </c>
      <c r="C254" t="str">
        <v>F8R-810</v>
      </c>
      <c r="D254" t="str">
        <v>F8R-810</v>
      </c>
      <c r="E254" t="str">
        <v>867806078868827</v>
      </c>
      <c r="F254" t="str">
        <v>TBD</v>
      </c>
      <c r="G254" t="str">
        <v/>
      </c>
      <c r="H254" t="str">
        <v/>
      </c>
      <c r="I254" t="str">
        <v>17/09/2026</v>
      </c>
      <c r="J254" t="str">
        <v>08:33:20</v>
      </c>
      <c r="K254">
        <v>-12.317212</v>
      </c>
      <c r="L254">
        <v>-76.8247</v>
      </c>
      <c r="M254">
        <f>HYPERLINK("https://www.google.com/maps/search/?api=1&amp;query=-12.317212,-76.8247","Punta Hermosa, Lima")</f>
      </c>
      <c r="N254" t="str">
        <v>Acelerado y giro brusco</v>
      </c>
      <c r="O254">
        <v>690.2</v>
      </c>
      <c r="P254" t="str">
        <v/>
      </c>
      <c r="Q254">
        <v>20.5</v>
      </c>
      <c r="R254">
        <v>26.53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>
        <v>85</v>
      </c>
      <c r="AA254" t="str">
        <v>17/09/2026</v>
      </c>
      <c r="AB254" t="str">
        <v>08:33:19</v>
      </c>
      <c r="AC254">
        <f>IF("ONLINE"="NOGPS","GPS Antiguo","En línea")</f>
      </c>
      <c r="AD254">
        <f>IF(0=0,"Sin atender", IF(0=1,"Atendida","Atendida y Reportada"))</f>
      </c>
      <c r="AE254" t="str">
        <v/>
      </c>
      <c r="AF254" t="str">
        <v/>
      </c>
      <c r="AG254" t="str">
        <v/>
      </c>
      <c r="AH254" t="str">
        <v/>
      </c>
      <c r="AI254" t="str">
        <v>17/09/2026 08:33:36</v>
      </c>
      <c r="AJ254" t="str">
        <v>08:33:36</v>
      </c>
      <c r="AK254" t="str">
        <v/>
      </c>
    </row>
    <row r="255">
      <c r="A255">
        <v>254</v>
      </c>
      <c r="B255" t="str">
        <v>MASS BSF</v>
      </c>
      <c r="C255" t="str">
        <v>F8R-810</v>
      </c>
      <c r="D255" t="str">
        <v>F8R-810</v>
      </c>
      <c r="E255" t="str">
        <v>867806078868827</v>
      </c>
      <c r="F255" t="str">
        <v>TBD</v>
      </c>
      <c r="G255" t="str">
        <v/>
      </c>
      <c r="H255" t="str">
        <v/>
      </c>
      <c r="I255" t="str">
        <v>17/09/2026</v>
      </c>
      <c r="J255" t="str">
        <v>08:34:43</v>
      </c>
      <c r="K255">
        <v>-12.318401</v>
      </c>
      <c r="L255">
        <v>-76.82356</v>
      </c>
      <c r="M255">
        <f>HYPERLINK("https://www.google.com/maps/search/?api=1&amp;query=-12.318401,-76.82356","Punta Hermosa, Lima")</f>
      </c>
      <c r="N255" t="str">
        <v>Acelerado y giro brusco</v>
      </c>
      <c r="O255">
        <v>690.4</v>
      </c>
      <c r="P255" t="str">
        <v/>
      </c>
      <c r="Q255">
        <v>7.7</v>
      </c>
      <c r="R255">
        <v>26.53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>
        <v>85</v>
      </c>
      <c r="AA255" t="str">
        <v>17/09/2026</v>
      </c>
      <c r="AB255" t="str">
        <v>08:34:42</v>
      </c>
      <c r="AC255">
        <f>IF("ONLINE"="NOGPS","GPS Antiguo","En línea")</f>
      </c>
      <c r="AD255">
        <f>IF(0=0,"Sin atender", IF(0=1,"Atendida","Atendida y Reportada"))</f>
      </c>
      <c r="AE255" t="str">
        <v/>
      </c>
      <c r="AF255" t="str">
        <v/>
      </c>
      <c r="AG255" t="str">
        <v/>
      </c>
      <c r="AH255" t="str">
        <v/>
      </c>
      <c r="AI255" t="str">
        <v>17/09/2026 08:34:58</v>
      </c>
      <c r="AJ255" t="str">
        <v>08:34:58</v>
      </c>
      <c r="AK255" t="str">
        <v/>
      </c>
    </row>
    <row r="256">
      <c r="A256">
        <v>255</v>
      </c>
      <c r="B256" t="str">
        <v>MASS BSF</v>
      </c>
      <c r="C256" t="str">
        <v>F8R-810</v>
      </c>
      <c r="D256" t="str">
        <v>F8R-810</v>
      </c>
      <c r="E256" t="str">
        <v>867806078868827</v>
      </c>
      <c r="F256" t="str">
        <v>TBD</v>
      </c>
      <c r="G256" t="str">
        <v/>
      </c>
      <c r="H256" t="str">
        <v/>
      </c>
      <c r="I256" t="str">
        <v>17/09/2026</v>
      </c>
      <c r="J256" t="str">
        <v>08:35:24</v>
      </c>
      <c r="K256">
        <v>-12.317335</v>
      </c>
      <c r="L256">
        <v>-76.82289</v>
      </c>
      <c r="M256">
        <f>HYPERLINK("https://www.google.com/maps/search/?api=1&amp;query=-12.317335,-76.82289","Punta Hermosa, Lima")</f>
      </c>
      <c r="N256" t="str">
        <v>Acelerado y giro brusco</v>
      </c>
      <c r="O256">
        <v>690.6</v>
      </c>
      <c r="P256" t="str">
        <v/>
      </c>
      <c r="Q256">
        <v>8.8</v>
      </c>
      <c r="R256">
        <v>26.53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>
        <v>87</v>
      </c>
      <c r="AA256" t="str">
        <v>17/09/2026</v>
      </c>
      <c r="AB256" t="str">
        <v>08:35:23</v>
      </c>
      <c r="AC256">
        <f>IF("ONLINE"="NOGPS","GPS Antiguo","En línea")</f>
      </c>
      <c r="AD256">
        <f>IF(0=0,"Sin atender", IF(0=1,"Atendida","Atendida y Reportada"))</f>
      </c>
      <c r="AE256" t="str">
        <v/>
      </c>
      <c r="AF256" t="str">
        <v/>
      </c>
      <c r="AG256" t="str">
        <v/>
      </c>
      <c r="AH256" t="str">
        <v/>
      </c>
      <c r="AI256" t="str">
        <v>17/09/2026 08:35:40</v>
      </c>
      <c r="AJ256" t="str">
        <v>08:35:40</v>
      </c>
      <c r="AK256" t="str">
        <v/>
      </c>
    </row>
    <row r="257">
      <c r="A257">
        <v>256</v>
      </c>
      <c r="B257" t="str">
        <v>MASS BSF</v>
      </c>
      <c r="C257" t="str">
        <v>F8R-810</v>
      </c>
      <c r="D257" t="str">
        <v>F8R-810</v>
      </c>
      <c r="E257" t="str">
        <v>867806078868827</v>
      </c>
      <c r="F257" t="str">
        <v>TBD</v>
      </c>
      <c r="G257" t="str">
        <v/>
      </c>
      <c r="H257" t="str">
        <v/>
      </c>
      <c r="I257" t="str">
        <v>17/09/2026</v>
      </c>
      <c r="J257" t="str">
        <v>08:35:55</v>
      </c>
      <c r="K257">
        <v>-12.317373</v>
      </c>
      <c r="L257">
        <v>-76.82288</v>
      </c>
      <c r="M257">
        <f>HYPERLINK("https://www.google.com/maps/search/?api=1&amp;query=-12.317373,-76.82288","Punta Hermosa, Lima")</f>
      </c>
      <c r="N257" t="str">
        <v>Vehículo apagado</v>
      </c>
      <c r="O257">
        <v>690.6</v>
      </c>
      <c r="P257" t="str">
        <v/>
      </c>
      <c r="Q257">
        <v>0</v>
      </c>
      <c r="R257">
        <v>26.73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>
        <v>87</v>
      </c>
      <c r="AA257" t="str">
        <v>17/09/2026</v>
      </c>
      <c r="AB257" t="str">
        <v>08:35:54</v>
      </c>
      <c r="AC257">
        <f>IF("ONLINE"="NOGPS","GPS Antiguo","En línea")</f>
      </c>
      <c r="AD257">
        <f>IF(0=0,"Sin atender", IF(0=1,"Atendida","Atendida y Reportada"))</f>
      </c>
      <c r="AE257" t="str">
        <v/>
      </c>
      <c r="AF257" t="str">
        <v/>
      </c>
      <c r="AG257" t="str">
        <v/>
      </c>
      <c r="AH257" t="str">
        <v/>
      </c>
      <c r="AI257" t="str">
        <v>17/09/2026 08:36:25</v>
      </c>
      <c r="AJ257" t="str">
        <v>08:36:25</v>
      </c>
      <c r="AK257" t="str">
        <v/>
      </c>
    </row>
    <row r="258">
      <c r="A258">
        <v>257</v>
      </c>
      <c r="B258" t="str">
        <v>MASS BSF</v>
      </c>
      <c r="C258" t="str">
        <v>F8R-810</v>
      </c>
      <c r="D258" t="str">
        <v>F8R-810</v>
      </c>
      <c r="E258" t="str">
        <v>867806078868827</v>
      </c>
      <c r="F258" t="str">
        <v>TBD</v>
      </c>
      <c r="G258" t="str">
        <v/>
      </c>
      <c r="H258" t="str">
        <v/>
      </c>
      <c r="I258" t="str">
        <v>17/09/2026</v>
      </c>
      <c r="J258" t="str">
        <v>08:43:57</v>
      </c>
      <c r="K258">
        <v>-12.317373</v>
      </c>
      <c r="L258">
        <v>-76.82288</v>
      </c>
      <c r="M258">
        <f>HYPERLINK("https://www.google.com/maps/search/?api=1&amp;query=-12.317373,-76.82288","Punta Hermosa, Lima")</f>
      </c>
      <c r="N258" t="str">
        <v>Vehículo encendido</v>
      </c>
      <c r="O258">
        <v>690.6</v>
      </c>
      <c r="P258" t="str">
        <v/>
      </c>
      <c r="Q258">
        <v>0</v>
      </c>
      <c r="R258">
        <v>26.73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>
        <v>85</v>
      </c>
      <c r="AA258" t="str">
        <v>17/09/2026</v>
      </c>
      <c r="AB258" t="str">
        <v>08:43:56</v>
      </c>
      <c r="AC258">
        <f>IF("ONLINE"="NOGPS","GPS Antiguo","En línea")</f>
      </c>
      <c r="AD258">
        <f>IF(0=0,"Sin atender", IF(0=1,"Atendida","Atendida y Reportada"))</f>
      </c>
      <c r="AE258" t="str">
        <v/>
      </c>
      <c r="AF258" t="str">
        <v/>
      </c>
      <c r="AG258" t="str">
        <v/>
      </c>
      <c r="AH258" t="str">
        <v/>
      </c>
      <c r="AI258" t="str">
        <v>17/09/2026 08:44:29</v>
      </c>
      <c r="AJ258" t="str">
        <v>08:44:29</v>
      </c>
      <c r="AK258" t="str">
        <v/>
      </c>
    </row>
    <row r="259">
      <c r="A259">
        <v>258</v>
      </c>
      <c r="B259" t="str">
        <v>MASS BSF</v>
      </c>
      <c r="C259" t="str">
        <v>F8R-810</v>
      </c>
      <c r="D259" t="str">
        <v>F8R-810</v>
      </c>
      <c r="E259" t="str">
        <v>867806078868827</v>
      </c>
      <c r="F259" t="str">
        <v>TBD</v>
      </c>
      <c r="G259" t="str">
        <v/>
      </c>
      <c r="H259" t="str">
        <v/>
      </c>
      <c r="I259" t="str">
        <v>17/09/2026</v>
      </c>
      <c r="J259" t="str">
        <v>08:44:14</v>
      </c>
      <c r="K259">
        <v>-12.317318</v>
      </c>
      <c r="L259">
        <v>-76.82286</v>
      </c>
      <c r="M259">
        <f>HYPERLINK("https://www.google.com/maps/search/?api=1&amp;query=-12.317318,-76.82286","Punta Hermosa, Lima")</f>
      </c>
      <c r="N259" t="str">
        <v>Acelerado y giro brusco</v>
      </c>
      <c r="O259">
        <v>690.6</v>
      </c>
      <c r="P259" t="str">
        <v/>
      </c>
      <c r="Q259">
        <v>7.5</v>
      </c>
      <c r="R259">
        <v>26.73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>
        <v>87</v>
      </c>
      <c r="AA259" t="str">
        <v>17/09/2026</v>
      </c>
      <c r="AB259" t="str">
        <v>08:44:12</v>
      </c>
      <c r="AC259">
        <f>IF("ONLINE"="NOGPS","GPS Antiguo","En línea")</f>
      </c>
      <c r="AD259">
        <f>IF(0=0,"Sin atender", IF(0=1,"Atendida","Atendida y Reportada"))</f>
      </c>
      <c r="AE259" t="str">
        <v/>
      </c>
      <c r="AF259" t="str">
        <v/>
      </c>
      <c r="AG259" t="str">
        <v/>
      </c>
      <c r="AH259" t="str">
        <v/>
      </c>
      <c r="AI259" t="str">
        <v>17/09/2026 08:44:26</v>
      </c>
      <c r="AJ259" t="str">
        <v>08:44:26</v>
      </c>
      <c r="AK259" t="str">
        <v/>
      </c>
    </row>
    <row r="260">
      <c r="A260">
        <v>259</v>
      </c>
      <c r="B260" t="str">
        <v>MASS BSF</v>
      </c>
      <c r="C260" t="str">
        <v>F8R-810</v>
      </c>
      <c r="D260" t="str">
        <v>F8R-810</v>
      </c>
      <c r="E260" t="str">
        <v>867806078868827</v>
      </c>
      <c r="F260" t="str">
        <v>TBD</v>
      </c>
      <c r="G260" t="str">
        <v/>
      </c>
      <c r="H260" t="str">
        <v/>
      </c>
      <c r="I260" t="str">
        <v>17/09/2026</v>
      </c>
      <c r="J260" t="str">
        <v>08:44:25</v>
      </c>
      <c r="K260">
        <v>-12.317222</v>
      </c>
      <c r="L260">
        <v>-76.82297</v>
      </c>
      <c r="M260">
        <f>HYPERLINK("https://www.google.com/maps/search/?api=1&amp;query=-12.317222,-76.82297","Punta Hermosa, Lima")</f>
      </c>
      <c r="N260" t="str">
        <v>Se movio</v>
      </c>
      <c r="O260">
        <v>690.6</v>
      </c>
      <c r="P260" t="str">
        <v/>
      </c>
      <c r="Q260">
        <v>9.6</v>
      </c>
      <c r="R260">
        <v>26.73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>
        <v>85</v>
      </c>
      <c r="AA260" t="str">
        <v>17/09/2026</v>
      </c>
      <c r="AB260" t="str">
        <v>08:44:24</v>
      </c>
      <c r="AC260">
        <f>IF("ONLINE"="NOGPS","GPS Antiguo","En línea")</f>
      </c>
      <c r="AD260">
        <f>IF(0=0,"Sin atender", IF(0=1,"Atendida","Atendida y Reportada"))</f>
      </c>
      <c r="AE260" t="str">
        <v/>
      </c>
      <c r="AF260" t="str">
        <v/>
      </c>
      <c r="AG260" t="str">
        <v/>
      </c>
      <c r="AH260" t="str">
        <v/>
      </c>
      <c r="AI260" t="str">
        <v>17/09/2026 08:44:51</v>
      </c>
      <c r="AJ260" t="str">
        <v>08:44:51</v>
      </c>
      <c r="AK260" t="str">
        <v/>
      </c>
    </row>
    <row r="261">
      <c r="A261">
        <v>260</v>
      </c>
      <c r="B261" t="str">
        <v>MASS BSF</v>
      </c>
      <c r="C261" t="str">
        <v>F8R-810</v>
      </c>
      <c r="D261" t="str">
        <v>F8R-810</v>
      </c>
      <c r="E261" t="str">
        <v>867806078868827</v>
      </c>
      <c r="F261" t="str">
        <v>TBD</v>
      </c>
      <c r="G261" t="str">
        <v/>
      </c>
      <c r="H261" t="str">
        <v/>
      </c>
      <c r="I261" t="str">
        <v>17/09/2026</v>
      </c>
      <c r="J261" t="str">
        <v>08:44:47</v>
      </c>
      <c r="K261">
        <v>-12.317525</v>
      </c>
      <c r="L261">
        <v>-76.822845</v>
      </c>
      <c r="M261">
        <f>HYPERLINK("https://www.google.com/maps/search/?api=1&amp;query=-12.317525,-76.822845","Punta Hermosa, Lima")</f>
      </c>
      <c r="N261" t="str">
        <v>Acelerado y giro brusco</v>
      </c>
      <c r="O261">
        <v>690.7</v>
      </c>
      <c r="P261" t="str">
        <v/>
      </c>
      <c r="Q261">
        <v>10.5</v>
      </c>
      <c r="R261">
        <v>26.73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>
        <v>87</v>
      </c>
      <c r="AA261" t="str">
        <v>17/09/2026</v>
      </c>
      <c r="AB261" t="str">
        <v>08:44:46</v>
      </c>
      <c r="AC261">
        <f>IF("ONLINE"="NOGPS","GPS Antiguo","En línea")</f>
      </c>
      <c r="AD261">
        <f>IF(0=0,"Sin atender", IF(0=1,"Atendida","Atendida y Reportada"))</f>
      </c>
      <c r="AE261" t="str">
        <v/>
      </c>
      <c r="AF261" t="str">
        <v/>
      </c>
      <c r="AG261" t="str">
        <v/>
      </c>
      <c r="AH261" t="str">
        <v/>
      </c>
      <c r="AI261" t="str">
        <v>17/09/2026 08:45:02</v>
      </c>
      <c r="AJ261" t="str">
        <v>08:45:02</v>
      </c>
      <c r="AK261" t="str">
        <v/>
      </c>
    </row>
    <row r="262">
      <c r="A262">
        <v>261</v>
      </c>
      <c r="B262" t="str">
        <v>MASS BSF</v>
      </c>
      <c r="C262" t="str">
        <v>F8R-810</v>
      </c>
      <c r="D262" t="str">
        <v>F8R-810</v>
      </c>
      <c r="E262" t="str">
        <v>867806078868827</v>
      </c>
      <c r="F262" t="str">
        <v>TBD</v>
      </c>
      <c r="G262" t="str">
        <v/>
      </c>
      <c r="H262" t="str">
        <v/>
      </c>
      <c r="I262" t="str">
        <v>17/09/2026</v>
      </c>
      <c r="J262" t="str">
        <v>08:44:56</v>
      </c>
      <c r="K262">
        <v>-12.317741</v>
      </c>
      <c r="L262">
        <v>-76.822876</v>
      </c>
      <c r="M262">
        <f>HYPERLINK("https://www.google.com/maps/search/?api=1&amp;query=-12.317741,-76.822876","Punta Hermosa, Lima")</f>
      </c>
      <c r="N262" t="str">
        <v>Acelerado y giro brusco</v>
      </c>
      <c r="O262">
        <v>690.7</v>
      </c>
      <c r="P262" t="str">
        <v/>
      </c>
      <c r="Q262">
        <v>9.4</v>
      </c>
      <c r="R262">
        <v>26.73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>
        <v>87</v>
      </c>
      <c r="AA262" t="str">
        <v>17/09/2026</v>
      </c>
      <c r="AB262" t="str">
        <v>08:44:54</v>
      </c>
      <c r="AC262">
        <f>IF("ONLINE"="NOGPS","GPS Antiguo","En línea")</f>
      </c>
      <c r="AD262">
        <f>IF(0=0,"Sin atender", IF(0=1,"Atendida","Atendida y Reportada"))</f>
      </c>
      <c r="AE262" t="str">
        <v/>
      </c>
      <c r="AF262" t="str">
        <v/>
      </c>
      <c r="AG262" t="str">
        <v/>
      </c>
      <c r="AH262" t="str">
        <v/>
      </c>
      <c r="AI262" t="str">
        <v>17/09/2026 08:45:35</v>
      </c>
      <c r="AJ262" t="str">
        <v>08:45:35</v>
      </c>
      <c r="AK262" t="str">
        <v/>
      </c>
    </row>
    <row r="263">
      <c r="A263">
        <v>262</v>
      </c>
      <c r="B263" t="str">
        <v>MASS BSF</v>
      </c>
      <c r="C263" t="str">
        <v>F8R-810</v>
      </c>
      <c r="D263" t="str">
        <v>F8R-810</v>
      </c>
      <c r="E263" t="str">
        <v>867806078868827</v>
      </c>
      <c r="F263" t="str">
        <v>TBD</v>
      </c>
      <c r="G263" t="str">
        <v/>
      </c>
      <c r="H263" t="str">
        <v/>
      </c>
      <c r="I263" t="str">
        <v>17/09/2026</v>
      </c>
      <c r="J263" t="str">
        <v>08:45:13</v>
      </c>
      <c r="K263">
        <v>-12.318167</v>
      </c>
      <c r="L263">
        <v>-76.823135</v>
      </c>
      <c r="M263">
        <f>HYPERLINK("https://www.google.com/maps/search/?api=1&amp;query=-12.318167,-76.823135","Punta Hermosa, Lima")</f>
      </c>
      <c r="N263" t="str">
        <v>Acelerado y giro brusco</v>
      </c>
      <c r="O263">
        <v>690.8</v>
      </c>
      <c r="P263" t="str">
        <v/>
      </c>
      <c r="Q263">
        <v>10.5</v>
      </c>
      <c r="R263">
        <v>26.73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>
        <v>87</v>
      </c>
      <c r="AA263" t="str">
        <v>17/09/2026</v>
      </c>
      <c r="AB263" t="str">
        <v>08:45:12</v>
      </c>
      <c r="AC263">
        <f>IF("ONLINE"="NOGPS","GPS Antiguo","En línea")</f>
      </c>
      <c r="AD263">
        <f>IF(0=0,"Sin atender", IF(0=1,"Atendida","Atendida y Reportada"))</f>
      </c>
      <c r="AE263" t="str">
        <v/>
      </c>
      <c r="AF263" t="str">
        <v/>
      </c>
      <c r="AG263" t="str">
        <v/>
      </c>
      <c r="AH263" t="str">
        <v/>
      </c>
      <c r="AI263" t="str">
        <v>17/09/2026 08:45:24</v>
      </c>
      <c r="AJ263" t="str">
        <v>08:45:24</v>
      </c>
      <c r="AK263" t="str">
        <v/>
      </c>
    </row>
    <row r="264">
      <c r="A264">
        <v>263</v>
      </c>
      <c r="B264" t="str">
        <v>MASS BSF</v>
      </c>
      <c r="C264" t="str">
        <v>F8R-810</v>
      </c>
      <c r="D264" t="str">
        <v>F8R-810</v>
      </c>
      <c r="E264" t="str">
        <v>867806078868827</v>
      </c>
      <c r="F264" t="str">
        <v>TBD</v>
      </c>
      <c r="G264" t="str">
        <v/>
      </c>
      <c r="H264" t="str">
        <v/>
      </c>
      <c r="I264" t="str">
        <v>17/09/2026</v>
      </c>
      <c r="J264" t="str">
        <v>08:45:44</v>
      </c>
      <c r="K264">
        <v>-12.31837</v>
      </c>
      <c r="L264">
        <v>-76.82394</v>
      </c>
      <c r="M264">
        <f>HYPERLINK("https://www.google.com/maps/search/?api=1&amp;query=-12.31837,-76.82394","Punta Hermosa, Lima")</f>
      </c>
      <c r="N264" t="str">
        <v>Acelerado y giro brusco</v>
      </c>
      <c r="O264">
        <v>690.9</v>
      </c>
      <c r="P264" t="str">
        <v/>
      </c>
      <c r="Q264">
        <v>12.4</v>
      </c>
      <c r="R264">
        <v>26.73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>
        <v>88</v>
      </c>
      <c r="AA264" t="str">
        <v>17/09/2026</v>
      </c>
      <c r="AB264" t="str">
        <v>08:45:42</v>
      </c>
      <c r="AC264">
        <f>IF("ONLINE"="NOGPS","GPS Antiguo","En línea")</f>
      </c>
      <c r="AD264">
        <f>IF(0=0,"Sin atender", IF(0=1,"Atendida","Atendida y Reportada"))</f>
      </c>
      <c r="AE264" t="str">
        <v/>
      </c>
      <c r="AF264" t="str">
        <v/>
      </c>
      <c r="AG264" t="str">
        <v/>
      </c>
      <c r="AH264" t="str">
        <v/>
      </c>
      <c r="AI264" t="str">
        <v>17/09/2026 08:45:53</v>
      </c>
      <c r="AJ264" t="str">
        <v>08:45:53</v>
      </c>
      <c r="AK264" t="str">
        <v/>
      </c>
    </row>
    <row r="265">
      <c r="A265">
        <v>264</v>
      </c>
      <c r="B265" t="str">
        <v>MASS BSF</v>
      </c>
      <c r="C265" t="str">
        <v>F8R-810</v>
      </c>
      <c r="D265" t="str">
        <v>F8R-810</v>
      </c>
      <c r="E265" t="str">
        <v>867806078868827</v>
      </c>
      <c r="F265" t="str">
        <v>TBD</v>
      </c>
      <c r="G265" t="str">
        <v/>
      </c>
      <c r="H265" t="str">
        <v/>
      </c>
      <c r="I265" t="str">
        <v>17/09/2026</v>
      </c>
      <c r="J265" t="str">
        <v>08:47:18</v>
      </c>
      <c r="K265">
        <v>-12.31767</v>
      </c>
      <c r="L265">
        <v>-76.8243</v>
      </c>
      <c r="M265">
        <f>HYPERLINK("https://www.google.com/maps/search/?api=1&amp;query=-12.31767,-76.8243","Punta Hermosa, Lima")</f>
      </c>
      <c r="N265" t="str">
        <v>Vehículo apagado</v>
      </c>
      <c r="O265">
        <v>691</v>
      </c>
      <c r="P265" t="str">
        <v/>
      </c>
      <c r="Q265">
        <v>0</v>
      </c>
      <c r="R265">
        <v>26.78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>
        <v>88</v>
      </c>
      <c r="AA265" t="str">
        <v>17/09/2026</v>
      </c>
      <c r="AB265" t="str">
        <v>08:47:17</v>
      </c>
      <c r="AC265">
        <f>IF("ONLINE"="NOGPS","GPS Antiguo","En línea")</f>
      </c>
      <c r="AD265">
        <f>IF(0=0,"Sin atender", IF(0=1,"Atendida","Atendida y Reportada"))</f>
      </c>
      <c r="AE265" t="str">
        <v/>
      </c>
      <c r="AF265" t="str">
        <v/>
      </c>
      <c r="AG265" t="str">
        <v/>
      </c>
      <c r="AH265" t="str">
        <v/>
      </c>
      <c r="AI265" t="str">
        <v>17/09/2026 08:47:34</v>
      </c>
      <c r="AJ265" t="str">
        <v>08:47:34</v>
      </c>
      <c r="AK265" t="str">
        <v/>
      </c>
    </row>
    <row r="266">
      <c r="A266">
        <v>265</v>
      </c>
      <c r="B266" t="str">
        <v>MASS BSF</v>
      </c>
      <c r="C266" t="str">
        <v>F8R-810</v>
      </c>
      <c r="D266" t="str">
        <v>F8R-810</v>
      </c>
      <c r="E266" t="str">
        <v>867806078868827</v>
      </c>
      <c r="F266" t="str">
        <v>TBD</v>
      </c>
      <c r="G266" t="str">
        <v/>
      </c>
      <c r="H266" t="str">
        <v/>
      </c>
      <c r="I266" t="str">
        <v>17/09/2026</v>
      </c>
      <c r="J266" t="str">
        <v>08:50:36</v>
      </c>
      <c r="K266">
        <v>-12.31767</v>
      </c>
      <c r="L266">
        <v>-76.8243</v>
      </c>
      <c r="M266">
        <f>HYPERLINK("https://www.google.com/maps/search/?api=1&amp;query=-12.31767,-76.8243","Punta Hermosa, Lima")</f>
      </c>
      <c r="N266" t="str">
        <v>Inicio de ralentí</v>
      </c>
      <c r="O266">
        <v>691</v>
      </c>
      <c r="P266" t="str">
        <v/>
      </c>
      <c r="Q266">
        <v>0</v>
      </c>
      <c r="R266">
        <v>26.78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>
        <v>88</v>
      </c>
      <c r="AA266" t="str">
        <v>17/09/2026</v>
      </c>
      <c r="AB266" t="str">
        <v>08:50:34</v>
      </c>
      <c r="AC266">
        <f>IF("ONLINE"="NOGPS","GPS Antiguo","En línea")</f>
      </c>
      <c r="AD266">
        <f>IF(0=0,"Sin atender", IF(0=1,"Atendida","Atendida y Reportada"))</f>
      </c>
      <c r="AE266" t="str">
        <v/>
      </c>
      <c r="AF266" t="str">
        <v/>
      </c>
      <c r="AG266" t="str">
        <v/>
      </c>
      <c r="AH266" t="str">
        <v/>
      </c>
      <c r="AI266" t="str">
        <v>17/09/2026 08:50:39</v>
      </c>
      <c r="AJ266" t="str">
        <v>08:50:39</v>
      </c>
      <c r="AK266" t="str">
        <v/>
      </c>
    </row>
    <row r="267">
      <c r="A267">
        <v>266</v>
      </c>
      <c r="B267" t="str">
        <v>MASS BSF</v>
      </c>
      <c r="C267" t="str">
        <v>F8R-810</v>
      </c>
      <c r="D267" t="str">
        <v>F8R-810</v>
      </c>
      <c r="E267" t="str">
        <v>867806078868827</v>
      </c>
      <c r="F267" t="str">
        <v>TBD</v>
      </c>
      <c r="G267" t="str">
        <v/>
      </c>
      <c r="H267" t="str">
        <v/>
      </c>
      <c r="I267" t="str">
        <v>17/09/2026</v>
      </c>
      <c r="J267" t="str">
        <v>09:06:07</v>
      </c>
      <c r="K267">
        <v>-12.31767</v>
      </c>
      <c r="L267">
        <v>-76.8243</v>
      </c>
      <c r="M267">
        <f>HYPERLINK("https://www.google.com/maps/search/?api=1&amp;query=-12.31767,-76.8243","Punta Hermosa, Lima")</f>
      </c>
      <c r="N267" t="str">
        <v>Vehículo encendido</v>
      </c>
      <c r="O267">
        <v>691</v>
      </c>
      <c r="P267" t="str">
        <v/>
      </c>
      <c r="Q267">
        <v>0</v>
      </c>
      <c r="R267">
        <v>26.78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>
        <v>83</v>
      </c>
      <c r="AA267" t="str">
        <v>17/09/2026</v>
      </c>
      <c r="AB267" t="str">
        <v>09:06:06</v>
      </c>
      <c r="AC267">
        <f>IF("ONLINE"="NOGPS","GPS Antiguo","En línea")</f>
      </c>
      <c r="AD267">
        <f>IF(0=0,"Sin atender", IF(0=1,"Atendida","Atendida y Reportada"))</f>
      </c>
      <c r="AE267" t="str">
        <v/>
      </c>
      <c r="AF267" t="str">
        <v/>
      </c>
      <c r="AG267" t="str">
        <v/>
      </c>
      <c r="AH267" t="str">
        <v/>
      </c>
      <c r="AI267" t="str">
        <v>17/09/2026 09:06:26</v>
      </c>
      <c r="AJ267" t="str">
        <v>09:06:26</v>
      </c>
      <c r="AK267" t="str">
        <v/>
      </c>
    </row>
    <row r="268">
      <c r="A268">
        <v>267</v>
      </c>
      <c r="B268" t="str">
        <v>MASS BSF</v>
      </c>
      <c r="C268" t="str">
        <v>F8R-810</v>
      </c>
      <c r="D268" t="str">
        <v>F8R-810</v>
      </c>
      <c r="E268" t="str">
        <v>867806078868827</v>
      </c>
      <c r="F268" t="str">
        <v>TBD</v>
      </c>
      <c r="G268" t="str">
        <v/>
      </c>
      <c r="H268" t="str">
        <v/>
      </c>
      <c r="I268" t="str">
        <v>17/09/2026</v>
      </c>
      <c r="J268" t="str">
        <v>09:06:14</v>
      </c>
      <c r="K268">
        <v>-12.31767</v>
      </c>
      <c r="L268">
        <v>-76.8243</v>
      </c>
      <c r="M268">
        <f>HYPERLINK("https://www.google.com/maps/search/?api=1&amp;query=-12.31767,-76.8243","Punta Hermosa, Lima")</f>
      </c>
      <c r="N268" t="str">
        <v>Se movio</v>
      </c>
      <c r="O268">
        <v>691</v>
      </c>
      <c r="P268" t="str">
        <v/>
      </c>
      <c r="Q268">
        <v>0</v>
      </c>
      <c r="R268">
        <v>26.78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>
        <v>83</v>
      </c>
      <c r="AA268" t="str">
        <v>17/09/2026</v>
      </c>
      <c r="AB268" t="str">
        <v>09:06:12</v>
      </c>
      <c r="AC268">
        <f>IF("ONLINE"="NOGPS","GPS Antiguo","En línea")</f>
      </c>
      <c r="AD268">
        <f>IF(0=0,"Sin atender", IF(0=1,"Atendida","Atendida y Reportada"))</f>
      </c>
      <c r="AE268" t="str">
        <v/>
      </c>
      <c r="AF268" t="str">
        <v/>
      </c>
      <c r="AG268" t="str">
        <v/>
      </c>
      <c r="AH268" t="str">
        <v/>
      </c>
      <c r="AI268" t="str">
        <v>17/09/2026 09:06:21</v>
      </c>
      <c r="AJ268" t="str">
        <v>09:06:21</v>
      </c>
      <c r="AK268" t="str">
        <v/>
      </c>
    </row>
    <row r="269">
      <c r="A269">
        <v>268</v>
      </c>
      <c r="B269" t="str">
        <v>MASS BSF</v>
      </c>
      <c r="C269" t="str">
        <v>F8R-810</v>
      </c>
      <c r="D269" t="str">
        <v>F8R-810</v>
      </c>
      <c r="E269" t="str">
        <v>867806078868827</v>
      </c>
      <c r="F269" t="str">
        <v>TBD</v>
      </c>
      <c r="G269" t="str">
        <v/>
      </c>
      <c r="H269" t="str">
        <v/>
      </c>
      <c r="I269" t="str">
        <v>17/09/2026</v>
      </c>
      <c r="J269" t="str">
        <v>09:08:12</v>
      </c>
      <c r="K269">
        <v>-12.31767</v>
      </c>
      <c r="L269">
        <v>-76.8243</v>
      </c>
      <c r="M269">
        <f>HYPERLINK("https://www.google.com/maps/search/?api=1&amp;query=-12.31767,-76.8243","Punta Hermosa, Lima")</f>
      </c>
      <c r="N269" t="str">
        <v>Vehículo apagado</v>
      </c>
      <c r="O269">
        <v>691</v>
      </c>
      <c r="P269" t="str">
        <v/>
      </c>
      <c r="Q269">
        <v>0</v>
      </c>
      <c r="R269">
        <v>26.82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>
        <v>85</v>
      </c>
      <c r="AA269" t="str">
        <v>17/09/2026</v>
      </c>
      <c r="AB269" t="str">
        <v>09:08:11</v>
      </c>
      <c r="AC269">
        <f>IF("ONLINE"="NOGPS","GPS Antiguo","En línea")</f>
      </c>
      <c r="AD269">
        <f>IF(0=0,"Sin atender", IF(0=1,"Atendida","Atendida y Reportada"))</f>
      </c>
      <c r="AE269" t="str">
        <v/>
      </c>
      <c r="AF269" t="str">
        <v/>
      </c>
      <c r="AG269" t="str">
        <v/>
      </c>
      <c r="AH269" t="str">
        <v/>
      </c>
      <c r="AI269" t="str">
        <v>17/09/2026 09:08:14</v>
      </c>
      <c r="AJ269" t="str">
        <v>09:08:14</v>
      </c>
      <c r="AK269" t="str">
        <v/>
      </c>
    </row>
    <row r="270">
      <c r="A270">
        <v>269</v>
      </c>
      <c r="B270" t="str">
        <v>MASS BSF</v>
      </c>
      <c r="C270" t="str">
        <v>F8R-810</v>
      </c>
      <c r="D270" t="str">
        <v>F8R-810</v>
      </c>
      <c r="E270" t="str">
        <v>867806078868827</v>
      </c>
      <c r="F270" t="str">
        <v>TBD</v>
      </c>
      <c r="G270" t="str">
        <v/>
      </c>
      <c r="H270" t="str">
        <v/>
      </c>
      <c r="I270" t="str">
        <v>17/09/2026</v>
      </c>
      <c r="J270" t="str">
        <v>09:08:12</v>
      </c>
      <c r="K270">
        <v>-12.31767</v>
      </c>
      <c r="L270">
        <v>-76.8243</v>
      </c>
      <c r="M270">
        <f>HYPERLINK("https://www.google.com/maps/search/?api=1&amp;query=-12.31767,-76.8243","Punta Hermosa, Lima")</f>
      </c>
      <c r="N270" t="str">
        <v>Fin de ralentí</v>
      </c>
      <c r="O270">
        <v>691</v>
      </c>
      <c r="P270" t="str">
        <v/>
      </c>
      <c r="Q270">
        <v>0</v>
      </c>
      <c r="R270">
        <v>26.78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>
        <v>85</v>
      </c>
      <c r="AA270" t="str">
        <v>17/09/2026</v>
      </c>
      <c r="AB270" t="str">
        <v>09:08:11</v>
      </c>
      <c r="AC270">
        <f>IF("ONLINE"="NOGPS","GPS Antiguo","En línea")</f>
      </c>
      <c r="AD270">
        <f>IF(0=0,"Sin atender", IF(0=1,"Atendida","Atendida y Reportada"))</f>
      </c>
      <c r="AE270" t="str">
        <v/>
      </c>
      <c r="AF270" t="str">
        <v/>
      </c>
      <c r="AG270" t="str">
        <v/>
      </c>
      <c r="AH270" t="str">
        <v/>
      </c>
      <c r="AI270" t="str">
        <v>17/09/2026 09:08:16</v>
      </c>
      <c r="AJ270" t="str">
        <v>09:08:16</v>
      </c>
      <c r="AK270" t="str">
        <v/>
      </c>
    </row>
    <row r="271">
      <c r="A271">
        <v>270</v>
      </c>
      <c r="B271" t="str">
        <v>MASS BSF</v>
      </c>
      <c r="C271" t="str">
        <v>F8R-810</v>
      </c>
      <c r="D271" t="str">
        <v>F8R-810</v>
      </c>
      <c r="E271" t="str">
        <v>867806078868827</v>
      </c>
      <c r="F271" t="str">
        <v>TBD</v>
      </c>
      <c r="G271" t="str">
        <v/>
      </c>
      <c r="H271" t="str">
        <v/>
      </c>
      <c r="I271" t="str">
        <v>17/09/2026</v>
      </c>
      <c r="J271" t="str">
        <v>10:01:47</v>
      </c>
      <c r="K271">
        <v>-12.317694</v>
      </c>
      <c r="L271">
        <v>-76.82442</v>
      </c>
      <c r="M271">
        <f>HYPERLINK("https://www.google.com/maps/search/?api=1&amp;query=-12.317694,-76.82442","Punta Hermosa, Lima")</f>
      </c>
      <c r="N271" t="str">
        <v>Vehículo encendido</v>
      </c>
      <c r="O271">
        <v>691</v>
      </c>
      <c r="P271" t="str">
        <v/>
      </c>
      <c r="Q271">
        <v>0</v>
      </c>
      <c r="R271">
        <v>26.82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>
        <v>82</v>
      </c>
      <c r="AA271" t="str">
        <v>17/09/2026</v>
      </c>
      <c r="AB271" t="str">
        <v>10:01:45</v>
      </c>
      <c r="AC271">
        <f>IF("ONLINE"="NOGPS","GPS Antiguo","En línea")</f>
      </c>
      <c r="AD271">
        <f>IF(0=0,"Sin atender", IF(0=1,"Atendida","Atendida y Reportada"))</f>
      </c>
      <c r="AE271" t="str">
        <v/>
      </c>
      <c r="AF271" t="str">
        <v/>
      </c>
      <c r="AG271" t="str">
        <v/>
      </c>
      <c r="AH271" t="str">
        <v/>
      </c>
      <c r="AI271" t="str">
        <v>17/09/2026 10:02:06</v>
      </c>
      <c r="AJ271" t="str">
        <v>10:02:06</v>
      </c>
      <c r="AK271" t="str">
        <v/>
      </c>
    </row>
    <row r="272">
      <c r="A272">
        <v>271</v>
      </c>
      <c r="B272" t="str">
        <v>MASS BSF</v>
      </c>
      <c r="C272" t="str">
        <v>F8R-810</v>
      </c>
      <c r="D272" t="str">
        <v>F8R-810</v>
      </c>
      <c r="E272" t="str">
        <v>867806078868827</v>
      </c>
      <c r="F272" t="str">
        <v>TBD</v>
      </c>
      <c r="G272" t="str">
        <v/>
      </c>
      <c r="H272" t="str">
        <v/>
      </c>
      <c r="I272" t="str">
        <v>17/09/2026</v>
      </c>
      <c r="J272" t="str">
        <v>10:01:54</v>
      </c>
      <c r="K272">
        <v>-12.317694</v>
      </c>
      <c r="L272">
        <v>-76.82442</v>
      </c>
      <c r="M272">
        <f>HYPERLINK("https://www.google.com/maps/search/?api=1&amp;query=-12.317694,-76.82442","Punta Hermosa, Lima")</f>
      </c>
      <c r="N272" t="str">
        <v>Acelerado y giro brusco</v>
      </c>
      <c r="O272">
        <v>691</v>
      </c>
      <c r="P272" t="str">
        <v/>
      </c>
      <c r="Q272">
        <v>0</v>
      </c>
      <c r="R272">
        <v>26.82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>
        <v>82</v>
      </c>
      <c r="AA272" t="str">
        <v>17/09/2026</v>
      </c>
      <c r="AB272" t="str">
        <v>10:01:52</v>
      </c>
      <c r="AC272">
        <f>IF("ONLINE"="NOGPS","GPS Antiguo","En línea")</f>
      </c>
      <c r="AD272">
        <f>IF(0=0,"Sin atender", IF(0=1,"Atendida","Atendida y Reportada"))</f>
      </c>
      <c r="AE272" t="str">
        <v/>
      </c>
      <c r="AF272" t="str">
        <v/>
      </c>
      <c r="AG272" t="str">
        <v/>
      </c>
      <c r="AH272" t="str">
        <v/>
      </c>
      <c r="AI272" t="str">
        <v>17/09/2026 10:02:23</v>
      </c>
      <c r="AJ272" t="str">
        <v>10:02:23</v>
      </c>
      <c r="AK272" t="str">
        <v/>
      </c>
    </row>
    <row r="273">
      <c r="A273">
        <v>272</v>
      </c>
      <c r="B273" t="str">
        <v>MASS BSF</v>
      </c>
      <c r="C273" t="str">
        <v>F8R-810</v>
      </c>
      <c r="D273" t="str">
        <v>F8R-810</v>
      </c>
      <c r="E273" t="str">
        <v>867806078868827</v>
      </c>
      <c r="F273" t="str">
        <v>TBD</v>
      </c>
      <c r="G273" t="str">
        <v/>
      </c>
      <c r="H273" t="str">
        <v/>
      </c>
      <c r="I273" t="str">
        <v>17/09/2026</v>
      </c>
      <c r="J273" t="str">
        <v>10:01:56</v>
      </c>
      <c r="K273">
        <v>-12.317694</v>
      </c>
      <c r="L273">
        <v>-76.82442</v>
      </c>
      <c r="M273">
        <f>HYPERLINK("https://www.google.com/maps/search/?api=1&amp;query=-12.317694,-76.82442","Punta Hermosa, Lima")</f>
      </c>
      <c r="N273" t="str">
        <v>Vehículo apagado</v>
      </c>
      <c r="O273">
        <v>691</v>
      </c>
      <c r="P273" t="str">
        <v/>
      </c>
      <c r="Q273">
        <v>0</v>
      </c>
      <c r="R273">
        <v>26.82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>
        <v>82</v>
      </c>
      <c r="AA273" t="str">
        <v>17/09/2026</v>
      </c>
      <c r="AB273" t="str">
        <v>10:01:54</v>
      </c>
      <c r="AC273">
        <f>IF("ONLINE"="NOGPS","GPS Antiguo","En línea")</f>
      </c>
      <c r="AD273">
        <f>IF(0=0,"Sin atender", IF(0=1,"Atendida","Atendida y Reportada"))</f>
      </c>
      <c r="AE273" t="str">
        <v/>
      </c>
      <c r="AF273" t="str">
        <v/>
      </c>
      <c r="AG273" t="str">
        <v/>
      </c>
      <c r="AH273" t="str">
        <v/>
      </c>
      <c r="AI273" t="str">
        <v>17/09/2026 10:02:07</v>
      </c>
      <c r="AJ273" t="str">
        <v>10:02:07</v>
      </c>
      <c r="AK273" t="str">
        <v/>
      </c>
    </row>
    <row r="274">
      <c r="A274">
        <v>273</v>
      </c>
      <c r="B274" t="str">
        <v>MASS BSF</v>
      </c>
      <c r="C274" t="str">
        <v>F8R-810</v>
      </c>
      <c r="D274" t="str">
        <v>F8R-810</v>
      </c>
      <c r="E274" t="str">
        <v>867806078868827</v>
      </c>
      <c r="F274" t="str">
        <v>TBD</v>
      </c>
      <c r="G274" t="str">
        <v/>
      </c>
      <c r="H274" t="str">
        <v/>
      </c>
      <c r="I274" t="str">
        <v>17/09/2026</v>
      </c>
      <c r="J274" t="str">
        <v>10:07:05</v>
      </c>
      <c r="K274">
        <v>-12.317694</v>
      </c>
      <c r="L274">
        <v>-76.82442</v>
      </c>
      <c r="M274">
        <f>HYPERLINK("https://www.google.com/maps/search/?api=1&amp;query=-12.317694,-76.82442","Punta Hermosa, Lima")</f>
      </c>
      <c r="N274" t="str">
        <v>Vehículo encendido</v>
      </c>
      <c r="O274">
        <v>691</v>
      </c>
      <c r="P274" t="str">
        <v/>
      </c>
      <c r="Q274">
        <v>0</v>
      </c>
      <c r="R274">
        <v>26.82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>
        <v>82</v>
      </c>
      <c r="AA274" t="str">
        <v>17/09/2026</v>
      </c>
      <c r="AB274" t="str">
        <v>10:07:03</v>
      </c>
      <c r="AC274">
        <f>IF("ONLINE"="NOGPS","GPS Antiguo","En línea")</f>
      </c>
      <c r="AD274">
        <f>IF(0=0,"Sin atender", IF(0=1,"Atendida","Atendida y Reportada"))</f>
      </c>
      <c r="AE274" t="str">
        <v/>
      </c>
      <c r="AF274" t="str">
        <v/>
      </c>
      <c r="AG274" t="str">
        <v/>
      </c>
      <c r="AH274" t="str">
        <v/>
      </c>
      <c r="AI274" t="str">
        <v>17/09/2026 10:07:29</v>
      </c>
      <c r="AJ274" t="str">
        <v>10:07:29</v>
      </c>
      <c r="AK274" t="str">
        <v/>
      </c>
    </row>
    <row r="275">
      <c r="A275">
        <v>274</v>
      </c>
      <c r="B275" t="str">
        <v>MASS BSF</v>
      </c>
      <c r="C275" t="str">
        <v>F8R-810</v>
      </c>
      <c r="D275" t="str">
        <v>F8R-810</v>
      </c>
      <c r="E275" t="str">
        <v>867806078868827</v>
      </c>
      <c r="F275" t="str">
        <v>TBD</v>
      </c>
      <c r="G275" t="str">
        <v/>
      </c>
      <c r="H275" t="str">
        <v/>
      </c>
      <c r="I275" t="str">
        <v>17/09/2026</v>
      </c>
      <c r="J275" t="str">
        <v>10:07:42</v>
      </c>
      <c r="K275">
        <v>-12.31772</v>
      </c>
      <c r="L275">
        <v>-76.8245</v>
      </c>
      <c r="M275">
        <f>HYPERLINK("https://www.google.com/maps/search/?api=1&amp;query=-12.31772,-76.8245","Punta Hermosa, Lima")</f>
      </c>
      <c r="N275" t="str">
        <v>Se movio</v>
      </c>
      <c r="O275">
        <v>691</v>
      </c>
      <c r="P275" t="str">
        <v/>
      </c>
      <c r="Q275">
        <v>8.3</v>
      </c>
      <c r="R275">
        <v>26.82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>
        <v>93</v>
      </c>
      <c r="AA275" t="str">
        <v>17/09/2026</v>
      </c>
      <c r="AB275" t="str">
        <v>10:07:40</v>
      </c>
      <c r="AC275">
        <f>IF("ONLINE"="NOGPS","GPS Antiguo","En línea")</f>
      </c>
      <c r="AD275">
        <f>IF(0=0,"Sin atender", IF(0=1,"Atendida","Atendida y Reportada"))</f>
      </c>
      <c r="AE275" t="str">
        <v/>
      </c>
      <c r="AF275" t="str">
        <v/>
      </c>
      <c r="AG275" t="str">
        <v/>
      </c>
      <c r="AH275" t="str">
        <v/>
      </c>
      <c r="AI275" t="str">
        <v>17/09/2026 10:07:56</v>
      </c>
      <c r="AJ275" t="str">
        <v>10:07:56</v>
      </c>
      <c r="AK275" t="str">
        <v/>
      </c>
    </row>
    <row r="276">
      <c r="A276">
        <v>275</v>
      </c>
      <c r="B276" t="str">
        <v>MASS BSF</v>
      </c>
      <c r="C276" t="str">
        <v>F8R-810</v>
      </c>
      <c r="D276" t="str">
        <v>F8R-810</v>
      </c>
      <c r="E276" t="str">
        <v>867806078868827</v>
      </c>
      <c r="F276" t="str">
        <v>TBD</v>
      </c>
      <c r="G276" t="str">
        <v/>
      </c>
      <c r="H276" t="str">
        <v/>
      </c>
      <c r="I276" t="str">
        <v>17/09/2026</v>
      </c>
      <c r="J276" t="str">
        <v>10:08:07</v>
      </c>
      <c r="K276">
        <v>-12.317152</v>
      </c>
      <c r="L276">
        <v>-76.82481</v>
      </c>
      <c r="M276">
        <f>HYPERLINK("https://www.google.com/maps/search/?api=1&amp;query=-12.317152,-76.82481","Punta Hermosa, Lima")</f>
      </c>
      <c r="N276" t="str">
        <v>Acelerado y giro brusco</v>
      </c>
      <c r="O276">
        <v>691.1</v>
      </c>
      <c r="P276" t="str">
        <v/>
      </c>
      <c r="Q276">
        <v>12.2</v>
      </c>
      <c r="R276">
        <v>26.82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>
        <v>93</v>
      </c>
      <c r="AA276" t="str">
        <v>17/09/2026</v>
      </c>
      <c r="AB276" t="str">
        <v>10:08:05</v>
      </c>
      <c r="AC276">
        <f>IF("ONLINE"="NOGPS","GPS Antiguo","En línea")</f>
      </c>
      <c r="AD276">
        <f>IF(0=0,"Sin atender", IF(0=1,"Atendida","Atendida y Reportada"))</f>
      </c>
      <c r="AE276" t="str">
        <v/>
      </c>
      <c r="AF276" t="str">
        <v/>
      </c>
      <c r="AG276" t="str">
        <v/>
      </c>
      <c r="AH276" t="str">
        <v/>
      </c>
      <c r="AI276" t="str">
        <v>17/09/2026 10:08:26</v>
      </c>
      <c r="AJ276" t="str">
        <v>10:08:26</v>
      </c>
      <c r="AK276" t="str">
        <v/>
      </c>
    </row>
    <row r="277">
      <c r="A277">
        <v>276</v>
      </c>
      <c r="B277" t="str">
        <v>MASS BSF</v>
      </c>
      <c r="C277" t="str">
        <v>F8R-810</v>
      </c>
      <c r="D277" t="str">
        <v>F8R-810</v>
      </c>
      <c r="E277" t="str">
        <v>867806078868827</v>
      </c>
      <c r="F277" t="str">
        <v>TBD</v>
      </c>
      <c r="G277" t="str">
        <v/>
      </c>
      <c r="H277" t="str">
        <v/>
      </c>
      <c r="I277" t="str">
        <v>17/09/2026</v>
      </c>
      <c r="J277" t="str">
        <v>10:09:16</v>
      </c>
      <c r="K277">
        <v>-12.315304</v>
      </c>
      <c r="L277">
        <v>-76.82597</v>
      </c>
      <c r="M277">
        <f>HYPERLINK("https://www.google.com/maps/search/?api=1&amp;query=-12.315304,-76.82597","Punta Hermosa, Lima")</f>
      </c>
      <c r="N277" t="str">
        <v>Acelerado y giro brusco</v>
      </c>
      <c r="O277">
        <v>691.3</v>
      </c>
      <c r="P277" t="str">
        <v/>
      </c>
      <c r="Q277">
        <v>10.9</v>
      </c>
      <c r="R277">
        <v>26.82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>
        <v>89</v>
      </c>
      <c r="AA277" t="str">
        <v>17/09/2026</v>
      </c>
      <c r="AB277" t="str">
        <v>10:09:14</v>
      </c>
      <c r="AC277">
        <f>IF("ONLINE"="NOGPS","GPS Antiguo","En línea")</f>
      </c>
      <c r="AD277">
        <f>IF(0=0,"Sin atender", IF(0=1,"Atendida","Atendida y Reportada"))</f>
      </c>
      <c r="AE277" t="str">
        <v/>
      </c>
      <c r="AF277" t="str">
        <v/>
      </c>
      <c r="AG277" t="str">
        <v/>
      </c>
      <c r="AH277" t="str">
        <v/>
      </c>
      <c r="AI277" t="str">
        <v>17/09/2026 10:10:02</v>
      </c>
      <c r="AJ277" t="str">
        <v>10:10:02</v>
      </c>
      <c r="AK277" t="str">
        <v/>
      </c>
    </row>
    <row r="278">
      <c r="A278">
        <v>277</v>
      </c>
      <c r="B278" t="str">
        <v>MASS BSF</v>
      </c>
      <c r="C278" t="str">
        <v>F8R-810</v>
      </c>
      <c r="D278" t="str">
        <v>F8R-810</v>
      </c>
      <c r="E278" t="str">
        <v>867806078868827</v>
      </c>
      <c r="F278" t="str">
        <v>TBD</v>
      </c>
      <c r="G278" t="str">
        <v/>
      </c>
      <c r="H278" t="str">
        <v/>
      </c>
      <c r="I278" t="str">
        <v>17/09/2026</v>
      </c>
      <c r="J278" t="str">
        <v>10:09:32</v>
      </c>
      <c r="K278">
        <v>-12.31547</v>
      </c>
      <c r="L278">
        <v>-76.82634</v>
      </c>
      <c r="M278">
        <f>HYPERLINK("https://www.google.com/maps/search/?api=1&amp;query=-12.31547,-76.82634","Punta Hermosa, Lima")</f>
      </c>
      <c r="N278" t="str">
        <v>Acelerado y giro brusco</v>
      </c>
      <c r="O278">
        <v>691.3</v>
      </c>
      <c r="P278" t="str">
        <v/>
      </c>
      <c r="Q278">
        <v>10.7</v>
      </c>
      <c r="R278">
        <v>26.82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>
        <v>89</v>
      </c>
      <c r="AA278" t="str">
        <v>17/09/2026</v>
      </c>
      <c r="AB278" t="str">
        <v>10:09:30</v>
      </c>
      <c r="AC278">
        <f>IF("ONLINE"="NOGPS","GPS Antiguo","En línea")</f>
      </c>
      <c r="AD278">
        <f>IF(0=0,"Sin atender", IF(0=1,"Atendida","Atendida y Reportada"))</f>
      </c>
      <c r="AE278" t="str">
        <v/>
      </c>
      <c r="AF278" t="str">
        <v/>
      </c>
      <c r="AG278" t="str">
        <v/>
      </c>
      <c r="AH278" t="str">
        <v/>
      </c>
      <c r="AI278" t="str">
        <v>17/09/2026 10:10:02</v>
      </c>
      <c r="AJ278" t="str">
        <v>10:10:02</v>
      </c>
      <c r="AK278" t="str">
        <v/>
      </c>
    </row>
    <row r="279">
      <c r="A279">
        <v>278</v>
      </c>
      <c r="B279" t="str">
        <v>MASS BSF</v>
      </c>
      <c r="C279" t="str">
        <v>F8R-810</v>
      </c>
      <c r="D279" t="str">
        <v>F8R-810</v>
      </c>
      <c r="E279" t="str">
        <v>867806078868827</v>
      </c>
      <c r="F279" t="str">
        <v>TBD</v>
      </c>
      <c r="G279" t="str">
        <v/>
      </c>
      <c r="H279" t="str">
        <v/>
      </c>
      <c r="I279" t="str">
        <v>17/09/2026</v>
      </c>
      <c r="J279" t="str">
        <v>10:09:47</v>
      </c>
      <c r="K279">
        <v>-12.315708</v>
      </c>
      <c r="L279">
        <v>-76.826675</v>
      </c>
      <c r="M279">
        <f>HYPERLINK("https://www.google.com/maps/search/?api=1&amp;query=-12.315708,-76.826675","Punta Hermosa, Lima")</f>
      </c>
      <c r="N279" t="str">
        <v>Acelerado y giro brusco</v>
      </c>
      <c r="O279">
        <v>691.4</v>
      </c>
      <c r="P279" t="str">
        <v/>
      </c>
      <c r="Q279">
        <v>8.7</v>
      </c>
      <c r="R279">
        <v>26.82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>
        <v>89</v>
      </c>
      <c r="AA279" t="str">
        <v>17/09/2026</v>
      </c>
      <c r="AB279" t="str">
        <v>10:09:45</v>
      </c>
      <c r="AC279">
        <f>IF("ONLINE"="NOGPS","GPS Antiguo","En línea")</f>
      </c>
      <c r="AD279">
        <f>IF(0=0,"Sin atender", IF(0=1,"Atendida","Atendida y Reportada"))</f>
      </c>
      <c r="AE279" t="str">
        <v/>
      </c>
      <c r="AF279" t="str">
        <v/>
      </c>
      <c r="AG279" t="str">
        <v/>
      </c>
      <c r="AH279" t="str">
        <v/>
      </c>
      <c r="AI279" t="str">
        <v>17/09/2026 10:10:02</v>
      </c>
      <c r="AJ279" t="str">
        <v>10:10:02</v>
      </c>
      <c r="AK279" t="str">
        <v/>
      </c>
    </row>
    <row r="280">
      <c r="A280">
        <v>279</v>
      </c>
      <c r="B280" t="str">
        <v>MASS BSF</v>
      </c>
      <c r="C280" t="str">
        <v>F8R-810</v>
      </c>
      <c r="D280" t="str">
        <v>F8R-810</v>
      </c>
      <c r="E280" t="str">
        <v>867806078868827</v>
      </c>
      <c r="F280" t="str">
        <v>TBD</v>
      </c>
      <c r="G280" t="str">
        <v/>
      </c>
      <c r="H280" t="str">
        <v/>
      </c>
      <c r="I280" t="str">
        <v>17/09/2026</v>
      </c>
      <c r="J280" t="str">
        <v>10:09:58</v>
      </c>
      <c r="K280">
        <v>-12.315848</v>
      </c>
      <c r="L280">
        <v>-76.82689</v>
      </c>
      <c r="M280">
        <f>HYPERLINK("https://www.google.com/maps/search/?api=1&amp;query=-12.315848,-76.82689","Punta Hermosa, Lima")</f>
      </c>
      <c r="N280" t="str">
        <v>Aceleración brusca</v>
      </c>
      <c r="O280">
        <v>691.4</v>
      </c>
      <c r="P280" t="str">
        <v/>
      </c>
      <c r="Q280">
        <v>8.7</v>
      </c>
      <c r="R280">
        <v>26.82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>
        <v>89</v>
      </c>
      <c r="AA280" t="str">
        <v>17/09/2026</v>
      </c>
      <c r="AB280" t="str">
        <v>10:09:56</v>
      </c>
      <c r="AC280">
        <f>IF("ONLINE"="NOGPS","GPS Antiguo","En línea")</f>
      </c>
      <c r="AD280">
        <f>IF(0=0,"Sin atender", IF(0=1,"Atendida","Atendida y Reportada"))</f>
      </c>
      <c r="AE280" t="str">
        <v/>
      </c>
      <c r="AF280" t="str">
        <v/>
      </c>
      <c r="AG280" t="str">
        <v/>
      </c>
      <c r="AH280" t="str">
        <v/>
      </c>
      <c r="AI280" t="str">
        <v>17/09/2026 10:10:25</v>
      </c>
      <c r="AJ280" t="str">
        <v>10:10:25</v>
      </c>
      <c r="AK280" t="str">
        <v/>
      </c>
    </row>
    <row r="281">
      <c r="A281">
        <v>280</v>
      </c>
      <c r="B281" t="str">
        <v>MASS BSF</v>
      </c>
      <c r="C281" t="str">
        <v>F8R-810</v>
      </c>
      <c r="D281" t="str">
        <v>F8R-810</v>
      </c>
      <c r="E281" t="str">
        <v>867806078868827</v>
      </c>
      <c r="F281" t="str">
        <v>TBD</v>
      </c>
      <c r="G281" t="str">
        <v/>
      </c>
      <c r="H281" t="str">
        <v/>
      </c>
      <c r="I281" t="str">
        <v>17/09/2026</v>
      </c>
      <c r="J281" t="str">
        <v>10:09:58</v>
      </c>
      <c r="K281">
        <v>-12.315848</v>
      </c>
      <c r="L281">
        <v>-76.82689</v>
      </c>
      <c r="M281">
        <f>HYPERLINK("https://www.google.com/maps/search/?api=1&amp;query=-12.315848,-76.82689","Punta Hermosa, Lima")</f>
      </c>
      <c r="N281" t="str">
        <v>Aceleración brusca</v>
      </c>
      <c r="O281">
        <v>691.4</v>
      </c>
      <c r="P281" t="str">
        <v/>
      </c>
      <c r="Q281">
        <v>8.7</v>
      </c>
      <c r="R281">
        <v>26.82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>
        <v>89</v>
      </c>
      <c r="AA281" t="str">
        <v>17/09/2026</v>
      </c>
      <c r="AB281" t="str">
        <v>10:09:56</v>
      </c>
      <c r="AC281">
        <f>IF("ONLINE"="NOGPS","GPS Antiguo","En línea")</f>
      </c>
      <c r="AD281">
        <f>IF(0=0,"Sin atender", IF(0=1,"Atendida","Atendida y Reportada"))</f>
      </c>
      <c r="AE281" t="str">
        <v/>
      </c>
      <c r="AF281" t="str">
        <v/>
      </c>
      <c r="AG281" t="str">
        <v/>
      </c>
      <c r="AH281" t="str">
        <v/>
      </c>
      <c r="AI281" t="str">
        <v>17/09/2026 10:10:15</v>
      </c>
      <c r="AJ281" t="str">
        <v>10:10:15</v>
      </c>
      <c r="AK281" t="str">
        <v/>
      </c>
    </row>
    <row r="282">
      <c r="A282">
        <v>281</v>
      </c>
      <c r="B282" t="str">
        <v>MASS BSF</v>
      </c>
      <c r="C282" t="str">
        <v>F8R-810</v>
      </c>
      <c r="D282" t="str">
        <v>F8R-810</v>
      </c>
      <c r="E282" t="str">
        <v>867806078868827</v>
      </c>
      <c r="F282" t="str">
        <v>TBD</v>
      </c>
      <c r="G282" t="str">
        <v/>
      </c>
      <c r="H282" t="str">
        <v/>
      </c>
      <c r="I282" t="str">
        <v>17/09/2026</v>
      </c>
      <c r="J282" t="str">
        <v>10:10:25</v>
      </c>
      <c r="K282">
        <v>-12.316258</v>
      </c>
      <c r="L282">
        <v>-76.82759</v>
      </c>
      <c r="M282">
        <f>HYPERLINK("https://www.google.com/maps/search/?api=1&amp;query=-12.316258,-76.82759","Punta Hermosa, Lima")</f>
      </c>
      <c r="N282" t="str">
        <v>Acelerado y giro brusco</v>
      </c>
      <c r="O282">
        <v>691.5</v>
      </c>
      <c r="P282" t="str">
        <v/>
      </c>
      <c r="Q282">
        <v>10.5</v>
      </c>
      <c r="R282">
        <v>26.82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>
        <v>89</v>
      </c>
      <c r="AA282" t="str">
        <v>17/09/2026</v>
      </c>
      <c r="AB282" t="str">
        <v>10:10:23</v>
      </c>
      <c r="AC282">
        <f>IF("ONLINE"="NOGPS","GPS Antiguo","En línea")</f>
      </c>
      <c r="AD282">
        <f>IF(0=0,"Sin atender", IF(0=1,"Atendida","Atendida y Reportada"))</f>
      </c>
      <c r="AE282" t="str">
        <v/>
      </c>
      <c r="AF282" t="str">
        <v/>
      </c>
      <c r="AG282" t="str">
        <v/>
      </c>
      <c r="AH282" t="str">
        <v/>
      </c>
      <c r="AI282" t="str">
        <v>17/09/2026 10:10:39</v>
      </c>
      <c r="AJ282" t="str">
        <v>10:10:39</v>
      </c>
      <c r="AK282" t="str">
        <v/>
      </c>
    </row>
    <row r="283">
      <c r="A283">
        <v>282</v>
      </c>
      <c r="B283" t="str">
        <v>MASS BSF</v>
      </c>
      <c r="C283" t="str">
        <v>F8R-810</v>
      </c>
      <c r="D283" t="str">
        <v>F8R-810</v>
      </c>
      <c r="E283" t="str">
        <v>867806078868827</v>
      </c>
      <c r="F283" t="str">
        <v>TBD</v>
      </c>
      <c r="G283" t="str">
        <v/>
      </c>
      <c r="H283" t="str">
        <v/>
      </c>
      <c r="I283" t="str">
        <v>17/09/2026</v>
      </c>
      <c r="J283" t="str">
        <v>10:10:33</v>
      </c>
      <c r="K283">
        <v>-12.316406</v>
      </c>
      <c r="L283">
        <v>-76.82782</v>
      </c>
      <c r="M283">
        <f>HYPERLINK("https://www.google.com/maps/search/?api=1&amp;query=-12.316406,-76.82782","Punta Hermosa, Lima")</f>
      </c>
      <c r="N283" t="str">
        <v>Acelerado y giro brusco</v>
      </c>
      <c r="O283">
        <v>691.5</v>
      </c>
      <c r="P283" t="str">
        <v/>
      </c>
      <c r="Q283">
        <v>9.4</v>
      </c>
      <c r="R283">
        <v>26.82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>
        <v>89</v>
      </c>
      <c r="AA283" t="str">
        <v>17/09/2026</v>
      </c>
      <c r="AB283" t="str">
        <v>10:10:32</v>
      </c>
      <c r="AC283">
        <f>IF("ONLINE"="NOGPS","GPS Antiguo","En línea")</f>
      </c>
      <c r="AD283">
        <f>IF(0=0,"Sin atender", IF(0=1,"Atendida","Atendida y Reportada"))</f>
      </c>
      <c r="AE283" t="str">
        <v/>
      </c>
      <c r="AF283" t="str">
        <v/>
      </c>
      <c r="AG283" t="str">
        <v/>
      </c>
      <c r="AH283" t="str">
        <v/>
      </c>
      <c r="AI283" t="str">
        <v>17/09/2026 10:10:39</v>
      </c>
      <c r="AJ283" t="str">
        <v>10:10:39</v>
      </c>
      <c r="AK283" t="str">
        <v/>
      </c>
    </row>
    <row r="284">
      <c r="A284">
        <v>283</v>
      </c>
      <c r="B284" t="str">
        <v>MASS BSF</v>
      </c>
      <c r="C284" t="str">
        <v>F8R-810</v>
      </c>
      <c r="D284" t="str">
        <v>F8R-810</v>
      </c>
      <c r="E284" t="str">
        <v>867806078868827</v>
      </c>
      <c r="F284" t="str">
        <v>TBD</v>
      </c>
      <c r="G284" t="str">
        <v/>
      </c>
      <c r="H284" t="str">
        <v/>
      </c>
      <c r="I284" t="str">
        <v>17/09/2026</v>
      </c>
      <c r="J284" t="str">
        <v>10:10:49</v>
      </c>
      <c r="K284">
        <v>-12.316591</v>
      </c>
      <c r="L284">
        <v>-76.82814</v>
      </c>
      <c r="M284">
        <f>HYPERLINK("https://www.google.com/maps/search/?api=1&amp;query=-12.316591,-76.82814","Punta Hermosa, Lima")</f>
      </c>
      <c r="N284" t="str">
        <v>Acelerado y giro brusco</v>
      </c>
      <c r="O284">
        <v>691.6</v>
      </c>
      <c r="P284" t="str">
        <v/>
      </c>
      <c r="Q284">
        <v>10.1</v>
      </c>
      <c r="R284">
        <v>26.82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>
        <v>89</v>
      </c>
      <c r="AA284" t="str">
        <v>17/09/2026</v>
      </c>
      <c r="AB284" t="str">
        <v>10:10:47</v>
      </c>
      <c r="AC284">
        <f>IF("ONLINE"="NOGPS","GPS Antiguo","En línea")</f>
      </c>
      <c r="AD284">
        <f>IF(0=0,"Sin atender", IF(0=1,"Atendida","Atendida y Reportada"))</f>
      </c>
      <c r="AE284" t="str">
        <v/>
      </c>
      <c r="AF284" t="str">
        <v/>
      </c>
      <c r="AG284" t="str">
        <v/>
      </c>
      <c r="AH284" t="str">
        <v/>
      </c>
      <c r="AI284" t="str">
        <v>17/09/2026 10:11:03</v>
      </c>
      <c r="AJ284" t="str">
        <v>10:11:03</v>
      </c>
      <c r="AK284" t="str">
        <v/>
      </c>
    </row>
    <row r="285">
      <c r="A285">
        <v>284</v>
      </c>
      <c r="B285" t="str">
        <v>MASS BSF</v>
      </c>
      <c r="C285" t="str">
        <v>F8R-810</v>
      </c>
      <c r="D285" t="str">
        <v>F8R-810</v>
      </c>
      <c r="E285" t="str">
        <v>867806078868827</v>
      </c>
      <c r="F285" t="str">
        <v>TBD</v>
      </c>
      <c r="G285" t="str">
        <v/>
      </c>
      <c r="H285" t="str">
        <v/>
      </c>
      <c r="I285" t="str">
        <v>17/09/2026</v>
      </c>
      <c r="J285" t="str">
        <v>10:11:04</v>
      </c>
      <c r="K285">
        <v>-12.316845</v>
      </c>
      <c r="L285">
        <v>-76.82856</v>
      </c>
      <c r="M285">
        <f>HYPERLINK("https://www.google.com/maps/search/?api=1&amp;query=-12.316845,-76.82856","Punta Hermosa, Lima")</f>
      </c>
      <c r="N285" t="str">
        <v>Aceleración brusca</v>
      </c>
      <c r="O285">
        <v>691.6</v>
      </c>
      <c r="P285" t="str">
        <v/>
      </c>
      <c r="Q285">
        <v>12.5</v>
      </c>
      <c r="R285">
        <v>26.82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>
        <v>89</v>
      </c>
      <c r="AA285" t="str">
        <v>17/09/2026</v>
      </c>
      <c r="AB285" t="str">
        <v>10:11:02</v>
      </c>
      <c r="AC285">
        <f>IF("ONLINE"="NOGPS","GPS Antiguo","En línea")</f>
      </c>
      <c r="AD285">
        <f>IF(0=0,"Sin atender", IF(0=1,"Atendida","Atendida y Reportada"))</f>
      </c>
      <c r="AE285" t="str">
        <v/>
      </c>
      <c r="AF285" t="str">
        <v/>
      </c>
      <c r="AG285" t="str">
        <v/>
      </c>
      <c r="AH285" t="str">
        <v/>
      </c>
      <c r="AI285" t="str">
        <v>17/09/2026 10:11:13</v>
      </c>
      <c r="AJ285" t="str">
        <v>10:11:13</v>
      </c>
      <c r="AK285" t="str">
        <v/>
      </c>
    </row>
    <row r="286">
      <c r="A286">
        <v>285</v>
      </c>
      <c r="B286" t="str">
        <v>MASS BSF</v>
      </c>
      <c r="C286" t="str">
        <v>F8R-810</v>
      </c>
      <c r="D286" t="str">
        <v>F8R-810</v>
      </c>
      <c r="E286" t="str">
        <v>867806078868827</v>
      </c>
      <c r="F286" t="str">
        <v>TBD</v>
      </c>
      <c r="G286" t="str">
        <v/>
      </c>
      <c r="H286" t="str">
        <v/>
      </c>
      <c r="I286" t="str">
        <v>17/09/2026</v>
      </c>
      <c r="J286" t="str">
        <v>10:11:26</v>
      </c>
      <c r="K286">
        <v>-12.317233</v>
      </c>
      <c r="L286">
        <v>-76.82916</v>
      </c>
      <c r="M286">
        <f>HYPERLINK("https://www.google.com/maps/search/?api=1&amp;query=-12.317233,-76.82916","Punta Hermosa, Lima")</f>
      </c>
      <c r="N286" t="str">
        <v>Acelerado y giro brusco</v>
      </c>
      <c r="O286">
        <v>691.7</v>
      </c>
      <c r="P286" t="str">
        <v/>
      </c>
      <c r="Q286">
        <v>11.8</v>
      </c>
      <c r="R286">
        <v>26.82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>
        <v>89</v>
      </c>
      <c r="AA286" t="str">
        <v>17/09/2026</v>
      </c>
      <c r="AB286" t="str">
        <v>10:11:24</v>
      </c>
      <c r="AC286">
        <f>IF("ONLINE"="NOGPS","GPS Antiguo","En línea")</f>
      </c>
      <c r="AD286">
        <f>IF(0=0,"Sin atender", IF(0=1,"Atendida","Atendida y Reportada"))</f>
      </c>
      <c r="AE286" t="str">
        <v/>
      </c>
      <c r="AF286" t="str">
        <v/>
      </c>
      <c r="AG286" t="str">
        <v/>
      </c>
      <c r="AH286" t="str">
        <v/>
      </c>
      <c r="AI286" t="str">
        <v>17/09/2026 10:11:48</v>
      </c>
      <c r="AJ286" t="str">
        <v>10:11:48</v>
      </c>
      <c r="AK286" t="str">
        <v/>
      </c>
    </row>
    <row r="287">
      <c r="A287">
        <v>286</v>
      </c>
      <c r="B287" t="str">
        <v>MASS BSF</v>
      </c>
      <c r="C287" t="str">
        <v>F8R-810</v>
      </c>
      <c r="D287" t="str">
        <v>F8R-810</v>
      </c>
      <c r="E287" t="str">
        <v>867806078868827</v>
      </c>
      <c r="F287" t="str">
        <v>TBD</v>
      </c>
      <c r="G287" t="str">
        <v/>
      </c>
      <c r="H287" t="str">
        <v/>
      </c>
      <c r="I287" t="str">
        <v>17/09/2026</v>
      </c>
      <c r="J287" t="str">
        <v>10:11:59</v>
      </c>
      <c r="K287">
        <v>-12.317513</v>
      </c>
      <c r="L287">
        <v>-76.829704</v>
      </c>
      <c r="M287">
        <f>HYPERLINK("https://www.google.com/maps/search/?api=1&amp;query=-12.317513,-76.829704","Punta Hermosa, Lima")</f>
      </c>
      <c r="N287" t="str">
        <v>Acelerado y giro brusco</v>
      </c>
      <c r="O287">
        <v>691.7</v>
      </c>
      <c r="P287" t="str">
        <v/>
      </c>
      <c r="Q287">
        <v>16.8</v>
      </c>
      <c r="R287">
        <v>26.82</v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>
        <v>89</v>
      </c>
      <c r="AA287" t="str">
        <v>17/09/2026</v>
      </c>
      <c r="AB287" t="str">
        <v>10:11:57</v>
      </c>
      <c r="AC287">
        <f>IF("ONLINE"="NOGPS","GPS Antiguo","En línea")</f>
      </c>
      <c r="AD287">
        <f>IF(0=0,"Sin atender", IF(0=1,"Atendida","Atendida y Reportada"))</f>
      </c>
      <c r="AE287" t="str">
        <v/>
      </c>
      <c r="AF287" t="str">
        <v/>
      </c>
      <c r="AG287" t="str">
        <v/>
      </c>
      <c r="AH287" t="str">
        <v/>
      </c>
      <c r="AI287" t="str">
        <v>17/09/2026 10:12:05</v>
      </c>
      <c r="AJ287" t="str">
        <v>10:12:05</v>
      </c>
      <c r="AK287" t="str">
        <v/>
      </c>
    </row>
    <row r="288">
      <c r="A288">
        <v>287</v>
      </c>
      <c r="B288" t="str">
        <v>MASS BSF</v>
      </c>
      <c r="C288" t="str">
        <v>F8R-810</v>
      </c>
      <c r="D288" t="str">
        <v>F8R-810</v>
      </c>
      <c r="E288" t="str">
        <v>867806078868827</v>
      </c>
      <c r="F288" t="str">
        <v>TBD</v>
      </c>
      <c r="G288" t="str">
        <v/>
      </c>
      <c r="H288" t="str">
        <v/>
      </c>
      <c r="I288" t="str">
        <v>17/09/2026</v>
      </c>
      <c r="J288" t="str">
        <v>10:12:12</v>
      </c>
      <c r="K288">
        <v>-12.317365</v>
      </c>
      <c r="L288">
        <v>-76.83035</v>
      </c>
      <c r="M288">
        <f>HYPERLINK("https://www.google.com/maps/search/?api=1&amp;query=-12.317365,-76.83035","Carretera Panamericana Sur, Punta Hermosa, Lima")</f>
      </c>
      <c r="N288" t="str">
        <v>Acelerado y giro brusco</v>
      </c>
      <c r="O288">
        <v>691.8</v>
      </c>
      <c r="P288" t="str">
        <v/>
      </c>
      <c r="Q288">
        <v>27</v>
      </c>
      <c r="R288">
        <v>26.82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>
        <v>89</v>
      </c>
      <c r="AA288" t="str">
        <v>17/09/2026</v>
      </c>
      <c r="AB288" t="str">
        <v>10:12:10</v>
      </c>
      <c r="AC288">
        <f>IF("ONLINE"="NOGPS","GPS Antiguo","En línea")</f>
      </c>
      <c r="AD288">
        <f>IF(0=0,"Sin atender", IF(0=1,"Atendida","Atendida y Reportada"))</f>
      </c>
      <c r="AE288" t="str">
        <v/>
      </c>
      <c r="AF288" t="str">
        <v/>
      </c>
      <c r="AG288" t="str">
        <v/>
      </c>
      <c r="AH288" t="str">
        <v/>
      </c>
      <c r="AI288" t="str">
        <v>17/09/2026 10:12:29</v>
      </c>
      <c r="AJ288" t="str">
        <v>10:12:29</v>
      </c>
      <c r="AK288" t="str">
        <v/>
      </c>
    </row>
    <row r="289">
      <c r="A289">
        <v>288</v>
      </c>
      <c r="B289" t="str">
        <v>MASS BSF</v>
      </c>
      <c r="C289" t="str">
        <v>F8R-810</v>
      </c>
      <c r="D289" t="str">
        <v>F8R-810</v>
      </c>
      <c r="E289" t="str">
        <v>867806078868827</v>
      </c>
      <c r="F289" t="str">
        <v>TBD</v>
      </c>
      <c r="G289" t="str">
        <v/>
      </c>
      <c r="H289" t="str">
        <v/>
      </c>
      <c r="I289" t="str">
        <v>17/09/2026</v>
      </c>
      <c r="J289" t="str">
        <v>10:13:05</v>
      </c>
      <c r="K289">
        <v>-12.312471</v>
      </c>
      <c r="L289">
        <v>-76.83382</v>
      </c>
      <c r="M289">
        <f>HYPERLINK("https://www.google.com/maps/search/?api=1&amp;query=-12.312471,-76.83382","Carretera Panamericana Sur, Punta Hermosa, Lima")</f>
      </c>
      <c r="N289" t="str">
        <v>Aceleración brusca</v>
      </c>
      <c r="O289">
        <v>692.5</v>
      </c>
      <c r="P289" t="str">
        <v/>
      </c>
      <c r="Q289">
        <v>62.2</v>
      </c>
      <c r="R289">
        <v>26.82</v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>
        <v>87</v>
      </c>
      <c r="AA289" t="str">
        <v>17/09/2026</v>
      </c>
      <c r="AB289" t="str">
        <v>10:13:03</v>
      </c>
      <c r="AC289">
        <f>IF("ONLINE"="NOGPS","GPS Antiguo","En línea")</f>
      </c>
      <c r="AD289">
        <f>IF(0=0,"Sin atender", IF(0=1,"Atendida","Atendida y Reportada"))</f>
      </c>
      <c r="AE289" t="str">
        <v/>
      </c>
      <c r="AF289" t="str">
        <v/>
      </c>
      <c r="AG289" t="str">
        <v/>
      </c>
      <c r="AH289" t="str">
        <v/>
      </c>
      <c r="AI289" t="str">
        <v>17/09/2026 10:13:28</v>
      </c>
      <c r="AJ289" t="str">
        <v>10:13:28</v>
      </c>
      <c r="AK289" t="str">
        <v/>
      </c>
    </row>
    <row r="290">
      <c r="A290">
        <v>289</v>
      </c>
      <c r="B290" t="str">
        <v>MASS BSF</v>
      </c>
      <c r="C290" t="str">
        <v>F8R-810</v>
      </c>
      <c r="D290" t="str">
        <v>F8R-810</v>
      </c>
      <c r="E290" t="str">
        <v>867806078868827</v>
      </c>
      <c r="F290" t="str">
        <v>TBD</v>
      </c>
      <c r="G290" t="str">
        <v/>
      </c>
      <c r="H290" t="str">
        <v/>
      </c>
      <c r="I290" t="str">
        <v>17/09/2026</v>
      </c>
      <c r="J290" t="str">
        <v>10:13:08</v>
      </c>
      <c r="K290">
        <v>-12.312075</v>
      </c>
      <c r="L290">
        <v>-76.83408</v>
      </c>
      <c r="M290">
        <f>HYPERLINK("https://www.google.com/maps/search/?api=1&amp;query=-12.312075,-76.83408","Carretera Panamericana Sur, Punta Hermosa, Lima")</f>
      </c>
      <c r="N290" t="str">
        <v>Acelerado y giro brusco</v>
      </c>
      <c r="O290">
        <v>692.5</v>
      </c>
      <c r="P290" t="str">
        <v/>
      </c>
      <c r="Q290">
        <v>63.5</v>
      </c>
      <c r="R290">
        <v>26.82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>
        <v>87</v>
      </c>
      <c r="AA290" t="str">
        <v>17/09/2026</v>
      </c>
      <c r="AB290" t="str">
        <v>10:13:06</v>
      </c>
      <c r="AC290">
        <f>IF("ONLINE"="NOGPS","GPS Antiguo","En línea")</f>
      </c>
      <c r="AD290">
        <f>IF(0=0,"Sin atender", IF(0=1,"Atendida","Atendida y Reportada"))</f>
      </c>
      <c r="AE290" t="str">
        <v/>
      </c>
      <c r="AF290" t="str">
        <v/>
      </c>
      <c r="AG290" t="str">
        <v/>
      </c>
      <c r="AH290" t="str">
        <v/>
      </c>
      <c r="AI290" t="str">
        <v>17/09/2026 10:13:21</v>
      </c>
      <c r="AJ290" t="str">
        <v>10:13:21</v>
      </c>
      <c r="AK290" t="str">
        <v/>
      </c>
    </row>
    <row r="291">
      <c r="A291">
        <v>290</v>
      </c>
      <c r="B291" t="str">
        <v>MASS BSF</v>
      </c>
      <c r="C291" t="str">
        <v>F8R-810</v>
      </c>
      <c r="D291" t="str">
        <v>F8R-810</v>
      </c>
      <c r="E291" t="str">
        <v>867806078868827</v>
      </c>
      <c r="F291" t="str">
        <v>TBD</v>
      </c>
      <c r="G291" t="str">
        <v/>
      </c>
      <c r="H291" t="str">
        <v/>
      </c>
      <c r="I291" t="str">
        <v>17/09/2026</v>
      </c>
      <c r="J291" t="str">
        <v>10:14:57</v>
      </c>
      <c r="K291">
        <v>-12.300273</v>
      </c>
      <c r="L291">
        <v>-76.848274</v>
      </c>
      <c r="M291">
        <f>HYPERLINK("https://www.google.com/maps/search/?api=1&amp;query=-12.300273,-76.848274","Carretera Panamericana Sur, Lurín, Lima")</f>
      </c>
      <c r="N291" t="str">
        <v>Aceleración brusca</v>
      </c>
      <c r="O291">
        <v>694.6</v>
      </c>
      <c r="P291" t="str">
        <v/>
      </c>
      <c r="Q291">
        <v>61.1</v>
      </c>
      <c r="R291">
        <v>26.82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>
        <v>85</v>
      </c>
      <c r="AA291" t="str">
        <v>17/09/2026</v>
      </c>
      <c r="AB291" t="str">
        <v>10:14:55</v>
      </c>
      <c r="AC291">
        <f>IF("ONLINE"="NOGPS","GPS Antiguo","En línea")</f>
      </c>
      <c r="AD291">
        <f>IF(0=0,"Sin atender", IF(0=1,"Atendida","Atendida y Reportada"))</f>
      </c>
      <c r="AE291" t="str">
        <v/>
      </c>
      <c r="AF291" t="str">
        <v/>
      </c>
      <c r="AG291" t="str">
        <v/>
      </c>
      <c r="AH291" t="str">
        <v/>
      </c>
      <c r="AI291" t="str">
        <v>17/09/2026 10:15:27</v>
      </c>
      <c r="AJ291" t="str">
        <v>10:15:27</v>
      </c>
      <c r="AK291" t="str">
        <v/>
      </c>
    </row>
    <row r="292">
      <c r="A292">
        <v>291</v>
      </c>
      <c r="B292" t="str">
        <v>MASS BSF</v>
      </c>
      <c r="C292" t="str">
        <v>F8R-810</v>
      </c>
      <c r="D292" t="str">
        <v>F8R-810</v>
      </c>
      <c r="E292" t="str">
        <v>867806078868827</v>
      </c>
      <c r="F292" t="str">
        <v>TBD</v>
      </c>
      <c r="G292" t="str">
        <v/>
      </c>
      <c r="H292" t="str">
        <v/>
      </c>
      <c r="I292" t="str">
        <v>17/09/2026</v>
      </c>
      <c r="J292" t="str">
        <v>10:14:57</v>
      </c>
      <c r="K292">
        <v>-12.300273</v>
      </c>
      <c r="L292">
        <v>-76.848274</v>
      </c>
      <c r="M292">
        <f>HYPERLINK("https://www.google.com/maps/search/?api=1&amp;query=-12.300273,-76.848274","Carretera Panamericana Sur, Lurín, Lima")</f>
      </c>
      <c r="N292" t="str">
        <v>Aceleración brusca</v>
      </c>
      <c r="O292">
        <v>694.6</v>
      </c>
      <c r="P292" t="str">
        <v/>
      </c>
      <c r="Q292">
        <v>61.1</v>
      </c>
      <c r="R292">
        <v>26.82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>
        <v>85</v>
      </c>
      <c r="AA292" t="str">
        <v>17/09/2026</v>
      </c>
      <c r="AB292" t="str">
        <v>10:14:55</v>
      </c>
      <c r="AC292">
        <f>IF("ONLINE"="NOGPS","GPS Antiguo","En línea")</f>
      </c>
      <c r="AD292">
        <f>IF(0=0,"Sin atender", IF(0=1,"Atendida","Atendida y Reportada"))</f>
      </c>
      <c r="AE292" t="str">
        <v/>
      </c>
      <c r="AF292" t="str">
        <v/>
      </c>
      <c r="AG292" t="str">
        <v/>
      </c>
      <c r="AH292" t="str">
        <v/>
      </c>
      <c r="AI292" t="str">
        <v>17/09/2026 10:15:04</v>
      </c>
      <c r="AJ292" t="str">
        <v>10:15:04</v>
      </c>
      <c r="AK292" t="str">
        <v/>
      </c>
    </row>
    <row r="293">
      <c r="A293">
        <v>292</v>
      </c>
      <c r="B293" t="str">
        <v>MASS BSF</v>
      </c>
      <c r="C293" t="str">
        <v>F8R-810</v>
      </c>
      <c r="D293" t="str">
        <v>F8R-810</v>
      </c>
      <c r="E293" t="str">
        <v>867806078868827</v>
      </c>
      <c r="F293" t="str">
        <v>TBD</v>
      </c>
      <c r="G293" t="str">
        <v/>
      </c>
      <c r="H293" t="str">
        <v/>
      </c>
      <c r="I293" t="str">
        <v>17/09/2026</v>
      </c>
      <c r="J293" t="str">
        <v>10:16:34</v>
      </c>
      <c r="K293">
        <v>-12.292463</v>
      </c>
      <c r="L293">
        <v>-76.86359</v>
      </c>
      <c r="M293">
        <f>HYPERLINK("https://www.google.com/maps/search/?api=1&amp;query=-12.292463,-76.86359","Carretera Panamericana Sur, Lurín, Lima")</f>
      </c>
      <c r="N293" t="str">
        <v>Aceleración brusca</v>
      </c>
      <c r="O293">
        <v>696.5</v>
      </c>
      <c r="P293" t="str">
        <v/>
      </c>
      <c r="Q293">
        <v>74.6</v>
      </c>
      <c r="R293">
        <v>26.82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>
        <v>85</v>
      </c>
      <c r="AA293" t="str">
        <v>17/09/2026</v>
      </c>
      <c r="AB293" t="str">
        <v>10:16:32</v>
      </c>
      <c r="AC293">
        <f>IF("ONLINE"="NOGPS","GPS Antiguo","En línea")</f>
      </c>
      <c r="AD293">
        <f>IF(0=0,"Sin atender", IF(0=1,"Atendida","Atendida y Reportada"))</f>
      </c>
      <c r="AE293" t="str">
        <v/>
      </c>
      <c r="AF293" t="str">
        <v/>
      </c>
      <c r="AG293" t="str">
        <v/>
      </c>
      <c r="AH293" t="str">
        <v/>
      </c>
      <c r="AI293" t="str">
        <v>17/09/2026 10:16:47</v>
      </c>
      <c r="AJ293" t="str">
        <v>10:16:47</v>
      </c>
      <c r="AK293" t="str">
        <v/>
      </c>
    </row>
    <row r="294">
      <c r="A294">
        <v>293</v>
      </c>
      <c r="B294" t="str">
        <v>MASS BSF</v>
      </c>
      <c r="C294" t="str">
        <v>F8R-810</v>
      </c>
      <c r="D294" t="str">
        <v>F8R-810</v>
      </c>
      <c r="E294" t="str">
        <v>867806078868827</v>
      </c>
      <c r="F294" t="str">
        <v>TBD</v>
      </c>
      <c r="G294" t="str">
        <v/>
      </c>
      <c r="H294" t="str">
        <v/>
      </c>
      <c r="I294" t="str">
        <v>17/09/2026</v>
      </c>
      <c r="J294" t="str">
        <v>10:16:55</v>
      </c>
      <c r="K294">
        <v>-12.290564</v>
      </c>
      <c r="L294">
        <v>-76.866554</v>
      </c>
      <c r="M294">
        <f>HYPERLINK("https://www.google.com/maps/search/?api=1&amp;query=-12.290564,-76.866554","Carretera Panamericana Sur, Lurín, Lima")</f>
      </c>
      <c r="N294" t="str">
        <v>Acelerado y giro brusco</v>
      </c>
      <c r="O294">
        <v>696.8</v>
      </c>
      <c r="P294" t="str">
        <v/>
      </c>
      <c r="Q294">
        <v>64.6</v>
      </c>
      <c r="R294">
        <v>26.82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>
        <v>85</v>
      </c>
      <c r="AA294" t="str">
        <v>17/09/2026</v>
      </c>
      <c r="AB294" t="str">
        <v>10:16:53</v>
      </c>
      <c r="AC294">
        <f>IF("ONLINE"="NOGPS","GPS Antiguo","En línea")</f>
      </c>
      <c r="AD294">
        <f>IF(0=0,"Sin atender", IF(0=1,"Atendida","Atendida y Reportada"))</f>
      </c>
      <c r="AE294" t="str">
        <v/>
      </c>
      <c r="AF294" t="str">
        <v/>
      </c>
      <c r="AG294" t="str">
        <v/>
      </c>
      <c r="AH294" t="str">
        <v/>
      </c>
      <c r="AI294" t="str">
        <v>17/09/2026 10:17:16</v>
      </c>
      <c r="AJ294" t="str">
        <v>10:17:16</v>
      </c>
      <c r="AK294" t="str">
        <v/>
      </c>
    </row>
    <row r="295">
      <c r="A295">
        <v>294</v>
      </c>
      <c r="B295" t="str">
        <v>MASS BSF</v>
      </c>
      <c r="C295" t="str">
        <v>F8R-810</v>
      </c>
      <c r="D295" t="str">
        <v>F8R-810</v>
      </c>
      <c r="E295" t="str">
        <v>867806078868827</v>
      </c>
      <c r="F295" t="str">
        <v>TBD</v>
      </c>
      <c r="G295" t="str">
        <v/>
      </c>
      <c r="H295" t="str">
        <v/>
      </c>
      <c r="I295" t="str">
        <v>17/09/2026</v>
      </c>
      <c r="J295" t="str">
        <v>10:19:10</v>
      </c>
      <c r="K295">
        <v>-12.277833</v>
      </c>
      <c r="L295">
        <v>-76.88686</v>
      </c>
      <c r="M295">
        <f>HYPERLINK("https://www.google.com/maps/search/?api=1&amp;query=-12.277833,-76.88686","Carretera Panamericana Sur, Lurín, Lima")</f>
      </c>
      <c r="N295" t="str">
        <v>Acelerado y giro brusco</v>
      </c>
      <c r="O295">
        <v>699.4</v>
      </c>
      <c r="P295" t="str">
        <v/>
      </c>
      <c r="Q295">
        <v>67.9</v>
      </c>
      <c r="R295">
        <v>26.82</v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>
        <v>85</v>
      </c>
      <c r="AA295" t="str">
        <v>17/09/2026</v>
      </c>
      <c r="AB295" t="str">
        <v>10:19:08</v>
      </c>
      <c r="AC295">
        <f>IF("ONLINE"="NOGPS","GPS Antiguo","En línea")</f>
      </c>
      <c r="AD295">
        <f>IF(0=0,"Sin atender", IF(0=1,"Atendida","Atendida y Reportada"))</f>
      </c>
      <c r="AE295" t="str">
        <v/>
      </c>
      <c r="AF295" t="str">
        <v/>
      </c>
      <c r="AG295" t="str">
        <v/>
      </c>
      <c r="AH295" t="str">
        <v/>
      </c>
      <c r="AI295" t="str">
        <v>17/09/2026 10:20:13</v>
      </c>
      <c r="AJ295" t="str">
        <v>10:20:13</v>
      </c>
      <c r="AK295" t="str">
        <v/>
      </c>
    </row>
    <row r="296">
      <c r="A296">
        <v>295</v>
      </c>
      <c r="B296" t="str">
        <v>MASS BSF</v>
      </c>
      <c r="C296" t="str">
        <v>F8R-810</v>
      </c>
      <c r="D296" t="str">
        <v>F8R-810</v>
      </c>
      <c r="E296" t="str">
        <v>867806078868827</v>
      </c>
      <c r="F296" t="str">
        <v>TBD</v>
      </c>
      <c r="G296" t="str">
        <v/>
      </c>
      <c r="H296" t="str">
        <v/>
      </c>
      <c r="I296" t="str">
        <v>17/09/2026</v>
      </c>
      <c r="J296" t="str">
        <v>10:19:44</v>
      </c>
      <c r="K296">
        <v>-12.274629</v>
      </c>
      <c r="L296">
        <v>-76.89201</v>
      </c>
      <c r="M296">
        <f>HYPERLINK("https://www.google.com/maps/search/?api=1&amp;query=-12.274629,-76.89201","Carretera Panamericana Sur, Lurín, Lima")</f>
      </c>
      <c r="N296" t="str">
        <v>Aceleración brusca</v>
      </c>
      <c r="O296">
        <v>700.1</v>
      </c>
      <c r="P296" t="str">
        <v/>
      </c>
      <c r="Q296">
        <v>71.3</v>
      </c>
      <c r="R296">
        <v>26.82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>
        <v>85</v>
      </c>
      <c r="AA296" t="str">
        <v>17/09/2026</v>
      </c>
      <c r="AB296" t="str">
        <v>10:19:42</v>
      </c>
      <c r="AC296">
        <f>IF("ONLINE"="NOGPS","GPS Antiguo","En línea")</f>
      </c>
      <c r="AD296">
        <f>IF(0=0,"Sin atender", IF(0=1,"Atendida","Atendida y Reportada"))</f>
      </c>
      <c r="AE296" t="str">
        <v/>
      </c>
      <c r="AF296" t="str">
        <v/>
      </c>
      <c r="AG296" t="str">
        <v/>
      </c>
      <c r="AH296" t="str">
        <v/>
      </c>
      <c r="AI296" t="str">
        <v>17/09/2026 10:20:10</v>
      </c>
      <c r="AJ296" t="str">
        <v>10:20:10</v>
      </c>
      <c r="AK296" t="str">
        <v/>
      </c>
    </row>
    <row r="297">
      <c r="A297">
        <v>296</v>
      </c>
      <c r="B297" t="str">
        <v>MASS BSF</v>
      </c>
      <c r="C297" t="str">
        <v>F8R-810</v>
      </c>
      <c r="D297" t="str">
        <v>F8R-810</v>
      </c>
      <c r="E297" t="str">
        <v>867806078868827</v>
      </c>
      <c r="F297" t="str">
        <v>TBD</v>
      </c>
      <c r="G297" t="str">
        <v/>
      </c>
      <c r="H297" t="str">
        <v/>
      </c>
      <c r="I297" t="str">
        <v>17/09/2026</v>
      </c>
      <c r="J297" t="str">
        <v>10:20:29</v>
      </c>
      <c r="K297">
        <v>-12.270202</v>
      </c>
      <c r="L297">
        <v>-76.899</v>
      </c>
      <c r="M297">
        <f>HYPERLINK("https://www.google.com/maps/search/?api=1&amp;query=-12.270202,-76.899","Carretera Panamericana Sur, Lurín, Lima")</f>
      </c>
      <c r="N297" t="str">
        <v>Aceleración brusca</v>
      </c>
      <c r="O297">
        <v>701</v>
      </c>
      <c r="P297" t="str">
        <v/>
      </c>
      <c r="Q297">
        <v>70.9</v>
      </c>
      <c r="R297">
        <v>26.82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>
        <v>85</v>
      </c>
      <c r="AA297" t="str">
        <v>17/09/2026</v>
      </c>
      <c r="AB297" t="str">
        <v>10:20:27</v>
      </c>
      <c r="AC297">
        <f>IF("ONLINE"="NOGPS","GPS Antiguo","En línea")</f>
      </c>
      <c r="AD297">
        <f>IF(0=0,"Sin atender", IF(0=1,"Atendida","Atendida y Reportada"))</f>
      </c>
      <c r="AE297" t="str">
        <v/>
      </c>
      <c r="AF297" t="str">
        <v/>
      </c>
      <c r="AG297" t="str">
        <v/>
      </c>
      <c r="AH297" t="str">
        <v/>
      </c>
      <c r="AI297" t="str">
        <v>17/09/2026 10:20:42</v>
      </c>
      <c r="AJ297" t="str">
        <v>10:20:42</v>
      </c>
      <c r="AK297" t="str">
        <v/>
      </c>
    </row>
    <row r="298">
      <c r="A298">
        <v>297</v>
      </c>
      <c r="B298" t="str">
        <v>MASS BSF</v>
      </c>
      <c r="C298" t="str">
        <v>F8R-810</v>
      </c>
      <c r="D298" t="str">
        <v>F8R-810</v>
      </c>
      <c r="E298" t="str">
        <v>867806078868827</v>
      </c>
      <c r="F298" t="str">
        <v>TBD</v>
      </c>
      <c r="G298" t="str">
        <v/>
      </c>
      <c r="H298" t="str">
        <v/>
      </c>
      <c r="I298" t="str">
        <v>17/09/2026</v>
      </c>
      <c r="J298" t="str">
        <v>10:20:40</v>
      </c>
      <c r="K298">
        <v>-12.269145</v>
      </c>
      <c r="L298">
        <v>-76.90067</v>
      </c>
      <c r="M298">
        <f>HYPERLINK("https://www.google.com/maps/search/?api=1&amp;query=-12.269145,-76.90067","Carretera Panamericana Sur, Lurín, Lima")</f>
      </c>
      <c r="N298" t="str">
        <v>Aceleración brusca</v>
      </c>
      <c r="O298">
        <v>701.2</v>
      </c>
      <c r="P298" t="str">
        <v/>
      </c>
      <c r="Q298">
        <v>69.8</v>
      </c>
      <c r="R298">
        <v>26.82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>
        <v>85</v>
      </c>
      <c r="AA298" t="str">
        <v>17/09/2026</v>
      </c>
      <c r="AB298" t="str">
        <v>10:20:38</v>
      </c>
      <c r="AC298">
        <f>IF("ONLINE"="NOGPS","GPS Antiguo","En línea")</f>
      </c>
      <c r="AD298">
        <f>IF(0=0,"Sin atender", IF(0=1,"Atendida","Atendida y Reportada"))</f>
      </c>
      <c r="AE298" t="str">
        <v/>
      </c>
      <c r="AF298" t="str">
        <v/>
      </c>
      <c r="AG298" t="str">
        <v/>
      </c>
      <c r="AH298" t="str">
        <v/>
      </c>
      <c r="AI298" t="str">
        <v>17/09/2026 10:20:55</v>
      </c>
      <c r="AJ298" t="str">
        <v>10:20:55</v>
      </c>
      <c r="AK298" t="str">
        <v/>
      </c>
    </row>
    <row r="299">
      <c r="A299">
        <v>298</v>
      </c>
      <c r="B299" t="str">
        <v>MASS BSF</v>
      </c>
      <c r="C299" t="str">
        <v>F8R-810</v>
      </c>
      <c r="D299" t="str">
        <v>F8R-810</v>
      </c>
      <c r="E299" t="str">
        <v>867806078868827</v>
      </c>
      <c r="F299" t="str">
        <v>TBD</v>
      </c>
      <c r="G299" t="str">
        <v/>
      </c>
      <c r="H299" t="str">
        <v/>
      </c>
      <c r="I299" t="str">
        <v>17/09/2026</v>
      </c>
      <c r="J299" t="str">
        <v>10:21:32</v>
      </c>
      <c r="K299">
        <v>-12.264234</v>
      </c>
      <c r="L299">
        <v>-76.908485</v>
      </c>
      <c r="M299">
        <f>HYPERLINK("https://www.google.com/maps/search/?api=1&amp;query=-12.264234,-76.908485","Carretera Panamericana Sur, Lurín, Lima")</f>
      </c>
      <c r="N299" t="str">
        <v>Aceleración brusca</v>
      </c>
      <c r="O299">
        <v>702.2</v>
      </c>
      <c r="P299" t="str">
        <v/>
      </c>
      <c r="Q299">
        <v>68.8</v>
      </c>
      <c r="R299">
        <v>26.82</v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>
        <v>86</v>
      </c>
      <c r="AA299" t="str">
        <v>17/09/2026</v>
      </c>
      <c r="AB299" t="str">
        <v>10:21:30</v>
      </c>
      <c r="AC299">
        <f>IF("ONLINE"="NOGPS","GPS Antiguo","En línea")</f>
      </c>
      <c r="AD299">
        <f>IF(0=0,"Sin atender", IF(0=1,"Atendida","Atendida y Reportada"))</f>
      </c>
      <c r="AE299" t="str">
        <v/>
      </c>
      <c r="AF299" t="str">
        <v/>
      </c>
      <c r="AG299" t="str">
        <v/>
      </c>
      <c r="AH299" t="str">
        <v/>
      </c>
      <c r="AI299" t="str">
        <v>17/09/2026 10:21:47</v>
      </c>
      <c r="AJ299" t="str">
        <v>10:21:47</v>
      </c>
      <c r="AK299" t="str">
        <v/>
      </c>
    </row>
    <row r="300">
      <c r="A300">
        <v>299</v>
      </c>
      <c r="B300" t="str">
        <v>MASS BSF</v>
      </c>
      <c r="C300" t="str">
        <v>F8R-810</v>
      </c>
      <c r="D300" t="str">
        <v>F8R-810</v>
      </c>
      <c r="E300" t="str">
        <v>867806078868827</v>
      </c>
      <c r="F300" t="str">
        <v>TBD</v>
      </c>
      <c r="G300" t="str">
        <v/>
      </c>
      <c r="H300" t="str">
        <v/>
      </c>
      <c r="I300" t="str">
        <v>17/09/2026</v>
      </c>
      <c r="J300" t="str">
        <v>10:21:47</v>
      </c>
      <c r="K300">
        <v>-12.262815</v>
      </c>
      <c r="L300">
        <v>-76.91074</v>
      </c>
      <c r="M300">
        <f>HYPERLINK("https://www.google.com/maps/search/?api=1&amp;query=-12.262815,-76.91074","Carretera Panamericana Sur, Lurín, Lima")</f>
      </c>
      <c r="N300" t="str">
        <v>Aceleración brusca</v>
      </c>
      <c r="O300">
        <v>702.5</v>
      </c>
      <c r="P300" t="str">
        <v/>
      </c>
      <c r="Q300">
        <v>70.1</v>
      </c>
      <c r="R300">
        <v>26.82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>
        <v>86</v>
      </c>
      <c r="AA300" t="str">
        <v>17/09/2026</v>
      </c>
      <c r="AB300" t="str">
        <v>10:21:45</v>
      </c>
      <c r="AC300">
        <f>IF("ONLINE"="NOGPS","GPS Antiguo","En línea")</f>
      </c>
      <c r="AD300">
        <f>IF(0=0,"Sin atender", IF(0=1,"Atendida","Atendida y Reportada"))</f>
      </c>
      <c r="AE300" t="str">
        <v/>
      </c>
      <c r="AF300" t="str">
        <v/>
      </c>
      <c r="AG300" t="str">
        <v/>
      </c>
      <c r="AH300" t="str">
        <v/>
      </c>
      <c r="AI300" t="str">
        <v>17/09/2026 10:22:06</v>
      </c>
      <c r="AJ300" t="str">
        <v>10:22:06</v>
      </c>
      <c r="AK300" t="str">
        <v/>
      </c>
    </row>
    <row r="301">
      <c r="A301">
        <v>300</v>
      </c>
      <c r="B301" t="str">
        <v>MASS BSF</v>
      </c>
      <c r="C301" t="str">
        <v>F8R-810</v>
      </c>
      <c r="D301" t="str">
        <v>F8R-810</v>
      </c>
      <c r="E301" t="str">
        <v>867806078868827</v>
      </c>
      <c r="F301" t="str">
        <v>TBD</v>
      </c>
      <c r="G301" t="str">
        <v/>
      </c>
      <c r="H301" t="str">
        <v/>
      </c>
      <c r="I301" t="str">
        <v>17/09/2026</v>
      </c>
      <c r="J301" t="str">
        <v>10:22:26</v>
      </c>
      <c r="K301">
        <v>-12.259358</v>
      </c>
      <c r="L301">
        <v>-76.916245</v>
      </c>
      <c r="M301">
        <f>HYPERLINK("https://www.google.com/maps/search/?api=1&amp;query=-12.259358,-76.916245","Carretera Panamericana Sur, Lurín, Lima")</f>
      </c>
      <c r="N301" t="str">
        <v>Aceleración brusca</v>
      </c>
      <c r="O301">
        <v>703.2</v>
      </c>
      <c r="P301" t="str">
        <v/>
      </c>
      <c r="Q301">
        <v>59.4</v>
      </c>
      <c r="R301">
        <v>26.82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>
        <v>86</v>
      </c>
      <c r="AA301" t="str">
        <v>17/09/2026</v>
      </c>
      <c r="AB301" t="str">
        <v>10:22:24</v>
      </c>
      <c r="AC301">
        <f>IF("ONLINE"="NOGPS","GPS Antiguo","En línea")</f>
      </c>
      <c r="AD301">
        <f>IF(0=0,"Sin atender", IF(0=1,"Atendida","Atendida y Reportada"))</f>
      </c>
      <c r="AE301" t="str">
        <v/>
      </c>
      <c r="AF301" t="str">
        <v/>
      </c>
      <c r="AG301" t="str">
        <v/>
      </c>
      <c r="AH301" t="str">
        <v/>
      </c>
      <c r="AI301" t="str">
        <v>17/09/2026 10:22:33</v>
      </c>
      <c r="AJ301" t="str">
        <v>10:22:33</v>
      </c>
      <c r="AK301" t="str">
        <v/>
      </c>
    </row>
    <row r="302">
      <c r="A302">
        <v>301</v>
      </c>
      <c r="B302" t="str">
        <v>MASS BSF</v>
      </c>
      <c r="C302" t="str">
        <v>F8R-810</v>
      </c>
      <c r="D302" t="str">
        <v>F8R-810</v>
      </c>
      <c r="E302" t="str">
        <v>867806078868827</v>
      </c>
      <c r="F302" t="str">
        <v>TBD</v>
      </c>
      <c r="G302" t="str">
        <v/>
      </c>
      <c r="H302" t="str">
        <v/>
      </c>
      <c r="I302" t="str">
        <v>17/09/2026</v>
      </c>
      <c r="J302" t="str">
        <v>10:23:00</v>
      </c>
      <c r="K302">
        <v>-12.256647</v>
      </c>
      <c r="L302">
        <v>-76.92034</v>
      </c>
      <c r="M302">
        <f>HYPERLINK("https://www.google.com/maps/search/?api=1&amp;query=-12.256647,-76.92034","Carretera Panamericana Sur, Lurín, Lima")</f>
      </c>
      <c r="N302" t="str">
        <v>Acelerado y giro brusco</v>
      </c>
      <c r="O302">
        <v>703.8</v>
      </c>
      <c r="P302" t="str">
        <v/>
      </c>
      <c r="Q302">
        <v>46.3</v>
      </c>
      <c r="R302">
        <v>26.82</v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>
        <v>86</v>
      </c>
      <c r="AA302" t="str">
        <v>17/09/2026</v>
      </c>
      <c r="AB302" t="str">
        <v>10:22:58</v>
      </c>
      <c r="AC302">
        <f>IF("ONLINE"="NOGPS","GPS Antiguo","En línea")</f>
      </c>
      <c r="AD302">
        <f>IF(0=0,"Sin atender", IF(0=1,"Atendida","Atendida y Reportada"))</f>
      </c>
      <c r="AE302" t="str">
        <v/>
      </c>
      <c r="AF302" t="str">
        <v/>
      </c>
      <c r="AG302" t="str">
        <v/>
      </c>
      <c r="AH302" t="str">
        <v/>
      </c>
      <c r="AI302" t="str">
        <v>17/09/2026 10:23:15</v>
      </c>
      <c r="AJ302" t="str">
        <v>10:23:15</v>
      </c>
      <c r="AK302" t="str">
        <v/>
      </c>
    </row>
    <row r="303">
      <c r="A303">
        <v>302</v>
      </c>
      <c r="B303" t="str">
        <v>MASS BSF</v>
      </c>
      <c r="C303" t="str">
        <v>F8R-810</v>
      </c>
      <c r="D303" t="str">
        <v>F8R-810</v>
      </c>
      <c r="E303" t="str">
        <v>867806078868827</v>
      </c>
      <c r="F303" t="str">
        <v>TBD</v>
      </c>
      <c r="G303" t="str">
        <v/>
      </c>
      <c r="H303" t="str">
        <v/>
      </c>
      <c r="I303" t="str">
        <v>17/09/2026</v>
      </c>
      <c r="J303" t="str">
        <v>10:24:04</v>
      </c>
      <c r="K303">
        <v>-12.254645</v>
      </c>
      <c r="L303">
        <v>-76.91676</v>
      </c>
      <c r="M303">
        <f>HYPERLINK("https://www.google.com/maps/search/?api=1&amp;query=-12.254645,-76.91676","Antigua Panamericana Sur, Lurín, Lima")</f>
      </c>
      <c r="N303" t="str">
        <v>Aceleración brusca</v>
      </c>
      <c r="O303">
        <v>704.4</v>
      </c>
      <c r="P303" t="str">
        <v/>
      </c>
      <c r="Q303">
        <v>45.5</v>
      </c>
      <c r="R303">
        <v>26.82</v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>
        <v>89</v>
      </c>
      <c r="AA303" t="str">
        <v>17/09/2026</v>
      </c>
      <c r="AB303" t="str">
        <v>10:24:02</v>
      </c>
      <c r="AC303">
        <f>IF("ONLINE"="NOGPS","GPS Antiguo","En línea")</f>
      </c>
      <c r="AD303">
        <f>IF(0=0,"Sin atender", IF(0=1,"Atendida","Atendida y Reportada"))</f>
      </c>
      <c r="AE303" t="str">
        <v/>
      </c>
      <c r="AF303" t="str">
        <v/>
      </c>
      <c r="AG303" t="str">
        <v/>
      </c>
      <c r="AH303" t="str">
        <v/>
      </c>
      <c r="AI303" t="str">
        <v>17/09/2026 10:24:23</v>
      </c>
      <c r="AJ303" t="str">
        <v>10:24:23</v>
      </c>
      <c r="AK303" t="str">
        <v/>
      </c>
    </row>
    <row r="304">
      <c r="A304">
        <v>303</v>
      </c>
      <c r="B304" t="str">
        <v>MASS BSF</v>
      </c>
      <c r="C304" t="str">
        <v>F8R-810</v>
      </c>
      <c r="D304" t="str">
        <v>F8R-810</v>
      </c>
      <c r="E304" t="str">
        <v>867806078868827</v>
      </c>
      <c r="F304" t="str">
        <v>TBD</v>
      </c>
      <c r="G304" t="str">
        <v/>
      </c>
      <c r="H304" t="str">
        <v/>
      </c>
      <c r="I304" t="str">
        <v>17/09/2026</v>
      </c>
      <c r="J304" t="str">
        <v>10:25:19</v>
      </c>
      <c r="K304">
        <v>-12.25539</v>
      </c>
      <c r="L304">
        <v>-76.90978</v>
      </c>
      <c r="M304">
        <f>HYPERLINK("https://www.google.com/maps/search/?api=1&amp;query=-12.25539,-76.90978","Antigua Panamericana Sur, Lurín, Lima")</f>
      </c>
      <c r="N304" t="str">
        <v>Acelerado y giro brusco</v>
      </c>
      <c r="O304">
        <v>705.2</v>
      </c>
      <c r="P304" t="str">
        <v/>
      </c>
      <c r="Q304">
        <v>40.5</v>
      </c>
      <c r="R304">
        <v>26.82</v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>
        <v>89</v>
      </c>
      <c r="AA304" t="str">
        <v>17/09/2026</v>
      </c>
      <c r="AB304" t="str">
        <v>10:25:17</v>
      </c>
      <c r="AC304">
        <f>IF("ONLINE"="NOGPS","GPS Antiguo","En línea")</f>
      </c>
      <c r="AD304">
        <f>IF(0=0,"Sin atender", IF(0=1,"Atendida","Atendida y Reportada"))</f>
      </c>
      <c r="AE304" t="str">
        <v/>
      </c>
      <c r="AF304" t="str">
        <v/>
      </c>
      <c r="AG304" t="str">
        <v/>
      </c>
      <c r="AH304" t="str">
        <v/>
      </c>
      <c r="AI304" t="str">
        <v>17/09/2026 10:25:43</v>
      </c>
      <c r="AJ304" t="str">
        <v>10:25:43</v>
      </c>
      <c r="AK304" t="str">
        <v/>
      </c>
    </row>
    <row r="305">
      <c r="A305">
        <v>304</v>
      </c>
      <c r="B305" t="str">
        <v>MASS BSF</v>
      </c>
      <c r="C305" t="str">
        <v>F8R-810</v>
      </c>
      <c r="D305" t="str">
        <v>F8R-810</v>
      </c>
      <c r="E305" t="str">
        <v>867806078868827</v>
      </c>
      <c r="F305" t="str">
        <v>TBD</v>
      </c>
      <c r="G305" t="str">
        <v/>
      </c>
      <c r="H305" t="str">
        <v/>
      </c>
      <c r="I305" t="str">
        <v>17/09/2026</v>
      </c>
      <c r="J305" t="str">
        <v>10:25:47</v>
      </c>
      <c r="K305">
        <v>-12.254848</v>
      </c>
      <c r="L305">
        <v>-76.9071</v>
      </c>
      <c r="M305">
        <f>HYPERLINK("https://www.google.com/maps/search/?api=1&amp;query=-12.254848,-76.9071","Antigua Panamericana Sur, Lurín, Lima")</f>
      </c>
      <c r="N305" t="str">
        <v>Aceleración brusca</v>
      </c>
      <c r="O305">
        <v>705.5</v>
      </c>
      <c r="P305" t="str">
        <v/>
      </c>
      <c r="Q305">
        <v>38.7</v>
      </c>
      <c r="R305">
        <v>26.82</v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>
        <v>89</v>
      </c>
      <c r="AA305" t="str">
        <v>17/09/2026</v>
      </c>
      <c r="AB305" t="str">
        <v>10:25:45</v>
      </c>
      <c r="AC305">
        <f>IF("ONLINE"="NOGPS","GPS Antiguo","En línea")</f>
      </c>
      <c r="AD305">
        <f>IF(0=0,"Sin atender", IF(0=1,"Atendida","Atendida y Reportada"))</f>
      </c>
      <c r="AE305" t="str">
        <v/>
      </c>
      <c r="AF305" t="str">
        <v/>
      </c>
      <c r="AG305" t="str">
        <v/>
      </c>
      <c r="AH305" t="str">
        <v/>
      </c>
      <c r="AI305" t="str">
        <v>17/09/2026 10:26:03</v>
      </c>
      <c r="AJ305" t="str">
        <v>10:26:03</v>
      </c>
      <c r="AK305" t="str">
        <v/>
      </c>
    </row>
    <row r="306">
      <c r="A306">
        <v>305</v>
      </c>
      <c r="B306" t="str">
        <v>MASS BSF</v>
      </c>
      <c r="C306" t="str">
        <v>F8R-810</v>
      </c>
      <c r="D306" t="str">
        <v>F8R-810</v>
      </c>
      <c r="E306" t="str">
        <v>867806078868827</v>
      </c>
      <c r="F306" t="str">
        <v>TBD</v>
      </c>
      <c r="G306" t="str">
        <v/>
      </c>
      <c r="H306" t="str">
        <v/>
      </c>
      <c r="I306" t="str">
        <v>17/09/2026</v>
      </c>
      <c r="J306" t="str">
        <v>10:26:00</v>
      </c>
      <c r="K306">
        <v>-12.254559</v>
      </c>
      <c r="L306">
        <v>-76.90588</v>
      </c>
      <c r="M306">
        <f>HYPERLINK("https://www.google.com/maps/search/?api=1&amp;query=-12.254559,-76.90588","Antigua Panamericana Sur, Lurín, Lima")</f>
      </c>
      <c r="N306" t="str">
        <v>Acelerado y giro brusco</v>
      </c>
      <c r="O306">
        <v>705.6</v>
      </c>
      <c r="P306" t="str">
        <v/>
      </c>
      <c r="Q306">
        <v>38.1</v>
      </c>
      <c r="R306">
        <v>26.82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>
        <v>89</v>
      </c>
      <c r="AA306" t="str">
        <v>17/09/2026</v>
      </c>
      <c r="AB306" t="str">
        <v>10:25:58</v>
      </c>
      <c r="AC306">
        <f>IF("ONLINE"="NOGPS","GPS Antiguo","En línea")</f>
      </c>
      <c r="AD306">
        <f>IF(0=0,"Sin atender", IF(0=1,"Atendida","Atendida y Reportada"))</f>
      </c>
      <c r="AE306" t="str">
        <v/>
      </c>
      <c r="AF306" t="str">
        <v/>
      </c>
      <c r="AG306" t="str">
        <v/>
      </c>
      <c r="AH306" t="str">
        <v/>
      </c>
      <c r="AI306" t="str">
        <v>17/09/2026 10:26:05</v>
      </c>
      <c r="AJ306" t="str">
        <v>10:26:05</v>
      </c>
      <c r="AK306" t="str">
        <v/>
      </c>
    </row>
    <row r="307">
      <c r="A307">
        <v>306</v>
      </c>
      <c r="B307" t="str">
        <v>MASS BSF</v>
      </c>
      <c r="C307" t="str">
        <v>F8R-810</v>
      </c>
      <c r="D307" t="str">
        <v>F8R-810</v>
      </c>
      <c r="E307" t="str">
        <v>867806078868827</v>
      </c>
      <c r="F307" t="str">
        <v>TBD</v>
      </c>
      <c r="G307" t="str">
        <v/>
      </c>
      <c r="H307" t="str">
        <v/>
      </c>
      <c r="I307" t="str">
        <v>17/09/2026</v>
      </c>
      <c r="J307" t="str">
        <v>10:26:50</v>
      </c>
      <c r="K307">
        <v>-12.252298</v>
      </c>
      <c r="L307">
        <v>-76.90511</v>
      </c>
      <c r="M307">
        <f>HYPERLINK("https://www.google.com/maps/search/?api=1&amp;query=-12.252298,-76.90511","Avenida Lima, Lurín")</f>
      </c>
      <c r="N307" t="str">
        <v>Aceleración brusca</v>
      </c>
      <c r="O307">
        <v>706</v>
      </c>
      <c r="P307" t="str">
        <v/>
      </c>
      <c r="Q307">
        <v>33.3</v>
      </c>
      <c r="R307">
        <v>26.82</v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>
        <v>89</v>
      </c>
      <c r="AA307" t="str">
        <v>17/09/2026</v>
      </c>
      <c r="AB307" t="str">
        <v>10:26:48</v>
      </c>
      <c r="AC307">
        <f>IF("ONLINE"="NOGPS","GPS Antiguo","En línea")</f>
      </c>
      <c r="AD307">
        <f>IF(0=0,"Sin atender", IF(0=1,"Atendida","Atendida y Reportada"))</f>
      </c>
      <c r="AE307" t="str">
        <v/>
      </c>
      <c r="AF307" t="str">
        <v/>
      </c>
      <c r="AG307" t="str">
        <v/>
      </c>
      <c r="AH307" t="str">
        <v/>
      </c>
      <c r="AI307" t="str">
        <v>17/09/2026 10:27:04</v>
      </c>
      <c r="AJ307" t="str">
        <v>10:27:04</v>
      </c>
      <c r="AK307" t="str">
        <v/>
      </c>
    </row>
    <row r="308">
      <c r="A308">
        <v>307</v>
      </c>
      <c r="B308" t="str">
        <v>MASS BSF</v>
      </c>
      <c r="C308" t="str">
        <v>F8R-810</v>
      </c>
      <c r="D308" t="str">
        <v>F8R-810</v>
      </c>
      <c r="E308" t="str">
        <v>867806078868827</v>
      </c>
      <c r="F308" t="str">
        <v>TBD</v>
      </c>
      <c r="G308" t="str">
        <v/>
      </c>
      <c r="H308" t="str">
        <v/>
      </c>
      <c r="I308" t="str">
        <v>17/09/2026</v>
      </c>
      <c r="J308" t="str">
        <v>10:27:40</v>
      </c>
      <c r="K308">
        <v>-12.24915</v>
      </c>
      <c r="L308">
        <v>-76.90655</v>
      </c>
      <c r="M308">
        <f>HYPERLINK("https://www.google.com/maps/search/?api=1&amp;query=-12.24915,-76.90655","Avenida Lima, Lurín")</f>
      </c>
      <c r="N308" t="str">
        <v>Aceleración brusca</v>
      </c>
      <c r="O308">
        <v>706.4</v>
      </c>
      <c r="P308" t="str">
        <v/>
      </c>
      <c r="Q308">
        <v>28.5</v>
      </c>
      <c r="R308">
        <v>26.82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>
        <v>89</v>
      </c>
      <c r="AA308" t="str">
        <v>17/09/2026</v>
      </c>
      <c r="AB308" t="str">
        <v>10:27:38</v>
      </c>
      <c r="AC308">
        <f>IF("ONLINE"="NOGPS","GPS Antiguo","En línea")</f>
      </c>
      <c r="AD308">
        <f>IF(0=0,"Sin atender", IF(0=1,"Atendida","Atendida y Reportada"))</f>
      </c>
      <c r="AE308" t="str">
        <v/>
      </c>
      <c r="AF308" t="str">
        <v/>
      </c>
      <c r="AG308" t="str">
        <v/>
      </c>
      <c r="AH308" t="str">
        <v/>
      </c>
      <c r="AI308" t="str">
        <v>17/09/2026 10:28:05</v>
      </c>
      <c r="AJ308" t="str">
        <v>10:28:05</v>
      </c>
      <c r="AK308" t="str">
        <v/>
      </c>
    </row>
    <row r="309">
      <c r="A309">
        <v>308</v>
      </c>
      <c r="B309" t="str">
        <v>MASS BSF</v>
      </c>
      <c r="C309" t="str">
        <v>F8R-810</v>
      </c>
      <c r="D309" t="str">
        <v>F8R-810</v>
      </c>
      <c r="E309" t="str">
        <v>867806078868827</v>
      </c>
      <c r="F309" t="str">
        <v>TBD</v>
      </c>
      <c r="G309" t="str">
        <v/>
      </c>
      <c r="H309" t="str">
        <v/>
      </c>
      <c r="I309" t="str">
        <v>17/09/2026</v>
      </c>
      <c r="J309" t="str">
        <v>10:28:16</v>
      </c>
      <c r="K309">
        <v>-12.247184</v>
      </c>
      <c r="L309">
        <v>-76.90745</v>
      </c>
      <c r="M309">
        <f>HYPERLINK("https://www.google.com/maps/search/?api=1&amp;query=-12.247184,-76.90745","Avenida Lima, Lurín")</f>
      </c>
      <c r="N309" t="str">
        <v>Acelerado y giro brusco</v>
      </c>
      <c r="O309">
        <v>706.6</v>
      </c>
      <c r="P309" t="str">
        <v/>
      </c>
      <c r="Q309">
        <v>20.9</v>
      </c>
      <c r="R309">
        <v>26.82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>
        <v>89</v>
      </c>
      <c r="AA309" t="str">
        <v>17/09/2026</v>
      </c>
      <c r="AB309" t="str">
        <v>10:28:14</v>
      </c>
      <c r="AC309">
        <f>IF("ONLINE"="NOGPS","GPS Antiguo","En línea")</f>
      </c>
      <c r="AD309">
        <f>IF(0=0,"Sin atender", IF(0=1,"Atendida","Atendida y Reportada"))</f>
      </c>
      <c r="AE309" t="str">
        <v/>
      </c>
      <c r="AF309" t="str">
        <v/>
      </c>
      <c r="AG309" t="str">
        <v/>
      </c>
      <c r="AH309" t="str">
        <v/>
      </c>
      <c r="AI309" t="str">
        <v>17/09/2026 10:28:35</v>
      </c>
      <c r="AJ309" t="str">
        <v>10:28:35</v>
      </c>
      <c r="AK309" t="str">
        <v/>
      </c>
    </row>
    <row r="310">
      <c r="A310">
        <v>309</v>
      </c>
      <c r="B310" t="str">
        <v>MASS BSF</v>
      </c>
      <c r="C310" t="str">
        <v>F8R-810</v>
      </c>
      <c r="D310" t="str">
        <v>F8R-810</v>
      </c>
      <c r="E310" t="str">
        <v>867806078868827</v>
      </c>
      <c r="F310" t="str">
        <v>TBD</v>
      </c>
      <c r="G310" t="str">
        <v/>
      </c>
      <c r="H310" t="str">
        <v/>
      </c>
      <c r="I310" t="str">
        <v>17/09/2026</v>
      </c>
      <c r="J310" t="str">
        <v>10:28:57</v>
      </c>
      <c r="K310">
        <v>-12.245007</v>
      </c>
      <c r="L310">
        <v>-76.90878</v>
      </c>
      <c r="M310">
        <f>HYPERLINK("https://www.google.com/maps/search/?api=1&amp;query=-12.245007,-76.90878","Avenida Lima, Lurín")</f>
      </c>
      <c r="N310" t="str">
        <v>Aceleración brusca</v>
      </c>
      <c r="O310">
        <v>706.9</v>
      </c>
      <c r="P310" t="str">
        <v/>
      </c>
      <c r="Q310">
        <v>32.9</v>
      </c>
      <c r="R310">
        <v>26.82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>
        <v>89</v>
      </c>
      <c r="AA310" t="str">
        <v>17/09/2026</v>
      </c>
      <c r="AB310" t="str">
        <v>10:28:55</v>
      </c>
      <c r="AC310">
        <f>IF("ONLINE"="NOGPS","GPS Antiguo","En línea")</f>
      </c>
      <c r="AD310">
        <f>IF(0=0,"Sin atender", IF(0=1,"Atendida","Atendida y Reportada"))</f>
      </c>
      <c r="AE310" t="str">
        <v/>
      </c>
      <c r="AF310" t="str">
        <v/>
      </c>
      <c r="AG310" t="str">
        <v/>
      </c>
      <c r="AH310" t="str">
        <v/>
      </c>
      <c r="AI310" t="str">
        <v>17/09/2026 10:29:09</v>
      </c>
      <c r="AJ310" t="str">
        <v>10:29:09</v>
      </c>
      <c r="AK310" t="str">
        <v/>
      </c>
    </row>
    <row r="311">
      <c r="A311">
        <v>310</v>
      </c>
      <c r="B311" t="str">
        <v>MASS BSF</v>
      </c>
      <c r="C311" t="str">
        <v>F8R-810</v>
      </c>
      <c r="D311" t="str">
        <v>F8R-810</v>
      </c>
      <c r="E311" t="str">
        <v>867806078868827</v>
      </c>
      <c r="F311" t="str">
        <v>TBD</v>
      </c>
      <c r="G311" t="str">
        <v/>
      </c>
      <c r="H311" t="str">
        <v/>
      </c>
      <c r="I311" t="str">
        <v>17/09/2026</v>
      </c>
      <c r="J311" t="str">
        <v>10:29:26</v>
      </c>
      <c r="K311">
        <v>-12.243227</v>
      </c>
      <c r="L311">
        <v>-76.90998</v>
      </c>
      <c r="M311">
        <f>HYPERLINK("https://www.google.com/maps/search/?api=1&amp;query=-12.243227,-76.90998","Avenida Lima, Lurín")</f>
      </c>
      <c r="N311" t="str">
        <v>Aceleración brusca</v>
      </c>
      <c r="O311">
        <v>707.1</v>
      </c>
      <c r="P311" t="str">
        <v/>
      </c>
      <c r="Q311">
        <v>24.6</v>
      </c>
      <c r="R311">
        <v>26.82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>
        <v>89</v>
      </c>
      <c r="AA311" t="str">
        <v>17/09/2026</v>
      </c>
      <c r="AB311" t="str">
        <v>10:29:24</v>
      </c>
      <c r="AC311">
        <f>IF("ONLINE"="NOGPS","GPS Antiguo","En línea")</f>
      </c>
      <c r="AD311">
        <f>IF(0=0,"Sin atender", IF(0=1,"Atendida","Atendida y Reportada"))</f>
      </c>
      <c r="AE311" t="str">
        <v/>
      </c>
      <c r="AF311" t="str">
        <v/>
      </c>
      <c r="AG311" t="str">
        <v/>
      </c>
      <c r="AH311" t="str">
        <v/>
      </c>
      <c r="AI311" t="str">
        <v>17/09/2026 10:29:51</v>
      </c>
      <c r="AJ311" t="str">
        <v>10:29:51</v>
      </c>
      <c r="AK311" t="str">
        <v/>
      </c>
    </row>
    <row r="312">
      <c r="A312">
        <v>311</v>
      </c>
      <c r="B312" t="str">
        <v>MASS BSF</v>
      </c>
      <c r="C312" t="str">
        <v>F8R-810</v>
      </c>
      <c r="D312" t="str">
        <v>F8R-810</v>
      </c>
      <c r="E312" t="str">
        <v>867806078868827</v>
      </c>
      <c r="F312" t="str">
        <v>TBD</v>
      </c>
      <c r="G312" t="str">
        <v/>
      </c>
      <c r="H312" t="str">
        <v/>
      </c>
      <c r="I312" t="str">
        <v>17/09/2026</v>
      </c>
      <c r="J312" t="str">
        <v>10:29:42</v>
      </c>
      <c r="K312">
        <v>-12.242455</v>
      </c>
      <c r="L312">
        <v>-76.91049</v>
      </c>
      <c r="M312">
        <f>HYPERLINK("https://www.google.com/maps/search/?api=1&amp;query=-12.242455,-76.91049","Avenida Lima, Lurín")</f>
      </c>
      <c r="N312" t="str">
        <v>Acelerado y giro brusco</v>
      </c>
      <c r="O312">
        <v>707.2</v>
      </c>
      <c r="P312" t="str">
        <v/>
      </c>
      <c r="Q312">
        <v>28.7</v>
      </c>
      <c r="R312">
        <v>26.82</v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>
        <v>89</v>
      </c>
      <c r="AA312" t="str">
        <v>17/09/2026</v>
      </c>
      <c r="AB312" t="str">
        <v>10:29:40</v>
      </c>
      <c r="AC312">
        <f>IF("ONLINE"="NOGPS","GPS Antiguo","En línea")</f>
      </c>
      <c r="AD312">
        <f>IF(0=0,"Sin atender", IF(0=1,"Atendida","Atendida y Reportada"))</f>
      </c>
      <c r="AE312" t="str">
        <v/>
      </c>
      <c r="AF312" t="str">
        <v/>
      </c>
      <c r="AG312" t="str">
        <v/>
      </c>
      <c r="AH312" t="str">
        <v/>
      </c>
      <c r="AI312" t="str">
        <v>17/09/2026 10:30:04</v>
      </c>
      <c r="AJ312" t="str">
        <v>10:30:04</v>
      </c>
      <c r="AK312" t="str">
        <v/>
      </c>
    </row>
    <row r="313">
      <c r="A313">
        <v>312</v>
      </c>
      <c r="B313" t="str">
        <v>MASS BSF</v>
      </c>
      <c r="C313" t="str">
        <v>F8R-810</v>
      </c>
      <c r="D313" t="str">
        <v>F8R-810</v>
      </c>
      <c r="E313" t="str">
        <v>867806078868827</v>
      </c>
      <c r="F313" t="str">
        <v>TBD</v>
      </c>
      <c r="G313" t="str">
        <v/>
      </c>
      <c r="H313" t="str">
        <v/>
      </c>
      <c r="I313" t="str">
        <v>17/09/2026</v>
      </c>
      <c r="J313" t="str">
        <v>10:29:47</v>
      </c>
      <c r="K313">
        <v>-12.24217</v>
      </c>
      <c r="L313">
        <v>-76.91068</v>
      </c>
      <c r="M313">
        <f>HYPERLINK("https://www.google.com/maps/search/?api=1&amp;query=-12.24217,-76.91068","Avenida Lima, Lurín")</f>
      </c>
      <c r="N313" t="str">
        <v>Acelerado y giro brusco</v>
      </c>
      <c r="O313">
        <v>707.2</v>
      </c>
      <c r="P313" t="str">
        <v/>
      </c>
      <c r="Q313">
        <v>25.9</v>
      </c>
      <c r="R313">
        <v>26.82</v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>
        <v>89</v>
      </c>
      <c r="AA313" t="str">
        <v>17/09/2026</v>
      </c>
      <c r="AB313" t="str">
        <v>10:29:45</v>
      </c>
      <c r="AC313">
        <f>IF("ONLINE"="NOGPS","GPS Antiguo","En línea")</f>
      </c>
      <c r="AD313">
        <f>IF(0=0,"Sin atender", IF(0=1,"Atendida","Atendida y Reportada"))</f>
      </c>
      <c r="AE313" t="str">
        <v/>
      </c>
      <c r="AF313" t="str">
        <v/>
      </c>
      <c r="AG313" t="str">
        <v/>
      </c>
      <c r="AH313" t="str">
        <v/>
      </c>
      <c r="AI313" t="str">
        <v>17/09/2026 10:30:08</v>
      </c>
      <c r="AJ313" t="str">
        <v>10:30:08</v>
      </c>
      <c r="AK313" t="str">
        <v/>
      </c>
    </row>
    <row r="314">
      <c r="A314">
        <v>313</v>
      </c>
      <c r="B314" t="str">
        <v>MASS BSF</v>
      </c>
      <c r="C314" t="str">
        <v>F8R-810</v>
      </c>
      <c r="D314" t="str">
        <v>F8R-810</v>
      </c>
      <c r="E314" t="str">
        <v>867806078868827</v>
      </c>
      <c r="F314" t="str">
        <v>TBD</v>
      </c>
      <c r="G314" t="str">
        <v/>
      </c>
      <c r="H314" t="str">
        <v/>
      </c>
      <c r="I314" t="str">
        <v>17/09/2026</v>
      </c>
      <c r="J314" t="str">
        <v>10:29:56</v>
      </c>
      <c r="K314">
        <v>-12.24173</v>
      </c>
      <c r="L314">
        <v>-76.91098</v>
      </c>
      <c r="M314">
        <f>HYPERLINK("https://www.google.com/maps/search/?api=1&amp;query=-12.24173,-76.91098","Avenida Lima, Lurín")</f>
      </c>
      <c r="N314" t="str">
        <v>Acelerado y giro brusco</v>
      </c>
      <c r="O314">
        <v>707.3</v>
      </c>
      <c r="P314" t="str">
        <v/>
      </c>
      <c r="Q314">
        <v>23.5</v>
      </c>
      <c r="R314">
        <v>26.82</v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>
        <v>89</v>
      </c>
      <c r="AA314" t="str">
        <v>17/09/2026</v>
      </c>
      <c r="AB314" t="str">
        <v>10:29:54</v>
      </c>
      <c r="AC314">
        <f>IF("ONLINE"="NOGPS","GPS Antiguo","En línea")</f>
      </c>
      <c r="AD314">
        <f>IF(0=0,"Sin atender", IF(0=1,"Atendida","Atendida y Reportada"))</f>
      </c>
      <c r="AE314" t="str">
        <v/>
      </c>
      <c r="AF314" t="str">
        <v/>
      </c>
      <c r="AG314" t="str">
        <v/>
      </c>
      <c r="AH314" t="str">
        <v/>
      </c>
      <c r="AI314" t="str">
        <v>17/09/2026 10:30:15</v>
      </c>
      <c r="AJ314" t="str">
        <v>10:30:15</v>
      </c>
      <c r="AK314" t="str">
        <v/>
      </c>
    </row>
    <row r="315">
      <c r="A315">
        <v>314</v>
      </c>
      <c r="B315" t="str">
        <v>MASS BSF</v>
      </c>
      <c r="C315" t="str">
        <v>F8R-810</v>
      </c>
      <c r="D315" t="str">
        <v>F8R-810</v>
      </c>
      <c r="E315" t="str">
        <v>867806078868827</v>
      </c>
      <c r="F315" t="str">
        <v>TBD</v>
      </c>
      <c r="G315" t="str">
        <v/>
      </c>
      <c r="H315" t="str">
        <v/>
      </c>
      <c r="I315" t="str">
        <v>17/09/2026</v>
      </c>
      <c r="J315" t="str">
        <v>10:30:17</v>
      </c>
      <c r="K315">
        <v>-12.240605</v>
      </c>
      <c r="L315">
        <v>-76.91168</v>
      </c>
      <c r="M315">
        <f>HYPERLINK("https://www.google.com/maps/search/?api=1&amp;query=-12.240605,-76.91168","Avenida Lima, Lurín")</f>
      </c>
      <c r="N315" t="str">
        <v>Aceleración brusca</v>
      </c>
      <c r="O315">
        <v>707.4</v>
      </c>
      <c r="P315" t="str">
        <v/>
      </c>
      <c r="Q315">
        <v>30.1</v>
      </c>
      <c r="R315">
        <v>26.82</v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>
        <v>89</v>
      </c>
      <c r="AA315" t="str">
        <v>17/09/2026</v>
      </c>
      <c r="AB315" t="str">
        <v>10:30:15</v>
      </c>
      <c r="AC315">
        <f>IF("ONLINE"="NOGPS","GPS Antiguo","En línea")</f>
      </c>
      <c r="AD315">
        <f>IF(0=0,"Sin atender", IF(0=1,"Atendida","Atendida y Reportada"))</f>
      </c>
      <c r="AE315" t="str">
        <v/>
      </c>
      <c r="AF315" t="str">
        <v/>
      </c>
      <c r="AG315" t="str">
        <v/>
      </c>
      <c r="AH315" t="str">
        <v/>
      </c>
      <c r="AI315" t="str">
        <v>17/09/2026 10:30:32</v>
      </c>
      <c r="AJ315" t="str">
        <v>10:30:32</v>
      </c>
      <c r="AK315" t="str">
        <v/>
      </c>
    </row>
    <row r="316">
      <c r="A316">
        <v>315</v>
      </c>
      <c r="B316" t="str">
        <v>MASS BSF</v>
      </c>
      <c r="C316" t="str">
        <v>F8R-810</v>
      </c>
      <c r="D316" t="str">
        <v>F8R-810</v>
      </c>
      <c r="E316" t="str">
        <v>867806078868827</v>
      </c>
      <c r="F316" t="str">
        <v>TBD</v>
      </c>
      <c r="G316" t="str">
        <v/>
      </c>
      <c r="H316" t="str">
        <v/>
      </c>
      <c r="I316" t="str">
        <v>17/09/2026</v>
      </c>
      <c r="J316" t="str">
        <v>10:30:24</v>
      </c>
      <c r="K316">
        <v>-12.240193</v>
      </c>
      <c r="L316">
        <v>-76.91192</v>
      </c>
      <c r="M316">
        <f>HYPERLINK("https://www.google.com/maps/search/?api=1&amp;query=-12.240193,-76.91192","Avenida Lima, Villa El Salvador")</f>
      </c>
      <c r="N316" t="str">
        <v>Aceleración brusca</v>
      </c>
      <c r="O316">
        <v>707.5</v>
      </c>
      <c r="P316" t="str">
        <v/>
      </c>
      <c r="Q316">
        <v>23.7</v>
      </c>
      <c r="R316">
        <v>26.82</v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>
        <v>89</v>
      </c>
      <c r="AA316" t="str">
        <v>17/09/2026</v>
      </c>
      <c r="AB316" t="str">
        <v>10:30:22</v>
      </c>
      <c r="AC316">
        <f>IF("ONLINE"="NOGPS","GPS Antiguo","En línea")</f>
      </c>
      <c r="AD316">
        <f>IF(0=0,"Sin atender", IF(0=1,"Atendida","Atendida y Reportada"))</f>
      </c>
      <c r="AE316" t="str">
        <v/>
      </c>
      <c r="AF316" t="str">
        <v/>
      </c>
      <c r="AG316" t="str">
        <v/>
      </c>
      <c r="AH316" t="str">
        <v/>
      </c>
      <c r="AI316" t="str">
        <v>17/09/2026 10:30:36</v>
      </c>
      <c r="AJ316" t="str">
        <v>10:30:36</v>
      </c>
      <c r="AK316" t="str">
        <v/>
      </c>
    </row>
    <row r="317">
      <c r="A317">
        <v>316</v>
      </c>
      <c r="B317" t="str">
        <v>MASS BSF</v>
      </c>
      <c r="C317" t="str">
        <v>F8R-810</v>
      </c>
      <c r="D317" t="str">
        <v>F8R-810</v>
      </c>
      <c r="E317" t="str">
        <v>867806078868827</v>
      </c>
      <c r="F317" t="str">
        <v>TBD</v>
      </c>
      <c r="G317" t="str">
        <v/>
      </c>
      <c r="H317" t="str">
        <v/>
      </c>
      <c r="I317" t="str">
        <v>17/09/2026</v>
      </c>
      <c r="J317" t="str">
        <v>10:31:33</v>
      </c>
      <c r="K317">
        <v>-12.239886</v>
      </c>
      <c r="L317">
        <v>-76.9121</v>
      </c>
      <c r="M317">
        <f>HYPERLINK("https://www.google.com/maps/search/?api=1&amp;query=-12.239886,-76.9121","Avenida Lima, Villa El Salvador")</f>
      </c>
      <c r="N317" t="str">
        <v>Acelerado y giro brusco</v>
      </c>
      <c r="O317">
        <v>707.5</v>
      </c>
      <c r="P317" t="str">
        <v/>
      </c>
      <c r="Q317">
        <v>15.9</v>
      </c>
      <c r="R317">
        <v>26.82</v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>
        <v>89</v>
      </c>
      <c r="AA317" t="str">
        <v>17/09/2026</v>
      </c>
      <c r="AB317" t="str">
        <v>10:31:31</v>
      </c>
      <c r="AC317">
        <f>IF("ONLINE"="NOGPS","GPS Antiguo","En línea")</f>
      </c>
      <c r="AD317">
        <f>IF(0=0,"Sin atender", IF(0=1,"Atendida","Atendida y Reportada"))</f>
      </c>
      <c r="AE317" t="str">
        <v/>
      </c>
      <c r="AF317" t="str">
        <v/>
      </c>
      <c r="AG317" t="str">
        <v/>
      </c>
      <c r="AH317" t="str">
        <v/>
      </c>
      <c r="AI317" t="str">
        <v>17/09/2026 10:31:37</v>
      </c>
      <c r="AJ317" t="str">
        <v>10:31:37</v>
      </c>
      <c r="AK317" t="str">
        <v/>
      </c>
    </row>
    <row r="318">
      <c r="A318">
        <v>317</v>
      </c>
      <c r="B318" t="str">
        <v>MASS BSF</v>
      </c>
      <c r="C318" t="str">
        <v>F8R-810</v>
      </c>
      <c r="D318" t="str">
        <v>F8R-810</v>
      </c>
      <c r="E318" t="str">
        <v>867806078868827</v>
      </c>
      <c r="F318" t="str">
        <v>TBD</v>
      </c>
      <c r="G318" t="str">
        <v/>
      </c>
      <c r="H318" t="str">
        <v/>
      </c>
      <c r="I318" t="str">
        <v>17/09/2026</v>
      </c>
      <c r="J318" t="str">
        <v>10:31:38</v>
      </c>
      <c r="K318">
        <v>-12.239714</v>
      </c>
      <c r="L318">
        <v>-76.9122</v>
      </c>
      <c r="M318">
        <f>HYPERLINK("https://www.google.com/maps/search/?api=1&amp;query=-12.239714,-76.9122","Ovalo María Reiche, Villa El Salvador, Lima")</f>
      </c>
      <c r="N318" t="str">
        <v>Acelerado y giro brusco</v>
      </c>
      <c r="O318">
        <v>707.6</v>
      </c>
      <c r="P318" t="str">
        <v/>
      </c>
      <c r="Q318">
        <v>15.3</v>
      </c>
      <c r="R318">
        <v>26.82</v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>
        <v>89</v>
      </c>
      <c r="AA318" t="str">
        <v>17/09/2026</v>
      </c>
      <c r="AB318" t="str">
        <v>10:31:36</v>
      </c>
      <c r="AC318">
        <f>IF("ONLINE"="NOGPS","GPS Antiguo","En línea")</f>
      </c>
      <c r="AD318">
        <f>IF(0=0,"Sin atender", IF(0=1,"Atendida","Atendida y Reportada"))</f>
      </c>
      <c r="AE318" t="str">
        <v/>
      </c>
      <c r="AF318" t="str">
        <v/>
      </c>
      <c r="AG318" t="str">
        <v/>
      </c>
      <c r="AH318" t="str">
        <v/>
      </c>
      <c r="AI318" t="str">
        <v>17/09/2026 10:31:55</v>
      </c>
      <c r="AJ318" t="str">
        <v>10:31:55</v>
      </c>
      <c r="AK318" t="str">
        <v/>
      </c>
    </row>
    <row r="319">
      <c r="A319">
        <v>318</v>
      </c>
      <c r="B319" t="str">
        <v>MASS BSF</v>
      </c>
      <c r="C319" t="str">
        <v>F8R-810</v>
      </c>
      <c r="D319" t="str">
        <v>F8R-810</v>
      </c>
      <c r="E319" t="str">
        <v>867806078868827</v>
      </c>
      <c r="F319" t="str">
        <v>TBD</v>
      </c>
      <c r="G319" t="str">
        <v/>
      </c>
      <c r="H319" t="str">
        <v/>
      </c>
      <c r="I319" t="str">
        <v>17/09/2026</v>
      </c>
      <c r="J319" t="str">
        <v>10:33:56</v>
      </c>
      <c r="K319">
        <v>-12.238651</v>
      </c>
      <c r="L319">
        <v>-76.91449</v>
      </c>
      <c r="M319">
        <f>HYPERLINK("https://www.google.com/maps/search/?api=1&amp;query=-12.238651,-76.91449","Avenida Separadora Industrial, Villa El Salvador, Lima")</f>
      </c>
      <c r="N319" t="str">
        <v>Acelerado y giro brusco</v>
      </c>
      <c r="O319">
        <v>707.9</v>
      </c>
      <c r="P319" t="str">
        <v/>
      </c>
      <c r="Q319">
        <v>0</v>
      </c>
      <c r="R319">
        <v>26.82</v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>
        <v>87</v>
      </c>
      <c r="AA319" t="str">
        <v>17/09/2026</v>
      </c>
      <c r="AB319" t="str">
        <v>10:33:54</v>
      </c>
      <c r="AC319">
        <f>IF("ONLINE"="NOGPS","GPS Antiguo","En línea")</f>
      </c>
      <c r="AD319">
        <f>IF(0=0,"Sin atender", IF(0=1,"Atendida","Atendida y Reportada"))</f>
      </c>
      <c r="AE319" t="str">
        <v/>
      </c>
      <c r="AF319" t="str">
        <v/>
      </c>
      <c r="AG319" t="str">
        <v/>
      </c>
      <c r="AH319" t="str">
        <v/>
      </c>
      <c r="AI319" t="str">
        <v>17/09/2026 10:34:08</v>
      </c>
      <c r="AJ319" t="str">
        <v>10:34:08</v>
      </c>
      <c r="AK319" t="str">
        <v/>
      </c>
    </row>
    <row r="320">
      <c r="A320">
        <v>319</v>
      </c>
      <c r="B320" t="str">
        <v>MASS BSF</v>
      </c>
      <c r="C320" t="str">
        <v>F8R-810</v>
      </c>
      <c r="D320" t="str">
        <v>F8R-810</v>
      </c>
      <c r="E320" t="str">
        <v>867806078868827</v>
      </c>
      <c r="F320" t="str">
        <v>TBD</v>
      </c>
      <c r="G320" t="str">
        <v/>
      </c>
      <c r="H320" t="str">
        <v/>
      </c>
      <c r="I320" t="str">
        <v>17/09/2026</v>
      </c>
      <c r="J320" t="str">
        <v>10:36:32</v>
      </c>
      <c r="K320">
        <v>-12.238651</v>
      </c>
      <c r="L320">
        <v>-76.91449</v>
      </c>
      <c r="M320">
        <f>HYPERLINK("https://www.google.com/maps/search/?api=1&amp;query=-12.238651,-76.91449","Avenida Separadora Industrial, Villa El Salvador, Lima")</f>
      </c>
      <c r="N320" t="str">
        <v>Inicio de ralentí</v>
      </c>
      <c r="O320">
        <v>707.9</v>
      </c>
      <c r="P320" t="str">
        <v/>
      </c>
      <c r="Q320">
        <v>0</v>
      </c>
      <c r="R320">
        <v>26.82</v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>
        <v>85</v>
      </c>
      <c r="AA320" t="str">
        <v>17/09/2026</v>
      </c>
      <c r="AB320" t="str">
        <v>10:36:30</v>
      </c>
      <c r="AC320">
        <f>IF("ONLINE"="NOGPS","GPS Antiguo","En línea")</f>
      </c>
      <c r="AD320">
        <f>IF(0=0,"Sin atender", IF(0=1,"Atendida","Atendida y Reportada"))</f>
      </c>
      <c r="AE320" t="str">
        <v/>
      </c>
      <c r="AF320" t="str">
        <v/>
      </c>
      <c r="AG320" t="str">
        <v/>
      </c>
      <c r="AH320" t="str">
        <v/>
      </c>
      <c r="AI320" t="str">
        <v>17/09/2026 10:36:49</v>
      </c>
      <c r="AJ320" t="str">
        <v>10:36:49</v>
      </c>
      <c r="AK320" t="str">
        <v/>
      </c>
    </row>
    <row r="321">
      <c r="A321">
        <v>320</v>
      </c>
      <c r="B321" t="str">
        <v>MASS BSF</v>
      </c>
      <c r="C321" t="str">
        <v>F8R-810</v>
      </c>
      <c r="D321" t="str">
        <v>F8R-810</v>
      </c>
      <c r="E321" t="str">
        <v>867806078868827</v>
      </c>
      <c r="F321" t="str">
        <v>TBD</v>
      </c>
      <c r="G321" t="str">
        <v/>
      </c>
      <c r="H321" t="str">
        <v/>
      </c>
      <c r="I321" t="str">
        <v>17/09/2026</v>
      </c>
      <c r="J321" t="str">
        <v>10:38:04</v>
      </c>
      <c r="K321">
        <v>-12.238615</v>
      </c>
      <c r="L321">
        <v>-76.914536</v>
      </c>
      <c r="M321">
        <f>HYPERLINK("https://www.google.com/maps/search/?api=1&amp;query=-12.238615,-76.914536","Avenida Separadora Industrial, Villa El Salvador, Lima")</f>
      </c>
      <c r="N321" t="str">
        <v>Fin de ralentí</v>
      </c>
      <c r="O321">
        <v>707.9</v>
      </c>
      <c r="P321" t="str">
        <v/>
      </c>
      <c r="Q321">
        <v>8.7</v>
      </c>
      <c r="R321">
        <v>26.82</v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>
        <v>85</v>
      </c>
      <c r="AA321" t="str">
        <v>17/09/2026</v>
      </c>
      <c r="AB321" t="str">
        <v>10:38:02</v>
      </c>
      <c r="AC321">
        <f>IF("ONLINE"="NOGPS","GPS Antiguo","En línea")</f>
      </c>
      <c r="AD321">
        <f>IF(0=0,"Sin atender", IF(0=1,"Atendida","Atendida y Reportada"))</f>
      </c>
      <c r="AE321" t="str">
        <v/>
      </c>
      <c r="AF321" t="str">
        <v/>
      </c>
      <c r="AG321" t="str">
        <v/>
      </c>
      <c r="AH321" t="str">
        <v/>
      </c>
      <c r="AI321" t="str">
        <v>17/09/2026 10:38:28</v>
      </c>
      <c r="AJ321" t="str">
        <v>10:38:28</v>
      </c>
      <c r="AK321" t="str">
        <v/>
      </c>
    </row>
    <row r="322">
      <c r="A322">
        <v>321</v>
      </c>
      <c r="B322" t="str">
        <v>MASS BSF</v>
      </c>
      <c r="C322" t="str">
        <v>F8R-810</v>
      </c>
      <c r="D322" t="str">
        <v>F8R-810</v>
      </c>
      <c r="E322" t="str">
        <v>867806078868827</v>
      </c>
      <c r="F322" t="str">
        <v>TBD</v>
      </c>
      <c r="G322" t="str">
        <v/>
      </c>
      <c r="H322" t="str">
        <v/>
      </c>
      <c r="I322" t="str">
        <v>17/09/2026</v>
      </c>
      <c r="J322" t="str">
        <v>10:38:50</v>
      </c>
      <c r="K322">
        <v>-12.238142</v>
      </c>
      <c r="L322">
        <v>-76.91481</v>
      </c>
      <c r="M322">
        <f>HYPERLINK("https://www.google.com/maps/search/?api=1&amp;query=-12.238142,-76.91481","Avenida Separadora Industrial, Villa El Salvador, Lima")</f>
      </c>
      <c r="N322" t="str">
        <v>Aceleración brusca</v>
      </c>
      <c r="O322">
        <v>708</v>
      </c>
      <c r="P322" t="str">
        <v/>
      </c>
      <c r="Q322">
        <v>9.6</v>
      </c>
      <c r="R322">
        <v>26.82</v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>
        <v>87</v>
      </c>
      <c r="AA322" t="str">
        <v>17/09/2026</v>
      </c>
      <c r="AB322" t="str">
        <v>10:38:48</v>
      </c>
      <c r="AC322">
        <f>IF("ONLINE"="NOGPS","GPS Antiguo","En línea")</f>
      </c>
      <c r="AD322">
        <f>IF(0=0,"Sin atender", IF(0=1,"Atendida","Atendida y Reportada"))</f>
      </c>
      <c r="AE322" t="str">
        <v/>
      </c>
      <c r="AF322" t="str">
        <v/>
      </c>
      <c r="AG322" t="str">
        <v/>
      </c>
      <c r="AH322" t="str">
        <v/>
      </c>
      <c r="AI322" t="str">
        <v>17/09/2026 10:39:08</v>
      </c>
      <c r="AJ322" t="str">
        <v>10:39:08</v>
      </c>
      <c r="AK322" t="str">
        <v/>
      </c>
    </row>
    <row r="323">
      <c r="A323">
        <v>322</v>
      </c>
      <c r="B323" t="str">
        <v>MASS BSF</v>
      </c>
      <c r="C323" t="str">
        <v>F8R-810</v>
      </c>
      <c r="D323" t="str">
        <v>F8R-810</v>
      </c>
      <c r="E323" t="str">
        <v>867806078868827</v>
      </c>
      <c r="F323" t="str">
        <v>TBD</v>
      </c>
      <c r="G323" t="str">
        <v/>
      </c>
      <c r="H323" t="str">
        <v/>
      </c>
      <c r="I323" t="str">
        <v>17/09/2026</v>
      </c>
      <c r="J323" t="str">
        <v>10:39:08</v>
      </c>
      <c r="K323">
        <v>-12.237271</v>
      </c>
      <c r="L323">
        <v>-76.91536</v>
      </c>
      <c r="M323">
        <f>HYPERLINK("https://www.google.com/maps/search/?api=1&amp;query=-12.237271,-76.91536","Avenida Separadora Industrial, Villa El Salvador, Lima")</f>
      </c>
      <c r="N323" t="str">
        <v>Aceleración brusca</v>
      </c>
      <c r="O323">
        <v>708.1</v>
      </c>
      <c r="P323" t="str">
        <v/>
      </c>
      <c r="Q323">
        <v>29.2</v>
      </c>
      <c r="R323">
        <v>26.82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>
        <v>94</v>
      </c>
      <c r="AA323" t="str">
        <v>17/09/2026</v>
      </c>
      <c r="AB323" t="str">
        <v>10:39:06</v>
      </c>
      <c r="AC323">
        <f>IF("ONLINE"="NOGPS","GPS Antiguo","En línea")</f>
      </c>
      <c r="AD323">
        <f>IF(0=0,"Sin atender", IF(0=1,"Atendida","Atendida y Reportada"))</f>
      </c>
      <c r="AE323" t="str">
        <v/>
      </c>
      <c r="AF323" t="str">
        <v/>
      </c>
      <c r="AG323" t="str">
        <v/>
      </c>
      <c r="AH323" t="str">
        <v/>
      </c>
      <c r="AI323" t="str">
        <v>17/09/2026 10:39:31</v>
      </c>
      <c r="AJ323" t="str">
        <v>10:39:31</v>
      </c>
      <c r="AK323" t="str">
        <v/>
      </c>
    </row>
    <row r="324">
      <c r="A324">
        <v>323</v>
      </c>
      <c r="B324" t="str">
        <v>MASS BSF</v>
      </c>
      <c r="C324" t="str">
        <v>F8R-810</v>
      </c>
      <c r="D324" t="str">
        <v>F8R-810</v>
      </c>
      <c r="E324" t="str">
        <v>867806078868827</v>
      </c>
      <c r="F324" t="str">
        <v>TBD</v>
      </c>
      <c r="G324" t="str">
        <v/>
      </c>
      <c r="H324" t="str">
        <v/>
      </c>
      <c r="I324" t="str">
        <v>17/09/2026</v>
      </c>
      <c r="J324" t="str">
        <v>10:39:22</v>
      </c>
      <c r="K324">
        <v>-12.236402</v>
      </c>
      <c r="L324">
        <v>-76.91588</v>
      </c>
      <c r="M324">
        <f>HYPERLINK("https://www.google.com/maps/search/?api=1&amp;query=-12.236402,-76.91588","Avenida Separadora Industrial, Villa El Salvador, Lima")</f>
      </c>
      <c r="N324" t="str">
        <v>Acelerado y giro brusco</v>
      </c>
      <c r="O324">
        <v>708.2</v>
      </c>
      <c r="P324" t="str">
        <v/>
      </c>
      <c r="Q324">
        <v>31.2</v>
      </c>
      <c r="R324">
        <v>26.82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>
        <v>94</v>
      </c>
      <c r="AA324" t="str">
        <v>17/09/2026</v>
      </c>
      <c r="AB324" t="str">
        <v>10:39:20</v>
      </c>
      <c r="AC324">
        <f>IF("ONLINE"="NOGPS","GPS Antiguo","En línea")</f>
      </c>
      <c r="AD324">
        <f>IF(0=0,"Sin atender", IF(0=1,"Atendida","Atendida y Reportada"))</f>
      </c>
      <c r="AE324" t="str">
        <v/>
      </c>
      <c r="AF324" t="str">
        <v/>
      </c>
      <c r="AG324" t="str">
        <v/>
      </c>
      <c r="AH324" t="str">
        <v/>
      </c>
      <c r="AI324" t="str">
        <v>17/09/2026 10:39:33</v>
      </c>
      <c r="AJ324" t="str">
        <v>10:39:33</v>
      </c>
      <c r="AK324" t="str">
        <v/>
      </c>
    </row>
    <row r="325">
      <c r="A325">
        <v>324</v>
      </c>
      <c r="B325" t="str">
        <v>MASS BSF</v>
      </c>
      <c r="C325" t="str">
        <v>F8R-810</v>
      </c>
      <c r="D325" t="str">
        <v>F8R-810</v>
      </c>
      <c r="E325" t="str">
        <v>867806078868827</v>
      </c>
      <c r="F325" t="str">
        <v>TBD</v>
      </c>
      <c r="G325" t="str">
        <v/>
      </c>
      <c r="H325" t="str">
        <v/>
      </c>
      <c r="I325" t="str">
        <v>17/09/2026</v>
      </c>
      <c r="J325" t="str">
        <v>10:40:16</v>
      </c>
      <c r="K325">
        <v>-12.232984</v>
      </c>
      <c r="L325">
        <v>-76.917885</v>
      </c>
      <c r="M325">
        <f>HYPERLINK("https://www.google.com/maps/search/?api=1&amp;query=-12.232984,-76.917885","Ovalo Chama, Villa El Salvador, Lima")</f>
      </c>
      <c r="N325" t="str">
        <v>Acelerado y giro brusco</v>
      </c>
      <c r="O325">
        <v>708.7</v>
      </c>
      <c r="P325" t="str">
        <v/>
      </c>
      <c r="Q325">
        <v>16.1</v>
      </c>
      <c r="R325">
        <v>26.82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>
        <v>85</v>
      </c>
      <c r="AA325" t="str">
        <v>17/09/2026</v>
      </c>
      <c r="AB325" t="str">
        <v>10:40:14</v>
      </c>
      <c r="AC325">
        <f>IF("ONLINE"="NOGPS","GPS Antiguo","En línea")</f>
      </c>
      <c r="AD325">
        <f>IF(0=0,"Sin atender", IF(0=1,"Atendida","Atendida y Reportada"))</f>
      </c>
      <c r="AE325" t="str">
        <v/>
      </c>
      <c r="AF325" t="str">
        <v/>
      </c>
      <c r="AG325" t="str">
        <v/>
      </c>
      <c r="AH325" t="str">
        <v/>
      </c>
      <c r="AI325" t="str">
        <v>17/09/2026 10:40:31</v>
      </c>
      <c r="AJ325" t="str">
        <v>10:40:31</v>
      </c>
      <c r="AK325" t="str">
        <v/>
      </c>
    </row>
    <row r="326">
      <c r="A326">
        <v>325</v>
      </c>
      <c r="B326" t="str">
        <v>MASS BSF</v>
      </c>
      <c r="C326" t="str">
        <v>F8R-810</v>
      </c>
      <c r="D326" t="str">
        <v>F8R-810</v>
      </c>
      <c r="E326" t="str">
        <v>867806078868827</v>
      </c>
      <c r="F326" t="str">
        <v>TBD</v>
      </c>
      <c r="G326" t="str">
        <v/>
      </c>
      <c r="H326" t="str">
        <v/>
      </c>
      <c r="I326" t="str">
        <v>17/09/2026</v>
      </c>
      <c r="J326" t="str">
        <v>10:40:26</v>
      </c>
      <c r="K326">
        <v>-12.23299</v>
      </c>
      <c r="L326">
        <v>-76.91818</v>
      </c>
      <c r="M326">
        <f>HYPERLINK("https://www.google.com/maps/search/?api=1&amp;query=-12.23299,-76.91818","Ovalo Chama, Villa El Salvador, Lima")</f>
      </c>
      <c r="N326" t="str">
        <v>Acelerado y giro brusco</v>
      </c>
      <c r="O326">
        <v>708.7</v>
      </c>
      <c r="P326" t="str">
        <v/>
      </c>
      <c r="Q326">
        <v>8.5</v>
      </c>
      <c r="R326">
        <v>26.82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>
        <v>85</v>
      </c>
      <c r="AA326" t="str">
        <v>17/09/2026</v>
      </c>
      <c r="AB326" t="str">
        <v>10:40:24</v>
      </c>
      <c r="AC326">
        <f>IF("ONLINE"="NOGPS","GPS Antiguo","En línea")</f>
      </c>
      <c r="AD326">
        <f>IF(0=0,"Sin atender", IF(0=1,"Atendida","Atendida y Reportada"))</f>
      </c>
      <c r="AE326" t="str">
        <v/>
      </c>
      <c r="AF326" t="str">
        <v/>
      </c>
      <c r="AG326" t="str">
        <v/>
      </c>
      <c r="AH326" t="str">
        <v/>
      </c>
      <c r="AI326" t="str">
        <v>17/09/2026 10:40:36</v>
      </c>
      <c r="AJ326" t="str">
        <v>10:40:36</v>
      </c>
      <c r="AK326" t="str">
        <v/>
      </c>
    </row>
    <row r="327">
      <c r="A327">
        <v>326</v>
      </c>
      <c r="B327" t="str">
        <v>MASS BSF</v>
      </c>
      <c r="C327" t="str">
        <v>F8R-810</v>
      </c>
      <c r="D327" t="str">
        <v>F8R-810</v>
      </c>
      <c r="E327" t="str">
        <v>867806078868827</v>
      </c>
      <c r="F327" t="str">
        <v>TBD</v>
      </c>
      <c r="G327" t="str">
        <v/>
      </c>
      <c r="H327" t="str">
        <v/>
      </c>
      <c r="I327" t="str">
        <v>17/09/2026</v>
      </c>
      <c r="J327" t="str">
        <v>10:40:33</v>
      </c>
      <c r="K327">
        <v>-12.233225</v>
      </c>
      <c r="L327">
        <v>-76.91814</v>
      </c>
      <c r="M327">
        <f>HYPERLINK("https://www.google.com/maps/search/?api=1&amp;query=-12.233225,-76.91814","Ovalo Chama, Villa El Salvador, Lima")</f>
      </c>
      <c r="N327" t="str">
        <v>Acelerado y giro brusco</v>
      </c>
      <c r="O327">
        <v>708.7</v>
      </c>
      <c r="P327" t="str">
        <v/>
      </c>
      <c r="Q327">
        <v>20.5</v>
      </c>
      <c r="R327">
        <v>26.82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>
        <v>85</v>
      </c>
      <c r="AA327" t="str">
        <v>17/09/2026</v>
      </c>
      <c r="AB327" t="str">
        <v>10:40:31</v>
      </c>
      <c r="AC327">
        <f>IF("ONLINE"="NOGPS","GPS Antiguo","En línea")</f>
      </c>
      <c r="AD327">
        <f>IF(0=0,"Sin atender", IF(0=1,"Atendida","Atendida y Reportada"))</f>
      </c>
      <c r="AE327" t="str">
        <v/>
      </c>
      <c r="AF327" t="str">
        <v/>
      </c>
      <c r="AG327" t="str">
        <v/>
      </c>
      <c r="AH327" t="str">
        <v/>
      </c>
      <c r="AI327" t="str">
        <v>17/09/2026 10:40:44</v>
      </c>
      <c r="AJ327" t="str">
        <v>10:40:44</v>
      </c>
      <c r="AK327" t="str">
        <v/>
      </c>
    </row>
    <row r="328">
      <c r="A328">
        <v>327</v>
      </c>
      <c r="B328" t="str">
        <v>MASS BSF</v>
      </c>
      <c r="C328" t="str">
        <v>F8R-810</v>
      </c>
      <c r="D328" t="str">
        <v>F8R-810</v>
      </c>
      <c r="E328" t="str">
        <v>867806078868827</v>
      </c>
      <c r="F328" t="str">
        <v>TBD</v>
      </c>
      <c r="G328" t="str">
        <v/>
      </c>
      <c r="H328" t="str">
        <v/>
      </c>
      <c r="I328" t="str">
        <v>17/09/2026</v>
      </c>
      <c r="J328" t="str">
        <v>10:40:51</v>
      </c>
      <c r="K328">
        <v>-12.234377</v>
      </c>
      <c r="L328">
        <v>-76.91734</v>
      </c>
      <c r="M328">
        <f>HYPERLINK("https://www.google.com/maps/search/?api=1&amp;query=-12.234377,-76.91734","Avenida Separadora Industrial, Villa El Salvador, Lima")</f>
      </c>
      <c r="N328" t="str">
        <v>Acelerado y giro brusco</v>
      </c>
      <c r="O328">
        <v>708.9</v>
      </c>
      <c r="P328" t="str">
        <v/>
      </c>
      <c r="Q328">
        <v>37.5</v>
      </c>
      <c r="R328">
        <v>26.82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>
        <v>85</v>
      </c>
      <c r="AA328" t="str">
        <v>17/09/2026</v>
      </c>
      <c r="AB328" t="str">
        <v>10:40:49</v>
      </c>
      <c r="AC328">
        <f>IF("ONLINE"="NOGPS","GPS Antiguo","En línea")</f>
      </c>
      <c r="AD328">
        <f>IF(0=0,"Sin atender", IF(0=1,"Atendida","Atendida y Reportada"))</f>
      </c>
      <c r="AE328" t="str">
        <v/>
      </c>
      <c r="AF328" t="str">
        <v/>
      </c>
      <c r="AG328" t="str">
        <v/>
      </c>
      <c r="AH328" t="str">
        <v/>
      </c>
      <c r="AI328" t="str">
        <v>17/09/2026 10:41:06</v>
      </c>
      <c r="AJ328" t="str">
        <v>10:41:06</v>
      </c>
      <c r="AK328" t="str">
        <v/>
      </c>
    </row>
    <row r="329">
      <c r="A329">
        <v>328</v>
      </c>
      <c r="B329" t="str">
        <v>MASS BSF</v>
      </c>
      <c r="C329" t="str">
        <v>F8R-810</v>
      </c>
      <c r="D329" t="str">
        <v>F8R-810</v>
      </c>
      <c r="E329" t="str">
        <v>867806078868827</v>
      </c>
      <c r="F329" t="str">
        <v>TBD</v>
      </c>
      <c r="G329" t="str">
        <v/>
      </c>
      <c r="H329" t="str">
        <v/>
      </c>
      <c r="I329" t="str">
        <v>17/09/2026</v>
      </c>
      <c r="J329" t="str">
        <v>10:40:56</v>
      </c>
      <c r="K329">
        <v>-12.2348</v>
      </c>
      <c r="L329">
        <v>-76.91709</v>
      </c>
      <c r="M329">
        <f>HYPERLINK("https://www.google.com/maps/search/?api=1&amp;query=-12.2348,-76.91709","Avenida Separadora Industrial, Villa El Salvador, Lima")</f>
      </c>
      <c r="N329" t="str">
        <v>Acelerado y giro brusco</v>
      </c>
      <c r="O329">
        <v>708.9</v>
      </c>
      <c r="P329" t="str">
        <v/>
      </c>
      <c r="Q329">
        <v>41.4</v>
      </c>
      <c r="R329">
        <v>26.82</v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>
        <v>85</v>
      </c>
      <c r="AA329" t="str">
        <v>17/09/2026</v>
      </c>
      <c r="AB329" t="str">
        <v>10:40:54</v>
      </c>
      <c r="AC329">
        <f>IF("ONLINE"="NOGPS","GPS Antiguo","En línea")</f>
      </c>
      <c r="AD329">
        <f>IF(0=0,"Sin atender", IF(0=1,"Atendida","Atendida y Reportada"))</f>
      </c>
      <c r="AE329" t="str">
        <v/>
      </c>
      <c r="AF329" t="str">
        <v/>
      </c>
      <c r="AG329" t="str">
        <v/>
      </c>
      <c r="AH329" t="str">
        <v/>
      </c>
      <c r="AI329" t="str">
        <v>17/09/2026 10:41:12</v>
      </c>
      <c r="AJ329" t="str">
        <v>10:41:12</v>
      </c>
      <c r="AK329" t="str">
        <v/>
      </c>
    </row>
    <row r="330">
      <c r="A330">
        <v>329</v>
      </c>
      <c r="B330" t="str">
        <v>MASS BSF</v>
      </c>
      <c r="C330" t="str">
        <v>F8R-810</v>
      </c>
      <c r="D330" t="str">
        <v>F8R-810</v>
      </c>
      <c r="E330" t="str">
        <v>867806078868827</v>
      </c>
      <c r="F330" t="str">
        <v>TBD</v>
      </c>
      <c r="G330" t="str">
        <v/>
      </c>
      <c r="H330" t="str">
        <v/>
      </c>
      <c r="I330" t="str">
        <v>17/09/2026</v>
      </c>
      <c r="J330" t="str">
        <v>10:41:12</v>
      </c>
      <c r="K330">
        <v>-12.236443</v>
      </c>
      <c r="L330">
        <v>-76.91611</v>
      </c>
      <c r="M330">
        <f>HYPERLINK("https://www.google.com/maps/search/?api=1&amp;query=-12.236443,-76.91611","Avenida Separadora Industrial, Villa El Salvador, Lima")</f>
      </c>
      <c r="N330" t="str">
        <v>Aceleración brusca</v>
      </c>
      <c r="O330">
        <v>709.1</v>
      </c>
      <c r="P330" t="str">
        <v/>
      </c>
      <c r="Q330">
        <v>50.5</v>
      </c>
      <c r="R330">
        <v>26.82</v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>
        <v>85</v>
      </c>
      <c r="AA330" t="str">
        <v>17/09/2026</v>
      </c>
      <c r="AB330" t="str">
        <v>10:41:10</v>
      </c>
      <c r="AC330">
        <f>IF("ONLINE"="NOGPS","GPS Antiguo","En línea")</f>
      </c>
      <c r="AD330">
        <f>IF(0=0,"Sin atender", IF(0=1,"Atendida","Atendida y Reportada"))</f>
      </c>
      <c r="AE330" t="str">
        <v/>
      </c>
      <c r="AF330" t="str">
        <v/>
      </c>
      <c r="AG330" t="str">
        <v/>
      </c>
      <c r="AH330" t="str">
        <v/>
      </c>
      <c r="AI330" t="str">
        <v>17/09/2026 10:41:26</v>
      </c>
      <c r="AJ330" t="str">
        <v>10:41:26</v>
      </c>
      <c r="AK330" t="str">
        <v/>
      </c>
    </row>
    <row r="331">
      <c r="A331">
        <v>330</v>
      </c>
      <c r="B331" t="str">
        <v>MASS BSF</v>
      </c>
      <c r="C331" t="str">
        <v>F8R-810</v>
      </c>
      <c r="D331" t="str">
        <v>F8R-810</v>
      </c>
      <c r="E331" t="str">
        <v>867806078868827</v>
      </c>
      <c r="F331" t="str">
        <v>TBD</v>
      </c>
      <c r="G331" t="str">
        <v/>
      </c>
      <c r="H331" t="str">
        <v/>
      </c>
      <c r="I331" t="str">
        <v>17/09/2026</v>
      </c>
      <c r="J331" t="str">
        <v>10:42:03</v>
      </c>
      <c r="K331">
        <v>-12.240158</v>
      </c>
      <c r="L331">
        <v>-76.913895</v>
      </c>
      <c r="M331">
        <f>HYPERLINK("https://www.google.com/maps/search/?api=1&amp;query=-12.240158,-76.913895","Avenida Separadora Industrial, Villa El Salvador, Lima")</f>
      </c>
      <c r="N331" t="str">
        <v>Acelerado y giro brusco</v>
      </c>
      <c r="O331">
        <v>709.6</v>
      </c>
      <c r="P331" t="str">
        <v/>
      </c>
      <c r="Q331">
        <v>14.4</v>
      </c>
      <c r="R331">
        <v>26.82</v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>
        <v>85</v>
      </c>
      <c r="AA331" t="str">
        <v>17/09/2026</v>
      </c>
      <c r="AB331" t="str">
        <v>10:42:01</v>
      </c>
      <c r="AC331">
        <f>IF("ONLINE"="NOGPS","GPS Antiguo","En línea")</f>
      </c>
      <c r="AD331">
        <f>IF(0=0,"Sin atender", IF(0=1,"Atendida","Atendida y Reportada"))</f>
      </c>
      <c r="AE331" t="str">
        <v/>
      </c>
      <c r="AF331" t="str">
        <v/>
      </c>
      <c r="AG331" t="str">
        <v/>
      </c>
      <c r="AH331" t="str">
        <v/>
      </c>
      <c r="AI331" t="str">
        <v>17/09/2026 10:42:23</v>
      </c>
      <c r="AJ331" t="str">
        <v>10:42:23</v>
      </c>
      <c r="AK331" t="str">
        <v/>
      </c>
    </row>
    <row r="332">
      <c r="A332">
        <v>331</v>
      </c>
      <c r="B332" t="str">
        <v>MASS BSF</v>
      </c>
      <c r="C332" t="str">
        <v>F8R-810</v>
      </c>
      <c r="D332" t="str">
        <v>F8R-810</v>
      </c>
      <c r="E332" t="str">
        <v>867806078868827</v>
      </c>
      <c r="F332" t="str">
        <v>TBD</v>
      </c>
      <c r="G332" t="str">
        <v/>
      </c>
      <c r="H332" t="str">
        <v/>
      </c>
      <c r="I332" t="str">
        <v>17/09/2026</v>
      </c>
      <c r="J332" t="str">
        <v>10:42:03</v>
      </c>
      <c r="K332">
        <v>-12.240158</v>
      </c>
      <c r="L332">
        <v>-76.913895</v>
      </c>
      <c r="M332">
        <f>HYPERLINK("https://www.google.com/maps/search/?api=1&amp;query=-12.240158,-76.913895","Avenida Separadora Industrial, Villa El Salvador, Lima")</f>
      </c>
      <c r="N332" t="str">
        <v>Acelerado y giro brusco</v>
      </c>
      <c r="O332">
        <v>709.6</v>
      </c>
      <c r="P332" t="str">
        <v/>
      </c>
      <c r="Q332">
        <v>14.4</v>
      </c>
      <c r="R332">
        <v>26.82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>
        <v>85</v>
      </c>
      <c r="AA332" t="str">
        <v>17/09/2026</v>
      </c>
      <c r="AB332" t="str">
        <v>10:42:01</v>
      </c>
      <c r="AC332">
        <f>IF("ONLINE"="NOGPS","GPS Antiguo","En línea")</f>
      </c>
      <c r="AD332">
        <f>IF(0=0,"Sin atender", IF(0=1,"Atendida","Atendida y Reportada"))</f>
      </c>
      <c r="AE332" t="str">
        <v/>
      </c>
      <c r="AF332" t="str">
        <v/>
      </c>
      <c r="AG332" t="str">
        <v/>
      </c>
      <c r="AH332" t="str">
        <v/>
      </c>
      <c r="AI332" t="str">
        <v>17/09/2026 10:42:42</v>
      </c>
      <c r="AJ332" t="str">
        <v>10:42:42</v>
      </c>
      <c r="AK332" t="str">
        <v/>
      </c>
    </row>
    <row r="333">
      <c r="A333">
        <v>332</v>
      </c>
      <c r="B333" t="str">
        <v>MASS BSF</v>
      </c>
      <c r="C333" t="str">
        <v>F8R-810</v>
      </c>
      <c r="D333" t="str">
        <v>F8R-810</v>
      </c>
      <c r="E333" t="str">
        <v>867806078868827</v>
      </c>
      <c r="F333" t="str">
        <v>TBD</v>
      </c>
      <c r="G333" t="str">
        <v/>
      </c>
      <c r="H333" t="str">
        <v/>
      </c>
      <c r="I333" t="str">
        <v>17/09/2026</v>
      </c>
      <c r="J333" t="str">
        <v>10:42:13</v>
      </c>
      <c r="K333">
        <v>-12.24049</v>
      </c>
      <c r="L333">
        <v>-76.91374</v>
      </c>
      <c r="M333">
        <f>HYPERLINK("https://www.google.com/maps/search/?api=1&amp;query=-12.24049,-76.91374","Avenida Separadora Industrial, Villa El Salvador, Lima")</f>
      </c>
      <c r="N333" t="str">
        <v>Acelerado y giro brusco</v>
      </c>
      <c r="O333">
        <v>709.7</v>
      </c>
      <c r="P333" t="str">
        <v/>
      </c>
      <c r="Q333">
        <v>14.4</v>
      </c>
      <c r="R333">
        <v>26.82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>
        <v>85</v>
      </c>
      <c r="AA333" t="str">
        <v>17/09/2026</v>
      </c>
      <c r="AB333" t="str">
        <v>10:42:11</v>
      </c>
      <c r="AC333">
        <f>IF("ONLINE"="NOGPS","GPS Antiguo","En línea")</f>
      </c>
      <c r="AD333">
        <f>IF(0=0,"Sin atender", IF(0=1,"Atendida","Atendida y Reportada"))</f>
      </c>
      <c r="AE333" t="str">
        <v/>
      </c>
      <c r="AF333" t="str">
        <v/>
      </c>
      <c r="AG333" t="str">
        <v/>
      </c>
      <c r="AH333" t="str">
        <v/>
      </c>
      <c r="AI333" t="str">
        <v>17/09/2026 10:42:36</v>
      </c>
      <c r="AJ333" t="str">
        <v>10:42:36</v>
      </c>
      <c r="AK333" t="str">
        <v/>
      </c>
    </row>
    <row r="334">
      <c r="A334">
        <v>333</v>
      </c>
      <c r="B334" t="str">
        <v>MASS BSF</v>
      </c>
      <c r="C334" t="str">
        <v>F8R-810</v>
      </c>
      <c r="D334" t="str">
        <v>F8R-810</v>
      </c>
      <c r="E334" t="str">
        <v>867806078868827</v>
      </c>
      <c r="F334" t="str">
        <v>TBD</v>
      </c>
      <c r="G334" t="str">
        <v/>
      </c>
      <c r="H334" t="str">
        <v/>
      </c>
      <c r="I334" t="str">
        <v>17/09/2026</v>
      </c>
      <c r="J334" t="str">
        <v>10:44:02</v>
      </c>
      <c r="K334">
        <v>-12.239807</v>
      </c>
      <c r="L334">
        <v>-76.91214</v>
      </c>
      <c r="M334">
        <f>HYPERLINK("https://www.google.com/maps/search/?api=1&amp;query=-12.239807,-76.91214","Ovalo María Reiche, Villa El Salvador, Lima")</f>
      </c>
      <c r="N334" t="str">
        <v>Acelerado y giro brusco</v>
      </c>
      <c r="O334">
        <v>709.9</v>
      </c>
      <c r="P334" t="str">
        <v/>
      </c>
      <c r="Q334">
        <v>15.5</v>
      </c>
      <c r="R334">
        <v>26.82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>
        <v>85</v>
      </c>
      <c r="AA334" t="str">
        <v>17/09/2026</v>
      </c>
      <c r="AB334" t="str">
        <v>10:44:00</v>
      </c>
      <c r="AC334">
        <f>IF("ONLINE"="NOGPS","GPS Antiguo","En línea")</f>
      </c>
      <c r="AD334">
        <f>IF(0=0,"Sin atender", IF(0=1,"Atendida","Atendida y Reportada"))</f>
      </c>
      <c r="AE334" t="str">
        <v/>
      </c>
      <c r="AF334" t="str">
        <v/>
      </c>
      <c r="AG334" t="str">
        <v/>
      </c>
      <c r="AH334" t="str">
        <v/>
      </c>
      <c r="AI334" t="str">
        <v>17/09/2026 10:44:27</v>
      </c>
      <c r="AJ334" t="str">
        <v>10:44:27</v>
      </c>
      <c r="AK334" t="str">
        <v/>
      </c>
    </row>
    <row r="335">
      <c r="A335">
        <v>334</v>
      </c>
      <c r="B335" t="str">
        <v>MASS BSF</v>
      </c>
      <c r="C335" t="str">
        <v>F8R-810</v>
      </c>
      <c r="D335" t="str">
        <v>F8R-810</v>
      </c>
      <c r="E335" t="str">
        <v>867806078868827</v>
      </c>
      <c r="F335" t="str">
        <v>TBD</v>
      </c>
      <c r="G335" t="str">
        <v/>
      </c>
      <c r="H335" t="str">
        <v/>
      </c>
      <c r="I335" t="str">
        <v>17/09/2026</v>
      </c>
      <c r="J335" t="str">
        <v>10:44:11</v>
      </c>
      <c r="K335">
        <v>-12.239522</v>
      </c>
      <c r="L335">
        <v>-76.91225</v>
      </c>
      <c r="M335">
        <f>HYPERLINK("https://www.google.com/maps/search/?api=1&amp;query=-12.239522,-76.91225","Avenida Lima, Villa El Salvador")</f>
      </c>
      <c r="N335" t="str">
        <v>Aceleración brusca</v>
      </c>
      <c r="O335">
        <v>709.9</v>
      </c>
      <c r="P335" t="str">
        <v/>
      </c>
      <c r="Q335">
        <v>18.5</v>
      </c>
      <c r="R335">
        <v>26.82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>
        <v>85</v>
      </c>
      <c r="AA335" t="str">
        <v>17/09/2026</v>
      </c>
      <c r="AB335" t="str">
        <v>10:44:09</v>
      </c>
      <c r="AC335">
        <f>IF("ONLINE"="NOGPS","GPS Antiguo","En línea")</f>
      </c>
      <c r="AD335">
        <f>IF(0=0,"Sin atender", IF(0=1,"Atendida","Atendida y Reportada"))</f>
      </c>
      <c r="AE335" t="str">
        <v/>
      </c>
      <c r="AF335" t="str">
        <v/>
      </c>
      <c r="AG335" t="str">
        <v/>
      </c>
      <c r="AH335" t="str">
        <v/>
      </c>
      <c r="AI335" t="str">
        <v>17/09/2026 10:44:24</v>
      </c>
      <c r="AJ335" t="str">
        <v>10:44:24</v>
      </c>
      <c r="AK335" t="str">
        <v/>
      </c>
    </row>
    <row r="336">
      <c r="A336">
        <v>335</v>
      </c>
      <c r="B336" t="str">
        <v>MASS BSF</v>
      </c>
      <c r="C336" t="str">
        <v>F8R-810</v>
      </c>
      <c r="D336" t="str">
        <v>F8R-810</v>
      </c>
      <c r="E336" t="str">
        <v>867806078868827</v>
      </c>
      <c r="F336" t="str">
        <v>TBD</v>
      </c>
      <c r="G336" t="str">
        <v/>
      </c>
      <c r="H336" t="str">
        <v/>
      </c>
      <c r="I336" t="str">
        <v>17/09/2026</v>
      </c>
      <c r="J336" t="str">
        <v>10:44:18</v>
      </c>
      <c r="K336">
        <v>-12.239206</v>
      </c>
      <c r="L336">
        <v>-76.91238</v>
      </c>
      <c r="M336">
        <f>HYPERLINK("https://www.google.com/maps/search/?api=1&amp;query=-12.239206,-76.91238","Avenida Lima, Villa El Salvador")</f>
      </c>
      <c r="N336" t="str">
        <v>Aceleración brusca</v>
      </c>
      <c r="O336">
        <v>709.9</v>
      </c>
      <c r="P336" t="str">
        <v/>
      </c>
      <c r="Q336">
        <v>21.6</v>
      </c>
      <c r="R336">
        <v>26.82</v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>
        <v>85</v>
      </c>
      <c r="AA336" t="str">
        <v>17/09/2026</v>
      </c>
      <c r="AB336" t="str">
        <v>10:44:16</v>
      </c>
      <c r="AC336">
        <f>IF("ONLINE"="NOGPS","GPS Antiguo","En línea")</f>
      </c>
      <c r="AD336">
        <f>IF(0=0,"Sin atender", IF(0=1,"Atendida","Atendida y Reportada"))</f>
      </c>
      <c r="AE336" t="str">
        <v/>
      </c>
      <c r="AF336" t="str">
        <v/>
      </c>
      <c r="AG336" t="str">
        <v/>
      </c>
      <c r="AH336" t="str">
        <v/>
      </c>
      <c r="AI336" t="str">
        <v>17/09/2026 10:44:27</v>
      </c>
      <c r="AJ336" t="str">
        <v>10:44:27</v>
      </c>
      <c r="AK336" t="str">
        <v/>
      </c>
    </row>
    <row r="337">
      <c r="A337">
        <v>336</v>
      </c>
      <c r="B337" t="str">
        <v>MASS BSF</v>
      </c>
      <c r="C337" t="str">
        <v>F8R-810</v>
      </c>
      <c r="D337" t="str">
        <v>F8R-810</v>
      </c>
      <c r="E337" t="str">
        <v>867806078868827</v>
      </c>
      <c r="F337" t="str">
        <v>TBD</v>
      </c>
      <c r="G337" t="str">
        <v/>
      </c>
      <c r="H337" t="str">
        <v/>
      </c>
      <c r="I337" t="str">
        <v>17/09/2026</v>
      </c>
      <c r="J337" t="str">
        <v>10:44:31</v>
      </c>
      <c r="K337">
        <v>-12.238622</v>
      </c>
      <c r="L337">
        <v>-76.91251</v>
      </c>
      <c r="M337">
        <f>HYPERLINK("https://www.google.com/maps/search/?api=1&amp;query=-12.238622,-76.91251","Avenida Lima, Villa El Salvador")</f>
      </c>
      <c r="N337" t="str">
        <v>Bache</v>
      </c>
      <c r="O337">
        <v>710</v>
      </c>
      <c r="P337" t="str">
        <v/>
      </c>
      <c r="Q337">
        <v>7.4</v>
      </c>
      <c r="R337">
        <v>26.82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>
        <v>90</v>
      </c>
      <c r="AA337" t="str">
        <v>17/09/2026</v>
      </c>
      <c r="AB337" t="str">
        <v>10:44:29</v>
      </c>
      <c r="AC337">
        <f>IF("ONLINE"="NOGPS","GPS Antiguo","En línea")</f>
      </c>
      <c r="AD337">
        <f>IF(0=0,"Sin atender", IF(0=1,"Atendida","Atendida y Reportada"))</f>
      </c>
      <c r="AE337" t="str">
        <v/>
      </c>
      <c r="AF337" t="str">
        <v/>
      </c>
      <c r="AG337" t="str">
        <v/>
      </c>
      <c r="AH337" t="str">
        <v/>
      </c>
      <c r="AI337" t="str">
        <v>17/09/2026 10:44:38</v>
      </c>
      <c r="AJ337" t="str">
        <v>10:44:38</v>
      </c>
      <c r="AK337" t="str">
        <v/>
      </c>
    </row>
    <row r="338">
      <c r="A338">
        <v>337</v>
      </c>
      <c r="B338" t="str">
        <v>MASS BSF</v>
      </c>
      <c r="C338" t="str">
        <v>F8R-810</v>
      </c>
      <c r="D338" t="str">
        <v>F8R-810</v>
      </c>
      <c r="E338" t="str">
        <v>867806078868827</v>
      </c>
      <c r="F338" t="str">
        <v>TBD</v>
      </c>
      <c r="G338" t="str">
        <v/>
      </c>
      <c r="H338" t="str">
        <v/>
      </c>
      <c r="I338" t="str">
        <v>17/09/2026</v>
      </c>
      <c r="J338" t="str">
        <v>10:44:38</v>
      </c>
      <c r="K338">
        <v>-12.238395</v>
      </c>
      <c r="L338">
        <v>-76.912544</v>
      </c>
      <c r="M338">
        <f>HYPERLINK("https://www.google.com/maps/search/?api=1&amp;query=-12.238395,-76.912544","Avenida Lima, Villa El Salvador")</f>
      </c>
      <c r="N338" t="str">
        <v>Acelerado y giro brusco</v>
      </c>
      <c r="O338">
        <v>710</v>
      </c>
      <c r="P338" t="str">
        <v/>
      </c>
      <c r="Q338">
        <v>18.1</v>
      </c>
      <c r="R338">
        <v>26.82</v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>
        <v>87</v>
      </c>
      <c r="AA338" t="str">
        <v>17/09/2026</v>
      </c>
      <c r="AB338" t="str">
        <v>10:44:36</v>
      </c>
      <c r="AC338">
        <f>IF("ONLINE"="NOGPS","GPS Antiguo","En línea")</f>
      </c>
      <c r="AD338">
        <f>IF(0=0,"Sin atender", IF(0=1,"Atendida","Atendida y Reportada"))</f>
      </c>
      <c r="AE338" t="str">
        <v/>
      </c>
      <c r="AF338" t="str">
        <v/>
      </c>
      <c r="AG338" t="str">
        <v/>
      </c>
      <c r="AH338" t="str">
        <v/>
      </c>
      <c r="AI338" t="str">
        <v>17/09/2026 10:44:44</v>
      </c>
      <c r="AJ338" t="str">
        <v>10:44:44</v>
      </c>
      <c r="AK338" t="str">
        <v/>
      </c>
    </row>
    <row r="339">
      <c r="A339">
        <v>338</v>
      </c>
      <c r="B339" t="str">
        <v>MASS BSF</v>
      </c>
      <c r="C339" t="str">
        <v>F8R-810</v>
      </c>
      <c r="D339" t="str">
        <v>F8R-810</v>
      </c>
      <c r="E339" t="str">
        <v>867806078868827</v>
      </c>
      <c r="F339" t="str">
        <v>TBD</v>
      </c>
      <c r="G339" t="str">
        <v/>
      </c>
      <c r="H339" t="str">
        <v/>
      </c>
      <c r="I339" t="str">
        <v>17/09/2026</v>
      </c>
      <c r="J339" t="str">
        <v>10:45:35</v>
      </c>
      <c r="K339">
        <v>-12.235045</v>
      </c>
      <c r="L339">
        <v>-76.91158</v>
      </c>
      <c r="M339">
        <f>HYPERLINK("https://www.google.com/maps/search/?api=1&amp;query=-12.235045,-76.91158","Avenida Lima, Villa El Salvador")</f>
      </c>
      <c r="N339" t="str">
        <v>Bache</v>
      </c>
      <c r="O339">
        <v>710.4</v>
      </c>
      <c r="P339" t="str">
        <v/>
      </c>
      <c r="Q339">
        <v>7.4</v>
      </c>
      <c r="R339">
        <v>26.82</v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>
        <v>87</v>
      </c>
      <c r="AA339" t="str">
        <v>17/09/2026</v>
      </c>
      <c r="AB339" t="str">
        <v>10:45:33</v>
      </c>
      <c r="AC339">
        <f>IF("ONLINE"="NOGPS","GPS Antiguo","En línea")</f>
      </c>
      <c r="AD339">
        <f>IF(0=0,"Sin atender", IF(0=1,"Atendida","Atendida y Reportada"))</f>
      </c>
      <c r="AE339" t="str">
        <v/>
      </c>
      <c r="AF339" t="str">
        <v/>
      </c>
      <c r="AG339" t="str">
        <v/>
      </c>
      <c r="AH339" t="str">
        <v/>
      </c>
      <c r="AI339" t="str">
        <v>17/09/2026 10:45:48</v>
      </c>
      <c r="AJ339" t="str">
        <v>10:45:48</v>
      </c>
      <c r="AK339" t="str">
        <v/>
      </c>
    </row>
    <row r="340">
      <c r="A340">
        <v>339</v>
      </c>
      <c r="B340" t="str">
        <v>MASS BSF</v>
      </c>
      <c r="C340" t="str">
        <v>F8R-810</v>
      </c>
      <c r="D340" t="str">
        <v>F8R-810</v>
      </c>
      <c r="E340" t="str">
        <v>867806078868827</v>
      </c>
      <c r="F340" t="str">
        <v>TBD</v>
      </c>
      <c r="G340" t="str">
        <v/>
      </c>
      <c r="H340" t="str">
        <v/>
      </c>
      <c r="I340" t="str">
        <v>17/09/2026</v>
      </c>
      <c r="J340" t="str">
        <v>10:45:39</v>
      </c>
      <c r="K340">
        <v>-12.23497</v>
      </c>
      <c r="L340">
        <v>-76.91152</v>
      </c>
      <c r="M340">
        <f>HYPERLINK("https://www.google.com/maps/search/?api=1&amp;query=-12.23497,-76.91152","Avenida Lima, Villa El Salvador")</f>
      </c>
      <c r="N340" t="str">
        <v>Acelerado y giro brusco</v>
      </c>
      <c r="O340">
        <v>710.4</v>
      </c>
      <c r="P340" t="str">
        <v/>
      </c>
      <c r="Q340">
        <v>12.5</v>
      </c>
      <c r="R340">
        <v>26.82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>
        <v>93</v>
      </c>
      <c r="AA340" t="str">
        <v>17/09/2026</v>
      </c>
      <c r="AB340" t="str">
        <v>10:45:37</v>
      </c>
      <c r="AC340">
        <f>IF("ONLINE"="NOGPS","GPS Antiguo","En línea")</f>
      </c>
      <c r="AD340">
        <f>IF(0=0,"Sin atender", IF(0=1,"Atendida","Atendida y Reportada"))</f>
      </c>
      <c r="AE340" t="str">
        <v/>
      </c>
      <c r="AF340" t="str">
        <v/>
      </c>
      <c r="AG340" t="str">
        <v/>
      </c>
      <c r="AH340" t="str">
        <v/>
      </c>
      <c r="AI340" t="str">
        <v>17/09/2026 10:46:03</v>
      </c>
      <c r="AJ340" t="str">
        <v>10:46:03</v>
      </c>
      <c r="AK340" t="str">
        <v/>
      </c>
    </row>
    <row r="341">
      <c r="A341">
        <v>340</v>
      </c>
      <c r="B341" t="str">
        <v>MASS BSF</v>
      </c>
      <c r="C341" t="str">
        <v>F8R-810</v>
      </c>
      <c r="D341" t="str">
        <v>F8R-810</v>
      </c>
      <c r="E341" t="str">
        <v>867806078868827</v>
      </c>
      <c r="F341" t="str">
        <v>TBD</v>
      </c>
      <c r="G341" t="str">
        <v/>
      </c>
      <c r="H341" t="str">
        <v/>
      </c>
      <c r="I341" t="str">
        <v>17/09/2026</v>
      </c>
      <c r="J341" t="str">
        <v>10:45:55</v>
      </c>
      <c r="K341">
        <v>-12.23522</v>
      </c>
      <c r="L341">
        <v>-76.9108</v>
      </c>
      <c r="M341">
        <f>HYPERLINK("https://www.google.com/maps/search/?api=1&amp;query=-12.23522,-76.9108","Calle 8, Lurín, Lima")</f>
      </c>
      <c r="N341" t="str">
        <v>Acelerado y giro brusco</v>
      </c>
      <c r="O341">
        <v>710.5</v>
      </c>
      <c r="P341" t="str">
        <v/>
      </c>
      <c r="Q341">
        <v>24</v>
      </c>
      <c r="R341">
        <v>26.82</v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>
        <v>93</v>
      </c>
      <c r="AA341" t="str">
        <v>17/09/2026</v>
      </c>
      <c r="AB341" t="str">
        <v>10:45:53</v>
      </c>
      <c r="AC341">
        <f>IF("ONLINE"="NOGPS","GPS Antiguo","En línea")</f>
      </c>
      <c r="AD341">
        <f>IF(0=0,"Sin atender", IF(0=1,"Atendida","Atendida y Reportada"))</f>
      </c>
      <c r="AE341" t="str">
        <v/>
      </c>
      <c r="AF341" t="str">
        <v/>
      </c>
      <c r="AG341" t="str">
        <v/>
      </c>
      <c r="AH341" t="str">
        <v/>
      </c>
      <c r="AI341" t="str">
        <v>17/09/2026 10:46:18</v>
      </c>
      <c r="AJ341" t="str">
        <v>10:46:18</v>
      </c>
      <c r="AK341" t="str">
        <v/>
      </c>
    </row>
    <row r="342">
      <c r="A342">
        <v>341</v>
      </c>
      <c r="B342" t="str">
        <v>MASS BSF</v>
      </c>
      <c r="C342" t="str">
        <v>F8R-810</v>
      </c>
      <c r="D342" t="str">
        <v>F8R-810</v>
      </c>
      <c r="E342" t="str">
        <v>867806078868827</v>
      </c>
      <c r="F342" t="str">
        <v>TBD</v>
      </c>
      <c r="G342" t="str">
        <v/>
      </c>
      <c r="H342" t="str">
        <v/>
      </c>
      <c r="I342" t="str">
        <v>17/09/2026</v>
      </c>
      <c r="J342" t="str">
        <v>10:46:18</v>
      </c>
      <c r="K342">
        <v>-12.235659</v>
      </c>
      <c r="L342">
        <v>-76.91017</v>
      </c>
      <c r="M342">
        <f>HYPERLINK("https://www.google.com/maps/search/?api=1&amp;query=-12.235659,-76.91017","Calle 2, Lurín, Lima")</f>
      </c>
      <c r="N342" t="str">
        <v>Acelerado y giro brusco</v>
      </c>
      <c r="O342">
        <v>710.6</v>
      </c>
      <c r="P342" t="str">
        <v/>
      </c>
      <c r="Q342">
        <v>6.1</v>
      </c>
      <c r="R342">
        <v>26.82</v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>
        <v>87</v>
      </c>
      <c r="AA342" t="str">
        <v>17/09/2026</v>
      </c>
      <c r="AB342" t="str">
        <v>10:46:16</v>
      </c>
      <c r="AC342">
        <f>IF("ONLINE"="NOGPS","GPS Antiguo","En línea")</f>
      </c>
      <c r="AD342">
        <f>IF(0=0,"Sin atender", IF(0=1,"Atendida","Atendida y Reportada"))</f>
      </c>
      <c r="AE342" t="str">
        <v/>
      </c>
      <c r="AF342" t="str">
        <v/>
      </c>
      <c r="AG342" t="str">
        <v/>
      </c>
      <c r="AH342" t="str">
        <v/>
      </c>
      <c r="AI342" t="str">
        <v>17/09/2026 10:46:40</v>
      </c>
      <c r="AJ342" t="str">
        <v>10:46:40</v>
      </c>
      <c r="AK342" t="str">
        <v/>
      </c>
    </row>
    <row r="343">
      <c r="A343">
        <v>342</v>
      </c>
      <c r="B343" t="str">
        <v>MASS BSF</v>
      </c>
      <c r="C343" t="str">
        <v>F8R-810</v>
      </c>
      <c r="D343" t="str">
        <v>F8R-810</v>
      </c>
      <c r="E343" t="str">
        <v>867806078868827</v>
      </c>
      <c r="F343" t="str">
        <v>TBD</v>
      </c>
      <c r="G343" t="str">
        <v/>
      </c>
      <c r="H343" t="str">
        <v/>
      </c>
      <c r="I343" t="str">
        <v>17/09/2026</v>
      </c>
      <c r="J343" t="str">
        <v>10:48:25</v>
      </c>
      <c r="K343">
        <v>-12.23568</v>
      </c>
      <c r="L343">
        <v>-76.91018</v>
      </c>
      <c r="M343">
        <f>HYPERLINK("https://www.google.com/maps/search/?api=1&amp;query=-12.23568,-76.91018","Calle 2, Lurín, Lima")</f>
      </c>
      <c r="N343" t="str">
        <v>Vehículo apagado</v>
      </c>
      <c r="O343">
        <v>710.6</v>
      </c>
      <c r="P343" t="str">
        <v/>
      </c>
      <c r="Q343">
        <v>0</v>
      </c>
      <c r="R343">
        <v>27.5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>
        <v>85</v>
      </c>
      <c r="AA343" t="str">
        <v>17/09/2026</v>
      </c>
      <c r="AB343" t="str">
        <v>10:48:23</v>
      </c>
      <c r="AC343">
        <f>IF("ONLINE"="NOGPS","GPS Antiguo","En línea")</f>
      </c>
      <c r="AD343">
        <f>IF(0=0,"Sin atender", IF(0=1,"Atendida","Atendida y Reportada"))</f>
      </c>
      <c r="AE343" t="str">
        <v/>
      </c>
      <c r="AF343" t="str">
        <v/>
      </c>
      <c r="AG343" t="str">
        <v/>
      </c>
      <c r="AH343" t="str">
        <v/>
      </c>
      <c r="AI343" t="str">
        <v>17/09/2026 10:48:42</v>
      </c>
      <c r="AJ343" t="str">
        <v>10:48:42</v>
      </c>
      <c r="AK343" t="str">
        <v/>
      </c>
    </row>
    <row r="344">
      <c r="A344">
        <v>343</v>
      </c>
      <c r="B344" t="str">
        <v>MASS BSF</v>
      </c>
      <c r="C344" t="str">
        <v>F8R-810</v>
      </c>
      <c r="D344" t="str">
        <v>F8R-810</v>
      </c>
      <c r="E344" t="str">
        <v>867806078868827</v>
      </c>
      <c r="F344" t="str">
        <v>TBD</v>
      </c>
      <c r="G344" t="str">
        <v/>
      </c>
      <c r="H344" t="str">
        <v/>
      </c>
      <c r="I344" t="str">
        <v>17/09/2026</v>
      </c>
      <c r="J344" t="str">
        <v>11:28:15</v>
      </c>
      <c r="K344">
        <v>-12.235633</v>
      </c>
      <c r="L344">
        <v>-76.91006</v>
      </c>
      <c r="M344">
        <f>HYPERLINK("https://www.google.com/maps/search/?api=1&amp;query=-12.235633,-76.91006","Calle 2, Lurín, Lima")</f>
      </c>
      <c r="N344" t="str">
        <v>Vehículo encendido</v>
      </c>
      <c r="O344">
        <v>710.6</v>
      </c>
      <c r="P344" t="str">
        <v/>
      </c>
      <c r="Q344">
        <v>0</v>
      </c>
      <c r="R344">
        <v>27.58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>
        <v>88</v>
      </c>
      <c r="AA344" t="str">
        <v>17/09/2026</v>
      </c>
      <c r="AB344" t="str">
        <v>11:28:13</v>
      </c>
      <c r="AC344">
        <f>IF("ONLINE"="NOGPS","GPS Antiguo","En línea")</f>
      </c>
      <c r="AD344">
        <f>IF(0=0,"Sin atender", IF(0=1,"Atendida","Atendida y Reportada"))</f>
      </c>
      <c r="AE344" t="str">
        <v/>
      </c>
      <c r="AF344" t="str">
        <v/>
      </c>
      <c r="AG344" t="str">
        <v/>
      </c>
      <c r="AH344" t="str">
        <v/>
      </c>
      <c r="AI344" t="str">
        <v>17/09/2026 11:28:20</v>
      </c>
      <c r="AJ344" t="str">
        <v>11:28:20</v>
      </c>
      <c r="AK344" t="str">
        <v/>
      </c>
    </row>
    <row r="345">
      <c r="A345">
        <v>344</v>
      </c>
      <c r="B345" t="str">
        <v>MASS BSF</v>
      </c>
      <c r="C345" t="str">
        <v>F8R-810</v>
      </c>
      <c r="D345" t="str">
        <v>F8R-810</v>
      </c>
      <c r="E345" t="str">
        <v>867806078868827</v>
      </c>
      <c r="F345" t="str">
        <v>TBD</v>
      </c>
      <c r="G345" t="str">
        <v/>
      </c>
      <c r="H345" t="str">
        <v/>
      </c>
      <c r="I345" t="str">
        <v>17/09/2026</v>
      </c>
      <c r="J345" t="str">
        <v>11:28:42</v>
      </c>
      <c r="K345">
        <v>-12.235686</v>
      </c>
      <c r="L345">
        <v>-76.91007</v>
      </c>
      <c r="M345">
        <f>HYPERLINK("https://www.google.com/maps/search/?api=1&amp;query=-12.235686,-76.91007","Calle 2, Lurín, Lima")</f>
      </c>
      <c r="N345" t="str">
        <v>Aceleración brusca</v>
      </c>
      <c r="O345">
        <v>710.6</v>
      </c>
      <c r="P345" t="str">
        <v/>
      </c>
      <c r="Q345">
        <v>12</v>
      </c>
      <c r="R345">
        <v>27.58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>
        <v>88</v>
      </c>
      <c r="AA345" t="str">
        <v>17/09/2026</v>
      </c>
      <c r="AB345" t="str">
        <v>11:28:39</v>
      </c>
      <c r="AC345">
        <f>IF("ONLINE"="NOGPS","GPS Antiguo","En línea")</f>
      </c>
      <c r="AD345">
        <f>IF(0=0,"Sin atender", IF(0=1,"Atendida","Atendida y Reportada"))</f>
      </c>
      <c r="AE345" t="str">
        <v/>
      </c>
      <c r="AF345" t="str">
        <v/>
      </c>
      <c r="AG345" t="str">
        <v/>
      </c>
      <c r="AH345" t="str">
        <v/>
      </c>
      <c r="AI345" t="str">
        <v>17/09/2026 11:29:05</v>
      </c>
      <c r="AJ345" t="str">
        <v>11:29:05</v>
      </c>
      <c r="AK345" t="str">
        <v/>
      </c>
    </row>
    <row r="346">
      <c r="A346">
        <v>345</v>
      </c>
      <c r="B346" t="str">
        <v>MASS BSF</v>
      </c>
      <c r="C346" t="str">
        <v>F8R-810</v>
      </c>
      <c r="D346" t="str">
        <v>F8R-810</v>
      </c>
      <c r="E346" t="str">
        <v>867806078868827</v>
      </c>
      <c r="F346" t="str">
        <v>TBD</v>
      </c>
      <c r="G346" t="str">
        <v/>
      </c>
      <c r="H346" t="str">
        <v/>
      </c>
      <c r="I346" t="str">
        <v>17/09/2026</v>
      </c>
      <c r="J346" t="str">
        <v>11:28:47</v>
      </c>
      <c r="K346">
        <v>-12.235884</v>
      </c>
      <c r="L346">
        <v>-76.91017</v>
      </c>
      <c r="M346">
        <f>HYPERLINK("https://www.google.com/maps/search/?api=1&amp;query=-12.235884,-76.91017","Calle 2, Lurín, Lima")</f>
      </c>
      <c r="N346" t="str">
        <v>Aceleración brusca</v>
      </c>
      <c r="O346">
        <v>710.6</v>
      </c>
      <c r="P346" t="str">
        <v/>
      </c>
      <c r="Q346">
        <v>15.7</v>
      </c>
      <c r="R346">
        <v>27.58</v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>
        <v>88</v>
      </c>
      <c r="AA346" t="str">
        <v>17/09/2026</v>
      </c>
      <c r="AB346" t="str">
        <v>11:28:45</v>
      </c>
      <c r="AC346">
        <f>IF("ONLINE"="NOGPS","GPS Antiguo","En línea")</f>
      </c>
      <c r="AD346">
        <f>IF(0=0,"Sin atender", IF(0=1,"Atendida","Atendida y Reportada"))</f>
      </c>
      <c r="AE346" t="str">
        <v/>
      </c>
      <c r="AF346" t="str">
        <v/>
      </c>
      <c r="AG346" t="str">
        <v/>
      </c>
      <c r="AH346" t="str">
        <v/>
      </c>
      <c r="AI346" t="str">
        <v>17/09/2026 11:28:49</v>
      </c>
      <c r="AJ346" t="str">
        <v>11:28:49</v>
      </c>
      <c r="AK346" t="str">
        <v/>
      </c>
    </row>
    <row r="347">
      <c r="A347">
        <v>346</v>
      </c>
      <c r="B347" t="str">
        <v>MASS BSF</v>
      </c>
      <c r="C347" t="str">
        <v>F8R-810</v>
      </c>
      <c r="D347" t="str">
        <v>F8R-810</v>
      </c>
      <c r="E347" t="str">
        <v>867806078868827</v>
      </c>
      <c r="F347" t="str">
        <v>TBD</v>
      </c>
      <c r="G347" t="str">
        <v/>
      </c>
      <c r="H347" t="str">
        <v/>
      </c>
      <c r="I347" t="str">
        <v>17/09/2026</v>
      </c>
      <c r="J347" t="str">
        <v>11:29:08</v>
      </c>
      <c r="K347">
        <v>-12.236323</v>
      </c>
      <c r="L347">
        <v>-76.91064</v>
      </c>
      <c r="M347">
        <f>HYPERLINK("https://www.google.com/maps/search/?api=1&amp;query=-12.236323,-76.91064","Calle 9, Lurín, Lima")</f>
      </c>
      <c r="N347" t="str">
        <v>Acelerado y giro brusco</v>
      </c>
      <c r="O347">
        <v>710.7</v>
      </c>
      <c r="P347" t="str">
        <v/>
      </c>
      <c r="Q347">
        <v>16.4</v>
      </c>
      <c r="R347">
        <v>27.58</v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>
        <v>88</v>
      </c>
      <c r="AA347" t="str">
        <v>17/09/2026</v>
      </c>
      <c r="AB347" t="str">
        <v>11:29:05</v>
      </c>
      <c r="AC347">
        <f>IF("ONLINE"="NOGPS","GPS Antiguo","En línea")</f>
      </c>
      <c r="AD347">
        <f>IF(0=0,"Sin atender", IF(0=1,"Atendida","Atendida y Reportada"))</f>
      </c>
      <c r="AE347" t="str">
        <v/>
      </c>
      <c r="AF347" t="str">
        <v/>
      </c>
      <c r="AG347" t="str">
        <v/>
      </c>
      <c r="AH347" t="str">
        <v/>
      </c>
      <c r="AI347" t="str">
        <v>17/09/2026 11:29:27</v>
      </c>
      <c r="AJ347" t="str">
        <v>11:29:27</v>
      </c>
      <c r="AK347" t="str">
        <v/>
      </c>
    </row>
    <row r="348">
      <c r="A348">
        <v>347</v>
      </c>
      <c r="B348" t="str">
        <v>MASS BSF</v>
      </c>
      <c r="C348" t="str">
        <v>F8R-810</v>
      </c>
      <c r="D348" t="str">
        <v>F8R-810</v>
      </c>
      <c r="E348" t="str">
        <v>867806078868827</v>
      </c>
      <c r="F348" t="str">
        <v>TBD</v>
      </c>
      <c r="G348" t="str">
        <v/>
      </c>
      <c r="H348" t="str">
        <v/>
      </c>
      <c r="I348" t="str">
        <v>17/09/2026</v>
      </c>
      <c r="J348" t="str">
        <v>11:29:33</v>
      </c>
      <c r="K348">
        <v>-12.236056</v>
      </c>
      <c r="L348">
        <v>-76.91147</v>
      </c>
      <c r="M348">
        <f>HYPERLINK("https://www.google.com/maps/search/?api=1&amp;query=-12.236056,-76.91147","Calle 9, Lurín, Lima")</f>
      </c>
      <c r="N348" t="str">
        <v>Acelerado y giro brusco</v>
      </c>
      <c r="O348">
        <v>710.8</v>
      </c>
      <c r="P348" t="str">
        <v/>
      </c>
      <c r="Q348">
        <v>17.2</v>
      </c>
      <c r="R348">
        <v>27.58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>
        <v>88</v>
      </c>
      <c r="AA348" t="str">
        <v>17/09/2026</v>
      </c>
      <c r="AB348" t="str">
        <v>11:29:30</v>
      </c>
      <c r="AC348">
        <f>IF("ONLINE"="NOGPS","GPS Antiguo","En línea")</f>
      </c>
      <c r="AD348">
        <f>IF(0=0,"Sin atender", IF(0=1,"Atendida","Atendida y Reportada"))</f>
      </c>
      <c r="AE348" t="str">
        <v/>
      </c>
      <c r="AF348" t="str">
        <v/>
      </c>
      <c r="AG348" t="str">
        <v/>
      </c>
      <c r="AH348" t="str">
        <v/>
      </c>
      <c r="AI348" t="str">
        <v>17/09/2026 11:29:51</v>
      </c>
      <c r="AJ348" t="str">
        <v>11:29:51</v>
      </c>
      <c r="AK348" t="str">
        <v/>
      </c>
    </row>
    <row r="349">
      <c r="A349">
        <v>348</v>
      </c>
      <c r="B349" t="str">
        <v>MASS BSF</v>
      </c>
      <c r="C349" t="str">
        <v>F8R-810</v>
      </c>
      <c r="D349" t="str">
        <v>F8R-810</v>
      </c>
      <c r="E349" t="str">
        <v>867806078868827</v>
      </c>
      <c r="F349" t="str">
        <v>TBD</v>
      </c>
      <c r="G349" t="str">
        <v/>
      </c>
      <c r="H349" t="str">
        <v/>
      </c>
      <c r="I349" t="str">
        <v>17/09/2026</v>
      </c>
      <c r="J349" t="str">
        <v>11:29:49</v>
      </c>
      <c r="K349">
        <v>-12.236393</v>
      </c>
      <c r="L349">
        <v>-76.91176</v>
      </c>
      <c r="M349">
        <f>HYPERLINK("https://www.google.com/maps/search/?api=1&amp;query=-12.236393,-76.91176","Avenida Lima, Lurín")</f>
      </c>
      <c r="N349" t="str">
        <v>Acelerado y giro brusco</v>
      </c>
      <c r="O349">
        <v>710.9</v>
      </c>
      <c r="P349" t="str">
        <v/>
      </c>
      <c r="Q349">
        <v>21.4</v>
      </c>
      <c r="R349">
        <v>27.58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>
        <v>88</v>
      </c>
      <c r="AA349" t="str">
        <v>17/09/2026</v>
      </c>
      <c r="AB349" t="str">
        <v>11:29:47</v>
      </c>
      <c r="AC349">
        <f>IF("ONLINE"="NOGPS","GPS Antiguo","En línea")</f>
      </c>
      <c r="AD349">
        <f>IF(0=0,"Sin atender", IF(0=1,"Atendida","Atendida y Reportada"))</f>
      </c>
      <c r="AE349" t="str">
        <v/>
      </c>
      <c r="AF349" t="str">
        <v/>
      </c>
      <c r="AG349" t="str">
        <v/>
      </c>
      <c r="AH349" t="str">
        <v/>
      </c>
      <c r="AI349" t="str">
        <v>17/09/2026 11:29:55</v>
      </c>
      <c r="AJ349" t="str">
        <v>11:29:55</v>
      </c>
      <c r="AK349" t="str">
        <v/>
      </c>
    </row>
    <row r="350">
      <c r="A350">
        <v>349</v>
      </c>
      <c r="B350" t="str">
        <v>MASS BSF</v>
      </c>
      <c r="C350" t="str">
        <v>F8R-810</v>
      </c>
      <c r="D350" t="str">
        <v>F8R-810</v>
      </c>
      <c r="E350" t="str">
        <v>867806078868827</v>
      </c>
      <c r="F350" t="str">
        <v>TBD</v>
      </c>
      <c r="G350" t="str">
        <v/>
      </c>
      <c r="H350" t="str">
        <v/>
      </c>
      <c r="I350" t="str">
        <v>17/09/2026</v>
      </c>
      <c r="J350" t="str">
        <v>11:30:03</v>
      </c>
      <c r="K350">
        <v>-12.237146</v>
      </c>
      <c r="L350">
        <v>-76.911995</v>
      </c>
      <c r="M350">
        <f>HYPERLINK("https://www.google.com/maps/search/?api=1&amp;query=-12.237146,-76.911995","Avenida Lima, Lurín")</f>
      </c>
      <c r="N350" t="str">
        <v>Bache</v>
      </c>
      <c r="O350">
        <v>711</v>
      </c>
      <c r="P350" t="str">
        <v/>
      </c>
      <c r="Q350">
        <v>23.3</v>
      </c>
      <c r="R350">
        <v>27.58</v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>
        <v>88</v>
      </c>
      <c r="AA350" t="str">
        <v>17/09/2026</v>
      </c>
      <c r="AB350" t="str">
        <v>11:30:01</v>
      </c>
      <c r="AC350">
        <f>IF("ONLINE"="NOGPS","GPS Antiguo","En línea")</f>
      </c>
      <c r="AD350">
        <f>IF(0=0,"Sin atender", IF(0=1,"Atendida","Atendida y Reportada"))</f>
      </c>
      <c r="AE350" t="str">
        <v/>
      </c>
      <c r="AF350" t="str">
        <v/>
      </c>
      <c r="AG350" t="str">
        <v/>
      </c>
      <c r="AH350" t="str">
        <v/>
      </c>
      <c r="AI350" t="str">
        <v>17/09/2026 11:30:16</v>
      </c>
      <c r="AJ350" t="str">
        <v>11:30:16</v>
      </c>
      <c r="AK350" t="str">
        <v/>
      </c>
    </row>
    <row r="351">
      <c r="A351">
        <v>350</v>
      </c>
      <c r="B351" t="str">
        <v>MASS BSF</v>
      </c>
      <c r="C351" t="str">
        <v>F8R-810</v>
      </c>
      <c r="D351" t="str">
        <v>F8R-810</v>
      </c>
      <c r="E351" t="str">
        <v>867806078868827</v>
      </c>
      <c r="F351" t="str">
        <v>TBD</v>
      </c>
      <c r="G351" t="str">
        <v/>
      </c>
      <c r="H351" t="str">
        <v/>
      </c>
      <c r="I351" t="str">
        <v>17/09/2026</v>
      </c>
      <c r="J351" t="str">
        <v>11:30:11</v>
      </c>
      <c r="K351">
        <v>-12.23754</v>
      </c>
      <c r="L351">
        <v>-76.9121</v>
      </c>
      <c r="M351">
        <f>HYPERLINK("https://www.google.com/maps/search/?api=1&amp;query=-12.23754,-76.9121","Avenida Lima, Lurín")</f>
      </c>
      <c r="N351" t="str">
        <v>Acelerado y giro brusco</v>
      </c>
      <c r="O351">
        <v>711</v>
      </c>
      <c r="P351" t="str">
        <v/>
      </c>
      <c r="Q351">
        <v>18.1</v>
      </c>
      <c r="R351">
        <v>27.58</v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>
        <v>88</v>
      </c>
      <c r="AA351" t="str">
        <v>17/09/2026</v>
      </c>
      <c r="AB351" t="str">
        <v>11:30:08</v>
      </c>
      <c r="AC351">
        <f>IF("ONLINE"="NOGPS","GPS Antiguo","En línea")</f>
      </c>
      <c r="AD351">
        <f>IF(0=0,"Sin atender", IF(0=1,"Atendida","Atendida y Reportada"))</f>
      </c>
      <c r="AE351" t="str">
        <v/>
      </c>
      <c r="AF351" t="str">
        <v/>
      </c>
      <c r="AG351" t="str">
        <v/>
      </c>
      <c r="AH351" t="str">
        <v/>
      </c>
      <c r="AI351" t="str">
        <v>17/09/2026 11:30:25</v>
      </c>
      <c r="AJ351" t="str">
        <v>11:30:25</v>
      </c>
      <c r="AK351" t="str">
        <v/>
      </c>
    </row>
    <row r="352">
      <c r="A352">
        <v>351</v>
      </c>
      <c r="B352" t="str">
        <v>MASS BSF</v>
      </c>
      <c r="C352" t="str">
        <v>F8R-810</v>
      </c>
      <c r="D352" t="str">
        <v>F8R-810</v>
      </c>
      <c r="E352" t="str">
        <v>867806078868827</v>
      </c>
      <c r="F352" t="str">
        <v>TBD</v>
      </c>
      <c r="G352" t="str">
        <v/>
      </c>
      <c r="H352" t="str">
        <v/>
      </c>
      <c r="I352" t="str">
        <v>17/09/2026</v>
      </c>
      <c r="J352" t="str">
        <v>11:30:15</v>
      </c>
      <c r="K352">
        <v>-12.23781</v>
      </c>
      <c r="L352">
        <v>-76.91214</v>
      </c>
      <c r="M352">
        <f>HYPERLINK("https://www.google.com/maps/search/?api=1&amp;query=-12.23781,-76.91214","Avenida Lima, Lurín")</f>
      </c>
      <c r="N352" t="str">
        <v>Acelerado y giro brusco</v>
      </c>
      <c r="O352">
        <v>711</v>
      </c>
      <c r="P352" t="str">
        <v/>
      </c>
      <c r="Q352">
        <v>25.3</v>
      </c>
      <c r="R352">
        <v>27.58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>
        <v>88</v>
      </c>
      <c r="AA352" t="str">
        <v>17/09/2026</v>
      </c>
      <c r="AB352" t="str">
        <v>11:30:13</v>
      </c>
      <c r="AC352">
        <f>IF("ONLINE"="NOGPS","GPS Antiguo","En línea")</f>
      </c>
      <c r="AD352">
        <f>IF(0=0,"Sin atender", IF(0=1,"Atendida","Atendida y Reportada"))</f>
      </c>
      <c r="AE352" t="str">
        <v/>
      </c>
      <c r="AF352" t="str">
        <v/>
      </c>
      <c r="AG352" t="str">
        <v/>
      </c>
      <c r="AH352" t="str">
        <v/>
      </c>
      <c r="AI352" t="str">
        <v>17/09/2026 11:30:28</v>
      </c>
      <c r="AJ352" t="str">
        <v>11:30:28</v>
      </c>
      <c r="AK352" t="str">
        <v/>
      </c>
    </row>
    <row r="353">
      <c r="A353">
        <v>352</v>
      </c>
      <c r="B353" t="str">
        <v>MASS BSF</v>
      </c>
      <c r="C353" t="str">
        <v>F8R-810</v>
      </c>
      <c r="D353" t="str">
        <v>F8R-810</v>
      </c>
      <c r="E353" t="str">
        <v>867806078868827</v>
      </c>
      <c r="F353" t="str">
        <v>TBD</v>
      </c>
      <c r="G353" t="str">
        <v/>
      </c>
      <c r="H353" t="str">
        <v/>
      </c>
      <c r="I353" t="str">
        <v>17/09/2026</v>
      </c>
      <c r="J353" t="str">
        <v>11:30:29</v>
      </c>
      <c r="K353">
        <v>-12.238338</v>
      </c>
      <c r="L353">
        <v>-76.91238</v>
      </c>
      <c r="M353">
        <f>HYPERLINK("https://www.google.com/maps/search/?api=1&amp;query=-12.238338,-76.91238","Avenida D, Lurín, Lima")</f>
      </c>
      <c r="N353" t="str">
        <v>Acelerado y giro brusco</v>
      </c>
      <c r="O353">
        <v>711.1</v>
      </c>
      <c r="P353" t="str">
        <v/>
      </c>
      <c r="Q353">
        <v>13.1</v>
      </c>
      <c r="R353">
        <v>27.58</v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>
        <v>88</v>
      </c>
      <c r="AA353" t="str">
        <v>17/09/2026</v>
      </c>
      <c r="AB353" t="str">
        <v>11:30:27</v>
      </c>
      <c r="AC353">
        <f>IF("ONLINE"="NOGPS","GPS Antiguo","En línea")</f>
      </c>
      <c r="AD353">
        <f>IF(0=0,"Sin atender", IF(0=1,"Atendida","Atendida y Reportada"))</f>
      </c>
      <c r="AE353" t="str">
        <v/>
      </c>
      <c r="AF353" t="str">
        <v/>
      </c>
      <c r="AG353" t="str">
        <v/>
      </c>
      <c r="AH353" t="str">
        <v/>
      </c>
      <c r="AI353" t="str">
        <v>17/09/2026 11:30:48</v>
      </c>
      <c r="AJ353" t="str">
        <v>11:30:48</v>
      </c>
      <c r="AK353" t="str">
        <v/>
      </c>
    </row>
    <row r="354">
      <c r="A354">
        <v>353</v>
      </c>
      <c r="B354" t="str">
        <v>MASS BSF</v>
      </c>
      <c r="C354" t="str">
        <v>F8R-810</v>
      </c>
      <c r="D354" t="str">
        <v>F8R-810</v>
      </c>
      <c r="E354" t="str">
        <v>867806078868827</v>
      </c>
      <c r="F354" t="str">
        <v>TBD</v>
      </c>
      <c r="G354" t="str">
        <v/>
      </c>
      <c r="H354" t="str">
        <v/>
      </c>
      <c r="I354" t="str">
        <v>17/09/2026</v>
      </c>
      <c r="J354" t="str">
        <v>11:30:35</v>
      </c>
      <c r="K354">
        <v>-12.238368</v>
      </c>
      <c r="L354">
        <v>-76.912506</v>
      </c>
      <c r="M354">
        <f>HYPERLINK("https://www.google.com/maps/search/?api=1&amp;query=-12.238368,-76.912506","Avenida D, Villa El Salvador, Lima")</f>
      </c>
      <c r="N354" t="str">
        <v>Acelerado y giro brusco</v>
      </c>
      <c r="O354">
        <v>711.1</v>
      </c>
      <c r="P354" t="str">
        <v/>
      </c>
      <c r="Q354">
        <v>15.5</v>
      </c>
      <c r="R354">
        <v>27.58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>
        <v>88</v>
      </c>
      <c r="AA354" t="str">
        <v>17/09/2026</v>
      </c>
      <c r="AB354" t="str">
        <v>11:30:32</v>
      </c>
      <c r="AC354">
        <f>IF("ONLINE"="NOGPS","GPS Antiguo","En línea")</f>
      </c>
      <c r="AD354">
        <f>IF(0=0,"Sin atender", IF(0=1,"Atendida","Atendida y Reportada"))</f>
      </c>
      <c r="AE354" t="str">
        <v/>
      </c>
      <c r="AF354" t="str">
        <v/>
      </c>
      <c r="AG354" t="str">
        <v/>
      </c>
      <c r="AH354" t="str">
        <v/>
      </c>
      <c r="AI354" t="str">
        <v>17/09/2026 11:30:45</v>
      </c>
      <c r="AJ354" t="str">
        <v>11:30:45</v>
      </c>
      <c r="AK354" t="str">
        <v/>
      </c>
    </row>
    <row r="355">
      <c r="A355">
        <v>354</v>
      </c>
      <c r="B355" t="str">
        <v>MASS BSF</v>
      </c>
      <c r="C355" t="str">
        <v>F8R-810</v>
      </c>
      <c r="D355" t="str">
        <v>F8R-810</v>
      </c>
      <c r="E355" t="str">
        <v>867806078868827</v>
      </c>
      <c r="F355" t="str">
        <v>TBD</v>
      </c>
      <c r="G355" t="str">
        <v/>
      </c>
      <c r="H355" t="str">
        <v/>
      </c>
      <c r="I355" t="str">
        <v>17/09/2026</v>
      </c>
      <c r="J355" t="str">
        <v>11:30:49</v>
      </c>
      <c r="K355">
        <v>-12.238923</v>
      </c>
      <c r="L355">
        <v>-76.91253</v>
      </c>
      <c r="M355">
        <f>HYPERLINK("https://www.google.com/maps/search/?api=1&amp;query=-12.238923,-76.91253","Avenida Lima, Villa El Salvador")</f>
      </c>
      <c r="N355" t="str">
        <v>Aceleración brusca</v>
      </c>
      <c r="O355">
        <v>711.2</v>
      </c>
      <c r="P355" t="str">
        <v/>
      </c>
      <c r="Q355">
        <v>23.7</v>
      </c>
      <c r="R355">
        <v>27.58</v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>
        <v>88</v>
      </c>
      <c r="AA355" t="str">
        <v>17/09/2026</v>
      </c>
      <c r="AB355" t="str">
        <v>11:30:47</v>
      </c>
      <c r="AC355">
        <f>IF("ONLINE"="NOGPS","GPS Antiguo","En línea")</f>
      </c>
      <c r="AD355">
        <f>IF(0=0,"Sin atender", IF(0=1,"Atendida","Atendida y Reportada"))</f>
      </c>
      <c r="AE355" t="str">
        <v/>
      </c>
      <c r="AF355" t="str">
        <v/>
      </c>
      <c r="AG355" t="str">
        <v/>
      </c>
      <c r="AH355" t="str">
        <v/>
      </c>
      <c r="AI355" t="str">
        <v>17/09/2026 11:30:57</v>
      </c>
      <c r="AJ355" t="str">
        <v>11:30:57</v>
      </c>
      <c r="AK355" t="str">
        <v/>
      </c>
    </row>
    <row r="356">
      <c r="A356">
        <v>355</v>
      </c>
      <c r="B356" t="str">
        <v>MASS BSF</v>
      </c>
      <c r="C356" t="str">
        <v>F8R-810</v>
      </c>
      <c r="D356" t="str">
        <v>F8R-810</v>
      </c>
      <c r="E356" t="str">
        <v>867806078868827</v>
      </c>
      <c r="F356" t="str">
        <v>TBD</v>
      </c>
      <c r="G356" t="str">
        <v/>
      </c>
      <c r="H356" t="str">
        <v/>
      </c>
      <c r="I356" t="str">
        <v>17/09/2026</v>
      </c>
      <c r="J356" t="str">
        <v>11:31:13</v>
      </c>
      <c r="K356">
        <v>-12.239553</v>
      </c>
      <c r="L356">
        <v>-76.91249</v>
      </c>
      <c r="M356">
        <f>HYPERLINK("https://www.google.com/maps/search/?api=1&amp;query=-12.239553,-76.91249","Avenida Lima, Villa El Salvador")</f>
      </c>
      <c r="N356" t="str">
        <v>Acelerado y giro brusco</v>
      </c>
      <c r="O356">
        <v>711.3</v>
      </c>
      <c r="P356" t="str">
        <v/>
      </c>
      <c r="Q356">
        <v>22.2</v>
      </c>
      <c r="R356">
        <v>27.58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>
        <v>88</v>
      </c>
      <c r="AA356" t="str">
        <v>17/09/2026</v>
      </c>
      <c r="AB356" t="str">
        <v>11:31:11</v>
      </c>
      <c r="AC356">
        <f>IF("ONLINE"="NOGPS","GPS Antiguo","En línea")</f>
      </c>
      <c r="AD356">
        <f>IF(0=0,"Sin atender", IF(0=1,"Atendida","Atendida y Reportada"))</f>
      </c>
      <c r="AE356" t="str">
        <v/>
      </c>
      <c r="AF356" t="str">
        <v/>
      </c>
      <c r="AG356" t="str">
        <v/>
      </c>
      <c r="AH356" t="str">
        <v/>
      </c>
      <c r="AI356" t="str">
        <v>17/09/2026 11:31:41</v>
      </c>
      <c r="AJ356" t="str">
        <v>11:31:41</v>
      </c>
      <c r="AK356" t="str">
        <v/>
      </c>
    </row>
    <row r="357">
      <c r="A357">
        <v>356</v>
      </c>
      <c r="B357" t="str">
        <v>MASS BSF</v>
      </c>
      <c r="C357" t="str">
        <v>F8R-810</v>
      </c>
      <c r="D357" t="str">
        <v>F8R-810</v>
      </c>
      <c r="E357" t="str">
        <v>867806078868827</v>
      </c>
      <c r="F357" t="str">
        <v>TBD</v>
      </c>
      <c r="G357" t="str">
        <v/>
      </c>
      <c r="H357" t="str">
        <v/>
      </c>
      <c r="I357" t="str">
        <v>17/09/2026</v>
      </c>
      <c r="J357" t="str">
        <v>11:31:27</v>
      </c>
      <c r="K357">
        <v>-12.240108</v>
      </c>
      <c r="L357">
        <v>-76.913055</v>
      </c>
      <c r="M357">
        <f>HYPERLINK("https://www.google.com/maps/search/?api=1&amp;query=-12.240108,-76.913055","Avenida María Reiche, Villa El Salvador, Lima")</f>
      </c>
      <c r="N357" t="str">
        <v>Acelerado y giro brusco</v>
      </c>
      <c r="O357">
        <v>711.4</v>
      </c>
      <c r="P357" t="str">
        <v/>
      </c>
      <c r="Q357">
        <v>19</v>
      </c>
      <c r="R357">
        <v>27.58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>
        <v>88</v>
      </c>
      <c r="AA357" t="str">
        <v>17/09/2026</v>
      </c>
      <c r="AB357" t="str">
        <v>11:31:25</v>
      </c>
      <c r="AC357">
        <f>IF("ONLINE"="NOGPS","GPS Antiguo","En línea")</f>
      </c>
      <c r="AD357">
        <f>IF(0=0,"Sin atender", IF(0=1,"Atendida","Atendida y Reportada"))</f>
      </c>
      <c r="AE357" t="str">
        <v/>
      </c>
      <c r="AF357" t="str">
        <v/>
      </c>
      <c r="AG357" t="str">
        <v/>
      </c>
      <c r="AH357" t="str">
        <v/>
      </c>
      <c r="AI357" t="str">
        <v>17/09/2026 11:31:41</v>
      </c>
      <c r="AJ357" t="str">
        <v>11:31:41</v>
      </c>
      <c r="AK357" t="str">
        <v/>
      </c>
    </row>
    <row r="358">
      <c r="A358">
        <v>357</v>
      </c>
      <c r="B358" t="str">
        <v>MASS BSF</v>
      </c>
      <c r="C358" t="str">
        <v>F8R-810</v>
      </c>
      <c r="D358" t="str">
        <v>F8R-810</v>
      </c>
      <c r="E358" t="str">
        <v>867806078868827</v>
      </c>
      <c r="F358" t="str">
        <v>TBD</v>
      </c>
      <c r="G358" t="str">
        <v/>
      </c>
      <c r="H358" t="str">
        <v/>
      </c>
      <c r="I358" t="str">
        <v>17/09/2026</v>
      </c>
      <c r="J358" t="str">
        <v>11:31:50</v>
      </c>
      <c r="K358">
        <v>-12.240255</v>
      </c>
      <c r="L358">
        <v>-76.91333</v>
      </c>
      <c r="M358">
        <f>HYPERLINK("https://www.google.com/maps/search/?api=1&amp;query=-12.240255,-76.91333","Avenida María Reiche, Villa El Salvador, Lima")</f>
      </c>
      <c r="N358" t="str">
        <v>Aceleración brusca</v>
      </c>
      <c r="O358">
        <v>711.4</v>
      </c>
      <c r="P358" t="str">
        <v/>
      </c>
      <c r="Q358">
        <v>11.6</v>
      </c>
      <c r="R358">
        <v>27.58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>
        <v>88</v>
      </c>
      <c r="AA358" t="str">
        <v>17/09/2026</v>
      </c>
      <c r="AB358" t="str">
        <v>11:31:48</v>
      </c>
      <c r="AC358">
        <f>IF("ONLINE"="NOGPS","GPS Antiguo","En línea")</f>
      </c>
      <c r="AD358">
        <f>IF(0=0,"Sin atender", IF(0=1,"Atendida","Atendida y Reportada"))</f>
      </c>
      <c r="AE358" t="str">
        <v/>
      </c>
      <c r="AF358" t="str">
        <v/>
      </c>
      <c r="AG358" t="str">
        <v/>
      </c>
      <c r="AH358" t="str">
        <v/>
      </c>
      <c r="AI358" t="str">
        <v>17/09/2026 11:31:56</v>
      </c>
      <c r="AJ358" t="str">
        <v>11:31:56</v>
      </c>
      <c r="AK358" t="str">
        <v/>
      </c>
    </row>
    <row r="359">
      <c r="A359">
        <v>358</v>
      </c>
      <c r="B359" t="str">
        <v>MASS BSF</v>
      </c>
      <c r="C359" t="str">
        <v>F8R-810</v>
      </c>
      <c r="D359" t="str">
        <v>F8R-810</v>
      </c>
      <c r="E359" t="str">
        <v>867806078868827</v>
      </c>
      <c r="F359" t="str">
        <v>TBD</v>
      </c>
      <c r="G359" t="str">
        <v/>
      </c>
      <c r="H359" t="str">
        <v/>
      </c>
      <c r="I359" t="str">
        <v>17/09/2026</v>
      </c>
      <c r="J359" t="str">
        <v>11:31:59</v>
      </c>
      <c r="K359">
        <v>-12.240227</v>
      </c>
      <c r="L359">
        <v>-76.913574</v>
      </c>
      <c r="M359">
        <f>HYPERLINK("https://www.google.com/maps/search/?api=1&amp;query=-12.240227,-76.913574","Avenida Separadora Industrial, Villa El Salvador, Lima")</f>
      </c>
      <c r="N359" t="str">
        <v>Aceleración brusca</v>
      </c>
      <c r="O359">
        <v>711.4</v>
      </c>
      <c r="P359" t="str">
        <v/>
      </c>
      <c r="Q359">
        <v>18.8</v>
      </c>
      <c r="R359">
        <v>27.58</v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>
        <v>85</v>
      </c>
      <c r="AA359" t="str">
        <v>17/09/2026</v>
      </c>
      <c r="AB359" t="str">
        <v>11:31:56</v>
      </c>
      <c r="AC359">
        <f>IF("ONLINE"="NOGPS","GPS Antiguo","En línea")</f>
      </c>
      <c r="AD359">
        <f>IF(0=0,"Sin atender", IF(0=1,"Atendida","Atendida y Reportada"))</f>
      </c>
      <c r="AE359" t="str">
        <v/>
      </c>
      <c r="AF359" t="str">
        <v/>
      </c>
      <c r="AG359" t="str">
        <v/>
      </c>
      <c r="AH359" t="str">
        <v/>
      </c>
      <c r="AI359" t="str">
        <v>17/09/2026 11:32:23</v>
      </c>
      <c r="AJ359" t="str">
        <v>11:32:23</v>
      </c>
      <c r="AK359" t="str">
        <v/>
      </c>
    </row>
    <row r="360">
      <c r="A360">
        <v>359</v>
      </c>
      <c r="B360" t="str">
        <v>MASS BSF</v>
      </c>
      <c r="C360" t="str">
        <v>F8R-810</v>
      </c>
      <c r="D360" t="str">
        <v>F8R-810</v>
      </c>
      <c r="E360" t="str">
        <v>867806078868827</v>
      </c>
      <c r="F360" t="str">
        <v>TBD</v>
      </c>
      <c r="G360" t="str">
        <v/>
      </c>
      <c r="H360" t="str">
        <v/>
      </c>
      <c r="I360" t="str">
        <v>17/09/2026</v>
      </c>
      <c r="J360" t="str">
        <v>11:32:10</v>
      </c>
      <c r="K360">
        <v>-12.23957</v>
      </c>
      <c r="L360">
        <v>-76.91398</v>
      </c>
      <c r="M360">
        <f>HYPERLINK("https://www.google.com/maps/search/?api=1&amp;query=-12.23957,-76.91398","Avenida Separadora Industrial, Villa El Salvador, Lima")</f>
      </c>
      <c r="N360" t="str">
        <v>Acelerado y giro brusco</v>
      </c>
      <c r="O360">
        <v>711.5</v>
      </c>
      <c r="P360" t="str">
        <v/>
      </c>
      <c r="Q360">
        <v>29.6</v>
      </c>
      <c r="R360">
        <v>27.58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>
        <v>85</v>
      </c>
      <c r="AA360" t="str">
        <v>17/09/2026</v>
      </c>
      <c r="AB360" t="str">
        <v>11:32:08</v>
      </c>
      <c r="AC360">
        <f>IF("ONLINE"="NOGPS","GPS Antiguo","En línea")</f>
      </c>
      <c r="AD360">
        <f>IF(0=0,"Sin atender", IF(0=1,"Atendida","Atendida y Reportada"))</f>
      </c>
      <c r="AE360" t="str">
        <v/>
      </c>
      <c r="AF360" t="str">
        <v/>
      </c>
      <c r="AG360" t="str">
        <v/>
      </c>
      <c r="AH360" t="str">
        <v/>
      </c>
      <c r="AI360" t="str">
        <v>17/09/2026 11:32:26</v>
      </c>
      <c r="AJ360" t="str">
        <v>11:32:26</v>
      </c>
      <c r="AK360" t="str">
        <v/>
      </c>
    </row>
    <row r="361">
      <c r="A361">
        <v>360</v>
      </c>
      <c r="B361" t="str">
        <v>MASS BSF</v>
      </c>
      <c r="C361" t="str">
        <v>F8R-810</v>
      </c>
      <c r="D361" t="str">
        <v>F8R-810</v>
      </c>
      <c r="E361" t="str">
        <v>867806078868827</v>
      </c>
      <c r="F361" t="str">
        <v>TBD</v>
      </c>
      <c r="G361" t="str">
        <v/>
      </c>
      <c r="H361" t="str">
        <v/>
      </c>
      <c r="I361" t="str">
        <v>17/09/2026</v>
      </c>
      <c r="J361" t="str">
        <v>11:32:41</v>
      </c>
      <c r="K361">
        <v>-12.237079</v>
      </c>
      <c r="L361">
        <v>-76.91549</v>
      </c>
      <c r="M361">
        <f>HYPERLINK("https://www.google.com/maps/search/?api=1&amp;query=-12.237079,-76.91549","Avenida Separadora Industrial, Villa El Salvador, Lima")</f>
      </c>
      <c r="N361" t="str">
        <v>Acelerado y giro brusco</v>
      </c>
      <c r="O361">
        <v>711.8</v>
      </c>
      <c r="P361" t="str">
        <v/>
      </c>
      <c r="Q361">
        <v>40.9</v>
      </c>
      <c r="R361">
        <v>27.58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>
        <v>85</v>
      </c>
      <c r="AA361" t="str">
        <v>17/09/2026</v>
      </c>
      <c r="AB361" t="str">
        <v>11:32:38</v>
      </c>
      <c r="AC361">
        <f>IF("ONLINE"="NOGPS","GPS Antiguo","En línea")</f>
      </c>
      <c r="AD361">
        <f>IF(0=0,"Sin atender", IF(0=1,"Atendida","Atendida y Reportada"))</f>
      </c>
      <c r="AE361" t="str">
        <v/>
      </c>
      <c r="AF361" t="str">
        <v/>
      </c>
      <c r="AG361" t="str">
        <v/>
      </c>
      <c r="AH361" t="str">
        <v/>
      </c>
      <c r="AI361" t="str">
        <v>17/09/2026 11:33:04</v>
      </c>
      <c r="AJ361" t="str">
        <v>11:33:04</v>
      </c>
      <c r="AK361" t="str">
        <v/>
      </c>
    </row>
    <row r="362">
      <c r="A362">
        <v>361</v>
      </c>
      <c r="B362" t="str">
        <v>MASS BSF</v>
      </c>
      <c r="C362" t="str">
        <v>F8R-810</v>
      </c>
      <c r="D362" t="str">
        <v>F8R-810</v>
      </c>
      <c r="E362" t="str">
        <v>867806078868827</v>
      </c>
      <c r="F362" t="str">
        <v>TBD</v>
      </c>
      <c r="G362" t="str">
        <v/>
      </c>
      <c r="H362" t="str">
        <v/>
      </c>
      <c r="I362" t="str">
        <v>17/09/2026</v>
      </c>
      <c r="J362" t="str">
        <v>11:33:16</v>
      </c>
      <c r="K362">
        <v>-12.233815</v>
      </c>
      <c r="L362">
        <v>-76.91743</v>
      </c>
      <c r="M362">
        <f>HYPERLINK("https://www.google.com/maps/search/?api=1&amp;query=-12.233815,-76.91743","Avenida Separadora Industrial, Villa El Salvador, Lima")</f>
      </c>
      <c r="N362" t="str">
        <v>Aceleración brusca</v>
      </c>
      <c r="O362">
        <v>712.2</v>
      </c>
      <c r="P362" t="str">
        <v/>
      </c>
      <c r="Q362">
        <v>33.8</v>
      </c>
      <c r="R362">
        <v>27.58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>
        <v>93</v>
      </c>
      <c r="AA362" t="str">
        <v>17/09/2026</v>
      </c>
      <c r="AB362" t="str">
        <v>11:33:14</v>
      </c>
      <c r="AC362">
        <f>IF("ONLINE"="NOGPS","GPS Antiguo","En línea")</f>
      </c>
      <c r="AD362">
        <f>IF(0=0,"Sin atender", IF(0=1,"Atendida","Atendida y Reportada"))</f>
      </c>
      <c r="AE362" t="str">
        <v/>
      </c>
      <c r="AF362" t="str">
        <v/>
      </c>
      <c r="AG362" t="str">
        <v/>
      </c>
      <c r="AH362" t="str">
        <v/>
      </c>
      <c r="AI362" t="str">
        <v>17/09/2026 11:33:36</v>
      </c>
      <c r="AJ362" t="str">
        <v>11:33:36</v>
      </c>
      <c r="AK362" t="str">
        <v/>
      </c>
    </row>
    <row r="363">
      <c r="A363">
        <v>362</v>
      </c>
      <c r="B363" t="str">
        <v>MASS BSF</v>
      </c>
      <c r="C363" t="str">
        <v>F8R-810</v>
      </c>
      <c r="D363" t="str">
        <v>F8R-810</v>
      </c>
      <c r="E363" t="str">
        <v>867806078868827</v>
      </c>
      <c r="F363" t="str">
        <v>TBD</v>
      </c>
      <c r="G363" t="str">
        <v/>
      </c>
      <c r="H363" t="str">
        <v/>
      </c>
      <c r="I363" t="str">
        <v>17/09/2026</v>
      </c>
      <c r="J363" t="str">
        <v>11:33:29</v>
      </c>
      <c r="K363">
        <v>-12.233018</v>
      </c>
      <c r="L363">
        <v>-76.917854</v>
      </c>
      <c r="M363">
        <f>HYPERLINK("https://www.google.com/maps/search/?api=1&amp;query=-12.233018,-76.917854","Ovalo Chama, Villa El Salvador, Lima")</f>
      </c>
      <c r="N363" t="str">
        <v>Aceleración brusca</v>
      </c>
      <c r="O363">
        <v>712.3</v>
      </c>
      <c r="P363" t="str">
        <v/>
      </c>
      <c r="Q363">
        <v>22.2</v>
      </c>
      <c r="R363">
        <v>27.58</v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>
        <v>87</v>
      </c>
      <c r="AA363" t="str">
        <v>17/09/2026</v>
      </c>
      <c r="AB363" t="str">
        <v>11:33:27</v>
      </c>
      <c r="AC363">
        <f>IF("ONLINE"="NOGPS","GPS Antiguo","En línea")</f>
      </c>
      <c r="AD363">
        <f>IF(0=0,"Sin atender", IF(0=1,"Atendida","Atendida y Reportada"))</f>
      </c>
      <c r="AE363" t="str">
        <v/>
      </c>
      <c r="AF363" t="str">
        <v/>
      </c>
      <c r="AG363" t="str">
        <v/>
      </c>
      <c r="AH363" t="str">
        <v/>
      </c>
      <c r="AI363" t="str">
        <v>17/09/2026 11:33:41</v>
      </c>
      <c r="AJ363" t="str">
        <v>11:33:41</v>
      </c>
      <c r="AK363" t="str">
        <v/>
      </c>
    </row>
    <row r="364">
      <c r="A364">
        <v>363</v>
      </c>
      <c r="B364" t="str">
        <v>MASS BSF</v>
      </c>
      <c r="C364" t="str">
        <v>F8R-810</v>
      </c>
      <c r="D364" t="str">
        <v>F8R-810</v>
      </c>
      <c r="E364" t="str">
        <v>867806078868827</v>
      </c>
      <c r="F364" t="str">
        <v>TBD</v>
      </c>
      <c r="G364" t="str">
        <v/>
      </c>
      <c r="H364" t="str">
        <v/>
      </c>
      <c r="I364" t="str">
        <v>17/09/2026</v>
      </c>
      <c r="J364" t="str">
        <v>11:33:33</v>
      </c>
      <c r="K364">
        <v>-12.232897</v>
      </c>
      <c r="L364">
        <v>-76.91799</v>
      </c>
      <c r="M364">
        <f>HYPERLINK("https://www.google.com/maps/search/?api=1&amp;query=-12.232897,-76.91799","Ovalo Chama, Villa El Salvador, Lima")</f>
      </c>
      <c r="N364" t="str">
        <v>Acelerado y giro brusco</v>
      </c>
      <c r="O364">
        <v>712.3</v>
      </c>
      <c r="P364" t="str">
        <v/>
      </c>
      <c r="Q364">
        <v>18.1</v>
      </c>
      <c r="R364">
        <v>27.58</v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>
        <v>87</v>
      </c>
      <c r="AA364" t="str">
        <v>17/09/2026</v>
      </c>
      <c r="AB364" t="str">
        <v>11:33:31</v>
      </c>
      <c r="AC364">
        <f>IF("ONLINE"="NOGPS","GPS Antiguo","En línea")</f>
      </c>
      <c r="AD364">
        <f>IF(0=0,"Sin atender", IF(0=1,"Atendida","Atendida y Reportada"))</f>
      </c>
      <c r="AE364" t="str">
        <v/>
      </c>
      <c r="AF364" t="str">
        <v/>
      </c>
      <c r="AG364" t="str">
        <v/>
      </c>
      <c r="AH364" t="str">
        <v/>
      </c>
      <c r="AI364" t="str">
        <v>17/09/2026 11:33:41</v>
      </c>
      <c r="AJ364" t="str">
        <v>11:33:41</v>
      </c>
      <c r="AK364" t="str">
        <v/>
      </c>
    </row>
    <row r="365">
      <c r="A365">
        <v>364</v>
      </c>
      <c r="B365" t="str">
        <v>MASS BSF</v>
      </c>
      <c r="C365" t="str">
        <v>F8R-810</v>
      </c>
      <c r="D365" t="str">
        <v>F8R-810</v>
      </c>
      <c r="E365" t="str">
        <v>867806078868827</v>
      </c>
      <c r="F365" t="str">
        <v>TBD</v>
      </c>
      <c r="G365" t="str">
        <v/>
      </c>
      <c r="H365" t="str">
        <v/>
      </c>
      <c r="I365" t="str">
        <v>17/09/2026</v>
      </c>
      <c r="J365" t="str">
        <v>11:33:37</v>
      </c>
      <c r="K365">
        <v>-12.23295</v>
      </c>
      <c r="L365">
        <v>-76.91816</v>
      </c>
      <c r="M365">
        <f>HYPERLINK("https://www.google.com/maps/search/?api=1&amp;query=-12.23295,-76.91816","Ovalo Chama, Villa El Salvador, Lima")</f>
      </c>
      <c r="N365" t="str">
        <v>Acelerado y giro brusco</v>
      </c>
      <c r="O365">
        <v>712.4</v>
      </c>
      <c r="P365" t="str">
        <v/>
      </c>
      <c r="Q365">
        <v>17.4</v>
      </c>
      <c r="R365">
        <v>27.58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>
        <v>87</v>
      </c>
      <c r="AA365" t="str">
        <v>17/09/2026</v>
      </c>
      <c r="AB365" t="str">
        <v>11:33:35</v>
      </c>
      <c r="AC365">
        <f>IF("ONLINE"="NOGPS","GPS Antiguo","En línea")</f>
      </c>
      <c r="AD365">
        <f>IF(0=0,"Sin atender", IF(0=1,"Atendida","Atendida y Reportada"))</f>
      </c>
      <c r="AE365" t="str">
        <v/>
      </c>
      <c r="AF365" t="str">
        <v/>
      </c>
      <c r="AG365" t="str">
        <v/>
      </c>
      <c r="AH365" t="str">
        <v/>
      </c>
      <c r="AI365" t="str">
        <v>17/09/2026 11:33:58</v>
      </c>
      <c r="AJ365" t="str">
        <v>11:33:58</v>
      </c>
      <c r="AK365" t="str">
        <v/>
      </c>
    </row>
    <row r="366">
      <c r="A366">
        <v>365</v>
      </c>
      <c r="B366" t="str">
        <v>MASS BSF</v>
      </c>
      <c r="C366" t="str">
        <v>F8R-810</v>
      </c>
      <c r="D366" t="str">
        <v>F8R-810</v>
      </c>
      <c r="E366" t="str">
        <v>867806078868827</v>
      </c>
      <c r="F366" t="str">
        <v>TBD</v>
      </c>
      <c r="G366" t="str">
        <v/>
      </c>
      <c r="H366" t="str">
        <v/>
      </c>
      <c r="I366" t="str">
        <v>17/09/2026</v>
      </c>
      <c r="J366" t="str">
        <v>11:33:44</v>
      </c>
      <c r="K366">
        <v>-12.233107</v>
      </c>
      <c r="L366">
        <v>-76.918274</v>
      </c>
      <c r="M366">
        <f>HYPERLINK("https://www.google.com/maps/search/?api=1&amp;query=-12.233107,-76.918274","Avenida Separadora Industrial, Villa El Salvador, Lima")</f>
      </c>
      <c r="N366" t="str">
        <v>Acelerado y giro brusco</v>
      </c>
      <c r="O366">
        <v>712.4</v>
      </c>
      <c r="P366" t="str">
        <v/>
      </c>
      <c r="Q366">
        <v>10</v>
      </c>
      <c r="R366">
        <v>27.58</v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>
        <v>87</v>
      </c>
      <c r="AA366" t="str">
        <v>17/09/2026</v>
      </c>
      <c r="AB366" t="str">
        <v>11:33:41</v>
      </c>
      <c r="AC366">
        <f>IF("ONLINE"="NOGPS","GPS Antiguo","En línea")</f>
      </c>
      <c r="AD366">
        <f>IF(0=0,"Sin atender", IF(0=1,"Atendida","Atendida y Reportada"))</f>
      </c>
      <c r="AE366" t="str">
        <v/>
      </c>
      <c r="AF366" t="str">
        <v/>
      </c>
      <c r="AG366" t="str">
        <v/>
      </c>
      <c r="AH366" t="str">
        <v/>
      </c>
      <c r="AI366" t="str">
        <v>17/09/2026 11:34:01</v>
      </c>
      <c r="AJ366" t="str">
        <v>11:34:01</v>
      </c>
      <c r="AK366" t="str">
        <v/>
      </c>
    </row>
    <row r="367">
      <c r="A367">
        <v>366</v>
      </c>
      <c r="B367" t="str">
        <v>MASS BSF</v>
      </c>
      <c r="C367" t="str">
        <v>F8R-810</v>
      </c>
      <c r="D367" t="str">
        <v>F8R-810</v>
      </c>
      <c r="E367" t="str">
        <v>867806078868827</v>
      </c>
      <c r="F367" t="str">
        <v>TBD</v>
      </c>
      <c r="G367" t="str">
        <v/>
      </c>
      <c r="H367" t="str">
        <v/>
      </c>
      <c r="I367" t="str">
        <v>17/09/2026</v>
      </c>
      <c r="J367" t="str">
        <v>11:33:54</v>
      </c>
      <c r="K367">
        <v>-12.233372</v>
      </c>
      <c r="L367">
        <v>-76.91869</v>
      </c>
      <c r="M367">
        <f>HYPERLINK("https://www.google.com/maps/search/?api=1&amp;query=-12.233372,-76.91869","Avenida Universitaria, Villa El Salvador, Lima")</f>
      </c>
      <c r="N367" t="str">
        <v>Acelerado y giro brusco</v>
      </c>
      <c r="O367">
        <v>712.4</v>
      </c>
      <c r="P367" t="str">
        <v/>
      </c>
      <c r="Q367">
        <v>26.1</v>
      </c>
      <c r="R367">
        <v>27.58</v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>
        <v>87</v>
      </c>
      <c r="AA367" t="str">
        <v>17/09/2026</v>
      </c>
      <c r="AB367" t="str">
        <v>11:33:52</v>
      </c>
      <c r="AC367">
        <f>IF("ONLINE"="NOGPS","GPS Antiguo","En línea")</f>
      </c>
      <c r="AD367">
        <f>IF(0=0,"Sin atender", IF(0=1,"Atendida","Atendida y Reportada"))</f>
      </c>
      <c r="AE367" t="str">
        <v/>
      </c>
      <c r="AF367" t="str">
        <v/>
      </c>
      <c r="AG367" t="str">
        <v/>
      </c>
      <c r="AH367" t="str">
        <v/>
      </c>
      <c r="AI367" t="str">
        <v>17/09/2026 11:34:16</v>
      </c>
      <c r="AJ367" t="str">
        <v>11:34:16</v>
      </c>
      <c r="AK367" t="str">
        <v/>
      </c>
    </row>
    <row r="368">
      <c r="A368">
        <v>367</v>
      </c>
      <c r="B368" t="str">
        <v>MASS BSF</v>
      </c>
      <c r="C368" t="str">
        <v>F8R-810</v>
      </c>
      <c r="D368" t="str">
        <v>F8R-810</v>
      </c>
      <c r="E368" t="str">
        <v>867806078868827</v>
      </c>
      <c r="F368" t="str">
        <v>TBD</v>
      </c>
      <c r="G368" t="str">
        <v/>
      </c>
      <c r="H368" t="str">
        <v/>
      </c>
      <c r="I368" t="str">
        <v>17/09/2026</v>
      </c>
      <c r="J368" t="str">
        <v>11:34:17</v>
      </c>
      <c r="K368">
        <v>-12.23424</v>
      </c>
      <c r="L368">
        <v>-76.920166</v>
      </c>
      <c r="M368">
        <f>HYPERLINK("https://www.google.com/maps/search/?api=1&amp;query=-12.23424,-76.920166","Avenida Universitaria, Villa El Salvador, Lima")</f>
      </c>
      <c r="N368" t="str">
        <v>Acelerado y giro brusco</v>
      </c>
      <c r="O368">
        <v>712.6</v>
      </c>
      <c r="P368" t="str">
        <v/>
      </c>
      <c r="Q368">
        <v>32.4</v>
      </c>
      <c r="R368">
        <v>27.58</v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>
        <v>85</v>
      </c>
      <c r="AA368" t="str">
        <v>17/09/2026</v>
      </c>
      <c r="AB368" t="str">
        <v>11:34:14</v>
      </c>
      <c r="AC368">
        <f>IF("ONLINE"="NOGPS","GPS Antiguo","En línea")</f>
      </c>
      <c r="AD368">
        <f>IF(0=0,"Sin atender", IF(0=1,"Atendida","Atendida y Reportada"))</f>
      </c>
      <c r="AE368" t="str">
        <v/>
      </c>
      <c r="AF368" t="str">
        <v/>
      </c>
      <c r="AG368" t="str">
        <v/>
      </c>
      <c r="AH368" t="str">
        <v/>
      </c>
      <c r="AI368" t="str">
        <v>17/09/2026 11:34:38</v>
      </c>
      <c r="AJ368" t="str">
        <v>11:34:38</v>
      </c>
      <c r="AK368" t="str">
        <v/>
      </c>
    </row>
    <row r="369">
      <c r="A369">
        <v>368</v>
      </c>
      <c r="B369" t="str">
        <v>MASS BSF</v>
      </c>
      <c r="C369" t="str">
        <v>F8R-810</v>
      </c>
      <c r="D369" t="str">
        <v>F8R-810</v>
      </c>
      <c r="E369" t="str">
        <v>867806078868827</v>
      </c>
      <c r="F369" t="str">
        <v>TBD</v>
      </c>
      <c r="G369" t="str">
        <v/>
      </c>
      <c r="H369" t="str">
        <v/>
      </c>
      <c r="I369" t="str">
        <v>17/09/2026</v>
      </c>
      <c r="J369" t="str">
        <v>11:35:04</v>
      </c>
      <c r="K369">
        <v>-12.23382</v>
      </c>
      <c r="L369">
        <v>-76.92049</v>
      </c>
      <c r="M369">
        <f>HYPERLINK("https://www.google.com/maps/search/?api=1&amp;query=-12.23382,-76.92049","Vereda 35, Villa El Salvador, Lima")</f>
      </c>
      <c r="N369" t="str">
        <v>Aceleración brusca</v>
      </c>
      <c r="O369">
        <v>712.8</v>
      </c>
      <c r="P369" t="str">
        <v/>
      </c>
      <c r="Q369">
        <v>15.9</v>
      </c>
      <c r="R369">
        <v>27.58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>
        <v>85</v>
      </c>
      <c r="AA369" t="str">
        <v>17/09/2026</v>
      </c>
      <c r="AB369" t="str">
        <v>11:35:02</v>
      </c>
      <c r="AC369">
        <f>IF("ONLINE"="NOGPS","GPS Antiguo","En línea")</f>
      </c>
      <c r="AD369">
        <f>IF(0=0,"Sin atender", IF(0=1,"Atendida","Atendida y Reportada"))</f>
      </c>
      <c r="AE369" t="str">
        <v/>
      </c>
      <c r="AF369" t="str">
        <v/>
      </c>
      <c r="AG369" t="str">
        <v/>
      </c>
      <c r="AH369" t="str">
        <v/>
      </c>
      <c r="AI369" t="str">
        <v>17/09/2026 11:35:10</v>
      </c>
      <c r="AJ369" t="str">
        <v>11:35:10</v>
      </c>
      <c r="AK369" t="str">
        <v/>
      </c>
    </row>
    <row r="370">
      <c r="A370">
        <v>369</v>
      </c>
      <c r="B370" t="str">
        <v>MASS BSF</v>
      </c>
      <c r="C370" t="str">
        <v>F8R-810</v>
      </c>
      <c r="D370" t="str">
        <v>F8R-810</v>
      </c>
      <c r="E370" t="str">
        <v>867806078868827</v>
      </c>
      <c r="F370" t="str">
        <v>TBD</v>
      </c>
      <c r="G370" t="str">
        <v/>
      </c>
      <c r="H370" t="str">
        <v/>
      </c>
      <c r="I370" t="str">
        <v>17/09/2026</v>
      </c>
      <c r="J370" t="str">
        <v>11:35:11</v>
      </c>
      <c r="K370">
        <v>-12.233737</v>
      </c>
      <c r="L370">
        <v>-76.92034</v>
      </c>
      <c r="M370">
        <f>HYPERLINK("https://www.google.com/maps/search/?api=1&amp;query=-12.233737,-76.92034","Vereda 35, Villa El Salvador, Lima")</f>
      </c>
      <c r="N370" t="str">
        <v>Acelerado y giro brusco</v>
      </c>
      <c r="O370">
        <v>712.8</v>
      </c>
      <c r="P370" t="str">
        <v/>
      </c>
      <c r="Q370">
        <v>0</v>
      </c>
      <c r="R370">
        <v>27.58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>
        <v>85</v>
      </c>
      <c r="AA370" t="str">
        <v>17/09/2026</v>
      </c>
      <c r="AB370" t="str">
        <v>11:35:09</v>
      </c>
      <c r="AC370">
        <f>IF("ONLINE"="NOGPS","GPS Antiguo","En línea")</f>
      </c>
      <c r="AD370">
        <f>IF(0=0,"Sin atender", IF(0=1,"Atendida","Atendida y Reportada"))</f>
      </c>
      <c r="AE370" t="str">
        <v/>
      </c>
      <c r="AF370" t="str">
        <v/>
      </c>
      <c r="AG370" t="str">
        <v/>
      </c>
      <c r="AH370" t="str">
        <v/>
      </c>
      <c r="AI370" t="str">
        <v>17/09/2026 11:35:30</v>
      </c>
      <c r="AJ370" t="str">
        <v>11:35:30</v>
      </c>
      <c r="AK370" t="str">
        <v/>
      </c>
    </row>
    <row r="371">
      <c r="A371">
        <v>370</v>
      </c>
      <c r="B371" t="str">
        <v>MASS BSF</v>
      </c>
      <c r="C371" t="str">
        <v>F8R-810</v>
      </c>
      <c r="D371" t="str">
        <v>F8R-810</v>
      </c>
      <c r="E371" t="str">
        <v>867806078868827</v>
      </c>
      <c r="F371" t="str">
        <v>TBD</v>
      </c>
      <c r="G371" t="str">
        <v/>
      </c>
      <c r="H371" t="str">
        <v/>
      </c>
      <c r="I371" t="str">
        <v>17/09/2026</v>
      </c>
      <c r="J371" t="str">
        <v>11:35:56</v>
      </c>
      <c r="K371">
        <v>-12.235303</v>
      </c>
      <c r="L371">
        <v>-76.92203</v>
      </c>
      <c r="M371">
        <f>HYPERLINK("https://www.google.com/maps/search/?api=1&amp;query=-12.235303,-76.92203","Avenida Universitaria, Villa El Salvador, Lima")</f>
      </c>
      <c r="N371" t="str">
        <v>Aceleración brusca</v>
      </c>
      <c r="O371">
        <v>713.1</v>
      </c>
      <c r="P371" t="str">
        <v/>
      </c>
      <c r="Q371">
        <v>43.3</v>
      </c>
      <c r="R371">
        <v>27.58</v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>
        <v>85</v>
      </c>
      <c r="AA371" t="str">
        <v>17/09/2026</v>
      </c>
      <c r="AB371" t="str">
        <v>11:35:53</v>
      </c>
      <c r="AC371">
        <f>IF("ONLINE"="NOGPS","GPS Antiguo","En línea")</f>
      </c>
      <c r="AD371">
        <f>IF(0=0,"Sin atender", IF(0=1,"Atendida","Atendida y Reportada"))</f>
      </c>
      <c r="AE371" t="str">
        <v/>
      </c>
      <c r="AF371" t="str">
        <v/>
      </c>
      <c r="AG371" t="str">
        <v/>
      </c>
      <c r="AH371" t="str">
        <v/>
      </c>
      <c r="AI371" t="str">
        <v>17/09/2026 11:36:12</v>
      </c>
      <c r="AJ371" t="str">
        <v>11:36:12</v>
      </c>
      <c r="AK371" t="str">
        <v/>
      </c>
    </row>
    <row r="372">
      <c r="A372">
        <v>371</v>
      </c>
      <c r="B372" t="str">
        <v>MASS BSF</v>
      </c>
      <c r="C372" t="str">
        <v>F8R-810</v>
      </c>
      <c r="D372" t="str">
        <v>F8R-810</v>
      </c>
      <c r="E372" t="str">
        <v>867806078868827</v>
      </c>
      <c r="F372" t="str">
        <v>TBD</v>
      </c>
      <c r="G372" t="str">
        <v/>
      </c>
      <c r="H372" t="str">
        <v/>
      </c>
      <c r="I372" t="str">
        <v>17/09/2026</v>
      </c>
      <c r="J372" t="str">
        <v>11:37:02</v>
      </c>
      <c r="K372">
        <v>-12.235937</v>
      </c>
      <c r="L372">
        <v>-76.92312</v>
      </c>
      <c r="M372">
        <f>HYPERLINK("https://www.google.com/maps/search/?api=1&amp;query=-12.235937,-76.92312","Avenida Universitaria, Villa El Salvador, Lima")</f>
      </c>
      <c r="N372" t="str">
        <v>Aceleración brusca</v>
      </c>
      <c r="O372">
        <v>713.3</v>
      </c>
      <c r="P372" t="str">
        <v/>
      </c>
      <c r="Q372">
        <v>12.2</v>
      </c>
      <c r="R372">
        <v>27.58</v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>
        <v>87</v>
      </c>
      <c r="AA372" t="str">
        <v>17/09/2026</v>
      </c>
      <c r="AB372" t="str">
        <v>11:37:00</v>
      </c>
      <c r="AC372">
        <f>IF("ONLINE"="NOGPS","GPS Antiguo","En línea")</f>
      </c>
      <c r="AD372">
        <f>IF(0=0,"Sin atender", IF(0=1,"Atendida","Atendida y Reportada"))</f>
      </c>
      <c r="AE372" t="str">
        <v/>
      </c>
      <c r="AF372" t="str">
        <v/>
      </c>
      <c r="AG372" t="str">
        <v/>
      </c>
      <c r="AH372" t="str">
        <v/>
      </c>
      <c r="AI372" t="str">
        <v>17/09/2026 11:37:11</v>
      </c>
      <c r="AJ372" t="str">
        <v>11:37:11</v>
      </c>
      <c r="AK372" t="str">
        <v/>
      </c>
    </row>
    <row r="373">
      <c r="A373">
        <v>372</v>
      </c>
      <c r="B373" t="str">
        <v>MASS BSF</v>
      </c>
      <c r="C373" t="str">
        <v>F8R-810</v>
      </c>
      <c r="D373" t="str">
        <v>F8R-810</v>
      </c>
      <c r="E373" t="str">
        <v>867806078868827</v>
      </c>
      <c r="F373" t="str">
        <v>TBD</v>
      </c>
      <c r="G373" t="str">
        <v/>
      </c>
      <c r="H373" t="str">
        <v/>
      </c>
      <c r="I373" t="str">
        <v>17/09/2026</v>
      </c>
      <c r="J373" t="str">
        <v>11:37:15</v>
      </c>
      <c r="K373">
        <v>-12.235392</v>
      </c>
      <c r="L373">
        <v>-76.923485</v>
      </c>
      <c r="M373">
        <f>HYPERLINK("https://www.google.com/maps/search/?api=1&amp;query=-12.235392,-76.923485","Avenida Revolución, Villa El Salvador, Lima")</f>
      </c>
      <c r="N373" t="str">
        <v>Acelerado y giro brusco</v>
      </c>
      <c r="O373">
        <v>713.3</v>
      </c>
      <c r="P373" t="str">
        <v/>
      </c>
      <c r="Q373">
        <v>30.5</v>
      </c>
      <c r="R373">
        <v>27.58</v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>
        <v>85</v>
      </c>
      <c r="AA373" t="str">
        <v>17/09/2026</v>
      </c>
      <c r="AB373" t="str">
        <v>11:37:13</v>
      </c>
      <c r="AC373">
        <f>IF("ONLINE"="NOGPS","GPS Antiguo","En línea")</f>
      </c>
      <c r="AD373">
        <f>IF(0=0,"Sin atender", IF(0=1,"Atendida","Atendida y Reportada"))</f>
      </c>
      <c r="AE373" t="str">
        <v/>
      </c>
      <c r="AF373" t="str">
        <v/>
      </c>
      <c r="AG373" t="str">
        <v/>
      </c>
      <c r="AH373" t="str">
        <v/>
      </c>
      <c r="AI373" t="str">
        <v>17/09/2026 11:37:24</v>
      </c>
      <c r="AJ373" t="str">
        <v>11:37:24</v>
      </c>
      <c r="AK373" t="str">
        <v/>
      </c>
    </row>
    <row r="374">
      <c r="A374">
        <v>373</v>
      </c>
      <c r="B374" t="str">
        <v>MASS BSF</v>
      </c>
      <c r="C374" t="str">
        <v>F8R-810</v>
      </c>
      <c r="D374" t="str">
        <v>F8R-810</v>
      </c>
      <c r="E374" t="str">
        <v>867806078868827</v>
      </c>
      <c r="F374" t="str">
        <v>TBD</v>
      </c>
      <c r="G374" t="str">
        <v/>
      </c>
      <c r="H374" t="str">
        <v/>
      </c>
      <c r="I374" t="str">
        <v>17/09/2026</v>
      </c>
      <c r="J374" t="str">
        <v>11:37:34</v>
      </c>
      <c r="K374">
        <v>-12.233942</v>
      </c>
      <c r="L374">
        <v>-76.92431</v>
      </c>
      <c r="M374">
        <f>HYPERLINK("https://www.google.com/maps/search/?api=1&amp;query=-12.233942,-76.92431","Avenida Revolución, Villa El Salvador, Lima")</f>
      </c>
      <c r="N374" t="str">
        <v>Acelerado y giro brusco</v>
      </c>
      <c r="O374">
        <v>713.5</v>
      </c>
      <c r="P374" t="str">
        <v/>
      </c>
      <c r="Q374">
        <v>36.4</v>
      </c>
      <c r="R374">
        <v>27.58</v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>
        <v>85</v>
      </c>
      <c r="AA374" t="str">
        <v>17/09/2026</v>
      </c>
      <c r="AB374" t="str">
        <v>11:37:32</v>
      </c>
      <c r="AC374">
        <f>IF("ONLINE"="NOGPS","GPS Antiguo","En línea")</f>
      </c>
      <c r="AD374">
        <f>IF(0=0,"Sin atender", IF(0=1,"Atendida","Atendida y Reportada"))</f>
      </c>
      <c r="AE374" t="str">
        <v/>
      </c>
      <c r="AF374" t="str">
        <v/>
      </c>
      <c r="AG374" t="str">
        <v/>
      </c>
      <c r="AH374" t="str">
        <v/>
      </c>
      <c r="AI374" t="str">
        <v>17/09/2026 11:37:45</v>
      </c>
      <c r="AJ374" t="str">
        <v>11:37:45</v>
      </c>
      <c r="AK374" t="str">
        <v/>
      </c>
    </row>
    <row r="375">
      <c r="A375">
        <v>374</v>
      </c>
      <c r="B375" t="str">
        <v>MASS BSF</v>
      </c>
      <c r="C375" t="str">
        <v>F8R-810</v>
      </c>
      <c r="D375" t="str">
        <v>F8R-810</v>
      </c>
      <c r="E375" t="str">
        <v>867806078868827</v>
      </c>
      <c r="F375" t="str">
        <v>TBD</v>
      </c>
      <c r="G375" t="str">
        <v/>
      </c>
      <c r="H375" t="str">
        <v/>
      </c>
      <c r="I375" t="str">
        <v>17/09/2026</v>
      </c>
      <c r="J375" t="str">
        <v>11:37:59</v>
      </c>
      <c r="K375">
        <v>-12.232355</v>
      </c>
      <c r="L375">
        <v>-76.92524</v>
      </c>
      <c r="M375">
        <f>HYPERLINK("https://www.google.com/maps/search/?api=1&amp;query=-12.232355,-76.92524","Avenida Revolución, Villa El Salvador, Lima")</f>
      </c>
      <c r="N375" t="str">
        <v>Acelerado y giro brusco</v>
      </c>
      <c r="O375">
        <v>713.7</v>
      </c>
      <c r="P375" t="str">
        <v/>
      </c>
      <c r="Q375">
        <v>12.5</v>
      </c>
      <c r="R375">
        <v>27.58</v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>
        <v>87</v>
      </c>
      <c r="AA375" t="str">
        <v>17/09/2026</v>
      </c>
      <c r="AB375" t="str">
        <v>11:37:57</v>
      </c>
      <c r="AC375">
        <f>IF("ONLINE"="NOGPS","GPS Antiguo","En línea")</f>
      </c>
      <c r="AD375">
        <f>IF(0=0,"Sin atender", IF(0=1,"Atendida","Atendida y Reportada"))</f>
      </c>
      <c r="AE375" t="str">
        <v/>
      </c>
      <c r="AF375" t="str">
        <v/>
      </c>
      <c r="AG375" t="str">
        <v/>
      </c>
      <c r="AH375" t="str">
        <v/>
      </c>
      <c r="AI375" t="str">
        <v>17/09/2026 11:38:27</v>
      </c>
      <c r="AJ375" t="str">
        <v>11:38:27</v>
      </c>
      <c r="AK375" t="str">
        <v/>
      </c>
    </row>
    <row r="376">
      <c r="A376">
        <v>375</v>
      </c>
      <c r="B376" t="str">
        <v>MASS BSF</v>
      </c>
      <c r="C376" t="str">
        <v>F8R-810</v>
      </c>
      <c r="D376" t="str">
        <v>F8R-810</v>
      </c>
      <c r="E376" t="str">
        <v>867806078868827</v>
      </c>
      <c r="F376" t="str">
        <v>TBD</v>
      </c>
      <c r="G376" t="str">
        <v/>
      </c>
      <c r="H376" t="str">
        <v/>
      </c>
      <c r="I376" t="str">
        <v>17/09/2026</v>
      </c>
      <c r="J376" t="str">
        <v>11:38:11</v>
      </c>
      <c r="K376">
        <v>-12.232048</v>
      </c>
      <c r="L376">
        <v>-76.924866</v>
      </c>
      <c r="M376">
        <f>HYPERLINK("https://www.google.com/maps/search/?api=1&amp;query=-12.232048,-76.924866","Avenida Guardia Republicana, Villa El Salvador, Lima")</f>
      </c>
      <c r="N376" t="str">
        <v>Acelerado y giro brusco</v>
      </c>
      <c r="O376">
        <v>713.8</v>
      </c>
      <c r="P376" t="str">
        <v/>
      </c>
      <c r="Q376">
        <v>25.5</v>
      </c>
      <c r="R376">
        <v>27.58</v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>
        <v>87</v>
      </c>
      <c r="AA376" t="str">
        <v>17/09/2026</v>
      </c>
      <c r="AB376" t="str">
        <v>11:38:09</v>
      </c>
      <c r="AC376">
        <f>IF("ONLINE"="NOGPS","GPS Antiguo","En línea")</f>
      </c>
      <c r="AD376">
        <f>IF(0=0,"Sin atender", IF(0=1,"Atendida","Atendida y Reportada"))</f>
      </c>
      <c r="AE376" t="str">
        <v/>
      </c>
      <c r="AF376" t="str">
        <v/>
      </c>
      <c r="AG376" t="str">
        <v/>
      </c>
      <c r="AH376" t="str">
        <v/>
      </c>
      <c r="AI376" t="str">
        <v>17/09/2026 11:38:15</v>
      </c>
      <c r="AJ376" t="str">
        <v>11:38:15</v>
      </c>
      <c r="AK376" t="str">
        <v/>
      </c>
    </row>
    <row r="377">
      <c r="A377">
        <v>376</v>
      </c>
      <c r="B377" t="str">
        <v>MASS BSF</v>
      </c>
      <c r="C377" t="str">
        <v>F8R-810</v>
      </c>
      <c r="D377" t="str">
        <v>F8R-810</v>
      </c>
      <c r="E377" t="str">
        <v>867806078868827</v>
      </c>
      <c r="F377" t="str">
        <v>TBD</v>
      </c>
      <c r="G377" t="str">
        <v/>
      </c>
      <c r="H377" t="str">
        <v/>
      </c>
      <c r="I377" t="str">
        <v>17/09/2026</v>
      </c>
      <c r="J377" t="str">
        <v>11:38:25</v>
      </c>
      <c r="K377">
        <v>-12.231584</v>
      </c>
      <c r="L377">
        <v>-76.92405</v>
      </c>
      <c r="M377">
        <f>HYPERLINK("https://www.google.com/maps/search/?api=1&amp;query=-12.231584,-76.92405","Avenida Guardia Republicana, Villa El Salvador, Lima")</f>
      </c>
      <c r="N377" t="str">
        <v>Acelerado y giro brusco</v>
      </c>
      <c r="O377">
        <v>713.9</v>
      </c>
      <c r="P377" t="str">
        <v/>
      </c>
      <c r="Q377">
        <v>28.7</v>
      </c>
      <c r="R377">
        <v>27.58</v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>
        <v>87</v>
      </c>
      <c r="AA377" t="str">
        <v>17/09/2026</v>
      </c>
      <c r="AB377" t="str">
        <v>11:38:22</v>
      </c>
      <c r="AC377">
        <f>IF("ONLINE"="NOGPS","GPS Antiguo","En línea")</f>
      </c>
      <c r="AD377">
        <f>IF(0=0,"Sin atender", IF(0=1,"Atendida","Atendida y Reportada"))</f>
      </c>
      <c r="AE377" t="str">
        <v/>
      </c>
      <c r="AF377" t="str">
        <v/>
      </c>
      <c r="AG377" t="str">
        <v/>
      </c>
      <c r="AH377" t="str">
        <v/>
      </c>
      <c r="AI377" t="str">
        <v>17/09/2026 11:38:43</v>
      </c>
      <c r="AJ377" t="str">
        <v>11:38:43</v>
      </c>
      <c r="AK377" t="str">
        <v/>
      </c>
    </row>
    <row r="378">
      <c r="A378">
        <v>377</v>
      </c>
      <c r="B378" t="str">
        <v>MASS BSF</v>
      </c>
      <c r="C378" t="str">
        <v>F8R-810</v>
      </c>
      <c r="D378" t="str">
        <v>F8R-810</v>
      </c>
      <c r="E378" t="str">
        <v>867806078868827</v>
      </c>
      <c r="F378" t="str">
        <v>TBD</v>
      </c>
      <c r="G378" t="str">
        <v/>
      </c>
      <c r="H378" t="str">
        <v/>
      </c>
      <c r="I378" t="str">
        <v>17/09/2026</v>
      </c>
      <c r="J378" t="str">
        <v>11:38:38</v>
      </c>
      <c r="K378">
        <v>-12.231212</v>
      </c>
      <c r="L378">
        <v>-76.92339</v>
      </c>
      <c r="M378">
        <f>HYPERLINK("https://www.google.com/maps/search/?api=1&amp;query=-12.231212,-76.92339","Avenida Guardia Republicana, Villa El Salvador, Lima")</f>
      </c>
      <c r="N378" t="str">
        <v>Acelerado y giro brusco</v>
      </c>
      <c r="O378">
        <v>714</v>
      </c>
      <c r="P378" t="str">
        <v/>
      </c>
      <c r="Q378">
        <v>20.3</v>
      </c>
      <c r="R378">
        <v>27.58</v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>
        <v>87</v>
      </c>
      <c r="AA378" t="str">
        <v>17/09/2026</v>
      </c>
      <c r="AB378" t="str">
        <v>11:38:35</v>
      </c>
      <c r="AC378">
        <f>IF("ONLINE"="NOGPS","GPS Antiguo","En línea")</f>
      </c>
      <c r="AD378">
        <f>IF(0=0,"Sin atender", IF(0=1,"Atendida","Atendida y Reportada"))</f>
      </c>
      <c r="AE378" t="str">
        <v/>
      </c>
      <c r="AF378" t="str">
        <v/>
      </c>
      <c r="AG378" t="str">
        <v/>
      </c>
      <c r="AH378" t="str">
        <v/>
      </c>
      <c r="AI378" t="str">
        <v>17/09/2026 11:38:50</v>
      </c>
      <c r="AJ378" t="str">
        <v>11:38:50</v>
      </c>
      <c r="AK378" t="str">
        <v/>
      </c>
    </row>
    <row r="379">
      <c r="A379">
        <v>378</v>
      </c>
      <c r="B379" t="str">
        <v>MASS BSF</v>
      </c>
      <c r="C379" t="str">
        <v>F8R-810</v>
      </c>
      <c r="D379" t="str">
        <v>F8R-810</v>
      </c>
      <c r="E379" t="str">
        <v>867806078868827</v>
      </c>
      <c r="F379" t="str">
        <v>TBD</v>
      </c>
      <c r="G379" t="str">
        <v/>
      </c>
      <c r="H379" t="str">
        <v/>
      </c>
      <c r="I379" t="str">
        <v>17/09/2026</v>
      </c>
      <c r="J379" t="str">
        <v>11:38:51</v>
      </c>
      <c r="K379">
        <v>-12.230938</v>
      </c>
      <c r="L379">
        <v>-76.92292</v>
      </c>
      <c r="M379">
        <f>HYPERLINK("https://www.google.com/maps/search/?api=1&amp;query=-12.230938,-76.92292","Avenida Guardia Republicana, Villa El Salvador, Lima")</f>
      </c>
      <c r="N379" t="str">
        <v>Acelerado y giro brusco</v>
      </c>
      <c r="O379">
        <v>714</v>
      </c>
      <c r="P379" t="str">
        <v/>
      </c>
      <c r="Q379">
        <v>11.2</v>
      </c>
      <c r="R379">
        <v>27.58</v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>
        <v>87</v>
      </c>
      <c r="AA379" t="str">
        <v>17/09/2026</v>
      </c>
      <c r="AB379" t="str">
        <v>11:38:48</v>
      </c>
      <c r="AC379">
        <f>IF("ONLINE"="NOGPS","GPS Antiguo","En línea")</f>
      </c>
      <c r="AD379">
        <f>IF(0=0,"Sin atender", IF(0=1,"Atendida","Atendida y Reportada"))</f>
      </c>
      <c r="AE379" t="str">
        <v/>
      </c>
      <c r="AF379" t="str">
        <v/>
      </c>
      <c r="AG379" t="str">
        <v/>
      </c>
      <c r="AH379" t="str">
        <v/>
      </c>
      <c r="AI379" t="str">
        <v>17/09/2026 11:39:10</v>
      </c>
      <c r="AJ379" t="str">
        <v>11:39:10</v>
      </c>
      <c r="AK379" t="str">
        <v/>
      </c>
    </row>
    <row r="380">
      <c r="A380">
        <v>379</v>
      </c>
      <c r="B380" t="str">
        <v>MASS BSF</v>
      </c>
      <c r="C380" t="str">
        <v>F8R-810</v>
      </c>
      <c r="D380" t="str">
        <v>F8R-810</v>
      </c>
      <c r="E380" t="str">
        <v>867806078868827</v>
      </c>
      <c r="F380" t="str">
        <v>TBD</v>
      </c>
      <c r="G380" t="str">
        <v/>
      </c>
      <c r="H380" t="str">
        <v/>
      </c>
      <c r="I380" t="str">
        <v>17/09/2026</v>
      </c>
      <c r="J380" t="str">
        <v>11:38:58</v>
      </c>
      <c r="K380">
        <v>-12.231009</v>
      </c>
      <c r="L380">
        <v>-76.922775</v>
      </c>
      <c r="M380">
        <f>HYPERLINK("https://www.google.com/maps/search/?api=1&amp;query=-12.231009,-76.922775","Vereda 10, Villa El Salvador, Lima")</f>
      </c>
      <c r="N380" t="str">
        <v>Acelerado y giro brusco</v>
      </c>
      <c r="O380">
        <v>714</v>
      </c>
      <c r="P380" t="str">
        <v/>
      </c>
      <c r="Q380">
        <v>8.5</v>
      </c>
      <c r="R380">
        <v>27.58</v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>
        <v>87</v>
      </c>
      <c r="AA380" t="str">
        <v>17/09/2026</v>
      </c>
      <c r="AB380" t="str">
        <v>11:38:56</v>
      </c>
      <c r="AC380">
        <f>IF("ONLINE"="NOGPS","GPS Antiguo","En línea")</f>
      </c>
      <c r="AD380">
        <f>IF(0=0,"Sin atender", IF(0=1,"Atendida","Atendida y Reportada"))</f>
      </c>
      <c r="AE380" t="str">
        <v/>
      </c>
      <c r="AF380" t="str">
        <v/>
      </c>
      <c r="AG380" t="str">
        <v/>
      </c>
      <c r="AH380" t="str">
        <v/>
      </c>
      <c r="AI380" t="str">
        <v>17/09/2026 11:39:11</v>
      </c>
      <c r="AJ380" t="str">
        <v>11:39:11</v>
      </c>
      <c r="AK380" t="str">
        <v/>
      </c>
    </row>
    <row r="381">
      <c r="A381">
        <v>380</v>
      </c>
      <c r="B381" t="str">
        <v>MASS BSF</v>
      </c>
      <c r="C381" t="str">
        <v>F8R-810</v>
      </c>
      <c r="D381" t="str">
        <v>F8R-810</v>
      </c>
      <c r="E381" t="str">
        <v>867806078868827</v>
      </c>
      <c r="F381" t="str">
        <v>TBD</v>
      </c>
      <c r="G381" t="str">
        <v/>
      </c>
      <c r="H381" t="str">
        <v/>
      </c>
      <c r="I381" t="str">
        <v>17/09/2026</v>
      </c>
      <c r="J381" t="str">
        <v>11:39:15</v>
      </c>
      <c r="K381">
        <v>-12.231394</v>
      </c>
      <c r="L381">
        <v>-76.92254</v>
      </c>
      <c r="M381">
        <f>HYPERLINK("https://www.google.com/maps/search/?api=1&amp;query=-12.231394,-76.92254","Vereda 10, Villa El Salvador, Lima")</f>
      </c>
      <c r="N381" t="str">
        <v>Aceleración brusca</v>
      </c>
      <c r="O381">
        <v>714.1</v>
      </c>
      <c r="P381" t="str">
        <v/>
      </c>
      <c r="Q381">
        <v>11.4</v>
      </c>
      <c r="R381">
        <v>27.58</v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>
        <v>87</v>
      </c>
      <c r="AA381" t="str">
        <v>17/09/2026</v>
      </c>
      <c r="AB381" t="str">
        <v>11:39:13</v>
      </c>
      <c r="AC381">
        <f>IF("ONLINE"="NOGPS","GPS Antiguo","En línea")</f>
      </c>
      <c r="AD381">
        <f>IF(0=0,"Sin atender", IF(0=1,"Atendida","Atendida y Reportada"))</f>
      </c>
      <c r="AE381" t="str">
        <v/>
      </c>
      <c r="AF381" t="str">
        <v/>
      </c>
      <c r="AG381" t="str">
        <v/>
      </c>
      <c r="AH381" t="str">
        <v/>
      </c>
      <c r="AI381" t="str">
        <v>17/09/2026 11:39:22</v>
      </c>
      <c r="AJ381" t="str">
        <v>11:39:22</v>
      </c>
      <c r="AK381" t="str">
        <v/>
      </c>
    </row>
    <row r="382">
      <c r="A382">
        <v>381</v>
      </c>
      <c r="B382" t="str">
        <v>MASS BSF</v>
      </c>
      <c r="C382" t="str">
        <v>F8R-810</v>
      </c>
      <c r="D382" t="str">
        <v>F8R-810</v>
      </c>
      <c r="E382" t="str">
        <v>867806078868827</v>
      </c>
      <c r="F382" t="str">
        <v>TBD</v>
      </c>
      <c r="G382" t="str">
        <v/>
      </c>
      <c r="H382" t="str">
        <v/>
      </c>
      <c r="I382" t="str">
        <v>17/09/2026</v>
      </c>
      <c r="J382" t="str">
        <v>11:39:47</v>
      </c>
      <c r="K382">
        <v>-12.231903</v>
      </c>
      <c r="L382">
        <v>-76.92227</v>
      </c>
      <c r="M382">
        <f>HYPERLINK("https://www.google.com/maps/search/?api=1&amp;query=-12.231903,-76.92227","Vereda 10, Villa El Salvador, Lima")</f>
      </c>
      <c r="N382" t="str">
        <v>Acelerado y giro brusco</v>
      </c>
      <c r="O382">
        <v>714.1</v>
      </c>
      <c r="P382" t="str">
        <v/>
      </c>
      <c r="Q382">
        <v>6.6</v>
      </c>
      <c r="R382">
        <v>27.58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>
        <v>94</v>
      </c>
      <c r="AA382" t="str">
        <v>17/09/2026</v>
      </c>
      <c r="AB382" t="str">
        <v>11:39:45</v>
      </c>
      <c r="AC382">
        <f>IF("ONLINE"="NOGPS","GPS Antiguo","En línea")</f>
      </c>
      <c r="AD382">
        <f>IF(0=0,"Sin atender", IF(0=1,"Atendida","Atendida y Reportada"))</f>
      </c>
      <c r="AE382" t="str">
        <v/>
      </c>
      <c r="AF382" t="str">
        <v/>
      </c>
      <c r="AG382" t="str">
        <v/>
      </c>
      <c r="AH382" t="str">
        <v/>
      </c>
      <c r="AI382" t="str">
        <v>17/09/2026 11:39:58</v>
      </c>
      <c r="AJ382" t="str">
        <v>11:39:58</v>
      </c>
      <c r="AK382" t="str">
        <v/>
      </c>
    </row>
    <row r="383">
      <c r="A383">
        <v>382</v>
      </c>
      <c r="B383" t="str">
        <v>MASS BSF</v>
      </c>
      <c r="C383" t="str">
        <v>F8R-810</v>
      </c>
      <c r="D383" t="str">
        <v>F8R-810</v>
      </c>
      <c r="E383" t="str">
        <v>867806078868827</v>
      </c>
      <c r="F383" t="str">
        <v>TBD</v>
      </c>
      <c r="G383" t="str">
        <v/>
      </c>
      <c r="H383" t="str">
        <v/>
      </c>
      <c r="I383" t="str">
        <v>17/09/2026</v>
      </c>
      <c r="J383" t="str">
        <v>11:39:51</v>
      </c>
      <c r="K383">
        <v>-12.231958</v>
      </c>
      <c r="L383">
        <v>-76.92224</v>
      </c>
      <c r="M383">
        <f>HYPERLINK("https://www.google.com/maps/search/?api=1&amp;query=-12.231958,-76.92224","Vereda 10, Villa El Salvador, Lima")</f>
      </c>
      <c r="N383" t="str">
        <v>Acelerado y giro brusco</v>
      </c>
      <c r="O383">
        <v>714.2</v>
      </c>
      <c r="P383" t="str">
        <v/>
      </c>
      <c r="Q383">
        <v>5.1</v>
      </c>
      <c r="R383">
        <v>27.58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>
        <v>94</v>
      </c>
      <c r="AA383" t="str">
        <v>17/09/2026</v>
      </c>
      <c r="AB383" t="str">
        <v>11:39:49</v>
      </c>
      <c r="AC383">
        <f>IF("ONLINE"="NOGPS","GPS Antiguo","En línea")</f>
      </c>
      <c r="AD383">
        <f>IF(0=0,"Sin atender", IF(0=1,"Atendida","Atendida y Reportada"))</f>
      </c>
      <c r="AE383" t="str">
        <v/>
      </c>
      <c r="AF383" t="str">
        <v/>
      </c>
      <c r="AG383" t="str">
        <v/>
      </c>
      <c r="AH383" t="str">
        <v/>
      </c>
      <c r="AI383" t="str">
        <v>17/09/2026 11:40:10</v>
      </c>
      <c r="AJ383" t="str">
        <v>11:40:10</v>
      </c>
      <c r="AK383" t="str">
        <v/>
      </c>
    </row>
    <row r="384">
      <c r="A384">
        <v>383</v>
      </c>
      <c r="B384" t="str">
        <v>MASS BSF</v>
      </c>
      <c r="C384" t="str">
        <v>F8R-810</v>
      </c>
      <c r="D384" t="str">
        <v>F8R-810</v>
      </c>
      <c r="E384" t="str">
        <v>867806078868827</v>
      </c>
      <c r="F384" t="str">
        <v>TBD</v>
      </c>
      <c r="G384" t="str">
        <v/>
      </c>
      <c r="H384" t="str">
        <v/>
      </c>
      <c r="I384" t="str">
        <v>17/09/2026</v>
      </c>
      <c r="J384" t="str">
        <v>11:40:00</v>
      </c>
      <c r="K384">
        <v>-12.231972</v>
      </c>
      <c r="L384">
        <v>-76.922226</v>
      </c>
      <c r="M384">
        <f>HYPERLINK("https://www.google.com/maps/search/?api=1&amp;query=-12.231972,-76.922226","Vereda 10, Villa El Salvador, Lima")</f>
      </c>
      <c r="N384" t="str">
        <v>Vehículo apagado</v>
      </c>
      <c r="O384">
        <v>714.2</v>
      </c>
      <c r="P384" t="str">
        <v/>
      </c>
      <c r="Q384">
        <v>0</v>
      </c>
      <c r="R384">
        <v>27.78</v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>
        <v>94</v>
      </c>
      <c r="AA384" t="str">
        <v>17/09/2026</v>
      </c>
      <c r="AB384" t="str">
        <v>11:39:57</v>
      </c>
      <c r="AC384">
        <f>IF("ONLINE"="NOGPS","GPS Antiguo","En línea")</f>
      </c>
      <c r="AD384">
        <f>IF(0=0,"Sin atender", IF(0=1,"Atendida","Atendida y Reportada"))</f>
      </c>
      <c r="AE384" t="str">
        <v/>
      </c>
      <c r="AF384" t="str">
        <v/>
      </c>
      <c r="AG384" t="str">
        <v/>
      </c>
      <c r="AH384" t="str">
        <v/>
      </c>
      <c r="AI384" t="str">
        <v>17/09/2026 11:40:12</v>
      </c>
      <c r="AJ384" t="str">
        <v>11:40:12</v>
      </c>
      <c r="AK384" t="str">
        <v/>
      </c>
    </row>
    <row r="385">
      <c r="A385">
        <v>384</v>
      </c>
      <c r="B385" t="str">
        <v>MASS BSF</v>
      </c>
      <c r="C385" t="str">
        <v>F8R-810</v>
      </c>
      <c r="D385" t="str">
        <v>F8R-810</v>
      </c>
      <c r="E385" t="str">
        <v>867806078868827</v>
      </c>
      <c r="F385" t="str">
        <v>TBD</v>
      </c>
      <c r="G385" t="str">
        <v/>
      </c>
      <c r="H385" t="str">
        <v/>
      </c>
      <c r="I385" t="str">
        <v>17/09/2026</v>
      </c>
      <c r="J385" t="str">
        <v>11:43:16</v>
      </c>
      <c r="K385">
        <v>-12.231972</v>
      </c>
      <c r="L385">
        <v>-76.922226</v>
      </c>
      <c r="M385">
        <f>HYPERLINK("https://www.google.com/maps/search/?api=1&amp;query=-12.231972,-76.922226","Vereda 10, Villa El Salvador, Lima")</f>
      </c>
      <c r="N385" t="str">
        <v>Inicio de ralentí</v>
      </c>
      <c r="O385">
        <v>714.2</v>
      </c>
      <c r="P385" t="str">
        <v/>
      </c>
      <c r="Q385">
        <v>0</v>
      </c>
      <c r="R385">
        <v>27.78</v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>
        <v>94</v>
      </c>
      <c r="AA385" t="str">
        <v>17/09/2026</v>
      </c>
      <c r="AB385" t="str">
        <v>11:43:13</v>
      </c>
      <c r="AC385">
        <f>IF("ONLINE"="NOGPS","GPS Antiguo","En línea")</f>
      </c>
      <c r="AD385">
        <f>IF(0=0,"Sin atender", IF(0=1,"Atendida","Atendida y Reportada"))</f>
      </c>
      <c r="AE385" t="str">
        <v/>
      </c>
      <c r="AF385" t="str">
        <v/>
      </c>
      <c r="AG385" t="str">
        <v/>
      </c>
      <c r="AH385" t="str">
        <v/>
      </c>
      <c r="AI385" t="str">
        <v>17/09/2026 11:43:25</v>
      </c>
      <c r="AJ385" t="str">
        <v>11:43:25</v>
      </c>
      <c r="AK385" t="str">
        <v/>
      </c>
    </row>
    <row r="386">
      <c r="A386">
        <v>385</v>
      </c>
      <c r="B386" t="str">
        <v>MASS BSF</v>
      </c>
      <c r="C386" t="str">
        <v>F8R-810</v>
      </c>
      <c r="D386" t="str">
        <v>F8R-810</v>
      </c>
      <c r="E386" t="str">
        <v>867806078868827</v>
      </c>
      <c r="F386" t="str">
        <v>TBD</v>
      </c>
      <c r="G386" t="str">
        <v/>
      </c>
      <c r="H386" t="str">
        <v/>
      </c>
      <c r="I386" t="str">
        <v>17/09/2026</v>
      </c>
      <c r="J386" t="str">
        <v>11:45:11</v>
      </c>
      <c r="K386">
        <v>-12.231972</v>
      </c>
      <c r="L386">
        <v>-76.922226</v>
      </c>
      <c r="M386">
        <f>HYPERLINK("https://www.google.com/maps/search/?api=1&amp;query=-12.231972,-76.922226","Vereda 10, Villa El Salvador, Lima")</f>
      </c>
      <c r="N386" t="str">
        <v>Fin de ralentí</v>
      </c>
      <c r="O386">
        <v>714.2</v>
      </c>
      <c r="P386" t="str">
        <v/>
      </c>
      <c r="Q386">
        <v>0</v>
      </c>
      <c r="R386">
        <v>27.78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>
        <v>94</v>
      </c>
      <c r="AA386" t="str">
        <v>17/09/2026</v>
      </c>
      <c r="AB386" t="str">
        <v>11:45:08</v>
      </c>
      <c r="AC386">
        <f>IF("ONLINE"="NOGPS","GPS Antiguo","En línea")</f>
      </c>
      <c r="AD386">
        <f>IF(0=0,"Sin atender", IF(0=1,"Atendida","Atendida y Reportada"))</f>
      </c>
      <c r="AE386" t="str">
        <v/>
      </c>
      <c r="AF386" t="str">
        <v/>
      </c>
      <c r="AG386" t="str">
        <v/>
      </c>
      <c r="AH386" t="str">
        <v/>
      </c>
      <c r="AI386" t="str">
        <v>17/09/2026 11:45:24</v>
      </c>
      <c r="AJ386" t="str">
        <v>11:45:24</v>
      </c>
      <c r="AK386" t="str">
        <v/>
      </c>
    </row>
    <row r="387">
      <c r="A387">
        <v>386</v>
      </c>
      <c r="B387" t="str">
        <v>MASS BSF</v>
      </c>
      <c r="C387" t="str">
        <v>F8R-810</v>
      </c>
      <c r="D387" t="str">
        <v>F8R-810</v>
      </c>
      <c r="E387" t="str">
        <v>867806078868827</v>
      </c>
      <c r="F387" t="str">
        <v>TBD</v>
      </c>
      <c r="G387" t="str">
        <v/>
      </c>
      <c r="H387" t="str">
        <v/>
      </c>
      <c r="I387" t="str">
        <v>17/09/2026</v>
      </c>
      <c r="J387" t="str">
        <v>11:47:21</v>
      </c>
      <c r="K387">
        <v>-12.231972</v>
      </c>
      <c r="L387">
        <v>-76.922226</v>
      </c>
      <c r="M387">
        <f>HYPERLINK("https://www.google.com/maps/search/?api=1&amp;query=-12.231972,-76.922226","Vereda 10, Villa El Salvador, Lima")</f>
      </c>
      <c r="N387" t="str">
        <v>Se detuvo</v>
      </c>
      <c r="O387">
        <v>714.2</v>
      </c>
      <c r="P387" t="str">
        <v/>
      </c>
      <c r="Q387">
        <v>0</v>
      </c>
      <c r="R387">
        <v>27.78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>
        <v>94</v>
      </c>
      <c r="AA387" t="str">
        <v>17/09/2026</v>
      </c>
      <c r="AB387" t="str">
        <v>11:47:18</v>
      </c>
      <c r="AC387">
        <f>IF("ONLINE"="NOGPS","GPS Antiguo","En línea")</f>
      </c>
      <c r="AD387">
        <f>IF(0=0,"Sin atender", IF(0=1,"Atendida","Atendida y Reportada"))</f>
      </c>
      <c r="AE387" t="str">
        <v/>
      </c>
      <c r="AF387" t="str">
        <v/>
      </c>
      <c r="AG387" t="str">
        <v/>
      </c>
      <c r="AH387" t="str">
        <v/>
      </c>
      <c r="AI387" t="str">
        <v>17/09/2026 11:47:42</v>
      </c>
      <c r="AJ387" t="str">
        <v>11:47:42</v>
      </c>
      <c r="AK387" t="str">
        <v/>
      </c>
    </row>
    <row r="388">
      <c r="A388">
        <v>387</v>
      </c>
      <c r="B388" t="str">
        <v>MASS BSF</v>
      </c>
      <c r="C388" t="str">
        <v>F8R-810</v>
      </c>
      <c r="D388" t="str">
        <v>F8R-810</v>
      </c>
      <c r="E388" t="str">
        <v>867806078868827</v>
      </c>
      <c r="F388" t="str">
        <v>TBD</v>
      </c>
      <c r="G388" t="str">
        <v/>
      </c>
      <c r="H388" t="str">
        <v/>
      </c>
      <c r="I388" t="str">
        <v>17/09/2026</v>
      </c>
      <c r="J388" t="str">
        <v>12:14:27</v>
      </c>
      <c r="K388">
        <v>-12.231972</v>
      </c>
      <c r="L388">
        <v>-76.922226</v>
      </c>
      <c r="M388">
        <f>HYPERLINK("https://www.google.com/maps/search/?api=1&amp;query=-12.231972,-76.922226","Vereda 10, Villa El Salvador, Lima")</f>
      </c>
      <c r="N388" t="str">
        <v>Vehículo encendido</v>
      </c>
      <c r="O388">
        <v>714.2</v>
      </c>
      <c r="P388" t="str">
        <v/>
      </c>
      <c r="Q388">
        <v>0</v>
      </c>
      <c r="R388">
        <v>27.78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>
        <v>92</v>
      </c>
      <c r="AA388" t="str">
        <v>17/09/2026</v>
      </c>
      <c r="AB388" t="str">
        <v>12:14:25</v>
      </c>
      <c r="AC388">
        <f>IF("ONLINE"="NOGPS","GPS Antiguo","En línea")</f>
      </c>
      <c r="AD388">
        <f>IF(0=0,"Sin atender", IF(0=1,"Atendida","Atendida y Reportada"))</f>
      </c>
      <c r="AE388" t="str">
        <v/>
      </c>
      <c r="AF388" t="str">
        <v/>
      </c>
      <c r="AG388" t="str">
        <v/>
      </c>
      <c r="AH388" t="str">
        <v/>
      </c>
      <c r="AI388" t="str">
        <v>17/09/2026 12:14:37</v>
      </c>
      <c r="AJ388" t="str">
        <v>12:14:37</v>
      </c>
      <c r="AK388" t="str">
        <v/>
      </c>
    </row>
    <row r="389">
      <c r="A389">
        <v>388</v>
      </c>
      <c r="B389" t="str">
        <v>MASS BSF</v>
      </c>
      <c r="C389" t="str">
        <v>F8R-810</v>
      </c>
      <c r="D389" t="str">
        <v>F8R-810</v>
      </c>
      <c r="E389" t="str">
        <v>867806078868827</v>
      </c>
      <c r="F389" t="str">
        <v>TBD</v>
      </c>
      <c r="G389" t="str">
        <v/>
      </c>
      <c r="H389" t="str">
        <v/>
      </c>
      <c r="I389" t="str">
        <v>17/09/2026</v>
      </c>
      <c r="J389" t="str">
        <v>12:15:50</v>
      </c>
      <c r="K389">
        <v>-12.231972</v>
      </c>
      <c r="L389">
        <v>-76.922226</v>
      </c>
      <c r="M389">
        <f>HYPERLINK("https://www.google.com/maps/search/?api=1&amp;query=-12.231972,-76.922226","Vereda 10, Villa El Salvador, Lima")</f>
      </c>
      <c r="N389" t="str">
        <v>Acelerado y giro brusco</v>
      </c>
      <c r="O389">
        <v>714.2</v>
      </c>
      <c r="P389" t="str">
        <v/>
      </c>
      <c r="Q389">
        <v>0</v>
      </c>
      <c r="R389">
        <v>27.78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>
        <v>85</v>
      </c>
      <c r="AA389" t="str">
        <v>17/09/2026</v>
      </c>
      <c r="AB389" t="str">
        <v>12:15:47</v>
      </c>
      <c r="AC389">
        <f>IF("ONLINE"="NOGPS","GPS Antiguo","En línea")</f>
      </c>
      <c r="AD389">
        <f>IF(0=0,"Sin atender", IF(0=1,"Atendida","Atendida y Reportada"))</f>
      </c>
      <c r="AE389" t="str">
        <v/>
      </c>
      <c r="AF389" t="str">
        <v/>
      </c>
      <c r="AG389" t="str">
        <v/>
      </c>
      <c r="AH389" t="str">
        <v/>
      </c>
      <c r="AI389" t="str">
        <v>17/09/2026 12:16:05</v>
      </c>
      <c r="AJ389" t="str">
        <v>12:16:05</v>
      </c>
      <c r="AK389" t="str">
        <v/>
      </c>
    </row>
    <row r="390">
      <c r="A390">
        <v>389</v>
      </c>
      <c r="B390" t="str">
        <v>MASS BSF</v>
      </c>
      <c r="C390" t="str">
        <v>F8R-810</v>
      </c>
      <c r="D390" t="str">
        <v>F8R-810</v>
      </c>
      <c r="E390" t="str">
        <v>867806078868827</v>
      </c>
      <c r="F390" t="str">
        <v>TBD</v>
      </c>
      <c r="G390" t="str">
        <v/>
      </c>
      <c r="H390" t="str">
        <v/>
      </c>
      <c r="I390" t="str">
        <v>17/09/2026</v>
      </c>
      <c r="J390" t="str">
        <v>12:15:58</v>
      </c>
      <c r="K390">
        <v>-12.23201</v>
      </c>
      <c r="L390">
        <v>-76.92218</v>
      </c>
      <c r="M390">
        <f>HYPERLINK("https://www.google.com/maps/search/?api=1&amp;query=-12.23201,-76.92218","Vereda 10, Villa El Salvador, Lima")</f>
      </c>
      <c r="N390" t="str">
        <v>Acelerado y giro brusco</v>
      </c>
      <c r="O390">
        <v>714.2</v>
      </c>
      <c r="P390" t="str">
        <v/>
      </c>
      <c r="Q390">
        <v>0</v>
      </c>
      <c r="R390">
        <v>27.78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>
        <v>85</v>
      </c>
      <c r="AA390" t="str">
        <v>17/09/2026</v>
      </c>
      <c r="AB390" t="str">
        <v>12:15:56</v>
      </c>
      <c r="AC390">
        <f>IF("ONLINE"="NOGPS","GPS Antiguo","En línea")</f>
      </c>
      <c r="AD390">
        <f>IF(0=0,"Sin atender", IF(0=1,"Atendida","Atendida y Reportada"))</f>
      </c>
      <c r="AE390" t="str">
        <v/>
      </c>
      <c r="AF390" t="str">
        <v/>
      </c>
      <c r="AG390" t="str">
        <v/>
      </c>
      <c r="AH390" t="str">
        <v/>
      </c>
      <c r="AI390" t="str">
        <v>17/09/2026 12:16:03</v>
      </c>
      <c r="AJ390" t="str">
        <v>12:16:03</v>
      </c>
      <c r="AK390" t="str">
        <v/>
      </c>
    </row>
    <row r="391">
      <c r="A391">
        <v>390</v>
      </c>
      <c r="B391" t="str">
        <v>MASS BSF</v>
      </c>
      <c r="C391" t="str">
        <v>F8R-810</v>
      </c>
      <c r="D391" t="str">
        <v>F8R-810</v>
      </c>
      <c r="E391" t="str">
        <v>867806078868827</v>
      </c>
      <c r="F391" t="str">
        <v>TBD</v>
      </c>
      <c r="G391" t="str">
        <v/>
      </c>
      <c r="H391" t="str">
        <v/>
      </c>
      <c r="I391" t="str">
        <v>17/09/2026</v>
      </c>
      <c r="J391" t="str">
        <v>12:16:11</v>
      </c>
      <c r="K391">
        <v>-12.232143</v>
      </c>
      <c r="L391">
        <v>-76.922104</v>
      </c>
      <c r="M391">
        <f>HYPERLINK("https://www.google.com/maps/search/?api=1&amp;query=-12.232143,-76.922104","Vereda 10, Villa El Salvador, Lima")</f>
      </c>
      <c r="N391" t="str">
        <v>Acelerado y giro brusco</v>
      </c>
      <c r="O391">
        <v>714.2</v>
      </c>
      <c r="P391" t="str">
        <v/>
      </c>
      <c r="Q391">
        <v>8.5</v>
      </c>
      <c r="R391">
        <v>27.78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>
        <v>86</v>
      </c>
      <c r="AA391" t="str">
        <v>17/09/2026</v>
      </c>
      <c r="AB391" t="str">
        <v>12:16:08</v>
      </c>
      <c r="AC391">
        <f>IF("ONLINE"="NOGPS","GPS Antiguo","En línea")</f>
      </c>
      <c r="AD391">
        <f>IF(0=0,"Sin atender", IF(0=1,"Atendida","Atendida y Reportada"))</f>
      </c>
      <c r="AE391" t="str">
        <v/>
      </c>
      <c r="AF391" t="str">
        <v/>
      </c>
      <c r="AG391" t="str">
        <v/>
      </c>
      <c r="AH391" t="str">
        <v/>
      </c>
      <c r="AI391" t="str">
        <v>17/09/2026 12:16:18</v>
      </c>
      <c r="AJ391" t="str">
        <v>12:16:18</v>
      </c>
      <c r="AK391" t="str">
        <v/>
      </c>
    </row>
    <row r="392">
      <c r="A392">
        <v>391</v>
      </c>
      <c r="B392" t="str">
        <v>MASS BSF</v>
      </c>
      <c r="C392" t="str">
        <v>F8R-810</v>
      </c>
      <c r="D392" t="str">
        <v>F8R-810</v>
      </c>
      <c r="E392" t="str">
        <v>867806078868827</v>
      </c>
      <c r="F392" t="str">
        <v>TBD</v>
      </c>
      <c r="G392" t="str">
        <v/>
      </c>
      <c r="H392" t="str">
        <v/>
      </c>
      <c r="I392" t="str">
        <v>17/09/2026</v>
      </c>
      <c r="J392" t="str">
        <v>12:16:23</v>
      </c>
      <c r="K392">
        <v>-12.232407</v>
      </c>
      <c r="L392">
        <v>-76.92194</v>
      </c>
      <c r="M392">
        <f>HYPERLINK("https://www.google.com/maps/search/?api=1&amp;query=-12.232407,-76.92194","Vereda 10, Villa El Salvador, Lima")</f>
      </c>
      <c r="N392" t="str">
        <v>Acelerado y giro brusco</v>
      </c>
      <c r="O392">
        <v>714.2</v>
      </c>
      <c r="P392" t="str">
        <v/>
      </c>
      <c r="Q392">
        <v>9.8</v>
      </c>
      <c r="R392">
        <v>27.78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>
        <v>86</v>
      </c>
      <c r="AA392" t="str">
        <v>17/09/2026</v>
      </c>
      <c r="AB392" t="str">
        <v>12:16:21</v>
      </c>
      <c r="AC392">
        <f>IF("ONLINE"="NOGPS","GPS Antiguo","En línea")</f>
      </c>
      <c r="AD392">
        <f>IF(0=0,"Sin atender", IF(0=1,"Atendida","Atendida y Reportada"))</f>
      </c>
      <c r="AE392" t="str">
        <v/>
      </c>
      <c r="AF392" t="str">
        <v/>
      </c>
      <c r="AG392" t="str">
        <v/>
      </c>
      <c r="AH392" t="str">
        <v/>
      </c>
      <c r="AI392" t="str">
        <v>17/09/2026 12:16:38</v>
      </c>
      <c r="AJ392" t="str">
        <v>12:16:38</v>
      </c>
      <c r="AK392" t="str">
        <v/>
      </c>
    </row>
    <row r="393">
      <c r="A393">
        <v>392</v>
      </c>
      <c r="B393" t="str">
        <v>MASS BSF</v>
      </c>
      <c r="C393" t="str">
        <v>F8R-810</v>
      </c>
      <c r="D393" t="str">
        <v>F8R-810</v>
      </c>
      <c r="E393" t="str">
        <v>867806078868827</v>
      </c>
      <c r="F393" t="str">
        <v>TBD</v>
      </c>
      <c r="G393" t="str">
        <v/>
      </c>
      <c r="H393" t="str">
        <v/>
      </c>
      <c r="I393" t="str">
        <v>17/09/2026</v>
      </c>
      <c r="J393" t="str">
        <v>12:16:47</v>
      </c>
      <c r="K393">
        <v>-12.233196</v>
      </c>
      <c r="L393">
        <v>-76.92147</v>
      </c>
      <c r="M393">
        <f>HYPERLINK("https://www.google.com/maps/search/?api=1&amp;query=-12.233196,-76.92147","Vereda 10, Villa El Salvador, Lima")</f>
      </c>
      <c r="N393" t="str">
        <v>Acelerado y giro brusco</v>
      </c>
      <c r="O393">
        <v>714.3</v>
      </c>
      <c r="P393" t="str">
        <v/>
      </c>
      <c r="Q393">
        <v>17.9</v>
      </c>
      <c r="R393">
        <v>27.78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>
        <v>86</v>
      </c>
      <c r="AA393" t="str">
        <v>17/09/2026</v>
      </c>
      <c r="AB393" t="str">
        <v>12:16:44</v>
      </c>
      <c r="AC393">
        <f>IF("ONLINE"="NOGPS","GPS Antiguo","En línea")</f>
      </c>
      <c r="AD393">
        <f>IF(0=0,"Sin atender", IF(0=1,"Atendida","Atendida y Reportada"))</f>
      </c>
      <c r="AE393" t="str">
        <v/>
      </c>
      <c r="AF393" t="str">
        <v/>
      </c>
      <c r="AG393" t="str">
        <v/>
      </c>
      <c r="AH393" t="str">
        <v/>
      </c>
      <c r="AI393" t="str">
        <v>17/09/2026 12:17:06</v>
      </c>
      <c r="AJ393" t="str">
        <v>12:17:06</v>
      </c>
      <c r="AK393" t="str">
        <v/>
      </c>
    </row>
    <row r="394">
      <c r="A394">
        <v>393</v>
      </c>
      <c r="B394" t="str">
        <v>MASS BSF</v>
      </c>
      <c r="C394" t="str">
        <v>F8R-810</v>
      </c>
      <c r="D394" t="str">
        <v>F8R-810</v>
      </c>
      <c r="E394" t="str">
        <v>867806078868827</v>
      </c>
      <c r="F394" t="str">
        <v>TBD</v>
      </c>
      <c r="G394" t="str">
        <v/>
      </c>
      <c r="H394" t="str">
        <v/>
      </c>
      <c r="I394" t="str">
        <v>17/09/2026</v>
      </c>
      <c r="J394" t="str">
        <v>12:17:10</v>
      </c>
      <c r="K394">
        <v>-12.234303</v>
      </c>
      <c r="L394">
        <v>-76.92082</v>
      </c>
      <c r="M394">
        <f>HYPERLINK("https://www.google.com/maps/search/?api=1&amp;query=-12.234303,-76.92082","Vereda 10, Villa El Salvador, Lima")</f>
      </c>
      <c r="N394" t="str">
        <v>Acelerado y giro brusco</v>
      </c>
      <c r="O394">
        <v>714.5</v>
      </c>
      <c r="P394" t="str">
        <v/>
      </c>
      <c r="Q394">
        <v>24</v>
      </c>
      <c r="R394">
        <v>27.78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>
        <v>86</v>
      </c>
      <c r="AA394" t="str">
        <v>17/09/2026</v>
      </c>
      <c r="AB394" t="str">
        <v>12:17:07</v>
      </c>
      <c r="AC394">
        <f>IF("ONLINE"="NOGPS","GPS Antiguo","En línea")</f>
      </c>
      <c r="AD394">
        <f>IF(0=0,"Sin atender", IF(0=1,"Atendida","Atendida y Reportada"))</f>
      </c>
      <c r="AE394" t="str">
        <v/>
      </c>
      <c r="AF394" t="str">
        <v/>
      </c>
      <c r="AG394" t="str">
        <v/>
      </c>
      <c r="AH394" t="str">
        <v/>
      </c>
      <c r="AI394" t="str">
        <v>17/09/2026 12:17:21</v>
      </c>
      <c r="AJ394" t="str">
        <v>12:17:21</v>
      </c>
      <c r="AK394" t="str">
        <v/>
      </c>
    </row>
    <row r="395">
      <c r="A395">
        <v>394</v>
      </c>
      <c r="B395" t="str">
        <v>MASS BSF</v>
      </c>
      <c r="C395" t="str">
        <v>F8R-810</v>
      </c>
      <c r="D395" t="str">
        <v>F8R-810</v>
      </c>
      <c r="E395" t="str">
        <v>867806078868827</v>
      </c>
      <c r="F395" t="str">
        <v>TBD</v>
      </c>
      <c r="G395" t="str">
        <v/>
      </c>
      <c r="H395" t="str">
        <v/>
      </c>
      <c r="I395" t="str">
        <v>17/09/2026</v>
      </c>
      <c r="J395" t="str">
        <v>12:17:17</v>
      </c>
      <c r="K395">
        <v>-12.234556</v>
      </c>
      <c r="L395">
        <v>-76.920685</v>
      </c>
      <c r="M395">
        <f>HYPERLINK("https://www.google.com/maps/search/?api=1&amp;query=-12.234556,-76.920685","Vereda 10, Villa El Salvador, Lima")</f>
      </c>
      <c r="N395" t="str">
        <v>Acelerado y giro brusco</v>
      </c>
      <c r="O395">
        <v>714.5</v>
      </c>
      <c r="P395" t="str">
        <v/>
      </c>
      <c r="Q395">
        <v>13.3</v>
      </c>
      <c r="R395">
        <v>27.78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>
        <v>86</v>
      </c>
      <c r="AA395" t="str">
        <v>17/09/2026</v>
      </c>
      <c r="AB395" t="str">
        <v>12:17:14</v>
      </c>
      <c r="AC395">
        <f>IF("ONLINE"="NOGPS","GPS Antiguo","En línea")</f>
      </c>
      <c r="AD395">
        <f>IF(0=0,"Sin atender", IF(0=1,"Atendida","Atendida y Reportada"))</f>
      </c>
      <c r="AE395" t="str">
        <v/>
      </c>
      <c r="AF395" t="str">
        <v/>
      </c>
      <c r="AG395" t="str">
        <v/>
      </c>
      <c r="AH395" t="str">
        <v/>
      </c>
      <c r="AI395" t="str">
        <v>17/09/2026 12:17:41</v>
      </c>
      <c r="AJ395" t="str">
        <v>12:17:41</v>
      </c>
      <c r="AK395" t="str">
        <v/>
      </c>
    </row>
    <row r="396">
      <c r="A396">
        <v>395</v>
      </c>
      <c r="B396" t="str">
        <v>MASS BSF</v>
      </c>
      <c r="C396" t="str">
        <v>F8R-810</v>
      </c>
      <c r="D396" t="str">
        <v>F8R-810</v>
      </c>
      <c r="E396" t="str">
        <v>867806078868827</v>
      </c>
      <c r="F396" t="str">
        <v>TBD</v>
      </c>
      <c r="G396" t="str">
        <v/>
      </c>
      <c r="H396" t="str">
        <v/>
      </c>
      <c r="I396" t="str">
        <v>17/09/2026</v>
      </c>
      <c r="J396" t="str">
        <v>12:17:22</v>
      </c>
      <c r="K396">
        <v>-12.234616</v>
      </c>
      <c r="L396">
        <v>-76.92054</v>
      </c>
      <c r="M396">
        <f>HYPERLINK("https://www.google.com/maps/search/?api=1&amp;query=-12.234616,-76.92054","Calle 11, Villa El Salvador, Lima")</f>
      </c>
      <c r="N396" t="str">
        <v>Giro brusco</v>
      </c>
      <c r="O396">
        <v>714.5</v>
      </c>
      <c r="P396" t="str">
        <v/>
      </c>
      <c r="Q396">
        <v>18.5</v>
      </c>
      <c r="R396">
        <v>27.78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>
        <v>86</v>
      </c>
      <c r="AA396" t="str">
        <v>17/09/2026</v>
      </c>
      <c r="AB396" t="str">
        <v>12:17:19</v>
      </c>
      <c r="AC396">
        <f>IF("ONLINE"="NOGPS","GPS Antiguo","En línea")</f>
      </c>
      <c r="AD396">
        <f>IF(0=0,"Sin atender", IF(0=1,"Atendida","Atendida y Reportada"))</f>
      </c>
      <c r="AE396" t="str">
        <v/>
      </c>
      <c r="AF396" t="str">
        <v/>
      </c>
      <c r="AG396" t="str">
        <v/>
      </c>
      <c r="AH396" t="str">
        <v/>
      </c>
      <c r="AI396" t="str">
        <v>17/09/2026 12:17:39</v>
      </c>
      <c r="AJ396" t="str">
        <v>12:17:39</v>
      </c>
      <c r="AK396" t="str">
        <v/>
      </c>
    </row>
    <row r="397">
      <c r="A397">
        <v>396</v>
      </c>
      <c r="B397" t="str">
        <v>MASS BSF</v>
      </c>
      <c r="C397" t="str">
        <v>F8R-810</v>
      </c>
      <c r="D397" t="str">
        <v>F8R-810</v>
      </c>
      <c r="E397" t="str">
        <v>867806078868827</v>
      </c>
      <c r="F397" t="str">
        <v>TBD</v>
      </c>
      <c r="G397" t="str">
        <v/>
      </c>
      <c r="H397" t="str">
        <v/>
      </c>
      <c r="I397" t="str">
        <v>17/09/2026</v>
      </c>
      <c r="J397" t="str">
        <v>12:17:54</v>
      </c>
      <c r="K397">
        <v>-12.233343</v>
      </c>
      <c r="L397">
        <v>-76.918396</v>
      </c>
      <c r="M397">
        <f>HYPERLINK("https://www.google.com/maps/search/?api=1&amp;query=-12.233343,-76.918396","Avenida Universitaria, Villa El Salvador, Lima")</f>
      </c>
      <c r="N397" t="str">
        <v>Bache</v>
      </c>
      <c r="O397">
        <v>714.8</v>
      </c>
      <c r="P397" t="str">
        <v/>
      </c>
      <c r="Q397">
        <v>13.1</v>
      </c>
      <c r="R397">
        <v>27.78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>
        <v>86</v>
      </c>
      <c r="AA397" t="str">
        <v>17/09/2026</v>
      </c>
      <c r="AB397" t="str">
        <v>12:17:51</v>
      </c>
      <c r="AC397">
        <f>IF("ONLINE"="NOGPS","GPS Antiguo","En línea")</f>
      </c>
      <c r="AD397">
        <f>IF(0=0,"Sin atender", IF(0=1,"Atendida","Atendida y Reportada"))</f>
      </c>
      <c r="AE397" t="str">
        <v/>
      </c>
      <c r="AF397" t="str">
        <v/>
      </c>
      <c r="AG397" t="str">
        <v/>
      </c>
      <c r="AH397" t="str">
        <v/>
      </c>
      <c r="AI397" t="str">
        <v>17/09/2026 12:18:10</v>
      </c>
      <c r="AJ397" t="str">
        <v>12:18:10</v>
      </c>
      <c r="AK397" t="str">
        <v/>
      </c>
    </row>
    <row r="398">
      <c r="A398">
        <v>397</v>
      </c>
      <c r="B398" t="str">
        <v>MASS BSF</v>
      </c>
      <c r="C398" t="str">
        <v>F8R-810</v>
      </c>
      <c r="D398" t="str">
        <v>F8R-810</v>
      </c>
      <c r="E398" t="str">
        <v>867806078868827</v>
      </c>
      <c r="F398" t="str">
        <v>TBD</v>
      </c>
      <c r="G398" t="str">
        <v/>
      </c>
      <c r="H398" t="str">
        <v/>
      </c>
      <c r="I398" t="str">
        <v>17/09/2026</v>
      </c>
      <c r="J398" t="str">
        <v>12:17:57</v>
      </c>
      <c r="K398">
        <v>-12.233289</v>
      </c>
      <c r="L398">
        <v>-76.9183</v>
      </c>
      <c r="M398">
        <f>HYPERLINK("https://www.google.com/maps/search/?api=1&amp;query=-12.233289,-76.9183","Avenida Universitaria, Villa El Salvador, Lima")</f>
      </c>
      <c r="N398" t="str">
        <v>Acelerado y giro brusco</v>
      </c>
      <c r="O398">
        <v>714.8</v>
      </c>
      <c r="P398" t="str">
        <v/>
      </c>
      <c r="Q398">
        <v>13.3</v>
      </c>
      <c r="R398">
        <v>27.78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>
        <v>86</v>
      </c>
      <c r="AA398" t="str">
        <v>17/09/2026</v>
      </c>
      <c r="AB398" t="str">
        <v>12:17:54</v>
      </c>
      <c r="AC398">
        <f>IF("ONLINE"="NOGPS","GPS Antiguo","En línea")</f>
      </c>
      <c r="AD398">
        <f>IF(0=0,"Sin atender", IF(0=1,"Atendida","Atendida y Reportada"))</f>
      </c>
      <c r="AE398" t="str">
        <v/>
      </c>
      <c r="AF398" t="str">
        <v/>
      </c>
      <c r="AG398" t="str">
        <v/>
      </c>
      <c r="AH398" t="str">
        <v/>
      </c>
      <c r="AI398" t="str">
        <v>17/09/2026 12:18:00</v>
      </c>
      <c r="AJ398" t="str">
        <v>12:18:00</v>
      </c>
      <c r="AK398" t="str">
        <v/>
      </c>
    </row>
    <row r="399">
      <c r="A399">
        <v>398</v>
      </c>
      <c r="B399" t="str">
        <v>MASS BSF</v>
      </c>
      <c r="C399" t="str">
        <v>F8R-810</v>
      </c>
      <c r="D399" t="str">
        <v>F8R-810</v>
      </c>
      <c r="E399" t="str">
        <v>867806078868827</v>
      </c>
      <c r="F399" t="str">
        <v>TBD</v>
      </c>
      <c r="G399" t="str">
        <v/>
      </c>
      <c r="H399" t="str">
        <v/>
      </c>
      <c r="I399" t="str">
        <v>17/09/2026</v>
      </c>
      <c r="J399" t="str">
        <v>12:18:01</v>
      </c>
      <c r="K399">
        <v>-12.233253</v>
      </c>
      <c r="L399">
        <v>-76.918205</v>
      </c>
      <c r="M399">
        <f>HYPERLINK("https://www.google.com/maps/search/?api=1&amp;query=-12.233253,-76.918205","Avenida Universitaria, Villa El Salvador, Lima")</f>
      </c>
      <c r="N399" t="str">
        <v>Acelerado y giro brusco</v>
      </c>
      <c r="O399">
        <v>714.8</v>
      </c>
      <c r="P399" t="str">
        <v/>
      </c>
      <c r="Q399">
        <v>11.8</v>
      </c>
      <c r="R399">
        <v>27.78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>
        <v>86</v>
      </c>
      <c r="AA399" t="str">
        <v>17/09/2026</v>
      </c>
      <c r="AB399" t="str">
        <v>12:17:59</v>
      </c>
      <c r="AC399">
        <f>IF("ONLINE"="NOGPS","GPS Antiguo","En línea")</f>
      </c>
      <c r="AD399">
        <f>IF(0=0,"Sin atender", IF(0=1,"Atendida","Atendida y Reportada"))</f>
      </c>
      <c r="AE399" t="str">
        <v/>
      </c>
      <c r="AF399" t="str">
        <v/>
      </c>
      <c r="AG399" t="str">
        <v/>
      </c>
      <c r="AH399" t="str">
        <v/>
      </c>
      <c r="AI399" t="str">
        <v>17/09/2026 12:18:16</v>
      </c>
      <c r="AJ399" t="str">
        <v>12:18:16</v>
      </c>
      <c r="AK399" t="str">
        <v/>
      </c>
    </row>
    <row r="400">
      <c r="A400">
        <v>399</v>
      </c>
      <c r="B400" t="str">
        <v>MASS BSF</v>
      </c>
      <c r="C400" t="str">
        <v>F8R-810</v>
      </c>
      <c r="D400" t="str">
        <v>F8R-810</v>
      </c>
      <c r="E400" t="str">
        <v>867806078868827</v>
      </c>
      <c r="F400" t="str">
        <v>TBD</v>
      </c>
      <c r="G400" t="str">
        <v/>
      </c>
      <c r="H400" t="str">
        <v/>
      </c>
      <c r="I400" t="str">
        <v>17/09/2026</v>
      </c>
      <c r="J400" t="str">
        <v>12:18:30</v>
      </c>
      <c r="K400">
        <v>-12.234558</v>
      </c>
      <c r="L400">
        <v>-76.917305</v>
      </c>
      <c r="M400">
        <f>HYPERLINK("https://www.google.com/maps/search/?api=1&amp;query=-12.234558,-76.917305","Avenida Separadora Industrial, Villa El Salvador, Lima")</f>
      </c>
      <c r="N400" t="str">
        <v>Vehículo apagado</v>
      </c>
      <c r="O400">
        <v>715</v>
      </c>
      <c r="P400" t="str">
        <v/>
      </c>
      <c r="Q400">
        <v>0</v>
      </c>
      <c r="R400">
        <v>27.85</v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>
        <v>87</v>
      </c>
      <c r="AA400" t="str">
        <v>17/09/2026</v>
      </c>
      <c r="AB400" t="str">
        <v>12:18:28</v>
      </c>
      <c r="AC400">
        <f>IF("ONLINE"="NOGPS","GPS Antiguo","En línea")</f>
      </c>
      <c r="AD400">
        <f>IF(0=0,"Sin atender", IF(0=1,"Atendida","Atendida y Reportada"))</f>
      </c>
      <c r="AE400" t="str">
        <v/>
      </c>
      <c r="AF400" t="str">
        <v/>
      </c>
      <c r="AG400" t="str">
        <v/>
      </c>
      <c r="AH400" t="str">
        <v/>
      </c>
      <c r="AI400" t="str">
        <v>17/09/2026 12:18:54</v>
      </c>
      <c r="AJ400" t="str">
        <v>12:18:54</v>
      </c>
      <c r="AK400" t="str">
        <v/>
      </c>
    </row>
    <row r="401">
      <c r="A401">
        <v>400</v>
      </c>
      <c r="B401" t="str">
        <v>MASS BSF</v>
      </c>
      <c r="C401" t="str">
        <v>F8R-810</v>
      </c>
      <c r="D401" t="str">
        <v>F8R-810</v>
      </c>
      <c r="E401" t="str">
        <v>867806078868827</v>
      </c>
      <c r="F401" t="str">
        <v>TBD</v>
      </c>
      <c r="G401" t="str">
        <v/>
      </c>
      <c r="H401" t="str">
        <v/>
      </c>
      <c r="I401" t="str">
        <v>17/09/2026</v>
      </c>
      <c r="J401" t="str">
        <v>12:22:27</v>
      </c>
      <c r="K401">
        <v>-12.234558</v>
      </c>
      <c r="L401">
        <v>-76.917305</v>
      </c>
      <c r="M401">
        <f>HYPERLINK("https://www.google.com/maps/search/?api=1&amp;query=-12.234558,-76.917305","Avenida Separadora Industrial, Villa El Salvador, Lima")</f>
      </c>
      <c r="N401" t="str">
        <v>Vehículo encendido</v>
      </c>
      <c r="O401">
        <v>715</v>
      </c>
      <c r="P401" t="str">
        <v/>
      </c>
      <c r="Q401">
        <v>0</v>
      </c>
      <c r="R401">
        <v>27.85</v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>
        <v>87</v>
      </c>
      <c r="AA401" t="str">
        <v>17/09/2026</v>
      </c>
      <c r="AB401" t="str">
        <v>12:22:25</v>
      </c>
      <c r="AC401">
        <f>IF("ONLINE"="NOGPS","GPS Antiguo","En línea")</f>
      </c>
      <c r="AD401">
        <f>IF(0=0,"Sin atender", IF(0=1,"Atendida","Atendida y Reportada"))</f>
      </c>
      <c r="AE401" t="str">
        <v/>
      </c>
      <c r="AF401" t="str">
        <v/>
      </c>
      <c r="AG401" t="str">
        <v/>
      </c>
      <c r="AH401" t="str">
        <v/>
      </c>
      <c r="AI401" t="str">
        <v>17/09/2026 12:22:43</v>
      </c>
      <c r="AJ401" t="str">
        <v>12:22:43</v>
      </c>
      <c r="AK401" t="str">
        <v/>
      </c>
    </row>
    <row r="402">
      <c r="A402">
        <v>401</v>
      </c>
      <c r="B402" t="str">
        <v>MASS BSF</v>
      </c>
      <c r="C402" t="str">
        <v>F8R-810</v>
      </c>
      <c r="D402" t="str">
        <v>F8R-810</v>
      </c>
      <c r="E402" t="str">
        <v>867806078868827</v>
      </c>
      <c r="F402" t="str">
        <v>TBD</v>
      </c>
      <c r="G402" t="str">
        <v/>
      </c>
      <c r="H402" t="str">
        <v/>
      </c>
      <c r="I402" t="str">
        <v>17/09/2026</v>
      </c>
      <c r="J402" t="str">
        <v>12:23:32</v>
      </c>
      <c r="K402">
        <v>-12.235898</v>
      </c>
      <c r="L402">
        <v>-76.91648</v>
      </c>
      <c r="M402">
        <f>HYPERLINK("https://www.google.com/maps/search/?api=1&amp;query=-12.235898,-76.91648","Avenida Separadora Industrial, Villa El Salvador, Lima")</f>
      </c>
      <c r="N402" t="str">
        <v>Aceleración brusca</v>
      </c>
      <c r="O402">
        <v>715.1</v>
      </c>
      <c r="P402" t="str">
        <v/>
      </c>
      <c r="Q402">
        <v>37.4</v>
      </c>
      <c r="R402">
        <v>27.85</v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>
        <v>85</v>
      </c>
      <c r="AA402" t="str">
        <v>17/09/2026</v>
      </c>
      <c r="AB402" t="str">
        <v>12:23:29</v>
      </c>
      <c r="AC402">
        <f>IF("ONLINE"="NOGPS","GPS Antiguo","En línea")</f>
      </c>
      <c r="AD402">
        <f>IF(0=0,"Sin atender", IF(0=1,"Atendida","Atendida y Reportada"))</f>
      </c>
      <c r="AE402" t="str">
        <v/>
      </c>
      <c r="AF402" t="str">
        <v/>
      </c>
      <c r="AG402" t="str">
        <v/>
      </c>
      <c r="AH402" t="str">
        <v/>
      </c>
      <c r="AI402" t="str">
        <v>17/09/2026 12:23:39</v>
      </c>
      <c r="AJ402" t="str">
        <v>12:23:39</v>
      </c>
      <c r="AK402" t="str">
        <v/>
      </c>
    </row>
    <row r="403">
      <c r="A403">
        <v>402</v>
      </c>
      <c r="B403" t="str">
        <v>MASS BSF</v>
      </c>
      <c r="C403" t="str">
        <v>F8R-810</v>
      </c>
      <c r="D403" t="str">
        <v>F8R-810</v>
      </c>
      <c r="E403" t="str">
        <v>867806078868827</v>
      </c>
      <c r="F403" t="str">
        <v>TBD</v>
      </c>
      <c r="G403" t="str">
        <v/>
      </c>
      <c r="H403" t="str">
        <v/>
      </c>
      <c r="I403" t="str">
        <v>17/09/2026</v>
      </c>
      <c r="J403" t="str">
        <v>12:23:44</v>
      </c>
      <c r="K403">
        <v>-12.236968</v>
      </c>
      <c r="L403">
        <v>-76.91583</v>
      </c>
      <c r="M403">
        <f>HYPERLINK("https://www.google.com/maps/search/?api=1&amp;query=-12.236968,-76.91583","Avenida Separadora Industrial, Villa El Salvador, Lima")</f>
      </c>
      <c r="N403" t="str">
        <v>Aceleración brusca</v>
      </c>
      <c r="O403">
        <v>715.3</v>
      </c>
      <c r="P403" t="str">
        <v/>
      </c>
      <c r="Q403">
        <v>42</v>
      </c>
      <c r="R403">
        <v>27.85</v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>
        <v>85</v>
      </c>
      <c r="AA403" t="str">
        <v>17/09/2026</v>
      </c>
      <c r="AB403" t="str">
        <v>12:23:41</v>
      </c>
      <c r="AC403">
        <f>IF("ONLINE"="NOGPS","GPS Antiguo","En línea")</f>
      </c>
      <c r="AD403">
        <f>IF(0=0,"Sin atender", IF(0=1,"Atendida","Atendida y Reportada"))</f>
      </c>
      <c r="AE403" t="str">
        <v/>
      </c>
      <c r="AF403" t="str">
        <v/>
      </c>
      <c r="AG403" t="str">
        <v/>
      </c>
      <c r="AH403" t="str">
        <v/>
      </c>
      <c r="AI403" t="str">
        <v>17/09/2026 12:24:01</v>
      </c>
      <c r="AJ403" t="str">
        <v>12:24:01</v>
      </c>
      <c r="AK403" t="str">
        <v/>
      </c>
    </row>
    <row r="404">
      <c r="A404">
        <v>403</v>
      </c>
      <c r="B404" t="str">
        <v>MASS BSF</v>
      </c>
      <c r="C404" t="str">
        <v>F8R-810</v>
      </c>
      <c r="D404" t="str">
        <v>F8R-810</v>
      </c>
      <c r="E404" t="str">
        <v>867806078868827</v>
      </c>
      <c r="F404" t="str">
        <v>TBD</v>
      </c>
      <c r="G404" t="str">
        <v/>
      </c>
      <c r="H404" t="str">
        <v/>
      </c>
      <c r="I404" t="str">
        <v>17/09/2026</v>
      </c>
      <c r="J404" t="str">
        <v>12:23:59</v>
      </c>
      <c r="K404">
        <v>-12.23815</v>
      </c>
      <c r="L404">
        <v>-76.91512</v>
      </c>
      <c r="M404">
        <f>HYPERLINK("https://www.google.com/maps/search/?api=1&amp;query=-12.23815,-76.91512","Avenida Separadora Industrial, Villa El Salvador, Lima")</f>
      </c>
      <c r="N404" t="str">
        <v>Acelerado y giro brusco</v>
      </c>
      <c r="O404">
        <v>715.4</v>
      </c>
      <c r="P404" t="str">
        <v/>
      </c>
      <c r="Q404">
        <v>33.8</v>
      </c>
      <c r="R404">
        <v>27.85</v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>
        <v>85</v>
      </c>
      <c r="AA404" t="str">
        <v>17/09/2026</v>
      </c>
      <c r="AB404" t="str">
        <v>12:23:56</v>
      </c>
      <c r="AC404">
        <f>IF("ONLINE"="NOGPS","GPS Antiguo","En línea")</f>
      </c>
      <c r="AD404">
        <f>IF(0=0,"Sin atender", IF(0=1,"Atendida","Atendida y Reportada"))</f>
      </c>
      <c r="AE404" t="str">
        <v/>
      </c>
      <c r="AF404" t="str">
        <v/>
      </c>
      <c r="AG404" t="str">
        <v/>
      </c>
      <c r="AH404" t="str">
        <v/>
      </c>
      <c r="AI404" t="str">
        <v>17/09/2026 12:24:05</v>
      </c>
      <c r="AJ404" t="str">
        <v>12:24:05</v>
      </c>
      <c r="AK404" t="str">
        <v/>
      </c>
    </row>
    <row r="405">
      <c r="A405">
        <v>404</v>
      </c>
      <c r="B405" t="str">
        <v>MASS BSF</v>
      </c>
      <c r="C405" t="str">
        <v>F8R-810</v>
      </c>
      <c r="D405" t="str">
        <v>F8R-810</v>
      </c>
      <c r="E405" t="str">
        <v>867806078868827</v>
      </c>
      <c r="F405" t="str">
        <v>TBD</v>
      </c>
      <c r="G405" t="str">
        <v/>
      </c>
      <c r="H405" t="str">
        <v/>
      </c>
      <c r="I405" t="str">
        <v>17/09/2026</v>
      </c>
      <c r="J405" t="str">
        <v>12:24:11</v>
      </c>
      <c r="K405">
        <v>-12.239043</v>
      </c>
      <c r="L405">
        <v>-76.91459</v>
      </c>
      <c r="M405">
        <f>HYPERLINK("https://www.google.com/maps/search/?api=1&amp;query=-12.239043,-76.91459","Avenida Separadora Industrial, Villa El Salvador, Lima")</f>
      </c>
      <c r="N405" t="str">
        <v>Acelerado y giro brusco</v>
      </c>
      <c r="O405">
        <v>715.5</v>
      </c>
      <c r="P405" t="str">
        <v/>
      </c>
      <c r="Q405">
        <v>32.2</v>
      </c>
      <c r="R405">
        <v>27.85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>
        <v>85</v>
      </c>
      <c r="AA405" t="str">
        <v>17/09/2026</v>
      </c>
      <c r="AB405" t="str">
        <v>12:24:09</v>
      </c>
      <c r="AC405">
        <f>IF("ONLINE"="NOGPS","GPS Antiguo","En línea")</f>
      </c>
      <c r="AD405">
        <f>IF(0=0,"Sin atender", IF(0=1,"Atendida","Atendida y Reportada"))</f>
      </c>
      <c r="AE405" t="str">
        <v/>
      </c>
      <c r="AF405" t="str">
        <v/>
      </c>
      <c r="AG405" t="str">
        <v/>
      </c>
      <c r="AH405" t="str">
        <v/>
      </c>
      <c r="AI405" t="str">
        <v>17/09/2026 12:24:36</v>
      </c>
      <c r="AJ405" t="str">
        <v>12:24:36</v>
      </c>
      <c r="AK405" t="str">
        <v/>
      </c>
    </row>
    <row r="406">
      <c r="A406">
        <v>405</v>
      </c>
      <c r="B406" t="str">
        <v>MASS BSF</v>
      </c>
      <c r="C406" t="str">
        <v>F8R-810</v>
      </c>
      <c r="D406" t="str">
        <v>F8R-810</v>
      </c>
      <c r="E406" t="str">
        <v>867806078868827</v>
      </c>
      <c r="F406" t="str">
        <v>TBD</v>
      </c>
      <c r="G406" t="str">
        <v/>
      </c>
      <c r="H406" t="str">
        <v/>
      </c>
      <c r="I406" t="str">
        <v>17/09/2026</v>
      </c>
      <c r="J406" t="str">
        <v>12:24:37</v>
      </c>
      <c r="K406">
        <v>-12.240428</v>
      </c>
      <c r="L406">
        <v>-76.913765</v>
      </c>
      <c r="M406">
        <f>HYPERLINK("https://www.google.com/maps/search/?api=1&amp;query=-12.240428,-76.913765","Avenida Separadora Industrial, Villa El Salvador, Lima")</f>
      </c>
      <c r="N406" t="str">
        <v>Acelerado y giro brusco</v>
      </c>
      <c r="O406">
        <v>715.7</v>
      </c>
      <c r="P406" t="str">
        <v/>
      </c>
      <c r="Q406">
        <v>15.9</v>
      </c>
      <c r="R406">
        <v>27.85</v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>
        <v>85</v>
      </c>
      <c r="AA406" t="str">
        <v>17/09/2026</v>
      </c>
      <c r="AB406" t="str">
        <v>12:24:34</v>
      </c>
      <c r="AC406">
        <f>IF("ONLINE"="NOGPS","GPS Antiguo","En línea")</f>
      </c>
      <c r="AD406">
        <f>IF(0=0,"Sin atender", IF(0=1,"Atendida","Atendida y Reportada"))</f>
      </c>
      <c r="AE406" t="str">
        <v/>
      </c>
      <c r="AF406" t="str">
        <v/>
      </c>
      <c r="AG406" t="str">
        <v/>
      </c>
      <c r="AH406" t="str">
        <v/>
      </c>
      <c r="AI406" t="str">
        <v>17/09/2026 12:24:52</v>
      </c>
      <c r="AJ406" t="str">
        <v>12:24:52</v>
      </c>
      <c r="AK406" t="str">
        <v/>
      </c>
    </row>
    <row r="407">
      <c r="A407">
        <v>406</v>
      </c>
      <c r="B407" t="str">
        <v>MASS BSF</v>
      </c>
      <c r="C407" t="str">
        <v>F8R-810</v>
      </c>
      <c r="D407" t="str">
        <v>F8R-810</v>
      </c>
      <c r="E407" t="str">
        <v>867806078868827</v>
      </c>
      <c r="F407" t="str">
        <v>TBD</v>
      </c>
      <c r="G407" t="str">
        <v/>
      </c>
      <c r="H407" t="str">
        <v/>
      </c>
      <c r="I407" t="str">
        <v>17/09/2026</v>
      </c>
      <c r="J407" t="str">
        <v>12:24:44</v>
      </c>
      <c r="K407">
        <v>-12.240566</v>
      </c>
      <c r="L407">
        <v>-76.91363</v>
      </c>
      <c r="M407">
        <f>HYPERLINK("https://www.google.com/maps/search/?api=1&amp;query=-12.240566,-76.91363","Avenida Separadora Industrial, Villa El Salvador, Lima")</f>
      </c>
      <c r="N407" t="str">
        <v>Acelerado y giro brusco</v>
      </c>
      <c r="O407">
        <v>715.7</v>
      </c>
      <c r="P407" t="str">
        <v/>
      </c>
      <c r="Q407">
        <v>9</v>
      </c>
      <c r="R407">
        <v>27.85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>
        <v>85</v>
      </c>
      <c r="AA407" t="str">
        <v>17/09/2026</v>
      </c>
      <c r="AB407" t="str">
        <v>12:24:42</v>
      </c>
      <c r="AC407">
        <f>IF("ONLINE"="NOGPS","GPS Antiguo","En línea")</f>
      </c>
      <c r="AD407">
        <f>IF(0=0,"Sin atender", IF(0=1,"Atendida","Atendida y Reportada"))</f>
      </c>
      <c r="AE407" t="str">
        <v/>
      </c>
      <c r="AF407" t="str">
        <v/>
      </c>
      <c r="AG407" t="str">
        <v/>
      </c>
      <c r="AH407" t="str">
        <v/>
      </c>
      <c r="AI407" t="str">
        <v>17/09/2026 12:24:57</v>
      </c>
      <c r="AJ407" t="str">
        <v>12:24:57</v>
      </c>
      <c r="AK407" t="str">
        <v/>
      </c>
    </row>
    <row r="408">
      <c r="A408">
        <v>407</v>
      </c>
      <c r="B408" t="str">
        <v>MASS BSF</v>
      </c>
      <c r="C408" t="str">
        <v>F8R-810</v>
      </c>
      <c r="D408" t="str">
        <v>F8R-810</v>
      </c>
      <c r="E408" t="str">
        <v>867806078868827</v>
      </c>
      <c r="F408" t="str">
        <v>TBD</v>
      </c>
      <c r="G408" t="str">
        <v/>
      </c>
      <c r="H408" t="str">
        <v/>
      </c>
      <c r="I408" t="str">
        <v>17/09/2026</v>
      </c>
      <c r="J408" t="str">
        <v>12:25:01</v>
      </c>
      <c r="K408">
        <v>-12.240178</v>
      </c>
      <c r="L408">
        <v>-76.912895</v>
      </c>
      <c r="M408">
        <f>HYPERLINK("https://www.google.com/maps/search/?api=1&amp;query=-12.240178,-76.912895","Avenida María Reiche, Villa El Salvador, Lima")</f>
      </c>
      <c r="N408" t="str">
        <v>Aceleración brusca</v>
      </c>
      <c r="O408">
        <v>715.8</v>
      </c>
      <c r="P408" t="str">
        <v/>
      </c>
      <c r="Q408">
        <v>15</v>
      </c>
      <c r="R408">
        <v>27.85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>
        <v>91</v>
      </c>
      <c r="AA408" t="str">
        <v>17/09/2026</v>
      </c>
      <c r="AB408" t="str">
        <v>12:24:59</v>
      </c>
      <c r="AC408">
        <f>IF("ONLINE"="NOGPS","GPS Antiguo","En línea")</f>
      </c>
      <c r="AD408">
        <f>IF(0=0,"Sin atender", IF(0=1,"Atendida","Atendida y Reportada"))</f>
      </c>
      <c r="AE408" t="str">
        <v/>
      </c>
      <c r="AF408" t="str">
        <v/>
      </c>
      <c r="AG408" t="str">
        <v/>
      </c>
      <c r="AH408" t="str">
        <v/>
      </c>
      <c r="AI408" t="str">
        <v>17/09/2026 12:25:18</v>
      </c>
      <c r="AJ408" t="str">
        <v>12:25:18</v>
      </c>
      <c r="AK408" t="str">
        <v/>
      </c>
    </row>
    <row r="409">
      <c r="A409">
        <v>408</v>
      </c>
      <c r="B409" t="str">
        <v>MASS BSF</v>
      </c>
      <c r="C409" t="str">
        <v>F8R-810</v>
      </c>
      <c r="D409" t="str">
        <v>F8R-810</v>
      </c>
      <c r="E409" t="str">
        <v>867806078868827</v>
      </c>
      <c r="F409" t="str">
        <v>TBD</v>
      </c>
      <c r="G409" t="str">
        <v/>
      </c>
      <c r="H409" t="str">
        <v/>
      </c>
      <c r="I409" t="str">
        <v>17/09/2026</v>
      </c>
      <c r="J409" t="str">
        <v>12:25:21</v>
      </c>
      <c r="K409">
        <v>-12.240031</v>
      </c>
      <c r="L409">
        <v>-76.91232</v>
      </c>
      <c r="M409">
        <f>HYPERLINK("https://www.google.com/maps/search/?api=1&amp;query=-12.240031,-76.91232","Ovalo María Reiche, Villa El Salvador, Lima")</f>
      </c>
      <c r="N409" t="str">
        <v>Acelerado y giro brusco</v>
      </c>
      <c r="O409">
        <v>715.9</v>
      </c>
      <c r="P409" t="str">
        <v/>
      </c>
      <c r="Q409">
        <v>12.5</v>
      </c>
      <c r="R409">
        <v>27.85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>
        <v>91</v>
      </c>
      <c r="AA409" t="str">
        <v>17/09/2026</v>
      </c>
      <c r="AB409" t="str">
        <v>12:25:18</v>
      </c>
      <c r="AC409">
        <f>IF("ONLINE"="NOGPS","GPS Antiguo","En línea")</f>
      </c>
      <c r="AD409">
        <f>IF(0=0,"Sin atender", IF(0=1,"Atendida","Atendida y Reportada"))</f>
      </c>
      <c r="AE409" t="str">
        <v/>
      </c>
      <c r="AF409" t="str">
        <v/>
      </c>
      <c r="AG409" t="str">
        <v/>
      </c>
      <c r="AH409" t="str">
        <v/>
      </c>
      <c r="AI409" t="str">
        <v>17/09/2026 12:25:34</v>
      </c>
      <c r="AJ409" t="str">
        <v>12:25:34</v>
      </c>
      <c r="AK409" t="str">
        <v/>
      </c>
    </row>
    <row r="410">
      <c r="A410">
        <v>409</v>
      </c>
      <c r="B410" t="str">
        <v>MASS BSF</v>
      </c>
      <c r="C410" t="str">
        <v>F8R-810</v>
      </c>
      <c r="D410" t="str">
        <v>F8R-810</v>
      </c>
      <c r="E410" t="str">
        <v>867806078868827</v>
      </c>
      <c r="F410" t="str">
        <v>TBD</v>
      </c>
      <c r="G410" t="str">
        <v/>
      </c>
      <c r="H410" t="str">
        <v/>
      </c>
      <c r="I410" t="str">
        <v>17/09/2026</v>
      </c>
      <c r="J410" t="str">
        <v>12:25:23</v>
      </c>
      <c r="K410">
        <v>-12.240042</v>
      </c>
      <c r="L410">
        <v>-76.91226</v>
      </c>
      <c r="M410">
        <f>HYPERLINK("https://www.google.com/maps/search/?api=1&amp;query=-12.240042,-76.91226","Avenida Lima, Villa El Salvador")</f>
      </c>
      <c r="N410" t="str">
        <v>Acelerado y giro brusco</v>
      </c>
      <c r="O410">
        <v>715.9</v>
      </c>
      <c r="P410" t="str">
        <v/>
      </c>
      <c r="Q410">
        <v>12.5</v>
      </c>
      <c r="R410">
        <v>27.85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>
        <v>91</v>
      </c>
      <c r="AA410" t="str">
        <v>17/09/2026</v>
      </c>
      <c r="AB410" t="str">
        <v>12:25:20</v>
      </c>
      <c r="AC410">
        <f>IF("ONLINE"="NOGPS","GPS Antiguo","En línea")</f>
      </c>
      <c r="AD410">
        <f>IF(0=0,"Sin atender", IF(0=1,"Atendida","Atendida y Reportada"))</f>
      </c>
      <c r="AE410" t="str">
        <v/>
      </c>
      <c r="AF410" t="str">
        <v/>
      </c>
      <c r="AG410" t="str">
        <v/>
      </c>
      <c r="AH410" t="str">
        <v/>
      </c>
      <c r="AI410" t="str">
        <v>17/09/2026 12:25:34</v>
      </c>
      <c r="AJ410" t="str">
        <v>12:25:34</v>
      </c>
      <c r="AK410" t="str">
        <v/>
      </c>
    </row>
    <row r="411">
      <c r="A411">
        <v>410</v>
      </c>
      <c r="B411" t="str">
        <v>MASS BSF</v>
      </c>
      <c r="C411" t="str">
        <v>F8R-810</v>
      </c>
      <c r="D411" t="str">
        <v>F8R-810</v>
      </c>
      <c r="E411" t="str">
        <v>867806078868827</v>
      </c>
      <c r="F411" t="str">
        <v>TBD</v>
      </c>
      <c r="G411" t="str">
        <v/>
      </c>
      <c r="H411" t="str">
        <v/>
      </c>
      <c r="I411" t="str">
        <v>17/09/2026</v>
      </c>
      <c r="J411" t="str">
        <v>12:25:33</v>
      </c>
      <c r="K411">
        <v>-12.24021</v>
      </c>
      <c r="L411">
        <v>-76.912056</v>
      </c>
      <c r="M411">
        <f>HYPERLINK("https://www.google.com/maps/search/?api=1&amp;query=-12.24021,-76.912056","Avenida Lima, Villa El Salvador")</f>
      </c>
      <c r="N411" t="str">
        <v>Acelerado y giro brusco</v>
      </c>
      <c r="O411">
        <v>715.9</v>
      </c>
      <c r="P411" t="str">
        <v/>
      </c>
      <c r="Q411">
        <v>8.3</v>
      </c>
      <c r="R411">
        <v>27.85</v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>
        <v>91</v>
      </c>
      <c r="AA411" t="str">
        <v>17/09/2026</v>
      </c>
      <c r="AB411" t="str">
        <v>12:25:30</v>
      </c>
      <c r="AC411">
        <f>IF("ONLINE"="NOGPS","GPS Antiguo","En línea")</f>
      </c>
      <c r="AD411">
        <f>IF(0=0,"Sin atender", IF(0=1,"Atendida","Atendida y Reportada"))</f>
      </c>
      <c r="AE411" t="str">
        <v/>
      </c>
      <c r="AF411" t="str">
        <v/>
      </c>
      <c r="AG411" t="str">
        <v/>
      </c>
      <c r="AH411" t="str">
        <v/>
      </c>
      <c r="AI411" t="str">
        <v>17/09/2026 12:25:56</v>
      </c>
      <c r="AJ411" t="str">
        <v>12:25:56</v>
      </c>
      <c r="AK411" t="str">
        <v/>
      </c>
    </row>
    <row r="412">
      <c r="A412">
        <v>411</v>
      </c>
      <c r="B412" t="str">
        <v>MASS BSF</v>
      </c>
      <c r="C412" t="str">
        <v>F8R-810</v>
      </c>
      <c r="D412" t="str">
        <v>F8R-810</v>
      </c>
      <c r="E412" t="str">
        <v>867806078868827</v>
      </c>
      <c r="F412" t="str">
        <v>TBD</v>
      </c>
      <c r="G412" t="str">
        <v/>
      </c>
      <c r="H412" t="str">
        <v/>
      </c>
      <c r="I412" t="str">
        <v>17/09/2026</v>
      </c>
      <c r="J412" t="str">
        <v>12:25:53</v>
      </c>
      <c r="K412">
        <v>-12.240437</v>
      </c>
      <c r="L412">
        <v>-76.91189</v>
      </c>
      <c r="M412">
        <f>HYPERLINK("https://www.google.com/maps/search/?api=1&amp;query=-12.240437,-76.91189","Avenida Lima, Villa El Salvador")</f>
      </c>
      <c r="N412" t="str">
        <v>Acelerado y giro brusco</v>
      </c>
      <c r="O412">
        <v>716</v>
      </c>
      <c r="P412" t="str">
        <v/>
      </c>
      <c r="Q412">
        <v>21.2</v>
      </c>
      <c r="R412">
        <v>27.85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>
        <v>85</v>
      </c>
      <c r="AA412" t="str">
        <v>17/09/2026</v>
      </c>
      <c r="AB412" t="str">
        <v>12:25:50</v>
      </c>
      <c r="AC412">
        <f>IF("ONLINE"="NOGPS","GPS Antiguo","En línea")</f>
      </c>
      <c r="AD412">
        <f>IF(0=0,"Sin atender", IF(0=1,"Atendida","Atendida y Reportada"))</f>
      </c>
      <c r="AE412" t="str">
        <v/>
      </c>
      <c r="AF412" t="str">
        <v/>
      </c>
      <c r="AG412" t="str">
        <v/>
      </c>
      <c r="AH412" t="str">
        <v/>
      </c>
      <c r="AI412" t="str">
        <v>17/09/2026 12:26:09</v>
      </c>
      <c r="AJ412" t="str">
        <v>12:26:09</v>
      </c>
      <c r="AK412" t="str">
        <v/>
      </c>
    </row>
    <row r="413">
      <c r="A413">
        <v>412</v>
      </c>
      <c r="B413" t="str">
        <v>MASS BSF</v>
      </c>
      <c r="C413" t="str">
        <v>F8R-810</v>
      </c>
      <c r="D413" t="str">
        <v>F8R-810</v>
      </c>
      <c r="E413" t="str">
        <v>867806078868827</v>
      </c>
      <c r="F413" t="str">
        <v>TBD</v>
      </c>
      <c r="G413" t="str">
        <v/>
      </c>
      <c r="H413" t="str">
        <v/>
      </c>
      <c r="I413" t="str">
        <v>17/09/2026</v>
      </c>
      <c r="J413" t="str">
        <v>12:25:57</v>
      </c>
      <c r="K413">
        <v>-12.24064</v>
      </c>
      <c r="L413">
        <v>-76.91174</v>
      </c>
      <c r="M413">
        <f>HYPERLINK("https://www.google.com/maps/search/?api=1&amp;query=-12.24064,-76.91174","Avenida Lima, Villa El Salvador")</f>
      </c>
      <c r="N413" t="str">
        <v>Acelerado y giro brusco</v>
      </c>
      <c r="O413">
        <v>716</v>
      </c>
      <c r="P413" t="str">
        <v/>
      </c>
      <c r="Q413">
        <v>28.7</v>
      </c>
      <c r="R413">
        <v>27.85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>
        <v>85</v>
      </c>
      <c r="AA413" t="str">
        <v>17/09/2026</v>
      </c>
      <c r="AB413" t="str">
        <v>12:25:54</v>
      </c>
      <c r="AC413">
        <f>IF("ONLINE"="NOGPS","GPS Antiguo","En línea")</f>
      </c>
      <c r="AD413">
        <f>IF(0=0,"Sin atender", IF(0=1,"Atendida","Atendida y Reportada"))</f>
      </c>
      <c r="AE413" t="str">
        <v/>
      </c>
      <c r="AF413" t="str">
        <v/>
      </c>
      <c r="AG413" t="str">
        <v/>
      </c>
      <c r="AH413" t="str">
        <v/>
      </c>
      <c r="AI413" t="str">
        <v>17/09/2026 12:26:21</v>
      </c>
      <c r="AJ413" t="str">
        <v>12:26:21</v>
      </c>
      <c r="AK413" t="str">
        <v/>
      </c>
    </row>
    <row r="414">
      <c r="A414">
        <v>413</v>
      </c>
      <c r="B414" t="str">
        <v>MASS BSF</v>
      </c>
      <c r="C414" t="str">
        <v>F8R-810</v>
      </c>
      <c r="D414" t="str">
        <v>F8R-810</v>
      </c>
      <c r="E414" t="str">
        <v>867806078868827</v>
      </c>
      <c r="F414" t="str">
        <v>TBD</v>
      </c>
      <c r="G414" t="str">
        <v/>
      </c>
      <c r="H414" t="str">
        <v/>
      </c>
      <c r="I414" t="str">
        <v>17/09/2026</v>
      </c>
      <c r="J414" t="str">
        <v>12:26:04</v>
      </c>
      <c r="K414">
        <v>-12.241177</v>
      </c>
      <c r="L414">
        <v>-76.91138</v>
      </c>
      <c r="M414">
        <f>HYPERLINK("https://www.google.com/maps/search/?api=1&amp;query=-12.241177,-76.91138","Avenida Lima, Villa El Salvador")</f>
      </c>
      <c r="N414" t="str">
        <v>Aceleración brusca</v>
      </c>
      <c r="O414">
        <v>716.1</v>
      </c>
      <c r="P414" t="str">
        <v/>
      </c>
      <c r="Q414">
        <v>42.5</v>
      </c>
      <c r="R414">
        <v>27.85</v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>
        <v>85</v>
      </c>
      <c r="AA414" t="str">
        <v>17/09/2026</v>
      </c>
      <c r="AB414" t="str">
        <v>12:26:01</v>
      </c>
      <c r="AC414">
        <f>IF("ONLINE"="NOGPS","GPS Antiguo","En línea")</f>
      </c>
      <c r="AD414">
        <f>IF(0=0,"Sin atender", IF(0=1,"Atendida","Atendida y Reportada"))</f>
      </c>
      <c r="AE414" t="str">
        <v/>
      </c>
      <c r="AF414" t="str">
        <v/>
      </c>
      <c r="AG414" t="str">
        <v/>
      </c>
      <c r="AH414" t="str">
        <v/>
      </c>
      <c r="AI414" t="str">
        <v>17/09/2026 12:26:11</v>
      </c>
      <c r="AJ414" t="str">
        <v>12:26:11</v>
      </c>
      <c r="AK414" t="str">
        <v/>
      </c>
    </row>
    <row r="415">
      <c r="A415">
        <v>414</v>
      </c>
      <c r="B415" t="str">
        <v>MASS BSF</v>
      </c>
      <c r="C415" t="str">
        <v>F8R-810</v>
      </c>
      <c r="D415" t="str">
        <v>F8R-810</v>
      </c>
      <c r="E415" t="str">
        <v>867806078868827</v>
      </c>
      <c r="F415" t="str">
        <v>TBD</v>
      </c>
      <c r="G415" t="str">
        <v/>
      </c>
      <c r="H415" t="str">
        <v/>
      </c>
      <c r="I415" t="str">
        <v>17/09/2026</v>
      </c>
      <c r="J415" t="str">
        <v>12:26:06</v>
      </c>
      <c r="K415">
        <v>-12.241357</v>
      </c>
      <c r="L415">
        <v>-76.911255</v>
      </c>
      <c r="M415">
        <f>HYPERLINK("https://www.google.com/maps/search/?api=1&amp;query=-12.241357,-76.911255","Avenida Lima, Villa El Salvador")</f>
      </c>
      <c r="N415" t="str">
        <v>Acelerado y giro brusco</v>
      </c>
      <c r="O415">
        <v>716.1</v>
      </c>
      <c r="P415" t="str">
        <v/>
      </c>
      <c r="Q415">
        <v>43.7</v>
      </c>
      <c r="R415">
        <v>27.85</v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>
        <v>85</v>
      </c>
      <c r="AA415" t="str">
        <v>17/09/2026</v>
      </c>
      <c r="AB415" t="str">
        <v>12:26:03</v>
      </c>
      <c r="AC415">
        <f>IF("ONLINE"="NOGPS","GPS Antiguo","En línea")</f>
      </c>
      <c r="AD415">
        <f>IF(0=0,"Sin atender", IF(0=1,"Atendida","Atendida y Reportada"))</f>
      </c>
      <c r="AE415" t="str">
        <v/>
      </c>
      <c r="AF415" t="str">
        <v/>
      </c>
      <c r="AG415" t="str">
        <v/>
      </c>
      <c r="AH415" t="str">
        <v/>
      </c>
      <c r="AI415" t="str">
        <v>17/09/2026 12:26:21</v>
      </c>
      <c r="AJ415" t="str">
        <v>12:26:21</v>
      </c>
      <c r="AK415" t="str">
        <v/>
      </c>
    </row>
    <row r="416">
      <c r="A416">
        <v>415</v>
      </c>
      <c r="B416" t="str">
        <v>MASS BSF</v>
      </c>
      <c r="C416" t="str">
        <v>F8R-810</v>
      </c>
      <c r="D416" t="str">
        <v>F8R-810</v>
      </c>
      <c r="E416" t="str">
        <v>867806078868827</v>
      </c>
      <c r="F416" t="str">
        <v>TBD</v>
      </c>
      <c r="G416" t="str">
        <v/>
      </c>
      <c r="H416" t="str">
        <v/>
      </c>
      <c r="I416" t="str">
        <v>17/09/2026</v>
      </c>
      <c r="J416" t="str">
        <v>12:26:14</v>
      </c>
      <c r="K416">
        <v>-12.242164</v>
      </c>
      <c r="L416">
        <v>-76.91071</v>
      </c>
      <c r="M416">
        <f>HYPERLINK("https://www.google.com/maps/search/?api=1&amp;query=-12.242164,-76.91071","Avenida Lima, Lurín")</f>
      </c>
      <c r="N416" t="str">
        <v>Acelerado y giro brusco</v>
      </c>
      <c r="O416">
        <v>716.2</v>
      </c>
      <c r="P416" t="str">
        <v/>
      </c>
      <c r="Q416">
        <v>50</v>
      </c>
      <c r="R416">
        <v>27.85</v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>
        <v>85</v>
      </c>
      <c r="AA416" t="str">
        <v>17/09/2026</v>
      </c>
      <c r="AB416" t="str">
        <v>12:26:11</v>
      </c>
      <c r="AC416">
        <f>IF("ONLINE"="NOGPS","GPS Antiguo","En línea")</f>
      </c>
      <c r="AD416">
        <f>IF(0=0,"Sin atender", IF(0=1,"Atendida","Atendida y Reportada"))</f>
      </c>
      <c r="AE416" t="str">
        <v/>
      </c>
      <c r="AF416" t="str">
        <v/>
      </c>
      <c r="AG416" t="str">
        <v/>
      </c>
      <c r="AH416" t="str">
        <v/>
      </c>
      <c r="AI416" t="str">
        <v>17/09/2026 12:26:18</v>
      </c>
      <c r="AJ416" t="str">
        <v>12:26:18</v>
      </c>
      <c r="AK416" t="str">
        <v/>
      </c>
    </row>
    <row r="417">
      <c r="A417">
        <v>416</v>
      </c>
      <c r="B417" t="str">
        <v>MASS BSF</v>
      </c>
      <c r="C417" t="str">
        <v>F8R-810</v>
      </c>
      <c r="D417" t="str">
        <v>F8R-810</v>
      </c>
      <c r="E417" t="str">
        <v>867806078868827</v>
      </c>
      <c r="F417" t="str">
        <v>TBD</v>
      </c>
      <c r="G417" t="str">
        <v/>
      </c>
      <c r="H417" t="str">
        <v/>
      </c>
      <c r="I417" t="str">
        <v>17/09/2026</v>
      </c>
      <c r="J417" t="str">
        <v>12:26:27</v>
      </c>
      <c r="K417">
        <v>-12.243776</v>
      </c>
      <c r="L417">
        <v>-76.90964</v>
      </c>
      <c r="M417">
        <f>HYPERLINK("https://www.google.com/maps/search/?api=1&amp;query=-12.243776,-76.90964","Avenida Lima, Lurín")</f>
      </c>
      <c r="N417" t="str">
        <v>Acelerado y giro brusco</v>
      </c>
      <c r="O417">
        <v>716.4</v>
      </c>
      <c r="P417" t="str">
        <v/>
      </c>
      <c r="Q417">
        <v>60.9</v>
      </c>
      <c r="R417">
        <v>27.85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>
        <v>85</v>
      </c>
      <c r="AA417" t="str">
        <v>17/09/2026</v>
      </c>
      <c r="AB417" t="str">
        <v>12:26:25</v>
      </c>
      <c r="AC417">
        <f>IF("ONLINE"="NOGPS","GPS Antiguo","En línea")</f>
      </c>
      <c r="AD417">
        <f>IF(0=0,"Sin atender", IF(0=1,"Atendida","Atendida y Reportada"))</f>
      </c>
      <c r="AE417" t="str">
        <v/>
      </c>
      <c r="AF417" t="str">
        <v/>
      </c>
      <c r="AG417" t="str">
        <v/>
      </c>
      <c r="AH417" t="str">
        <v/>
      </c>
      <c r="AI417" t="str">
        <v>17/09/2026 12:26:39</v>
      </c>
      <c r="AJ417" t="str">
        <v>12:26:39</v>
      </c>
      <c r="AK417" t="str">
        <v/>
      </c>
    </row>
    <row r="418">
      <c r="A418">
        <v>417</v>
      </c>
      <c r="B418" t="str">
        <v>MASS BSF</v>
      </c>
      <c r="C418" t="str">
        <v>F8R-810</v>
      </c>
      <c r="D418" t="str">
        <v>F8R-810</v>
      </c>
      <c r="E418" t="str">
        <v>867806078868827</v>
      </c>
      <c r="F418" t="str">
        <v>TBD</v>
      </c>
      <c r="G418" t="str">
        <v/>
      </c>
      <c r="H418" t="str">
        <v/>
      </c>
      <c r="I418" t="str">
        <v>17/09/2026</v>
      </c>
      <c r="J418" t="str">
        <v>12:26:31</v>
      </c>
      <c r="K418">
        <v>-12.244163</v>
      </c>
      <c r="L418">
        <v>-76.90938</v>
      </c>
      <c r="M418">
        <f>HYPERLINK("https://www.google.com/maps/search/?api=1&amp;query=-12.244163,-76.90938","Avenida Lima, Lurín")</f>
      </c>
      <c r="N418" t="str">
        <v>Aceleración brusca</v>
      </c>
      <c r="O418">
        <v>716.4</v>
      </c>
      <c r="P418" t="str">
        <v/>
      </c>
      <c r="Q418">
        <v>60.1</v>
      </c>
      <c r="R418">
        <v>27.85</v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>
        <v>85</v>
      </c>
      <c r="AA418" t="str">
        <v>17/09/2026</v>
      </c>
      <c r="AB418" t="str">
        <v>12:26:28</v>
      </c>
      <c r="AC418">
        <f>IF("ONLINE"="NOGPS","GPS Antiguo","En línea")</f>
      </c>
      <c r="AD418">
        <f>IF(0=0,"Sin atender", IF(0=1,"Atendida","Atendida y Reportada"))</f>
      </c>
      <c r="AE418" t="str">
        <v/>
      </c>
      <c r="AF418" t="str">
        <v/>
      </c>
      <c r="AG418" t="str">
        <v/>
      </c>
      <c r="AH418" t="str">
        <v/>
      </c>
      <c r="AI418" t="str">
        <v>17/09/2026 12:26:46</v>
      </c>
      <c r="AJ418" t="str">
        <v>12:26:46</v>
      </c>
      <c r="AK418" t="str">
        <v/>
      </c>
    </row>
    <row r="419">
      <c r="A419">
        <v>418</v>
      </c>
      <c r="B419" t="str">
        <v>MASS BSF</v>
      </c>
      <c r="C419" t="str">
        <v>F8R-810</v>
      </c>
      <c r="D419" t="str">
        <v>F8R-810</v>
      </c>
      <c r="E419" t="str">
        <v>867806078868827</v>
      </c>
      <c r="F419" t="str">
        <v>TBD</v>
      </c>
      <c r="G419" t="str">
        <v/>
      </c>
      <c r="H419" t="str">
        <v/>
      </c>
      <c r="I419" t="str">
        <v>17/09/2026</v>
      </c>
      <c r="J419" t="str">
        <v>12:26:49</v>
      </c>
      <c r="K419">
        <v>-12.246041</v>
      </c>
      <c r="L419">
        <v>-76.90812</v>
      </c>
      <c r="M419">
        <f>HYPERLINK("https://www.google.com/maps/search/?api=1&amp;query=-12.246041,-76.90812","Avenida Lima, Lurín")</f>
      </c>
      <c r="N419" t="str">
        <v>Acelerado y giro brusco</v>
      </c>
      <c r="O419">
        <v>716.7</v>
      </c>
      <c r="P419" t="str">
        <v/>
      </c>
      <c r="Q419">
        <v>44</v>
      </c>
      <c r="R419">
        <v>27.85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>
        <v>85</v>
      </c>
      <c r="AA419" t="str">
        <v>17/09/2026</v>
      </c>
      <c r="AB419" t="str">
        <v>12:26:46</v>
      </c>
      <c r="AC419">
        <f>IF("ONLINE"="NOGPS","GPS Antiguo","En línea")</f>
      </c>
      <c r="AD419">
        <f>IF(0=0,"Sin atender", IF(0=1,"Atendida","Atendida y Reportada"))</f>
      </c>
      <c r="AE419" t="str">
        <v/>
      </c>
      <c r="AF419" t="str">
        <v/>
      </c>
      <c r="AG419" t="str">
        <v/>
      </c>
      <c r="AH419" t="str">
        <v/>
      </c>
      <c r="AI419" t="str">
        <v>17/09/2026 12:26:53</v>
      </c>
      <c r="AJ419" t="str">
        <v>12:26:53</v>
      </c>
      <c r="AK419" t="str">
        <v/>
      </c>
    </row>
    <row r="420">
      <c r="A420">
        <v>419</v>
      </c>
      <c r="B420" t="str">
        <v>MASS BSF</v>
      </c>
      <c r="C420" t="str">
        <v>F8R-810</v>
      </c>
      <c r="D420" t="str">
        <v>F8R-810</v>
      </c>
      <c r="E420" t="str">
        <v>867806078868827</v>
      </c>
      <c r="F420" t="str">
        <v>TBD</v>
      </c>
      <c r="G420" t="str">
        <v/>
      </c>
      <c r="H420" t="str">
        <v/>
      </c>
      <c r="I420" t="str">
        <v>17/09/2026</v>
      </c>
      <c r="J420" t="str">
        <v>12:26:59</v>
      </c>
      <c r="K420">
        <v>-12.246797</v>
      </c>
      <c r="L420">
        <v>-76.907646</v>
      </c>
      <c r="M420">
        <f>HYPERLINK("https://www.google.com/maps/search/?api=1&amp;query=-12.246797,-76.907646","Avenida Lima, Lurín")</f>
      </c>
      <c r="N420" t="str">
        <v>Acelerado y giro brusco</v>
      </c>
      <c r="O420">
        <v>716.8</v>
      </c>
      <c r="P420" t="str">
        <v/>
      </c>
      <c r="Q420">
        <v>29.8</v>
      </c>
      <c r="R420">
        <v>27.85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>
        <v>93</v>
      </c>
      <c r="AA420" t="str">
        <v>17/09/2026</v>
      </c>
      <c r="AB420" t="str">
        <v>12:26:56</v>
      </c>
      <c r="AC420">
        <f>IF("ONLINE"="NOGPS","GPS Antiguo","En línea")</f>
      </c>
      <c r="AD420">
        <f>IF(0=0,"Sin atender", IF(0=1,"Atendida","Atendida y Reportada"))</f>
      </c>
      <c r="AE420" t="str">
        <v/>
      </c>
      <c r="AF420" t="str">
        <v/>
      </c>
      <c r="AG420" t="str">
        <v/>
      </c>
      <c r="AH420" t="str">
        <v/>
      </c>
      <c r="AI420" t="str">
        <v>17/09/2026 12:27:16</v>
      </c>
      <c r="AJ420" t="str">
        <v>12:27:16</v>
      </c>
      <c r="AK420" t="str">
        <v/>
      </c>
    </row>
    <row r="421">
      <c r="A421">
        <v>420</v>
      </c>
      <c r="B421" t="str">
        <v>MASS BSF</v>
      </c>
      <c r="C421" t="str">
        <v>F8R-810</v>
      </c>
      <c r="D421" t="str">
        <v>F8R-810</v>
      </c>
      <c r="E421" t="str">
        <v>867806078868827</v>
      </c>
      <c r="F421" t="str">
        <v>TBD</v>
      </c>
      <c r="G421" t="str">
        <v/>
      </c>
      <c r="H421" t="str">
        <v/>
      </c>
      <c r="I421" t="str">
        <v>17/09/2026</v>
      </c>
      <c r="J421" t="str">
        <v>12:27:11</v>
      </c>
      <c r="K421">
        <v>-12.247938</v>
      </c>
      <c r="L421">
        <v>-76.90711</v>
      </c>
      <c r="M421">
        <f>HYPERLINK("https://www.google.com/maps/search/?api=1&amp;query=-12.247938,-76.90711","Avenida Lima, Lurín")</f>
      </c>
      <c r="N421" t="str">
        <v>Acelerado y giro brusco</v>
      </c>
      <c r="O421">
        <v>716.9</v>
      </c>
      <c r="P421" t="str">
        <v/>
      </c>
      <c r="Q421">
        <v>39.4</v>
      </c>
      <c r="R421">
        <v>27.85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>
        <v>93</v>
      </c>
      <c r="AA421" t="str">
        <v>17/09/2026</v>
      </c>
      <c r="AB421" t="str">
        <v>12:27:09</v>
      </c>
      <c r="AC421">
        <f>IF("ONLINE"="NOGPS","GPS Antiguo","En línea")</f>
      </c>
      <c r="AD421">
        <f>IF(0=0,"Sin atender", IF(0=1,"Atendida","Atendida y Reportada"))</f>
      </c>
      <c r="AE421" t="str">
        <v/>
      </c>
      <c r="AF421" t="str">
        <v/>
      </c>
      <c r="AG421" t="str">
        <v/>
      </c>
      <c r="AH421" t="str">
        <v/>
      </c>
      <c r="AI421" t="str">
        <v>17/09/2026 12:27:35</v>
      </c>
      <c r="AJ421" t="str">
        <v>12:27:35</v>
      </c>
      <c r="AK421" t="str">
        <v/>
      </c>
    </row>
    <row r="422">
      <c r="A422">
        <v>421</v>
      </c>
      <c r="B422" t="str">
        <v>MASS BSF</v>
      </c>
      <c r="C422" t="str">
        <v>F8R-810</v>
      </c>
      <c r="D422" t="str">
        <v>F8R-810</v>
      </c>
      <c r="E422" t="str">
        <v>867806078868827</v>
      </c>
      <c r="F422" t="str">
        <v>TBD</v>
      </c>
      <c r="G422" t="str">
        <v/>
      </c>
      <c r="H422" t="str">
        <v/>
      </c>
      <c r="I422" t="str">
        <v>17/09/2026</v>
      </c>
      <c r="J422" t="str">
        <v>12:27:17</v>
      </c>
      <c r="K422">
        <v>-12.248458</v>
      </c>
      <c r="L422">
        <v>-76.906876</v>
      </c>
      <c r="M422">
        <f>HYPERLINK("https://www.google.com/maps/search/?api=1&amp;query=-12.248458,-76.906876","Avenida Lima, Lurín")</f>
      </c>
      <c r="N422" t="str">
        <v>Aceleración brusca</v>
      </c>
      <c r="O422">
        <v>717</v>
      </c>
      <c r="P422" t="str">
        <v/>
      </c>
      <c r="Q422">
        <v>35.9</v>
      </c>
      <c r="R422">
        <v>27.85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>
        <v>93</v>
      </c>
      <c r="AA422" t="str">
        <v>17/09/2026</v>
      </c>
      <c r="AB422" t="str">
        <v>12:27:15</v>
      </c>
      <c r="AC422">
        <f>IF("ONLINE"="NOGPS","GPS Antiguo","En línea")</f>
      </c>
      <c r="AD422">
        <f>IF(0=0,"Sin atender", IF(0=1,"Atendida","Atendida y Reportada"))</f>
      </c>
      <c r="AE422" t="str">
        <v/>
      </c>
      <c r="AF422" t="str">
        <v/>
      </c>
      <c r="AG422" t="str">
        <v/>
      </c>
      <c r="AH422" t="str">
        <v/>
      </c>
      <c r="AI422" t="str">
        <v>17/09/2026 12:27:28</v>
      </c>
      <c r="AJ422" t="str">
        <v>12:27:28</v>
      </c>
      <c r="AK422" t="str">
        <v/>
      </c>
    </row>
    <row r="423">
      <c r="A423">
        <v>422</v>
      </c>
      <c r="B423" t="str">
        <v>MASS BSF</v>
      </c>
      <c r="C423" t="str">
        <v>F8R-810</v>
      </c>
      <c r="D423" t="str">
        <v>F8R-810</v>
      </c>
      <c r="E423" t="str">
        <v>867806078868827</v>
      </c>
      <c r="F423" t="str">
        <v>TBD</v>
      </c>
      <c r="G423" t="str">
        <v/>
      </c>
      <c r="H423" t="str">
        <v/>
      </c>
      <c r="I423" t="str">
        <v>17/09/2026</v>
      </c>
      <c r="J423" t="str">
        <v>12:27:57</v>
      </c>
      <c r="K423">
        <v>-12.252383</v>
      </c>
      <c r="L423">
        <v>-76.9051</v>
      </c>
      <c r="M423">
        <f>HYPERLINK("https://www.google.com/maps/search/?api=1&amp;query=-12.252383,-76.9051","Avenida Lima, Lurín")</f>
      </c>
      <c r="N423" t="str">
        <v>Aceleración brusca</v>
      </c>
      <c r="O423">
        <v>717.5</v>
      </c>
      <c r="P423" t="str">
        <v/>
      </c>
      <c r="Q423">
        <v>46.4</v>
      </c>
      <c r="R423">
        <v>27.85</v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>
        <v>93</v>
      </c>
      <c r="AA423" t="str">
        <v>17/09/2026</v>
      </c>
      <c r="AB423" t="str">
        <v>12:27:54</v>
      </c>
      <c r="AC423">
        <f>IF("ONLINE"="NOGPS","GPS Antiguo","En línea")</f>
      </c>
      <c r="AD423">
        <f>IF(0=0,"Sin atender", IF(0=1,"Atendida","Atendida y Reportada"))</f>
      </c>
      <c r="AE423" t="str">
        <v/>
      </c>
      <c r="AF423" t="str">
        <v/>
      </c>
      <c r="AG423" t="str">
        <v/>
      </c>
      <c r="AH423" t="str">
        <v/>
      </c>
      <c r="AI423" t="str">
        <v>17/09/2026 12:28:08</v>
      </c>
      <c r="AJ423" t="str">
        <v>12:28:08</v>
      </c>
      <c r="AK423" t="str">
        <v/>
      </c>
    </row>
    <row r="424">
      <c r="A424">
        <v>423</v>
      </c>
      <c r="B424" t="str">
        <v>MASS BSF</v>
      </c>
      <c r="C424" t="str">
        <v>F8R-810</v>
      </c>
      <c r="D424" t="str">
        <v>F8R-810</v>
      </c>
      <c r="E424" t="str">
        <v>867806078868827</v>
      </c>
      <c r="F424" t="str">
        <v>TBD</v>
      </c>
      <c r="G424" t="str">
        <v/>
      </c>
      <c r="H424" t="str">
        <v/>
      </c>
      <c r="I424" t="str">
        <v>17/09/2026</v>
      </c>
      <c r="J424" t="str">
        <v>12:27:59</v>
      </c>
      <c r="K424">
        <v>-12.252593</v>
      </c>
      <c r="L424">
        <v>-76.905</v>
      </c>
      <c r="M424">
        <f>HYPERLINK("https://www.google.com/maps/search/?api=1&amp;query=-12.252593,-76.905","Avenida Lima, Lurín")</f>
      </c>
      <c r="N424" t="str">
        <v>Acelerado y giro brusco</v>
      </c>
      <c r="O424">
        <v>717.5</v>
      </c>
      <c r="P424" t="str">
        <v/>
      </c>
      <c r="Q424">
        <v>45.1</v>
      </c>
      <c r="R424">
        <v>27.85</v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>
        <v>93</v>
      </c>
      <c r="AA424" t="str">
        <v>17/09/2026</v>
      </c>
      <c r="AB424" t="str">
        <v>12:27:56</v>
      </c>
      <c r="AC424">
        <f>IF("ONLINE"="NOGPS","GPS Antiguo","En línea")</f>
      </c>
      <c r="AD424">
        <f>IF(0=0,"Sin atender", IF(0=1,"Atendida","Atendida y Reportada"))</f>
      </c>
      <c r="AE424" t="str">
        <v/>
      </c>
      <c r="AF424" t="str">
        <v/>
      </c>
      <c r="AG424" t="str">
        <v/>
      </c>
      <c r="AH424" t="str">
        <v/>
      </c>
      <c r="AI424" t="str">
        <v>17/09/2026 12:28:08</v>
      </c>
      <c r="AJ424" t="str">
        <v>12:28:08</v>
      </c>
      <c r="AK424" t="str">
        <v/>
      </c>
    </row>
    <row r="425">
      <c r="A425">
        <v>424</v>
      </c>
      <c r="B425" t="str">
        <v>MASS BSF</v>
      </c>
      <c r="C425" t="str">
        <v>F8R-810</v>
      </c>
      <c r="D425" t="str">
        <v>F8R-810</v>
      </c>
      <c r="E425" t="str">
        <v>867806078868827</v>
      </c>
      <c r="F425" t="str">
        <v>TBD</v>
      </c>
      <c r="G425" t="str">
        <v/>
      </c>
      <c r="H425" t="str">
        <v/>
      </c>
      <c r="I425" t="str">
        <v>17/09/2026</v>
      </c>
      <c r="J425" t="str">
        <v>12:28:40</v>
      </c>
      <c r="K425">
        <v>-12.254905</v>
      </c>
      <c r="L425">
        <v>-76.90741</v>
      </c>
      <c r="M425">
        <f>HYPERLINK("https://www.google.com/maps/search/?api=1&amp;query=-12.254905,-76.90741","Antigua Panamericana Sur, Lurín, Lima")</f>
      </c>
      <c r="N425" t="str">
        <v>Bache</v>
      </c>
      <c r="O425">
        <v>718</v>
      </c>
      <c r="P425" t="str">
        <v/>
      </c>
      <c r="Q425">
        <v>56.3</v>
      </c>
      <c r="R425">
        <v>27.85</v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>
        <v>85</v>
      </c>
      <c r="AA425" t="str">
        <v>17/09/2026</v>
      </c>
      <c r="AB425" t="str">
        <v>12:28:37</v>
      </c>
      <c r="AC425">
        <f>IF("ONLINE"="NOGPS","GPS Antiguo","En línea")</f>
      </c>
      <c r="AD425">
        <f>IF(0=0,"Sin atender", IF(0=1,"Atendida","Atendida y Reportada"))</f>
      </c>
      <c r="AE425" t="str">
        <v/>
      </c>
      <c r="AF425" t="str">
        <v/>
      </c>
      <c r="AG425" t="str">
        <v/>
      </c>
      <c r="AH425" t="str">
        <v/>
      </c>
      <c r="AI425" t="str">
        <v>17/09/2026 12:28:49</v>
      </c>
      <c r="AJ425" t="str">
        <v>12:28:49</v>
      </c>
      <c r="AK425" t="str">
        <v/>
      </c>
    </row>
    <row r="426">
      <c r="A426">
        <v>425</v>
      </c>
      <c r="B426" t="str">
        <v>MASS BSF</v>
      </c>
      <c r="C426" t="str">
        <v>F8R-810</v>
      </c>
      <c r="D426" t="str">
        <v>F8R-810</v>
      </c>
      <c r="E426" t="str">
        <v>867806078868827</v>
      </c>
      <c r="F426" t="str">
        <v>TBD</v>
      </c>
      <c r="G426" t="str">
        <v/>
      </c>
      <c r="H426" t="str">
        <v/>
      </c>
      <c r="I426" t="str">
        <v>17/09/2026</v>
      </c>
      <c r="J426" t="str">
        <v>12:28:44</v>
      </c>
      <c r="K426">
        <v>-12.255035</v>
      </c>
      <c r="L426">
        <v>-76.90795</v>
      </c>
      <c r="M426">
        <f>HYPERLINK("https://www.google.com/maps/search/?api=1&amp;query=-12.255035,-76.90795","Antigua Panamericana Sur, Lurín, Lima")</f>
      </c>
      <c r="N426" t="str">
        <v>Aceleración brusca</v>
      </c>
      <c r="O426">
        <v>718.1</v>
      </c>
      <c r="P426" t="str">
        <v/>
      </c>
      <c r="Q426">
        <v>52.4</v>
      </c>
      <c r="R426">
        <v>27.85</v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>
        <v>85</v>
      </c>
      <c r="AA426" t="str">
        <v>17/09/2026</v>
      </c>
      <c r="AB426" t="str">
        <v>12:28:41</v>
      </c>
      <c r="AC426">
        <f>IF("ONLINE"="NOGPS","GPS Antiguo","En línea")</f>
      </c>
      <c r="AD426">
        <f>IF(0=0,"Sin atender", IF(0=1,"Atendida","Atendida y Reportada"))</f>
      </c>
      <c r="AE426" t="str">
        <v/>
      </c>
      <c r="AF426" t="str">
        <v/>
      </c>
      <c r="AG426" t="str">
        <v/>
      </c>
      <c r="AH426" t="str">
        <v/>
      </c>
      <c r="AI426" t="str">
        <v>17/09/2026 12:29:01</v>
      </c>
      <c r="AJ426" t="str">
        <v>12:29:01</v>
      </c>
      <c r="AK426" t="str">
        <v/>
      </c>
    </row>
    <row r="427">
      <c r="A427">
        <v>426</v>
      </c>
      <c r="B427" t="str">
        <v>MASS BSF</v>
      </c>
      <c r="C427" t="str">
        <v>F8R-810</v>
      </c>
      <c r="D427" t="str">
        <v>F8R-810</v>
      </c>
      <c r="E427" t="str">
        <v>867806078868827</v>
      </c>
      <c r="F427" t="str">
        <v>TBD</v>
      </c>
      <c r="G427" t="str">
        <v/>
      </c>
      <c r="H427" t="str">
        <v/>
      </c>
      <c r="I427" t="str">
        <v>17/09/2026</v>
      </c>
      <c r="J427" t="str">
        <v>12:28:53</v>
      </c>
      <c r="K427">
        <v>-12.255293</v>
      </c>
      <c r="L427">
        <v>-76.90909</v>
      </c>
      <c r="M427">
        <f>HYPERLINK("https://www.google.com/maps/search/?api=1&amp;query=-12.255293,-76.90909","Antigua Panamericana Sur, Lurín, Lima")</f>
      </c>
      <c r="N427" t="str">
        <v>Ingreso a camino vecinal</v>
      </c>
      <c r="O427">
        <v>718.2</v>
      </c>
      <c r="P427" t="str">
        <v/>
      </c>
      <c r="Q427">
        <v>50.1</v>
      </c>
      <c r="R427">
        <v>27.85</v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>
        <v>85</v>
      </c>
      <c r="AA427" t="str">
        <v>17/09/2026</v>
      </c>
      <c r="AB427" t="str">
        <v>12:28:50</v>
      </c>
      <c r="AC427">
        <f>IF("ONLINE"="NOGPS","GPS Antiguo","En línea")</f>
      </c>
      <c r="AD427">
        <f>IF(0=0,"Sin atender", IF(0=1,"Atendida","Atendida y Reportada"))</f>
      </c>
      <c r="AE427" t="str">
        <v/>
      </c>
      <c r="AF427" t="str">
        <v/>
      </c>
      <c r="AG427" t="str">
        <v/>
      </c>
      <c r="AH427" t="str">
        <v/>
      </c>
      <c r="AI427" t="str">
        <v>17/09/2026 12:29:02</v>
      </c>
      <c r="AJ427" t="str">
        <v>12:29:02</v>
      </c>
      <c r="AK427" t="str">
        <v/>
      </c>
    </row>
    <row r="428">
      <c r="A428">
        <v>427</v>
      </c>
      <c r="B428" t="str">
        <v>MASS BSF</v>
      </c>
      <c r="C428" t="str">
        <v>F8R-810</v>
      </c>
      <c r="D428" t="str">
        <v>F8R-810</v>
      </c>
      <c r="E428" t="str">
        <v>867806078868827</v>
      </c>
      <c r="F428" t="str">
        <v>TBD</v>
      </c>
      <c r="G428" t="str">
        <v/>
      </c>
      <c r="H428" t="str">
        <v/>
      </c>
      <c r="I428" t="str">
        <v>17/09/2026</v>
      </c>
      <c r="J428" t="str">
        <v>12:29:53</v>
      </c>
      <c r="K428">
        <v>-12.25494</v>
      </c>
      <c r="L428">
        <v>-76.91442</v>
      </c>
      <c r="M428">
        <f>HYPERLINK("https://www.google.com/maps/search/?api=1&amp;query=-12.25494,-76.91442","Antigua Panamericana Sur, Lurín, Lima")</f>
      </c>
      <c r="N428" t="str">
        <v>Salida de camino vecinal</v>
      </c>
      <c r="O428">
        <v>718.8</v>
      </c>
      <c r="P428" t="str">
        <v/>
      </c>
      <c r="Q428">
        <v>45.3</v>
      </c>
      <c r="R428">
        <v>27.85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>
        <v>85</v>
      </c>
      <c r="AA428" t="str">
        <v>17/09/2026</v>
      </c>
      <c r="AB428" t="str">
        <v>12:29:50</v>
      </c>
      <c r="AC428">
        <f>IF("ONLINE"="NOGPS","GPS Antiguo","En línea")</f>
      </c>
      <c r="AD428">
        <f>IF(0=0,"Sin atender", IF(0=1,"Atendida","Atendida y Reportada"))</f>
      </c>
      <c r="AE428" t="str">
        <v/>
      </c>
      <c r="AF428" t="str">
        <v/>
      </c>
      <c r="AG428" t="str">
        <v/>
      </c>
      <c r="AH428" t="str">
        <v/>
      </c>
      <c r="AI428" t="str">
        <v>17/09/2026 12:30:10</v>
      </c>
      <c r="AJ428" t="str">
        <v>12:30:10</v>
      </c>
      <c r="AK428" t="str">
        <v/>
      </c>
    </row>
    <row r="429">
      <c r="A429">
        <v>428</v>
      </c>
      <c r="B429" t="str">
        <v>MASS BSF</v>
      </c>
      <c r="C429" t="str">
        <v>F8R-810</v>
      </c>
      <c r="D429" t="str">
        <v>F8R-810</v>
      </c>
      <c r="E429" t="str">
        <v>867806078868827</v>
      </c>
      <c r="F429" t="str">
        <v>TBD</v>
      </c>
      <c r="G429" t="str">
        <v/>
      </c>
      <c r="H429" t="str">
        <v/>
      </c>
      <c r="I429" t="str">
        <v>17/09/2026</v>
      </c>
      <c r="J429" t="str">
        <v>12:30:40</v>
      </c>
      <c r="K429">
        <v>-12.254395</v>
      </c>
      <c r="L429">
        <v>-76.918655</v>
      </c>
      <c r="M429">
        <f>HYPERLINK("https://www.google.com/maps/search/?api=1&amp;query=-12.254395,-76.918655","Antigua Panamericana Sur, Lurín, Lima")</f>
      </c>
      <c r="N429" t="str">
        <v>Aceleración brusca</v>
      </c>
      <c r="O429">
        <v>719.2</v>
      </c>
      <c r="P429" t="str">
        <v/>
      </c>
      <c r="Q429">
        <v>38.8</v>
      </c>
      <c r="R429">
        <v>27.85</v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>
        <v>85</v>
      </c>
      <c r="AA429" t="str">
        <v>17/09/2026</v>
      </c>
      <c r="AB429" t="str">
        <v>12:30:37</v>
      </c>
      <c r="AC429">
        <f>IF("ONLINE"="NOGPS","GPS Antiguo","En línea")</f>
      </c>
      <c r="AD429">
        <f>IF(0=0,"Sin atender", IF(0=1,"Atendida","Atendida y Reportada"))</f>
      </c>
      <c r="AE429" t="str">
        <v/>
      </c>
      <c r="AF429" t="str">
        <v/>
      </c>
      <c r="AG429" t="str">
        <v/>
      </c>
      <c r="AH429" t="str">
        <v/>
      </c>
      <c r="AI429" t="str">
        <v>17/09/2026 12:30:55</v>
      </c>
      <c r="AJ429" t="str">
        <v>12:30:55</v>
      </c>
      <c r="AK429" t="str">
        <v/>
      </c>
    </row>
    <row r="430">
      <c r="A430">
        <v>429</v>
      </c>
      <c r="B430" t="str">
        <v>MASS BSF</v>
      </c>
      <c r="C430" t="str">
        <v>F8R-810</v>
      </c>
      <c r="D430" t="str">
        <v>F8R-810</v>
      </c>
      <c r="E430" t="str">
        <v>867806078868827</v>
      </c>
      <c r="F430" t="str">
        <v>TBD</v>
      </c>
      <c r="G430" t="str">
        <v/>
      </c>
      <c r="H430" t="str">
        <v/>
      </c>
      <c r="I430" t="str">
        <v>17/09/2026</v>
      </c>
      <c r="J430" t="str">
        <v>12:30:58</v>
      </c>
      <c r="K430">
        <v>-12.25426</v>
      </c>
      <c r="L430">
        <v>-76.9194</v>
      </c>
      <c r="M430">
        <f>HYPERLINK("https://www.google.com/maps/search/?api=1&amp;query=-12.25426,-76.9194","Antigua Panamericana Sur, Lurín, Lima")</f>
      </c>
      <c r="N430" t="str">
        <v>Vehículo apagado</v>
      </c>
      <c r="O430">
        <v>719.3</v>
      </c>
      <c r="P430" t="str">
        <v/>
      </c>
      <c r="Q430">
        <v>0</v>
      </c>
      <c r="R430">
        <v>28</v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>
        <v>85</v>
      </c>
      <c r="AA430" t="str">
        <v>17/09/2026</v>
      </c>
      <c r="AB430" t="str">
        <v>12:30:55</v>
      </c>
      <c r="AC430">
        <f>IF("ONLINE"="NOGPS","GPS Antiguo","En línea")</f>
      </c>
      <c r="AD430">
        <f>IF(0=0,"Sin atender", IF(0=1,"Atendida","Atendida y Reportada"))</f>
      </c>
      <c r="AE430" t="str">
        <v/>
      </c>
      <c r="AF430" t="str">
        <v/>
      </c>
      <c r="AG430" t="str">
        <v/>
      </c>
      <c r="AH430" t="str">
        <v/>
      </c>
      <c r="AI430" t="str">
        <v>17/09/2026 12:31:27</v>
      </c>
      <c r="AJ430" t="str">
        <v>12:31:27</v>
      </c>
      <c r="AK430" t="str">
        <v/>
      </c>
    </row>
    <row r="431">
      <c r="A431">
        <v>430</v>
      </c>
      <c r="B431" t="str">
        <v>MASS BSF</v>
      </c>
      <c r="C431" t="str">
        <v>F8R-810</v>
      </c>
      <c r="D431" t="str">
        <v>F8R-810</v>
      </c>
      <c r="E431" t="str">
        <v>867806078868827</v>
      </c>
      <c r="F431" t="str">
        <v>TBD</v>
      </c>
      <c r="G431" t="str">
        <v/>
      </c>
      <c r="H431" t="str">
        <v/>
      </c>
      <c r="I431" t="str">
        <v>17/09/2026</v>
      </c>
      <c r="J431" t="str">
        <v>12:38:23</v>
      </c>
      <c r="K431">
        <v>-12.25426</v>
      </c>
      <c r="L431">
        <v>-76.9194</v>
      </c>
      <c r="M431">
        <f>HYPERLINK("https://www.google.com/maps/search/?api=1&amp;query=-12.25426,-76.9194","Antigua Panamericana Sur, Lurín, Lima")</f>
      </c>
      <c r="N431" t="str">
        <v>Se detuvo</v>
      </c>
      <c r="O431">
        <v>719.3</v>
      </c>
      <c r="P431" t="str">
        <v/>
      </c>
      <c r="Q431">
        <v>0</v>
      </c>
      <c r="R431">
        <v>28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>
        <v>85</v>
      </c>
      <c r="AA431" t="str">
        <v>17/09/2026</v>
      </c>
      <c r="AB431" t="str">
        <v>12:38:20</v>
      </c>
      <c r="AC431">
        <f>IF("ONLINE"="NOGPS","GPS Antiguo","En línea")</f>
      </c>
      <c r="AD431">
        <f>IF(0=0,"Sin atender", IF(0=1,"Atendida","Atendida y Reportada"))</f>
      </c>
      <c r="AE431" t="str">
        <v/>
      </c>
      <c r="AF431" t="str">
        <v/>
      </c>
      <c r="AG431" t="str">
        <v/>
      </c>
      <c r="AH431" t="str">
        <v/>
      </c>
      <c r="AI431" t="str">
        <v>17/09/2026 12:38:35</v>
      </c>
      <c r="AJ431" t="str">
        <v>12:38:35</v>
      </c>
      <c r="AK431" t="str">
        <v/>
      </c>
    </row>
    <row r="432">
      <c r="A432">
        <v>431</v>
      </c>
      <c r="B432" t="str">
        <v>MASS BSF</v>
      </c>
      <c r="C432" t="str">
        <v>F8R-810</v>
      </c>
      <c r="D432" t="str">
        <v>F8R-810</v>
      </c>
      <c r="E432" t="str">
        <v>867806078868827</v>
      </c>
      <c r="F432" t="str">
        <v>TBD</v>
      </c>
      <c r="G432" t="str">
        <v/>
      </c>
      <c r="H432" t="str">
        <v/>
      </c>
      <c r="I432" t="str">
        <v>17/09/2026</v>
      </c>
      <c r="J432" t="str">
        <v>12:51:53</v>
      </c>
      <c r="K432">
        <v>-12.25426</v>
      </c>
      <c r="L432">
        <v>-76.9194</v>
      </c>
      <c r="M432">
        <f>HYPERLINK("https://www.google.com/maps/search/?api=1&amp;query=-12.25426,-76.9194","Antigua Panamericana Sur, Lurín, Lima")</f>
      </c>
      <c r="N432" t="str">
        <v>Vehículo encendido</v>
      </c>
      <c r="O432">
        <v>719.3</v>
      </c>
      <c r="P432" t="str">
        <v/>
      </c>
      <c r="Q432">
        <v>0</v>
      </c>
      <c r="R432">
        <v>28</v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>
        <v>89</v>
      </c>
      <c r="AA432" t="str">
        <v>17/09/2026</v>
      </c>
      <c r="AB432" t="str">
        <v>12:51:50</v>
      </c>
      <c r="AC432">
        <f>IF("ONLINE"="NOGPS","GPS Antiguo","En línea")</f>
      </c>
      <c r="AD432">
        <f>IF(0=0,"Sin atender", IF(0=1,"Atendida","Atendida y Reportada"))</f>
      </c>
      <c r="AE432" t="str">
        <v/>
      </c>
      <c r="AF432" t="str">
        <v/>
      </c>
      <c r="AG432" t="str">
        <v/>
      </c>
      <c r="AH432" t="str">
        <v/>
      </c>
      <c r="AI432" t="str">
        <v>17/09/2026 12:52:03</v>
      </c>
      <c r="AJ432" t="str">
        <v>12:52:03</v>
      </c>
      <c r="AK432" t="str">
        <v/>
      </c>
    </row>
    <row r="433">
      <c r="A433">
        <v>432</v>
      </c>
      <c r="B433" t="str">
        <v>MASS BSF</v>
      </c>
      <c r="C433" t="str">
        <v>F8R-810</v>
      </c>
      <c r="D433" t="str">
        <v>F8R-810</v>
      </c>
      <c r="E433" t="str">
        <v>867806078868827</v>
      </c>
      <c r="F433" t="str">
        <v>TBD</v>
      </c>
      <c r="G433" t="str">
        <v/>
      </c>
      <c r="H433" t="str">
        <v/>
      </c>
      <c r="I433" t="str">
        <v>17/09/2026</v>
      </c>
      <c r="J433" t="str">
        <v>12:53:01</v>
      </c>
      <c r="K433">
        <v>-12.256768</v>
      </c>
      <c r="L433">
        <v>-76.921875</v>
      </c>
      <c r="M433">
        <f>HYPERLINK("https://www.google.com/maps/search/?api=1&amp;query=-12.256768,-76.921875","Lurín, Lima")</f>
      </c>
      <c r="N433" t="str">
        <v>Acelerado y giro brusco</v>
      </c>
      <c r="O433">
        <v>719.7</v>
      </c>
      <c r="P433" t="str">
        <v/>
      </c>
      <c r="Q433">
        <v>41.4</v>
      </c>
      <c r="R433">
        <v>28</v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>
        <v>89</v>
      </c>
      <c r="AA433" t="str">
        <v>17/09/2026</v>
      </c>
      <c r="AB433" t="str">
        <v>12:52:59</v>
      </c>
      <c r="AC433">
        <f>IF("ONLINE"="NOGPS","GPS Antiguo","En línea")</f>
      </c>
      <c r="AD433">
        <f>IF(0=0,"Sin atender", IF(0=1,"Atendida","Atendida y Reportada"))</f>
      </c>
      <c r="AE433" t="str">
        <v/>
      </c>
      <c r="AF433" t="str">
        <v/>
      </c>
      <c r="AG433" t="str">
        <v/>
      </c>
      <c r="AH433" t="str">
        <v/>
      </c>
      <c r="AI433" t="str">
        <v>17/09/2026 12:53:06</v>
      </c>
      <c r="AJ433" t="str">
        <v>12:53:06</v>
      </c>
      <c r="AK433" t="str">
        <v/>
      </c>
    </row>
    <row r="434">
      <c r="A434">
        <v>433</v>
      </c>
      <c r="B434" t="str">
        <v>MASS BSF</v>
      </c>
      <c r="C434" t="str">
        <v>F8R-810</v>
      </c>
      <c r="D434" t="str">
        <v>F8R-810</v>
      </c>
      <c r="E434" t="str">
        <v>867806078868827</v>
      </c>
      <c r="F434" t="str">
        <v>TBD</v>
      </c>
      <c r="G434" t="str">
        <v/>
      </c>
      <c r="H434" t="str">
        <v/>
      </c>
      <c r="I434" t="str">
        <v>17/09/2026</v>
      </c>
      <c r="J434" t="str">
        <v>12:55:53</v>
      </c>
      <c r="K434">
        <v>-12.269403</v>
      </c>
      <c r="L434">
        <v>-76.90058</v>
      </c>
      <c r="M434">
        <f>HYPERLINK("https://www.google.com/maps/search/?api=1&amp;query=-12.269403,-76.90058","Carretera Panamericana Sur, Lurín, Lima")</f>
      </c>
      <c r="N434" t="str">
        <v>Aceleración brusca</v>
      </c>
      <c r="O434">
        <v>723</v>
      </c>
      <c r="P434" t="str">
        <v/>
      </c>
      <c r="Q434">
        <v>79.8</v>
      </c>
      <c r="R434">
        <v>28</v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>
        <v>92</v>
      </c>
      <c r="AA434" t="str">
        <v>17/09/2026</v>
      </c>
      <c r="AB434" t="str">
        <v>12:55:51</v>
      </c>
      <c r="AC434">
        <f>IF("ONLINE"="NOGPS","GPS Antiguo","En línea")</f>
      </c>
      <c r="AD434">
        <f>IF(0=0,"Sin atender", IF(0=1,"Atendida","Atendida y Reportada"))</f>
      </c>
      <c r="AE434" t="str">
        <v/>
      </c>
      <c r="AF434" t="str">
        <v/>
      </c>
      <c r="AG434" t="str">
        <v/>
      </c>
      <c r="AH434" t="str">
        <v/>
      </c>
      <c r="AI434" t="str">
        <v>17/09/2026 12:56:00</v>
      </c>
      <c r="AJ434" t="str">
        <v>12:56:00</v>
      </c>
      <c r="AK434" t="str">
        <v/>
      </c>
    </row>
    <row r="435">
      <c r="A435">
        <v>434</v>
      </c>
      <c r="B435" t="str">
        <v>MASS BSF</v>
      </c>
      <c r="C435" t="str">
        <v>F8R-810</v>
      </c>
      <c r="D435" t="str">
        <v>F8R-810</v>
      </c>
      <c r="E435" t="str">
        <v>867806078868827</v>
      </c>
      <c r="F435" t="str">
        <v>TBD</v>
      </c>
      <c r="G435" t="str">
        <v/>
      </c>
      <c r="H435" t="str">
        <v/>
      </c>
      <c r="I435" t="str">
        <v>17/09/2026</v>
      </c>
      <c r="J435" t="str">
        <v>12:56:38</v>
      </c>
      <c r="K435">
        <v>-12.274212</v>
      </c>
      <c r="L435">
        <v>-76.89297</v>
      </c>
      <c r="M435">
        <f>HYPERLINK("https://www.google.com/maps/search/?api=1&amp;query=-12.274212,-76.89297","Carretera Panamericana Sur, Lurín, Lima")</f>
      </c>
      <c r="N435" t="str">
        <v>Aceleración brusca</v>
      </c>
      <c r="O435">
        <v>723.9</v>
      </c>
      <c r="P435" t="str">
        <v/>
      </c>
      <c r="Q435">
        <v>80.3</v>
      </c>
      <c r="R435">
        <v>28</v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>
        <v>92</v>
      </c>
      <c r="AA435" t="str">
        <v>17/09/2026</v>
      </c>
      <c r="AB435" t="str">
        <v>12:56:35</v>
      </c>
      <c r="AC435">
        <f>IF("ONLINE"="NOGPS","GPS Antiguo","En línea")</f>
      </c>
      <c r="AD435">
        <f>IF(0=0,"Sin atender", IF(0=1,"Atendida","Atendida y Reportada"))</f>
      </c>
      <c r="AE435" t="str">
        <v/>
      </c>
      <c r="AF435" t="str">
        <v/>
      </c>
      <c r="AG435" t="str">
        <v/>
      </c>
      <c r="AH435" t="str">
        <v/>
      </c>
      <c r="AI435" t="str">
        <v>17/09/2026 12:56:58</v>
      </c>
      <c r="AJ435" t="str">
        <v>12:56:58</v>
      </c>
      <c r="AK435" t="str">
        <v/>
      </c>
    </row>
    <row r="436">
      <c r="A436">
        <v>435</v>
      </c>
      <c r="B436" t="str">
        <v>MASS BSF</v>
      </c>
      <c r="C436" t="str">
        <v>F8R-810</v>
      </c>
      <c r="D436" t="str">
        <v>F8R-810</v>
      </c>
      <c r="E436" t="str">
        <v>867806078868827</v>
      </c>
      <c r="F436" t="str">
        <v>TBD</v>
      </c>
      <c r="G436" t="str">
        <v/>
      </c>
      <c r="H436" t="str">
        <v/>
      </c>
      <c r="I436" t="str">
        <v>17/09/2026</v>
      </c>
      <c r="J436" t="str">
        <v>12:59:10</v>
      </c>
      <c r="K436">
        <v>-12.290644</v>
      </c>
      <c r="L436">
        <v>-76.86676</v>
      </c>
      <c r="M436">
        <f>HYPERLINK("https://www.google.com/maps/search/?api=1&amp;query=-12.290644,-76.86676","Carretera Panamericana Sur, Lurín, Lima")</f>
      </c>
      <c r="N436" t="str">
        <v>Aceleración brusca</v>
      </c>
      <c r="O436">
        <v>727.3</v>
      </c>
      <c r="P436" t="str">
        <v/>
      </c>
      <c r="Q436">
        <v>82</v>
      </c>
      <c r="R436">
        <v>28</v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>
        <v>92</v>
      </c>
      <c r="AA436" t="str">
        <v>17/09/2026</v>
      </c>
      <c r="AB436" t="str">
        <v>12:59:07</v>
      </c>
      <c r="AC436">
        <f>IF("ONLINE"="NOGPS","GPS Antiguo","En línea")</f>
      </c>
      <c r="AD436">
        <f>IF(0=0,"Sin atender", IF(0=1,"Atendida","Atendida y Reportada"))</f>
      </c>
      <c r="AE436" t="str">
        <v/>
      </c>
      <c r="AF436" t="str">
        <v/>
      </c>
      <c r="AG436" t="str">
        <v/>
      </c>
      <c r="AH436" t="str">
        <v/>
      </c>
      <c r="AI436" t="str">
        <v>17/09/2026 12:59:18</v>
      </c>
      <c r="AJ436" t="str">
        <v>12:59:18</v>
      </c>
      <c r="AK436" t="str">
        <v/>
      </c>
    </row>
    <row r="437">
      <c r="A437">
        <v>436</v>
      </c>
      <c r="B437" t="str">
        <v>MASS BSF</v>
      </c>
      <c r="C437" t="str">
        <v>F8R-810</v>
      </c>
      <c r="D437" t="str">
        <v>F8R-810</v>
      </c>
      <c r="E437" t="str">
        <v>867806078868827</v>
      </c>
      <c r="F437" t="str">
        <v>TBD</v>
      </c>
      <c r="G437" t="str">
        <v/>
      </c>
      <c r="H437" t="str">
        <v/>
      </c>
      <c r="I437" t="str">
        <v>17/09/2026</v>
      </c>
      <c r="J437" t="str">
        <v>13:00:02</v>
      </c>
      <c r="K437">
        <v>-12.296398</v>
      </c>
      <c r="L437">
        <v>-76.857315</v>
      </c>
      <c r="M437">
        <f>HYPERLINK("https://www.google.com/maps/search/?api=1&amp;query=-12.296398,-76.857315","Carretera Panamericana Sur, Lurín, Lima")</f>
      </c>
      <c r="N437" t="str">
        <v>Aceleración brusca</v>
      </c>
      <c r="O437">
        <v>728.5</v>
      </c>
      <c r="P437" t="str">
        <v/>
      </c>
      <c r="Q437">
        <v>82.7</v>
      </c>
      <c r="R437">
        <v>28</v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>
        <v>88</v>
      </c>
      <c r="AA437" t="str">
        <v>17/09/2026</v>
      </c>
      <c r="AB437" t="str">
        <v>13:00:00</v>
      </c>
      <c r="AC437">
        <f>IF("ONLINE"="NOGPS","GPS Antiguo","En línea")</f>
      </c>
      <c r="AD437">
        <f>IF(0=0,"Sin atender", IF(0=1,"Atendida","Atendida y Reportada"))</f>
      </c>
      <c r="AE437" t="str">
        <v/>
      </c>
      <c r="AF437" t="str">
        <v/>
      </c>
      <c r="AG437" t="str">
        <v/>
      </c>
      <c r="AH437" t="str">
        <v/>
      </c>
      <c r="AI437" t="str">
        <v>17/09/2026 13:00:14</v>
      </c>
      <c r="AJ437" t="str">
        <v>13:00:14</v>
      </c>
      <c r="AK437" t="str">
        <v/>
      </c>
    </row>
    <row r="438">
      <c r="A438">
        <v>437</v>
      </c>
      <c r="B438" t="str">
        <v>MASS BSF</v>
      </c>
      <c r="C438" t="str">
        <v>F8R-810</v>
      </c>
      <c r="D438" t="str">
        <v>F8R-810</v>
      </c>
      <c r="E438" t="str">
        <v>867806078868827</v>
      </c>
      <c r="F438" t="str">
        <v>TBD</v>
      </c>
      <c r="G438" t="str">
        <v/>
      </c>
      <c r="H438" t="str">
        <v/>
      </c>
      <c r="I438" t="str">
        <v>17/09/2026</v>
      </c>
      <c r="J438" t="str">
        <v>13:00:47</v>
      </c>
      <c r="K438">
        <v>-12.299882</v>
      </c>
      <c r="L438">
        <v>-76.84939</v>
      </c>
      <c r="M438">
        <f>HYPERLINK("https://www.google.com/maps/search/?api=1&amp;query=-12.299882,-76.84939","Carretera Panamericana Sur, Lurín, Lima")</f>
      </c>
      <c r="N438" t="str">
        <v>Acelerado y giro brusco</v>
      </c>
      <c r="O438">
        <v>729.4</v>
      </c>
      <c r="P438" t="str">
        <v/>
      </c>
      <c r="Q438">
        <v>65.7</v>
      </c>
      <c r="R438">
        <v>28</v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>
        <v>88</v>
      </c>
      <c r="AA438" t="str">
        <v>17/09/2026</v>
      </c>
      <c r="AB438" t="str">
        <v>13:00:44</v>
      </c>
      <c r="AC438">
        <f>IF("ONLINE"="NOGPS","GPS Antiguo","En línea")</f>
      </c>
      <c r="AD438">
        <f>IF(0=0,"Sin atender", IF(0=1,"Atendida","Atendida y Reportada"))</f>
      </c>
      <c r="AE438" t="str">
        <v/>
      </c>
      <c r="AF438" t="str">
        <v/>
      </c>
      <c r="AG438" t="str">
        <v/>
      </c>
      <c r="AH438" t="str">
        <v/>
      </c>
      <c r="AI438" t="str">
        <v>17/09/2026 13:01:08</v>
      </c>
      <c r="AJ438" t="str">
        <v>13:01:08</v>
      </c>
      <c r="AK438" t="str">
        <v/>
      </c>
    </row>
    <row r="439">
      <c r="A439">
        <v>438</v>
      </c>
      <c r="B439" t="str">
        <v>MASS BSF</v>
      </c>
      <c r="C439" t="str">
        <v>F8R-810</v>
      </c>
      <c r="D439" t="str">
        <v>F8R-810</v>
      </c>
      <c r="E439" t="str">
        <v>867806078868827</v>
      </c>
      <c r="F439" t="str">
        <v>TBD</v>
      </c>
      <c r="G439" t="str">
        <v/>
      </c>
      <c r="H439" t="str">
        <v/>
      </c>
      <c r="I439" t="str">
        <v>17/09/2026</v>
      </c>
      <c r="J439" t="str">
        <v>13:01:00</v>
      </c>
      <c r="K439">
        <v>-12.300855</v>
      </c>
      <c r="L439">
        <v>-76.84725</v>
      </c>
      <c r="M439">
        <f>HYPERLINK("https://www.google.com/maps/search/?api=1&amp;query=-12.300855,-76.84725","Carretera Panamericana Sur, Lurín, Lima")</f>
      </c>
      <c r="N439" t="str">
        <v>Aceleración brusca</v>
      </c>
      <c r="O439">
        <v>729.7</v>
      </c>
      <c r="P439" t="str">
        <v/>
      </c>
      <c r="Q439">
        <v>74.2</v>
      </c>
      <c r="R439">
        <v>28</v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>
        <v>88</v>
      </c>
      <c r="AA439" t="str">
        <v>17/09/2026</v>
      </c>
      <c r="AB439" t="str">
        <v>13:00:57</v>
      </c>
      <c r="AC439">
        <f>IF("ONLINE"="NOGPS","GPS Antiguo","En línea")</f>
      </c>
      <c r="AD439">
        <f>IF(0=0,"Sin atender", IF(0=1,"Atendida","Atendida y Reportada"))</f>
      </c>
      <c r="AE439" t="str">
        <v/>
      </c>
      <c r="AF439" t="str">
        <v/>
      </c>
      <c r="AG439" t="str">
        <v/>
      </c>
      <c r="AH439" t="str">
        <v/>
      </c>
      <c r="AI439" t="str">
        <v>17/09/2026 13:01:12</v>
      </c>
      <c r="AJ439" t="str">
        <v>13:01:12</v>
      </c>
      <c r="AK439" t="str">
        <v/>
      </c>
    </row>
    <row r="440">
      <c r="A440">
        <v>439</v>
      </c>
      <c r="B440" t="str">
        <v>MASS BSF</v>
      </c>
      <c r="C440" t="str">
        <v>F8R-810</v>
      </c>
      <c r="D440" t="str">
        <v>F8R-810</v>
      </c>
      <c r="E440" t="str">
        <v>867806078868827</v>
      </c>
      <c r="F440" t="str">
        <v>TBD</v>
      </c>
      <c r="G440" t="str">
        <v/>
      </c>
      <c r="H440" t="str">
        <v/>
      </c>
      <c r="I440" t="str">
        <v>17/09/2026</v>
      </c>
      <c r="J440" t="str">
        <v>13:01:28</v>
      </c>
      <c r="K440">
        <v>-12.303035</v>
      </c>
      <c r="L440">
        <v>-76.84259</v>
      </c>
      <c r="M440">
        <f>HYPERLINK("https://www.google.com/maps/search/?api=1&amp;query=-12.303035,-76.84259","Carretera Panamericana Sur, Lurín, Lima")</f>
      </c>
      <c r="N440" t="str">
        <v>Acelerado y giro brusco</v>
      </c>
      <c r="O440">
        <v>730.3</v>
      </c>
      <c r="P440" t="str">
        <v/>
      </c>
      <c r="Q440">
        <v>67.9</v>
      </c>
      <c r="R440">
        <v>28</v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>
        <v>88</v>
      </c>
      <c r="AA440" t="str">
        <v>17/09/2026</v>
      </c>
      <c r="AB440" t="str">
        <v>13:01:25</v>
      </c>
      <c r="AC440">
        <f>IF("ONLINE"="NOGPS","GPS Antiguo","En línea")</f>
      </c>
      <c r="AD440">
        <f>IF(0=0,"Sin atender", IF(0=1,"Atendida","Atendida y Reportada"))</f>
      </c>
      <c r="AE440" t="str">
        <v/>
      </c>
      <c r="AF440" t="str">
        <v/>
      </c>
      <c r="AG440" t="str">
        <v/>
      </c>
      <c r="AH440" t="str">
        <v/>
      </c>
      <c r="AI440" t="str">
        <v>17/09/2026 13:01:50</v>
      </c>
      <c r="AJ440" t="str">
        <v>13:01:50</v>
      </c>
      <c r="AK440" t="str">
        <v/>
      </c>
    </row>
    <row r="441">
      <c r="A441">
        <v>440</v>
      </c>
      <c r="B441" t="str">
        <v>MASS BSF</v>
      </c>
      <c r="C441" t="str">
        <v>F8R-810</v>
      </c>
      <c r="D441" t="str">
        <v>F8R-810</v>
      </c>
      <c r="E441" t="str">
        <v>867806078868827</v>
      </c>
      <c r="F441" t="str">
        <v>TBD</v>
      </c>
      <c r="G441" t="str">
        <v/>
      </c>
      <c r="H441" t="str">
        <v/>
      </c>
      <c r="I441" t="str">
        <v>17/09/2026</v>
      </c>
      <c r="J441" t="str">
        <v>13:01:34</v>
      </c>
      <c r="K441">
        <v>-12.303576</v>
      </c>
      <c r="L441">
        <v>-76.84171</v>
      </c>
      <c r="M441">
        <f>HYPERLINK("https://www.google.com/maps/search/?api=1&amp;query=-12.303576,-76.84171","Carretera Panamericana Sur, Lurín, Lima")</f>
      </c>
      <c r="N441" t="str">
        <v>Aceleración brusca</v>
      </c>
      <c r="O441">
        <v>730.4</v>
      </c>
      <c r="P441" t="str">
        <v/>
      </c>
      <c r="Q441">
        <v>66.8</v>
      </c>
      <c r="R441">
        <v>28</v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>
        <v>88</v>
      </c>
      <c r="AA441" t="str">
        <v>17/09/2026</v>
      </c>
      <c r="AB441" t="str">
        <v>13:01:31</v>
      </c>
      <c r="AC441">
        <f>IF("ONLINE"="NOGPS","GPS Antiguo","En línea")</f>
      </c>
      <c r="AD441">
        <f>IF(0=0,"Sin atender", IF(0=1,"Atendida","Atendida y Reportada"))</f>
      </c>
      <c r="AE441" t="str">
        <v/>
      </c>
      <c r="AF441" t="str">
        <v/>
      </c>
      <c r="AG441" t="str">
        <v/>
      </c>
      <c r="AH441" t="str">
        <v/>
      </c>
      <c r="AI441" t="str">
        <v>17/09/2026 13:01:39</v>
      </c>
      <c r="AJ441" t="str">
        <v>13:01:39</v>
      </c>
      <c r="AK441" t="str">
        <v/>
      </c>
    </row>
    <row r="442">
      <c r="A442">
        <v>441</v>
      </c>
      <c r="B442" t="str">
        <v>MASS BSF</v>
      </c>
      <c r="C442" t="str">
        <v>F8R-810</v>
      </c>
      <c r="D442" t="str">
        <v>F8R-810</v>
      </c>
      <c r="E442" t="str">
        <v>867806078868827</v>
      </c>
      <c r="F442" t="str">
        <v>TBD</v>
      </c>
      <c r="G442" t="str">
        <v/>
      </c>
      <c r="H442" t="str">
        <v/>
      </c>
      <c r="I442" t="str">
        <v>17/09/2026</v>
      </c>
      <c r="J442" t="str">
        <v>13:01:43</v>
      </c>
      <c r="K442">
        <v>-12.304453</v>
      </c>
      <c r="L442">
        <v>-76.84048</v>
      </c>
      <c r="M442">
        <f>HYPERLINK("https://www.google.com/maps/search/?api=1&amp;query=-12.304453,-76.84048","Carretera Panamericana Sur, Lurín, Lima")</f>
      </c>
      <c r="N442" t="str">
        <v>Aceleración brusca</v>
      </c>
      <c r="O442">
        <v>730.5</v>
      </c>
      <c r="P442" t="str">
        <v/>
      </c>
      <c r="Q442">
        <v>67.4</v>
      </c>
      <c r="R442">
        <v>28</v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>
        <v>88</v>
      </c>
      <c r="AA442" t="str">
        <v>17/09/2026</v>
      </c>
      <c r="AB442" t="str">
        <v>13:01:40</v>
      </c>
      <c r="AC442">
        <f>IF("ONLINE"="NOGPS","GPS Antiguo","En línea")</f>
      </c>
      <c r="AD442">
        <f>IF(0=0,"Sin atender", IF(0=1,"Atendida","Atendida y Reportada"))</f>
      </c>
      <c r="AE442" t="str">
        <v/>
      </c>
      <c r="AF442" t="str">
        <v/>
      </c>
      <c r="AG442" t="str">
        <v/>
      </c>
      <c r="AH442" t="str">
        <v/>
      </c>
      <c r="AI442" t="str">
        <v>17/09/2026 13:01:53</v>
      </c>
      <c r="AJ442" t="str">
        <v>13:01:53</v>
      </c>
      <c r="AK442" t="str">
        <v/>
      </c>
    </row>
    <row r="443">
      <c r="A443">
        <v>442</v>
      </c>
      <c r="B443" t="str">
        <v>MASS BSF</v>
      </c>
      <c r="C443" t="str">
        <v>F8R-810</v>
      </c>
      <c r="D443" t="str">
        <v>F8R-810</v>
      </c>
      <c r="E443" t="str">
        <v>867806078868827</v>
      </c>
      <c r="F443" t="str">
        <v>TBD</v>
      </c>
      <c r="G443" t="str">
        <v/>
      </c>
      <c r="H443" t="str">
        <v/>
      </c>
      <c r="I443" t="str">
        <v>17/09/2026</v>
      </c>
      <c r="J443" t="str">
        <v>13:01:54</v>
      </c>
      <c r="K443">
        <v>-12.305563</v>
      </c>
      <c r="L443">
        <v>-76.83918</v>
      </c>
      <c r="M443">
        <f>HYPERLINK("https://www.google.com/maps/search/?api=1&amp;query=-12.305563,-76.83918","Carretera Panamericana Sur, Lurín, Lima")</f>
      </c>
      <c r="N443" t="str">
        <v>Acelerado y giro brusco</v>
      </c>
      <c r="O443">
        <v>730.7</v>
      </c>
      <c r="P443" t="str">
        <v/>
      </c>
      <c r="Q443">
        <v>52.5</v>
      </c>
      <c r="R443">
        <v>28</v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>
        <v>88</v>
      </c>
      <c r="AA443" t="str">
        <v>17/09/2026</v>
      </c>
      <c r="AB443" t="str">
        <v>13:01:51</v>
      </c>
      <c r="AC443">
        <f>IF("ONLINE"="NOGPS","GPS Antiguo","En línea")</f>
      </c>
      <c r="AD443">
        <f>IF(0=0,"Sin atender", IF(0=1,"Atendida","Atendida y Reportada"))</f>
      </c>
      <c r="AE443" t="str">
        <v/>
      </c>
      <c r="AF443" t="str">
        <v/>
      </c>
      <c r="AG443" t="str">
        <v/>
      </c>
      <c r="AH443" t="str">
        <v/>
      </c>
      <c r="AI443" t="str">
        <v>17/09/2026 13:02:01</v>
      </c>
      <c r="AJ443" t="str">
        <v>13:02:01</v>
      </c>
      <c r="AK443" t="str">
        <v/>
      </c>
    </row>
    <row r="444">
      <c r="A444">
        <v>443</v>
      </c>
      <c r="B444" t="str">
        <v>MASS BSF</v>
      </c>
      <c r="C444" t="str">
        <v>F8R-810</v>
      </c>
      <c r="D444" t="str">
        <v>F8R-810</v>
      </c>
      <c r="E444" t="str">
        <v>867806078868827</v>
      </c>
      <c r="F444" t="str">
        <v>TBD</v>
      </c>
      <c r="G444" t="str">
        <v/>
      </c>
      <c r="H444" t="str">
        <v/>
      </c>
      <c r="I444" t="str">
        <v>17/09/2026</v>
      </c>
      <c r="J444" t="str">
        <v>13:02:16</v>
      </c>
      <c r="K444">
        <v>-12.307932</v>
      </c>
      <c r="L444">
        <v>-76.83704</v>
      </c>
      <c r="M444">
        <f>HYPERLINK("https://www.google.com/maps/search/?api=1&amp;query=-12.307932,-76.83704","Carretera Panamericana Sur, Punta Hermosa, Lima")</f>
      </c>
      <c r="N444" t="str">
        <v>Aceleración brusca</v>
      </c>
      <c r="O444">
        <v>731.1</v>
      </c>
      <c r="P444" t="str">
        <v/>
      </c>
      <c r="Q444">
        <v>67</v>
      </c>
      <c r="R444">
        <v>28</v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>
        <v>88</v>
      </c>
      <c r="AA444" t="str">
        <v>17/09/2026</v>
      </c>
      <c r="AB444" t="str">
        <v>13:02:13</v>
      </c>
      <c r="AC444">
        <f>IF("ONLINE"="NOGPS","GPS Antiguo","En línea")</f>
      </c>
      <c r="AD444">
        <f>IF(0=0,"Sin atender", IF(0=1,"Atendida","Atendida y Reportada"))</f>
      </c>
      <c r="AE444" t="str">
        <v/>
      </c>
      <c r="AF444" t="str">
        <v/>
      </c>
      <c r="AG444" t="str">
        <v/>
      </c>
      <c r="AH444" t="str">
        <v/>
      </c>
      <c r="AI444" t="str">
        <v>17/09/2026 13:02:26</v>
      </c>
      <c r="AJ444" t="str">
        <v>13:02:26</v>
      </c>
      <c r="AK444" t="str">
        <v/>
      </c>
    </row>
    <row r="445">
      <c r="A445">
        <v>444</v>
      </c>
      <c r="B445" t="str">
        <v>MASS BSF</v>
      </c>
      <c r="C445" t="str">
        <v>F8R-810</v>
      </c>
      <c r="D445" t="str">
        <v>F8R-810</v>
      </c>
      <c r="E445" t="str">
        <v>867806078868827</v>
      </c>
      <c r="F445" t="str">
        <v>TBD</v>
      </c>
      <c r="G445" t="str">
        <v/>
      </c>
      <c r="H445" t="str">
        <v/>
      </c>
      <c r="I445" t="str">
        <v>17/09/2026</v>
      </c>
      <c r="J445" t="str">
        <v>13:02:22</v>
      </c>
      <c r="K445">
        <v>-12.308772</v>
      </c>
      <c r="L445">
        <v>-76.83646</v>
      </c>
      <c r="M445">
        <f>HYPERLINK("https://www.google.com/maps/search/?api=1&amp;query=-12.308772,-76.83646","Carretera Panamericana Sur, Punta Hermosa, Lima")</f>
      </c>
      <c r="N445" t="str">
        <v>Acelerado y giro brusco</v>
      </c>
      <c r="O445">
        <v>731.2</v>
      </c>
      <c r="P445" t="str">
        <v/>
      </c>
      <c r="Q445">
        <v>66.4</v>
      </c>
      <c r="R445">
        <v>28</v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>
        <v>88</v>
      </c>
      <c r="AA445" t="str">
        <v>17/09/2026</v>
      </c>
      <c r="AB445" t="str">
        <v>13:02:19</v>
      </c>
      <c r="AC445">
        <f>IF("ONLINE"="NOGPS","GPS Antiguo","En línea")</f>
      </c>
      <c r="AD445">
        <f>IF(0=0,"Sin atender", IF(0=1,"Atendida","Atendida y Reportada"))</f>
      </c>
      <c r="AE445" t="str">
        <v/>
      </c>
      <c r="AF445" t="str">
        <v/>
      </c>
      <c r="AG445" t="str">
        <v/>
      </c>
      <c r="AH445" t="str">
        <v/>
      </c>
      <c r="AI445" t="str">
        <v>17/09/2026 13:02:39</v>
      </c>
      <c r="AJ445" t="str">
        <v>13:02:39</v>
      </c>
      <c r="AK445" t="str">
        <v/>
      </c>
    </row>
    <row r="446">
      <c r="A446">
        <v>445</v>
      </c>
      <c r="B446" t="str">
        <v>MASS BSF</v>
      </c>
      <c r="C446" t="str">
        <v>F8R-810</v>
      </c>
      <c r="D446" t="str">
        <v>F8R-810</v>
      </c>
      <c r="E446" t="str">
        <v>867806078868827</v>
      </c>
      <c r="F446" t="str">
        <v>TBD</v>
      </c>
      <c r="G446" t="str">
        <v/>
      </c>
      <c r="H446" t="str">
        <v/>
      </c>
      <c r="I446" t="str">
        <v>17/09/2026</v>
      </c>
      <c r="J446" t="str">
        <v>13:02:27</v>
      </c>
      <c r="K446">
        <v>-12.309475</v>
      </c>
      <c r="L446">
        <v>-76.83598</v>
      </c>
      <c r="M446">
        <f>HYPERLINK("https://www.google.com/maps/search/?api=1&amp;query=-12.309475,-76.83598","Carretera Panamericana Sur, Punta Hermosa, Lima")</f>
      </c>
      <c r="N446" t="str">
        <v>Aceleración brusca</v>
      </c>
      <c r="O446">
        <v>731.3</v>
      </c>
      <c r="P446" t="str">
        <v/>
      </c>
      <c r="Q446">
        <v>67.9</v>
      </c>
      <c r="R446">
        <v>28</v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>
        <v>88</v>
      </c>
      <c r="AA446" t="str">
        <v>17/09/2026</v>
      </c>
      <c r="AB446" t="str">
        <v>13:02:24</v>
      </c>
      <c r="AC446">
        <f>IF("ONLINE"="NOGPS","GPS Antiguo","En línea")</f>
      </c>
      <c r="AD446">
        <f>IF(0=0,"Sin atender", IF(0=1,"Atendida","Atendida y Reportada"))</f>
      </c>
      <c r="AE446" t="str">
        <v/>
      </c>
      <c r="AF446" t="str">
        <v/>
      </c>
      <c r="AG446" t="str">
        <v/>
      </c>
      <c r="AH446" t="str">
        <v/>
      </c>
      <c r="AI446" t="str">
        <v>17/09/2026 13:02:39</v>
      </c>
      <c r="AJ446" t="str">
        <v>13:02:39</v>
      </c>
      <c r="AK446" t="str">
        <v/>
      </c>
    </row>
    <row r="447">
      <c r="A447">
        <v>446</v>
      </c>
      <c r="B447" t="str">
        <v>MASS BSF</v>
      </c>
      <c r="C447" t="str">
        <v>F8R-810</v>
      </c>
      <c r="D447" t="str">
        <v>F8R-810</v>
      </c>
      <c r="E447" t="str">
        <v>867806078868827</v>
      </c>
      <c r="F447" t="str">
        <v>TBD</v>
      </c>
      <c r="G447" t="str">
        <v/>
      </c>
      <c r="H447" t="str">
        <v/>
      </c>
      <c r="I447" t="str">
        <v>17/09/2026</v>
      </c>
      <c r="J447" t="str">
        <v>13:02:59</v>
      </c>
      <c r="K447">
        <v>-12.314089</v>
      </c>
      <c r="L447">
        <v>-76.8329</v>
      </c>
      <c r="M447">
        <f>HYPERLINK("https://www.google.com/maps/search/?api=1&amp;query=-12.314089,-76.8329","Carretera Panamericana Sur, Punta Hermosa, Lima")</f>
      </c>
      <c r="N447" t="str">
        <v>Acelerado y giro brusco</v>
      </c>
      <c r="O447">
        <v>731.9</v>
      </c>
      <c r="P447" t="str">
        <v/>
      </c>
      <c r="Q447">
        <v>64</v>
      </c>
      <c r="R447">
        <v>28</v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>
        <v>88</v>
      </c>
      <c r="AA447" t="str">
        <v>17/09/2026</v>
      </c>
      <c r="AB447" t="str">
        <v>13:02:56</v>
      </c>
      <c r="AC447">
        <f>IF("ONLINE"="NOGPS","GPS Antiguo","En línea")</f>
      </c>
      <c r="AD447">
        <f>IF(0=0,"Sin atender", IF(0=1,"Atendida","Atendida y Reportada"))</f>
      </c>
      <c r="AE447" t="str">
        <v/>
      </c>
      <c r="AF447" t="str">
        <v/>
      </c>
      <c r="AG447" t="str">
        <v/>
      </c>
      <c r="AH447" t="str">
        <v/>
      </c>
      <c r="AI447" t="str">
        <v>17/09/2026 13:03:21</v>
      </c>
      <c r="AJ447" t="str">
        <v>13:03:21</v>
      </c>
      <c r="AK447" t="str">
        <v/>
      </c>
    </row>
    <row r="448">
      <c r="A448">
        <v>447</v>
      </c>
      <c r="B448" t="str">
        <v>MASS BSF</v>
      </c>
      <c r="C448" t="str">
        <v>F8R-810</v>
      </c>
      <c r="D448" t="str">
        <v>F8R-810</v>
      </c>
      <c r="E448" t="str">
        <v>867806078868827</v>
      </c>
      <c r="F448" t="str">
        <v>TBD</v>
      </c>
      <c r="G448" t="str">
        <v/>
      </c>
      <c r="H448" t="str">
        <v/>
      </c>
      <c r="I448" t="str">
        <v>17/09/2026</v>
      </c>
      <c r="J448" t="str">
        <v>13:03:21</v>
      </c>
      <c r="K448">
        <v>-12.317079</v>
      </c>
      <c r="L448">
        <v>-76.830894</v>
      </c>
      <c r="M448">
        <f>HYPERLINK("https://www.google.com/maps/search/?api=1&amp;query=-12.317079,-76.830894","Carretera Panamericana Sur, Punta Hermosa, Lima")</f>
      </c>
      <c r="N448" t="str">
        <v>Acelerado y giro brusco</v>
      </c>
      <c r="O448">
        <v>732.3</v>
      </c>
      <c r="P448" t="str">
        <v/>
      </c>
      <c r="Q448">
        <v>69</v>
      </c>
      <c r="R448">
        <v>28</v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>
        <v>88</v>
      </c>
      <c r="AA448" t="str">
        <v>17/09/2026</v>
      </c>
      <c r="AB448" t="str">
        <v>13:03:18</v>
      </c>
      <c r="AC448">
        <f>IF("ONLINE"="NOGPS","GPS Antiguo","En línea")</f>
      </c>
      <c r="AD448">
        <f>IF(0=0,"Sin atender", IF(0=1,"Atendida","Atendida y Reportada"))</f>
      </c>
      <c r="AE448" t="str">
        <v/>
      </c>
      <c r="AF448" t="str">
        <v/>
      </c>
      <c r="AG448" t="str">
        <v/>
      </c>
      <c r="AH448" t="str">
        <v/>
      </c>
      <c r="AI448" t="str">
        <v>17/09/2026 13:03:31</v>
      </c>
      <c r="AJ448" t="str">
        <v>13:03:31</v>
      </c>
      <c r="AK448" t="str">
        <v/>
      </c>
    </row>
    <row r="449">
      <c r="A449">
        <v>448</v>
      </c>
      <c r="B449" t="str">
        <v>MASS BSF</v>
      </c>
      <c r="C449" t="str">
        <v>F8R-810</v>
      </c>
      <c r="D449" t="str">
        <v>F8R-810</v>
      </c>
      <c r="E449" t="str">
        <v>867806078868827</v>
      </c>
      <c r="F449" t="str">
        <v>TBD</v>
      </c>
      <c r="G449" t="str">
        <v/>
      </c>
      <c r="H449" t="str">
        <v/>
      </c>
      <c r="I449" t="str">
        <v>17/09/2026</v>
      </c>
      <c r="J449" t="str">
        <v>13:03:57</v>
      </c>
      <c r="K449">
        <v>-12.322677</v>
      </c>
      <c r="L449">
        <v>-76.82716</v>
      </c>
      <c r="M449">
        <f>HYPERLINK("https://www.google.com/maps/search/?api=1&amp;query=-12.322677,-76.82716","Carretera Panamericana Sur, Punta Hermosa, Lima")</f>
      </c>
      <c r="N449" t="str">
        <v>Aceleración brusca</v>
      </c>
      <c r="O449">
        <v>733</v>
      </c>
      <c r="P449" t="str">
        <v/>
      </c>
      <c r="Q449">
        <v>73.5</v>
      </c>
      <c r="R449">
        <v>28</v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>
        <v>85</v>
      </c>
      <c r="AA449" t="str">
        <v>17/09/2026</v>
      </c>
      <c r="AB449" t="str">
        <v>13:03:54</v>
      </c>
      <c r="AC449">
        <f>IF("ONLINE"="NOGPS","GPS Antiguo","En línea")</f>
      </c>
      <c r="AD449">
        <f>IF(0=0,"Sin atender", IF(0=1,"Atendida","Atendida y Reportada"))</f>
      </c>
      <c r="AE449" t="str">
        <v/>
      </c>
      <c r="AF449" t="str">
        <v/>
      </c>
      <c r="AG449" t="str">
        <v/>
      </c>
      <c r="AH449" t="str">
        <v/>
      </c>
      <c r="AI449" t="str">
        <v>17/09/2026 13:04:12</v>
      </c>
      <c r="AJ449" t="str">
        <v>13:04:12</v>
      </c>
      <c r="AK449" t="str">
        <v/>
      </c>
    </row>
    <row r="450">
      <c r="A450">
        <v>449</v>
      </c>
      <c r="B450" t="str">
        <v>MASS BSF</v>
      </c>
      <c r="C450" t="str">
        <v>F8R-810</v>
      </c>
      <c r="D450" t="str">
        <v>F8R-810</v>
      </c>
      <c r="E450" t="str">
        <v>867806078868827</v>
      </c>
      <c r="F450" t="str">
        <v>TBD</v>
      </c>
      <c r="G450" t="str">
        <v/>
      </c>
      <c r="H450" t="str">
        <v/>
      </c>
      <c r="I450" t="str">
        <v>17/09/2026</v>
      </c>
      <c r="J450" t="str">
        <v>13:04:48</v>
      </c>
      <c r="K450">
        <v>-12.330942</v>
      </c>
      <c r="L450">
        <v>-76.82161</v>
      </c>
      <c r="M450">
        <f>HYPERLINK("https://www.google.com/maps/search/?api=1&amp;query=-12.330942,-76.82161","Carretera Panamericana Sur, Punta Hermosa, Lima")</f>
      </c>
      <c r="N450" t="str">
        <v>Aceleración brusca</v>
      </c>
      <c r="O450">
        <v>734.1</v>
      </c>
      <c r="P450" t="str">
        <v/>
      </c>
      <c r="Q450">
        <v>84.6</v>
      </c>
      <c r="R450">
        <v>28</v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>
        <v>85</v>
      </c>
      <c r="AA450" t="str">
        <v>17/09/2026</v>
      </c>
      <c r="AB450" t="str">
        <v>13:04:45</v>
      </c>
      <c r="AC450">
        <f>IF("ONLINE"="NOGPS","GPS Antiguo","En línea")</f>
      </c>
      <c r="AD450">
        <f>IF(0=0,"Sin atender", IF(0=1,"Atendida","Atendida y Reportada"))</f>
      </c>
      <c r="AE450" t="str">
        <v/>
      </c>
      <c r="AF450" t="str">
        <v/>
      </c>
      <c r="AG450" t="str">
        <v/>
      </c>
      <c r="AH450" t="str">
        <v/>
      </c>
      <c r="AI450" t="str">
        <v>17/09/2026 13:04:53</v>
      </c>
      <c r="AJ450" t="str">
        <v>13:04:53</v>
      </c>
      <c r="AK450" t="str">
        <v/>
      </c>
    </row>
    <row r="451">
      <c r="A451">
        <v>450</v>
      </c>
      <c r="B451" t="str">
        <v>MASS BSF</v>
      </c>
      <c r="C451" t="str">
        <v>F8R-810</v>
      </c>
      <c r="D451" t="str">
        <v>F8R-810</v>
      </c>
      <c r="E451" t="str">
        <v>867806078868827</v>
      </c>
      <c r="F451" t="str">
        <v>TBD</v>
      </c>
      <c r="G451" t="str">
        <v/>
      </c>
      <c r="H451" t="str">
        <v/>
      </c>
      <c r="I451" t="str">
        <v>17/09/2026</v>
      </c>
      <c r="J451" t="str">
        <v>13:04:54</v>
      </c>
      <c r="K451">
        <v>-12.332191</v>
      </c>
      <c r="L451">
        <v>-76.8208</v>
      </c>
      <c r="M451">
        <f>HYPERLINK("https://www.google.com/maps/search/?api=1&amp;query=-12.332191,-76.8208","Carretera Panamericana Sur, Punta Hermosa, Lima")</f>
      </c>
      <c r="N451" t="str">
        <v>Exceso de velocidad en segmento vial</v>
      </c>
      <c r="O451">
        <v>734.3</v>
      </c>
      <c r="P451" t="str">
        <v/>
      </c>
      <c r="Q451">
        <v>83.8</v>
      </c>
      <c r="R451">
        <v>28</v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>
        <v>85</v>
      </c>
      <c r="AA451" t="str">
        <v>17/09/2026</v>
      </c>
      <c r="AB451" t="str">
        <v>13:04:52</v>
      </c>
      <c r="AC451">
        <f>IF("ONLINE"="NOGPS","GPS Antiguo","En línea")</f>
      </c>
      <c r="AD451">
        <f>IF(0=0,"Sin atender", IF(0=1,"Atendida","Atendida y Reportada"))</f>
      </c>
      <c r="AE451" t="str">
        <v/>
      </c>
      <c r="AF451" t="str">
        <v/>
      </c>
      <c r="AG451" t="str">
        <v/>
      </c>
      <c r="AH451" t="str">
        <v/>
      </c>
      <c r="AI451" t="str">
        <v>17/09/2026 13:05:12</v>
      </c>
      <c r="AJ451" t="str">
        <v>13:05:12</v>
      </c>
      <c r="AK451" t="str">
        <v/>
      </c>
    </row>
    <row r="452">
      <c r="A452">
        <v>451</v>
      </c>
      <c r="B452" t="str">
        <v>MASS BSF</v>
      </c>
      <c r="C452" t="str">
        <v>F8R-810</v>
      </c>
      <c r="D452" t="str">
        <v>F8R-810</v>
      </c>
      <c r="E452" t="str">
        <v>867806078868827</v>
      </c>
      <c r="F452" t="str">
        <v>TBD</v>
      </c>
      <c r="G452" t="str">
        <v/>
      </c>
      <c r="H452" t="str">
        <v/>
      </c>
      <c r="I452" t="str">
        <v>17/09/2026</v>
      </c>
      <c r="J452" t="str">
        <v>13:04:55</v>
      </c>
      <c r="K452">
        <v>-12.332191</v>
      </c>
      <c r="L452">
        <v>-76.8208</v>
      </c>
      <c r="M452">
        <f>HYPERLINK("https://www.google.com/maps/search/?api=1&amp;query=-12.332191,-76.8208","Carretera Panamericana Sur, Punta Hermosa, Lima")</f>
      </c>
      <c r="N452" t="str">
        <v>Aceleración brusca</v>
      </c>
      <c r="O452">
        <v>734.3</v>
      </c>
      <c r="P452" t="str">
        <v/>
      </c>
      <c r="Q452">
        <v>83.8</v>
      </c>
      <c r="R452">
        <v>28</v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>
        <v>85</v>
      </c>
      <c r="AA452" t="str">
        <v>17/09/2026</v>
      </c>
      <c r="AB452" t="str">
        <v>13:04:52</v>
      </c>
      <c r="AC452">
        <f>IF("ONLINE"="NOGPS","GPS Antiguo","En línea")</f>
      </c>
      <c r="AD452">
        <f>IF(0=0,"Sin atender", IF(0=1,"Atendida","Atendida y Reportada"))</f>
      </c>
      <c r="AE452" t="str">
        <v/>
      </c>
      <c r="AF452" t="str">
        <v/>
      </c>
      <c r="AG452" t="str">
        <v/>
      </c>
      <c r="AH452" t="str">
        <v/>
      </c>
      <c r="AI452" t="str">
        <v>17/09/2026 13:05:13</v>
      </c>
      <c r="AJ452" t="str">
        <v>13:05:13</v>
      </c>
      <c r="AK452" t="str">
        <v/>
      </c>
    </row>
    <row r="453">
      <c r="A453">
        <v>452</v>
      </c>
      <c r="B453" t="str">
        <v>MASS BSF</v>
      </c>
      <c r="C453" t="str">
        <v>F8R-810</v>
      </c>
      <c r="D453" t="str">
        <v>F8R-810</v>
      </c>
      <c r="E453" t="str">
        <v>867806078868827</v>
      </c>
      <c r="F453" t="str">
        <v>TBD</v>
      </c>
      <c r="G453" t="str">
        <v/>
      </c>
      <c r="H453" t="str">
        <v/>
      </c>
      <c r="I453" t="str">
        <v>17/09/2026</v>
      </c>
      <c r="J453" t="str">
        <v>13:05:10</v>
      </c>
      <c r="K453">
        <v>-12.3346</v>
      </c>
      <c r="L453">
        <v>-76.81925</v>
      </c>
      <c r="M453">
        <f>HYPERLINK("https://www.google.com/maps/search/?api=1&amp;query=-12.3346,-76.81925","Carretera Panamericana Sur, Punta Hermosa, Lima")</f>
      </c>
      <c r="N453" t="str">
        <v>Aceleración brusca</v>
      </c>
      <c r="O453">
        <v>734.6</v>
      </c>
      <c r="P453" t="str">
        <v/>
      </c>
      <c r="Q453">
        <v>62.9</v>
      </c>
      <c r="R453">
        <v>28</v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>
        <v>85</v>
      </c>
      <c r="AA453" t="str">
        <v>17/09/2026</v>
      </c>
      <c r="AB453" t="str">
        <v>13:05:07</v>
      </c>
      <c r="AC453">
        <f>IF("ONLINE"="NOGPS","GPS Antiguo","En línea")</f>
      </c>
      <c r="AD453">
        <f>IF(0=0,"Sin atender", IF(0=1,"Atendida","Atendida y Reportada"))</f>
      </c>
      <c r="AE453" t="str">
        <v/>
      </c>
      <c r="AF453" t="str">
        <v/>
      </c>
      <c r="AG453" t="str">
        <v/>
      </c>
      <c r="AH453" t="str">
        <v/>
      </c>
      <c r="AI453" t="str">
        <v>17/09/2026 13:05:24</v>
      </c>
      <c r="AJ453" t="str">
        <v>13:05:24</v>
      </c>
      <c r="AK453" t="str">
        <v/>
      </c>
    </row>
    <row r="454">
      <c r="A454">
        <v>453</v>
      </c>
      <c r="B454" t="str">
        <v>MASS BSF</v>
      </c>
      <c r="C454" t="str">
        <v>F8R-810</v>
      </c>
      <c r="D454" t="str">
        <v>F8R-810</v>
      </c>
      <c r="E454" t="str">
        <v>867806078868827</v>
      </c>
      <c r="F454" t="str">
        <v>TBD</v>
      </c>
      <c r="G454" t="str">
        <v/>
      </c>
      <c r="H454" t="str">
        <v/>
      </c>
      <c r="I454" t="str">
        <v>17/09/2026</v>
      </c>
      <c r="J454" t="str">
        <v>13:05:12</v>
      </c>
      <c r="K454">
        <v>-12.334996</v>
      </c>
      <c r="L454">
        <v>-76.81903</v>
      </c>
      <c r="M454">
        <f>HYPERLINK("https://www.google.com/maps/search/?api=1&amp;query=-12.334996,-76.81903","Carretera Panamericana Sur, Punta Hermosa, Lima")</f>
      </c>
      <c r="N454" t="str">
        <v>Bache</v>
      </c>
      <c r="O454">
        <v>734.6</v>
      </c>
      <c r="P454" t="str">
        <v/>
      </c>
      <c r="Q454">
        <v>57.7</v>
      </c>
      <c r="R454">
        <v>28</v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>
        <v>85</v>
      </c>
      <c r="AA454" t="str">
        <v>17/09/2026</v>
      </c>
      <c r="AB454" t="str">
        <v>13:05:10</v>
      </c>
      <c r="AC454">
        <f>IF("ONLINE"="NOGPS","GPS Antiguo","En línea")</f>
      </c>
      <c r="AD454">
        <f>IF(0=0,"Sin atender", IF(0=1,"Atendida","Atendida y Reportada"))</f>
      </c>
      <c r="AE454" t="str">
        <v/>
      </c>
      <c r="AF454" t="str">
        <v/>
      </c>
      <c r="AG454" t="str">
        <v/>
      </c>
      <c r="AH454" t="str">
        <v/>
      </c>
      <c r="AI454" t="str">
        <v>17/09/2026 13:05:24</v>
      </c>
      <c r="AJ454" t="str">
        <v>13:05:24</v>
      </c>
      <c r="AK454" t="str">
        <v/>
      </c>
    </row>
    <row r="455">
      <c r="A455">
        <v>454</v>
      </c>
      <c r="B455" t="str">
        <v>MASS BSF</v>
      </c>
      <c r="C455" t="str">
        <v>F8R-810</v>
      </c>
      <c r="D455" t="str">
        <v>F8R-810</v>
      </c>
      <c r="E455" t="str">
        <v>867806078868827</v>
      </c>
      <c r="F455" t="str">
        <v>TBD</v>
      </c>
      <c r="G455" t="str">
        <v/>
      </c>
      <c r="H455" t="str">
        <v/>
      </c>
      <c r="I455" t="str">
        <v>17/09/2026</v>
      </c>
      <c r="J455" t="str">
        <v>13:05:13</v>
      </c>
      <c r="K455">
        <v>-12.334996</v>
      </c>
      <c r="L455">
        <v>-76.81903</v>
      </c>
      <c r="M455">
        <f>HYPERLINK("https://www.google.com/maps/search/?api=1&amp;query=-12.334996,-76.81903","Carretera Panamericana Sur, Punta Hermosa, Lima")</f>
      </c>
      <c r="N455" t="str">
        <v>Acelerado y giro brusco</v>
      </c>
      <c r="O455">
        <v>734.6</v>
      </c>
      <c r="P455" t="str">
        <v/>
      </c>
      <c r="Q455">
        <v>57.7</v>
      </c>
      <c r="R455">
        <v>28</v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>
        <v>85</v>
      </c>
      <c r="AA455" t="str">
        <v>17/09/2026</v>
      </c>
      <c r="AB455" t="str">
        <v>13:05:10</v>
      </c>
      <c r="AC455">
        <f>IF("ONLINE"="NOGPS","GPS Antiguo","En línea")</f>
      </c>
      <c r="AD455">
        <f>IF(0=0,"Sin atender", IF(0=1,"Atendida","Atendida y Reportada"))</f>
      </c>
      <c r="AE455" t="str">
        <v/>
      </c>
      <c r="AF455" t="str">
        <v/>
      </c>
      <c r="AG455" t="str">
        <v/>
      </c>
      <c r="AH455" t="str">
        <v/>
      </c>
      <c r="AI455" t="str">
        <v>17/09/2026 13:05:31</v>
      </c>
      <c r="AJ455" t="str">
        <v>13:05:31</v>
      </c>
      <c r="AK455" t="str">
        <v/>
      </c>
    </row>
    <row r="456">
      <c r="A456">
        <v>455</v>
      </c>
      <c r="B456" t="str">
        <v>MASS BSF</v>
      </c>
      <c r="C456" t="str">
        <v>F8R-810</v>
      </c>
      <c r="D456" t="str">
        <v>F8R-810</v>
      </c>
      <c r="E456" t="str">
        <v>867806078868827</v>
      </c>
      <c r="F456" t="str">
        <v>TBD</v>
      </c>
      <c r="G456" t="str">
        <v/>
      </c>
      <c r="H456" t="str">
        <v/>
      </c>
      <c r="I456" t="str">
        <v>17/09/2026</v>
      </c>
      <c r="J456" t="str">
        <v>13:05:22</v>
      </c>
      <c r="K456">
        <v>-12.335805</v>
      </c>
      <c r="L456">
        <v>-76.81888</v>
      </c>
      <c r="M456">
        <f>HYPERLINK("https://www.google.com/maps/search/?api=1&amp;query=-12.335805,-76.81888","Antigua Panamericana Sur, Punta Hermosa, Lima")</f>
      </c>
      <c r="N456" t="str">
        <v>Aceleración brusca</v>
      </c>
      <c r="O456">
        <v>734.7</v>
      </c>
      <c r="P456" t="str">
        <v/>
      </c>
      <c r="Q456">
        <v>29.6</v>
      </c>
      <c r="R456">
        <v>28</v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>
        <v>85</v>
      </c>
      <c r="AA456" t="str">
        <v>17/09/2026</v>
      </c>
      <c r="AB456" t="str">
        <v>13:05:19</v>
      </c>
      <c r="AC456">
        <f>IF("ONLINE"="NOGPS","GPS Antiguo","En línea")</f>
      </c>
      <c r="AD456">
        <f>IF(0=0,"Sin atender", IF(0=1,"Atendida","Atendida y Reportada"))</f>
      </c>
      <c r="AE456" t="str">
        <v/>
      </c>
      <c r="AF456" t="str">
        <v/>
      </c>
      <c r="AG456" t="str">
        <v/>
      </c>
      <c r="AH456" t="str">
        <v/>
      </c>
      <c r="AI456" t="str">
        <v>17/09/2026 13:05:39</v>
      </c>
      <c r="AJ456" t="str">
        <v>13:05:39</v>
      </c>
      <c r="AK456" t="str">
        <v/>
      </c>
    </row>
    <row r="457">
      <c r="A457">
        <v>456</v>
      </c>
      <c r="B457" t="str">
        <v>MASS BSF</v>
      </c>
      <c r="C457" t="str">
        <v>F8R-810</v>
      </c>
      <c r="D457" t="str">
        <v>F8R-810</v>
      </c>
      <c r="E457" t="str">
        <v>867806078868827</v>
      </c>
      <c r="F457" t="str">
        <v>TBD</v>
      </c>
      <c r="G457" t="str">
        <v/>
      </c>
      <c r="H457" t="str">
        <v/>
      </c>
      <c r="I457" t="str">
        <v>17/09/2026</v>
      </c>
      <c r="J457" t="str">
        <v>13:05:36</v>
      </c>
      <c r="K457">
        <v>-12.335203</v>
      </c>
      <c r="L457">
        <v>-76.81958</v>
      </c>
      <c r="M457">
        <f>HYPERLINK("https://www.google.com/maps/search/?api=1&amp;query=-12.335203,-76.81958","Antigua Panamericana Sur, Punta Hermosa, Lima")</f>
      </c>
      <c r="N457" t="str">
        <v>Acelerado y giro brusco</v>
      </c>
      <c r="O457">
        <v>734.9</v>
      </c>
      <c r="P457" t="str">
        <v/>
      </c>
      <c r="Q457">
        <v>36.1</v>
      </c>
      <c r="R457">
        <v>28</v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>
        <v>93</v>
      </c>
      <c r="AA457" t="str">
        <v>17/09/2026</v>
      </c>
      <c r="AB457" t="str">
        <v>13:05:33</v>
      </c>
      <c r="AC457">
        <f>IF("ONLINE"="NOGPS","GPS Antiguo","En línea")</f>
      </c>
      <c r="AD457">
        <f>IF(0=0,"Sin atender", IF(0=1,"Atendida","Atendida y Reportada"))</f>
      </c>
      <c r="AE457" t="str">
        <v/>
      </c>
      <c r="AF457" t="str">
        <v/>
      </c>
      <c r="AG457" t="str">
        <v/>
      </c>
      <c r="AH457" t="str">
        <v/>
      </c>
      <c r="AI457" t="str">
        <v>17/09/2026 13:05:53</v>
      </c>
      <c r="AJ457" t="str">
        <v>13:05:53</v>
      </c>
      <c r="AK457" t="str">
        <v/>
      </c>
    </row>
    <row r="458">
      <c r="A458">
        <v>457</v>
      </c>
      <c r="B458" t="str">
        <v>MASS BSF</v>
      </c>
      <c r="C458" t="str">
        <v>F8R-810</v>
      </c>
      <c r="D458" t="str">
        <v>F8R-810</v>
      </c>
      <c r="E458" t="str">
        <v>867806078868827</v>
      </c>
      <c r="F458" t="str">
        <v>TBD</v>
      </c>
      <c r="G458" t="str">
        <v/>
      </c>
      <c r="H458" t="str">
        <v/>
      </c>
      <c r="I458" t="str">
        <v>17/09/2026</v>
      </c>
      <c r="J458" t="str">
        <v>13:05:42</v>
      </c>
      <c r="K458">
        <v>-12.334858</v>
      </c>
      <c r="L458">
        <v>-76.81982</v>
      </c>
      <c r="M458">
        <f>HYPERLINK("https://www.google.com/maps/search/?api=1&amp;query=-12.334858,-76.81982","Antigua Panamericana Sur, Punta Hermosa, Lima")</f>
      </c>
      <c r="N458" t="str">
        <v>Bache</v>
      </c>
      <c r="O458">
        <v>734.9</v>
      </c>
      <c r="P458" t="str">
        <v/>
      </c>
      <c r="Q458">
        <v>23.3</v>
      </c>
      <c r="R458">
        <v>28</v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>
        <v>93</v>
      </c>
      <c r="AA458" t="str">
        <v>17/09/2026</v>
      </c>
      <c r="AB458" t="str">
        <v>13:05:39</v>
      </c>
      <c r="AC458">
        <f>IF("ONLINE"="NOGPS","GPS Antiguo","En línea")</f>
      </c>
      <c r="AD458">
        <f>IF(0=0,"Sin atender", IF(0=1,"Atendida","Atendida y Reportada"))</f>
      </c>
      <c r="AE458" t="str">
        <v/>
      </c>
      <c r="AF458" t="str">
        <v/>
      </c>
      <c r="AG458" t="str">
        <v/>
      </c>
      <c r="AH458" t="str">
        <v/>
      </c>
      <c r="AI458" t="str">
        <v>17/09/2026 13:06:06</v>
      </c>
      <c r="AJ458" t="str">
        <v>13:06:06</v>
      </c>
      <c r="AK458" t="str">
        <v/>
      </c>
    </row>
    <row r="459">
      <c r="A459">
        <v>458</v>
      </c>
      <c r="B459" t="str">
        <v>MASS BSF</v>
      </c>
      <c r="C459" t="str">
        <v>F8R-810</v>
      </c>
      <c r="D459" t="str">
        <v>F8R-810</v>
      </c>
      <c r="E459" t="str">
        <v>867806078868827</v>
      </c>
      <c r="F459" t="str">
        <v>TBD</v>
      </c>
      <c r="G459" t="str">
        <v/>
      </c>
      <c r="H459" t="str">
        <v/>
      </c>
      <c r="I459" t="str">
        <v>17/09/2026</v>
      </c>
      <c r="J459" t="str">
        <v>13:05:54</v>
      </c>
      <c r="K459">
        <v>-12.334032</v>
      </c>
      <c r="L459">
        <v>-76.82039</v>
      </c>
      <c r="M459">
        <f>HYPERLINK("https://www.google.com/maps/search/?api=1&amp;query=-12.334032,-76.82039","Antigua Panamericana Sur, Punta Hermosa, Lima")</f>
      </c>
      <c r="N459" t="str">
        <v>Acelerado y giro brusco</v>
      </c>
      <c r="O459">
        <v>735</v>
      </c>
      <c r="P459" t="str">
        <v/>
      </c>
      <c r="Q459">
        <v>35.5</v>
      </c>
      <c r="R459">
        <v>28</v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>
        <v>93</v>
      </c>
      <c r="AA459" t="str">
        <v>17/09/2026</v>
      </c>
      <c r="AB459" t="str">
        <v>13:05:51</v>
      </c>
      <c r="AC459">
        <f>IF("ONLINE"="NOGPS","GPS Antiguo","En línea")</f>
      </c>
      <c r="AD459">
        <f>IF(0=0,"Sin atender", IF(0=1,"Atendida","Atendida y Reportada"))</f>
      </c>
      <c r="AE459" t="str">
        <v/>
      </c>
      <c r="AF459" t="str">
        <v/>
      </c>
      <c r="AG459" t="str">
        <v/>
      </c>
      <c r="AH459" t="str">
        <v/>
      </c>
      <c r="AI459" t="str">
        <v>17/09/2026 13:06:02</v>
      </c>
      <c r="AJ459" t="str">
        <v>13:06:02</v>
      </c>
      <c r="AK459" t="str">
        <v/>
      </c>
    </row>
    <row r="460">
      <c r="A460">
        <v>459</v>
      </c>
      <c r="B460" t="str">
        <v>MASS BSF</v>
      </c>
      <c r="C460" t="str">
        <v>F8R-810</v>
      </c>
      <c r="D460" t="str">
        <v>F8R-810</v>
      </c>
      <c r="E460" t="str">
        <v>867806078868827</v>
      </c>
      <c r="F460" t="str">
        <v>TBD</v>
      </c>
      <c r="G460" t="str">
        <v/>
      </c>
      <c r="H460" t="str">
        <v/>
      </c>
      <c r="I460" t="str">
        <v>17/09/2026</v>
      </c>
      <c r="J460" t="str">
        <v>13:06:00</v>
      </c>
      <c r="K460">
        <v>-12.333736</v>
      </c>
      <c r="L460">
        <v>-76.8205</v>
      </c>
      <c r="M460">
        <f>HYPERLINK("https://www.google.com/maps/search/?api=1&amp;query=-12.333736,-76.8205","Antigua Panamericana Sur, Punta Hermosa, Lima")</f>
      </c>
      <c r="N460" t="str">
        <v>Acelerado y giro brusco</v>
      </c>
      <c r="O460">
        <v>735</v>
      </c>
      <c r="P460" t="str">
        <v/>
      </c>
      <c r="Q460">
        <v>14.6</v>
      </c>
      <c r="R460">
        <v>28</v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>
        <v>93</v>
      </c>
      <c r="AA460" t="str">
        <v>17/09/2026</v>
      </c>
      <c r="AB460" t="str">
        <v>13:05:57</v>
      </c>
      <c r="AC460">
        <f>IF("ONLINE"="NOGPS","GPS Antiguo","En línea")</f>
      </c>
      <c r="AD460">
        <f>IF(0=0,"Sin atender", IF(0=1,"Atendida","Atendida y Reportada"))</f>
      </c>
      <c r="AE460" t="str">
        <v/>
      </c>
      <c r="AF460" t="str">
        <v/>
      </c>
      <c r="AG460" t="str">
        <v/>
      </c>
      <c r="AH460" t="str">
        <v/>
      </c>
      <c r="AI460" t="str">
        <v>17/09/2026 13:06:05</v>
      </c>
      <c r="AJ460" t="str">
        <v>13:06:05</v>
      </c>
      <c r="AK460" t="str">
        <v/>
      </c>
    </row>
    <row r="461">
      <c r="A461">
        <v>460</v>
      </c>
      <c r="B461" t="str">
        <v>MASS BSF</v>
      </c>
      <c r="C461" t="str">
        <v>F8R-810</v>
      </c>
      <c r="D461" t="str">
        <v>F8R-810</v>
      </c>
      <c r="E461" t="str">
        <v>867806078868827</v>
      </c>
      <c r="F461" t="str">
        <v>TBD</v>
      </c>
      <c r="G461" t="str">
        <v/>
      </c>
      <c r="H461" t="str">
        <v/>
      </c>
      <c r="I461" t="str">
        <v>17/09/2026</v>
      </c>
      <c r="J461" t="str">
        <v>13:06:11</v>
      </c>
      <c r="K461">
        <v>-12.333611</v>
      </c>
      <c r="L461">
        <v>-76.81976</v>
      </c>
      <c r="M461">
        <f>HYPERLINK("https://www.google.com/maps/search/?api=1&amp;query=-12.333611,-76.81976","Carretera Panamericana Sur, Punta Hermosa, Lima")</f>
      </c>
      <c r="N461" t="str">
        <v>Acelerado y giro brusco</v>
      </c>
      <c r="O461">
        <v>735.1</v>
      </c>
      <c r="P461" t="str">
        <v/>
      </c>
      <c r="Q461">
        <v>33.3</v>
      </c>
      <c r="R461">
        <v>28</v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>
        <v>87</v>
      </c>
      <c r="AA461" t="str">
        <v>17/09/2026</v>
      </c>
      <c r="AB461" t="str">
        <v>13:06:08</v>
      </c>
      <c r="AC461">
        <f>IF("ONLINE"="NOGPS","GPS Antiguo","En línea")</f>
      </c>
      <c r="AD461">
        <f>IF(0=0,"Sin atender", IF(0=1,"Atendida","Atendida y Reportada"))</f>
      </c>
      <c r="AE461" t="str">
        <v/>
      </c>
      <c r="AF461" t="str">
        <v/>
      </c>
      <c r="AG461" t="str">
        <v/>
      </c>
      <c r="AH461" t="str">
        <v/>
      </c>
      <c r="AI461" t="str">
        <v>17/09/2026 13:06:27</v>
      </c>
      <c r="AJ461" t="str">
        <v>13:06:27</v>
      </c>
      <c r="AK461" t="str">
        <v/>
      </c>
    </row>
    <row r="462">
      <c r="A462">
        <v>461</v>
      </c>
      <c r="B462" t="str">
        <v>MASS BSF</v>
      </c>
      <c r="C462" t="str">
        <v>F8R-810</v>
      </c>
      <c r="D462" t="str">
        <v>F8R-810</v>
      </c>
      <c r="E462" t="str">
        <v>867806078868827</v>
      </c>
      <c r="F462" t="str">
        <v>TBD</v>
      </c>
      <c r="G462" t="str">
        <v/>
      </c>
      <c r="H462" t="str">
        <v/>
      </c>
      <c r="I462" t="str">
        <v>17/09/2026</v>
      </c>
      <c r="J462" t="str">
        <v>13:06:15</v>
      </c>
      <c r="K462">
        <v>-12.33336</v>
      </c>
      <c r="L462">
        <v>-76.819595</v>
      </c>
      <c r="M462">
        <f>HYPERLINK("https://www.google.com/maps/search/?api=1&amp;query=-12.33336,-76.819595","Carretera Panamericana Sur, Punta Hermosa, Lima")</f>
      </c>
      <c r="N462" t="str">
        <v>Giro brusco</v>
      </c>
      <c r="O462">
        <v>735.2</v>
      </c>
      <c r="P462" t="str">
        <v/>
      </c>
      <c r="Q462">
        <v>31.2</v>
      </c>
      <c r="R462">
        <v>28</v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>
        <v>87</v>
      </c>
      <c r="AA462" t="str">
        <v>17/09/2026</v>
      </c>
      <c r="AB462" t="str">
        <v>13:06:12</v>
      </c>
      <c r="AC462">
        <f>IF("ONLINE"="NOGPS","GPS Antiguo","En línea")</f>
      </c>
      <c r="AD462">
        <f>IF(0=0,"Sin atender", IF(0=1,"Atendida","Atendida y Reportada"))</f>
      </c>
      <c r="AE462" t="str">
        <v/>
      </c>
      <c r="AF462" t="str">
        <v/>
      </c>
      <c r="AG462" t="str">
        <v/>
      </c>
      <c r="AH462" t="str">
        <v/>
      </c>
      <c r="AI462" t="str">
        <v>17/09/2026 13:06:31</v>
      </c>
      <c r="AJ462" t="str">
        <v>13:06:31</v>
      </c>
      <c r="AK462" t="str">
        <v/>
      </c>
    </row>
    <row r="463">
      <c r="A463">
        <v>462</v>
      </c>
      <c r="B463" t="str">
        <v>MASS BSF</v>
      </c>
      <c r="C463" t="str">
        <v>F8R-810</v>
      </c>
      <c r="D463" t="str">
        <v>F8R-810</v>
      </c>
      <c r="E463" t="str">
        <v>867806078868827</v>
      </c>
      <c r="F463" t="str">
        <v>TBD</v>
      </c>
      <c r="G463" t="str">
        <v/>
      </c>
      <c r="H463" t="str">
        <v/>
      </c>
      <c r="I463" t="str">
        <v>17/09/2026</v>
      </c>
      <c r="J463" t="str">
        <v>13:06:17</v>
      </c>
      <c r="K463">
        <v>-12.3332</v>
      </c>
      <c r="L463">
        <v>-76.819626</v>
      </c>
      <c r="M463">
        <f>HYPERLINK("https://www.google.com/maps/search/?api=1&amp;query=-12.3332,-76.819626","Punta Hermosa, Lima")</f>
      </c>
      <c r="N463" t="str">
        <v>Giro brusco</v>
      </c>
      <c r="O463">
        <v>735.2</v>
      </c>
      <c r="P463" t="str">
        <v/>
      </c>
      <c r="Q463">
        <v>33.5</v>
      </c>
      <c r="R463">
        <v>28</v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>
        <v>87</v>
      </c>
      <c r="AA463" t="str">
        <v>17/09/2026</v>
      </c>
      <c r="AB463" t="str">
        <v>13:06:14</v>
      </c>
      <c r="AC463">
        <f>IF("ONLINE"="NOGPS","GPS Antiguo","En línea")</f>
      </c>
      <c r="AD463">
        <f>IF(0=0,"Sin atender", IF(0=1,"Atendida","Atendida y Reportada"))</f>
      </c>
      <c r="AE463" t="str">
        <v/>
      </c>
      <c r="AF463" t="str">
        <v/>
      </c>
      <c r="AG463" t="str">
        <v/>
      </c>
      <c r="AH463" t="str">
        <v/>
      </c>
      <c r="AI463" t="str">
        <v>17/09/2026 13:06:31</v>
      </c>
      <c r="AJ463" t="str">
        <v>13:06:31</v>
      </c>
      <c r="AK463" t="str">
        <v/>
      </c>
    </row>
    <row r="464">
      <c r="A464">
        <v>463</v>
      </c>
      <c r="B464" t="str">
        <v>MASS BSF</v>
      </c>
      <c r="C464" t="str">
        <v>F8R-810</v>
      </c>
      <c r="D464" t="str">
        <v>F8R-810</v>
      </c>
      <c r="E464" t="str">
        <v>867806078868827</v>
      </c>
      <c r="F464" t="str">
        <v>TBD</v>
      </c>
      <c r="G464" t="str">
        <v/>
      </c>
      <c r="H464" t="str">
        <v/>
      </c>
      <c r="I464" t="str">
        <v>17/09/2026</v>
      </c>
      <c r="J464" t="str">
        <v>13:06:35</v>
      </c>
      <c r="K464">
        <v>-12.332</v>
      </c>
      <c r="L464">
        <v>-76.820656</v>
      </c>
      <c r="M464">
        <f>HYPERLINK("https://www.google.com/maps/search/?api=1&amp;query=-12.332,-76.820656","Carretera Panamericana Sur, Punta Hermosa, Lima")</f>
      </c>
      <c r="N464" t="str">
        <v>Acelerado y giro brusco</v>
      </c>
      <c r="O464">
        <v>735.4</v>
      </c>
      <c r="P464" t="str">
        <v/>
      </c>
      <c r="Q464">
        <v>39.6</v>
      </c>
      <c r="R464">
        <v>28</v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>
        <v>87</v>
      </c>
      <c r="AA464" t="str">
        <v>17/09/2026</v>
      </c>
      <c r="AB464" t="str">
        <v>13:06:32</v>
      </c>
      <c r="AC464">
        <f>IF("ONLINE"="NOGPS","GPS Antiguo","En línea")</f>
      </c>
      <c r="AD464">
        <f>IF(0=0,"Sin atender", IF(0=1,"Atendida","Atendida y Reportada"))</f>
      </c>
      <c r="AE464" t="str">
        <v/>
      </c>
      <c r="AF464" t="str">
        <v/>
      </c>
      <c r="AG464" t="str">
        <v/>
      </c>
      <c r="AH464" t="str">
        <v/>
      </c>
      <c r="AI464" t="str">
        <v>17/09/2026 13:06:57</v>
      </c>
      <c r="AJ464" t="str">
        <v>13:06:57</v>
      </c>
      <c r="AK464" t="str">
        <v/>
      </c>
    </row>
    <row r="465">
      <c r="A465">
        <v>464</v>
      </c>
      <c r="B465" t="str">
        <v>MASS BSF</v>
      </c>
      <c r="C465" t="str">
        <v>F8R-810</v>
      </c>
      <c r="D465" t="str">
        <v>F8R-810</v>
      </c>
      <c r="E465" t="str">
        <v>867806078868827</v>
      </c>
      <c r="F465" t="str">
        <v>TBD</v>
      </c>
      <c r="G465" t="str">
        <v/>
      </c>
      <c r="H465" t="str">
        <v/>
      </c>
      <c r="I465" t="str">
        <v>17/09/2026</v>
      </c>
      <c r="J465" t="str">
        <v>13:06:48</v>
      </c>
      <c r="K465">
        <v>-12.331077</v>
      </c>
      <c r="L465">
        <v>-76.82135</v>
      </c>
      <c r="M465">
        <f>HYPERLINK("https://www.google.com/maps/search/?api=1&amp;query=-12.331077,-76.82135","Carretera Panamericana Sur, Punta Hermosa, Lima")</f>
      </c>
      <c r="N465" t="str">
        <v>Acelerado y giro brusco</v>
      </c>
      <c r="O465">
        <v>735.5</v>
      </c>
      <c r="P465" t="str">
        <v/>
      </c>
      <c r="Q465">
        <v>36.2</v>
      </c>
      <c r="R465">
        <v>28</v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>
        <v>87</v>
      </c>
      <c r="AA465" t="str">
        <v>17/09/2026</v>
      </c>
      <c r="AB465" t="str">
        <v>13:06:45</v>
      </c>
      <c r="AC465">
        <f>IF("ONLINE"="NOGPS","GPS Antiguo","En línea")</f>
      </c>
      <c r="AD465">
        <f>IF(0=0,"Sin atender", IF(0=1,"Atendida","Atendida y Reportada"))</f>
      </c>
      <c r="AE465" t="str">
        <v/>
      </c>
      <c r="AF465" t="str">
        <v/>
      </c>
      <c r="AG465" t="str">
        <v/>
      </c>
      <c r="AH465" t="str">
        <v/>
      </c>
      <c r="AI465" t="str">
        <v>17/09/2026 13:06:57</v>
      </c>
      <c r="AJ465" t="str">
        <v>13:06:57</v>
      </c>
      <c r="AK465" t="str">
        <v/>
      </c>
    </row>
    <row r="466">
      <c r="A466">
        <v>465</v>
      </c>
      <c r="B466" t="str">
        <v>MASS BSF</v>
      </c>
      <c r="C466" t="str">
        <v>F8R-810</v>
      </c>
      <c r="D466" t="str">
        <v>F8R-810</v>
      </c>
      <c r="E466" t="str">
        <v>867806078868827</v>
      </c>
      <c r="F466" t="str">
        <v>TBD</v>
      </c>
      <c r="G466" t="str">
        <v/>
      </c>
      <c r="H466" t="str">
        <v/>
      </c>
      <c r="I466" t="str">
        <v>17/09/2026</v>
      </c>
      <c r="J466" t="str">
        <v>13:06:56</v>
      </c>
      <c r="K466">
        <v>-12.330435</v>
      </c>
      <c r="L466">
        <v>-76.82183</v>
      </c>
      <c r="M466">
        <f>HYPERLINK("https://www.google.com/maps/search/?api=1&amp;query=-12.330435,-76.82183","Carretera Panamericana Sur, Punta Hermosa, Lima")</f>
      </c>
      <c r="N466" t="str">
        <v>Aceleración brusca</v>
      </c>
      <c r="O466">
        <v>735.6</v>
      </c>
      <c r="P466" t="str">
        <v/>
      </c>
      <c r="Q466">
        <v>43.8</v>
      </c>
      <c r="R466">
        <v>28</v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>
        <v>87</v>
      </c>
      <c r="AA466" t="str">
        <v>17/09/2026</v>
      </c>
      <c r="AB466" t="str">
        <v>13:06:53</v>
      </c>
      <c r="AC466">
        <f>IF("ONLINE"="NOGPS","GPS Antiguo","En línea")</f>
      </c>
      <c r="AD466">
        <f>IF(0=0,"Sin atender", IF(0=1,"Atendida","Atendida y Reportada"))</f>
      </c>
      <c r="AE466" t="str">
        <v/>
      </c>
      <c r="AF466" t="str">
        <v/>
      </c>
      <c r="AG466" t="str">
        <v/>
      </c>
      <c r="AH466" t="str">
        <v/>
      </c>
      <c r="AI466" t="str">
        <v>17/09/2026 13:07:15</v>
      </c>
      <c r="AJ466" t="str">
        <v>13:07:15</v>
      </c>
      <c r="AK466" t="str">
        <v/>
      </c>
    </row>
    <row r="467">
      <c r="A467">
        <v>466</v>
      </c>
      <c r="B467" t="str">
        <v>MASS BSF</v>
      </c>
      <c r="C467" t="str">
        <v>F8R-810</v>
      </c>
      <c r="D467" t="str">
        <v>F8R-810</v>
      </c>
      <c r="E467" t="str">
        <v>867806078868827</v>
      </c>
      <c r="F467" t="str">
        <v>TBD</v>
      </c>
      <c r="G467" t="str">
        <v/>
      </c>
      <c r="H467" t="str">
        <v/>
      </c>
      <c r="I467" t="str">
        <v>17/09/2026</v>
      </c>
      <c r="J467" t="str">
        <v>13:07:18</v>
      </c>
      <c r="K467">
        <v>-12.328234</v>
      </c>
      <c r="L467">
        <v>-76.8233</v>
      </c>
      <c r="M467">
        <f>HYPERLINK("https://www.google.com/maps/search/?api=1&amp;query=-12.328234,-76.8233","Carretera Panamericana Sur, Punta Hermosa, Lima")</f>
      </c>
      <c r="N467" t="str">
        <v>Acelerado y giro brusco</v>
      </c>
      <c r="O467">
        <v>735.9</v>
      </c>
      <c r="P467" t="str">
        <v/>
      </c>
      <c r="Q467">
        <v>53.3</v>
      </c>
      <c r="R467">
        <v>28</v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>
        <v>87</v>
      </c>
      <c r="AA467" t="str">
        <v>17/09/2026</v>
      </c>
      <c r="AB467" t="str">
        <v>13:07:15</v>
      </c>
      <c r="AC467">
        <f>IF("ONLINE"="NOGPS","GPS Antiguo","En línea")</f>
      </c>
      <c r="AD467">
        <f>IF(0=0,"Sin atender", IF(0=1,"Atendida","Atendida y Reportada"))</f>
      </c>
      <c r="AE467" t="str">
        <v/>
      </c>
      <c r="AF467" t="str">
        <v/>
      </c>
      <c r="AG467" t="str">
        <v/>
      </c>
      <c r="AH467" t="str">
        <v/>
      </c>
      <c r="AI467" t="str">
        <v>17/09/2026 13:07:29</v>
      </c>
      <c r="AJ467" t="str">
        <v>13:07:29</v>
      </c>
      <c r="AK467" t="str">
        <v/>
      </c>
    </row>
    <row r="468">
      <c r="A468">
        <v>467</v>
      </c>
      <c r="B468" t="str">
        <v>MASS BSF</v>
      </c>
      <c r="C468" t="str">
        <v>F8R-810</v>
      </c>
      <c r="D468" t="str">
        <v>F8R-810</v>
      </c>
      <c r="E468" t="str">
        <v>867806078868827</v>
      </c>
      <c r="F468" t="str">
        <v>TBD</v>
      </c>
      <c r="G468" t="str">
        <v/>
      </c>
      <c r="H468" t="str">
        <v/>
      </c>
      <c r="I468" t="str">
        <v>17/09/2026</v>
      </c>
      <c r="J468" t="str">
        <v>13:07:23</v>
      </c>
      <c r="K468">
        <v>-12.32766</v>
      </c>
      <c r="L468">
        <v>-76.82369</v>
      </c>
      <c r="M468">
        <f>HYPERLINK("https://www.google.com/maps/search/?api=1&amp;query=-12.32766,-76.82369","Carretera Panamericana Sur, Punta Hermosa, Lima")</f>
      </c>
      <c r="N468" t="str">
        <v>Aceleración brusca</v>
      </c>
      <c r="O468">
        <v>735.9</v>
      </c>
      <c r="P468" t="str">
        <v/>
      </c>
      <c r="Q468">
        <v>54.6</v>
      </c>
      <c r="R468">
        <v>28</v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>
        <v>87</v>
      </c>
      <c r="AA468" t="str">
        <v>17/09/2026</v>
      </c>
      <c r="AB468" t="str">
        <v>13:07:20</v>
      </c>
      <c r="AC468">
        <f>IF("ONLINE"="NOGPS","GPS Antiguo","En línea")</f>
      </c>
      <c r="AD468">
        <f>IF(0=0,"Sin atender", IF(0=1,"Atendida","Atendida y Reportada"))</f>
      </c>
      <c r="AE468" t="str">
        <v/>
      </c>
      <c r="AF468" t="str">
        <v/>
      </c>
      <c r="AG468" t="str">
        <v/>
      </c>
      <c r="AH468" t="str">
        <v/>
      </c>
      <c r="AI468" t="str">
        <v>17/09/2026 13:07:45</v>
      </c>
      <c r="AJ468" t="str">
        <v>13:07:45</v>
      </c>
      <c r="AK468" t="str">
        <v/>
      </c>
    </row>
    <row r="469">
      <c r="A469">
        <v>468</v>
      </c>
      <c r="B469" t="str">
        <v>MASS BSF</v>
      </c>
      <c r="C469" t="str">
        <v>F8R-810</v>
      </c>
      <c r="D469" t="str">
        <v>F8R-810</v>
      </c>
      <c r="E469" t="str">
        <v>867806078868827</v>
      </c>
      <c r="F469" t="str">
        <v>TBD</v>
      </c>
      <c r="G469" t="str">
        <v/>
      </c>
      <c r="H469" t="str">
        <v/>
      </c>
      <c r="I469" t="str">
        <v>17/09/2026</v>
      </c>
      <c r="J469" t="str">
        <v>13:07:51</v>
      </c>
      <c r="K469">
        <v>-12.324723</v>
      </c>
      <c r="L469">
        <v>-76.82565</v>
      </c>
      <c r="M469">
        <f>HYPERLINK("https://www.google.com/maps/search/?api=1&amp;query=-12.324723,-76.82565","Carretera Panamericana Sur, Punta Hermosa, Lima")</f>
      </c>
      <c r="N469" t="str">
        <v>Aceleración brusca</v>
      </c>
      <c r="O469">
        <v>736.3</v>
      </c>
      <c r="P469" t="str">
        <v/>
      </c>
      <c r="Q469">
        <v>49</v>
      </c>
      <c r="R469">
        <v>28</v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>
        <v>87</v>
      </c>
      <c r="AA469" t="str">
        <v>17/09/2026</v>
      </c>
      <c r="AB469" t="str">
        <v>13:07:48</v>
      </c>
      <c r="AC469">
        <f>IF("ONLINE"="NOGPS","GPS Antiguo","En línea")</f>
      </c>
      <c r="AD469">
        <f>IF(0=0,"Sin atender", IF(0=1,"Atendida","Atendida y Reportada"))</f>
      </c>
      <c r="AE469" t="str">
        <v/>
      </c>
      <c r="AF469" t="str">
        <v/>
      </c>
      <c r="AG469" t="str">
        <v/>
      </c>
      <c r="AH469" t="str">
        <v/>
      </c>
      <c r="AI469" t="str">
        <v>17/09/2026 13:08:04</v>
      </c>
      <c r="AJ469" t="str">
        <v>13:08:04</v>
      </c>
      <c r="AK469" t="str">
        <v/>
      </c>
    </row>
    <row r="470">
      <c r="A470">
        <v>469</v>
      </c>
      <c r="B470" t="str">
        <v>MASS BSF</v>
      </c>
      <c r="C470" t="str">
        <v>F8R-810</v>
      </c>
      <c r="D470" t="str">
        <v>F8R-810</v>
      </c>
      <c r="E470" t="str">
        <v>867806078868827</v>
      </c>
      <c r="F470" t="str">
        <v>TBD</v>
      </c>
      <c r="G470" t="str">
        <v/>
      </c>
      <c r="H470" t="str">
        <v/>
      </c>
      <c r="I470" t="str">
        <v>17/09/2026</v>
      </c>
      <c r="J470" t="str">
        <v>13:08:23</v>
      </c>
      <c r="K470">
        <v>-12.321424</v>
      </c>
      <c r="L470">
        <v>-76.82786</v>
      </c>
      <c r="M470">
        <f>HYPERLINK("https://www.google.com/maps/search/?api=1&amp;query=-12.321424,-76.82786","Carretera Panamericana Sur, Punta Hermosa, Lima")</f>
      </c>
      <c r="N470" t="str">
        <v>Aceleración brusca</v>
      </c>
      <c r="O470">
        <v>736.8</v>
      </c>
      <c r="P470" t="str">
        <v/>
      </c>
      <c r="Q470">
        <v>52.9</v>
      </c>
      <c r="R470">
        <v>28</v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>
        <v>87</v>
      </c>
      <c r="AA470" t="str">
        <v>17/09/2026</v>
      </c>
      <c r="AB470" t="str">
        <v>13:08:20</v>
      </c>
      <c r="AC470">
        <f>IF("ONLINE"="NOGPS","GPS Antiguo","En línea")</f>
      </c>
      <c r="AD470">
        <f>IF(0=0,"Sin atender", IF(0=1,"Atendida","Atendida y Reportada"))</f>
      </c>
      <c r="AE470" t="str">
        <v/>
      </c>
      <c r="AF470" t="str">
        <v/>
      </c>
      <c r="AG470" t="str">
        <v/>
      </c>
      <c r="AH470" t="str">
        <v/>
      </c>
      <c r="AI470" t="str">
        <v>17/09/2026 13:08:43</v>
      </c>
      <c r="AJ470" t="str">
        <v>13:08:43</v>
      </c>
      <c r="AK470" t="str">
        <v/>
      </c>
    </row>
    <row r="471">
      <c r="A471">
        <v>470</v>
      </c>
      <c r="B471" t="str">
        <v>MASS BSF</v>
      </c>
      <c r="C471" t="str">
        <v>F8R-810</v>
      </c>
      <c r="D471" t="str">
        <v>F8R-810</v>
      </c>
      <c r="E471" t="str">
        <v>867806078868827</v>
      </c>
      <c r="F471" t="str">
        <v>TBD</v>
      </c>
      <c r="G471" t="str">
        <v/>
      </c>
      <c r="H471" t="str">
        <v/>
      </c>
      <c r="I471" t="str">
        <v>17/09/2026</v>
      </c>
      <c r="J471" t="str">
        <v>13:08:47</v>
      </c>
      <c r="K471">
        <v>-12.31872</v>
      </c>
      <c r="L471">
        <v>-76.82956</v>
      </c>
      <c r="M471">
        <f>HYPERLINK("https://www.google.com/maps/search/?api=1&amp;query=-12.31872,-76.82956","Carretera Panamericana Sur, Punta Hermosa, Lima")</f>
      </c>
      <c r="N471" t="str">
        <v>Bache</v>
      </c>
      <c r="O471">
        <v>737.1</v>
      </c>
      <c r="P471" t="str">
        <v/>
      </c>
      <c r="Q471">
        <v>48.8</v>
      </c>
      <c r="R471">
        <v>28</v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>
        <v>87</v>
      </c>
      <c r="AA471" t="str">
        <v>17/09/2026</v>
      </c>
      <c r="AB471" t="str">
        <v>13:08:44</v>
      </c>
      <c r="AC471">
        <f>IF("ONLINE"="NOGPS","GPS Antiguo","En línea")</f>
      </c>
      <c r="AD471">
        <f>IF(0=0,"Sin atender", IF(0=1,"Atendida","Atendida y Reportada"))</f>
      </c>
      <c r="AE471" t="str">
        <v/>
      </c>
      <c r="AF471" t="str">
        <v/>
      </c>
      <c r="AG471" t="str">
        <v/>
      </c>
      <c r="AH471" t="str">
        <v/>
      </c>
      <c r="AI471" t="str">
        <v>17/09/2026 13:09:02</v>
      </c>
      <c r="AJ471" t="str">
        <v>13:09:02</v>
      </c>
      <c r="AK471" t="str">
        <v/>
      </c>
    </row>
    <row r="472">
      <c r="A472">
        <v>471</v>
      </c>
      <c r="B472" t="str">
        <v>MASS BSF</v>
      </c>
      <c r="C472" t="str">
        <v>F8R-810</v>
      </c>
      <c r="D472" t="str">
        <v>F8R-810</v>
      </c>
      <c r="E472" t="str">
        <v>867806078868827</v>
      </c>
      <c r="F472" t="str">
        <v>TBD</v>
      </c>
      <c r="G472" t="str">
        <v/>
      </c>
      <c r="H472" t="str">
        <v/>
      </c>
      <c r="I472" t="str">
        <v>17/09/2026</v>
      </c>
      <c r="J472" t="str">
        <v>13:08:49</v>
      </c>
      <c r="K472">
        <v>-12.318505</v>
      </c>
      <c r="L472">
        <v>-76.82967</v>
      </c>
      <c r="M472">
        <f>HYPERLINK("https://www.google.com/maps/search/?api=1&amp;query=-12.318505,-76.82967","Carretera Panamericana Sur, Punta Hermosa, Lima")</f>
      </c>
      <c r="N472" t="str">
        <v>Acelerado y giro brusco</v>
      </c>
      <c r="O472">
        <v>737.1</v>
      </c>
      <c r="P472" t="str">
        <v/>
      </c>
      <c r="Q472">
        <v>46.4</v>
      </c>
      <c r="R472">
        <v>28</v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>
        <v>87</v>
      </c>
      <c r="AA472" t="str">
        <v>17/09/2026</v>
      </c>
      <c r="AB472" t="str">
        <v>13:08:46</v>
      </c>
      <c r="AC472">
        <f>IF("ONLINE"="NOGPS","GPS Antiguo","En línea")</f>
      </c>
      <c r="AD472">
        <f>IF(0=0,"Sin atender", IF(0=1,"Atendida","Atendida y Reportada"))</f>
      </c>
      <c r="AE472" t="str">
        <v/>
      </c>
      <c r="AF472" t="str">
        <v/>
      </c>
      <c r="AG472" t="str">
        <v/>
      </c>
      <c r="AH472" t="str">
        <v/>
      </c>
      <c r="AI472" t="str">
        <v>17/09/2026 13:08:56</v>
      </c>
      <c r="AJ472" t="str">
        <v>13:08:56</v>
      </c>
      <c r="AK472" t="str">
        <v/>
      </c>
    </row>
    <row r="473">
      <c r="A473">
        <v>472</v>
      </c>
      <c r="B473" t="str">
        <v>MASS BSF</v>
      </c>
      <c r="C473" t="str">
        <v>F8R-810</v>
      </c>
      <c r="D473" t="str">
        <v>F8R-810</v>
      </c>
      <c r="E473" t="str">
        <v>867806078868827</v>
      </c>
      <c r="F473" t="str">
        <v>TBD</v>
      </c>
      <c r="G473" t="str">
        <v/>
      </c>
      <c r="H473" t="str">
        <v/>
      </c>
      <c r="I473" t="str">
        <v>17/09/2026</v>
      </c>
      <c r="J473" t="str">
        <v>13:09:20</v>
      </c>
      <c r="K473">
        <v>-12.317453</v>
      </c>
      <c r="L473">
        <v>-76.82951</v>
      </c>
      <c r="M473">
        <f>HYPERLINK("https://www.google.com/maps/search/?api=1&amp;query=-12.317453,-76.82951","Punta Hermosa, Lima")</f>
      </c>
      <c r="N473" t="str">
        <v>Aceleración brusca</v>
      </c>
      <c r="O473">
        <v>737.3</v>
      </c>
      <c r="P473" t="str">
        <v/>
      </c>
      <c r="Q473">
        <v>0</v>
      </c>
      <c r="R473">
        <v>28</v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>
        <v>87</v>
      </c>
      <c r="AA473" t="str">
        <v>17/09/2026</v>
      </c>
      <c r="AB473" t="str">
        <v>13:09:17</v>
      </c>
      <c r="AC473">
        <f>IF("ONLINE"="NOGPS","GPS Antiguo","En línea")</f>
      </c>
      <c r="AD473">
        <f>IF(0=0,"Sin atender", IF(0=1,"Atendida","Atendida y Reportada"))</f>
      </c>
      <c r="AE473" t="str">
        <v/>
      </c>
      <c r="AF473" t="str">
        <v/>
      </c>
      <c r="AG473" t="str">
        <v/>
      </c>
      <c r="AH473" t="str">
        <v/>
      </c>
      <c r="AI473" t="str">
        <v>17/09/2026 13:09:27</v>
      </c>
      <c r="AJ473" t="str">
        <v>13:09:27</v>
      </c>
      <c r="AK473" t="str">
        <v/>
      </c>
    </row>
    <row r="474">
      <c r="A474">
        <v>473</v>
      </c>
      <c r="B474" t="str">
        <v>MASS BSF</v>
      </c>
      <c r="C474" t="str">
        <v>F8R-810</v>
      </c>
      <c r="D474" t="str">
        <v>F8R-810</v>
      </c>
      <c r="E474" t="str">
        <v>867806078868827</v>
      </c>
      <c r="F474" t="str">
        <v>TBD</v>
      </c>
      <c r="G474" t="str">
        <v/>
      </c>
      <c r="H474" t="str">
        <v/>
      </c>
      <c r="I474" t="str">
        <v>17/09/2026</v>
      </c>
      <c r="J474" t="str">
        <v>13:09:41</v>
      </c>
      <c r="K474">
        <v>-12.31708</v>
      </c>
      <c r="L474">
        <v>-76.828835</v>
      </c>
      <c r="M474">
        <f>HYPERLINK("https://www.google.com/maps/search/?api=1&amp;query=-12.31708,-76.828835","Punta Hermosa, Lima")</f>
      </c>
      <c r="N474" t="str">
        <v>Acelerado y giro brusco</v>
      </c>
      <c r="O474">
        <v>737.3</v>
      </c>
      <c r="P474" t="str">
        <v/>
      </c>
      <c r="Q474">
        <v>15</v>
      </c>
      <c r="R474">
        <v>28</v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>
        <v>87</v>
      </c>
      <c r="AA474" t="str">
        <v>17/09/2026</v>
      </c>
      <c r="AB474" t="str">
        <v>13:09:38</v>
      </c>
      <c r="AC474">
        <f>IF("ONLINE"="NOGPS","GPS Antiguo","En línea")</f>
      </c>
      <c r="AD474">
        <f>IF(0=0,"Sin atender", IF(0=1,"Atendida","Atendida y Reportada"))</f>
      </c>
      <c r="AE474" t="str">
        <v/>
      </c>
      <c r="AF474" t="str">
        <v/>
      </c>
      <c r="AG474" t="str">
        <v/>
      </c>
      <c r="AH474" t="str">
        <v/>
      </c>
      <c r="AI474" t="str">
        <v>17/09/2026 13:09:54</v>
      </c>
      <c r="AJ474" t="str">
        <v>13:09:54</v>
      </c>
      <c r="AK474" t="str">
        <v/>
      </c>
    </row>
    <row r="475">
      <c r="A475">
        <v>474</v>
      </c>
      <c r="B475" t="str">
        <v>MASS BSF</v>
      </c>
      <c r="C475" t="str">
        <v>F8R-810</v>
      </c>
      <c r="D475" t="str">
        <v>F8R-810</v>
      </c>
      <c r="E475" t="str">
        <v>867806078868827</v>
      </c>
      <c r="F475" t="str">
        <v>TBD</v>
      </c>
      <c r="G475" t="str">
        <v/>
      </c>
      <c r="H475" t="str">
        <v/>
      </c>
      <c r="I475" t="str">
        <v>17/09/2026</v>
      </c>
      <c r="J475" t="str">
        <v>13:10:03</v>
      </c>
      <c r="K475">
        <v>-12.316635</v>
      </c>
      <c r="L475">
        <v>-76.8281</v>
      </c>
      <c r="M475">
        <f>HYPERLINK("https://www.google.com/maps/search/?api=1&amp;query=-12.316635,-76.8281","Punta Hermosa, Lima")</f>
      </c>
      <c r="N475" t="str">
        <v>Acelerado y giro brusco</v>
      </c>
      <c r="O475">
        <v>737.4</v>
      </c>
      <c r="P475" t="str">
        <v/>
      </c>
      <c r="Q475">
        <v>14.8</v>
      </c>
      <c r="R475">
        <v>28</v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>
        <v>87</v>
      </c>
      <c r="AA475" t="str">
        <v>17/09/2026</v>
      </c>
      <c r="AB475" t="str">
        <v>13:10:00</v>
      </c>
      <c r="AC475">
        <f>IF("ONLINE"="NOGPS","GPS Antiguo","En línea")</f>
      </c>
      <c r="AD475">
        <f>IF(0=0,"Sin atender", IF(0=1,"Atendida","Atendida y Reportada"))</f>
      </c>
      <c r="AE475" t="str">
        <v/>
      </c>
      <c r="AF475" t="str">
        <v/>
      </c>
      <c r="AG475" t="str">
        <v/>
      </c>
      <c r="AH475" t="str">
        <v/>
      </c>
      <c r="AI475" t="str">
        <v>17/09/2026 13:10:17</v>
      </c>
      <c r="AJ475" t="str">
        <v>13:10:17</v>
      </c>
      <c r="AK475" t="str">
        <v/>
      </c>
    </row>
    <row r="476">
      <c r="A476">
        <v>475</v>
      </c>
      <c r="B476" t="str">
        <v>MASS BSF</v>
      </c>
      <c r="C476" t="str">
        <v>F8R-810</v>
      </c>
      <c r="D476" t="str">
        <v>F8R-810</v>
      </c>
      <c r="E476" t="str">
        <v>867806078868827</v>
      </c>
      <c r="F476" t="str">
        <v>TBD</v>
      </c>
      <c r="G476" t="str">
        <v/>
      </c>
      <c r="H476" t="str">
        <v/>
      </c>
      <c r="I476" t="str">
        <v>17/09/2026</v>
      </c>
      <c r="J476" t="str">
        <v>13:10:19</v>
      </c>
      <c r="K476">
        <v>-12.316298</v>
      </c>
      <c r="L476">
        <v>-76.82753</v>
      </c>
      <c r="M476">
        <f>HYPERLINK("https://www.google.com/maps/search/?api=1&amp;query=-12.316298,-76.82753","Punta Hermosa, Lima")</f>
      </c>
      <c r="N476" t="str">
        <v>Acelerado y giro brusco</v>
      </c>
      <c r="O476">
        <v>737.5</v>
      </c>
      <c r="P476" t="str">
        <v/>
      </c>
      <c r="Q476">
        <v>16.1</v>
      </c>
      <c r="R476">
        <v>28</v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>
        <v>85</v>
      </c>
      <c r="AA476" t="str">
        <v>17/09/2026</v>
      </c>
      <c r="AB476" t="str">
        <v>13:10:16</v>
      </c>
      <c r="AC476">
        <f>IF("ONLINE"="NOGPS","GPS Antiguo","En línea")</f>
      </c>
      <c r="AD476">
        <f>IF(0=0,"Sin atender", IF(0=1,"Atendida","Atendida y Reportada"))</f>
      </c>
      <c r="AE476" t="str">
        <v/>
      </c>
      <c r="AF476" t="str">
        <v/>
      </c>
      <c r="AG476" t="str">
        <v/>
      </c>
      <c r="AH476" t="str">
        <v/>
      </c>
      <c r="AI476" t="str">
        <v>17/09/2026 13:10:31</v>
      </c>
      <c r="AJ476" t="str">
        <v>13:10:31</v>
      </c>
      <c r="AK476" t="str">
        <v/>
      </c>
    </row>
    <row r="477">
      <c r="A477">
        <v>476</v>
      </c>
      <c r="B477" t="str">
        <v>MASS BSF</v>
      </c>
      <c r="C477" t="str">
        <v>F8R-810</v>
      </c>
      <c r="D477" t="str">
        <v>F8R-810</v>
      </c>
      <c r="E477" t="str">
        <v>867806078868827</v>
      </c>
      <c r="F477" t="str">
        <v>TBD</v>
      </c>
      <c r="G477" t="str">
        <v/>
      </c>
      <c r="H477" t="str">
        <v/>
      </c>
      <c r="I477" t="str">
        <v>17/09/2026</v>
      </c>
      <c r="J477" t="str">
        <v>13:10:35</v>
      </c>
      <c r="K477">
        <v>-12.315935</v>
      </c>
      <c r="L477">
        <v>-76.82693</v>
      </c>
      <c r="M477">
        <f>HYPERLINK("https://www.google.com/maps/search/?api=1&amp;query=-12.315935,-76.82693","Punta Hermosa, Lima")</f>
      </c>
      <c r="N477" t="str">
        <v>Acelerado y giro brusco</v>
      </c>
      <c r="O477">
        <v>737.6</v>
      </c>
      <c r="P477" t="str">
        <v/>
      </c>
      <c r="Q477">
        <v>18.3</v>
      </c>
      <c r="R477">
        <v>28</v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>
        <v>85</v>
      </c>
      <c r="AA477" t="str">
        <v>17/09/2026</v>
      </c>
      <c r="AB477" t="str">
        <v>13:10:32</v>
      </c>
      <c r="AC477">
        <f>IF("ONLINE"="NOGPS","GPS Antiguo","En línea")</f>
      </c>
      <c r="AD477">
        <f>IF(0=0,"Sin atender", IF(0=1,"Atendida","Atendida y Reportada"))</f>
      </c>
      <c r="AE477" t="str">
        <v/>
      </c>
      <c r="AF477" t="str">
        <v/>
      </c>
      <c r="AG477" t="str">
        <v/>
      </c>
      <c r="AH477" t="str">
        <v/>
      </c>
      <c r="AI477" t="str">
        <v>17/09/2026 13:10:50</v>
      </c>
      <c r="AJ477" t="str">
        <v>13:10:50</v>
      </c>
      <c r="AK477" t="str">
        <v/>
      </c>
    </row>
    <row r="478">
      <c r="A478">
        <v>477</v>
      </c>
      <c r="B478" t="str">
        <v>MASS BSF</v>
      </c>
      <c r="C478" t="str">
        <v>F8R-810</v>
      </c>
      <c r="D478" t="str">
        <v>F8R-810</v>
      </c>
      <c r="E478" t="str">
        <v>867806078868827</v>
      </c>
      <c r="F478" t="str">
        <v>TBD</v>
      </c>
      <c r="G478" t="str">
        <v/>
      </c>
      <c r="H478" t="str">
        <v/>
      </c>
      <c r="I478" t="str">
        <v>17/09/2026</v>
      </c>
      <c r="J478" t="str">
        <v>13:10:44</v>
      </c>
      <c r="K478">
        <v>-12.31576</v>
      </c>
      <c r="L478">
        <v>-76.82662</v>
      </c>
      <c r="M478">
        <f>HYPERLINK("https://www.google.com/maps/search/?api=1&amp;query=-12.31576,-76.82662","Punta Hermosa, Lima")</f>
      </c>
      <c r="N478" t="str">
        <v>Acelerado y giro brusco</v>
      </c>
      <c r="O478">
        <v>737.6</v>
      </c>
      <c r="P478" t="str">
        <v/>
      </c>
      <c r="Q478">
        <v>19</v>
      </c>
      <c r="R478">
        <v>28</v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>
        <v>85</v>
      </c>
      <c r="AA478" t="str">
        <v>17/09/2026</v>
      </c>
      <c r="AB478" t="str">
        <v>13:10:41</v>
      </c>
      <c r="AC478">
        <f>IF("ONLINE"="NOGPS","GPS Antiguo","En línea")</f>
      </c>
      <c r="AD478">
        <f>IF(0=0,"Sin atender", IF(0=1,"Atendida","Atendida y Reportada"))</f>
      </c>
      <c r="AE478" t="str">
        <v/>
      </c>
      <c r="AF478" t="str">
        <v/>
      </c>
      <c r="AG478" t="str">
        <v/>
      </c>
      <c r="AH478" t="str">
        <v/>
      </c>
      <c r="AI478" t="str">
        <v>17/09/2026 13:10:55</v>
      </c>
      <c r="AJ478" t="str">
        <v>13:10:55</v>
      </c>
      <c r="AK478" t="str">
        <v/>
      </c>
    </row>
    <row r="479">
      <c r="A479">
        <v>478</v>
      </c>
      <c r="B479" t="str">
        <v>MASS BSF</v>
      </c>
      <c r="C479" t="str">
        <v>F8R-810</v>
      </c>
      <c r="D479" t="str">
        <v>F8R-810</v>
      </c>
      <c r="E479" t="str">
        <v>867806078868827</v>
      </c>
      <c r="F479" t="str">
        <v>TBD</v>
      </c>
      <c r="G479" t="str">
        <v/>
      </c>
      <c r="H479" t="str">
        <v/>
      </c>
      <c r="I479" t="str">
        <v>17/09/2026</v>
      </c>
      <c r="J479" t="str">
        <v>13:10:52</v>
      </c>
      <c r="K479">
        <v>-12.315575</v>
      </c>
      <c r="L479">
        <v>-76.8263</v>
      </c>
      <c r="M479">
        <f>HYPERLINK("https://www.google.com/maps/search/?api=1&amp;query=-12.315575,-76.8263","Punta Hermosa, Lima")</f>
      </c>
      <c r="N479" t="str">
        <v>Acelerado y giro brusco</v>
      </c>
      <c r="O479">
        <v>737.7</v>
      </c>
      <c r="P479" t="str">
        <v/>
      </c>
      <c r="Q479">
        <v>16.8</v>
      </c>
      <c r="R479">
        <v>28</v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>
        <v>85</v>
      </c>
      <c r="AA479" t="str">
        <v>17/09/2026</v>
      </c>
      <c r="AB479" t="str">
        <v>13:10:49</v>
      </c>
      <c r="AC479">
        <f>IF("ONLINE"="NOGPS","GPS Antiguo","En línea")</f>
      </c>
      <c r="AD479">
        <f>IF(0=0,"Sin atender", IF(0=1,"Atendida","Atendida y Reportada"))</f>
      </c>
      <c r="AE479" t="str">
        <v/>
      </c>
      <c r="AF479" t="str">
        <v/>
      </c>
      <c r="AG479" t="str">
        <v/>
      </c>
      <c r="AH479" t="str">
        <v/>
      </c>
      <c r="AI479" t="str">
        <v>17/09/2026 13:11:18</v>
      </c>
      <c r="AJ479" t="str">
        <v>13:11:18</v>
      </c>
      <c r="AK479" t="str">
        <v/>
      </c>
    </row>
    <row r="480">
      <c r="A480">
        <v>479</v>
      </c>
      <c r="B480" t="str">
        <v>MASS BSF</v>
      </c>
      <c r="C480" t="str">
        <v>F8R-810</v>
      </c>
      <c r="D480" t="str">
        <v>F8R-810</v>
      </c>
      <c r="E480" t="str">
        <v>867806078868827</v>
      </c>
      <c r="F480" t="str">
        <v>TBD</v>
      </c>
      <c r="G480" t="str">
        <v/>
      </c>
      <c r="H480" t="str">
        <v/>
      </c>
      <c r="I480" t="str">
        <v>17/09/2026</v>
      </c>
      <c r="J480" t="str">
        <v>13:10:55</v>
      </c>
      <c r="K480">
        <v>-12.315515</v>
      </c>
      <c r="L480">
        <v>-76.8262</v>
      </c>
      <c r="M480">
        <f>HYPERLINK("https://www.google.com/maps/search/?api=1&amp;query=-12.315515,-76.8262","Punta Hermosa, Lima")</f>
      </c>
      <c r="N480" t="str">
        <v>Bache</v>
      </c>
      <c r="O480">
        <v>737.7</v>
      </c>
      <c r="P480" t="str">
        <v/>
      </c>
      <c r="Q480">
        <v>14.2</v>
      </c>
      <c r="R480">
        <v>28</v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>
        <v>85</v>
      </c>
      <c r="AA480" t="str">
        <v>17/09/2026</v>
      </c>
      <c r="AB480" t="str">
        <v>13:10:52</v>
      </c>
      <c r="AC480">
        <f>IF("ONLINE"="NOGPS","GPS Antiguo","En línea")</f>
      </c>
      <c r="AD480">
        <f>IF(0=0,"Sin atender", IF(0=1,"Atendida","Atendida y Reportada"))</f>
      </c>
      <c r="AE480" t="str">
        <v/>
      </c>
      <c r="AF480" t="str">
        <v/>
      </c>
      <c r="AG480" t="str">
        <v/>
      </c>
      <c r="AH480" t="str">
        <v/>
      </c>
      <c r="AI480" t="str">
        <v>17/09/2026 13:11:12</v>
      </c>
      <c r="AJ480" t="str">
        <v>13:11:12</v>
      </c>
      <c r="AK480" t="str">
        <v/>
      </c>
    </row>
    <row r="481">
      <c r="A481">
        <v>480</v>
      </c>
      <c r="B481" t="str">
        <v>MASS BSF</v>
      </c>
      <c r="C481" t="str">
        <v>F8R-810</v>
      </c>
      <c r="D481" t="str">
        <v>F8R-810</v>
      </c>
      <c r="E481" t="str">
        <v>867806078868827</v>
      </c>
      <c r="F481" t="str">
        <v>TBD</v>
      </c>
      <c r="G481" t="str">
        <v/>
      </c>
      <c r="H481" t="str">
        <v/>
      </c>
      <c r="I481" t="str">
        <v>17/09/2026</v>
      </c>
      <c r="J481" t="str">
        <v>13:10:57</v>
      </c>
      <c r="K481">
        <v>-12.315474</v>
      </c>
      <c r="L481">
        <v>-76.82613</v>
      </c>
      <c r="M481">
        <f>HYPERLINK("https://www.google.com/maps/search/?api=1&amp;query=-12.315474,-76.82613","Punta Hermosa, Lima")</f>
      </c>
      <c r="N481" t="str">
        <v>Acelerado y giro brusco</v>
      </c>
      <c r="O481">
        <v>737.7</v>
      </c>
      <c r="P481" t="str">
        <v/>
      </c>
      <c r="Q481">
        <v>15.7</v>
      </c>
      <c r="R481">
        <v>28</v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>
        <v>85</v>
      </c>
      <c r="AA481" t="str">
        <v>17/09/2026</v>
      </c>
      <c r="AB481" t="str">
        <v>13:10:54</v>
      </c>
      <c r="AC481">
        <f>IF("ONLINE"="NOGPS","GPS Antiguo","En línea")</f>
      </c>
      <c r="AD481">
        <f>IF(0=0,"Sin atender", IF(0=1,"Atendida","Atendida y Reportada"))</f>
      </c>
      <c r="AE481" t="str">
        <v/>
      </c>
      <c r="AF481" t="str">
        <v/>
      </c>
      <c r="AG481" t="str">
        <v/>
      </c>
      <c r="AH481" t="str">
        <v/>
      </c>
      <c r="AI481" t="str">
        <v>17/09/2026 13:11:09</v>
      </c>
      <c r="AJ481" t="str">
        <v>13:11:09</v>
      </c>
      <c r="AK481" t="str">
        <v/>
      </c>
    </row>
    <row r="482">
      <c r="A482">
        <v>481</v>
      </c>
      <c r="B482" t="str">
        <v>MASS BSF</v>
      </c>
      <c r="C482" t="str">
        <v>F8R-810</v>
      </c>
      <c r="D482" t="str">
        <v>F8R-810</v>
      </c>
      <c r="E482" t="str">
        <v>867806078868827</v>
      </c>
      <c r="F482" t="str">
        <v>TBD</v>
      </c>
      <c r="G482" t="str">
        <v/>
      </c>
      <c r="H482" t="str">
        <v/>
      </c>
      <c r="I482" t="str">
        <v>17/09/2026</v>
      </c>
      <c r="J482" t="str">
        <v>13:11:03</v>
      </c>
      <c r="K482">
        <v>-12.315382</v>
      </c>
      <c r="L482">
        <v>-76.826</v>
      </c>
      <c r="M482">
        <f>HYPERLINK("https://www.google.com/maps/search/?api=1&amp;query=-12.315382,-76.826","Punta Hermosa, Lima")</f>
      </c>
      <c r="N482" t="str">
        <v>Acelerado y giro brusco</v>
      </c>
      <c r="O482">
        <v>737.7</v>
      </c>
      <c r="P482" t="str">
        <v/>
      </c>
      <c r="Q482">
        <v>7</v>
      </c>
      <c r="R482">
        <v>28</v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>
        <v>85</v>
      </c>
      <c r="AA482" t="str">
        <v>17/09/2026</v>
      </c>
      <c r="AB482" t="str">
        <v>13:11:00</v>
      </c>
      <c r="AC482">
        <f>IF("ONLINE"="NOGPS","GPS Antiguo","En línea")</f>
      </c>
      <c r="AD482">
        <f>IF(0=0,"Sin atender", IF(0=1,"Atendida","Atendida y Reportada"))</f>
      </c>
      <c r="AE482" t="str">
        <v/>
      </c>
      <c r="AF482" t="str">
        <v/>
      </c>
      <c r="AG482" t="str">
        <v/>
      </c>
      <c r="AH482" t="str">
        <v/>
      </c>
      <c r="AI482" t="str">
        <v>17/09/2026 13:11:13</v>
      </c>
      <c r="AJ482" t="str">
        <v>13:11:13</v>
      </c>
      <c r="AK482" t="str">
        <v/>
      </c>
    </row>
    <row r="483">
      <c r="A483">
        <v>482</v>
      </c>
      <c r="B483" t="str">
        <v>MASS BSF</v>
      </c>
      <c r="C483" t="str">
        <v>F8R-810</v>
      </c>
      <c r="D483" t="str">
        <v>F8R-810</v>
      </c>
      <c r="E483" t="str">
        <v>867806078868827</v>
      </c>
      <c r="F483" t="str">
        <v>TBD</v>
      </c>
      <c r="G483" t="str">
        <v/>
      </c>
      <c r="H483" t="str">
        <v/>
      </c>
      <c r="I483" t="str">
        <v>17/09/2026</v>
      </c>
      <c r="J483" t="str">
        <v>13:11:06</v>
      </c>
      <c r="K483">
        <v>-12.315353</v>
      </c>
      <c r="L483">
        <v>-76.825935</v>
      </c>
      <c r="M483">
        <f>HYPERLINK("https://www.google.com/maps/search/?api=1&amp;query=-12.315353,-76.825935","Punta Hermosa, Lima")</f>
      </c>
      <c r="N483" t="str">
        <v>Acelerado y giro brusco</v>
      </c>
      <c r="O483">
        <v>737.7</v>
      </c>
      <c r="P483" t="str">
        <v/>
      </c>
      <c r="Q483">
        <v>11.6</v>
      </c>
      <c r="R483">
        <v>28</v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>
        <v>85</v>
      </c>
      <c r="AA483" t="str">
        <v>17/09/2026</v>
      </c>
      <c r="AB483" t="str">
        <v>13:11:03</v>
      </c>
      <c r="AC483">
        <f>IF("ONLINE"="NOGPS","GPS Antiguo","En línea")</f>
      </c>
      <c r="AD483">
        <f>IF(0=0,"Sin atender", IF(0=1,"Atendida","Atendida y Reportada"))</f>
      </c>
      <c r="AE483" t="str">
        <v/>
      </c>
      <c r="AF483" t="str">
        <v/>
      </c>
      <c r="AG483" t="str">
        <v/>
      </c>
      <c r="AH483" t="str">
        <v/>
      </c>
      <c r="AI483" t="str">
        <v>17/09/2026 13:11:15</v>
      </c>
      <c r="AJ483" t="str">
        <v>13:11:15</v>
      </c>
      <c r="AK483" t="str">
        <v/>
      </c>
    </row>
    <row r="484">
      <c r="A484">
        <v>483</v>
      </c>
      <c r="B484" t="str">
        <v>MASS BSF</v>
      </c>
      <c r="C484" t="str">
        <v>F8R-810</v>
      </c>
      <c r="D484" t="str">
        <v>F8R-810</v>
      </c>
      <c r="E484" t="str">
        <v>867806078868827</v>
      </c>
      <c r="F484" t="str">
        <v>TBD</v>
      </c>
      <c r="G484" t="str">
        <v/>
      </c>
      <c r="H484" t="str">
        <v/>
      </c>
      <c r="I484" t="str">
        <v>17/09/2026</v>
      </c>
      <c r="J484" t="str">
        <v>13:11:31</v>
      </c>
      <c r="K484">
        <v>-12.316375</v>
      </c>
      <c r="L484">
        <v>-76.82527</v>
      </c>
      <c r="M484">
        <f>HYPERLINK("https://www.google.com/maps/search/?api=1&amp;query=-12.316375,-76.82527","Punta Hermosa, Lima")</f>
      </c>
      <c r="N484" t="str">
        <v>Acelerado y giro brusco</v>
      </c>
      <c r="O484">
        <v>737.8</v>
      </c>
      <c r="P484" t="str">
        <v/>
      </c>
      <c r="Q484">
        <v>20</v>
      </c>
      <c r="R484">
        <v>28</v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>
        <v>85</v>
      </c>
      <c r="AA484" t="str">
        <v>17/09/2026</v>
      </c>
      <c r="AB484" t="str">
        <v>13:11:28</v>
      </c>
      <c r="AC484">
        <f>IF("ONLINE"="NOGPS","GPS Antiguo","En línea")</f>
      </c>
      <c r="AD484">
        <f>IF(0=0,"Sin atender", IF(0=1,"Atendida","Atendida y Reportada"))</f>
      </c>
      <c r="AE484" t="str">
        <v/>
      </c>
      <c r="AF484" t="str">
        <v/>
      </c>
      <c r="AG484" t="str">
        <v/>
      </c>
      <c r="AH484" t="str">
        <v/>
      </c>
      <c r="AI484" t="str">
        <v>17/09/2026 13:11:46</v>
      </c>
      <c r="AJ484" t="str">
        <v>13:11:46</v>
      </c>
      <c r="AK484" t="str">
        <v/>
      </c>
    </row>
    <row r="485">
      <c r="A485">
        <v>484</v>
      </c>
      <c r="B485" t="str">
        <v>MASS BSF</v>
      </c>
      <c r="C485" t="str">
        <v>F8R-810</v>
      </c>
      <c r="D485" t="str">
        <v>F8R-810</v>
      </c>
      <c r="E485" t="str">
        <v>867806078868827</v>
      </c>
      <c r="F485" t="str">
        <v>TBD</v>
      </c>
      <c r="G485" t="str">
        <v/>
      </c>
      <c r="H485" t="str">
        <v/>
      </c>
      <c r="I485" t="str">
        <v>17/09/2026</v>
      </c>
      <c r="J485" t="str">
        <v>13:11:46</v>
      </c>
      <c r="K485">
        <v>-12.31699</v>
      </c>
      <c r="L485">
        <v>-76.82487</v>
      </c>
      <c r="M485">
        <f>HYPERLINK("https://www.google.com/maps/search/?api=1&amp;query=-12.31699,-76.82487","Punta Hermosa, Lima")</f>
      </c>
      <c r="N485" t="str">
        <v>Acelerado y giro brusco</v>
      </c>
      <c r="O485">
        <v>737.9</v>
      </c>
      <c r="P485" t="str">
        <v/>
      </c>
      <c r="Q485">
        <v>20.3</v>
      </c>
      <c r="R485">
        <v>28</v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>
        <v>85</v>
      </c>
      <c r="AA485" t="str">
        <v>17/09/2026</v>
      </c>
      <c r="AB485" t="str">
        <v>13:11:43</v>
      </c>
      <c r="AC485">
        <f>IF("ONLINE"="NOGPS","GPS Antiguo","En línea")</f>
      </c>
      <c r="AD485">
        <f>IF(0=0,"Sin atender", IF(0=1,"Atendida","Atendida y Reportada"))</f>
      </c>
      <c r="AE485" t="str">
        <v/>
      </c>
      <c r="AF485" t="str">
        <v/>
      </c>
      <c r="AG485" t="str">
        <v/>
      </c>
      <c r="AH485" t="str">
        <v/>
      </c>
      <c r="AI485" t="str">
        <v>17/09/2026 13:12:08</v>
      </c>
      <c r="AJ485" t="str">
        <v>13:12:08</v>
      </c>
      <c r="AK485" t="str">
        <v/>
      </c>
    </row>
    <row r="486">
      <c r="A486">
        <v>485</v>
      </c>
      <c r="B486" t="str">
        <v>MASS BSF</v>
      </c>
      <c r="C486" t="str">
        <v>F8R-810</v>
      </c>
      <c r="D486" t="str">
        <v>F8R-810</v>
      </c>
      <c r="E486" t="str">
        <v>867806078868827</v>
      </c>
      <c r="F486" t="str">
        <v>TBD</v>
      </c>
      <c r="G486" t="str">
        <v/>
      </c>
      <c r="H486" t="str">
        <v/>
      </c>
      <c r="I486" t="str">
        <v>17/09/2026</v>
      </c>
      <c r="J486" t="str">
        <v>13:12:03</v>
      </c>
      <c r="K486">
        <v>-12.317627</v>
      </c>
      <c r="L486">
        <v>-76.82443</v>
      </c>
      <c r="M486">
        <f>HYPERLINK("https://www.google.com/maps/search/?api=1&amp;query=-12.317627,-76.82443","Punta Hermosa, Lima")</f>
      </c>
      <c r="N486" t="str">
        <v>Acelerado y giro brusco</v>
      </c>
      <c r="O486">
        <v>738</v>
      </c>
      <c r="P486" t="str">
        <v/>
      </c>
      <c r="Q486">
        <v>16.1</v>
      </c>
      <c r="R486">
        <v>28</v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>
        <v>85</v>
      </c>
      <c r="AA486" t="str">
        <v>17/09/2026</v>
      </c>
      <c r="AB486" t="str">
        <v>13:12:00</v>
      </c>
      <c r="AC486">
        <f>IF("ONLINE"="NOGPS","GPS Antiguo","En línea")</f>
      </c>
      <c r="AD486">
        <f>IF(0=0,"Sin atender", IF(0=1,"Atendida","Atendida y Reportada"))</f>
      </c>
      <c r="AE486" t="str">
        <v/>
      </c>
      <c r="AF486" t="str">
        <v/>
      </c>
      <c r="AG486" t="str">
        <v/>
      </c>
      <c r="AH486" t="str">
        <v/>
      </c>
      <c r="AI486" t="str">
        <v>17/09/2026 13:12:13</v>
      </c>
      <c r="AJ486" t="str">
        <v>13:12:13</v>
      </c>
      <c r="AK486" t="str">
        <v/>
      </c>
    </row>
    <row r="487">
      <c r="A487">
        <v>486</v>
      </c>
      <c r="B487" t="str">
        <v>MASS BSF</v>
      </c>
      <c r="C487" t="str">
        <v>F8R-810</v>
      </c>
      <c r="D487" t="str">
        <v>F8R-810</v>
      </c>
      <c r="E487" t="str">
        <v>867806078868827</v>
      </c>
      <c r="F487" t="str">
        <v>TBD</v>
      </c>
      <c r="G487" t="str">
        <v/>
      </c>
      <c r="H487" t="str">
        <v/>
      </c>
      <c r="I487" t="str">
        <v>17/09/2026</v>
      </c>
      <c r="J487" t="str">
        <v>13:12:58</v>
      </c>
      <c r="K487">
        <v>-12.318418</v>
      </c>
      <c r="L487">
        <v>-76.823555</v>
      </c>
      <c r="M487">
        <f>HYPERLINK("https://www.google.com/maps/search/?api=1&amp;query=-12.318418,-76.823555","Punta Hermosa, Lima")</f>
      </c>
      <c r="N487" t="str">
        <v>Acelerado y giro brusco</v>
      </c>
      <c r="O487">
        <v>738.2</v>
      </c>
      <c r="P487" t="str">
        <v/>
      </c>
      <c r="Q487">
        <v>13.3</v>
      </c>
      <c r="R487">
        <v>28</v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>
        <v>85</v>
      </c>
      <c r="AA487" t="str">
        <v>17/09/2026</v>
      </c>
      <c r="AB487" t="str">
        <v>13:12:55</v>
      </c>
      <c r="AC487">
        <f>IF("ONLINE"="NOGPS","GPS Antiguo","En línea")</f>
      </c>
      <c r="AD487">
        <f>IF(0=0,"Sin atender", IF(0=1,"Atendida","Atendida y Reportada"))</f>
      </c>
      <c r="AE487" t="str">
        <v/>
      </c>
      <c r="AF487" t="str">
        <v/>
      </c>
      <c r="AG487" t="str">
        <v/>
      </c>
      <c r="AH487" t="str">
        <v/>
      </c>
      <c r="AI487" t="str">
        <v>17/09/2026 13:13:14</v>
      </c>
      <c r="AJ487" t="str">
        <v>13:13:14</v>
      </c>
      <c r="AK487" t="str">
        <v/>
      </c>
    </row>
    <row r="488">
      <c r="A488">
        <v>487</v>
      </c>
      <c r="B488" t="str">
        <v>MASS BSF</v>
      </c>
      <c r="C488" t="str">
        <v>F8R-810</v>
      </c>
      <c r="D488" t="str">
        <v>F8R-810</v>
      </c>
      <c r="E488" t="str">
        <v>867806078868827</v>
      </c>
      <c r="F488" t="str">
        <v>TBD</v>
      </c>
      <c r="G488" t="str">
        <v/>
      </c>
      <c r="H488" t="str">
        <v/>
      </c>
      <c r="I488" t="str">
        <v>17/09/2026</v>
      </c>
      <c r="J488" t="str">
        <v>13:13:31</v>
      </c>
      <c r="K488">
        <v>-12.317523</v>
      </c>
      <c r="L488">
        <v>-76.82281</v>
      </c>
      <c r="M488">
        <f>HYPERLINK("https://www.google.com/maps/search/?api=1&amp;query=-12.317523,-76.82281","Punta Hermosa, Lima")</f>
      </c>
      <c r="N488" t="str">
        <v>Acelerado y giro brusco</v>
      </c>
      <c r="O488">
        <v>738.3</v>
      </c>
      <c r="P488" t="str">
        <v/>
      </c>
      <c r="Q488">
        <v>12.5</v>
      </c>
      <c r="R488">
        <v>28</v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>
        <v>87</v>
      </c>
      <c r="AA488" t="str">
        <v>17/09/2026</v>
      </c>
      <c r="AB488" t="str">
        <v>13:13:28</v>
      </c>
      <c r="AC488">
        <f>IF("ONLINE"="NOGPS","GPS Antiguo","En línea")</f>
      </c>
      <c r="AD488">
        <f>IF(0=0,"Sin atender", IF(0=1,"Atendida","Atendida y Reportada"))</f>
      </c>
      <c r="AE488" t="str">
        <v/>
      </c>
      <c r="AF488" t="str">
        <v/>
      </c>
      <c r="AG488" t="str">
        <v/>
      </c>
      <c r="AH488" t="str">
        <v/>
      </c>
      <c r="AI488" t="str">
        <v>17/09/2026 13:13:52</v>
      </c>
      <c r="AJ488" t="str">
        <v>13:13:52</v>
      </c>
      <c r="AK488" t="str">
        <v/>
      </c>
    </row>
    <row r="489">
      <c r="A489">
        <v>488</v>
      </c>
      <c r="B489" t="str">
        <v>MASS BSF</v>
      </c>
      <c r="C489" t="str">
        <v>F8R-810</v>
      </c>
      <c r="D489" t="str">
        <v>F8R-810</v>
      </c>
      <c r="E489" t="str">
        <v>867806078868827</v>
      </c>
      <c r="F489" t="str">
        <v>TBD</v>
      </c>
      <c r="G489" t="str">
        <v/>
      </c>
      <c r="H489" t="str">
        <v/>
      </c>
      <c r="I489" t="str">
        <v>17/09/2026</v>
      </c>
      <c r="J489" t="str">
        <v>13:13:42</v>
      </c>
      <c r="K489">
        <v>-12.317317</v>
      </c>
      <c r="L489">
        <v>-76.822945</v>
      </c>
      <c r="M489">
        <f>HYPERLINK("https://www.google.com/maps/search/?api=1&amp;query=-12.317317,-76.822945","Punta Hermosa, Lima")</f>
      </c>
      <c r="N489" t="str">
        <v>Acelerado y giro brusco</v>
      </c>
      <c r="O489">
        <v>738.3</v>
      </c>
      <c r="P489" t="str">
        <v/>
      </c>
      <c r="Q489">
        <v>7.5</v>
      </c>
      <c r="R489">
        <v>28</v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>
        <v>87</v>
      </c>
      <c r="AA489" t="str">
        <v>17/09/2026</v>
      </c>
      <c r="AB489" t="str">
        <v>13:13:39</v>
      </c>
      <c r="AC489">
        <f>IF("ONLINE"="NOGPS","GPS Antiguo","En línea")</f>
      </c>
      <c r="AD489">
        <f>IF(0=0,"Sin atender", IF(0=1,"Atendida","Atendida y Reportada"))</f>
      </c>
      <c r="AE489" t="str">
        <v/>
      </c>
      <c r="AF489" t="str">
        <v/>
      </c>
      <c r="AG489" t="str">
        <v/>
      </c>
      <c r="AH489" t="str">
        <v/>
      </c>
      <c r="AI489" t="str">
        <v>17/09/2026 13:14:11</v>
      </c>
      <c r="AJ489" t="str">
        <v>13:14:11</v>
      </c>
      <c r="AK489" t="str">
        <v/>
      </c>
    </row>
    <row r="490">
      <c r="A490">
        <v>489</v>
      </c>
      <c r="B490" t="str">
        <v>MASS BSF</v>
      </c>
      <c r="C490" t="str">
        <v>F8R-810</v>
      </c>
      <c r="D490" t="str">
        <v>F8R-810</v>
      </c>
      <c r="E490" t="str">
        <v>867806078868827</v>
      </c>
      <c r="F490" t="str">
        <v>TBD</v>
      </c>
      <c r="G490" t="str">
        <v/>
      </c>
      <c r="H490" t="str">
        <v/>
      </c>
      <c r="I490" t="str">
        <v>17/09/2026</v>
      </c>
      <c r="J490" t="str">
        <v>13:13:45</v>
      </c>
      <c r="K490">
        <v>-12.317311</v>
      </c>
      <c r="L490">
        <v>-76.82294</v>
      </c>
      <c r="M490">
        <f>HYPERLINK("https://www.google.com/maps/search/?api=1&amp;query=-12.317311,-76.82294","Punta Hermosa, Lima")</f>
      </c>
      <c r="N490" t="str">
        <v>Acelerado y giro brusco</v>
      </c>
      <c r="O490">
        <v>738.3</v>
      </c>
      <c r="P490" t="str">
        <v/>
      </c>
      <c r="Q490">
        <v>0</v>
      </c>
      <c r="R490">
        <v>28</v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>
        <v>87</v>
      </c>
      <c r="AA490" t="str">
        <v>17/09/2026</v>
      </c>
      <c r="AB490" t="str">
        <v>13:13:42</v>
      </c>
      <c r="AC490">
        <f>IF("ONLINE"="NOGPS","GPS Antiguo","En línea")</f>
      </c>
      <c r="AD490">
        <f>IF(0=0,"Sin atender", IF(0=1,"Atendida","Atendida y Reportada"))</f>
      </c>
      <c r="AE490" t="str">
        <v/>
      </c>
      <c r="AF490" t="str">
        <v/>
      </c>
      <c r="AG490" t="str">
        <v/>
      </c>
      <c r="AH490" t="str">
        <v/>
      </c>
      <c r="AI490" t="str">
        <v>17/09/2026 13:13:59</v>
      </c>
      <c r="AJ490" t="str">
        <v>13:13:59</v>
      </c>
      <c r="AK490" t="str">
        <v/>
      </c>
    </row>
    <row r="491">
      <c r="A491">
        <v>490</v>
      </c>
      <c r="B491" t="str">
        <v>MASS BSF</v>
      </c>
      <c r="C491" t="str">
        <v>F8R-810</v>
      </c>
      <c r="D491" t="str">
        <v>F8R-810</v>
      </c>
      <c r="E491" t="str">
        <v>867806078868827</v>
      </c>
      <c r="F491" t="str">
        <v>TBD</v>
      </c>
      <c r="G491" t="str">
        <v/>
      </c>
      <c r="H491" t="str">
        <v/>
      </c>
      <c r="I491" t="str">
        <v>17/09/2026</v>
      </c>
      <c r="J491" t="str">
        <v>13:14:20</v>
      </c>
      <c r="K491">
        <v>-12.317348</v>
      </c>
      <c r="L491">
        <v>-76.822876</v>
      </c>
      <c r="M491">
        <f>HYPERLINK("https://www.google.com/maps/search/?api=1&amp;query=-12.317348,-76.822876","Punta Hermosa, Lima")</f>
      </c>
      <c r="N491" t="str">
        <v>Acelerado y giro brusco</v>
      </c>
      <c r="O491">
        <v>738.3</v>
      </c>
      <c r="P491" t="str">
        <v/>
      </c>
      <c r="Q491">
        <v>0</v>
      </c>
      <c r="R491">
        <v>28</v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>
        <v>87</v>
      </c>
      <c r="AA491" t="str">
        <v>17/09/2026</v>
      </c>
      <c r="AB491" t="str">
        <v>13:14:17</v>
      </c>
      <c r="AC491">
        <f>IF("ONLINE"="NOGPS","GPS Antiguo","En línea")</f>
      </c>
      <c r="AD491">
        <f>IF(0=0,"Sin atender", IF(0=1,"Atendida","Atendida y Reportada"))</f>
      </c>
      <c r="AE491" t="str">
        <v/>
      </c>
      <c r="AF491" t="str">
        <v/>
      </c>
      <c r="AG491" t="str">
        <v/>
      </c>
      <c r="AH491" t="str">
        <v/>
      </c>
      <c r="AI491" t="str">
        <v>17/09/2026 13:14:33</v>
      </c>
      <c r="AJ491" t="str">
        <v>13:14:33</v>
      </c>
      <c r="AK491" t="str">
        <v/>
      </c>
    </row>
    <row r="492">
      <c r="A492">
        <v>491</v>
      </c>
      <c r="B492" t="str">
        <v>MASS BSF</v>
      </c>
      <c r="C492" t="str">
        <v>F8R-810</v>
      </c>
      <c r="D492" t="str">
        <v>F8R-810</v>
      </c>
      <c r="E492" t="str">
        <v>867806078868827</v>
      </c>
      <c r="F492" t="str">
        <v>TBD</v>
      </c>
      <c r="G492" t="str">
        <v/>
      </c>
      <c r="H492" t="str">
        <v/>
      </c>
      <c r="I492" t="str">
        <v>17/09/2026</v>
      </c>
      <c r="J492" t="str">
        <v>13:14:28</v>
      </c>
      <c r="K492">
        <v>-12.317384</v>
      </c>
      <c r="L492">
        <v>-76.82292</v>
      </c>
      <c r="M492">
        <f>HYPERLINK("https://www.google.com/maps/search/?api=1&amp;query=-12.317384,-76.82292","Punta Hermosa, Lima")</f>
      </c>
      <c r="N492" t="str">
        <v>Acelerado y giro brusco</v>
      </c>
      <c r="O492">
        <v>738.3</v>
      </c>
      <c r="P492" t="str">
        <v/>
      </c>
      <c r="Q492">
        <v>0</v>
      </c>
      <c r="R492">
        <v>28</v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>
        <v>87</v>
      </c>
      <c r="AA492" t="str">
        <v>17/09/2026</v>
      </c>
      <c r="AB492" t="str">
        <v>13:14:25</v>
      </c>
      <c r="AC492">
        <f>IF("ONLINE"="NOGPS","GPS Antiguo","En línea")</f>
      </c>
      <c r="AD492">
        <f>IF(0=0,"Sin atender", IF(0=1,"Atendida","Atendida y Reportada"))</f>
      </c>
      <c r="AE492" t="str">
        <v/>
      </c>
      <c r="AF492" t="str">
        <v/>
      </c>
      <c r="AG492" t="str">
        <v/>
      </c>
      <c r="AH492" t="str">
        <v/>
      </c>
      <c r="AI492" t="str">
        <v>17/09/2026 13:14:48</v>
      </c>
      <c r="AJ492" t="str">
        <v>13:14:48</v>
      </c>
      <c r="AK492" t="str">
        <v/>
      </c>
    </row>
    <row r="493">
      <c r="A493">
        <v>492</v>
      </c>
      <c r="B493" t="str">
        <v>MASS BSF</v>
      </c>
      <c r="C493" t="str">
        <v>F8R-810</v>
      </c>
      <c r="D493" t="str">
        <v>F8R-810</v>
      </c>
      <c r="E493" t="str">
        <v>867806078868827</v>
      </c>
      <c r="F493" t="str">
        <v>TBD</v>
      </c>
      <c r="G493" t="str">
        <v/>
      </c>
      <c r="H493" t="str">
        <v/>
      </c>
      <c r="I493" t="str">
        <v>17/09/2026</v>
      </c>
      <c r="J493" t="str">
        <v>13:14:41</v>
      </c>
      <c r="K493">
        <v>-12.317384</v>
      </c>
      <c r="L493">
        <v>-76.82292</v>
      </c>
      <c r="M493">
        <f>HYPERLINK("https://www.google.com/maps/search/?api=1&amp;query=-12.317384,-76.82292","Punta Hermosa, Lima")</f>
      </c>
      <c r="N493" t="str">
        <v>Vehículo apagado</v>
      </c>
      <c r="O493">
        <v>738.3</v>
      </c>
      <c r="P493" t="str">
        <v/>
      </c>
      <c r="Q493">
        <v>0</v>
      </c>
      <c r="R493">
        <v>28.38</v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>
        <v>87</v>
      </c>
      <c r="AA493" t="str">
        <v>17/09/2026</v>
      </c>
      <c r="AB493" t="str">
        <v>13:14:38</v>
      </c>
      <c r="AC493">
        <f>IF("ONLINE"="NOGPS","GPS Antiguo","En línea")</f>
      </c>
      <c r="AD493">
        <f>IF(0=0,"Sin atender", IF(0=1,"Atendida","Atendida y Reportada"))</f>
      </c>
      <c r="AE493" t="str">
        <v/>
      </c>
      <c r="AF493" t="str">
        <v/>
      </c>
      <c r="AG493" t="str">
        <v/>
      </c>
      <c r="AH493" t="str">
        <v/>
      </c>
      <c r="AI493" t="str">
        <v>17/09/2026 13:14:50</v>
      </c>
      <c r="AJ493" t="str">
        <v>13:14:50</v>
      </c>
      <c r="AK493" t="str">
        <v/>
      </c>
    </row>
    <row r="494">
      <c r="A494">
        <v>493</v>
      </c>
      <c r="B494" t="str">
        <v>MASS BSF</v>
      </c>
      <c r="C494" t="str">
        <v>F8R-810</v>
      </c>
      <c r="D494" t="str">
        <v>F8R-810</v>
      </c>
      <c r="E494" t="str">
        <v>867806078868827</v>
      </c>
      <c r="F494" t="str">
        <v>TBD</v>
      </c>
      <c r="G494" t="str">
        <v/>
      </c>
      <c r="H494" t="str">
        <v/>
      </c>
      <c r="I494" t="str">
        <v>17/09/2026</v>
      </c>
      <c r="J494" t="str">
        <v>13:22:05</v>
      </c>
      <c r="K494">
        <v>-12.317384</v>
      </c>
      <c r="L494">
        <v>-76.82292</v>
      </c>
      <c r="M494">
        <f>HYPERLINK("https://www.google.com/maps/search/?api=1&amp;query=-12.317384,-76.82292","Punta Hermosa, Lima")</f>
      </c>
      <c r="N494" t="str">
        <v>Se detuvo</v>
      </c>
      <c r="O494">
        <v>738.3</v>
      </c>
      <c r="P494" t="str">
        <v/>
      </c>
      <c r="Q494">
        <v>0</v>
      </c>
      <c r="R494">
        <v>28.38</v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>
        <v>87</v>
      </c>
      <c r="AA494" t="str">
        <v>17/09/2026</v>
      </c>
      <c r="AB494" t="str">
        <v>13:22:01</v>
      </c>
      <c r="AC494">
        <f>IF("ONLINE"="NOGPS","GPS Antiguo","En línea")</f>
      </c>
      <c r="AD494">
        <f>IF(0=0,"Sin atender", IF(0=1,"Atendida","Atendida y Reportada"))</f>
      </c>
      <c r="AE494" t="str">
        <v/>
      </c>
      <c r="AF494" t="str">
        <v/>
      </c>
      <c r="AG494" t="str">
        <v/>
      </c>
      <c r="AH494" t="str">
        <v/>
      </c>
      <c r="AI494" t="str">
        <v>17/09/2026 13:22:26</v>
      </c>
      <c r="AJ494" t="str">
        <v>13:22:26</v>
      </c>
      <c r="AK494" t="str">
        <v/>
      </c>
    </row>
    <row r="495">
      <c r="A495">
        <v>494</v>
      </c>
      <c r="B495" t="str">
        <v>MASS BSF</v>
      </c>
      <c r="C495" t="str">
        <v>F8R-810</v>
      </c>
      <c r="D495" t="str">
        <v>F8R-810</v>
      </c>
      <c r="E495" t="str">
        <v>867806078868827</v>
      </c>
      <c r="F495" t="str">
        <v>TBD</v>
      </c>
      <c r="G495" t="str">
        <v/>
      </c>
      <c r="H495" t="str">
        <v/>
      </c>
      <c r="I495" t="str">
        <v>17/09/2026</v>
      </c>
      <c r="J495" t="str">
        <v>13:24:17</v>
      </c>
      <c r="K495">
        <v>-12.317384</v>
      </c>
      <c r="L495">
        <v>-76.82292</v>
      </c>
      <c r="M495">
        <f>HYPERLINK("https://www.google.com/maps/search/?api=1&amp;query=-12.317384,-76.82292","Punta Hermosa, Lima")</f>
      </c>
      <c r="N495" t="str">
        <v>Vehículo encendido</v>
      </c>
      <c r="O495">
        <v>738.3</v>
      </c>
      <c r="P495" t="str">
        <v/>
      </c>
      <c r="Q495">
        <v>0</v>
      </c>
      <c r="R495">
        <v>28.38</v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>
        <v>87</v>
      </c>
      <c r="AA495" t="str">
        <v>17/09/2026</v>
      </c>
      <c r="AB495" t="str">
        <v>13:24:14</v>
      </c>
      <c r="AC495">
        <f>IF("ONLINE"="NOGPS","GPS Antiguo","En línea")</f>
      </c>
      <c r="AD495">
        <f>IF(0=0,"Sin atender", IF(0=1,"Atendida","Atendida y Reportada"))</f>
      </c>
      <c r="AE495" t="str">
        <v/>
      </c>
      <c r="AF495" t="str">
        <v/>
      </c>
      <c r="AG495" t="str">
        <v/>
      </c>
      <c r="AH495" t="str">
        <v/>
      </c>
      <c r="AI495" t="str">
        <v>17/09/2026 13:24:31</v>
      </c>
      <c r="AJ495" t="str">
        <v>13:24:31</v>
      </c>
      <c r="AK495" t="str">
        <v/>
      </c>
    </row>
    <row r="496">
      <c r="A496">
        <v>495</v>
      </c>
      <c r="B496" t="str">
        <v>MASS BSF</v>
      </c>
      <c r="C496" t="str">
        <v>F8R-810</v>
      </c>
      <c r="D496" t="str">
        <v>F8R-810</v>
      </c>
      <c r="E496" t="str">
        <v>867806078868827</v>
      </c>
      <c r="F496" t="str">
        <v>TBD</v>
      </c>
      <c r="G496" t="str">
        <v/>
      </c>
      <c r="H496" t="str">
        <v/>
      </c>
      <c r="I496" t="str">
        <v>17/09/2026</v>
      </c>
      <c r="J496" t="str">
        <v>13:25:04</v>
      </c>
      <c r="K496">
        <v>-12.317378</v>
      </c>
      <c r="L496">
        <v>-76.822876</v>
      </c>
      <c r="M496">
        <f>HYPERLINK("https://www.google.com/maps/search/?api=1&amp;query=-12.317378,-76.822876","Punta Hermosa, Lima")</f>
      </c>
      <c r="N496" t="str">
        <v>Acelerado y giro brusco</v>
      </c>
      <c r="O496">
        <v>738.3</v>
      </c>
      <c r="P496" t="str">
        <v/>
      </c>
      <c r="Q496">
        <v>6.8</v>
      </c>
      <c r="R496">
        <v>28.38</v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>
        <v>87</v>
      </c>
      <c r="AA496" t="str">
        <v>17/09/2026</v>
      </c>
      <c r="AB496" t="str">
        <v>13:25:01</v>
      </c>
      <c r="AC496">
        <f>IF("ONLINE"="NOGPS","GPS Antiguo","En línea")</f>
      </c>
      <c r="AD496">
        <f>IF(0=0,"Sin atender", IF(0=1,"Atendida","Atendida y Reportada"))</f>
      </c>
      <c r="AE496" t="str">
        <v/>
      </c>
      <c r="AF496" t="str">
        <v/>
      </c>
      <c r="AG496" t="str">
        <v/>
      </c>
      <c r="AH496" t="str">
        <v/>
      </c>
      <c r="AI496" t="str">
        <v>17/09/2026 13:25:16</v>
      </c>
      <c r="AJ496" t="str">
        <v>13:25:16</v>
      </c>
      <c r="AK496" t="str">
        <v/>
      </c>
    </row>
    <row r="497">
      <c r="A497">
        <v>496</v>
      </c>
      <c r="B497" t="str">
        <v>MASS BSF</v>
      </c>
      <c r="C497" t="str">
        <v>F8R-810</v>
      </c>
      <c r="D497" t="str">
        <v>F8R-810</v>
      </c>
      <c r="E497" t="str">
        <v>867806078868827</v>
      </c>
      <c r="F497" t="str">
        <v>TBD</v>
      </c>
      <c r="G497" t="str">
        <v/>
      </c>
      <c r="H497" t="str">
        <v/>
      </c>
      <c r="I497" t="str">
        <v>17/09/2026</v>
      </c>
      <c r="J497" t="str">
        <v>13:25:22</v>
      </c>
      <c r="K497">
        <v>-12.317739</v>
      </c>
      <c r="L497">
        <v>-76.822876</v>
      </c>
      <c r="M497">
        <f>HYPERLINK("https://www.google.com/maps/search/?api=1&amp;query=-12.317739,-76.822876","Punta Hermosa, Lima")</f>
      </c>
      <c r="N497" t="str">
        <v>Aceleración brusca</v>
      </c>
      <c r="O497">
        <v>738.4</v>
      </c>
      <c r="P497" t="str">
        <v/>
      </c>
      <c r="Q497">
        <v>8.5</v>
      </c>
      <c r="R497">
        <v>28.38</v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>
        <v>86</v>
      </c>
      <c r="AA497" t="str">
        <v>17/09/2026</v>
      </c>
      <c r="AB497" t="str">
        <v>13:25:18</v>
      </c>
      <c r="AC497">
        <f>IF("ONLINE"="NOGPS","GPS Antiguo","En línea")</f>
      </c>
      <c r="AD497">
        <f>IF(0=0,"Sin atender", IF(0=1,"Atendida","Atendida y Reportada"))</f>
      </c>
      <c r="AE497" t="str">
        <v/>
      </c>
      <c r="AF497" t="str">
        <v/>
      </c>
      <c r="AG497" t="str">
        <v/>
      </c>
      <c r="AH497" t="str">
        <v/>
      </c>
      <c r="AI497" t="str">
        <v>17/09/2026 13:25:24</v>
      </c>
      <c r="AJ497" t="str">
        <v>13:25:24</v>
      </c>
      <c r="AK497" t="str">
        <v/>
      </c>
    </row>
    <row r="498">
      <c r="A498">
        <v>497</v>
      </c>
      <c r="B498" t="str">
        <v>MASS BSF</v>
      </c>
      <c r="C498" t="str">
        <v>F8R-810</v>
      </c>
      <c r="D498" t="str">
        <v>F8R-810</v>
      </c>
      <c r="E498" t="str">
        <v>867806078868827</v>
      </c>
      <c r="F498" t="str">
        <v>TBD</v>
      </c>
      <c r="G498" t="str">
        <v/>
      </c>
      <c r="H498" t="str">
        <v/>
      </c>
      <c r="I498" t="str">
        <v>17/09/2026</v>
      </c>
      <c r="J498" t="str">
        <v>13:27:11</v>
      </c>
      <c r="K498">
        <v>-12.317692</v>
      </c>
      <c r="L498">
        <v>-76.82438</v>
      </c>
      <c r="M498">
        <f>HYPERLINK("https://www.google.com/maps/search/?api=1&amp;query=-12.317692,-76.82438","Punta Hermosa, Lima")</f>
      </c>
      <c r="N498" t="str">
        <v>Vehículo apagado</v>
      </c>
      <c r="O498">
        <v>738.6</v>
      </c>
      <c r="P498" t="str">
        <v/>
      </c>
      <c r="Q498">
        <v>0</v>
      </c>
      <c r="R498">
        <v>28.43</v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>
        <v>86</v>
      </c>
      <c r="AA498" t="str">
        <v>17/09/2026</v>
      </c>
      <c r="AB498" t="str">
        <v>13:27:08</v>
      </c>
      <c r="AC498">
        <f>IF("ONLINE"="NOGPS","GPS Antiguo","En línea")</f>
      </c>
      <c r="AD498">
        <f>IF(0=0,"Sin atender", IF(0=1,"Atendida","Atendida y Reportada"))</f>
      </c>
      <c r="AE498" t="str">
        <v/>
      </c>
      <c r="AF498" t="str">
        <v/>
      </c>
      <c r="AG498" t="str">
        <v/>
      </c>
      <c r="AH498" t="str">
        <v/>
      </c>
      <c r="AI498" t="str">
        <v>17/09/2026 13:27:33</v>
      </c>
      <c r="AJ498" t="str">
        <v>13:27:33</v>
      </c>
      <c r="AK498" t="str">
        <v/>
      </c>
    </row>
    <row r="499">
      <c r="A499">
        <v>498</v>
      </c>
      <c r="B499" t="str">
        <v>MASS BSF</v>
      </c>
      <c r="C499" t="str">
        <v>F8R-810</v>
      </c>
      <c r="D499" t="str">
        <v>F8R-810</v>
      </c>
      <c r="E499" t="str">
        <v>867806078868827</v>
      </c>
      <c r="F499" t="str">
        <v>TBD</v>
      </c>
      <c r="G499" t="str">
        <v/>
      </c>
      <c r="H499" t="str">
        <v/>
      </c>
      <c r="I499" t="str">
        <v>17/09/2026</v>
      </c>
      <c r="J499" t="str">
        <v>13:30:31</v>
      </c>
      <c r="K499">
        <v>-12.317701</v>
      </c>
      <c r="L499">
        <v>-76.82429</v>
      </c>
      <c r="M499">
        <f>HYPERLINK("https://www.google.com/maps/search/?api=1&amp;query=-12.317701,-76.82429","Punta Hermosa, Lima")</f>
      </c>
      <c r="N499" t="str">
        <v>Inicio de ralentí</v>
      </c>
      <c r="O499">
        <v>738.6</v>
      </c>
      <c r="P499" t="str">
        <v/>
      </c>
      <c r="Q499">
        <v>0</v>
      </c>
      <c r="R499">
        <v>28.43</v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>
        <v>86</v>
      </c>
      <c r="AA499" t="str">
        <v>17/09/2026</v>
      </c>
      <c r="AB499" t="str">
        <v>13:30:27</v>
      </c>
      <c r="AC499">
        <f>IF("ONLINE"="NOGPS","GPS Antiguo","En línea")</f>
      </c>
      <c r="AD499">
        <f>IF(0=0,"Sin atender", IF(0=1,"Atendida","Atendida y Reportada"))</f>
      </c>
      <c r="AE499" t="str">
        <v/>
      </c>
      <c r="AF499" t="str">
        <v/>
      </c>
      <c r="AG499" t="str">
        <v/>
      </c>
      <c r="AH499" t="str">
        <v/>
      </c>
      <c r="AI499" t="str">
        <v>17/09/2026 13:30:41</v>
      </c>
      <c r="AJ499" t="str">
        <v>13:30:41</v>
      </c>
      <c r="AK499" t="str">
        <v/>
      </c>
    </row>
    <row r="500">
      <c r="A500">
        <v>499</v>
      </c>
      <c r="B500" t="str">
        <v>MASS BSF</v>
      </c>
      <c r="C500" t="str">
        <v>F8R-810</v>
      </c>
      <c r="D500" t="str">
        <v>F8R-810</v>
      </c>
      <c r="E500" t="str">
        <v>867806078868827</v>
      </c>
      <c r="F500" t="str">
        <v>TBD</v>
      </c>
      <c r="G500" t="str">
        <v/>
      </c>
      <c r="H500" t="str">
        <v/>
      </c>
      <c r="I500" t="str">
        <v>17/09/2026</v>
      </c>
      <c r="J500" t="str">
        <v>13:34:21</v>
      </c>
      <c r="K500">
        <v>-12.317701</v>
      </c>
      <c r="L500">
        <v>-76.82429</v>
      </c>
      <c r="M500">
        <f>HYPERLINK("https://www.google.com/maps/search/?api=1&amp;query=-12.317701,-76.82429","Punta Hermosa, Lima")</f>
      </c>
      <c r="N500" t="str">
        <v>Se detuvo</v>
      </c>
      <c r="O500">
        <v>738.6</v>
      </c>
      <c r="P500" t="str">
        <v/>
      </c>
      <c r="Q500">
        <v>0</v>
      </c>
      <c r="R500">
        <v>28.43</v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>
        <v>86</v>
      </c>
      <c r="AA500" t="str">
        <v>17/09/2026</v>
      </c>
      <c r="AB500" t="str">
        <v>13:34:17</v>
      </c>
      <c r="AC500">
        <f>IF("ONLINE"="NOGPS","GPS Antiguo","En línea")</f>
      </c>
      <c r="AD500">
        <f>IF(0=0,"Sin atender", IF(0=1,"Atendida","Atendida y Reportada"))</f>
      </c>
      <c r="AE500" t="str">
        <v/>
      </c>
      <c r="AF500" t="str">
        <v/>
      </c>
      <c r="AG500" t="str">
        <v/>
      </c>
      <c r="AH500" t="str">
        <v/>
      </c>
      <c r="AI500" t="str">
        <v>17/09/2026 13:34:36</v>
      </c>
      <c r="AJ500" t="str">
        <v>13:34:36</v>
      </c>
      <c r="AK500" t="str">
        <v/>
      </c>
    </row>
    <row r="501">
      <c r="A501">
        <v>500</v>
      </c>
      <c r="B501" t="str">
        <v>MASS BSF</v>
      </c>
      <c r="C501" t="str">
        <v>F8R-810</v>
      </c>
      <c r="D501" t="str">
        <v>F8R-810</v>
      </c>
      <c r="E501" t="str">
        <v>867806078868827</v>
      </c>
      <c r="F501" t="str">
        <v>TBD</v>
      </c>
      <c r="G501" t="str">
        <v/>
      </c>
      <c r="H501" t="str">
        <v/>
      </c>
      <c r="I501" t="str">
        <v>17/09/2026</v>
      </c>
      <c r="J501" t="str">
        <v>15:11:53</v>
      </c>
      <c r="K501">
        <v>-12.317701</v>
      </c>
      <c r="L501">
        <v>-76.82429</v>
      </c>
      <c r="M501">
        <f>HYPERLINK("https://www.google.com/maps/search/?api=1&amp;query=-12.317701,-76.82429","Punta Hermosa, Lima")</f>
      </c>
      <c r="N501" t="str">
        <v>Se detuvo</v>
      </c>
      <c r="O501">
        <v>738.6</v>
      </c>
      <c r="P501" t="str">
        <v/>
      </c>
      <c r="Q501">
        <v>0</v>
      </c>
      <c r="R501">
        <v>28.43</v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>
        <v>93</v>
      </c>
      <c r="AA501" t="str">
        <v>17/09/2026</v>
      </c>
      <c r="AB501" t="str">
        <v>15:11:49</v>
      </c>
      <c r="AC501">
        <f>IF("ONLINE"="NOGPS","GPS Antiguo","En línea")</f>
      </c>
      <c r="AD501">
        <f>IF(0=0,"Sin atender", IF(0=1,"Atendida","Atendida y Reportada"))</f>
      </c>
      <c r="AE501" t="str">
        <v/>
      </c>
      <c r="AF501" t="str">
        <v/>
      </c>
      <c r="AG501" t="str">
        <v/>
      </c>
      <c r="AH501" t="str">
        <v/>
      </c>
      <c r="AI501" t="str">
        <v>17/09/2026 15:11:57</v>
      </c>
      <c r="AJ501" t="str">
        <v>15:11:57</v>
      </c>
      <c r="AK501" t="str">
        <v/>
      </c>
    </row>
    <row r="502">
      <c r="A502">
        <v>501</v>
      </c>
      <c r="B502" t="str">
        <v>MASS BSF</v>
      </c>
      <c r="C502" t="str">
        <v>F8R-810</v>
      </c>
      <c r="D502" t="str">
        <v>F8R-810</v>
      </c>
      <c r="E502" t="str">
        <v>867806078868827</v>
      </c>
      <c r="F502" t="str">
        <v>TBD</v>
      </c>
      <c r="G502" t="str">
        <v/>
      </c>
      <c r="H502" t="str">
        <v/>
      </c>
      <c r="I502" t="str">
        <v>17/09/2026</v>
      </c>
      <c r="J502" t="str">
        <v>15:23:37</v>
      </c>
      <c r="K502">
        <v>-12.317701</v>
      </c>
      <c r="L502">
        <v>-76.82429</v>
      </c>
      <c r="M502">
        <f>HYPERLINK("https://www.google.com/maps/search/?api=1&amp;query=-12.317701,-76.82429","Punta Hermosa, Lima")</f>
      </c>
      <c r="N502" t="str">
        <v>Vehículo encendido</v>
      </c>
      <c r="O502">
        <v>738.6</v>
      </c>
      <c r="P502" t="str">
        <v/>
      </c>
      <c r="Q502">
        <v>0</v>
      </c>
      <c r="R502">
        <v>28.43</v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>
        <v>93</v>
      </c>
      <c r="AA502" t="str">
        <v>17/09/2026</v>
      </c>
      <c r="AB502" t="str">
        <v>15:23:34</v>
      </c>
      <c r="AC502">
        <f>IF("ONLINE"="NOGPS","GPS Antiguo","En línea")</f>
      </c>
      <c r="AD502">
        <f>IF(0=0,"Sin atender", IF(0=1,"Atendida","Atendida y Reportada"))</f>
      </c>
      <c r="AE502" t="str">
        <v/>
      </c>
      <c r="AF502" t="str">
        <v/>
      </c>
      <c r="AG502" t="str">
        <v/>
      </c>
      <c r="AH502" t="str">
        <v/>
      </c>
      <c r="AI502" t="str">
        <v>17/09/2026 15:23:47</v>
      </c>
      <c r="AJ502" t="str">
        <v>15:23:47</v>
      </c>
      <c r="AK502" t="str">
        <v/>
      </c>
    </row>
    <row r="503">
      <c r="A503">
        <v>502</v>
      </c>
      <c r="B503" t="str">
        <v>MASS BSF</v>
      </c>
      <c r="C503" t="str">
        <v>F8R-810</v>
      </c>
      <c r="D503" t="str">
        <v>F8R-810</v>
      </c>
      <c r="E503" t="str">
        <v>867806078868827</v>
      </c>
      <c r="F503" t="str">
        <v>TBD</v>
      </c>
      <c r="G503" t="str">
        <v/>
      </c>
      <c r="H503" t="str">
        <v/>
      </c>
      <c r="I503" t="str">
        <v>17/09/2026</v>
      </c>
      <c r="J503" t="str">
        <v>15:25:40</v>
      </c>
      <c r="K503">
        <v>-12.317859</v>
      </c>
      <c r="L503">
        <v>-76.82425</v>
      </c>
      <c r="M503">
        <f>HYPERLINK("https://www.google.com/maps/search/?api=1&amp;query=-12.317859,-76.82425","Punta Hermosa, Lima")</f>
      </c>
      <c r="N503" t="str">
        <v>Acelerado y giro brusco</v>
      </c>
      <c r="O503">
        <v>738.7</v>
      </c>
      <c r="P503" t="str">
        <v/>
      </c>
      <c r="Q503">
        <v>3.8</v>
      </c>
      <c r="R503">
        <v>28.43</v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>
        <v>93</v>
      </c>
      <c r="AA503" t="str">
        <v>17/09/2026</v>
      </c>
      <c r="AB503" t="str">
        <v>15:25:36</v>
      </c>
      <c r="AC503">
        <f>IF("ONLINE"="NOGPS","GPS Antiguo","En línea")</f>
      </c>
      <c r="AD503">
        <f>IF(0=0,"Sin atender", IF(0=1,"Atendida","Atendida y Reportada"))</f>
      </c>
      <c r="AE503" t="str">
        <v/>
      </c>
      <c r="AF503" t="str">
        <v/>
      </c>
      <c r="AG503" t="str">
        <v/>
      </c>
      <c r="AH503" t="str">
        <v/>
      </c>
      <c r="AI503" t="str">
        <v>17/09/2026 15:25:59</v>
      </c>
      <c r="AJ503" t="str">
        <v>15:25:59</v>
      </c>
      <c r="AK503" t="str">
        <v/>
      </c>
    </row>
    <row r="504">
      <c r="A504">
        <v>503</v>
      </c>
      <c r="B504" t="str">
        <v>MASS BSF</v>
      </c>
      <c r="C504" t="str">
        <v>F8R-810</v>
      </c>
      <c r="D504" t="str">
        <v>F8R-810</v>
      </c>
      <c r="E504" t="str">
        <v>867806078868827</v>
      </c>
      <c r="F504" t="str">
        <v>TBD</v>
      </c>
      <c r="G504" t="str">
        <v/>
      </c>
      <c r="H504" t="str">
        <v/>
      </c>
      <c r="I504" t="str">
        <v>17/09/2026</v>
      </c>
      <c r="J504" t="str">
        <v>15:25:50</v>
      </c>
      <c r="K504">
        <v>-12.317902</v>
      </c>
      <c r="L504">
        <v>-76.82423</v>
      </c>
      <c r="M504">
        <f>HYPERLINK("https://www.google.com/maps/search/?api=1&amp;query=-12.317902,-76.82423","Punta Hermosa, Lima")</f>
      </c>
      <c r="N504" t="str">
        <v>Fin de ralentí</v>
      </c>
      <c r="O504">
        <v>738.7</v>
      </c>
      <c r="P504" t="str">
        <v/>
      </c>
      <c r="Q504">
        <v>6.4</v>
      </c>
      <c r="R504">
        <v>28.43</v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>
        <v>87</v>
      </c>
      <c r="AA504" t="str">
        <v>17/09/2026</v>
      </c>
      <c r="AB504" t="str">
        <v>15:25:47</v>
      </c>
      <c r="AC504">
        <f>IF("ONLINE"="NOGPS","GPS Antiguo","En línea")</f>
      </c>
      <c r="AD504">
        <f>IF(0=0,"Sin atender", IF(0=1,"Atendida","Atendida y Reportada"))</f>
      </c>
      <c r="AE504" t="str">
        <v/>
      </c>
      <c r="AF504" t="str">
        <v/>
      </c>
      <c r="AG504" t="str">
        <v/>
      </c>
      <c r="AH504" t="str">
        <v/>
      </c>
      <c r="AI504" t="str">
        <v>17/09/2026 15:26:08</v>
      </c>
      <c r="AJ504" t="str">
        <v>15:26:08</v>
      </c>
      <c r="AK504" t="str">
        <v/>
      </c>
    </row>
    <row r="505">
      <c r="A505">
        <v>504</v>
      </c>
      <c r="B505" t="str">
        <v>MASS BSF</v>
      </c>
      <c r="C505" t="str">
        <v>F8R-810</v>
      </c>
      <c r="D505" t="str">
        <v>F8R-810</v>
      </c>
      <c r="E505" t="str">
        <v>867806078868827</v>
      </c>
      <c r="F505" t="str">
        <v>TBD</v>
      </c>
      <c r="G505" t="str">
        <v/>
      </c>
      <c r="H505" t="str">
        <v/>
      </c>
      <c r="I505" t="str">
        <v>17/09/2026</v>
      </c>
      <c r="J505" t="str">
        <v>15:25:51</v>
      </c>
      <c r="K505">
        <v>-12.317902</v>
      </c>
      <c r="L505">
        <v>-76.82423</v>
      </c>
      <c r="M505">
        <f>HYPERLINK("https://www.google.com/maps/search/?api=1&amp;query=-12.317902,-76.82423","Punta Hermosa, Lima")</f>
      </c>
      <c r="N505" t="str">
        <v>Aceleración brusca</v>
      </c>
      <c r="O505">
        <v>738.7</v>
      </c>
      <c r="P505" t="str">
        <v/>
      </c>
      <c r="Q505">
        <v>6.4</v>
      </c>
      <c r="R505">
        <v>28.43</v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>
        <v>87</v>
      </c>
      <c r="AA505" t="str">
        <v>17/09/2026</v>
      </c>
      <c r="AB505" t="str">
        <v>15:25:47</v>
      </c>
      <c r="AC505">
        <f>IF("ONLINE"="NOGPS","GPS Antiguo","En línea")</f>
      </c>
      <c r="AD505">
        <f>IF(0=0,"Sin atender", IF(0=1,"Atendida","Atendida y Reportada"))</f>
      </c>
      <c r="AE505" t="str">
        <v/>
      </c>
      <c r="AF505" t="str">
        <v/>
      </c>
      <c r="AG505" t="str">
        <v/>
      </c>
      <c r="AH505" t="str">
        <v/>
      </c>
      <c r="AI505" t="str">
        <v>17/09/2026 15:26:06</v>
      </c>
      <c r="AJ505" t="str">
        <v>15:26:06</v>
      </c>
      <c r="AK505" t="str">
        <v/>
      </c>
    </row>
    <row r="506">
      <c r="A506">
        <v>505</v>
      </c>
      <c r="B506" t="str">
        <v>MASS BSF</v>
      </c>
      <c r="C506" t="str">
        <v>F8R-810</v>
      </c>
      <c r="D506" t="str">
        <v>F8R-810</v>
      </c>
      <c r="E506" t="str">
        <v>867806078868827</v>
      </c>
      <c r="F506" t="str">
        <v>TBD</v>
      </c>
      <c r="G506" t="str">
        <v/>
      </c>
      <c r="H506" t="str">
        <v/>
      </c>
      <c r="I506" t="str">
        <v>17/09/2026</v>
      </c>
      <c r="J506" t="str">
        <v>15:26:02</v>
      </c>
      <c r="K506">
        <v>-12.317938</v>
      </c>
      <c r="L506">
        <v>-76.82427</v>
      </c>
      <c r="M506">
        <f>HYPERLINK("https://www.google.com/maps/search/?api=1&amp;query=-12.317938,-76.82427","Punta Hermosa, Lima")</f>
      </c>
      <c r="N506" t="str">
        <v>Acelerado y giro brusco</v>
      </c>
      <c r="O506">
        <v>738.7</v>
      </c>
      <c r="P506" t="str">
        <v/>
      </c>
      <c r="Q506">
        <v>0</v>
      </c>
      <c r="R506">
        <v>28.43</v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>
        <v>87</v>
      </c>
      <c r="AA506" t="str">
        <v>17/09/2026</v>
      </c>
      <c r="AB506" t="str">
        <v>15:25:58</v>
      </c>
      <c r="AC506">
        <f>IF("ONLINE"="NOGPS","GPS Antiguo","En línea")</f>
      </c>
      <c r="AD506">
        <f>IF(0=0,"Sin atender", IF(0=1,"Atendida","Atendida y Reportada"))</f>
      </c>
      <c r="AE506" t="str">
        <v/>
      </c>
      <c r="AF506" t="str">
        <v/>
      </c>
      <c r="AG506" t="str">
        <v/>
      </c>
      <c r="AH506" t="str">
        <v/>
      </c>
      <c r="AI506" t="str">
        <v>17/09/2026 15:26:20</v>
      </c>
      <c r="AJ506" t="str">
        <v>15:26:20</v>
      </c>
      <c r="AK506" t="str">
        <v/>
      </c>
    </row>
    <row r="507">
      <c r="A507">
        <v>506</v>
      </c>
      <c r="B507" t="str">
        <v>MASS BSF</v>
      </c>
      <c r="C507" t="str">
        <v>F8R-810</v>
      </c>
      <c r="D507" t="str">
        <v>F8R-810</v>
      </c>
      <c r="E507" t="str">
        <v>867806078868827</v>
      </c>
      <c r="F507" t="str">
        <v>TBD</v>
      </c>
      <c r="G507" t="str">
        <v/>
      </c>
      <c r="H507" t="str">
        <v/>
      </c>
      <c r="I507" t="str">
        <v>17/09/2026</v>
      </c>
      <c r="J507" t="str">
        <v>15:26:42</v>
      </c>
      <c r="K507">
        <v>-12.31794</v>
      </c>
      <c r="L507">
        <v>-76.82427</v>
      </c>
      <c r="M507">
        <f>HYPERLINK("https://www.google.com/maps/search/?api=1&amp;query=-12.31794,-76.82427","Punta Hermosa, Lima")</f>
      </c>
      <c r="N507" t="str">
        <v>Encendido o Entró en cobertura</v>
      </c>
      <c r="O507">
        <v>738.7</v>
      </c>
      <c r="P507" t="str">
        <v/>
      </c>
      <c r="Q507">
        <v>0</v>
      </c>
      <c r="R507">
        <v>28.43</v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>
        <v>87</v>
      </c>
      <c r="AA507" t="str">
        <v>17/09/2026</v>
      </c>
      <c r="AB507" t="str">
        <v>15:25:52</v>
      </c>
      <c r="AC507">
        <f>IF("ONLINE"="NOGPS","GPS Antiguo","En línea")</f>
      </c>
      <c r="AD507">
        <f>IF(0=0,"Sin atender", IF(0=1,"Atendida","Atendida y Reportada"))</f>
      </c>
      <c r="AE507" t="str">
        <v/>
      </c>
      <c r="AF507" t="str">
        <v/>
      </c>
      <c r="AG507" t="str">
        <v/>
      </c>
      <c r="AH507" t="str">
        <v/>
      </c>
      <c r="AI507" t="str">
        <v>17/09/2026 15:26:48</v>
      </c>
      <c r="AJ507" t="str">
        <v>15:26:48</v>
      </c>
      <c r="AK507" t="str">
        <v/>
      </c>
    </row>
    <row r="508">
      <c r="A508">
        <v>507</v>
      </c>
      <c r="B508" t="str">
        <v>MASS BSF</v>
      </c>
      <c r="C508" t="str">
        <v>F8R-810</v>
      </c>
      <c r="D508" t="str">
        <v>F8R-810</v>
      </c>
      <c r="E508" t="str">
        <v>867806078868827</v>
      </c>
      <c r="F508" t="str">
        <v>TBD</v>
      </c>
      <c r="G508" t="str">
        <v/>
      </c>
      <c r="H508" t="str">
        <v/>
      </c>
      <c r="I508" t="str">
        <v>17/09/2026</v>
      </c>
      <c r="J508" t="str">
        <v>15:28:20</v>
      </c>
      <c r="K508">
        <v>-12.317875</v>
      </c>
      <c r="L508">
        <v>-76.824196</v>
      </c>
      <c r="M508">
        <f>HYPERLINK("https://www.google.com/maps/search/?api=1&amp;query=-12.317875,-76.824196","Punta Hermosa, Lima")</f>
      </c>
      <c r="N508" t="str">
        <v>Vehículo apagado</v>
      </c>
      <c r="O508">
        <v>738.7</v>
      </c>
      <c r="P508" t="str">
        <v/>
      </c>
      <c r="Q508">
        <v>0</v>
      </c>
      <c r="R508">
        <v>28.52</v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>
        <v>87</v>
      </c>
      <c r="AA508" t="str">
        <v>17/09/2026</v>
      </c>
      <c r="AB508" t="str">
        <v>15:28:16</v>
      </c>
      <c r="AC508">
        <f>IF("ONLINE"="NOGPS","GPS Antiguo","En línea")</f>
      </c>
      <c r="AD508">
        <f>IF(0=0,"Sin atender", IF(0=1,"Atendida","Atendida y Reportada"))</f>
      </c>
      <c r="AE508" t="str">
        <v/>
      </c>
      <c r="AF508" t="str">
        <v/>
      </c>
      <c r="AG508" t="str">
        <v/>
      </c>
      <c r="AH508" t="str">
        <v/>
      </c>
      <c r="AI508" t="str">
        <v>17/09/2026 15:28:36</v>
      </c>
      <c r="AJ508" t="str">
        <v>15:28:36</v>
      </c>
      <c r="AK508" t="str">
        <v/>
      </c>
    </row>
    <row r="509">
      <c r="A509">
        <v>508</v>
      </c>
      <c r="B509" t="str">
        <v>MASS BSF</v>
      </c>
      <c r="C509" t="str">
        <v>F8R-810</v>
      </c>
      <c r="D509" t="str">
        <v>F8R-810</v>
      </c>
      <c r="E509" t="str">
        <v>867806078868827</v>
      </c>
      <c r="F509" t="str">
        <v>TBD</v>
      </c>
      <c r="G509" t="str">
        <v/>
      </c>
      <c r="H509" t="str">
        <v/>
      </c>
      <c r="I509" t="str">
        <v>17/09/2026</v>
      </c>
      <c r="J509" t="str">
        <v>15:33:26</v>
      </c>
      <c r="K509">
        <v>-12.317875</v>
      </c>
      <c r="L509">
        <v>-76.824196</v>
      </c>
      <c r="M509">
        <f>HYPERLINK("https://www.google.com/maps/search/?api=1&amp;query=-12.317875,-76.824196","Punta Hermosa, Lima")</f>
      </c>
      <c r="N509" t="str">
        <v>Se detuvo</v>
      </c>
      <c r="O509">
        <v>738.7</v>
      </c>
      <c r="P509" t="str">
        <v/>
      </c>
      <c r="Q509">
        <v>0</v>
      </c>
      <c r="R509">
        <v>28.52</v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>
        <v>87</v>
      </c>
      <c r="AA509" t="str">
        <v>17/09/2026</v>
      </c>
      <c r="AB509" t="str">
        <v>15:33:22</v>
      </c>
      <c r="AC509">
        <f>IF("ONLINE"="NOGPS","GPS Antiguo","En línea")</f>
      </c>
      <c r="AD509">
        <f>IF(0=0,"Sin atender", IF(0=1,"Atendida","Atendida y Reportada"))</f>
      </c>
      <c r="AE509" t="str">
        <v/>
      </c>
      <c r="AF509" t="str">
        <v/>
      </c>
      <c r="AG509" t="str">
        <v/>
      </c>
      <c r="AH509" t="str">
        <v/>
      </c>
      <c r="AI509" t="str">
        <v>17/09/2026 15:33:46</v>
      </c>
      <c r="AJ509" t="str">
        <v>15:33:46</v>
      </c>
      <c r="AK509" t="str">
        <v/>
      </c>
    </row>
    <row r="510">
      <c r="A510">
        <v>509</v>
      </c>
      <c r="B510" t="str">
        <v>MASS BSF</v>
      </c>
      <c r="C510" t="str">
        <v>F8R-810</v>
      </c>
      <c r="D510" t="str">
        <v>F8R-810</v>
      </c>
      <c r="E510" t="str">
        <v>867806078868827</v>
      </c>
      <c r="F510" t="str">
        <v>TBD</v>
      </c>
      <c r="G510" t="str">
        <v/>
      </c>
      <c r="H510" t="str">
        <v/>
      </c>
      <c r="I510" t="str">
        <v>17/09/2026</v>
      </c>
      <c r="J510" t="str">
        <v>16:45:19</v>
      </c>
      <c r="K510">
        <v>-12.226414</v>
      </c>
      <c r="L510">
        <v>-76.970497</v>
      </c>
      <c r="M510">
        <f>HYPERLINK("https://www.google.com/maps/search/?api=1&amp;query=-12.226414,-76.970497","Carretera Panamericana Sur, Villa El Salvador, Lima")</f>
      </c>
      <c r="N510" t="str">
        <v>Aceleración brusca</v>
      </c>
      <c r="O510">
        <v>757.9</v>
      </c>
      <c r="P510" t="str">
        <v/>
      </c>
      <c r="Q510">
        <v>71.3</v>
      </c>
      <c r="R510">
        <v>28.52</v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>
        <v>85</v>
      </c>
      <c r="AA510" t="str">
        <v>17/09/2026</v>
      </c>
      <c r="AB510" t="str">
        <v>16:45:15</v>
      </c>
      <c r="AC510">
        <f>IF("ONLINE"="NOGPS","GPS Antiguo","En línea")</f>
      </c>
      <c r="AD510">
        <f>IF(0=0,"Sin atender", IF(0=1,"Atendida","Atendida y Reportada"))</f>
      </c>
      <c r="AE510" t="str">
        <v/>
      </c>
      <c r="AF510" t="str">
        <v/>
      </c>
      <c r="AG510" t="str">
        <v/>
      </c>
      <c r="AH510" t="str">
        <v/>
      </c>
      <c r="AI510" t="str">
        <v>17/09/2026 16:45:29</v>
      </c>
      <c r="AJ510" t="str">
        <v>16:45:29</v>
      </c>
      <c r="AK510" t="str">
        <v/>
      </c>
    </row>
  </sheetData>
  <ignoredErrors>
    <ignoredError numberStoredAsText="1" sqref="A1:AK5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