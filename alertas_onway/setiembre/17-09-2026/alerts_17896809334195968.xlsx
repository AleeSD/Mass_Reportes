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F8P-915</v>
      </c>
      <c r="D2" t="str">
        <v>F8P-915</v>
      </c>
      <c r="E2" t="str">
        <v/>
      </c>
      <c r="F2" t="str">
        <v>867806075079972</v>
      </c>
      <c r="G2" t="str">
        <v>TBD</v>
      </c>
      <c r="H2" t="str">
        <v/>
      </c>
      <c r="I2" t="str">
        <v/>
      </c>
      <c r="J2" t="str">
        <v>17/09/2026</v>
      </c>
      <c r="K2" t="str">
        <v>05:27:56</v>
      </c>
      <c r="L2">
        <v>-12.213112</v>
      </c>
      <c r="M2">
        <v>-76.959076</v>
      </c>
      <c r="N2">
        <f>HYPERLINK("https://www.google.com/maps/search/?api=1&amp;query=-12.213112,-76.959076","Villa El Salvador, Lima")</f>
      </c>
      <c r="O2" t="str">
        <v>Se movio</v>
      </c>
      <c r="P2">
        <v>240496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92</v>
      </c>
      <c r="AB2" t="str">
        <v>17/09/2026</v>
      </c>
      <c r="AC2" t="str">
        <v>05:27:54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05:28:20</v>
      </c>
      <c r="AK2" t="str">
        <v>05:28:20</v>
      </c>
      <c r="AL2" t="str">
        <v/>
      </c>
    </row>
    <row r="3">
      <c r="A3">
        <v>2</v>
      </c>
      <c r="B3" t="str">
        <v>MASS BSF</v>
      </c>
      <c r="C3" t="str">
        <v>F8P-915</v>
      </c>
      <c r="D3" t="str">
        <v>F8P-915</v>
      </c>
      <c r="E3" t="str">
        <v/>
      </c>
      <c r="F3" t="str">
        <v>867806075079972</v>
      </c>
      <c r="G3" t="str">
        <v>TBD</v>
      </c>
      <c r="H3" t="str">
        <v/>
      </c>
      <c r="I3" t="str">
        <v/>
      </c>
      <c r="J3" t="str">
        <v>17/09/2026</v>
      </c>
      <c r="K3" t="str">
        <v>05:31:00</v>
      </c>
      <c r="L3">
        <v>-12.213121</v>
      </c>
      <c r="M3">
        <v>-76.95909</v>
      </c>
      <c r="N3">
        <f>HYPERLINK("https://www.google.com/maps/search/?api=1&amp;query=-12.213121,-76.95909","Villa El Salvador, Lima")</f>
      </c>
      <c r="O3" t="str">
        <v>Inicio de ralentí</v>
      </c>
      <c r="P3">
        <v>240496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92</v>
      </c>
      <c r="AB3" t="str">
        <v>17/09/2026</v>
      </c>
      <c r="AC3" t="str">
        <v>05:30:58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05:31:32</v>
      </c>
      <c r="AK3" t="str">
        <v>05:31:32</v>
      </c>
      <c r="AL3" t="str">
        <v/>
      </c>
    </row>
    <row r="4">
      <c r="A4">
        <v>3</v>
      </c>
      <c r="B4" t="str">
        <v>MASS BSF</v>
      </c>
      <c r="C4" t="str">
        <v>F8P-915</v>
      </c>
      <c r="D4" t="str">
        <v>F8P-915</v>
      </c>
      <c r="E4" t="str">
        <v/>
      </c>
      <c r="F4" t="str">
        <v>867806075079972</v>
      </c>
      <c r="G4" t="str">
        <v>TBD</v>
      </c>
      <c r="H4" t="str">
        <v/>
      </c>
      <c r="I4" t="str">
        <v/>
      </c>
      <c r="J4" t="str">
        <v>17/09/2026</v>
      </c>
      <c r="K4" t="str">
        <v>05:32:22</v>
      </c>
      <c r="L4">
        <v>-12.21291</v>
      </c>
      <c r="M4">
        <v>-76.95926</v>
      </c>
      <c r="N4">
        <f>HYPERLINK("https://www.google.com/maps/search/?api=1&amp;query=-12.21291,-76.95926","Avenida Villa del Mar, Villa El Salvador, Lima")</f>
      </c>
      <c r="O4" t="str">
        <v>Fin de ralentí</v>
      </c>
      <c r="P4">
        <v>240496</v>
      </c>
      <c r="Q4" t="str">
        <v/>
      </c>
      <c r="R4">
        <v>6.1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17/09/2026</v>
      </c>
      <c r="AC4" t="str">
        <v>05:32:21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05:32:49</v>
      </c>
      <c r="AK4" t="str">
        <v>05:32:49</v>
      </c>
      <c r="AL4" t="str">
        <v/>
      </c>
    </row>
    <row r="5">
      <c r="A5">
        <v>4</v>
      </c>
      <c r="B5" t="str">
        <v>MASS BSF</v>
      </c>
      <c r="C5" t="str">
        <v>F8P-915</v>
      </c>
      <c r="D5" t="str">
        <v>F8P-915</v>
      </c>
      <c r="E5" t="str">
        <v/>
      </c>
      <c r="F5" t="str">
        <v>867806075079972</v>
      </c>
      <c r="G5" t="str">
        <v>TBD</v>
      </c>
      <c r="H5" t="str">
        <v/>
      </c>
      <c r="I5" t="str">
        <v/>
      </c>
      <c r="J5" t="str">
        <v>17/09/2026</v>
      </c>
      <c r="K5" t="str">
        <v>05:35:26</v>
      </c>
      <c r="L5">
        <v>-12.21293</v>
      </c>
      <c r="M5">
        <v>-76.95938</v>
      </c>
      <c r="N5">
        <f>HYPERLINK("https://www.google.com/maps/search/?api=1&amp;query=-12.21293,-76.95938","Avenida Villa del Mar, Villa El Salvador, Lima")</f>
      </c>
      <c r="O5" t="str">
        <v>Inicio de ralentí</v>
      </c>
      <c r="P5">
        <v>240496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17/09/2026</v>
      </c>
      <c r="AC5" t="str">
        <v>05:35:24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05:35:48</v>
      </c>
      <c r="AK5" t="str">
        <v>05:35:48</v>
      </c>
      <c r="AL5" t="str">
        <v/>
      </c>
    </row>
    <row r="6">
      <c r="A6">
        <v>5</v>
      </c>
      <c r="B6" t="str">
        <v>MASS BSF</v>
      </c>
      <c r="C6" t="str">
        <v>F8P-915</v>
      </c>
      <c r="D6" t="str">
        <v>F8P-915</v>
      </c>
      <c r="E6" t="str">
        <v/>
      </c>
      <c r="F6" t="str">
        <v>867806075079972</v>
      </c>
      <c r="G6" t="str">
        <v>TBD</v>
      </c>
      <c r="H6" t="str">
        <v/>
      </c>
      <c r="I6" t="str">
        <v/>
      </c>
      <c r="J6" t="str">
        <v>17/09/2026</v>
      </c>
      <c r="K6" t="str">
        <v>05:38:11</v>
      </c>
      <c r="L6">
        <v>-12.212895</v>
      </c>
      <c r="M6">
        <v>-76.95946</v>
      </c>
      <c r="N6">
        <f>HYPERLINK("https://www.google.com/maps/search/?api=1&amp;query=-12.212895,-76.95946","Avenida Villa del Mar, Villa El Salvador, Lima")</f>
      </c>
      <c r="O6" t="str">
        <v>Fin de ralentí</v>
      </c>
      <c r="P6">
        <v>240496</v>
      </c>
      <c r="Q6" t="str">
        <v/>
      </c>
      <c r="R6">
        <v>5.5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17/09/2026</v>
      </c>
      <c r="AC6" t="str">
        <v>05:38:10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05:38:22</v>
      </c>
      <c r="AK6" t="str">
        <v>05:38:22</v>
      </c>
      <c r="AL6" t="str">
        <v/>
      </c>
    </row>
    <row r="7">
      <c r="A7">
        <v>6</v>
      </c>
      <c r="B7" t="str">
        <v>MASS BSF</v>
      </c>
      <c r="C7" t="str">
        <v>F8P-915</v>
      </c>
      <c r="D7" t="str">
        <v>F8P-915</v>
      </c>
      <c r="E7" t="str">
        <v/>
      </c>
      <c r="F7" t="str">
        <v>867806075079972</v>
      </c>
      <c r="G7" t="str">
        <v>TBD</v>
      </c>
      <c r="H7" t="str">
        <v/>
      </c>
      <c r="I7" t="str">
        <v/>
      </c>
      <c r="J7" t="str">
        <v>17/09/2026</v>
      </c>
      <c r="K7" t="str">
        <v>07:38:49</v>
      </c>
      <c r="L7">
        <v>-12.166714</v>
      </c>
      <c r="M7">
        <v>-76.95123</v>
      </c>
      <c r="N7">
        <f>HYPERLINK("https://www.google.com/maps/search/?api=1&amp;query=-12.166714,-76.95123","Avenida Villa María, Villa María del Triunfo, Lima")</f>
      </c>
      <c r="O7" t="str">
        <v>Se movio</v>
      </c>
      <c r="P7">
        <v>240496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17/09/2026</v>
      </c>
      <c r="AC7" t="str">
        <v>07:38:46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07:39:16</v>
      </c>
      <c r="AK7" t="str">
        <v>07:39:16</v>
      </c>
      <c r="AL7" t="str">
        <v/>
      </c>
    </row>
    <row r="8">
      <c r="A8">
        <v>7</v>
      </c>
      <c r="B8" t="str">
        <v>MASS BSF</v>
      </c>
      <c r="C8" t="str">
        <v>F8P-915</v>
      </c>
      <c r="D8" t="str">
        <v>F8P-915</v>
      </c>
      <c r="E8" t="str">
        <v/>
      </c>
      <c r="F8" t="str">
        <v>867806075079972</v>
      </c>
      <c r="G8" t="str">
        <v>TBD</v>
      </c>
      <c r="H8" t="str">
        <v/>
      </c>
      <c r="I8" t="str">
        <v/>
      </c>
      <c r="J8" t="str">
        <v>17/09/2026</v>
      </c>
      <c r="K8" t="str">
        <v>07:56:44</v>
      </c>
      <c r="L8">
        <v>-12.159608</v>
      </c>
      <c r="M8">
        <v>-76.95596</v>
      </c>
      <c r="N8">
        <f>HYPERLINK("https://www.google.com/maps/search/?api=1&amp;query=-12.159608,-76.95596","Avenida Nicolás de Piérola, Villa María del Triunfo, Lima")</f>
      </c>
      <c r="O8" t="str">
        <v>Se movio</v>
      </c>
      <c r="P8">
        <v>240496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17/09/2026</v>
      </c>
      <c r="AC8" t="str">
        <v>07:56:41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07:56:58</v>
      </c>
      <c r="AK8" t="str">
        <v>07:56:58</v>
      </c>
      <c r="AL8" t="str">
        <v/>
      </c>
    </row>
    <row r="9">
      <c r="A9">
        <v>8</v>
      </c>
      <c r="B9" t="str">
        <v>MASS BSF</v>
      </c>
      <c r="C9" t="str">
        <v>F8P-915</v>
      </c>
      <c r="D9" t="str">
        <v>F8P-915</v>
      </c>
      <c r="E9" t="str">
        <v/>
      </c>
      <c r="F9" t="str">
        <v>867806075079972</v>
      </c>
      <c r="G9" t="str">
        <v>TBD</v>
      </c>
      <c r="H9" t="str">
        <v/>
      </c>
      <c r="I9" t="str">
        <v/>
      </c>
      <c r="J9" t="str">
        <v>17/09/2026</v>
      </c>
      <c r="K9" t="str">
        <v>08:08:46</v>
      </c>
      <c r="L9">
        <v>-12.156027</v>
      </c>
      <c r="M9">
        <v>-76.955666</v>
      </c>
      <c r="N9">
        <f>HYPERLINK("https://www.google.com/maps/search/?api=1&amp;query=-12.156027,-76.955666","Avenida Pando Egusquiza, Villa María del Triunfo, Lima")</f>
      </c>
      <c r="O9" t="str">
        <v>Se movio</v>
      </c>
      <c r="P9">
        <v>240496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17/09/2026</v>
      </c>
      <c r="AC9" t="str">
        <v>08:08:43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08:09:07</v>
      </c>
      <c r="AK9" t="str">
        <v>08:09:07</v>
      </c>
      <c r="AL9" t="str">
        <v/>
      </c>
    </row>
    <row r="10">
      <c r="A10">
        <v>9</v>
      </c>
      <c r="B10" t="str">
        <v>MASS BSF</v>
      </c>
      <c r="C10" t="str">
        <v>F8P-915</v>
      </c>
      <c r="D10" t="str">
        <v>F8P-915</v>
      </c>
      <c r="E10" t="str">
        <v/>
      </c>
      <c r="F10" t="str">
        <v>867806075079972</v>
      </c>
      <c r="G10" t="str">
        <v>TBD</v>
      </c>
      <c r="H10" t="str">
        <v/>
      </c>
      <c r="I10" t="str">
        <v/>
      </c>
      <c r="J10" t="str">
        <v>17/09/2026</v>
      </c>
      <c r="K10" t="str">
        <v>08:42:46</v>
      </c>
      <c r="L10">
        <v>-12.2224</v>
      </c>
      <c r="M10">
        <v>-76.97477</v>
      </c>
      <c r="N10">
        <f>HYPERLINK("https://www.google.com/maps/search/?api=1&amp;query=-12.2224,-76.97477","Carretera Panamericana Sur, Chorrillos, Lima")</f>
      </c>
      <c r="O10" t="str">
        <v>Encendido o Entró en cobertura</v>
      </c>
      <c r="P10">
        <v>240496</v>
      </c>
      <c r="Q10" t="str">
        <v/>
      </c>
      <c r="R10">
        <v>59.4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17/09/2026</v>
      </c>
      <c r="AC10" t="str">
        <v>08:41:32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08:42:49</v>
      </c>
      <c r="AK10" t="str">
        <v>08:42:49</v>
      </c>
      <c r="AL10" t="str">
        <v/>
      </c>
    </row>
    <row r="11">
      <c r="A11">
        <v>10</v>
      </c>
      <c r="B11" t="str">
        <v>MASS BSF</v>
      </c>
      <c r="C11" t="str">
        <v>F8P-915</v>
      </c>
      <c r="D11" t="str">
        <v>F8P-915</v>
      </c>
      <c r="E11" t="str">
        <v/>
      </c>
      <c r="F11" t="str">
        <v>867806075079972</v>
      </c>
      <c r="G11" t="str">
        <v>TBD</v>
      </c>
      <c r="H11" t="str">
        <v/>
      </c>
      <c r="I11" t="str">
        <v/>
      </c>
      <c r="J11" t="str">
        <v>17/09/2026</v>
      </c>
      <c r="K11" t="str">
        <v>09:11:48</v>
      </c>
      <c r="L11">
        <v>-12.317365</v>
      </c>
      <c r="M11">
        <v>-76.82292</v>
      </c>
      <c r="N11">
        <f>HYPERLINK("https://www.google.com/maps/search/?api=1&amp;query=-12.317365,-76.82292","Punta Hermosa, Lima")</f>
      </c>
      <c r="O11" t="str">
        <v>Inicio de ralentí</v>
      </c>
      <c r="P11">
        <v>240496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93</v>
      </c>
      <c r="AB11" t="str">
        <v>17/09/2026</v>
      </c>
      <c r="AC11" t="str">
        <v>09:11:44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09:11:53</v>
      </c>
      <c r="AK11" t="str">
        <v>09:11:53</v>
      </c>
      <c r="AL11" t="str">
        <v/>
      </c>
    </row>
    <row r="12">
      <c r="A12">
        <v>11</v>
      </c>
      <c r="B12" t="str">
        <v>MASS BSF</v>
      </c>
      <c r="C12" t="str">
        <v>F8P-915</v>
      </c>
      <c r="D12" t="str">
        <v>F8P-915</v>
      </c>
      <c r="E12" t="str">
        <v/>
      </c>
      <c r="F12" t="str">
        <v>867806075079972</v>
      </c>
      <c r="G12" t="str">
        <v>TBD</v>
      </c>
      <c r="H12" t="str">
        <v/>
      </c>
      <c r="I12" t="str">
        <v/>
      </c>
      <c r="J12" t="str">
        <v>17/09/2026</v>
      </c>
      <c r="K12" t="str">
        <v>09:11:50</v>
      </c>
      <c r="L12">
        <v>-12.317365</v>
      </c>
      <c r="M12">
        <v>-76.82292</v>
      </c>
      <c r="N12">
        <f>HYPERLINK("https://www.google.com/maps/search/?api=1&amp;query=-12.317365,-76.82292","Punta Hermosa, Lima")</f>
      </c>
      <c r="O12" t="str">
        <v>Fin de ralentí</v>
      </c>
      <c r="P12">
        <v>240496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93</v>
      </c>
      <c r="AB12" t="str">
        <v>17/09/2026</v>
      </c>
      <c r="AC12" t="str">
        <v>09:11:46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09:12:01</v>
      </c>
      <c r="AK12" t="str">
        <v>09:12:01</v>
      </c>
      <c r="AL12" t="str">
        <v/>
      </c>
    </row>
    <row r="13">
      <c r="A13">
        <v>12</v>
      </c>
      <c r="B13" t="str">
        <v>MASS BSF</v>
      </c>
      <c r="C13" t="str">
        <v>F8P-915</v>
      </c>
      <c r="D13" t="str">
        <v>F8P-915</v>
      </c>
      <c r="E13" t="str">
        <v/>
      </c>
      <c r="F13" t="str">
        <v>867806075079972</v>
      </c>
      <c r="G13" t="str">
        <v>TBD</v>
      </c>
      <c r="H13" t="str">
        <v/>
      </c>
      <c r="I13" t="str">
        <v/>
      </c>
      <c r="J13" t="str">
        <v>17/09/2026</v>
      </c>
      <c r="K13" t="str">
        <v>09:23:02</v>
      </c>
      <c r="L13">
        <v>-12.317365</v>
      </c>
      <c r="M13">
        <v>-76.82292</v>
      </c>
      <c r="N13">
        <f>HYPERLINK("https://www.google.com/maps/search/?api=1&amp;query=-12.317365,-76.82292","Punta Hermosa, Lima")</f>
      </c>
      <c r="O13" t="str">
        <v>Se movio</v>
      </c>
      <c r="P13">
        <v>240496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93</v>
      </c>
      <c r="AB13" t="str">
        <v>17/09/2026</v>
      </c>
      <c r="AC13" t="str">
        <v>09:22:59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09:23:18</v>
      </c>
      <c r="AK13" t="str">
        <v>09:23:18</v>
      </c>
      <c r="AL13" t="str">
        <v/>
      </c>
    </row>
    <row r="14">
      <c r="A14">
        <v>13</v>
      </c>
      <c r="B14" t="str">
        <v>MASS BSF</v>
      </c>
      <c r="C14" t="str">
        <v>F8P-915</v>
      </c>
      <c r="D14" t="str">
        <v>F8P-915</v>
      </c>
      <c r="E14" t="str">
        <v/>
      </c>
      <c r="F14" t="str">
        <v>867806075079972</v>
      </c>
      <c r="G14" t="str">
        <v>TBD</v>
      </c>
      <c r="H14" t="str">
        <v/>
      </c>
      <c r="I14" t="str">
        <v/>
      </c>
      <c r="J14" t="str">
        <v>17/09/2026</v>
      </c>
      <c r="K14" t="str">
        <v>10:21:19</v>
      </c>
      <c r="L14">
        <v>-12.317206</v>
      </c>
      <c r="M14">
        <v>-76.82473</v>
      </c>
      <c r="N14">
        <f>HYPERLINK("https://www.google.com/maps/search/?api=1&amp;query=-12.317206,-76.82473","Punta Hermosa, Lima")</f>
      </c>
      <c r="O14" t="str">
        <v>Se movio</v>
      </c>
      <c r="P14">
        <v>240496</v>
      </c>
      <c r="Q14" t="str">
        <v/>
      </c>
      <c r="R14">
        <v>17.4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91</v>
      </c>
      <c r="AB14" t="str">
        <v>17/09/2026</v>
      </c>
      <c r="AC14" t="str">
        <v>10:21:15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10:21:27</v>
      </c>
      <c r="AK14" t="str">
        <v>10:21:27</v>
      </c>
      <c r="AL14" t="str">
        <v/>
      </c>
    </row>
    <row r="15">
      <c r="A15">
        <v>14</v>
      </c>
      <c r="B15" t="str">
        <v>MASS BSF</v>
      </c>
      <c r="C15" t="str">
        <v>F8P-915</v>
      </c>
      <c r="D15" t="str">
        <v>F8P-915</v>
      </c>
      <c r="E15" t="str">
        <v/>
      </c>
      <c r="F15" t="str">
        <v>867806075079972</v>
      </c>
      <c r="G15" t="str">
        <v>TBD</v>
      </c>
      <c r="H15" t="str">
        <v/>
      </c>
      <c r="I15" t="str">
        <v/>
      </c>
      <c r="J15" t="str">
        <v>17/09/2026</v>
      </c>
      <c r="K15" t="str">
        <v>10:38:09</v>
      </c>
      <c r="L15">
        <v>-12.277805</v>
      </c>
      <c r="M15">
        <v>-76.869</v>
      </c>
      <c r="N15">
        <f>HYPERLINK("https://www.google.com/maps/search/?api=1&amp;query=-12.277805,-76.869","Antigua Panamericana Sur, Lurín, Lima")</f>
      </c>
      <c r="O15" t="str">
        <v>Inicio de ralentí</v>
      </c>
      <c r="P15">
        <v>240496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96</v>
      </c>
      <c r="AB15" t="str">
        <v>17/09/2026</v>
      </c>
      <c r="AC15" t="str">
        <v>10:38:05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10:38:18</v>
      </c>
      <c r="AK15" t="str">
        <v>10:38:18</v>
      </c>
      <c r="AL15" t="str">
        <v/>
      </c>
    </row>
    <row r="16">
      <c r="A16">
        <v>15</v>
      </c>
      <c r="B16" t="str">
        <v>MASS BSF</v>
      </c>
      <c r="C16" t="str">
        <v>F8P-915</v>
      </c>
      <c r="D16" t="str">
        <v>F8P-915</v>
      </c>
      <c r="E16" t="str">
        <v/>
      </c>
      <c r="F16" t="str">
        <v>867806075079972</v>
      </c>
      <c r="G16" t="str">
        <v>TBD</v>
      </c>
      <c r="H16" t="str">
        <v/>
      </c>
      <c r="I16" t="str">
        <v/>
      </c>
      <c r="J16" t="str">
        <v>17/09/2026</v>
      </c>
      <c r="K16" t="str">
        <v>10:46:30</v>
      </c>
      <c r="L16">
        <v>-12.277697</v>
      </c>
      <c r="M16">
        <v>-76.86906</v>
      </c>
      <c r="N16">
        <f>HYPERLINK("https://www.google.com/maps/search/?api=1&amp;query=-12.277697,-76.86906","Antigua Panamericana Sur, Lurín, Lima")</f>
      </c>
      <c r="O16" t="str">
        <v>Fin de ralentí</v>
      </c>
      <c r="P16">
        <v>240496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96</v>
      </c>
      <c r="AB16" t="str">
        <v>17/09/2026</v>
      </c>
      <c r="AC16" t="str">
        <v>10:46:26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10:46:47</v>
      </c>
      <c r="AK16" t="str">
        <v>10:46:47</v>
      </c>
      <c r="AL16" t="str">
        <v/>
      </c>
    </row>
    <row r="17">
      <c r="A17">
        <v>16</v>
      </c>
      <c r="B17" t="str">
        <v>MASS BSF</v>
      </c>
      <c r="C17" t="str">
        <v>F8P-915</v>
      </c>
      <c r="D17" t="str">
        <v>F8P-915</v>
      </c>
      <c r="E17" t="str">
        <v/>
      </c>
      <c r="F17" t="str">
        <v>867806075079972</v>
      </c>
      <c r="G17" t="str">
        <v>TBD</v>
      </c>
      <c r="H17" t="str">
        <v/>
      </c>
      <c r="I17" t="str">
        <v/>
      </c>
      <c r="J17" t="str">
        <v>17/09/2026</v>
      </c>
      <c r="K17" t="str">
        <v>11:11:43</v>
      </c>
      <c r="L17">
        <v>-12.277447</v>
      </c>
      <c r="M17">
        <v>-76.8693</v>
      </c>
      <c r="N17">
        <f>HYPERLINK("https://www.google.com/maps/search/?api=1&amp;query=-12.277447,-76.8693","Antigua Panamericana Sur, Lurín, Lima")</f>
      </c>
      <c r="O17" t="str">
        <v>Se movio</v>
      </c>
      <c r="P17">
        <v>240496</v>
      </c>
      <c r="Q17" t="str">
        <v/>
      </c>
      <c r="R17">
        <v>13.1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96</v>
      </c>
      <c r="AB17" t="str">
        <v>17/09/2026</v>
      </c>
      <c r="AC17" t="str">
        <v>11:11:40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11:11:46</v>
      </c>
      <c r="AK17" t="str">
        <v>11:11:46</v>
      </c>
      <c r="AL17" t="str">
        <v/>
      </c>
    </row>
    <row r="18">
      <c r="A18">
        <v>17</v>
      </c>
      <c r="B18" t="str">
        <v>MASS BSF</v>
      </c>
      <c r="C18" t="str">
        <v>F8P-915</v>
      </c>
      <c r="D18" t="str">
        <v>F8P-915</v>
      </c>
      <c r="E18" t="str">
        <v/>
      </c>
      <c r="F18" t="str">
        <v>867806075079972</v>
      </c>
      <c r="G18" t="str">
        <v>TBD</v>
      </c>
      <c r="H18" t="str">
        <v/>
      </c>
      <c r="I18" t="str">
        <v/>
      </c>
      <c r="J18" t="str">
        <v>17/09/2026</v>
      </c>
      <c r="K18" t="str">
        <v>11:20:42</v>
      </c>
      <c r="L18">
        <v>-12.29449</v>
      </c>
      <c r="M18">
        <v>-76.85293</v>
      </c>
      <c r="N18">
        <f>HYPERLINK("https://www.google.com/maps/search/?api=1&amp;query=-12.29449,-76.85293","Antigua Panamericana Sur, Lurín, Lima")</f>
      </c>
      <c r="O18" t="str">
        <v>Encendido o Entró en cobertura</v>
      </c>
      <c r="P18">
        <v>240496</v>
      </c>
      <c r="Q18" t="str">
        <v/>
      </c>
      <c r="R18">
        <v>0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90</v>
      </c>
      <c r="AB18" t="str">
        <v>17/09/2026</v>
      </c>
      <c r="AC18" t="str">
        <v>11:20:42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11:20:48</v>
      </c>
      <c r="AK18" t="str">
        <v>11:20:48</v>
      </c>
      <c r="AL18" t="str">
        <v/>
      </c>
    </row>
    <row r="19">
      <c r="A19">
        <v>18</v>
      </c>
      <c r="B19" t="str">
        <v>MASS BSF</v>
      </c>
      <c r="C19" t="str">
        <v>F8P-915</v>
      </c>
      <c r="D19" t="str">
        <v>F8P-915</v>
      </c>
      <c r="E19" t="str">
        <v/>
      </c>
      <c r="F19" t="str">
        <v>867806075079972</v>
      </c>
      <c r="G19" t="str">
        <v>TBD</v>
      </c>
      <c r="H19" t="str">
        <v/>
      </c>
      <c r="I19" t="str">
        <v/>
      </c>
      <c r="J19" t="str">
        <v>17/09/2026</v>
      </c>
      <c r="K19" t="str">
        <v>11:22:13</v>
      </c>
      <c r="L19">
        <v>-12.295535</v>
      </c>
      <c r="M19">
        <v>-76.851906</v>
      </c>
      <c r="N19">
        <f>HYPERLINK("https://www.google.com/maps/search/?api=1&amp;query=-12.295535,-76.851906","Antigua Panamericana Sur, Lurín, Lima")</f>
      </c>
      <c r="O19" t="str">
        <v>Inicio de ralentí</v>
      </c>
      <c r="P19">
        <v>240496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90</v>
      </c>
      <c r="AB19" t="str">
        <v>17/09/2026</v>
      </c>
      <c r="AC19" t="str">
        <v>11:22:09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11:22:24</v>
      </c>
      <c r="AK19" t="str">
        <v>11:22:24</v>
      </c>
      <c r="AL19" t="str">
        <v/>
      </c>
    </row>
    <row r="20">
      <c r="A20">
        <v>19</v>
      </c>
      <c r="B20" t="str">
        <v>MASS BSF</v>
      </c>
      <c r="C20" t="str">
        <v>F8P-915</v>
      </c>
      <c r="D20" t="str">
        <v>F8P-915</v>
      </c>
      <c r="E20" t="str">
        <v/>
      </c>
      <c r="F20" t="str">
        <v>867806075079972</v>
      </c>
      <c r="G20" t="str">
        <v>TBD</v>
      </c>
      <c r="H20" t="str">
        <v/>
      </c>
      <c r="I20" t="str">
        <v/>
      </c>
      <c r="J20" t="str">
        <v>17/09/2026</v>
      </c>
      <c r="K20" t="str">
        <v>11:24:55</v>
      </c>
      <c r="L20">
        <v>-12.295535</v>
      </c>
      <c r="M20">
        <v>-76.851906</v>
      </c>
      <c r="N20">
        <f>HYPERLINK("https://www.google.com/maps/search/?api=1&amp;query=-12.295535,-76.851906","Antigua Panamericana Sur, Lurín, Lima")</f>
      </c>
      <c r="O20" t="str">
        <v>Fin de ralentí</v>
      </c>
      <c r="P20">
        <v>240496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90</v>
      </c>
      <c r="AB20" t="str">
        <v>17/09/2026</v>
      </c>
      <c r="AC20" t="str">
        <v>11:24:51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11:25:08</v>
      </c>
      <c r="AK20" t="str">
        <v>11:25:08</v>
      </c>
      <c r="AL20" t="str">
        <v/>
      </c>
    </row>
    <row r="21">
      <c r="A21">
        <v>20</v>
      </c>
      <c r="B21" t="str">
        <v>MASS BSF</v>
      </c>
      <c r="C21" t="str">
        <v>F8P-915</v>
      </c>
      <c r="D21" t="str">
        <v>F8P-915</v>
      </c>
      <c r="E21" t="str">
        <v/>
      </c>
      <c r="F21" t="str">
        <v>867806075079972</v>
      </c>
      <c r="G21" t="str">
        <v>TBD</v>
      </c>
      <c r="H21" t="str">
        <v/>
      </c>
      <c r="I21" t="str">
        <v/>
      </c>
      <c r="J21" t="str">
        <v>17/09/2026</v>
      </c>
      <c r="K21" t="str">
        <v>11:41:39</v>
      </c>
      <c r="L21">
        <v>-12.295834</v>
      </c>
      <c r="M21">
        <v>-76.85159</v>
      </c>
      <c r="N21">
        <f>HYPERLINK("https://www.google.com/maps/search/?api=1&amp;query=-12.295834,-76.85159","Antigua Panamericana Sur, Lurín, Lima")</f>
      </c>
      <c r="O21" t="str">
        <v>Se movio</v>
      </c>
      <c r="P21">
        <v>240496</v>
      </c>
      <c r="Q21" t="str">
        <v/>
      </c>
      <c r="R21">
        <v>9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91</v>
      </c>
      <c r="AB21" t="str">
        <v>17/09/2026</v>
      </c>
      <c r="AC21" t="str">
        <v>11:41:35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11:41:53</v>
      </c>
      <c r="AK21" t="str">
        <v>11:41:53</v>
      </c>
      <c r="AL21" t="str">
        <v/>
      </c>
    </row>
    <row r="22">
      <c r="A22">
        <v>21</v>
      </c>
      <c r="B22" t="str">
        <v>MASS BSF</v>
      </c>
      <c r="C22" t="str">
        <v>F8P-915</v>
      </c>
      <c r="D22" t="str">
        <v>F8P-915</v>
      </c>
      <c r="E22" t="str">
        <v/>
      </c>
      <c r="F22" t="str">
        <v>867806075079972</v>
      </c>
      <c r="G22" t="str">
        <v>TBD</v>
      </c>
      <c r="H22" t="str">
        <v/>
      </c>
      <c r="I22" t="str">
        <v/>
      </c>
      <c r="J22" t="str">
        <v>17/09/2026</v>
      </c>
      <c r="K22" t="str">
        <v>11:44:42</v>
      </c>
      <c r="L22">
        <v>-12.295883</v>
      </c>
      <c r="M22">
        <v>-76.851555</v>
      </c>
      <c r="N22">
        <f>HYPERLINK("https://www.google.com/maps/search/?api=1&amp;query=-12.295883,-76.851555","Antigua Panamericana Sur, Lurín, Lima")</f>
      </c>
      <c r="O22" t="str">
        <v>Inicio de ralentí</v>
      </c>
      <c r="P22">
        <v>240496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91</v>
      </c>
      <c r="AB22" t="str">
        <v>17/09/2026</v>
      </c>
      <c r="AC22" t="str">
        <v>11:44:37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11:44:56</v>
      </c>
      <c r="AK22" t="str">
        <v>11:44:56</v>
      </c>
      <c r="AL22" t="str">
        <v/>
      </c>
    </row>
    <row r="23">
      <c r="A23">
        <v>22</v>
      </c>
      <c r="B23" t="str">
        <v>MASS BSF</v>
      </c>
      <c r="C23" t="str">
        <v>F8P-915</v>
      </c>
      <c r="D23" t="str">
        <v>F8P-915</v>
      </c>
      <c r="E23" t="str">
        <v/>
      </c>
      <c r="F23" t="str">
        <v>867806075079972</v>
      </c>
      <c r="G23" t="str">
        <v>TBD</v>
      </c>
      <c r="H23" t="str">
        <v/>
      </c>
      <c r="I23" t="str">
        <v/>
      </c>
      <c r="J23" t="str">
        <v>17/09/2026</v>
      </c>
      <c r="K23" t="str">
        <v>12:47:50</v>
      </c>
      <c r="L23">
        <v>-12.295883</v>
      </c>
      <c r="M23">
        <v>-76.851555</v>
      </c>
      <c r="N23">
        <f>HYPERLINK("https://www.google.com/maps/search/?api=1&amp;query=-12.295883,-76.851555","Antigua Panamericana Sur, Lurín, Lima")</f>
      </c>
      <c r="O23" t="str">
        <v>Fin de ralentí</v>
      </c>
      <c r="P23">
        <v>240496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17/09/2026</v>
      </c>
      <c r="AC23" t="str">
        <v>12:47:45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12:48:01</v>
      </c>
      <c r="AK23" t="str">
        <v>12:48:01</v>
      </c>
      <c r="AL23" t="str">
        <v/>
      </c>
    </row>
    <row r="24">
      <c r="A24">
        <v>23</v>
      </c>
      <c r="B24" t="str">
        <v>MASS BSF</v>
      </c>
      <c r="C24" t="str">
        <v>F8P-915</v>
      </c>
      <c r="D24" t="str">
        <v>F8P-915</v>
      </c>
      <c r="E24" t="str">
        <v/>
      </c>
      <c r="F24" t="str">
        <v>867806075079972</v>
      </c>
      <c r="G24" t="str">
        <v>TBD</v>
      </c>
      <c r="H24" t="str">
        <v/>
      </c>
      <c r="I24" t="str">
        <v/>
      </c>
      <c r="J24" t="str">
        <v>17/09/2026</v>
      </c>
      <c r="K24" t="str">
        <v>13:12:16</v>
      </c>
      <c r="L24">
        <v>-12.295883</v>
      </c>
      <c r="M24">
        <v>-76.851555</v>
      </c>
      <c r="N24">
        <f>HYPERLINK("https://www.google.com/maps/search/?api=1&amp;query=-12.295883,-76.851555","Antigua Panamericana Sur, Lurín, Lima")</f>
      </c>
      <c r="O24" t="str">
        <v>Se movio</v>
      </c>
      <c r="P24">
        <v>240496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93</v>
      </c>
      <c r="AB24" t="str">
        <v>17/09/2026</v>
      </c>
      <c r="AC24" t="str">
        <v>13:12:12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13:12:22</v>
      </c>
      <c r="AK24" t="str">
        <v>13:12:22</v>
      </c>
      <c r="AL24" t="str">
        <v/>
      </c>
    </row>
    <row r="25">
      <c r="A25">
        <v>24</v>
      </c>
      <c r="B25" t="str">
        <v>MASS BSF</v>
      </c>
      <c r="C25" t="str">
        <v>F8P-915</v>
      </c>
      <c r="D25" t="str">
        <v>F8P-915</v>
      </c>
      <c r="E25" t="str">
        <v/>
      </c>
      <c r="F25" t="str">
        <v>867806075079972</v>
      </c>
      <c r="G25" t="str">
        <v>TBD</v>
      </c>
      <c r="H25" t="str">
        <v/>
      </c>
      <c r="I25" t="str">
        <v/>
      </c>
      <c r="J25" t="str">
        <v>17/09/2026</v>
      </c>
      <c r="K25" t="str">
        <v>13:34:41</v>
      </c>
      <c r="L25">
        <v>-12.3174</v>
      </c>
      <c r="M25">
        <v>-76.82293</v>
      </c>
      <c r="N25">
        <f>HYPERLINK("https://www.google.com/maps/search/?api=1&amp;query=-12.3174,-76.82293","Punta Hermosa, Lima")</f>
      </c>
      <c r="O25" t="str">
        <v>Inicio de ralentí</v>
      </c>
      <c r="P25">
        <v>240496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93</v>
      </c>
      <c r="AB25" t="str">
        <v>17/09/2026</v>
      </c>
      <c r="AC25" t="str">
        <v>13:34:36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13:34:46</v>
      </c>
      <c r="AK25" t="str">
        <v>13:34:46</v>
      </c>
      <c r="AL25" t="str">
        <v/>
      </c>
    </row>
    <row r="26">
      <c r="A26">
        <v>25</v>
      </c>
      <c r="B26" t="str">
        <v>MASS BSF</v>
      </c>
      <c r="C26" t="str">
        <v>F8P-915</v>
      </c>
      <c r="D26" t="str">
        <v>F8P-915</v>
      </c>
      <c r="E26" t="str">
        <v/>
      </c>
      <c r="F26" t="str">
        <v>867806075079972</v>
      </c>
      <c r="G26" t="str">
        <v>TBD</v>
      </c>
      <c r="H26" t="str">
        <v/>
      </c>
      <c r="I26" t="str">
        <v/>
      </c>
      <c r="J26" t="str">
        <v>17/09/2026</v>
      </c>
      <c r="K26" t="str">
        <v>13:36:50</v>
      </c>
      <c r="L26">
        <v>-12.3174</v>
      </c>
      <c r="M26">
        <v>-76.82293</v>
      </c>
      <c r="N26">
        <f>HYPERLINK("https://www.google.com/maps/search/?api=1&amp;query=-12.3174,-76.82293","Punta Hermosa, Lima")</f>
      </c>
      <c r="O26" t="str">
        <v>Fin de ralentí</v>
      </c>
      <c r="P26">
        <v>240496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93</v>
      </c>
      <c r="AB26" t="str">
        <v>17/09/2026</v>
      </c>
      <c r="AC26" t="str">
        <v>13:36:45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13:36:57</v>
      </c>
      <c r="AK26" t="str">
        <v>13:36:57</v>
      </c>
      <c r="AL26" t="str">
        <v/>
      </c>
    </row>
    <row r="27">
      <c r="A27">
        <v>26</v>
      </c>
      <c r="B27" t="str">
        <v>MASS BSF</v>
      </c>
      <c r="C27" t="str">
        <v>F8P-915</v>
      </c>
      <c r="D27" t="str">
        <v>F8P-915</v>
      </c>
      <c r="E27" t="str">
        <v/>
      </c>
      <c r="F27" t="str">
        <v>867806075079972</v>
      </c>
      <c r="G27" t="str">
        <v>TBD</v>
      </c>
      <c r="H27" t="str">
        <v/>
      </c>
      <c r="I27" t="str">
        <v/>
      </c>
      <c r="J27" t="str">
        <v>17/09/2026</v>
      </c>
      <c r="K27" t="str">
        <v>13:44:37</v>
      </c>
      <c r="L27">
        <v>-12.317407</v>
      </c>
      <c r="M27">
        <v>-76.822945</v>
      </c>
      <c r="N27">
        <f>HYPERLINK("https://www.google.com/maps/search/?api=1&amp;query=-12.317407,-76.822945","Punta Hermosa, Lima")</f>
      </c>
      <c r="O27" t="str">
        <v>Se movio</v>
      </c>
      <c r="P27">
        <v>240496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93</v>
      </c>
      <c r="AB27" t="str">
        <v>17/09/2026</v>
      </c>
      <c r="AC27" t="str">
        <v>13:44:32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13:44:39</v>
      </c>
      <c r="AK27" t="str">
        <v>13:44:39</v>
      </c>
      <c r="AL27" t="str">
        <v/>
      </c>
    </row>
    <row r="28">
      <c r="A28">
        <v>27</v>
      </c>
      <c r="B28" t="str">
        <v>MASS BSF</v>
      </c>
      <c r="C28" t="str">
        <v>F8P-915</v>
      </c>
      <c r="D28" t="str">
        <v>F8P-915</v>
      </c>
      <c r="E28" t="str">
        <v/>
      </c>
      <c r="F28" t="str">
        <v>867806075079972</v>
      </c>
      <c r="G28" t="str">
        <v>TBD</v>
      </c>
      <c r="H28" t="str">
        <v/>
      </c>
      <c r="I28" t="str">
        <v/>
      </c>
      <c r="J28" t="str">
        <v>17/09/2026</v>
      </c>
      <c r="K28" t="str">
        <v>14:38:49</v>
      </c>
      <c r="L28">
        <v>-12.317752</v>
      </c>
      <c r="M28">
        <v>-76.82452</v>
      </c>
      <c r="N28">
        <f>HYPERLINK("https://www.google.com/maps/search/?api=1&amp;query=-12.317752,-76.82452","Punta Hermosa, Lima")</f>
      </c>
      <c r="O28" t="str">
        <v>Encendido o Entró en cobertura</v>
      </c>
      <c r="P28">
        <v>240496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17/09/2026</v>
      </c>
      <c r="AC28" t="str">
        <v>14:37:34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14:38:53</v>
      </c>
      <c r="AK28" t="str">
        <v>14:38:53</v>
      </c>
      <c r="AL28" t="str">
        <v/>
      </c>
    </row>
    <row r="29">
      <c r="A29">
        <v>28</v>
      </c>
      <c r="B29" t="str">
        <v>MASS BSF</v>
      </c>
      <c r="C29" t="str">
        <v>F8P-915</v>
      </c>
      <c r="D29" t="str">
        <v>F8P-915</v>
      </c>
      <c r="E29" t="str">
        <v/>
      </c>
      <c r="F29" t="str">
        <v>867806075079972</v>
      </c>
      <c r="G29" t="str">
        <v>TBD</v>
      </c>
      <c r="H29" t="str">
        <v/>
      </c>
      <c r="I29" t="str">
        <v/>
      </c>
      <c r="J29" t="str">
        <v>17/09/2026</v>
      </c>
      <c r="K29" t="str">
        <v>15:29:45</v>
      </c>
      <c r="L29">
        <v>-12.317812</v>
      </c>
      <c r="M29">
        <v>-76.82434</v>
      </c>
      <c r="N29">
        <f>HYPERLINK("https://www.google.com/maps/search/?api=1&amp;query=-12.317812,-76.82434","Punta Hermosa, Lima")</f>
      </c>
      <c r="O29" t="str">
        <v>Inicio de ralentí</v>
      </c>
      <c r="P29">
        <v>240496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96</v>
      </c>
      <c r="AB29" t="str">
        <v>17/09/2026</v>
      </c>
      <c r="AC29" t="str">
        <v>15:29:44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15:30:07</v>
      </c>
      <c r="AK29" t="str">
        <v>15:30:07</v>
      </c>
      <c r="AL29" t="str">
        <v/>
      </c>
    </row>
    <row r="30">
      <c r="A30">
        <v>29</v>
      </c>
      <c r="B30" t="str">
        <v>MASS BSF</v>
      </c>
      <c r="C30" t="str">
        <v>F8P-915</v>
      </c>
      <c r="D30" t="str">
        <v>F8P-915</v>
      </c>
      <c r="E30" t="str">
        <v/>
      </c>
      <c r="F30" t="str">
        <v>867806075079972</v>
      </c>
      <c r="G30" t="str">
        <v>TBD</v>
      </c>
      <c r="H30" t="str">
        <v/>
      </c>
      <c r="I30" t="str">
        <v/>
      </c>
      <c r="J30" t="str">
        <v>17/09/2026</v>
      </c>
      <c r="K30" t="str">
        <v>15:32:26</v>
      </c>
      <c r="L30">
        <v>-12.317835</v>
      </c>
      <c r="M30">
        <v>-76.824265</v>
      </c>
      <c r="N30">
        <f>HYPERLINK("https://www.google.com/maps/search/?api=1&amp;query=-12.317835,-76.824265","Punta Hermosa, Lima")</f>
      </c>
      <c r="O30" t="str">
        <v>Fin de ralentí</v>
      </c>
      <c r="P30">
        <v>240496</v>
      </c>
      <c r="Q30" t="str">
        <v/>
      </c>
      <c r="R30">
        <v>5.5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96</v>
      </c>
      <c r="AB30" t="str">
        <v>17/09/2026</v>
      </c>
      <c r="AC30" t="str">
        <v>15:32:26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15:32:37</v>
      </c>
      <c r="AK30" t="str">
        <v>15:32:37</v>
      </c>
      <c r="AL30" t="str">
        <v/>
      </c>
    </row>
    <row r="31">
      <c r="A31">
        <v>30</v>
      </c>
      <c r="B31" t="str">
        <v>MASS BSF</v>
      </c>
      <c r="C31" t="str">
        <v>F8P-915</v>
      </c>
      <c r="D31" t="str">
        <v>F8P-915</v>
      </c>
      <c r="E31" t="str">
        <v/>
      </c>
      <c r="F31" t="str">
        <v>867806075079972</v>
      </c>
      <c r="G31" t="str">
        <v>TBD</v>
      </c>
      <c r="H31" t="str">
        <v/>
      </c>
      <c r="I31" t="str">
        <v/>
      </c>
      <c r="J31" t="str">
        <v>17/09/2026</v>
      </c>
      <c r="K31" t="str">
        <v>15:41:10</v>
      </c>
      <c r="L31">
        <v>-12.317823</v>
      </c>
      <c r="M31">
        <v>-76.82422</v>
      </c>
      <c r="N31">
        <f>HYPERLINK("https://www.google.com/maps/search/?api=1&amp;query=-12.317823,-76.82422","Punta Hermosa, Lima")</f>
      </c>
      <c r="O31" t="str">
        <v>Se detuvo</v>
      </c>
      <c r="P31">
        <v>240496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96</v>
      </c>
      <c r="AB31" t="str">
        <v>17/09/2026</v>
      </c>
      <c r="AC31" t="str">
        <v>15:41:09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15:41:25</v>
      </c>
      <c r="AK31" t="str">
        <v>15:41:25</v>
      </c>
      <c r="AL31" t="str">
        <v/>
      </c>
    </row>
  </sheetData>
  <ignoredErrors>
    <ignoredError numberStoredAsText="1" sqref="A1:A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