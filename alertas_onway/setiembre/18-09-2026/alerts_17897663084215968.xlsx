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b987204fe121cb1/Pictures/AS/Automatizaciones/MASS/REPORTE ALERTAS ONWAY/reportes_onway/setiembre/18-09-2026/"/>
    </mc:Choice>
  </mc:AlternateContent>
  <xr:revisionPtr revIDLastSave="2" documentId="11_B27F802A9318B0080800041B40528365A02D6148" xr6:coauthVersionLast="47" xr6:coauthVersionMax="47" xr10:uidLastSave="{6479FAA6-D3C8-4148-8F88-C3AB6C74008A}"/>
  <bookViews>
    <workbookView xWindow="-120" yWindow="-120" windowWidth="29040" windowHeight="15840" xr2:uid="{00000000-000D-0000-FFFF-FFFF00000000}"/>
  </bookViews>
  <sheets>
    <sheet name="Report Ale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AE48" i="1"/>
  <c r="AD48" i="1"/>
  <c r="N48" i="1"/>
  <c r="AE47" i="1"/>
  <c r="AD47" i="1"/>
  <c r="N47" i="1"/>
  <c r="AE46" i="1"/>
  <c r="AD46" i="1"/>
  <c r="N46" i="1"/>
  <c r="AE45" i="1"/>
  <c r="AD45" i="1"/>
  <c r="N45" i="1"/>
  <c r="AE44" i="1"/>
  <c r="AD44" i="1"/>
  <c r="N44" i="1"/>
  <c r="AE43" i="1"/>
  <c r="AD43" i="1"/>
  <c r="N43" i="1"/>
  <c r="AE42" i="1"/>
  <c r="AD42" i="1"/>
  <c r="N42" i="1"/>
  <c r="AE41" i="1"/>
  <c r="AD41" i="1"/>
  <c r="N41" i="1"/>
  <c r="AE40" i="1"/>
  <c r="AD40" i="1"/>
  <c r="N40" i="1"/>
  <c r="AE39" i="1"/>
  <c r="AD39" i="1"/>
  <c r="N39" i="1"/>
  <c r="AE38" i="1"/>
  <c r="AD38" i="1"/>
  <c r="N38" i="1"/>
  <c r="AE37" i="1"/>
  <c r="AD37" i="1"/>
  <c r="N37" i="1"/>
  <c r="AE36" i="1"/>
  <c r="AD36" i="1"/>
  <c r="N36" i="1"/>
  <c r="AE35" i="1"/>
  <c r="AD35" i="1"/>
  <c r="N35" i="1"/>
  <c r="AE34" i="1"/>
  <c r="AD34" i="1"/>
  <c r="N34" i="1"/>
  <c r="AE33" i="1"/>
  <c r="AD33" i="1"/>
  <c r="N33" i="1"/>
  <c r="AE32" i="1"/>
  <c r="AD32" i="1"/>
  <c r="N32" i="1"/>
  <c r="AE31" i="1"/>
  <c r="AD31" i="1"/>
  <c r="N31" i="1"/>
  <c r="AE30" i="1"/>
  <c r="AD30" i="1"/>
  <c r="N30" i="1"/>
  <c r="AE29" i="1"/>
  <c r="AD29" i="1"/>
  <c r="N29" i="1"/>
  <c r="AE28" i="1"/>
  <c r="AD28" i="1"/>
  <c r="N28" i="1"/>
  <c r="AE27" i="1"/>
  <c r="AD27" i="1"/>
  <c r="N27" i="1"/>
  <c r="AE26" i="1"/>
  <c r="AD26" i="1"/>
  <c r="N26" i="1"/>
  <c r="AE25" i="1"/>
  <c r="AD25" i="1"/>
  <c r="N25" i="1"/>
  <c r="AE24" i="1"/>
  <c r="AD24" i="1"/>
  <c r="N24" i="1"/>
  <c r="AE23" i="1"/>
  <c r="AD23" i="1"/>
  <c r="N23" i="1"/>
  <c r="AE22" i="1"/>
  <c r="AD22" i="1"/>
  <c r="N22" i="1"/>
  <c r="AE21" i="1"/>
  <c r="AD21" i="1"/>
  <c r="N21" i="1"/>
  <c r="AE20" i="1"/>
  <c r="AD20" i="1"/>
  <c r="N20" i="1"/>
  <c r="AE19" i="1"/>
  <c r="AD19" i="1"/>
  <c r="N19" i="1"/>
  <c r="AE18" i="1"/>
  <c r="AD18" i="1"/>
  <c r="N18" i="1"/>
  <c r="AE17" i="1"/>
  <c r="AD17" i="1"/>
  <c r="N17" i="1"/>
  <c r="AE16" i="1"/>
  <c r="AD16" i="1"/>
  <c r="N16" i="1"/>
  <c r="AE15" i="1"/>
  <c r="AD15" i="1"/>
  <c r="N15" i="1"/>
  <c r="AE14" i="1"/>
  <c r="AD14" i="1"/>
  <c r="N14" i="1"/>
  <c r="AE13" i="1"/>
  <c r="AD13" i="1"/>
  <c r="N13" i="1"/>
  <c r="AE12" i="1"/>
  <c r="AD12" i="1"/>
  <c r="N12" i="1"/>
  <c r="AE11" i="1"/>
  <c r="AD11" i="1"/>
  <c r="N11" i="1"/>
  <c r="AE10" i="1"/>
  <c r="AD10" i="1"/>
  <c r="N10" i="1"/>
  <c r="AE9" i="1"/>
  <c r="AD9" i="1"/>
  <c r="N9" i="1"/>
  <c r="AE8" i="1"/>
  <c r="AD8" i="1"/>
  <c r="N8" i="1"/>
  <c r="AE7" i="1"/>
  <c r="AD7" i="1"/>
  <c r="N7" i="1"/>
  <c r="AE6" i="1"/>
  <c r="AD6" i="1"/>
  <c r="N6" i="1"/>
  <c r="AE5" i="1"/>
  <c r="AD5" i="1"/>
  <c r="N5" i="1"/>
  <c r="AE4" i="1"/>
  <c r="AD4" i="1"/>
  <c r="N4" i="1"/>
  <c r="AE3" i="1"/>
  <c r="AD3" i="1"/>
  <c r="N3" i="1"/>
  <c r="AE2" i="1"/>
  <c r="AD2" i="1"/>
</calcChain>
</file>

<file path=xl/sharedStrings.xml><?xml version="1.0" encoding="utf-8"?>
<sst xmlns="http://schemas.openxmlformats.org/spreadsheetml/2006/main" count="1354" uniqueCount="233">
  <si>
    <t>Secuencia</t>
  </si>
  <si>
    <t>Grupo</t>
  </si>
  <si>
    <t>Alias</t>
  </si>
  <si>
    <t>Placa/Patente</t>
  </si>
  <si>
    <t>Etiquetas</t>
  </si>
  <si>
    <t>IMEI</t>
  </si>
  <si>
    <t>Tipo de carrocería</t>
  </si>
  <si>
    <t>Empresa</t>
  </si>
  <si>
    <t>Conductor</t>
  </si>
  <si>
    <t>Fecha</t>
  </si>
  <si>
    <t>Hora</t>
  </si>
  <si>
    <t>Latitud</t>
  </si>
  <si>
    <t>Longitud</t>
  </si>
  <si>
    <t>Dirección</t>
  </si>
  <si>
    <t>Alerta</t>
  </si>
  <si>
    <t>Odómetro (Km)</t>
  </si>
  <si>
    <t>Zona</t>
  </si>
  <si>
    <t>Velocidad (Km/h)</t>
  </si>
  <si>
    <t>Horómetro (Hrs)</t>
  </si>
  <si>
    <t>Velocidad máxima permitida</t>
  </si>
  <si>
    <t>Velocidad máxima alcanzada</t>
  </si>
  <si>
    <t>Velocidad promedio</t>
  </si>
  <si>
    <t>Duración (segundos)</t>
  </si>
  <si>
    <t>Severidad de la alerta</t>
  </si>
  <si>
    <t>Fecha y hora de inicio del exceso</t>
  </si>
  <si>
    <t>Fecha y hora de fin del exceso</t>
  </si>
  <si>
    <t>% Batería</t>
  </si>
  <si>
    <t>Fecha GPS</t>
  </si>
  <si>
    <t>Hora GPS</t>
  </si>
  <si>
    <t>Estado GPS</t>
  </si>
  <si>
    <t>Atención Alerta</t>
  </si>
  <si>
    <t>Reporte de Alerta</t>
  </si>
  <si>
    <t>Fecha Reporte Al.</t>
  </si>
  <si>
    <t>Hora Reporte Al.</t>
  </si>
  <si>
    <t>Registro de Atención</t>
  </si>
  <si>
    <t>Fecha Registro At.</t>
  </si>
  <si>
    <t>Hora Registro At.</t>
  </si>
  <si>
    <t>Notas</t>
  </si>
  <si>
    <t>MASS BSF</t>
  </si>
  <si>
    <t>BXT-918</t>
  </si>
  <si>
    <t/>
  </si>
  <si>
    <t>867806075765992</t>
  </si>
  <si>
    <t>TBD</t>
  </si>
  <si>
    <t>18/09/2026</t>
  </si>
  <si>
    <t>05:19:05</t>
  </si>
  <si>
    <t>Inicio de ralentí</t>
  </si>
  <si>
    <t>05:19:02</t>
  </si>
  <si>
    <t>18/09/2026 05:19:26</t>
  </si>
  <si>
    <t>05:19:26</t>
  </si>
  <si>
    <t>05:21:03</t>
  </si>
  <si>
    <t>Fin de ralentí</t>
  </si>
  <si>
    <t>05:21:01</t>
  </si>
  <si>
    <t>18/09/2026 05:21:08</t>
  </si>
  <si>
    <t>05:21:08</t>
  </si>
  <si>
    <t>05:54:10</t>
  </si>
  <si>
    <t>05:54:07</t>
  </si>
  <si>
    <t>18/09/2026 05:54:18</t>
  </si>
  <si>
    <t>05:54:18</t>
  </si>
  <si>
    <t>05:56:55</t>
  </si>
  <si>
    <t>05:56:52</t>
  </si>
  <si>
    <t>18/09/2026 05:57:07</t>
  </si>
  <si>
    <t>05:57:07</t>
  </si>
  <si>
    <t>05:59:06</t>
  </si>
  <si>
    <t>Se detuvo</t>
  </si>
  <si>
    <t>05:59:03</t>
  </si>
  <si>
    <t>18/09/2026 05:59:14</t>
  </si>
  <si>
    <t>05:59:14</t>
  </si>
  <si>
    <t>07:01:52</t>
  </si>
  <si>
    <t>07:01:48</t>
  </si>
  <si>
    <t>18/09/2026 07:02:07</t>
  </si>
  <si>
    <t>07:02:07</t>
  </si>
  <si>
    <t>07:04:33</t>
  </si>
  <si>
    <t>07:04:29</t>
  </si>
  <si>
    <t>18/09/2026 07:04:49</t>
  </si>
  <si>
    <t>07:04:49</t>
  </si>
  <si>
    <t>07:06:31</t>
  </si>
  <si>
    <t>07:06:27</t>
  </si>
  <si>
    <t>18/09/2026 07:06:57</t>
  </si>
  <si>
    <t>07:06:57</t>
  </si>
  <si>
    <t>07:29:37</t>
  </si>
  <si>
    <t>07:29:33</t>
  </si>
  <si>
    <t>18/09/2026 07:29:46</t>
  </si>
  <si>
    <t>07:29:46</t>
  </si>
  <si>
    <t>07:47:44</t>
  </si>
  <si>
    <t>07:47:40</t>
  </si>
  <si>
    <t>18/09/2026 07:47:51</t>
  </si>
  <si>
    <t>07:47:51</t>
  </si>
  <si>
    <t>07:50:48</t>
  </si>
  <si>
    <t>07:50:44</t>
  </si>
  <si>
    <t>18/09/2026 07:51:03</t>
  </si>
  <si>
    <t>07:51:03</t>
  </si>
  <si>
    <t>07:52:53</t>
  </si>
  <si>
    <t>07:52:49</t>
  </si>
  <si>
    <t>18/09/2026 07:53:14</t>
  </si>
  <si>
    <t>07:53:14</t>
  </si>
  <si>
    <t>09:25:38</t>
  </si>
  <si>
    <t>09:25:33</t>
  </si>
  <si>
    <t>18/09/2026 09:25:51</t>
  </si>
  <si>
    <t>09:25:51</t>
  </si>
  <si>
    <t>09:31:25</t>
  </si>
  <si>
    <t>09:31:20</t>
  </si>
  <si>
    <t>18/09/2026 09:31:34</t>
  </si>
  <si>
    <t>09:31:34</t>
  </si>
  <si>
    <t>09:34:53</t>
  </si>
  <si>
    <t>09:34:49</t>
  </si>
  <si>
    <t>18/09/2026 09:35:16</t>
  </si>
  <si>
    <t>09:35:16</t>
  </si>
  <si>
    <t>09:39:09</t>
  </si>
  <si>
    <t>09:39:04</t>
  </si>
  <si>
    <t>18/09/2026 09:39:24</t>
  </si>
  <si>
    <t>09:39:24</t>
  </si>
  <si>
    <t>09:41:33</t>
  </si>
  <si>
    <t>09:41:29</t>
  </si>
  <si>
    <t>18/09/2026 09:41:46</t>
  </si>
  <si>
    <t>09:41:46</t>
  </si>
  <si>
    <t>09:45:18</t>
  </si>
  <si>
    <t>09:45:13</t>
  </si>
  <si>
    <t>18/09/2026 09:45:24</t>
  </si>
  <si>
    <t>09:45:24</t>
  </si>
  <si>
    <t>09:49:06</t>
  </si>
  <si>
    <t>09:49:01</t>
  </si>
  <si>
    <t>18/09/2026 09:49:17</t>
  </si>
  <si>
    <t>09:49:17</t>
  </si>
  <si>
    <t>09:58:59</t>
  </si>
  <si>
    <t>Encendido o Entró en cobertura</t>
  </si>
  <si>
    <t>09:58:42</t>
  </si>
  <si>
    <t>18/09/2026 09:59:07</t>
  </si>
  <si>
    <t>09:59:07</t>
  </si>
  <si>
    <t>10:10:52</t>
  </si>
  <si>
    <t>10:10:47</t>
  </si>
  <si>
    <t>18/09/2026 10:11:00</t>
  </si>
  <si>
    <t>10:11:00</t>
  </si>
  <si>
    <t>10:35:44</t>
  </si>
  <si>
    <t>10:35:39</t>
  </si>
  <si>
    <t>18/09/2026 10:35:56</t>
  </si>
  <si>
    <t>10:35:56</t>
  </si>
  <si>
    <t>10:37:22</t>
  </si>
  <si>
    <t>10:37:17</t>
  </si>
  <si>
    <t>18/09/2026 10:37:25</t>
  </si>
  <si>
    <t>10:37:25</t>
  </si>
  <si>
    <t>10:40:59</t>
  </si>
  <si>
    <t>10:40:54</t>
  </si>
  <si>
    <t>18/09/2026 10:41:09</t>
  </si>
  <si>
    <t>10:41:09</t>
  </si>
  <si>
    <t>10:41:02</t>
  </si>
  <si>
    <t>10:40:57</t>
  </si>
  <si>
    <t>18/09/2026 10:41:17</t>
  </si>
  <si>
    <t>10:41:17</t>
  </si>
  <si>
    <t>10:42:57</t>
  </si>
  <si>
    <t>10:42:52</t>
  </si>
  <si>
    <t>18/09/2026 10:43:13</t>
  </si>
  <si>
    <t>10:43:13</t>
  </si>
  <si>
    <t>11:00:15</t>
  </si>
  <si>
    <t>11:00:10</t>
  </si>
  <si>
    <t>18/09/2026 11:00:24</t>
  </si>
  <si>
    <t>11:00:24</t>
  </si>
  <si>
    <t>11:00:36</t>
  </si>
  <si>
    <t>11:00:32</t>
  </si>
  <si>
    <t>18/09/2026 11:00:43</t>
  </si>
  <si>
    <t>11:00:43</t>
  </si>
  <si>
    <t>11:07:08</t>
  </si>
  <si>
    <t>11:07:03</t>
  </si>
  <si>
    <t>18/09/2026 11:07:21</t>
  </si>
  <si>
    <t>11:07:21</t>
  </si>
  <si>
    <t>11:10:20</t>
  </si>
  <si>
    <t>11:10:15</t>
  </si>
  <si>
    <t>18/09/2026 11:10:28</t>
  </si>
  <si>
    <t>11:10:28</t>
  </si>
  <si>
    <t>11:12:56</t>
  </si>
  <si>
    <t>11:12:51</t>
  </si>
  <si>
    <t>18/09/2026 11:13:06</t>
  </si>
  <si>
    <t>11:13:06</t>
  </si>
  <si>
    <t>11:14:16</t>
  </si>
  <si>
    <t>18/09/2026 11:14:26</t>
  </si>
  <si>
    <t>11:14:26</t>
  </si>
  <si>
    <t>11:31:15</t>
  </si>
  <si>
    <t>11:31:10</t>
  </si>
  <si>
    <t>18/09/2026 11:31:28</t>
  </si>
  <si>
    <t>11:31:28</t>
  </si>
  <si>
    <t>11:33:03</t>
  </si>
  <si>
    <t>11:32:58</t>
  </si>
  <si>
    <t>18/09/2026 11:33:09</t>
  </si>
  <si>
    <t>11:33:09</t>
  </si>
  <si>
    <t>11:36:12</t>
  </si>
  <si>
    <t>11:36:07</t>
  </si>
  <si>
    <t>18/09/2026 11:36:19</t>
  </si>
  <si>
    <t>11:36:19</t>
  </si>
  <si>
    <t>12:05:07</t>
  </si>
  <si>
    <t>12:05:06</t>
  </si>
  <si>
    <t>18/09/2026 12:05:22</t>
  </si>
  <si>
    <t>12:05:22</t>
  </si>
  <si>
    <t>12:09:38</t>
  </si>
  <si>
    <t>12:09:37</t>
  </si>
  <si>
    <t>18/09/2026 12:09:57</t>
  </si>
  <si>
    <t>12:09:57</t>
  </si>
  <si>
    <t>12:11:32</t>
  </si>
  <si>
    <t>18/09/2026 12:11:49</t>
  </si>
  <si>
    <t>12:11:49</t>
  </si>
  <si>
    <t>12:20:50</t>
  </si>
  <si>
    <t>12:20:49</t>
  </si>
  <si>
    <t>18/09/2026 12:21:12</t>
  </si>
  <si>
    <t>12:21:12</t>
  </si>
  <si>
    <t>12:31:24</t>
  </si>
  <si>
    <t>12:30:03</t>
  </si>
  <si>
    <t>18/09/2026 12:31:30</t>
  </si>
  <si>
    <t>12:31:30</t>
  </si>
  <si>
    <t>12:54:35</t>
  </si>
  <si>
    <t>12:54:34</t>
  </si>
  <si>
    <t>18/09/2026 12:54:41</t>
  </si>
  <si>
    <t>12:54:41</t>
  </si>
  <si>
    <t>12:54:56</t>
  </si>
  <si>
    <t>12:54:55</t>
  </si>
  <si>
    <t>18/09/2026 12:55:16</t>
  </si>
  <si>
    <t>12:55:16</t>
  </si>
  <si>
    <t>12:59:43</t>
  </si>
  <si>
    <t>12:59:42</t>
  </si>
  <si>
    <t>18/09/2026 12:59:56</t>
  </si>
  <si>
    <t>12:59:56</t>
  </si>
  <si>
    <t>13:47:59</t>
  </si>
  <si>
    <t>13:47:58</t>
  </si>
  <si>
    <t>18/09/2026 13:48:12</t>
  </si>
  <si>
    <t>13:48:12</t>
  </si>
  <si>
    <t>13:52:08</t>
  </si>
  <si>
    <t>18/09/2026 13:52:15</t>
  </si>
  <si>
    <t>13:52:15</t>
  </si>
  <si>
    <t>14:31:54</t>
  </si>
  <si>
    <t>14:31:53</t>
  </si>
  <si>
    <t>18/09/2026 14:32:05</t>
  </si>
  <si>
    <t>14:32:05</t>
  </si>
  <si>
    <t>14:44:39</t>
  </si>
  <si>
    <t>14:44:38</t>
  </si>
  <si>
    <t>18/09/2026 14:44:51</t>
  </si>
  <si>
    <t>14:44:51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</si>
</sst>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8"/>
  <sheetViews>
    <sheetView tabSelected="1" workbookViewId="0">
      <selection activeCell="N2" sqref="N2"/>
    </sheetView>
  </sheetViews>
  <sheetFormatPr baseColWidth="10" defaultRowHeight="15" x14ac:dyDescent="0.25"/>
  <cols>
    <col min="14" max="14" width="46.75" bestFit="1" customWidth="1"/>
  </cols>
  <sheetData>
    <row r="1" spans="1:3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t="15.75" x14ac:dyDescent="0.25">
      <c r="A2">
        <v>1</v>
      </c>
      <c r="B2" t="s">
        <v>38</v>
      </c>
      <c r="C2" t="s">
        <v>39</v>
      </c>
      <c r="D2" t="s">
        <v>39</v>
      </c>
      <c r="E2" t="s">
        <v>40</v>
      </c>
      <c r="F2" t="s">
        <v>41</v>
      </c>
      <c r="G2" t="s">
        <v>42</v>
      </c>
      <c r="H2" t="s">
        <v>40</v>
      </c>
      <c r="I2" t="s">
        <v>40</v>
      </c>
      <c r="J2" t="s">
        <v>43</v>
      </c>
      <c r="K2" t="s">
        <v>44</v>
      </c>
      <c r="L2">
        <v>-12.213032</v>
      </c>
      <c r="M2">
        <v>-76.959090000000003</v>
      </c>
      <c r="N2" s="1" t="str">
        <f>HYPERLINK("https://www.google.com/maps/search/?api=1&amp;query=-12.213032,-76.95909","Avenida Villa del Mar, Villa El Salvador, Lima")</f>
        <v>Avenida Villa del Mar, Villa El Salvador, Lima</v>
      </c>
      <c r="O2" t="s">
        <v>45</v>
      </c>
      <c r="P2">
        <v>70844</v>
      </c>
      <c r="Q2" t="s">
        <v>40</v>
      </c>
      <c r="R2">
        <v>0</v>
      </c>
      <c r="S2">
        <v>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>
        <v>77</v>
      </c>
      <c r="AB2" t="s">
        <v>43</v>
      </c>
      <c r="AC2" t="s">
        <v>46</v>
      </c>
      <c r="AD2" t="str">
        <f t="shared" ref="AD2:AD48" si="0">IF("ONLINE"="NOGPS","GPS Antiguo","En línea")</f>
        <v>En línea</v>
      </c>
      <c r="AE2" t="str">
        <f t="shared" ref="AE2:AE48" si="1">IF(0=0,"Sin atender", IF(0=1,"Atendida","Atendida y Reportada"))</f>
        <v>Sin atender</v>
      </c>
      <c r="AF2" t="s">
        <v>40</v>
      </c>
      <c r="AG2" t="s">
        <v>40</v>
      </c>
      <c r="AH2" t="s">
        <v>40</v>
      </c>
      <c r="AI2" t="s">
        <v>40</v>
      </c>
      <c r="AJ2" t="s">
        <v>47</v>
      </c>
      <c r="AK2" t="s">
        <v>48</v>
      </c>
      <c r="AL2" t="s">
        <v>40</v>
      </c>
    </row>
    <row r="3" spans="1:38" ht="15.75" x14ac:dyDescent="0.25">
      <c r="A3">
        <v>2</v>
      </c>
      <c r="B3" t="s">
        <v>38</v>
      </c>
      <c r="C3" t="s">
        <v>39</v>
      </c>
      <c r="D3" t="s">
        <v>39</v>
      </c>
      <c r="E3" t="s">
        <v>40</v>
      </c>
      <c r="F3" t="s">
        <v>41</v>
      </c>
      <c r="G3" t="s">
        <v>42</v>
      </c>
      <c r="H3" t="s">
        <v>40</v>
      </c>
      <c r="I3" t="s">
        <v>40</v>
      </c>
      <c r="J3" t="s">
        <v>43</v>
      </c>
      <c r="K3" t="s">
        <v>49</v>
      </c>
      <c r="L3">
        <v>-12.212947</v>
      </c>
      <c r="M3">
        <v>-76.959159999999997</v>
      </c>
      <c r="N3" t="str">
        <f>HYPERLINK("https://www.google.com/maps/search/?api=1&amp;query=-12.212947,-76.95916","Avenida Villa del Mar, Villa El Salvador, Lima")</f>
        <v>Avenida Villa del Mar, Villa El Salvador, Lima</v>
      </c>
      <c r="O3" t="s">
        <v>50</v>
      </c>
      <c r="P3">
        <v>70844</v>
      </c>
      <c r="Q3" t="s">
        <v>40</v>
      </c>
      <c r="R3">
        <v>5.7</v>
      </c>
      <c r="S3">
        <v>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>
        <v>77</v>
      </c>
      <c r="AB3" t="s">
        <v>43</v>
      </c>
      <c r="AC3" t="s">
        <v>51</v>
      </c>
      <c r="AD3" t="str">
        <f t="shared" si="0"/>
        <v>En línea</v>
      </c>
      <c r="AE3" t="str">
        <f t="shared" si="1"/>
        <v>Sin atender</v>
      </c>
      <c r="AF3" t="s">
        <v>40</v>
      </c>
      <c r="AG3" t="s">
        <v>40</v>
      </c>
      <c r="AH3" t="s">
        <v>40</v>
      </c>
      <c r="AI3" t="s">
        <v>40</v>
      </c>
      <c r="AJ3" t="s">
        <v>52</v>
      </c>
      <c r="AK3" t="s">
        <v>53</v>
      </c>
      <c r="AL3" t="s">
        <v>40</v>
      </c>
    </row>
    <row r="4" spans="1:38" ht="15.75" x14ac:dyDescent="0.25">
      <c r="A4">
        <v>3</v>
      </c>
      <c r="B4" t="s">
        <v>38</v>
      </c>
      <c r="C4" t="s">
        <v>39</v>
      </c>
      <c r="D4" t="s">
        <v>39</v>
      </c>
      <c r="E4" t="s">
        <v>40</v>
      </c>
      <c r="F4" t="s">
        <v>41</v>
      </c>
      <c r="G4" t="s">
        <v>42</v>
      </c>
      <c r="H4" t="s">
        <v>40</v>
      </c>
      <c r="I4" t="s">
        <v>40</v>
      </c>
      <c r="J4" t="s">
        <v>43</v>
      </c>
      <c r="K4" t="s">
        <v>54</v>
      </c>
      <c r="L4">
        <v>-12.148218</v>
      </c>
      <c r="M4">
        <v>-76.94502</v>
      </c>
      <c r="N4" t="str">
        <f>HYPERLINK("https://www.google.com/maps/search/?api=1&amp;query=-12.148218,-76.94502","Inca Garcilaso de La Vega, Villa María del Triunfo, Lima")</f>
        <v>Inca Garcilaso de La Vega, Villa María del Triunfo, Lima</v>
      </c>
      <c r="O4" t="s">
        <v>45</v>
      </c>
      <c r="P4">
        <v>70844</v>
      </c>
      <c r="Q4" t="s">
        <v>40</v>
      </c>
      <c r="R4">
        <v>0</v>
      </c>
      <c r="S4">
        <v>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>
        <v>83</v>
      </c>
      <c r="AB4" t="s">
        <v>43</v>
      </c>
      <c r="AC4" t="s">
        <v>55</v>
      </c>
      <c r="AD4" t="str">
        <f t="shared" si="0"/>
        <v>En línea</v>
      </c>
      <c r="AE4" t="str">
        <f t="shared" si="1"/>
        <v>Sin atender</v>
      </c>
      <c r="AF4" t="s">
        <v>40</v>
      </c>
      <c r="AG4" t="s">
        <v>40</v>
      </c>
      <c r="AH4" t="s">
        <v>40</v>
      </c>
      <c r="AI4" t="s">
        <v>40</v>
      </c>
      <c r="AJ4" t="s">
        <v>56</v>
      </c>
      <c r="AK4" t="s">
        <v>57</v>
      </c>
      <c r="AL4" t="s">
        <v>40</v>
      </c>
    </row>
    <row r="5" spans="1:38" ht="15.75" x14ac:dyDescent="0.25">
      <c r="A5">
        <v>4</v>
      </c>
      <c r="B5" t="s">
        <v>38</v>
      </c>
      <c r="C5" t="s">
        <v>39</v>
      </c>
      <c r="D5" t="s">
        <v>39</v>
      </c>
      <c r="E5" t="s">
        <v>40</v>
      </c>
      <c r="F5" t="s">
        <v>41</v>
      </c>
      <c r="G5" t="s">
        <v>42</v>
      </c>
      <c r="H5" t="s">
        <v>40</v>
      </c>
      <c r="I5" t="s">
        <v>40</v>
      </c>
      <c r="J5" t="s">
        <v>43</v>
      </c>
      <c r="K5" t="s">
        <v>58</v>
      </c>
      <c r="L5">
        <v>-12.148218</v>
      </c>
      <c r="M5">
        <v>-76.94502</v>
      </c>
      <c r="N5" t="str">
        <f>HYPERLINK("https://www.google.com/maps/search/?api=1&amp;query=-12.148218,-76.94502","Inca Garcilaso de La Vega, Villa María del Triunfo, Lima")</f>
        <v>Inca Garcilaso de La Vega, Villa María del Triunfo, Lima</v>
      </c>
      <c r="O5" t="s">
        <v>50</v>
      </c>
      <c r="P5">
        <v>70844</v>
      </c>
      <c r="Q5" t="s">
        <v>40</v>
      </c>
      <c r="R5">
        <v>0</v>
      </c>
      <c r="S5">
        <v>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>
        <v>83</v>
      </c>
      <c r="AB5" t="s">
        <v>43</v>
      </c>
      <c r="AC5" t="s">
        <v>59</v>
      </c>
      <c r="AD5" t="str">
        <f t="shared" si="0"/>
        <v>En línea</v>
      </c>
      <c r="AE5" t="str">
        <f t="shared" si="1"/>
        <v>Sin atender</v>
      </c>
      <c r="AF5" t="s">
        <v>40</v>
      </c>
      <c r="AG5" t="s">
        <v>40</v>
      </c>
      <c r="AH5" t="s">
        <v>40</v>
      </c>
      <c r="AI5" t="s">
        <v>40</v>
      </c>
      <c r="AJ5" t="s">
        <v>60</v>
      </c>
      <c r="AK5" t="s">
        <v>61</v>
      </c>
      <c r="AL5" t="s">
        <v>40</v>
      </c>
    </row>
    <row r="6" spans="1:38" ht="15.75" x14ac:dyDescent="0.25">
      <c r="A6">
        <v>5</v>
      </c>
      <c r="B6" t="s">
        <v>38</v>
      </c>
      <c r="C6" t="s">
        <v>39</v>
      </c>
      <c r="D6" t="s">
        <v>39</v>
      </c>
      <c r="E6" t="s">
        <v>40</v>
      </c>
      <c r="F6" t="s">
        <v>41</v>
      </c>
      <c r="G6" t="s">
        <v>42</v>
      </c>
      <c r="H6" t="s">
        <v>40</v>
      </c>
      <c r="I6" t="s">
        <v>40</v>
      </c>
      <c r="J6" t="s">
        <v>43</v>
      </c>
      <c r="K6" t="s">
        <v>62</v>
      </c>
      <c r="L6">
        <v>-12.148218</v>
      </c>
      <c r="M6">
        <v>-76.94502</v>
      </c>
      <c r="N6" t="str">
        <f>HYPERLINK("https://www.google.com/maps/search/?api=1&amp;query=-12.148218,-76.94502","Inca Garcilaso de La Vega, Villa María del Triunfo, Lima")</f>
        <v>Inca Garcilaso de La Vega, Villa María del Triunfo, Lima</v>
      </c>
      <c r="O6" t="s">
        <v>63</v>
      </c>
      <c r="P6">
        <v>70844</v>
      </c>
      <c r="Q6" t="s">
        <v>40</v>
      </c>
      <c r="R6">
        <v>0</v>
      </c>
      <c r="S6">
        <v>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>
        <v>83</v>
      </c>
      <c r="AB6" t="s">
        <v>43</v>
      </c>
      <c r="AC6" t="s">
        <v>64</v>
      </c>
      <c r="AD6" t="str">
        <f t="shared" si="0"/>
        <v>En línea</v>
      </c>
      <c r="AE6" t="str">
        <f t="shared" si="1"/>
        <v>Sin atender</v>
      </c>
      <c r="AF6" t="s">
        <v>40</v>
      </c>
      <c r="AG6" t="s">
        <v>40</v>
      </c>
      <c r="AH6" t="s">
        <v>40</v>
      </c>
      <c r="AI6" t="s">
        <v>40</v>
      </c>
      <c r="AJ6" t="s">
        <v>65</v>
      </c>
      <c r="AK6" t="s">
        <v>66</v>
      </c>
      <c r="AL6" t="s">
        <v>40</v>
      </c>
    </row>
    <row r="7" spans="1:38" ht="15.75" x14ac:dyDescent="0.25">
      <c r="A7">
        <v>6</v>
      </c>
      <c r="B7" t="s">
        <v>38</v>
      </c>
      <c r="C7" t="s">
        <v>39</v>
      </c>
      <c r="D7" t="s">
        <v>39</v>
      </c>
      <c r="E7" t="s">
        <v>40</v>
      </c>
      <c r="F7" t="s">
        <v>41</v>
      </c>
      <c r="G7" t="s">
        <v>42</v>
      </c>
      <c r="H7" t="s">
        <v>40</v>
      </c>
      <c r="I7" t="s">
        <v>40</v>
      </c>
      <c r="J7" t="s">
        <v>43</v>
      </c>
      <c r="K7" t="s">
        <v>67</v>
      </c>
      <c r="L7">
        <v>-12.143236999999999</v>
      </c>
      <c r="M7">
        <v>-76.944590000000005</v>
      </c>
      <c r="N7" t="str">
        <f>HYPERLINK("https://www.google.com/maps/search/?api=1&amp;query=-12.143237,-76.94459","Avenida José Olaya, Villa María del Triunfo, Lima")</f>
        <v>Avenida José Olaya, Villa María del Triunfo, Lima</v>
      </c>
      <c r="O7" t="s">
        <v>45</v>
      </c>
      <c r="P7">
        <v>70844</v>
      </c>
      <c r="Q7" t="s">
        <v>40</v>
      </c>
      <c r="R7">
        <v>0</v>
      </c>
      <c r="S7">
        <v>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>
        <v>82</v>
      </c>
      <c r="AB7" t="s">
        <v>43</v>
      </c>
      <c r="AC7" t="s">
        <v>68</v>
      </c>
      <c r="AD7" t="str">
        <f t="shared" si="0"/>
        <v>En línea</v>
      </c>
      <c r="AE7" t="str">
        <f t="shared" si="1"/>
        <v>Sin atender</v>
      </c>
      <c r="AF7" t="s">
        <v>40</v>
      </c>
      <c r="AG7" t="s">
        <v>40</v>
      </c>
      <c r="AH7" t="s">
        <v>40</v>
      </c>
      <c r="AI7" t="s">
        <v>40</v>
      </c>
      <c r="AJ7" t="s">
        <v>69</v>
      </c>
      <c r="AK7" t="s">
        <v>70</v>
      </c>
      <c r="AL7" t="s">
        <v>40</v>
      </c>
    </row>
    <row r="8" spans="1:38" ht="15.75" x14ac:dyDescent="0.25">
      <c r="A8">
        <v>7</v>
      </c>
      <c r="B8" t="s">
        <v>38</v>
      </c>
      <c r="C8" t="s">
        <v>39</v>
      </c>
      <c r="D8" t="s">
        <v>39</v>
      </c>
      <c r="E8" t="s">
        <v>40</v>
      </c>
      <c r="F8" t="s">
        <v>41</v>
      </c>
      <c r="G8" t="s">
        <v>42</v>
      </c>
      <c r="H8" t="s">
        <v>40</v>
      </c>
      <c r="I8" t="s">
        <v>40</v>
      </c>
      <c r="J8" t="s">
        <v>43</v>
      </c>
      <c r="K8" t="s">
        <v>71</v>
      </c>
      <c r="L8">
        <v>-12.143236999999999</v>
      </c>
      <c r="M8">
        <v>-76.944590000000005</v>
      </c>
      <c r="N8" t="str">
        <f>HYPERLINK("https://www.google.com/maps/search/?api=1&amp;query=-12.143237,-76.94459","Avenida José Olaya, Villa María del Triunfo, Lima")</f>
        <v>Avenida José Olaya, Villa María del Triunfo, Lima</v>
      </c>
      <c r="O8" t="s">
        <v>50</v>
      </c>
      <c r="P8">
        <v>70844</v>
      </c>
      <c r="Q8" t="s">
        <v>40</v>
      </c>
      <c r="R8">
        <v>0</v>
      </c>
      <c r="S8">
        <v>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>
        <v>82</v>
      </c>
      <c r="AB8" t="s">
        <v>43</v>
      </c>
      <c r="AC8" t="s">
        <v>72</v>
      </c>
      <c r="AD8" t="str">
        <f t="shared" si="0"/>
        <v>En línea</v>
      </c>
      <c r="AE8" t="str">
        <f t="shared" si="1"/>
        <v>Sin atender</v>
      </c>
      <c r="AF8" t="s">
        <v>40</v>
      </c>
      <c r="AG8" t="s">
        <v>40</v>
      </c>
      <c r="AH8" t="s">
        <v>40</v>
      </c>
      <c r="AI8" t="s">
        <v>40</v>
      </c>
      <c r="AJ8" t="s">
        <v>73</v>
      </c>
      <c r="AK8" t="s">
        <v>74</v>
      </c>
      <c r="AL8" t="s">
        <v>40</v>
      </c>
    </row>
    <row r="9" spans="1:38" ht="15.75" x14ac:dyDescent="0.25">
      <c r="A9">
        <v>8</v>
      </c>
      <c r="B9" t="s">
        <v>38</v>
      </c>
      <c r="C9" t="s">
        <v>39</v>
      </c>
      <c r="D9" t="s">
        <v>39</v>
      </c>
      <c r="E9" t="s">
        <v>40</v>
      </c>
      <c r="F9" t="s">
        <v>41</v>
      </c>
      <c r="G9" t="s">
        <v>42</v>
      </c>
      <c r="H9" t="s">
        <v>40</v>
      </c>
      <c r="I9" t="s">
        <v>40</v>
      </c>
      <c r="J9" t="s">
        <v>43</v>
      </c>
      <c r="K9" t="s">
        <v>75</v>
      </c>
      <c r="L9">
        <v>-12.143236999999999</v>
      </c>
      <c r="M9">
        <v>-76.944590000000005</v>
      </c>
      <c r="N9" t="str">
        <f>HYPERLINK("https://www.google.com/maps/search/?api=1&amp;query=-12.143237,-76.94459","Avenida José Olaya, Villa María del Triunfo, Lima")</f>
        <v>Avenida José Olaya, Villa María del Triunfo, Lima</v>
      </c>
      <c r="O9" t="s">
        <v>63</v>
      </c>
      <c r="P9">
        <v>70844</v>
      </c>
      <c r="Q9" t="s">
        <v>40</v>
      </c>
      <c r="R9">
        <v>0</v>
      </c>
      <c r="S9">
        <v>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>
        <v>82</v>
      </c>
      <c r="AB9" t="s">
        <v>43</v>
      </c>
      <c r="AC9" t="s">
        <v>76</v>
      </c>
      <c r="AD9" t="str">
        <f t="shared" si="0"/>
        <v>En línea</v>
      </c>
      <c r="AE9" t="str">
        <f t="shared" si="1"/>
        <v>Sin atender</v>
      </c>
      <c r="AF9" t="s">
        <v>40</v>
      </c>
      <c r="AG9" t="s">
        <v>40</v>
      </c>
      <c r="AH9" t="s">
        <v>40</v>
      </c>
      <c r="AI9" t="s">
        <v>40</v>
      </c>
      <c r="AJ9" t="s">
        <v>77</v>
      </c>
      <c r="AK9" t="s">
        <v>78</v>
      </c>
      <c r="AL9" t="s">
        <v>40</v>
      </c>
    </row>
    <row r="10" spans="1:38" ht="15.75" x14ac:dyDescent="0.25">
      <c r="A10">
        <v>9</v>
      </c>
      <c r="B10" t="s">
        <v>38</v>
      </c>
      <c r="C10" t="s">
        <v>39</v>
      </c>
      <c r="D10" t="s">
        <v>39</v>
      </c>
      <c r="E10" t="s">
        <v>40</v>
      </c>
      <c r="F10" t="s">
        <v>41</v>
      </c>
      <c r="G10" t="s">
        <v>42</v>
      </c>
      <c r="H10" t="s">
        <v>40</v>
      </c>
      <c r="I10" t="s">
        <v>40</v>
      </c>
      <c r="J10" t="s">
        <v>43</v>
      </c>
      <c r="K10" t="s">
        <v>79</v>
      </c>
      <c r="L10">
        <v>-12.14298</v>
      </c>
      <c r="M10">
        <v>-76.939030000000002</v>
      </c>
      <c r="N10" t="str">
        <f>HYPERLINK("https://www.google.com/maps/search/?api=1&amp;query=-12.14298,-76.93903","Avenida Inca Ollantay, Villa María del Triunfo, Lima")</f>
        <v>Avenida Inca Ollantay, Villa María del Triunfo, Lima</v>
      </c>
      <c r="O10" t="s">
        <v>63</v>
      </c>
      <c r="P10">
        <v>70844</v>
      </c>
      <c r="Q10" t="s">
        <v>40</v>
      </c>
      <c r="R10">
        <v>0</v>
      </c>
      <c r="S10">
        <v>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>
        <v>83</v>
      </c>
      <c r="AB10" t="s">
        <v>43</v>
      </c>
      <c r="AC10" t="s">
        <v>80</v>
      </c>
      <c r="AD10" t="str">
        <f t="shared" si="0"/>
        <v>En línea</v>
      </c>
      <c r="AE10" t="str">
        <f t="shared" si="1"/>
        <v>Sin atender</v>
      </c>
      <c r="AF10" t="s">
        <v>40</v>
      </c>
      <c r="AG10" t="s">
        <v>40</v>
      </c>
      <c r="AH10" t="s">
        <v>40</v>
      </c>
      <c r="AI10" t="s">
        <v>40</v>
      </c>
      <c r="AJ10" t="s">
        <v>81</v>
      </c>
      <c r="AK10" t="s">
        <v>82</v>
      </c>
      <c r="AL10" t="s">
        <v>40</v>
      </c>
    </row>
    <row r="11" spans="1:38" ht="15.75" x14ac:dyDescent="0.25">
      <c r="A11">
        <v>10</v>
      </c>
      <c r="B11" t="s">
        <v>38</v>
      </c>
      <c r="C11" t="s">
        <v>39</v>
      </c>
      <c r="D11" t="s">
        <v>39</v>
      </c>
      <c r="E11" t="s">
        <v>40</v>
      </c>
      <c r="F11" t="s">
        <v>41</v>
      </c>
      <c r="G11" t="s">
        <v>42</v>
      </c>
      <c r="H11" t="s">
        <v>40</v>
      </c>
      <c r="I11" t="s">
        <v>40</v>
      </c>
      <c r="J11" t="s">
        <v>43</v>
      </c>
      <c r="K11" t="s">
        <v>83</v>
      </c>
      <c r="L11">
        <v>-12.147576000000001</v>
      </c>
      <c r="M11">
        <v>-76.93477</v>
      </c>
      <c r="N11" t="str">
        <f>HYPERLINK("https://www.google.com/maps/search/?api=1&amp;query=-12.147576,-76.93477","Avenida Belen, Villa María del Triunfo, Lima")</f>
        <v>Avenida Belen, Villa María del Triunfo, Lima</v>
      </c>
      <c r="O11" t="s">
        <v>45</v>
      </c>
      <c r="P11">
        <v>70844</v>
      </c>
      <c r="Q11" t="s">
        <v>40</v>
      </c>
      <c r="R11">
        <v>0</v>
      </c>
      <c r="S11">
        <v>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>
        <v>86</v>
      </c>
      <c r="AB11" t="s">
        <v>43</v>
      </c>
      <c r="AC11" t="s">
        <v>84</v>
      </c>
      <c r="AD11" t="str">
        <f t="shared" si="0"/>
        <v>En línea</v>
      </c>
      <c r="AE11" t="str">
        <f t="shared" si="1"/>
        <v>Sin atender</v>
      </c>
      <c r="AF11" t="s">
        <v>40</v>
      </c>
      <c r="AG11" t="s">
        <v>40</v>
      </c>
      <c r="AH11" t="s">
        <v>40</v>
      </c>
      <c r="AI11" t="s">
        <v>40</v>
      </c>
      <c r="AJ11" t="s">
        <v>85</v>
      </c>
      <c r="AK11" t="s">
        <v>86</v>
      </c>
      <c r="AL11" t="s">
        <v>40</v>
      </c>
    </row>
    <row r="12" spans="1:38" ht="15.75" x14ac:dyDescent="0.25">
      <c r="A12">
        <v>11</v>
      </c>
      <c r="B12" t="s">
        <v>38</v>
      </c>
      <c r="C12" t="s">
        <v>39</v>
      </c>
      <c r="D12" t="s">
        <v>39</v>
      </c>
      <c r="E12" t="s">
        <v>40</v>
      </c>
      <c r="F12" t="s">
        <v>41</v>
      </c>
      <c r="G12" t="s">
        <v>42</v>
      </c>
      <c r="H12" t="s">
        <v>40</v>
      </c>
      <c r="I12" t="s">
        <v>40</v>
      </c>
      <c r="J12" t="s">
        <v>43</v>
      </c>
      <c r="K12" t="s">
        <v>87</v>
      </c>
      <c r="L12">
        <v>-12.147576000000001</v>
      </c>
      <c r="M12">
        <v>-76.93477</v>
      </c>
      <c r="N12" t="str">
        <f>HYPERLINK("https://www.google.com/maps/search/?api=1&amp;query=-12.147576,-76.93477","Avenida Belen, Villa María del Triunfo, Lima")</f>
        <v>Avenida Belen, Villa María del Triunfo, Lima</v>
      </c>
      <c r="O12" t="s">
        <v>50</v>
      </c>
      <c r="P12">
        <v>70844</v>
      </c>
      <c r="Q12" t="s">
        <v>40</v>
      </c>
      <c r="R12">
        <v>0</v>
      </c>
      <c r="S12">
        <v>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40</v>
      </c>
      <c r="AA12">
        <v>86</v>
      </c>
      <c r="AB12" t="s">
        <v>43</v>
      </c>
      <c r="AC12" t="s">
        <v>88</v>
      </c>
      <c r="AD12" t="str">
        <f t="shared" si="0"/>
        <v>En línea</v>
      </c>
      <c r="AE12" t="str">
        <f t="shared" si="1"/>
        <v>Sin atender</v>
      </c>
      <c r="AF12" t="s">
        <v>40</v>
      </c>
      <c r="AG12" t="s">
        <v>40</v>
      </c>
      <c r="AH12" t="s">
        <v>40</v>
      </c>
      <c r="AI12" t="s">
        <v>40</v>
      </c>
      <c r="AJ12" t="s">
        <v>89</v>
      </c>
      <c r="AK12" t="s">
        <v>90</v>
      </c>
      <c r="AL12" t="s">
        <v>40</v>
      </c>
    </row>
    <row r="13" spans="1:38" ht="15.75" x14ac:dyDescent="0.25">
      <c r="A13">
        <v>12</v>
      </c>
      <c r="B13" t="s">
        <v>38</v>
      </c>
      <c r="C13" t="s">
        <v>39</v>
      </c>
      <c r="D13" t="s">
        <v>39</v>
      </c>
      <c r="E13" t="s">
        <v>40</v>
      </c>
      <c r="F13" t="s">
        <v>41</v>
      </c>
      <c r="G13" t="s">
        <v>42</v>
      </c>
      <c r="H13" t="s">
        <v>40</v>
      </c>
      <c r="I13" t="s">
        <v>40</v>
      </c>
      <c r="J13" t="s">
        <v>43</v>
      </c>
      <c r="K13" t="s">
        <v>91</v>
      </c>
      <c r="L13">
        <v>-12.147576000000001</v>
      </c>
      <c r="M13">
        <v>-76.93477</v>
      </c>
      <c r="N13" t="str">
        <f>HYPERLINK("https://www.google.com/maps/search/?api=1&amp;query=-12.147576,-76.93477","Avenida Belen, Villa María del Triunfo, Lima")</f>
        <v>Avenida Belen, Villa María del Triunfo, Lima</v>
      </c>
      <c r="O13" t="s">
        <v>63</v>
      </c>
      <c r="P13">
        <v>70844</v>
      </c>
      <c r="Q13" t="s">
        <v>40</v>
      </c>
      <c r="R13">
        <v>0</v>
      </c>
      <c r="S13">
        <v>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>
        <v>86</v>
      </c>
      <c r="AB13" t="s">
        <v>43</v>
      </c>
      <c r="AC13" t="s">
        <v>92</v>
      </c>
      <c r="AD13" t="str">
        <f t="shared" si="0"/>
        <v>En línea</v>
      </c>
      <c r="AE13" t="str">
        <f t="shared" si="1"/>
        <v>Sin atender</v>
      </c>
      <c r="AF13" t="s">
        <v>40</v>
      </c>
      <c r="AG13" t="s">
        <v>40</v>
      </c>
      <c r="AH13" t="s">
        <v>40</v>
      </c>
      <c r="AI13" t="s">
        <v>40</v>
      </c>
      <c r="AJ13" t="s">
        <v>93</v>
      </c>
      <c r="AK13" t="s">
        <v>94</v>
      </c>
      <c r="AL13" t="s">
        <v>40</v>
      </c>
    </row>
    <row r="14" spans="1:38" ht="15.75" x14ac:dyDescent="0.25">
      <c r="A14">
        <v>13</v>
      </c>
      <c r="B14" t="s">
        <v>38</v>
      </c>
      <c r="C14" t="s">
        <v>39</v>
      </c>
      <c r="D14" t="s">
        <v>39</v>
      </c>
      <c r="E14" t="s">
        <v>40</v>
      </c>
      <c r="F14" t="s">
        <v>41</v>
      </c>
      <c r="G14" t="s">
        <v>42</v>
      </c>
      <c r="H14" t="s">
        <v>40</v>
      </c>
      <c r="I14" t="s">
        <v>40</v>
      </c>
      <c r="J14" t="s">
        <v>43</v>
      </c>
      <c r="K14" t="s">
        <v>95</v>
      </c>
      <c r="L14">
        <v>-12.317335</v>
      </c>
      <c r="M14">
        <v>-76.822913999999997</v>
      </c>
      <c r="N14" t="str">
        <f>HYPERLINK("https://www.google.com/maps/search/?api=1&amp;query=-12.317335,-76.822914","Punta Hermosa, Lima")</f>
        <v>Punta Hermosa, Lima</v>
      </c>
      <c r="O14" t="s">
        <v>45</v>
      </c>
      <c r="P14">
        <v>70844</v>
      </c>
      <c r="Q14" t="s">
        <v>40</v>
      </c>
      <c r="R14">
        <v>0</v>
      </c>
      <c r="S14">
        <v>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>
        <v>77</v>
      </c>
      <c r="AB14" t="s">
        <v>43</v>
      </c>
      <c r="AC14" t="s">
        <v>96</v>
      </c>
      <c r="AD14" t="str">
        <f t="shared" si="0"/>
        <v>En línea</v>
      </c>
      <c r="AE14" t="str">
        <f t="shared" si="1"/>
        <v>Sin atender</v>
      </c>
      <c r="AF14" t="s">
        <v>40</v>
      </c>
      <c r="AG14" t="s">
        <v>40</v>
      </c>
      <c r="AH14" t="s">
        <v>40</v>
      </c>
      <c r="AI14" t="s">
        <v>40</v>
      </c>
      <c r="AJ14" t="s">
        <v>97</v>
      </c>
      <c r="AK14" t="s">
        <v>98</v>
      </c>
      <c r="AL14" t="s">
        <v>40</v>
      </c>
    </row>
    <row r="15" spans="1:38" ht="15.75" x14ac:dyDescent="0.25">
      <c r="A15">
        <v>14</v>
      </c>
      <c r="B15" t="s">
        <v>38</v>
      </c>
      <c r="C15" t="s">
        <v>39</v>
      </c>
      <c r="D15" t="s">
        <v>39</v>
      </c>
      <c r="E15" t="s">
        <v>40</v>
      </c>
      <c r="F15" t="s">
        <v>41</v>
      </c>
      <c r="G15" t="s">
        <v>42</v>
      </c>
      <c r="H15" t="s">
        <v>40</v>
      </c>
      <c r="I15" t="s">
        <v>40</v>
      </c>
      <c r="J15" t="s">
        <v>43</v>
      </c>
      <c r="K15" t="s">
        <v>99</v>
      </c>
      <c r="L15">
        <v>-12.317335</v>
      </c>
      <c r="M15">
        <v>-76.822913999999997</v>
      </c>
      <c r="N15" t="str">
        <f>HYPERLINK("https://www.google.com/maps/search/?api=1&amp;query=-12.317335,-76.822914","Punta Hermosa, Lima")</f>
        <v>Punta Hermosa, Lima</v>
      </c>
      <c r="O15" t="s">
        <v>63</v>
      </c>
      <c r="P15">
        <v>70844</v>
      </c>
      <c r="Q15" t="s">
        <v>40</v>
      </c>
      <c r="R15">
        <v>0</v>
      </c>
      <c r="S15">
        <v>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>
        <v>77</v>
      </c>
      <c r="AB15" t="s">
        <v>43</v>
      </c>
      <c r="AC15" t="s">
        <v>100</v>
      </c>
      <c r="AD15" t="str">
        <f t="shared" si="0"/>
        <v>En línea</v>
      </c>
      <c r="AE15" t="str">
        <f t="shared" si="1"/>
        <v>Sin atender</v>
      </c>
      <c r="AF15" t="s">
        <v>40</v>
      </c>
      <c r="AG15" t="s">
        <v>40</v>
      </c>
      <c r="AH15" t="s">
        <v>40</v>
      </c>
      <c r="AI15" t="s">
        <v>40</v>
      </c>
      <c r="AJ15" t="s">
        <v>101</v>
      </c>
      <c r="AK15" t="s">
        <v>102</v>
      </c>
      <c r="AL15" t="s">
        <v>40</v>
      </c>
    </row>
    <row r="16" spans="1:38" ht="15.75" x14ac:dyDescent="0.25">
      <c r="A16">
        <v>15</v>
      </c>
      <c r="B16" t="s">
        <v>38</v>
      </c>
      <c r="C16" t="s">
        <v>39</v>
      </c>
      <c r="D16" t="s">
        <v>39</v>
      </c>
      <c r="E16" t="s">
        <v>40</v>
      </c>
      <c r="F16" t="s">
        <v>41</v>
      </c>
      <c r="G16" t="s">
        <v>42</v>
      </c>
      <c r="H16" t="s">
        <v>40</v>
      </c>
      <c r="I16" t="s">
        <v>40</v>
      </c>
      <c r="J16" t="s">
        <v>43</v>
      </c>
      <c r="K16" t="s">
        <v>103</v>
      </c>
      <c r="L16">
        <v>-12.317347</v>
      </c>
      <c r="M16">
        <v>-76.822875999999994</v>
      </c>
      <c r="N16" t="str">
        <f>HYPERLINK("https://www.google.com/maps/search/?api=1&amp;query=-12.317347,-76.822876","Punta Hermosa, Lima")</f>
        <v>Punta Hermosa, Lima</v>
      </c>
      <c r="O16" t="s">
        <v>50</v>
      </c>
      <c r="P16">
        <v>70844</v>
      </c>
      <c r="Q16" t="s">
        <v>40</v>
      </c>
      <c r="R16">
        <v>7</v>
      </c>
      <c r="S16">
        <v>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40</v>
      </c>
      <c r="AA16">
        <v>77</v>
      </c>
      <c r="AB16" t="s">
        <v>43</v>
      </c>
      <c r="AC16" t="s">
        <v>104</v>
      </c>
      <c r="AD16" t="str">
        <f t="shared" si="0"/>
        <v>En línea</v>
      </c>
      <c r="AE16" t="str">
        <f t="shared" si="1"/>
        <v>Sin atender</v>
      </c>
      <c r="AF16" t="s">
        <v>40</v>
      </c>
      <c r="AG16" t="s">
        <v>40</v>
      </c>
      <c r="AH16" t="s">
        <v>40</v>
      </c>
      <c r="AI16" t="s">
        <v>40</v>
      </c>
      <c r="AJ16" t="s">
        <v>105</v>
      </c>
      <c r="AK16" t="s">
        <v>106</v>
      </c>
      <c r="AL16" t="s">
        <v>40</v>
      </c>
    </row>
    <row r="17" spans="1:38" ht="15.75" x14ac:dyDescent="0.25">
      <c r="A17">
        <v>16</v>
      </c>
      <c r="B17" t="s">
        <v>38</v>
      </c>
      <c r="C17" t="s">
        <v>39</v>
      </c>
      <c r="D17" t="s">
        <v>39</v>
      </c>
      <c r="E17" t="s">
        <v>40</v>
      </c>
      <c r="F17" t="s">
        <v>41</v>
      </c>
      <c r="G17" t="s">
        <v>42</v>
      </c>
      <c r="H17" t="s">
        <v>40</v>
      </c>
      <c r="I17" t="s">
        <v>40</v>
      </c>
      <c r="J17" t="s">
        <v>43</v>
      </c>
      <c r="K17" t="s">
        <v>107</v>
      </c>
      <c r="L17">
        <v>-12.317966</v>
      </c>
      <c r="M17">
        <v>-76.82414</v>
      </c>
      <c r="N17" t="str">
        <f>HYPERLINK("https://www.google.com/maps/search/?api=1&amp;query=-12.317966,-76.82414","Punta Hermosa, Lima")</f>
        <v>Punta Hermosa, Lima</v>
      </c>
      <c r="O17" t="s">
        <v>45</v>
      </c>
      <c r="P17">
        <v>70844</v>
      </c>
      <c r="Q17" t="s">
        <v>40</v>
      </c>
      <c r="R17">
        <v>0</v>
      </c>
      <c r="S17">
        <v>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>
        <v>77</v>
      </c>
      <c r="AB17" t="s">
        <v>43</v>
      </c>
      <c r="AC17" t="s">
        <v>108</v>
      </c>
      <c r="AD17" t="str">
        <f t="shared" si="0"/>
        <v>En línea</v>
      </c>
      <c r="AE17" t="str">
        <f t="shared" si="1"/>
        <v>Sin atender</v>
      </c>
      <c r="AF17" t="s">
        <v>40</v>
      </c>
      <c r="AG17" t="s">
        <v>40</v>
      </c>
      <c r="AH17" t="s">
        <v>40</v>
      </c>
      <c r="AI17" t="s">
        <v>40</v>
      </c>
      <c r="AJ17" t="s">
        <v>109</v>
      </c>
      <c r="AK17" t="s">
        <v>110</v>
      </c>
      <c r="AL17" t="s">
        <v>40</v>
      </c>
    </row>
    <row r="18" spans="1:38" ht="15.75" x14ac:dyDescent="0.25">
      <c r="A18">
        <v>17</v>
      </c>
      <c r="B18" t="s">
        <v>38</v>
      </c>
      <c r="C18" t="s">
        <v>39</v>
      </c>
      <c r="D18" t="s">
        <v>39</v>
      </c>
      <c r="E18" t="s">
        <v>40</v>
      </c>
      <c r="F18" t="s">
        <v>41</v>
      </c>
      <c r="G18" t="s">
        <v>42</v>
      </c>
      <c r="H18" t="s">
        <v>40</v>
      </c>
      <c r="I18" t="s">
        <v>40</v>
      </c>
      <c r="J18" t="s">
        <v>43</v>
      </c>
      <c r="K18" t="s">
        <v>111</v>
      </c>
      <c r="L18">
        <v>-12.317958000000001</v>
      </c>
      <c r="M18">
        <v>-76.82414</v>
      </c>
      <c r="N18" t="str">
        <f>HYPERLINK("https://www.google.com/maps/search/?api=1&amp;query=-12.317958,-76.82414","Punta Hermosa, Lima")</f>
        <v>Punta Hermosa, Lima</v>
      </c>
      <c r="O18" t="s">
        <v>50</v>
      </c>
      <c r="P18">
        <v>70844</v>
      </c>
      <c r="Q18" t="s">
        <v>40</v>
      </c>
      <c r="R18">
        <v>5.5</v>
      </c>
      <c r="S18">
        <v>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>
        <v>77</v>
      </c>
      <c r="AB18" t="s">
        <v>43</v>
      </c>
      <c r="AC18" t="s">
        <v>112</v>
      </c>
      <c r="AD18" t="str">
        <f t="shared" si="0"/>
        <v>En línea</v>
      </c>
      <c r="AE18" t="str">
        <f t="shared" si="1"/>
        <v>Sin atender</v>
      </c>
      <c r="AF18" t="s">
        <v>40</v>
      </c>
      <c r="AG18" t="s">
        <v>40</v>
      </c>
      <c r="AH18" t="s">
        <v>40</v>
      </c>
      <c r="AI18" t="s">
        <v>40</v>
      </c>
      <c r="AJ18" t="s">
        <v>113</v>
      </c>
      <c r="AK18" t="s">
        <v>114</v>
      </c>
      <c r="AL18" t="s">
        <v>40</v>
      </c>
    </row>
    <row r="19" spans="1:38" ht="15.75" x14ac:dyDescent="0.25">
      <c r="A19">
        <v>18</v>
      </c>
      <c r="B19" t="s">
        <v>38</v>
      </c>
      <c r="C19" t="s">
        <v>39</v>
      </c>
      <c r="D19" t="s">
        <v>39</v>
      </c>
      <c r="E19" t="s">
        <v>40</v>
      </c>
      <c r="F19" t="s">
        <v>41</v>
      </c>
      <c r="G19" t="s">
        <v>42</v>
      </c>
      <c r="H19" t="s">
        <v>40</v>
      </c>
      <c r="I19" t="s">
        <v>40</v>
      </c>
      <c r="J19" t="s">
        <v>43</v>
      </c>
      <c r="K19" t="s">
        <v>115</v>
      </c>
      <c r="L19">
        <v>-12.317567</v>
      </c>
      <c r="M19">
        <v>-76.824389999999994</v>
      </c>
      <c r="N19" t="str">
        <f>HYPERLINK("https://www.google.com/maps/search/?api=1&amp;query=-12.317567,-76.82439","Punta Hermosa, Lima")</f>
        <v>Punta Hermosa, Lima</v>
      </c>
      <c r="O19" t="s">
        <v>45</v>
      </c>
      <c r="P19">
        <v>70844</v>
      </c>
      <c r="Q19" t="s">
        <v>40</v>
      </c>
      <c r="R19">
        <v>0</v>
      </c>
      <c r="S19">
        <v>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>
        <v>77</v>
      </c>
      <c r="AB19" t="s">
        <v>43</v>
      </c>
      <c r="AC19" t="s">
        <v>116</v>
      </c>
      <c r="AD19" t="str">
        <f t="shared" si="0"/>
        <v>En línea</v>
      </c>
      <c r="AE19" t="str">
        <f t="shared" si="1"/>
        <v>Sin atender</v>
      </c>
      <c r="AF19" t="s">
        <v>40</v>
      </c>
      <c r="AG19" t="s">
        <v>40</v>
      </c>
      <c r="AH19" t="s">
        <v>40</v>
      </c>
      <c r="AI19" t="s">
        <v>40</v>
      </c>
      <c r="AJ19" t="s">
        <v>117</v>
      </c>
      <c r="AK19" t="s">
        <v>118</v>
      </c>
      <c r="AL19" t="s">
        <v>40</v>
      </c>
    </row>
    <row r="20" spans="1:38" ht="15.75" x14ac:dyDescent="0.25">
      <c r="A20">
        <v>19</v>
      </c>
      <c r="B20" t="s">
        <v>38</v>
      </c>
      <c r="C20" t="s">
        <v>39</v>
      </c>
      <c r="D20" t="s">
        <v>39</v>
      </c>
      <c r="E20" t="s">
        <v>40</v>
      </c>
      <c r="F20" t="s">
        <v>41</v>
      </c>
      <c r="G20" t="s">
        <v>42</v>
      </c>
      <c r="H20" t="s">
        <v>40</v>
      </c>
      <c r="I20" t="s">
        <v>40</v>
      </c>
      <c r="J20" t="s">
        <v>43</v>
      </c>
      <c r="K20" t="s">
        <v>119</v>
      </c>
      <c r="L20">
        <v>-12.317567</v>
      </c>
      <c r="M20">
        <v>-76.824389999999994</v>
      </c>
      <c r="N20" t="str">
        <f>HYPERLINK("https://www.google.com/maps/search/?api=1&amp;query=-12.317567,-76.82439","Punta Hermosa, Lima")</f>
        <v>Punta Hermosa, Lima</v>
      </c>
      <c r="O20" t="s">
        <v>63</v>
      </c>
      <c r="P20">
        <v>70844</v>
      </c>
      <c r="Q20" t="s">
        <v>40</v>
      </c>
      <c r="R20">
        <v>0</v>
      </c>
      <c r="S20">
        <v>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40</v>
      </c>
      <c r="AA20">
        <v>77</v>
      </c>
      <c r="AB20" t="s">
        <v>43</v>
      </c>
      <c r="AC20" t="s">
        <v>120</v>
      </c>
      <c r="AD20" t="str">
        <f t="shared" si="0"/>
        <v>En línea</v>
      </c>
      <c r="AE20" t="str">
        <f t="shared" si="1"/>
        <v>Sin atender</v>
      </c>
      <c r="AF20" t="s">
        <v>40</v>
      </c>
      <c r="AG20" t="s">
        <v>40</v>
      </c>
      <c r="AH20" t="s">
        <v>40</v>
      </c>
      <c r="AI20" t="s">
        <v>40</v>
      </c>
      <c r="AJ20" t="s">
        <v>121</v>
      </c>
      <c r="AK20" t="s">
        <v>122</v>
      </c>
      <c r="AL20" t="s">
        <v>40</v>
      </c>
    </row>
    <row r="21" spans="1:38" ht="15.75" x14ac:dyDescent="0.25">
      <c r="A21">
        <v>20</v>
      </c>
      <c r="B21" t="s">
        <v>38</v>
      </c>
      <c r="C21" t="s">
        <v>39</v>
      </c>
      <c r="D21" t="s">
        <v>39</v>
      </c>
      <c r="E21" t="s">
        <v>40</v>
      </c>
      <c r="F21" t="s">
        <v>41</v>
      </c>
      <c r="G21" t="s">
        <v>42</v>
      </c>
      <c r="H21" t="s">
        <v>40</v>
      </c>
      <c r="I21" t="s">
        <v>40</v>
      </c>
      <c r="J21" t="s">
        <v>43</v>
      </c>
      <c r="K21" t="s">
        <v>123</v>
      </c>
      <c r="L21">
        <v>-12.317567</v>
      </c>
      <c r="M21">
        <v>-76.824389999999994</v>
      </c>
      <c r="N21" t="str">
        <f>HYPERLINK("https://www.google.com/maps/search/?api=1&amp;query=-12.317567,-76.82439","Punta Hermosa, Lima")</f>
        <v>Punta Hermosa, Lima</v>
      </c>
      <c r="O21" t="s">
        <v>124</v>
      </c>
      <c r="P21">
        <v>70844</v>
      </c>
      <c r="Q21" t="s">
        <v>40</v>
      </c>
      <c r="R21">
        <v>0</v>
      </c>
      <c r="S21">
        <v>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>
        <v>80</v>
      </c>
      <c r="AB21" t="s">
        <v>43</v>
      </c>
      <c r="AC21" t="s">
        <v>125</v>
      </c>
      <c r="AD21" t="str">
        <f t="shared" si="0"/>
        <v>En línea</v>
      </c>
      <c r="AE21" t="str">
        <f t="shared" si="1"/>
        <v>Sin atender</v>
      </c>
      <c r="AF21" t="s">
        <v>40</v>
      </c>
      <c r="AG21" t="s">
        <v>40</v>
      </c>
      <c r="AH21" t="s">
        <v>40</v>
      </c>
      <c r="AI21" t="s">
        <v>40</v>
      </c>
      <c r="AJ21" t="s">
        <v>126</v>
      </c>
      <c r="AK21" t="s">
        <v>127</v>
      </c>
      <c r="AL21" t="s">
        <v>40</v>
      </c>
    </row>
    <row r="22" spans="1:38" ht="15.75" x14ac:dyDescent="0.25">
      <c r="A22">
        <v>21</v>
      </c>
      <c r="B22" t="s">
        <v>38</v>
      </c>
      <c r="C22" t="s">
        <v>39</v>
      </c>
      <c r="D22" t="s">
        <v>39</v>
      </c>
      <c r="E22" t="s">
        <v>40</v>
      </c>
      <c r="F22" t="s">
        <v>41</v>
      </c>
      <c r="G22" t="s">
        <v>42</v>
      </c>
      <c r="H22" t="s">
        <v>40</v>
      </c>
      <c r="I22" t="s">
        <v>40</v>
      </c>
      <c r="J22" t="s">
        <v>43</v>
      </c>
      <c r="K22" t="s">
        <v>128</v>
      </c>
      <c r="L22">
        <v>-12.317567</v>
      </c>
      <c r="M22">
        <v>-76.824389999999994</v>
      </c>
      <c r="N22" t="str">
        <f>HYPERLINK("https://www.google.com/maps/search/?api=1&amp;query=-12.317567,-76.82439","Punta Hermosa, Lima")</f>
        <v>Punta Hermosa, Lima</v>
      </c>
      <c r="O22" t="s">
        <v>50</v>
      </c>
      <c r="P22">
        <v>70844</v>
      </c>
      <c r="Q22" t="s">
        <v>40</v>
      </c>
      <c r="R22">
        <v>0</v>
      </c>
      <c r="S22">
        <v>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40</v>
      </c>
      <c r="AA22">
        <v>85</v>
      </c>
      <c r="AB22" t="s">
        <v>43</v>
      </c>
      <c r="AC22" t="s">
        <v>129</v>
      </c>
      <c r="AD22" t="str">
        <f t="shared" si="0"/>
        <v>En línea</v>
      </c>
      <c r="AE22" t="str">
        <f t="shared" si="1"/>
        <v>Sin atender</v>
      </c>
      <c r="AF22" t="s">
        <v>40</v>
      </c>
      <c r="AG22" t="s">
        <v>40</v>
      </c>
      <c r="AH22" t="s">
        <v>40</v>
      </c>
      <c r="AI22" t="s">
        <v>40</v>
      </c>
      <c r="AJ22" t="s">
        <v>130</v>
      </c>
      <c r="AK22" t="s">
        <v>131</v>
      </c>
      <c r="AL22" t="s">
        <v>40</v>
      </c>
    </row>
    <row r="23" spans="1:38" ht="15.75" x14ac:dyDescent="0.25">
      <c r="A23">
        <v>22</v>
      </c>
      <c r="B23" t="s">
        <v>38</v>
      </c>
      <c r="C23" t="s">
        <v>39</v>
      </c>
      <c r="D23" t="s">
        <v>39</v>
      </c>
      <c r="E23" t="s">
        <v>40</v>
      </c>
      <c r="F23" t="s">
        <v>41</v>
      </c>
      <c r="G23" t="s">
        <v>42</v>
      </c>
      <c r="H23" t="s">
        <v>40</v>
      </c>
      <c r="I23" t="s">
        <v>40</v>
      </c>
      <c r="J23" t="s">
        <v>43</v>
      </c>
      <c r="K23" t="s">
        <v>132</v>
      </c>
      <c r="L23">
        <v>-12.331032</v>
      </c>
      <c r="M23">
        <v>-76.824849999999998</v>
      </c>
      <c r="N23" t="str">
        <f t="shared" ref="N23:N28" si="2">HYPERLINK("https://www.google.com/maps/search/?api=1&amp;query=-12.331032,-76.82485","Avenida Gaston Garcia Rada, Punta Hermosa, Lima")</f>
        <v>Avenida Gaston Garcia Rada, Punta Hermosa, Lima</v>
      </c>
      <c r="O23" t="s">
        <v>45</v>
      </c>
      <c r="P23">
        <v>70844</v>
      </c>
      <c r="Q23" t="s">
        <v>40</v>
      </c>
      <c r="R23">
        <v>0</v>
      </c>
      <c r="S23">
        <v>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>
        <v>85</v>
      </c>
      <c r="AB23" t="s">
        <v>43</v>
      </c>
      <c r="AC23" t="s">
        <v>133</v>
      </c>
      <c r="AD23" t="str">
        <f t="shared" si="0"/>
        <v>En línea</v>
      </c>
      <c r="AE23" t="str">
        <f t="shared" si="1"/>
        <v>Sin atender</v>
      </c>
      <c r="AF23" t="s">
        <v>40</v>
      </c>
      <c r="AG23" t="s">
        <v>40</v>
      </c>
      <c r="AH23" t="s">
        <v>40</v>
      </c>
      <c r="AI23" t="s">
        <v>40</v>
      </c>
      <c r="AJ23" t="s">
        <v>134</v>
      </c>
      <c r="AK23" t="s">
        <v>135</v>
      </c>
      <c r="AL23" t="s">
        <v>40</v>
      </c>
    </row>
    <row r="24" spans="1:38" ht="15.75" x14ac:dyDescent="0.25">
      <c r="A24">
        <v>23</v>
      </c>
      <c r="B24" t="s">
        <v>38</v>
      </c>
      <c r="C24" t="s">
        <v>39</v>
      </c>
      <c r="D24" t="s">
        <v>39</v>
      </c>
      <c r="E24" t="s">
        <v>40</v>
      </c>
      <c r="F24" t="s">
        <v>41</v>
      </c>
      <c r="G24" t="s">
        <v>42</v>
      </c>
      <c r="H24" t="s">
        <v>40</v>
      </c>
      <c r="I24" t="s">
        <v>40</v>
      </c>
      <c r="J24" t="s">
        <v>43</v>
      </c>
      <c r="K24" t="s">
        <v>136</v>
      </c>
      <c r="L24">
        <v>-12.331032</v>
      </c>
      <c r="M24">
        <v>-76.824849999999998</v>
      </c>
      <c r="N24" t="str">
        <f t="shared" si="2"/>
        <v>Avenida Gaston Garcia Rada, Punta Hermosa, Lima</v>
      </c>
      <c r="O24" t="s">
        <v>50</v>
      </c>
      <c r="P24">
        <v>70844</v>
      </c>
      <c r="Q24" t="s">
        <v>40</v>
      </c>
      <c r="R24">
        <v>0</v>
      </c>
      <c r="S24">
        <v>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40</v>
      </c>
      <c r="AA24">
        <v>85</v>
      </c>
      <c r="AB24" t="s">
        <v>43</v>
      </c>
      <c r="AC24" t="s">
        <v>137</v>
      </c>
      <c r="AD24" t="str">
        <f t="shared" si="0"/>
        <v>En línea</v>
      </c>
      <c r="AE24" t="str">
        <f t="shared" si="1"/>
        <v>Sin atender</v>
      </c>
      <c r="AF24" t="s">
        <v>40</v>
      </c>
      <c r="AG24" t="s">
        <v>40</v>
      </c>
      <c r="AH24" t="s">
        <v>40</v>
      </c>
      <c r="AI24" t="s">
        <v>40</v>
      </c>
      <c r="AJ24" t="s">
        <v>138</v>
      </c>
      <c r="AK24" t="s">
        <v>139</v>
      </c>
      <c r="AL24" t="s">
        <v>40</v>
      </c>
    </row>
    <row r="25" spans="1:38" ht="15.75" x14ac:dyDescent="0.25">
      <c r="A25">
        <v>24</v>
      </c>
      <c r="B25" t="s">
        <v>38</v>
      </c>
      <c r="C25" t="s">
        <v>39</v>
      </c>
      <c r="D25" t="s">
        <v>39</v>
      </c>
      <c r="E25" t="s">
        <v>40</v>
      </c>
      <c r="F25" t="s">
        <v>41</v>
      </c>
      <c r="G25" t="s">
        <v>42</v>
      </c>
      <c r="H25" t="s">
        <v>40</v>
      </c>
      <c r="I25" t="s">
        <v>40</v>
      </c>
      <c r="J25" t="s">
        <v>43</v>
      </c>
      <c r="K25" t="s">
        <v>140</v>
      </c>
      <c r="L25">
        <v>-12.331032</v>
      </c>
      <c r="M25">
        <v>-76.824849999999998</v>
      </c>
      <c r="N25" t="str">
        <f t="shared" si="2"/>
        <v>Avenida Gaston Garcia Rada, Punta Hermosa, Lima</v>
      </c>
      <c r="O25" t="s">
        <v>63</v>
      </c>
      <c r="P25">
        <v>70844</v>
      </c>
      <c r="Q25" t="s">
        <v>40</v>
      </c>
      <c r="R25">
        <v>0</v>
      </c>
      <c r="S25">
        <v>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40</v>
      </c>
      <c r="AA25">
        <v>85</v>
      </c>
      <c r="AB25" t="s">
        <v>43</v>
      </c>
      <c r="AC25" t="s">
        <v>141</v>
      </c>
      <c r="AD25" t="str">
        <f t="shared" si="0"/>
        <v>En línea</v>
      </c>
      <c r="AE25" t="str">
        <f t="shared" si="1"/>
        <v>Sin atender</v>
      </c>
      <c r="AF25" t="s">
        <v>40</v>
      </c>
      <c r="AG25" t="s">
        <v>40</v>
      </c>
      <c r="AH25" t="s">
        <v>40</v>
      </c>
      <c r="AI25" t="s">
        <v>40</v>
      </c>
      <c r="AJ25" t="s">
        <v>142</v>
      </c>
      <c r="AK25" t="s">
        <v>143</v>
      </c>
      <c r="AL25" t="s">
        <v>40</v>
      </c>
    </row>
    <row r="26" spans="1:38" ht="15.75" x14ac:dyDescent="0.25">
      <c r="A26">
        <v>25</v>
      </c>
      <c r="B26" t="s">
        <v>38</v>
      </c>
      <c r="C26" t="s">
        <v>39</v>
      </c>
      <c r="D26" t="s">
        <v>39</v>
      </c>
      <c r="E26" t="s">
        <v>40</v>
      </c>
      <c r="F26" t="s">
        <v>41</v>
      </c>
      <c r="G26" t="s">
        <v>42</v>
      </c>
      <c r="H26" t="s">
        <v>40</v>
      </c>
      <c r="I26" t="s">
        <v>40</v>
      </c>
      <c r="J26" t="s">
        <v>43</v>
      </c>
      <c r="K26" t="s">
        <v>144</v>
      </c>
      <c r="L26">
        <v>-12.331032</v>
      </c>
      <c r="M26">
        <v>-76.824849999999998</v>
      </c>
      <c r="N26" t="str">
        <f t="shared" si="2"/>
        <v>Avenida Gaston Garcia Rada, Punta Hermosa, Lima</v>
      </c>
      <c r="O26" t="s">
        <v>45</v>
      </c>
      <c r="P26">
        <v>70844</v>
      </c>
      <c r="Q26" t="s">
        <v>40</v>
      </c>
      <c r="R26">
        <v>0</v>
      </c>
      <c r="S26">
        <v>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40</v>
      </c>
      <c r="AA26">
        <v>85</v>
      </c>
      <c r="AB26" t="s">
        <v>43</v>
      </c>
      <c r="AC26" t="s">
        <v>145</v>
      </c>
      <c r="AD26" t="str">
        <f t="shared" si="0"/>
        <v>En línea</v>
      </c>
      <c r="AE26" t="str">
        <f t="shared" si="1"/>
        <v>Sin atender</v>
      </c>
      <c r="AF26" t="s">
        <v>40</v>
      </c>
      <c r="AG26" t="s">
        <v>40</v>
      </c>
      <c r="AH26" t="s">
        <v>40</v>
      </c>
      <c r="AI26" t="s">
        <v>40</v>
      </c>
      <c r="AJ26" t="s">
        <v>146</v>
      </c>
      <c r="AK26" t="s">
        <v>147</v>
      </c>
      <c r="AL26" t="s">
        <v>40</v>
      </c>
    </row>
    <row r="27" spans="1:38" ht="15.75" x14ac:dyDescent="0.25">
      <c r="A27">
        <v>26</v>
      </c>
      <c r="B27" t="s">
        <v>38</v>
      </c>
      <c r="C27" t="s">
        <v>39</v>
      </c>
      <c r="D27" t="s">
        <v>39</v>
      </c>
      <c r="E27" t="s">
        <v>40</v>
      </c>
      <c r="F27" t="s">
        <v>41</v>
      </c>
      <c r="G27" t="s">
        <v>42</v>
      </c>
      <c r="H27" t="s">
        <v>40</v>
      </c>
      <c r="I27" t="s">
        <v>40</v>
      </c>
      <c r="J27" t="s">
        <v>43</v>
      </c>
      <c r="K27" t="s">
        <v>148</v>
      </c>
      <c r="L27">
        <v>-12.331032</v>
      </c>
      <c r="M27">
        <v>-76.824849999999998</v>
      </c>
      <c r="N27" t="str">
        <f t="shared" si="2"/>
        <v>Avenida Gaston Garcia Rada, Punta Hermosa, Lima</v>
      </c>
      <c r="O27" t="s">
        <v>50</v>
      </c>
      <c r="P27">
        <v>70844</v>
      </c>
      <c r="Q27" t="s">
        <v>40</v>
      </c>
      <c r="R27">
        <v>0</v>
      </c>
      <c r="S27">
        <v>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>
        <v>85</v>
      </c>
      <c r="AB27" t="s">
        <v>43</v>
      </c>
      <c r="AC27" t="s">
        <v>149</v>
      </c>
      <c r="AD27" t="str">
        <f t="shared" si="0"/>
        <v>En línea</v>
      </c>
      <c r="AE27" t="str">
        <f t="shared" si="1"/>
        <v>Sin atender</v>
      </c>
      <c r="AF27" t="s">
        <v>40</v>
      </c>
      <c r="AG27" t="s">
        <v>40</v>
      </c>
      <c r="AH27" t="s">
        <v>40</v>
      </c>
      <c r="AI27" t="s">
        <v>40</v>
      </c>
      <c r="AJ27" t="s">
        <v>150</v>
      </c>
      <c r="AK27" t="s">
        <v>151</v>
      </c>
      <c r="AL27" t="s">
        <v>40</v>
      </c>
    </row>
    <row r="28" spans="1:38" ht="15.75" x14ac:dyDescent="0.25">
      <c r="A28">
        <v>27</v>
      </c>
      <c r="B28" t="s">
        <v>38</v>
      </c>
      <c r="C28" t="s">
        <v>39</v>
      </c>
      <c r="D28" t="s">
        <v>39</v>
      </c>
      <c r="E28" t="s">
        <v>40</v>
      </c>
      <c r="F28" t="s">
        <v>41</v>
      </c>
      <c r="G28" t="s">
        <v>42</v>
      </c>
      <c r="H28" t="s">
        <v>40</v>
      </c>
      <c r="I28" t="s">
        <v>40</v>
      </c>
      <c r="J28" t="s">
        <v>43</v>
      </c>
      <c r="K28" t="s">
        <v>152</v>
      </c>
      <c r="L28">
        <v>-12.331032</v>
      </c>
      <c r="M28">
        <v>-76.824849999999998</v>
      </c>
      <c r="N28" t="str">
        <f t="shared" si="2"/>
        <v>Avenida Gaston Garcia Rada, Punta Hermosa, Lima</v>
      </c>
      <c r="O28" t="s">
        <v>45</v>
      </c>
      <c r="P28">
        <v>70844</v>
      </c>
      <c r="Q28" t="s">
        <v>40</v>
      </c>
      <c r="R28">
        <v>0</v>
      </c>
      <c r="S28">
        <v>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>
        <v>83</v>
      </c>
      <c r="AB28" t="s">
        <v>43</v>
      </c>
      <c r="AC28" t="s">
        <v>153</v>
      </c>
      <c r="AD28" t="str">
        <f t="shared" si="0"/>
        <v>En línea</v>
      </c>
      <c r="AE28" t="str">
        <f t="shared" si="1"/>
        <v>Sin atender</v>
      </c>
      <c r="AF28" t="s">
        <v>40</v>
      </c>
      <c r="AG28" t="s">
        <v>40</v>
      </c>
      <c r="AH28" t="s">
        <v>40</v>
      </c>
      <c r="AI28" t="s">
        <v>40</v>
      </c>
      <c r="AJ28" t="s">
        <v>154</v>
      </c>
      <c r="AK28" t="s">
        <v>155</v>
      </c>
      <c r="AL28" t="s">
        <v>40</v>
      </c>
    </row>
    <row r="29" spans="1:38" ht="15.75" x14ac:dyDescent="0.25">
      <c r="A29">
        <v>28</v>
      </c>
      <c r="B29" t="s">
        <v>38</v>
      </c>
      <c r="C29" t="s">
        <v>39</v>
      </c>
      <c r="D29" t="s">
        <v>39</v>
      </c>
      <c r="E29" t="s">
        <v>40</v>
      </c>
      <c r="F29" t="s">
        <v>41</v>
      </c>
      <c r="G29" t="s">
        <v>42</v>
      </c>
      <c r="H29" t="s">
        <v>40</v>
      </c>
      <c r="I29" t="s">
        <v>40</v>
      </c>
      <c r="J29" t="s">
        <v>43</v>
      </c>
      <c r="K29" t="s">
        <v>156</v>
      </c>
      <c r="L29">
        <v>-12.331037</v>
      </c>
      <c r="M29">
        <v>-76.824814000000003</v>
      </c>
      <c r="N29" t="str">
        <f>HYPERLINK("https://www.google.com/maps/search/?api=1&amp;query=-12.331037,-76.824814","Avenida Gaston Garcia Rada, Punta Hermosa, Lima")</f>
        <v>Avenida Gaston Garcia Rada, Punta Hermosa, Lima</v>
      </c>
      <c r="O29" t="s">
        <v>50</v>
      </c>
      <c r="P29">
        <v>70844</v>
      </c>
      <c r="Q29" t="s">
        <v>40</v>
      </c>
      <c r="R29">
        <v>6.6</v>
      </c>
      <c r="S29">
        <v>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40</v>
      </c>
      <c r="AA29">
        <v>83</v>
      </c>
      <c r="AB29" t="s">
        <v>43</v>
      </c>
      <c r="AC29" t="s">
        <v>157</v>
      </c>
      <c r="AD29" t="str">
        <f t="shared" si="0"/>
        <v>En línea</v>
      </c>
      <c r="AE29" t="str">
        <f t="shared" si="1"/>
        <v>Sin atender</v>
      </c>
      <c r="AF29" t="s">
        <v>40</v>
      </c>
      <c r="AG29" t="s">
        <v>40</v>
      </c>
      <c r="AH29" t="s">
        <v>40</v>
      </c>
      <c r="AI29" t="s">
        <v>40</v>
      </c>
      <c r="AJ29" t="s">
        <v>158</v>
      </c>
      <c r="AK29" t="s">
        <v>159</v>
      </c>
      <c r="AL29" t="s">
        <v>40</v>
      </c>
    </row>
    <row r="30" spans="1:38" ht="15.75" x14ac:dyDescent="0.25">
      <c r="A30">
        <v>29</v>
      </c>
      <c r="B30" t="s">
        <v>38</v>
      </c>
      <c r="C30" t="s">
        <v>39</v>
      </c>
      <c r="D30" t="s">
        <v>39</v>
      </c>
      <c r="E30" t="s">
        <v>40</v>
      </c>
      <c r="F30" t="s">
        <v>41</v>
      </c>
      <c r="G30" t="s">
        <v>42</v>
      </c>
      <c r="H30" t="s">
        <v>40</v>
      </c>
      <c r="I30" t="s">
        <v>40</v>
      </c>
      <c r="J30" t="s">
        <v>43</v>
      </c>
      <c r="K30" t="s">
        <v>160</v>
      </c>
      <c r="L30">
        <v>-12.333767999999999</v>
      </c>
      <c r="M30">
        <v>-76.824935999999994</v>
      </c>
      <c r="N30" t="str">
        <f>HYPERLINK("https://www.google.com/maps/search/?api=1&amp;query=-12.333768,-76.824936","Avenida Gaston Garcia Rada, Punta Hermosa, Lima")</f>
        <v>Avenida Gaston Garcia Rada, Punta Hermosa, Lima</v>
      </c>
      <c r="O30" t="s">
        <v>45</v>
      </c>
      <c r="P30">
        <v>70844</v>
      </c>
      <c r="Q30" t="s">
        <v>40</v>
      </c>
      <c r="R30">
        <v>0</v>
      </c>
      <c r="S30">
        <v>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>
        <v>83</v>
      </c>
      <c r="AB30" t="s">
        <v>43</v>
      </c>
      <c r="AC30" t="s">
        <v>161</v>
      </c>
      <c r="AD30" t="str">
        <f t="shared" si="0"/>
        <v>En línea</v>
      </c>
      <c r="AE30" t="str">
        <f t="shared" si="1"/>
        <v>Sin atender</v>
      </c>
      <c r="AF30" t="s">
        <v>40</v>
      </c>
      <c r="AG30" t="s">
        <v>40</v>
      </c>
      <c r="AH30" t="s">
        <v>40</v>
      </c>
      <c r="AI30" t="s">
        <v>40</v>
      </c>
      <c r="AJ30" t="s">
        <v>162</v>
      </c>
      <c r="AK30" t="s">
        <v>163</v>
      </c>
      <c r="AL30" t="s">
        <v>40</v>
      </c>
    </row>
    <row r="31" spans="1:38" ht="15.75" x14ac:dyDescent="0.25">
      <c r="A31">
        <v>30</v>
      </c>
      <c r="B31" t="s">
        <v>38</v>
      </c>
      <c r="C31" t="s">
        <v>39</v>
      </c>
      <c r="D31" t="s">
        <v>39</v>
      </c>
      <c r="E31" t="s">
        <v>40</v>
      </c>
      <c r="F31" t="s">
        <v>41</v>
      </c>
      <c r="G31" t="s">
        <v>42</v>
      </c>
      <c r="H31" t="s">
        <v>40</v>
      </c>
      <c r="I31" t="s">
        <v>40</v>
      </c>
      <c r="J31" t="s">
        <v>43</v>
      </c>
      <c r="K31" t="s">
        <v>164</v>
      </c>
      <c r="L31">
        <v>-12.333767999999999</v>
      </c>
      <c r="M31">
        <v>-76.824935999999994</v>
      </c>
      <c r="N31" t="str">
        <f>HYPERLINK("https://www.google.com/maps/search/?api=1&amp;query=-12.333768,-76.824936","Avenida Gaston Garcia Rada, Punta Hermosa, Lima")</f>
        <v>Avenida Gaston Garcia Rada, Punta Hermosa, Lima</v>
      </c>
      <c r="O31" t="s">
        <v>50</v>
      </c>
      <c r="P31">
        <v>70844</v>
      </c>
      <c r="Q31" t="s">
        <v>40</v>
      </c>
      <c r="R31">
        <v>0</v>
      </c>
      <c r="S31">
        <v>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40</v>
      </c>
      <c r="AA31">
        <v>83</v>
      </c>
      <c r="AB31" t="s">
        <v>43</v>
      </c>
      <c r="AC31" t="s">
        <v>165</v>
      </c>
      <c r="AD31" t="str">
        <f t="shared" si="0"/>
        <v>En línea</v>
      </c>
      <c r="AE31" t="str">
        <f t="shared" si="1"/>
        <v>Sin atender</v>
      </c>
      <c r="AF31" t="s">
        <v>40</v>
      </c>
      <c r="AG31" t="s">
        <v>40</v>
      </c>
      <c r="AH31" t="s">
        <v>40</v>
      </c>
      <c r="AI31" t="s">
        <v>40</v>
      </c>
      <c r="AJ31" t="s">
        <v>166</v>
      </c>
      <c r="AK31" t="s">
        <v>167</v>
      </c>
      <c r="AL31" t="s">
        <v>40</v>
      </c>
    </row>
    <row r="32" spans="1:38" ht="15.75" x14ac:dyDescent="0.25">
      <c r="A32">
        <v>31</v>
      </c>
      <c r="B32" t="s">
        <v>38</v>
      </c>
      <c r="C32" t="s">
        <v>39</v>
      </c>
      <c r="D32" t="s">
        <v>39</v>
      </c>
      <c r="E32" t="s">
        <v>40</v>
      </c>
      <c r="F32" t="s">
        <v>41</v>
      </c>
      <c r="G32" t="s">
        <v>42</v>
      </c>
      <c r="H32" t="s">
        <v>40</v>
      </c>
      <c r="I32" t="s">
        <v>40</v>
      </c>
      <c r="J32" t="s">
        <v>43</v>
      </c>
      <c r="K32" t="s">
        <v>168</v>
      </c>
      <c r="L32">
        <v>-12.333767999999999</v>
      </c>
      <c r="M32">
        <v>-76.824935999999994</v>
      </c>
      <c r="N32" t="str">
        <f>HYPERLINK("https://www.google.com/maps/search/?api=1&amp;query=-12.333768,-76.824936","Avenida Gaston Garcia Rada, Punta Hermosa, Lima")</f>
        <v>Avenida Gaston Garcia Rada, Punta Hermosa, Lima</v>
      </c>
      <c r="O32" t="s">
        <v>63</v>
      </c>
      <c r="P32">
        <v>70844</v>
      </c>
      <c r="Q32" t="s">
        <v>40</v>
      </c>
      <c r="R32">
        <v>0</v>
      </c>
      <c r="S32">
        <v>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>
        <v>83</v>
      </c>
      <c r="AB32" t="s">
        <v>43</v>
      </c>
      <c r="AC32" t="s">
        <v>169</v>
      </c>
      <c r="AD32" t="str">
        <f t="shared" si="0"/>
        <v>En línea</v>
      </c>
      <c r="AE32" t="str">
        <f t="shared" si="1"/>
        <v>Sin atender</v>
      </c>
      <c r="AF32" t="s">
        <v>40</v>
      </c>
      <c r="AG32" t="s">
        <v>40</v>
      </c>
      <c r="AH32" t="s">
        <v>40</v>
      </c>
      <c r="AI32" t="s">
        <v>40</v>
      </c>
      <c r="AJ32" t="s">
        <v>170</v>
      </c>
      <c r="AK32" t="s">
        <v>171</v>
      </c>
      <c r="AL32" t="s">
        <v>40</v>
      </c>
    </row>
    <row r="33" spans="1:38" ht="15.75" x14ac:dyDescent="0.25">
      <c r="A33">
        <v>32</v>
      </c>
      <c r="B33" t="s">
        <v>38</v>
      </c>
      <c r="C33" t="s">
        <v>39</v>
      </c>
      <c r="D33" t="s">
        <v>39</v>
      </c>
      <c r="E33" t="s">
        <v>40</v>
      </c>
      <c r="F33" t="s">
        <v>41</v>
      </c>
      <c r="G33" t="s">
        <v>42</v>
      </c>
      <c r="H33" t="s">
        <v>40</v>
      </c>
      <c r="I33" t="s">
        <v>40</v>
      </c>
      <c r="J33" t="s">
        <v>43</v>
      </c>
      <c r="K33" t="s">
        <v>172</v>
      </c>
      <c r="L33">
        <v>-12.333767999999999</v>
      </c>
      <c r="M33">
        <v>-76.824935999999994</v>
      </c>
      <c r="N33" t="str">
        <f>HYPERLINK("https://www.google.com/maps/search/?api=1&amp;query=-12.333768,-76.824936","Avenida Gaston Garcia Rada, Punta Hermosa, Lima")</f>
        <v>Avenida Gaston Garcia Rada, Punta Hermosa, Lima</v>
      </c>
      <c r="O33" t="s">
        <v>124</v>
      </c>
      <c r="P33">
        <v>70844</v>
      </c>
      <c r="Q33" t="s">
        <v>40</v>
      </c>
      <c r="R33">
        <v>0</v>
      </c>
      <c r="S33">
        <v>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>
        <v>83</v>
      </c>
      <c r="AB33" t="s">
        <v>43</v>
      </c>
      <c r="AC33" t="s">
        <v>172</v>
      </c>
      <c r="AD33" t="str">
        <f t="shared" si="0"/>
        <v>En línea</v>
      </c>
      <c r="AE33" t="str">
        <f t="shared" si="1"/>
        <v>Sin atender</v>
      </c>
      <c r="AF33" t="s">
        <v>40</v>
      </c>
      <c r="AG33" t="s">
        <v>40</v>
      </c>
      <c r="AH33" t="s">
        <v>40</v>
      </c>
      <c r="AI33" t="s">
        <v>40</v>
      </c>
      <c r="AJ33" t="s">
        <v>173</v>
      </c>
      <c r="AK33" t="s">
        <v>174</v>
      </c>
      <c r="AL33" t="s">
        <v>40</v>
      </c>
    </row>
    <row r="34" spans="1:38" ht="15.75" x14ac:dyDescent="0.25">
      <c r="A34">
        <v>33</v>
      </c>
      <c r="B34" t="s">
        <v>38</v>
      </c>
      <c r="C34" t="s">
        <v>39</v>
      </c>
      <c r="D34" t="s">
        <v>39</v>
      </c>
      <c r="E34" t="s">
        <v>40</v>
      </c>
      <c r="F34" t="s">
        <v>41</v>
      </c>
      <c r="G34" t="s">
        <v>42</v>
      </c>
      <c r="H34" t="s">
        <v>40</v>
      </c>
      <c r="I34" t="s">
        <v>40</v>
      </c>
      <c r="J34" t="s">
        <v>43</v>
      </c>
      <c r="K34" t="s">
        <v>175</v>
      </c>
      <c r="L34">
        <v>-12.332599999999999</v>
      </c>
      <c r="M34">
        <v>-76.827690000000004</v>
      </c>
      <c r="N34" t="str">
        <f>HYPERLINK("https://www.google.com/maps/search/?api=1&amp;query=-12.3326,-76.82769","Avenida Sunset, Punta Hermosa, Lima")</f>
        <v>Avenida Sunset, Punta Hermosa, Lima</v>
      </c>
      <c r="O34" t="s">
        <v>45</v>
      </c>
      <c r="P34">
        <v>70844</v>
      </c>
      <c r="Q34" t="s">
        <v>40</v>
      </c>
      <c r="R34">
        <v>0</v>
      </c>
      <c r="S34">
        <v>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>
        <v>85</v>
      </c>
      <c r="AB34" t="s">
        <v>43</v>
      </c>
      <c r="AC34" t="s">
        <v>176</v>
      </c>
      <c r="AD34" t="str">
        <f t="shared" si="0"/>
        <v>En línea</v>
      </c>
      <c r="AE34" t="str">
        <f t="shared" si="1"/>
        <v>Sin atender</v>
      </c>
      <c r="AF34" t="s">
        <v>40</v>
      </c>
      <c r="AG34" t="s">
        <v>40</v>
      </c>
      <c r="AH34" t="s">
        <v>40</v>
      </c>
      <c r="AI34" t="s">
        <v>40</v>
      </c>
      <c r="AJ34" t="s">
        <v>177</v>
      </c>
      <c r="AK34" t="s">
        <v>178</v>
      </c>
      <c r="AL34" t="s">
        <v>40</v>
      </c>
    </row>
    <row r="35" spans="1:38" ht="15.75" x14ac:dyDescent="0.25">
      <c r="A35">
        <v>34</v>
      </c>
      <c r="B35" t="s">
        <v>38</v>
      </c>
      <c r="C35" t="s">
        <v>39</v>
      </c>
      <c r="D35" t="s">
        <v>39</v>
      </c>
      <c r="E35" t="s">
        <v>40</v>
      </c>
      <c r="F35" t="s">
        <v>41</v>
      </c>
      <c r="G35" t="s">
        <v>42</v>
      </c>
      <c r="H35" t="s">
        <v>40</v>
      </c>
      <c r="I35" t="s">
        <v>40</v>
      </c>
      <c r="J35" t="s">
        <v>43</v>
      </c>
      <c r="K35" t="s">
        <v>179</v>
      </c>
      <c r="L35">
        <v>-12.332599999999999</v>
      </c>
      <c r="M35">
        <v>-76.827690000000004</v>
      </c>
      <c r="N35" t="str">
        <f>HYPERLINK("https://www.google.com/maps/search/?api=1&amp;query=-12.3326,-76.82769","Avenida Sunset, Punta Hermosa, Lima")</f>
        <v>Avenida Sunset, Punta Hermosa, Lima</v>
      </c>
      <c r="O35" t="s">
        <v>50</v>
      </c>
      <c r="P35">
        <v>70844</v>
      </c>
      <c r="Q35" t="s">
        <v>40</v>
      </c>
      <c r="R35">
        <v>0</v>
      </c>
      <c r="S35">
        <v>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>
        <v>85</v>
      </c>
      <c r="AB35" t="s">
        <v>43</v>
      </c>
      <c r="AC35" t="s">
        <v>180</v>
      </c>
      <c r="AD35" t="str">
        <f t="shared" si="0"/>
        <v>En línea</v>
      </c>
      <c r="AE35" t="str">
        <f t="shared" si="1"/>
        <v>Sin atender</v>
      </c>
      <c r="AF35" t="s">
        <v>40</v>
      </c>
      <c r="AG35" t="s">
        <v>40</v>
      </c>
      <c r="AH35" t="s">
        <v>40</v>
      </c>
      <c r="AI35" t="s">
        <v>40</v>
      </c>
      <c r="AJ35" t="s">
        <v>181</v>
      </c>
      <c r="AK35" t="s">
        <v>182</v>
      </c>
      <c r="AL35" t="s">
        <v>40</v>
      </c>
    </row>
    <row r="36" spans="1:38" ht="15.75" x14ac:dyDescent="0.25">
      <c r="A36">
        <v>35</v>
      </c>
      <c r="B36" t="s">
        <v>38</v>
      </c>
      <c r="C36" t="s">
        <v>39</v>
      </c>
      <c r="D36" t="s">
        <v>39</v>
      </c>
      <c r="E36" t="s">
        <v>40</v>
      </c>
      <c r="F36" t="s">
        <v>41</v>
      </c>
      <c r="G36" t="s">
        <v>42</v>
      </c>
      <c r="H36" t="s">
        <v>40</v>
      </c>
      <c r="I36" t="s">
        <v>40</v>
      </c>
      <c r="J36" t="s">
        <v>43</v>
      </c>
      <c r="K36" t="s">
        <v>183</v>
      </c>
      <c r="L36">
        <v>-12.332599999999999</v>
      </c>
      <c r="M36">
        <v>-76.827690000000004</v>
      </c>
      <c r="N36" t="str">
        <f>HYPERLINK("https://www.google.com/maps/search/?api=1&amp;query=-12.3326,-76.82769","Avenida Sunset, Punta Hermosa, Lima")</f>
        <v>Avenida Sunset, Punta Hermosa, Lima</v>
      </c>
      <c r="O36" t="s">
        <v>63</v>
      </c>
      <c r="P36">
        <v>70844</v>
      </c>
      <c r="Q36" t="s">
        <v>40</v>
      </c>
      <c r="R36">
        <v>0</v>
      </c>
      <c r="S36">
        <v>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40</v>
      </c>
      <c r="AA36">
        <v>85</v>
      </c>
      <c r="AB36" t="s">
        <v>43</v>
      </c>
      <c r="AC36" t="s">
        <v>184</v>
      </c>
      <c r="AD36" t="str">
        <f t="shared" si="0"/>
        <v>En línea</v>
      </c>
      <c r="AE36" t="str">
        <f t="shared" si="1"/>
        <v>Sin atender</v>
      </c>
      <c r="AF36" t="s">
        <v>40</v>
      </c>
      <c r="AG36" t="s">
        <v>40</v>
      </c>
      <c r="AH36" t="s">
        <v>40</v>
      </c>
      <c r="AI36" t="s">
        <v>40</v>
      </c>
      <c r="AJ36" t="s">
        <v>185</v>
      </c>
      <c r="AK36" t="s">
        <v>186</v>
      </c>
      <c r="AL36" t="s">
        <v>40</v>
      </c>
    </row>
    <row r="37" spans="1:38" ht="15.75" x14ac:dyDescent="0.25">
      <c r="A37">
        <v>36</v>
      </c>
      <c r="B37" t="s">
        <v>38</v>
      </c>
      <c r="C37" t="s">
        <v>39</v>
      </c>
      <c r="D37" t="s">
        <v>39</v>
      </c>
      <c r="E37" t="s">
        <v>40</v>
      </c>
      <c r="F37" t="s">
        <v>41</v>
      </c>
      <c r="G37" t="s">
        <v>42</v>
      </c>
      <c r="H37" t="s">
        <v>40</v>
      </c>
      <c r="I37" t="s">
        <v>40</v>
      </c>
      <c r="J37" t="s">
        <v>43</v>
      </c>
      <c r="K37" t="s">
        <v>187</v>
      </c>
      <c r="L37">
        <v>-12.317349999999999</v>
      </c>
      <c r="M37">
        <v>-76.822909999999993</v>
      </c>
      <c r="N37" t="str">
        <f>HYPERLINK("https://www.google.com/maps/search/?api=1&amp;query=-12.31735,-76.82291","Punta Hermosa, Lima")</f>
        <v>Punta Hermosa, Lima</v>
      </c>
      <c r="O37" t="s">
        <v>45</v>
      </c>
      <c r="P37">
        <v>70844</v>
      </c>
      <c r="Q37" t="s">
        <v>40</v>
      </c>
      <c r="R37">
        <v>0</v>
      </c>
      <c r="S37">
        <v>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40</v>
      </c>
      <c r="AA37">
        <v>83</v>
      </c>
      <c r="AB37" t="s">
        <v>43</v>
      </c>
      <c r="AC37" t="s">
        <v>188</v>
      </c>
      <c r="AD37" t="str">
        <f t="shared" si="0"/>
        <v>En línea</v>
      </c>
      <c r="AE37" t="str">
        <f t="shared" si="1"/>
        <v>Sin atender</v>
      </c>
      <c r="AF37" t="s">
        <v>40</v>
      </c>
      <c r="AG37" t="s">
        <v>40</v>
      </c>
      <c r="AH37" t="s">
        <v>40</v>
      </c>
      <c r="AI37" t="s">
        <v>40</v>
      </c>
      <c r="AJ37" t="s">
        <v>189</v>
      </c>
      <c r="AK37" t="s">
        <v>190</v>
      </c>
      <c r="AL37" t="s">
        <v>40</v>
      </c>
    </row>
    <row r="38" spans="1:38" ht="15.75" x14ac:dyDescent="0.25">
      <c r="A38">
        <v>37</v>
      </c>
      <c r="B38" t="s">
        <v>38</v>
      </c>
      <c r="C38" t="s">
        <v>39</v>
      </c>
      <c r="D38" t="s">
        <v>39</v>
      </c>
      <c r="E38" t="s">
        <v>40</v>
      </c>
      <c r="F38" t="s">
        <v>41</v>
      </c>
      <c r="G38" t="s">
        <v>42</v>
      </c>
      <c r="H38" t="s">
        <v>40</v>
      </c>
      <c r="I38" t="s">
        <v>40</v>
      </c>
      <c r="J38" t="s">
        <v>43</v>
      </c>
      <c r="K38" t="s">
        <v>191</v>
      </c>
      <c r="L38">
        <v>-12.317349999999999</v>
      </c>
      <c r="M38">
        <v>-76.822909999999993</v>
      </c>
      <c r="N38" t="str">
        <f>HYPERLINK("https://www.google.com/maps/search/?api=1&amp;query=-12.31735,-76.82291","Punta Hermosa, Lima")</f>
        <v>Punta Hermosa, Lima</v>
      </c>
      <c r="O38" t="s">
        <v>63</v>
      </c>
      <c r="P38">
        <v>70844</v>
      </c>
      <c r="Q38" t="s">
        <v>40</v>
      </c>
      <c r="R38">
        <v>0</v>
      </c>
      <c r="S38">
        <v>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40</v>
      </c>
      <c r="AA38">
        <v>83</v>
      </c>
      <c r="AB38" t="s">
        <v>43</v>
      </c>
      <c r="AC38" t="s">
        <v>192</v>
      </c>
      <c r="AD38" t="str">
        <f t="shared" si="0"/>
        <v>En línea</v>
      </c>
      <c r="AE38" t="str">
        <f t="shared" si="1"/>
        <v>Sin atender</v>
      </c>
      <c r="AF38" t="s">
        <v>40</v>
      </c>
      <c r="AG38" t="s">
        <v>40</v>
      </c>
      <c r="AH38" t="s">
        <v>40</v>
      </c>
      <c r="AI38" t="s">
        <v>40</v>
      </c>
      <c r="AJ38" t="s">
        <v>193</v>
      </c>
      <c r="AK38" t="s">
        <v>194</v>
      </c>
      <c r="AL38" t="s">
        <v>40</v>
      </c>
    </row>
    <row r="39" spans="1:38" ht="15.75" x14ac:dyDescent="0.25">
      <c r="A39">
        <v>38</v>
      </c>
      <c r="B39" t="s">
        <v>38</v>
      </c>
      <c r="C39" t="s">
        <v>39</v>
      </c>
      <c r="D39" t="s">
        <v>39</v>
      </c>
      <c r="E39" t="s">
        <v>40</v>
      </c>
      <c r="F39" t="s">
        <v>41</v>
      </c>
      <c r="G39" t="s">
        <v>42</v>
      </c>
      <c r="H39" t="s">
        <v>40</v>
      </c>
      <c r="I39" t="s">
        <v>40</v>
      </c>
      <c r="J39" t="s">
        <v>43</v>
      </c>
      <c r="K39" t="s">
        <v>195</v>
      </c>
      <c r="L39">
        <v>-12.317323999999999</v>
      </c>
      <c r="M39">
        <v>-76.822829999999996</v>
      </c>
      <c r="N39" t="str">
        <f>HYPERLINK("https://www.google.com/maps/search/?api=1&amp;query=-12.317324,-76.82283","Punta Hermosa, Lima")</f>
        <v>Punta Hermosa, Lima</v>
      </c>
      <c r="O39" t="s">
        <v>50</v>
      </c>
      <c r="P39">
        <v>70844</v>
      </c>
      <c r="Q39" t="s">
        <v>40</v>
      </c>
      <c r="R39">
        <v>6.4</v>
      </c>
      <c r="S39">
        <v>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40</v>
      </c>
      <c r="AA39">
        <v>83</v>
      </c>
      <c r="AB39" t="s">
        <v>43</v>
      </c>
      <c r="AC39" t="s">
        <v>195</v>
      </c>
      <c r="AD39" t="str">
        <f t="shared" si="0"/>
        <v>En línea</v>
      </c>
      <c r="AE39" t="str">
        <f t="shared" si="1"/>
        <v>Sin atender</v>
      </c>
      <c r="AF39" t="s">
        <v>40</v>
      </c>
      <c r="AG39" t="s">
        <v>40</v>
      </c>
      <c r="AH39" t="s">
        <v>40</v>
      </c>
      <c r="AI39" t="s">
        <v>40</v>
      </c>
      <c r="AJ39" t="s">
        <v>196</v>
      </c>
      <c r="AK39" t="s">
        <v>197</v>
      </c>
      <c r="AL39" t="s">
        <v>40</v>
      </c>
    </row>
    <row r="40" spans="1:38" ht="15.75" x14ac:dyDescent="0.25">
      <c r="A40">
        <v>39</v>
      </c>
      <c r="B40" t="s">
        <v>38</v>
      </c>
      <c r="C40" t="s">
        <v>39</v>
      </c>
      <c r="D40" t="s">
        <v>39</v>
      </c>
      <c r="E40" t="s">
        <v>40</v>
      </c>
      <c r="F40" t="s">
        <v>41</v>
      </c>
      <c r="G40" t="s">
        <v>42</v>
      </c>
      <c r="H40" t="s">
        <v>40</v>
      </c>
      <c r="I40" t="s">
        <v>40</v>
      </c>
      <c r="J40" t="s">
        <v>43</v>
      </c>
      <c r="K40" t="s">
        <v>198</v>
      </c>
      <c r="L40">
        <v>-12.317492</v>
      </c>
      <c r="M40">
        <v>-76.824420000000003</v>
      </c>
      <c r="N40" t="str">
        <f>HYPERLINK("https://www.google.com/maps/search/?api=1&amp;query=-12.317492,-76.82442","Punta Hermosa, Lima")</f>
        <v>Punta Hermosa, Lima</v>
      </c>
      <c r="O40" t="s">
        <v>63</v>
      </c>
      <c r="P40">
        <v>70844</v>
      </c>
      <c r="Q40" t="s">
        <v>40</v>
      </c>
      <c r="R40">
        <v>0</v>
      </c>
      <c r="S40">
        <v>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>
        <v>83</v>
      </c>
      <c r="AB40" t="s">
        <v>43</v>
      </c>
      <c r="AC40" t="s">
        <v>199</v>
      </c>
      <c r="AD40" t="str">
        <f t="shared" si="0"/>
        <v>En línea</v>
      </c>
      <c r="AE40" t="str">
        <f t="shared" si="1"/>
        <v>Sin atender</v>
      </c>
      <c r="AF40" t="s">
        <v>40</v>
      </c>
      <c r="AG40" t="s">
        <v>40</v>
      </c>
      <c r="AH40" t="s">
        <v>40</v>
      </c>
      <c r="AI40" t="s">
        <v>40</v>
      </c>
      <c r="AJ40" t="s">
        <v>200</v>
      </c>
      <c r="AK40" t="s">
        <v>201</v>
      </c>
      <c r="AL40" t="s">
        <v>40</v>
      </c>
    </row>
    <row r="41" spans="1:38" ht="15.75" x14ac:dyDescent="0.25">
      <c r="A41">
        <v>40</v>
      </c>
      <c r="B41" t="s">
        <v>38</v>
      </c>
      <c r="C41" t="s">
        <v>39</v>
      </c>
      <c r="D41" t="s">
        <v>39</v>
      </c>
      <c r="E41" t="s">
        <v>40</v>
      </c>
      <c r="F41" t="s">
        <v>41</v>
      </c>
      <c r="G41" t="s">
        <v>42</v>
      </c>
      <c r="H41" t="s">
        <v>40</v>
      </c>
      <c r="I41" t="s">
        <v>40</v>
      </c>
      <c r="J41" t="s">
        <v>43</v>
      </c>
      <c r="K41" t="s">
        <v>202</v>
      </c>
      <c r="L41">
        <v>-12.317492</v>
      </c>
      <c r="M41">
        <v>-76.824420000000003</v>
      </c>
      <c r="N41" t="str">
        <f>HYPERLINK("https://www.google.com/maps/search/?api=1&amp;query=-12.317492,-76.82442","Punta Hermosa, Lima")</f>
        <v>Punta Hermosa, Lima</v>
      </c>
      <c r="O41" t="s">
        <v>124</v>
      </c>
      <c r="P41">
        <v>70844</v>
      </c>
      <c r="Q41" t="s">
        <v>40</v>
      </c>
      <c r="R41">
        <v>0</v>
      </c>
      <c r="S41">
        <v>0</v>
      </c>
      <c r="T41" t="s">
        <v>40</v>
      </c>
      <c r="U41" t="s">
        <v>40</v>
      </c>
      <c r="V41" t="s">
        <v>40</v>
      </c>
      <c r="W41" t="s">
        <v>40</v>
      </c>
      <c r="X41" t="s">
        <v>40</v>
      </c>
      <c r="Y41" t="s">
        <v>40</v>
      </c>
      <c r="Z41" t="s">
        <v>40</v>
      </c>
      <c r="AA41">
        <v>83</v>
      </c>
      <c r="AB41" t="s">
        <v>43</v>
      </c>
      <c r="AC41" t="s">
        <v>203</v>
      </c>
      <c r="AD41" t="str">
        <f t="shared" si="0"/>
        <v>En línea</v>
      </c>
      <c r="AE41" t="str">
        <f t="shared" si="1"/>
        <v>Sin atender</v>
      </c>
      <c r="AF41" t="s">
        <v>40</v>
      </c>
      <c r="AG41" t="s">
        <v>40</v>
      </c>
      <c r="AH41" t="s">
        <v>40</v>
      </c>
      <c r="AI41" t="s">
        <v>40</v>
      </c>
      <c r="AJ41" t="s">
        <v>204</v>
      </c>
      <c r="AK41" t="s">
        <v>205</v>
      </c>
      <c r="AL41" t="s">
        <v>40</v>
      </c>
    </row>
    <row r="42" spans="1:38" ht="15.75" x14ac:dyDescent="0.25">
      <c r="A42">
        <v>41</v>
      </c>
      <c r="B42" t="s">
        <v>38</v>
      </c>
      <c r="C42" t="s">
        <v>39</v>
      </c>
      <c r="D42" t="s">
        <v>39</v>
      </c>
      <c r="E42" t="s">
        <v>40</v>
      </c>
      <c r="F42" t="s">
        <v>41</v>
      </c>
      <c r="G42" t="s">
        <v>42</v>
      </c>
      <c r="H42" t="s">
        <v>40</v>
      </c>
      <c r="I42" t="s">
        <v>40</v>
      </c>
      <c r="J42" t="s">
        <v>43</v>
      </c>
      <c r="K42" t="s">
        <v>206</v>
      </c>
      <c r="L42">
        <v>-12.317970000000001</v>
      </c>
      <c r="M42">
        <v>-76.824219999999997</v>
      </c>
      <c r="N42" t="str">
        <f>HYPERLINK("https://www.google.com/maps/search/?api=1&amp;query=-12.31797,-76.82422","Punta Hermosa, Lima")</f>
        <v>Punta Hermosa, Lima</v>
      </c>
      <c r="O42" t="s">
        <v>45</v>
      </c>
      <c r="P42">
        <v>70844</v>
      </c>
      <c r="Q42" t="s">
        <v>40</v>
      </c>
      <c r="R42">
        <v>0</v>
      </c>
      <c r="S42">
        <v>0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40</v>
      </c>
      <c r="AA42">
        <v>77</v>
      </c>
      <c r="AB42" t="s">
        <v>43</v>
      </c>
      <c r="AC42" t="s">
        <v>207</v>
      </c>
      <c r="AD42" t="str">
        <f t="shared" si="0"/>
        <v>En línea</v>
      </c>
      <c r="AE42" t="str">
        <f t="shared" si="1"/>
        <v>Sin atender</v>
      </c>
      <c r="AF42" t="s">
        <v>40</v>
      </c>
      <c r="AG42" t="s">
        <v>40</v>
      </c>
      <c r="AH42" t="s">
        <v>40</v>
      </c>
      <c r="AI42" t="s">
        <v>40</v>
      </c>
      <c r="AJ42" t="s">
        <v>208</v>
      </c>
      <c r="AK42" t="s">
        <v>209</v>
      </c>
      <c r="AL42" t="s">
        <v>40</v>
      </c>
    </row>
    <row r="43" spans="1:38" ht="15.75" x14ac:dyDescent="0.25">
      <c r="A43">
        <v>42</v>
      </c>
      <c r="B43" t="s">
        <v>38</v>
      </c>
      <c r="C43" t="s">
        <v>39</v>
      </c>
      <c r="D43" t="s">
        <v>39</v>
      </c>
      <c r="E43" t="s">
        <v>40</v>
      </c>
      <c r="F43" t="s">
        <v>41</v>
      </c>
      <c r="G43" t="s">
        <v>42</v>
      </c>
      <c r="H43" t="s">
        <v>40</v>
      </c>
      <c r="I43" t="s">
        <v>40</v>
      </c>
      <c r="J43" t="s">
        <v>43</v>
      </c>
      <c r="K43" t="s">
        <v>210</v>
      </c>
      <c r="L43">
        <v>-12.317970000000001</v>
      </c>
      <c r="M43">
        <v>-76.824219999999997</v>
      </c>
      <c r="N43" t="str">
        <f>HYPERLINK("https://www.google.com/maps/search/?api=1&amp;query=-12.31797,-76.82422","Punta Hermosa, Lima")</f>
        <v>Punta Hermosa, Lima</v>
      </c>
      <c r="O43" t="s">
        <v>50</v>
      </c>
      <c r="P43">
        <v>70844</v>
      </c>
      <c r="Q43" t="s">
        <v>40</v>
      </c>
      <c r="R43">
        <v>0</v>
      </c>
      <c r="S43">
        <v>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>
        <v>77</v>
      </c>
      <c r="AB43" t="s">
        <v>43</v>
      </c>
      <c r="AC43" t="s">
        <v>211</v>
      </c>
      <c r="AD43" t="str">
        <f t="shared" si="0"/>
        <v>En línea</v>
      </c>
      <c r="AE43" t="str">
        <f t="shared" si="1"/>
        <v>Sin atender</v>
      </c>
      <c r="AF43" t="s">
        <v>40</v>
      </c>
      <c r="AG43" t="s">
        <v>40</v>
      </c>
      <c r="AH43" t="s">
        <v>40</v>
      </c>
      <c r="AI43" t="s">
        <v>40</v>
      </c>
      <c r="AJ43" t="s">
        <v>212</v>
      </c>
      <c r="AK43" t="s">
        <v>213</v>
      </c>
      <c r="AL43" t="s">
        <v>40</v>
      </c>
    </row>
    <row r="44" spans="1:38" ht="15.75" x14ac:dyDescent="0.25">
      <c r="A44">
        <v>43</v>
      </c>
      <c r="B44" t="s">
        <v>38</v>
      </c>
      <c r="C44" t="s">
        <v>39</v>
      </c>
      <c r="D44" t="s">
        <v>39</v>
      </c>
      <c r="E44" t="s">
        <v>40</v>
      </c>
      <c r="F44" t="s">
        <v>41</v>
      </c>
      <c r="G44" t="s">
        <v>42</v>
      </c>
      <c r="H44" t="s">
        <v>40</v>
      </c>
      <c r="I44" t="s">
        <v>40</v>
      </c>
      <c r="J44" t="s">
        <v>43</v>
      </c>
      <c r="K44" t="s">
        <v>214</v>
      </c>
      <c r="L44">
        <v>-12.317970000000001</v>
      </c>
      <c r="M44">
        <v>-76.824219999999997</v>
      </c>
      <c r="N44" t="str">
        <f>HYPERLINK("https://www.google.com/maps/search/?api=1&amp;query=-12.31797,-76.82422","Punta Hermosa, Lima")</f>
        <v>Punta Hermosa, Lima</v>
      </c>
      <c r="O44" t="s">
        <v>63</v>
      </c>
      <c r="P44">
        <v>70844</v>
      </c>
      <c r="Q44" t="s">
        <v>40</v>
      </c>
      <c r="R44">
        <v>0</v>
      </c>
      <c r="S44">
        <v>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40</v>
      </c>
      <c r="AA44">
        <v>77</v>
      </c>
      <c r="AB44" t="s">
        <v>43</v>
      </c>
      <c r="AC44" t="s">
        <v>215</v>
      </c>
      <c r="AD44" t="str">
        <f t="shared" si="0"/>
        <v>En línea</v>
      </c>
      <c r="AE44" t="str">
        <f t="shared" si="1"/>
        <v>Sin atender</v>
      </c>
      <c r="AF44" t="s">
        <v>40</v>
      </c>
      <c r="AG44" t="s">
        <v>40</v>
      </c>
      <c r="AH44" t="s">
        <v>40</v>
      </c>
      <c r="AI44" t="s">
        <v>40</v>
      </c>
      <c r="AJ44" t="s">
        <v>216</v>
      </c>
      <c r="AK44" t="s">
        <v>217</v>
      </c>
      <c r="AL44" t="s">
        <v>40</v>
      </c>
    </row>
    <row r="45" spans="1:38" ht="15.75" x14ac:dyDescent="0.25">
      <c r="A45">
        <v>44</v>
      </c>
      <c r="B45" t="s">
        <v>38</v>
      </c>
      <c r="C45" t="s">
        <v>39</v>
      </c>
      <c r="D45" t="s">
        <v>39</v>
      </c>
      <c r="E45" t="s">
        <v>40</v>
      </c>
      <c r="F45" t="s">
        <v>41</v>
      </c>
      <c r="G45" t="s">
        <v>42</v>
      </c>
      <c r="H45" t="s">
        <v>40</v>
      </c>
      <c r="I45" t="s">
        <v>40</v>
      </c>
      <c r="J45" t="s">
        <v>43</v>
      </c>
      <c r="K45" t="s">
        <v>218</v>
      </c>
      <c r="L45">
        <v>-12.317925000000001</v>
      </c>
      <c r="M45">
        <v>-76.824134999999998</v>
      </c>
      <c r="N45" t="str">
        <f>HYPERLINK("https://www.google.com/maps/search/?api=1&amp;query=-12.317925,-76.824135","Punta Hermosa, Lima")</f>
        <v>Punta Hermosa, Lima</v>
      </c>
      <c r="O45" t="s">
        <v>45</v>
      </c>
      <c r="P45">
        <v>70844</v>
      </c>
      <c r="Q45" t="s">
        <v>40</v>
      </c>
      <c r="R45">
        <v>0</v>
      </c>
      <c r="S45">
        <v>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>
        <v>78</v>
      </c>
      <c r="AB45" t="s">
        <v>43</v>
      </c>
      <c r="AC45" t="s">
        <v>219</v>
      </c>
      <c r="AD45" t="str">
        <f t="shared" si="0"/>
        <v>En línea</v>
      </c>
      <c r="AE45" t="str">
        <f t="shared" si="1"/>
        <v>Sin atender</v>
      </c>
      <c r="AF45" t="s">
        <v>40</v>
      </c>
      <c r="AG45" t="s">
        <v>40</v>
      </c>
      <c r="AH45" t="s">
        <v>40</v>
      </c>
      <c r="AI45" t="s">
        <v>40</v>
      </c>
      <c r="AJ45" t="s">
        <v>220</v>
      </c>
      <c r="AK45" t="s">
        <v>221</v>
      </c>
      <c r="AL45" t="s">
        <v>40</v>
      </c>
    </row>
    <row r="46" spans="1:38" ht="15.75" x14ac:dyDescent="0.25">
      <c r="A46">
        <v>45</v>
      </c>
      <c r="B46" t="s">
        <v>38</v>
      </c>
      <c r="C46" t="s">
        <v>39</v>
      </c>
      <c r="D46" t="s">
        <v>39</v>
      </c>
      <c r="E46" t="s">
        <v>40</v>
      </c>
      <c r="F46" t="s">
        <v>41</v>
      </c>
      <c r="G46" t="s">
        <v>42</v>
      </c>
      <c r="H46" t="s">
        <v>40</v>
      </c>
      <c r="I46" t="s">
        <v>40</v>
      </c>
      <c r="J46" t="s">
        <v>43</v>
      </c>
      <c r="K46" t="s">
        <v>222</v>
      </c>
      <c r="L46">
        <v>-12.317937000000001</v>
      </c>
      <c r="M46">
        <v>-76.824209999999994</v>
      </c>
      <c r="N46" t="str">
        <f>HYPERLINK("https://www.google.com/maps/search/?api=1&amp;query=-12.317937,-76.82421","Punta Hermosa, Lima")</f>
        <v>Punta Hermosa, Lima</v>
      </c>
      <c r="O46" t="s">
        <v>50</v>
      </c>
      <c r="P46">
        <v>70844</v>
      </c>
      <c r="Q46" t="s">
        <v>40</v>
      </c>
      <c r="R46">
        <v>5.5</v>
      </c>
      <c r="S46">
        <v>0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40</v>
      </c>
      <c r="Z46" t="s">
        <v>40</v>
      </c>
      <c r="AA46">
        <v>78</v>
      </c>
      <c r="AB46" t="s">
        <v>43</v>
      </c>
      <c r="AC46" t="s">
        <v>222</v>
      </c>
      <c r="AD46" t="str">
        <f t="shared" si="0"/>
        <v>En línea</v>
      </c>
      <c r="AE46" t="str">
        <f t="shared" si="1"/>
        <v>Sin atender</v>
      </c>
      <c r="AF46" t="s">
        <v>40</v>
      </c>
      <c r="AG46" t="s">
        <v>40</v>
      </c>
      <c r="AH46" t="s">
        <v>40</v>
      </c>
      <c r="AI46" t="s">
        <v>40</v>
      </c>
      <c r="AJ46" t="s">
        <v>223</v>
      </c>
      <c r="AK46" t="s">
        <v>224</v>
      </c>
      <c r="AL46" t="s">
        <v>40</v>
      </c>
    </row>
    <row r="47" spans="1:38" ht="15.75" x14ac:dyDescent="0.25">
      <c r="A47">
        <v>46</v>
      </c>
      <c r="B47" t="s">
        <v>38</v>
      </c>
      <c r="C47" t="s">
        <v>39</v>
      </c>
      <c r="D47" t="s">
        <v>39</v>
      </c>
      <c r="E47" t="s">
        <v>40</v>
      </c>
      <c r="F47" t="s">
        <v>41</v>
      </c>
      <c r="G47" t="s">
        <v>42</v>
      </c>
      <c r="H47" t="s">
        <v>40</v>
      </c>
      <c r="I47" t="s">
        <v>40</v>
      </c>
      <c r="J47" t="s">
        <v>43</v>
      </c>
      <c r="K47" t="s">
        <v>225</v>
      </c>
      <c r="L47">
        <v>-12.213005000000001</v>
      </c>
      <c r="M47">
        <v>-76.958849999999998</v>
      </c>
      <c r="N47" t="str">
        <f>HYPERLINK("https://www.google.com/maps/search/?api=1&amp;query=-12.213005,-76.95885","Villa El Salvador, Lima")</f>
        <v>Villa El Salvador, Lima</v>
      </c>
      <c r="O47" t="s">
        <v>45</v>
      </c>
      <c r="P47">
        <v>70844</v>
      </c>
      <c r="Q47" t="s">
        <v>40</v>
      </c>
      <c r="R47">
        <v>0</v>
      </c>
      <c r="S47">
        <v>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>
        <v>87</v>
      </c>
      <c r="AB47" t="s">
        <v>43</v>
      </c>
      <c r="AC47" t="s">
        <v>226</v>
      </c>
      <c r="AD47" t="str">
        <f t="shared" si="0"/>
        <v>En línea</v>
      </c>
      <c r="AE47" t="str">
        <f t="shared" si="1"/>
        <v>Sin atender</v>
      </c>
      <c r="AF47" t="s">
        <v>40</v>
      </c>
      <c r="AG47" t="s">
        <v>40</v>
      </c>
      <c r="AH47" t="s">
        <v>40</v>
      </c>
      <c r="AI47" t="s">
        <v>40</v>
      </c>
      <c r="AJ47" t="s">
        <v>227</v>
      </c>
      <c r="AK47" t="s">
        <v>228</v>
      </c>
      <c r="AL47" t="s">
        <v>40</v>
      </c>
    </row>
    <row r="48" spans="1:38" ht="15.75" x14ac:dyDescent="0.25">
      <c r="A48">
        <v>47</v>
      </c>
      <c r="B48" t="s">
        <v>38</v>
      </c>
      <c r="C48" t="s">
        <v>39</v>
      </c>
      <c r="D48" t="s">
        <v>39</v>
      </c>
      <c r="E48" t="s">
        <v>40</v>
      </c>
      <c r="F48" t="s">
        <v>41</v>
      </c>
      <c r="G48" t="s">
        <v>42</v>
      </c>
      <c r="H48" t="s">
        <v>40</v>
      </c>
      <c r="I48" t="s">
        <v>40</v>
      </c>
      <c r="J48" t="s">
        <v>43</v>
      </c>
      <c r="K48" t="s">
        <v>229</v>
      </c>
      <c r="L48">
        <v>-12.213077</v>
      </c>
      <c r="M48">
        <v>-76.958786000000003</v>
      </c>
      <c r="N48" t="str">
        <f>HYPERLINK("https://www.google.com/maps/search/?api=1&amp;query=-12.213077,-76.958786","Villa El Salvador, Lima")</f>
        <v>Villa El Salvador, Lima</v>
      </c>
      <c r="O48" t="s">
        <v>50</v>
      </c>
      <c r="P48">
        <v>70844</v>
      </c>
      <c r="Q48" t="s">
        <v>40</v>
      </c>
      <c r="R48">
        <v>0</v>
      </c>
      <c r="S48">
        <v>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>
        <v>77</v>
      </c>
      <c r="AB48" t="s">
        <v>43</v>
      </c>
      <c r="AC48" t="s">
        <v>230</v>
      </c>
      <c r="AD48" t="str">
        <f t="shared" si="0"/>
        <v>En línea</v>
      </c>
      <c r="AE48" t="str">
        <f t="shared" si="1"/>
        <v>Sin atender</v>
      </c>
      <c r="AF48" t="s">
        <v>40</v>
      </c>
      <c r="AG48" t="s">
        <v>40</v>
      </c>
      <c r="AH48" t="s">
        <v>40</v>
      </c>
      <c r="AI48" t="s">
        <v>40</v>
      </c>
      <c r="AJ48" t="s">
        <v>231</v>
      </c>
      <c r="AK48" t="s">
        <v>232</v>
      </c>
      <c r="AL48" t="s">
        <v>40</v>
      </c>
    </row>
  </sheetData>
  <pageMargins left="0.7" right="0.7" top="0.75" bottom="0.75" header="0.3" footer="0.3"/>
  <ignoredErrors>
    <ignoredError sqref="A1:AL1 A3:AL48 A2:M2 O2:A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Alerts</dc:title>
  <dc:subject>Report Alerts</dc:subject>
  <dc:creator>Location World</dc:creator>
  <cp:lastModifiedBy>Operaciones 4 SLI Perú</cp:lastModifiedBy>
  <dcterms:modified xsi:type="dcterms:W3CDTF">2026-09-18T21:42:25Z</dcterms:modified>
</cp:coreProperties>
</file>