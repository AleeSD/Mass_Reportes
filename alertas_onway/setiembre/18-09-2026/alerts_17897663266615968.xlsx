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18/09/2026</v>
      </c>
      <c r="K2" t="str">
        <v>05:17:59</v>
      </c>
      <c r="L2">
        <v>-12.212833</v>
      </c>
      <c r="M2">
        <v>-76.958786</v>
      </c>
      <c r="N2">
        <f>HYPERLINK("https://www.google.com/maps/search/?api=1&amp;query=-12.212833,-76.958786","Avenida Villa del Mar, Villa El Salvador, Lima")</f>
      </c>
      <c r="O2" t="str">
        <v>Vehículo encendido</v>
      </c>
      <c r="P2">
        <v>718082.7</v>
      </c>
      <c r="Q2" t="str">
        <v/>
      </c>
      <c r="R2">
        <v>0</v>
      </c>
      <c r="S2">
        <v>79.88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18/09/2026</v>
      </c>
      <c r="AC2" t="str">
        <v>04:59:58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05:18:28</v>
      </c>
      <c r="AK2" t="str">
        <v>05:18:28</v>
      </c>
      <c r="AL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18/09/2026</v>
      </c>
      <c r="K3" t="str">
        <v>05:48:36</v>
      </c>
      <c r="L3">
        <v>-12.153827</v>
      </c>
      <c r="M3">
        <v>-76.95232</v>
      </c>
      <c r="N3">
        <f>HYPERLINK("https://www.google.com/maps/search/?api=1&amp;query=-12.153827,-76.95232","Jirón Jose Santos Chocano, Villa María del Triunfo, Lima")</f>
      </c>
      <c r="O3" t="str">
        <v>Vehículo apagado</v>
      </c>
      <c r="P3">
        <v>718091.3</v>
      </c>
      <c r="Q3" t="str">
        <v/>
      </c>
      <c r="R3">
        <v>0</v>
      </c>
      <c r="S3">
        <v>80.4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18/09/2026</v>
      </c>
      <c r="AC3" t="str">
        <v>05:48:39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05:48:56</v>
      </c>
      <c r="AK3" t="str">
        <v>05:48:56</v>
      </c>
      <c r="AL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18/09/2026</v>
      </c>
      <c r="K4" t="str">
        <v>05:49:08</v>
      </c>
      <c r="L4">
        <v>-12.153827</v>
      </c>
      <c r="M4">
        <v>-76.95232</v>
      </c>
      <c r="N4">
        <f>HYPERLINK("https://www.google.com/maps/search/?api=1&amp;query=-12.153827,-76.95232","Jirón Jose Santos Chocano, Villa María del Triunfo, Lima")</f>
      </c>
      <c r="O4" t="str">
        <v>Vehículo encendido</v>
      </c>
      <c r="P4">
        <v>718091.3</v>
      </c>
      <c r="Q4" t="str">
        <v/>
      </c>
      <c r="R4">
        <v>0</v>
      </c>
      <c r="S4">
        <v>80.4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18/09/2026</v>
      </c>
      <c r="AC4" t="str">
        <v>05:48:39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05:49:26</v>
      </c>
      <c r="AK4" t="str">
        <v>05:49:26</v>
      </c>
      <c r="AL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18/09/2026</v>
      </c>
      <c r="K5" t="str">
        <v>05:49:15</v>
      </c>
      <c r="L5">
        <v>-12.153832</v>
      </c>
      <c r="M5">
        <v>-76.952515</v>
      </c>
      <c r="N5">
        <f>HYPERLINK("https://www.google.com/maps/search/?api=1&amp;query=-12.153832,-76.952515","Jirón Jose Santos Chocano, Villa María del Triunfo, Lima")</f>
      </c>
      <c r="O5" t="str">
        <v>Vehículo apagado</v>
      </c>
      <c r="P5">
        <v>718091.4</v>
      </c>
      <c r="Q5" t="str">
        <v/>
      </c>
      <c r="R5">
        <v>0.3</v>
      </c>
      <c r="S5">
        <v>80.4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18/09/2026</v>
      </c>
      <c r="AC5" t="str">
        <v>05:49:11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05:49:37</v>
      </c>
      <c r="AK5" t="str">
        <v>05:49:37</v>
      </c>
      <c r="AL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18/09/2026</v>
      </c>
      <c r="K6" t="str">
        <v>05:55:25</v>
      </c>
      <c r="L6">
        <v>-12.153835</v>
      </c>
      <c r="M6">
        <v>-76.95249</v>
      </c>
      <c r="N6">
        <f>HYPERLINK("https://www.google.com/maps/search/?api=1&amp;query=-12.153835,-76.95249","Jirón Jose Santos Chocano, Villa María del Triunfo, Lima")</f>
      </c>
      <c r="O6" t="str">
        <v>Vehículo encendido</v>
      </c>
      <c r="P6">
        <v>718091.4</v>
      </c>
      <c r="Q6" t="str">
        <v/>
      </c>
      <c r="R6">
        <v>0</v>
      </c>
      <c r="S6">
        <v>80.4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18/09/2026</v>
      </c>
      <c r="AC6" t="str">
        <v>05:49:19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05:55:39</v>
      </c>
      <c r="AK6" t="str">
        <v>05:55:39</v>
      </c>
      <c r="AL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18/09/2026</v>
      </c>
      <c r="K7" t="str">
        <v>05:55:29</v>
      </c>
      <c r="L7">
        <v>-12.153835</v>
      </c>
      <c r="M7">
        <v>-76.95249</v>
      </c>
      <c r="N7">
        <f>HYPERLINK("https://www.google.com/maps/search/?api=1&amp;query=-12.153835,-76.95249","Jirón Jose Santos Chocano, Villa María del Triunfo, Lima")</f>
      </c>
      <c r="O7" t="str">
        <v>Vehículo apagado</v>
      </c>
      <c r="P7">
        <v>718091.4</v>
      </c>
      <c r="Q7" t="str">
        <v/>
      </c>
      <c r="R7">
        <v>0</v>
      </c>
      <c r="S7">
        <v>80.4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18/09/2026</v>
      </c>
      <c r="AC7" t="str">
        <v>05:49:19</v>
      </c>
      <c r="AD7">
        <f>IF("NOGPS"="NOGPS","GPS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05:55:33</v>
      </c>
      <c r="AK7" t="str">
        <v>05:55:33</v>
      </c>
      <c r="AL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18/09/2026</v>
      </c>
      <c r="K8" t="str">
        <v>06:14:31</v>
      </c>
      <c r="L8">
        <v>-12.153661</v>
      </c>
      <c r="M8">
        <v>-76.95257</v>
      </c>
      <c r="N8">
        <f>HYPERLINK("https://www.google.com/maps/search/?api=1&amp;query=-12.153661,-76.95257","Jirón Jose Santos Chocano, Villa María del Triunfo, Lima")</f>
      </c>
      <c r="O8" t="str">
        <v>Vehículo encendido</v>
      </c>
      <c r="P8">
        <v>718091.4</v>
      </c>
      <c r="Q8" t="str">
        <v/>
      </c>
      <c r="R8">
        <v>0</v>
      </c>
      <c r="S8">
        <v>80.4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18/09/2026</v>
      </c>
      <c r="AC8" t="str">
        <v>05:55:34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06:14:43</v>
      </c>
      <c r="AK8" t="str">
        <v>06:14:43</v>
      </c>
      <c r="AL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/>
      </c>
      <c r="J9" t="str">
        <v>18/09/2026</v>
      </c>
      <c r="K9" t="str">
        <v>06:19:25</v>
      </c>
      <c r="L9">
        <v>-12.154125</v>
      </c>
      <c r="M9">
        <v>-76.95228</v>
      </c>
      <c r="N9">
        <f>HYPERLINK("https://www.google.com/maps/search/?api=1&amp;query=-12.154125,-76.95228","12 de Octubre, Villa María del Triunfo, Lima")</f>
      </c>
      <c r="O9" t="str">
        <v>Vehículo apagado</v>
      </c>
      <c r="P9">
        <v>718091.4</v>
      </c>
      <c r="Q9" t="str">
        <v/>
      </c>
      <c r="R9">
        <v>0</v>
      </c>
      <c r="S9">
        <v>80.8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18/09/2026</v>
      </c>
      <c r="AC9" t="str">
        <v>06:19:28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06:19:35</v>
      </c>
      <c r="AK9" t="str">
        <v>06:19:35</v>
      </c>
      <c r="AL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18/09/2026</v>
      </c>
      <c r="K10" t="str">
        <v>06:30:26</v>
      </c>
      <c r="L10">
        <v>-12.154125</v>
      </c>
      <c r="M10">
        <v>-76.95228</v>
      </c>
      <c r="N10">
        <f>HYPERLINK("https://www.google.com/maps/search/?api=1&amp;query=-12.154125,-76.95228","12 de Octubre, Villa María del Triunfo, Lima")</f>
      </c>
      <c r="O10" t="str">
        <v>Vehículo encendido</v>
      </c>
      <c r="P10">
        <v>718091.4</v>
      </c>
      <c r="Q10" t="str">
        <v/>
      </c>
      <c r="R10">
        <v>0</v>
      </c>
      <c r="S10">
        <v>80.8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18/09/2026</v>
      </c>
      <c r="AC10" t="str">
        <v>06:19:28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06:30:45</v>
      </c>
      <c r="AK10" t="str">
        <v>06:30:45</v>
      </c>
      <c r="AL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18/09/2026</v>
      </c>
      <c r="K11" t="str">
        <v>06:30:28</v>
      </c>
      <c r="L11">
        <v>-12.154125</v>
      </c>
      <c r="M11">
        <v>-76.95228</v>
      </c>
      <c r="N11">
        <f>HYPERLINK("https://www.google.com/maps/search/?api=1&amp;query=-12.154125,-76.95228","12 de Octubre, Villa María del Triunfo, Lima")</f>
      </c>
      <c r="O11" t="str">
        <v>Vehículo apagado</v>
      </c>
      <c r="P11">
        <v>718091.4</v>
      </c>
      <c r="Q11" t="str">
        <v/>
      </c>
      <c r="R11">
        <v>0</v>
      </c>
      <c r="S11">
        <v>80.8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18/09/2026</v>
      </c>
      <c r="AC11" t="str">
        <v>06:19:28</v>
      </c>
      <c r="AD11">
        <f>IF("NOGPS"="NOGPS","GPS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06:30:39</v>
      </c>
      <c r="AK11" t="str">
        <v>06:30:39</v>
      </c>
      <c r="AL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/>
      </c>
      <c r="J12" t="str">
        <v>18/09/2026</v>
      </c>
      <c r="K12" t="str">
        <v>06:46:13</v>
      </c>
      <c r="L12">
        <v>-12.154151</v>
      </c>
      <c r="M12">
        <v>-76.95231</v>
      </c>
      <c r="N12">
        <f>HYPERLINK("https://www.google.com/maps/search/?api=1&amp;query=-12.154151,-76.95231","12 de Octubre, Villa María del Triunfo, Lima")</f>
      </c>
      <c r="O12" t="str">
        <v>Vehículo encendido</v>
      </c>
      <c r="P12">
        <v>718091.4</v>
      </c>
      <c r="Q12" t="str">
        <v/>
      </c>
      <c r="R12">
        <v>0</v>
      </c>
      <c r="S12">
        <v>80.8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18/09/2026</v>
      </c>
      <c r="AC12" t="str">
        <v>06:30:34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06:46:45</v>
      </c>
      <c r="AK12" t="str">
        <v>06:46:45</v>
      </c>
      <c r="AL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18/09/2026</v>
      </c>
      <c r="K13" t="str">
        <v>06:46:17</v>
      </c>
      <c r="L13">
        <v>-12.154151</v>
      </c>
      <c r="M13">
        <v>-76.95231</v>
      </c>
      <c r="N13">
        <f>HYPERLINK("https://www.google.com/maps/search/?api=1&amp;query=-12.154151,-76.95231","12 de Octubre, Villa María del Triunfo, Lima")</f>
      </c>
      <c r="O13" t="str">
        <v>Vehículo apagado</v>
      </c>
      <c r="P13">
        <v>718091.4</v>
      </c>
      <c r="Q13" t="str">
        <v/>
      </c>
      <c r="R13">
        <v>0</v>
      </c>
      <c r="S13">
        <v>80.8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18/09/2026</v>
      </c>
      <c r="AC13" t="str">
        <v>06:30:34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06:46:43</v>
      </c>
      <c r="AK13" t="str">
        <v>06:46:43</v>
      </c>
      <c r="AL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18/09/2026</v>
      </c>
      <c r="K14" t="str">
        <v>07:01:12</v>
      </c>
      <c r="L14">
        <v>-12.154081</v>
      </c>
      <c r="M14">
        <v>-76.95238</v>
      </c>
      <c r="N14">
        <f>HYPERLINK("https://www.google.com/maps/search/?api=1&amp;query=-12.154081,-76.95238","Avenida José Carlos Mariátegui, Villa María del Triunfo, Lima")</f>
      </c>
      <c r="O14" t="str">
        <v>Vehículo encendido</v>
      </c>
      <c r="P14">
        <v>718091.4</v>
      </c>
      <c r="Q14" t="str">
        <v/>
      </c>
      <c r="R14">
        <v>0</v>
      </c>
      <c r="S14">
        <v>80.8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18/09/2026</v>
      </c>
      <c r="AC14" t="str">
        <v>06:46:22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07:03:35</v>
      </c>
      <c r="AK14" t="str">
        <v>07:03:35</v>
      </c>
      <c r="AL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18/09/2026</v>
      </c>
      <c r="K15" t="str">
        <v>07:04:12</v>
      </c>
      <c r="L15">
        <v>-12.154052</v>
      </c>
      <c r="M15">
        <v>-76.95227</v>
      </c>
      <c r="N15">
        <f>HYPERLINK("https://www.google.com/maps/search/?api=1&amp;query=-12.154052,-76.95227","Avenida José Carlos Mariátegui, Villa María del Triunfo, Lima")</f>
      </c>
      <c r="O15" t="str">
        <v>Inicio de ralentí</v>
      </c>
      <c r="P15">
        <v>718091.4</v>
      </c>
      <c r="Q15" t="str">
        <v/>
      </c>
      <c r="R15">
        <v>0</v>
      </c>
      <c r="S15">
        <v>80.8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18/09/2026</v>
      </c>
      <c r="AC15" t="str">
        <v>07:03:13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07:04:17</v>
      </c>
      <c r="AK15" t="str">
        <v>07:04:17</v>
      </c>
      <c r="AL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18/09/2026</v>
      </c>
      <c r="K16" t="str">
        <v>07:07:40</v>
      </c>
      <c r="L16">
        <v>-12.154052</v>
      </c>
      <c r="M16">
        <v>-76.95227</v>
      </c>
      <c r="N16">
        <f>HYPERLINK("https://www.google.com/maps/search/?api=1&amp;query=-12.154052,-76.95227","Avenida José Carlos Mariátegui, Villa María del Triunfo, Lima")</f>
      </c>
      <c r="O16" t="str">
        <v>Fin de ralentí</v>
      </c>
      <c r="P16">
        <v>718091.4</v>
      </c>
      <c r="Q16" t="str">
        <v/>
      </c>
      <c r="R16">
        <v>0</v>
      </c>
      <c r="S16">
        <v>80.8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18/09/2026</v>
      </c>
      <c r="AC16" t="str">
        <v>07:06:13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07:08:02</v>
      </c>
      <c r="AK16" t="str">
        <v>07:08:02</v>
      </c>
      <c r="AL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18/09/2026</v>
      </c>
      <c r="K17" t="str">
        <v>07:10:21</v>
      </c>
      <c r="L17">
        <v>-12.148307</v>
      </c>
      <c r="M17">
        <v>-76.950714</v>
      </c>
      <c r="N17">
        <f>HYPERLINK("https://www.google.com/maps/search/?api=1&amp;query=-12.148307,-76.950714","Jirón Apurimac, Villa María del Triunfo, Lima")</f>
      </c>
      <c r="O17" t="str">
        <v>Vehículo apagado</v>
      </c>
      <c r="P17">
        <v>718092.1</v>
      </c>
      <c r="Q17" t="str">
        <v/>
      </c>
      <c r="R17">
        <v>0</v>
      </c>
      <c r="S17">
        <v>80.95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18/09/2026</v>
      </c>
      <c r="AC17" t="str">
        <v>07:09:13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07:10:31</v>
      </c>
      <c r="AK17" t="str">
        <v>07:10:31</v>
      </c>
      <c r="AL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/>
      </c>
      <c r="J18" t="str">
        <v>18/09/2026</v>
      </c>
      <c r="K18" t="str">
        <v>07:10:23</v>
      </c>
      <c r="L18">
        <v>-12.148307</v>
      </c>
      <c r="M18">
        <v>-76.950714</v>
      </c>
      <c r="N18">
        <f>HYPERLINK("https://www.google.com/maps/search/?api=1&amp;query=-12.148307,-76.950714","Jirón Apurimac, Villa María del Triunfo, Lima")</f>
      </c>
      <c r="O18" t="str">
        <v>Vehículo encendido</v>
      </c>
      <c r="P18">
        <v>718092.1</v>
      </c>
      <c r="Q18" t="str">
        <v/>
      </c>
      <c r="R18">
        <v>0</v>
      </c>
      <c r="S18">
        <v>80.8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18/09/2026</v>
      </c>
      <c r="AC18" t="str">
        <v>07:09:13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07:10:28</v>
      </c>
      <c r="AK18" t="str">
        <v>07:10:28</v>
      </c>
      <c r="AL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/>
      </c>
      <c r="J19" t="str">
        <v>18/09/2026</v>
      </c>
      <c r="K19" t="str">
        <v>07:10:27</v>
      </c>
      <c r="L19">
        <v>-12.148128</v>
      </c>
      <c r="M19">
        <v>-76.9507</v>
      </c>
      <c r="N19">
        <f>HYPERLINK("https://www.google.com/maps/search/?api=1&amp;query=-12.148128,-76.9507","Avenida José Carlos Mariátegui, Villa María del Triunfo, Lima")</f>
      </c>
      <c r="O19" t="str">
        <v>Vehículo apagado</v>
      </c>
      <c r="P19">
        <v>718092.1</v>
      </c>
      <c r="Q19" t="str">
        <v/>
      </c>
      <c r="R19">
        <v>0</v>
      </c>
      <c r="S19">
        <v>80.95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18/09/2026</v>
      </c>
      <c r="AC19" t="str">
        <v>07:10:23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07:10:41</v>
      </c>
      <c r="AK19" t="str">
        <v>07:10:41</v>
      </c>
      <c r="AL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/>
      </c>
      <c r="J20" t="str">
        <v>18/09/2026</v>
      </c>
      <c r="K20" t="str">
        <v>07:22:00</v>
      </c>
      <c r="L20">
        <v>-12.148128</v>
      </c>
      <c r="M20">
        <v>-76.9507</v>
      </c>
      <c r="N20">
        <f>HYPERLINK("https://www.google.com/maps/search/?api=1&amp;query=-12.148128,-76.9507","Avenida José Carlos Mariátegui, Villa María del Triunfo, Lima")</f>
      </c>
      <c r="O20" t="str">
        <v>Vehículo encendido</v>
      </c>
      <c r="P20">
        <v>718092.1</v>
      </c>
      <c r="Q20" t="str">
        <v/>
      </c>
      <c r="R20">
        <v>0</v>
      </c>
      <c r="S20">
        <v>80.95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18/09/2026</v>
      </c>
      <c r="AC20" t="str">
        <v>07:10:31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07:22:09</v>
      </c>
      <c r="AK20" t="str">
        <v>07:22:09</v>
      </c>
      <c r="AL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/>
      </c>
      <c r="J21" t="str">
        <v>18/09/2026</v>
      </c>
      <c r="K21" t="str">
        <v>07:25:30</v>
      </c>
      <c r="L21">
        <v>-12.141855</v>
      </c>
      <c r="M21">
        <v>-76.94975</v>
      </c>
      <c r="N21">
        <f>HYPERLINK("https://www.google.com/maps/search/?api=1&amp;query=-12.141855,-76.94975","Avenida Primavera, Villa María del Triunfo, Lima")</f>
      </c>
      <c r="O21" t="str">
        <v>Vehículo apagado</v>
      </c>
      <c r="P21">
        <v>718092.9</v>
      </c>
      <c r="Q21" t="str">
        <v/>
      </c>
      <c r="R21">
        <v>0</v>
      </c>
      <c r="S21">
        <v>81.02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18/09/2026</v>
      </c>
      <c r="AC21" t="str">
        <v>07:24:58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07:25:37</v>
      </c>
      <c r="AK21" t="str">
        <v>07:25:37</v>
      </c>
      <c r="AL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18/09/2026</v>
      </c>
      <c r="K22" t="str">
        <v>07:25:32</v>
      </c>
      <c r="L22">
        <v>-12.141855</v>
      </c>
      <c r="M22">
        <v>-76.94975</v>
      </c>
      <c r="N22">
        <f>HYPERLINK("https://www.google.com/maps/search/?api=1&amp;query=-12.141855,-76.94975","Avenida Primavera, Villa María del Triunfo, Lima")</f>
      </c>
      <c r="O22" t="str">
        <v>Vehículo encendido</v>
      </c>
      <c r="P22">
        <v>718092.9</v>
      </c>
      <c r="Q22" t="str">
        <v/>
      </c>
      <c r="R22">
        <v>0</v>
      </c>
      <c r="S22">
        <v>80.95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18/09/2026</v>
      </c>
      <c r="AC22" t="str">
        <v>07:24:58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07:25:37</v>
      </c>
      <c r="AK22" t="str">
        <v>07:25:37</v>
      </c>
      <c r="AL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18/09/2026</v>
      </c>
      <c r="K23" t="str">
        <v>07:25:36</v>
      </c>
      <c r="L23">
        <v>-12.141855</v>
      </c>
      <c r="M23">
        <v>-76.94975</v>
      </c>
      <c r="N23">
        <f>HYPERLINK("https://www.google.com/maps/search/?api=1&amp;query=-12.141855,-76.94975","Avenida Primavera, Villa María del Triunfo, Lima")</f>
      </c>
      <c r="O23" t="str">
        <v>Vehículo apagado</v>
      </c>
      <c r="P23">
        <v>718092.9</v>
      </c>
      <c r="Q23" t="str">
        <v/>
      </c>
      <c r="R23">
        <v>0</v>
      </c>
      <c r="S23">
        <v>80.95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18/09/2026</v>
      </c>
      <c r="AC23" t="str">
        <v>07:25:40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07:26:08</v>
      </c>
      <c r="AK23" t="str">
        <v>07:26:08</v>
      </c>
      <c r="AL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18/09/2026</v>
      </c>
      <c r="K24" t="str">
        <v>07:35:59</v>
      </c>
      <c r="L24">
        <v>-12.141855</v>
      </c>
      <c r="M24">
        <v>-76.94975</v>
      </c>
      <c r="N24">
        <f>HYPERLINK("https://www.google.com/maps/search/?api=1&amp;query=-12.141855,-76.94975","Avenida Primavera, Villa María del Triunfo, Lima")</f>
      </c>
      <c r="O24" t="str">
        <v>Vehículo encendido</v>
      </c>
      <c r="P24">
        <v>718092.9</v>
      </c>
      <c r="Q24" t="str">
        <v/>
      </c>
      <c r="R24">
        <v>0</v>
      </c>
      <c r="S24">
        <v>80.95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18/09/2026</v>
      </c>
      <c r="AC24" t="str">
        <v>07:25:40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07:36:22</v>
      </c>
      <c r="AK24" t="str">
        <v>07:36:22</v>
      </c>
      <c r="AL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/>
      </c>
      <c r="J25" t="str">
        <v>18/09/2026</v>
      </c>
      <c r="K25" t="str">
        <v>08:09:17</v>
      </c>
      <c r="L25">
        <v>-12.219847</v>
      </c>
      <c r="M25">
        <v>-76.976746</v>
      </c>
      <c r="N25">
        <f>HYPERLINK("https://www.google.com/maps/search/?api=1&amp;query=-12.219847,-76.976746","Carretera Panamericana Sur, Villa El Salvador, Lima")</f>
      </c>
      <c r="O25" t="str">
        <v>Excedió el límite de velocidad</v>
      </c>
      <c r="P25">
        <v>718106.3</v>
      </c>
      <c r="Q25" t="str">
        <v/>
      </c>
      <c r="R25">
        <v>82.4</v>
      </c>
      <c r="S25">
        <v>80.95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18/09/2026</v>
      </c>
      <c r="AC25" t="str">
        <v>08:09:16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08:09:28</v>
      </c>
      <c r="AK25" t="str">
        <v>08:09:28</v>
      </c>
      <c r="AL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18/09/2026</v>
      </c>
      <c r="K26" t="str">
        <v>08:11:43</v>
      </c>
      <c r="L26">
        <v>-12.223048</v>
      </c>
      <c r="M26">
        <v>-76.97473</v>
      </c>
      <c r="N26">
        <f>HYPERLINK("https://www.google.com/maps/search/?api=1&amp;query=-12.223048,-76.97473","Prolongación Huaylas, Chorrillos, Lima")</f>
      </c>
      <c r="O26" t="str">
        <v>Vehículo apagado</v>
      </c>
      <c r="P26">
        <v>718106.7</v>
      </c>
      <c r="Q26" t="str">
        <v/>
      </c>
      <c r="R26">
        <v>0</v>
      </c>
      <c r="S26">
        <v>81.55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18/09/2026</v>
      </c>
      <c r="AC26" t="str">
        <v>08:11:00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08:11:53</v>
      </c>
      <c r="AK26" t="str">
        <v>08:11:53</v>
      </c>
      <c r="AL26" t="str">
        <v/>
      </c>
    </row>
    <row r="27">
      <c r="A27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/>
      </c>
      <c r="J27" t="str">
        <v>18/09/2026</v>
      </c>
      <c r="K27" t="str">
        <v>08:12:34</v>
      </c>
      <c r="L27">
        <v>-12.223269</v>
      </c>
      <c r="M27">
        <v>-76.97478</v>
      </c>
      <c r="N27">
        <f>HYPERLINK("https://www.google.com/maps/search/?api=1&amp;query=-12.223269,-76.97478","Prolongación Huaylas, Chorrillos, Lima")</f>
      </c>
      <c r="O27" t="str">
        <v>Vehículo encendido</v>
      </c>
      <c r="P27">
        <v>718106.7</v>
      </c>
      <c r="Q27" t="str">
        <v/>
      </c>
      <c r="R27">
        <v>0</v>
      </c>
      <c r="S27">
        <v>81.55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18/09/2026</v>
      </c>
      <c r="AC27" t="str">
        <v>08:12:38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08:12:52</v>
      </c>
      <c r="AK27" t="str">
        <v>08:12:52</v>
      </c>
      <c r="AL27" t="str">
        <v/>
      </c>
    </row>
    <row r="28">
      <c r="A28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/>
      </c>
      <c r="J28" t="str">
        <v>18/09/2026</v>
      </c>
      <c r="K28" t="str">
        <v>08:12:54</v>
      </c>
      <c r="L28">
        <v>-12.223269</v>
      </c>
      <c r="M28">
        <v>-76.97478</v>
      </c>
      <c r="N28">
        <f>HYPERLINK("https://www.google.com/maps/search/?api=1&amp;query=-12.223269,-76.97478","Prolongación Huaylas, Chorrillos, Lima")</f>
      </c>
      <c r="O28" t="str">
        <v>Vehículo apagado</v>
      </c>
      <c r="P28">
        <v>718106.7</v>
      </c>
      <c r="Q28" t="str">
        <v/>
      </c>
      <c r="R28">
        <v>0.2</v>
      </c>
      <c r="S28">
        <v>81.55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18/09/2026</v>
      </c>
      <c r="AC28" t="str">
        <v>08:12:38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08:13:03</v>
      </c>
      <c r="AK28" t="str">
        <v>08:13:03</v>
      </c>
      <c r="AL28" t="str">
        <v/>
      </c>
    </row>
    <row r="29">
      <c r="A29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/>
      </c>
      <c r="J29" t="str">
        <v>18/09/2026</v>
      </c>
      <c r="K29" t="str">
        <v>08:16:04</v>
      </c>
      <c r="L29">
        <v>-12.223269</v>
      </c>
      <c r="M29">
        <v>-76.97478</v>
      </c>
      <c r="N29">
        <f>HYPERLINK("https://www.google.com/maps/search/?api=1&amp;query=-12.223269,-76.97478","Prolongación Huaylas, Chorrillos, Lima")</f>
      </c>
      <c r="O29" t="str">
        <v>Vehículo encendido</v>
      </c>
      <c r="P29">
        <v>718106.7</v>
      </c>
      <c r="Q29" t="str">
        <v/>
      </c>
      <c r="R29">
        <v>0</v>
      </c>
      <c r="S29">
        <v>81.55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18/09/2026</v>
      </c>
      <c r="AC29" t="str">
        <v>08:12:55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08:16:22</v>
      </c>
      <c r="AK29" t="str">
        <v>08:16:22</v>
      </c>
      <c r="AL29" t="str">
        <v/>
      </c>
    </row>
    <row r="30">
      <c r="A30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/>
      </c>
      <c r="J30" t="str">
        <v>18/09/2026</v>
      </c>
      <c r="K30" t="str">
        <v>08:19:10</v>
      </c>
      <c r="L30">
        <v>-12.231232</v>
      </c>
      <c r="M30">
        <v>-76.96575</v>
      </c>
      <c r="N30">
        <f>HYPERLINK("https://www.google.com/maps/search/?api=1&amp;query=-12.231232,-76.96575","Carretera Panamericana Sur, Villa El Salvador, Lima")</f>
      </c>
      <c r="O30" t="str">
        <v>Excedió el límite de velocidad</v>
      </c>
      <c r="P30">
        <v>718108.1</v>
      </c>
      <c r="Q30" t="str">
        <v/>
      </c>
      <c r="R30">
        <v>90.3</v>
      </c>
      <c r="S30">
        <v>81.55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18/09/2026</v>
      </c>
      <c r="AC30" t="str">
        <v>08:19:09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08:19:39</v>
      </c>
      <c r="AK30" t="str">
        <v>08:19:39</v>
      </c>
      <c r="AL30" t="str">
        <v/>
      </c>
    </row>
    <row r="31">
      <c r="A31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/>
      </c>
      <c r="J31" t="str">
        <v>18/09/2026</v>
      </c>
      <c r="K31" t="str">
        <v>08:20:28</v>
      </c>
      <c r="L31">
        <v>-12.239125</v>
      </c>
      <c r="M31">
        <v>-76.9504</v>
      </c>
      <c r="N31">
        <f>HYPERLINK("https://www.google.com/maps/search/?api=1&amp;query=-12.239125,-76.9504","Carretera Panamericana Sur, Villa El Salvador, Lima")</f>
      </c>
      <c r="O31" t="str">
        <v>Excedió el límite de velocidad</v>
      </c>
      <c r="P31">
        <v>718110</v>
      </c>
      <c r="Q31" t="str">
        <v/>
      </c>
      <c r="R31">
        <v>89.2</v>
      </c>
      <c r="S31">
        <v>81.55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18/09/2026</v>
      </c>
      <c r="AC31" t="str">
        <v>08:20:27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08:20:53</v>
      </c>
      <c r="AK31" t="str">
        <v>08:20:53</v>
      </c>
      <c r="AL31" t="str">
        <v/>
      </c>
    </row>
    <row r="32">
      <c r="A32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/>
      </c>
      <c r="J32" t="str">
        <v>18/09/2026</v>
      </c>
      <c r="K32" t="str">
        <v>08:23:22</v>
      </c>
      <c r="L32">
        <v>-12.257277</v>
      </c>
      <c r="M32">
        <v>-76.91979</v>
      </c>
      <c r="N32">
        <f>HYPERLINK("https://www.google.com/maps/search/?api=1&amp;query=-12.257277,-76.91979","Carretera Panamericana Sur, Lurín, Lima")</f>
      </c>
      <c r="O32" t="str">
        <v>Excedió el límite de velocidad</v>
      </c>
      <c r="P32">
        <v>718113.9</v>
      </c>
      <c r="Q32" t="str">
        <v/>
      </c>
      <c r="R32">
        <v>86.7</v>
      </c>
      <c r="S32">
        <v>81.55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18/09/2026</v>
      </c>
      <c r="AC32" t="str">
        <v>08:23:21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08:23:33</v>
      </c>
      <c r="AK32" t="str">
        <v>08:23:33</v>
      </c>
      <c r="AL32" t="str">
        <v/>
      </c>
    </row>
    <row r="33">
      <c r="A33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/>
      </c>
      <c r="J33" t="str">
        <v>18/09/2026</v>
      </c>
      <c r="K33" t="str">
        <v>08:24:04</v>
      </c>
      <c r="L33">
        <v>-12.261918</v>
      </c>
      <c r="M33">
        <v>-76.91244</v>
      </c>
      <c r="N33">
        <f>HYPERLINK("https://www.google.com/maps/search/?api=1&amp;query=-12.261918,-76.91244","Carretera Panamericana Sur, Lurín, Lima")</f>
      </c>
      <c r="O33" t="str">
        <v>Excedió el límite de velocidad</v>
      </c>
      <c r="P33">
        <v>718114.8</v>
      </c>
      <c r="Q33" t="str">
        <v/>
      </c>
      <c r="R33">
        <v>83.8</v>
      </c>
      <c r="S33">
        <v>81.55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18/09/2026</v>
      </c>
      <c r="AC33" t="str">
        <v>08:24:03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08:24:16</v>
      </c>
      <c r="AK33" t="str">
        <v>08:24:16</v>
      </c>
      <c r="AL33" t="str">
        <v/>
      </c>
    </row>
    <row r="34">
      <c r="A34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/>
      </c>
      <c r="J34" t="str">
        <v>18/09/2026</v>
      </c>
      <c r="K34" t="str">
        <v>08:26:46</v>
      </c>
      <c r="L34">
        <v>-12.277166</v>
      </c>
      <c r="M34">
        <v>-76.88817</v>
      </c>
      <c r="N34">
        <f>HYPERLINK("https://www.google.com/maps/search/?api=1&amp;query=-12.277166,-76.88817","Carretera Panamericana Sur, Lurín, Lima")</f>
      </c>
      <c r="O34" t="str">
        <v>Excedió el límite de velocidad</v>
      </c>
      <c r="P34">
        <v>718118</v>
      </c>
      <c r="Q34" t="str">
        <v/>
      </c>
      <c r="R34">
        <v>80.8</v>
      </c>
      <c r="S34">
        <v>81.55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18/09/2026</v>
      </c>
      <c r="AC34" t="str">
        <v>08:26:45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08:27:06</v>
      </c>
      <c r="AK34" t="str">
        <v>08:27:06</v>
      </c>
      <c r="AL34" t="str">
        <v/>
      </c>
    </row>
    <row r="35">
      <c r="A35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/>
      </c>
      <c r="J35" t="str">
        <v>18/09/2026</v>
      </c>
      <c r="K35" t="str">
        <v>08:27:25</v>
      </c>
      <c r="L35">
        <v>-12.28129</v>
      </c>
      <c r="M35">
        <v>-76.88161</v>
      </c>
      <c r="N35">
        <f>HYPERLINK("https://www.google.com/maps/search/?api=1&amp;query=-12.28129,-76.88161","Carretera Panamericana Sur, Lurín, Lima")</f>
      </c>
      <c r="O35" t="str">
        <v>Excedió el límite de velocidad</v>
      </c>
      <c r="P35">
        <v>718118.8</v>
      </c>
      <c r="Q35" t="str">
        <v/>
      </c>
      <c r="R35">
        <v>80.6</v>
      </c>
      <c r="S35">
        <v>81.55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18/09/2026</v>
      </c>
      <c r="AC35" t="str">
        <v>08:27:24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08:27:38</v>
      </c>
      <c r="AK35" t="str">
        <v>08:27:38</v>
      </c>
      <c r="AL35" t="str">
        <v/>
      </c>
    </row>
    <row r="36">
      <c r="A36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/>
      </c>
      <c r="J36" t="str">
        <v>18/09/2026</v>
      </c>
      <c r="K36" t="str">
        <v>08:29:01</v>
      </c>
      <c r="L36">
        <v>-12.292441</v>
      </c>
      <c r="M36">
        <v>-76.863815</v>
      </c>
      <c r="N36">
        <f>HYPERLINK("https://www.google.com/maps/search/?api=1&amp;query=-12.292441,-76.863815","Carretera Panamericana Sur, Lurín, Lima")</f>
      </c>
      <c r="O36" t="str">
        <v>Excedió el límite de velocidad</v>
      </c>
      <c r="P36">
        <v>718121.1</v>
      </c>
      <c r="Q36" t="str">
        <v/>
      </c>
      <c r="R36">
        <v>90.9</v>
      </c>
      <c r="S36">
        <v>81.55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18/09/2026</v>
      </c>
      <c r="AC36" t="str">
        <v>08:29:00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08:38:24</v>
      </c>
      <c r="AK36" t="str">
        <v>08:38:24</v>
      </c>
      <c r="AL36" t="str">
        <v/>
      </c>
    </row>
    <row r="37">
      <c r="A37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/>
      </c>
      <c r="J37" t="str">
        <v>18/09/2026</v>
      </c>
      <c r="K37" t="str">
        <v>08:30:46</v>
      </c>
      <c r="L37">
        <v>-12.302058</v>
      </c>
      <c r="M37">
        <v>-76.84449</v>
      </c>
      <c r="N37">
        <f>HYPERLINK("https://www.google.com/maps/search/?api=1&amp;query=-12.302058,-76.84449","Carretera Panamericana Sur, Lurín, Lima")</f>
      </c>
      <c r="O37" t="str">
        <v>Excedió el límite de velocidad</v>
      </c>
      <c r="P37">
        <v>718123.5</v>
      </c>
      <c r="Q37" t="str">
        <v/>
      </c>
      <c r="R37">
        <v>86</v>
      </c>
      <c r="S37">
        <v>81.55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18/09/2026</v>
      </c>
      <c r="AC37" t="str">
        <v>08:30:45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08:38:24</v>
      </c>
      <c r="AK37" t="str">
        <v>08:38:24</v>
      </c>
      <c r="AL37" t="str">
        <v/>
      </c>
    </row>
    <row r="38">
      <c r="A38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/>
      </c>
      <c r="J38" t="str">
        <v>18/09/2026</v>
      </c>
      <c r="K38" t="str">
        <v>08:31:05</v>
      </c>
      <c r="L38">
        <v>-12.303664</v>
      </c>
      <c r="M38">
        <v>-76.84157</v>
      </c>
      <c r="N38">
        <f>HYPERLINK("https://www.google.com/maps/search/?api=1&amp;query=-12.303664,-76.84157","Carretera Panamericana Sur, Lurín, Lima")</f>
      </c>
      <c r="O38" t="str">
        <v>Exceso de velocidad en segmento vial</v>
      </c>
      <c r="P38">
        <v>718123.9</v>
      </c>
      <c r="Q38" t="str">
        <v/>
      </c>
      <c r="R38">
        <v>88.3</v>
      </c>
      <c r="S38">
        <v>81.55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18/09/2026</v>
      </c>
      <c r="AC38" t="str">
        <v>08:31:00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08:38:25</v>
      </c>
      <c r="AK38" t="str">
        <v>08:38:25</v>
      </c>
      <c r="AL38" t="str">
        <v/>
      </c>
    </row>
    <row r="39">
      <c r="A39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/>
      </c>
      <c r="J39" t="str">
        <v>18/09/2026</v>
      </c>
      <c r="K39" t="str">
        <v>08:31:58</v>
      </c>
      <c r="L39">
        <v>-12.312062</v>
      </c>
      <c r="M39">
        <v>-76.83422</v>
      </c>
      <c r="N39">
        <f>HYPERLINK("https://www.google.com/maps/search/?api=1&amp;query=-12.312062,-76.83422","Carretera Panamericana Sur, Punta Hermosa, Lima")</f>
      </c>
      <c r="O39" t="str">
        <v>Excedió el límite de velocidad</v>
      </c>
      <c r="P39">
        <v>718125.1</v>
      </c>
      <c r="Q39" t="str">
        <v/>
      </c>
      <c r="R39">
        <v>86.6</v>
      </c>
      <c r="S39">
        <v>81.55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18/09/2026</v>
      </c>
      <c r="AC39" t="str">
        <v>08:31:57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08:38:30</v>
      </c>
      <c r="AK39" t="str">
        <v>08:38:30</v>
      </c>
      <c r="AL39" t="str">
        <v/>
      </c>
    </row>
    <row r="40">
      <c r="A40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/>
      </c>
      <c r="J40" t="str">
        <v>18/09/2026</v>
      </c>
      <c r="K40" t="str">
        <v>08:32:05</v>
      </c>
      <c r="L40">
        <v>-12.312595</v>
      </c>
      <c r="M40">
        <v>-76.83386</v>
      </c>
      <c r="N40">
        <f>HYPERLINK("https://www.google.com/maps/search/?api=1&amp;query=-12.312595,-76.83386","Carretera Panamericana Sur, Punta Hermosa, Lima")</f>
      </c>
      <c r="O40" t="str">
        <v>Exceso de velocidad en segmento vial</v>
      </c>
      <c r="P40">
        <v>718125.2</v>
      </c>
      <c r="Q40" t="str">
        <v/>
      </c>
      <c r="R40">
        <v>83.5</v>
      </c>
      <c r="S40">
        <v>81.55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18/09/2026</v>
      </c>
      <c r="AC40" t="str">
        <v>08:32:00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08:38:29</v>
      </c>
      <c r="AK40" t="str">
        <v>08:38:29</v>
      </c>
      <c r="AL40" t="str">
        <v/>
      </c>
    </row>
    <row r="41">
      <c r="A41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/>
      </c>
      <c r="J41" t="str">
        <v>18/09/2026</v>
      </c>
      <c r="K41" t="str">
        <v>08:32:40</v>
      </c>
      <c r="L41">
        <v>-12.319256</v>
      </c>
      <c r="M41">
        <v>-76.82942</v>
      </c>
      <c r="N41">
        <f>HYPERLINK("https://www.google.com/maps/search/?api=1&amp;query=-12.319256,-76.82942","Carretera Panamericana Sur, Punta Hermosa, Lima")</f>
      </c>
      <c r="O41" t="str">
        <v>Excedió el límite de velocidad</v>
      </c>
      <c r="P41">
        <v>718126</v>
      </c>
      <c r="Q41" t="str">
        <v/>
      </c>
      <c r="R41">
        <v>81.1</v>
      </c>
      <c r="S41">
        <v>81.55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18/09/2026</v>
      </c>
      <c r="AC41" t="str">
        <v>08:32:39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08:38:25</v>
      </c>
      <c r="AK41" t="str">
        <v>08:38:25</v>
      </c>
      <c r="AL41" t="str">
        <v/>
      </c>
    </row>
    <row r="42">
      <c r="A42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/>
      </c>
      <c r="J42" t="str">
        <v>18/09/2026</v>
      </c>
      <c r="K42" t="str">
        <v>08:33:46</v>
      </c>
      <c r="L42">
        <v>-12.33017</v>
      </c>
      <c r="M42">
        <v>-76.82212</v>
      </c>
      <c r="N42">
        <f>HYPERLINK("https://www.google.com/maps/search/?api=1&amp;query=-12.33017,-76.82212","Carretera Panamericana Sur, Punta Hermosa, Lima")</f>
      </c>
      <c r="O42" t="str">
        <v>Excedió el límite de velocidad</v>
      </c>
      <c r="P42">
        <v>718127.5</v>
      </c>
      <c r="Q42" t="str">
        <v/>
      </c>
      <c r="R42">
        <v>81</v>
      </c>
      <c r="S42">
        <v>81.55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18/09/2026</v>
      </c>
      <c r="AC42" t="str">
        <v>08:33:45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08:38:40</v>
      </c>
      <c r="AK42" t="str">
        <v>08:38:40</v>
      </c>
      <c r="AL42" t="str">
        <v/>
      </c>
    </row>
    <row r="43">
      <c r="A43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/>
      </c>
      <c r="J43" t="str">
        <v>18/09/2026</v>
      </c>
      <c r="K43" t="str">
        <v>08:38:04</v>
      </c>
      <c r="L43">
        <v>-12.323587</v>
      </c>
      <c r="M43">
        <v>-76.82641</v>
      </c>
      <c r="N43">
        <f>HYPERLINK("https://www.google.com/maps/search/?api=1&amp;query=-12.323587,-76.82641","Carretera Panamericana Sur, Punta Hermosa, Lima")</f>
      </c>
      <c r="O43" t="str">
        <v>Excedió el límite de velocidad</v>
      </c>
      <c r="P43">
        <v>718130</v>
      </c>
      <c r="Q43" t="str">
        <v/>
      </c>
      <c r="R43">
        <v>87.7</v>
      </c>
      <c r="S43">
        <v>81.55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18/09/2026</v>
      </c>
      <c r="AC43" t="str">
        <v>08:38:03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08:39:00</v>
      </c>
      <c r="AK43" t="str">
        <v>08:39:00</v>
      </c>
      <c r="AL43" t="str">
        <v/>
      </c>
    </row>
    <row r="44">
      <c r="A44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/>
      </c>
      <c r="J44" t="str">
        <v>18/09/2026</v>
      </c>
      <c r="K44" t="str">
        <v>08:45:20</v>
      </c>
      <c r="L44">
        <v>-12.317322</v>
      </c>
      <c r="M44">
        <v>-76.82299</v>
      </c>
      <c r="N44">
        <f>HYPERLINK("https://www.google.com/maps/search/?api=1&amp;query=-12.317322,-76.82299","Punta Hermosa, Lima")</f>
      </c>
      <c r="O44" t="str">
        <v>Vehículo apagado</v>
      </c>
      <c r="P44">
        <v>718131.8</v>
      </c>
      <c r="Q44" t="str">
        <v/>
      </c>
      <c r="R44">
        <v>0</v>
      </c>
      <c r="S44">
        <v>82.02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18/09/2026</v>
      </c>
      <c r="AC44" t="str">
        <v>08:45:00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08:45:38</v>
      </c>
      <c r="AK44" t="str">
        <v>08:45:38</v>
      </c>
      <c r="AL44" t="str">
        <v/>
      </c>
    </row>
    <row r="45">
      <c r="A45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/>
      </c>
      <c r="J45" t="str">
        <v>18/09/2026</v>
      </c>
      <c r="K45" t="str">
        <v>08:46:59</v>
      </c>
      <c r="L45">
        <v>-12.317322</v>
      </c>
      <c r="M45">
        <v>-76.82299</v>
      </c>
      <c r="N45">
        <f>HYPERLINK("https://www.google.com/maps/search/?api=1&amp;query=-12.317322,-76.82299","Punta Hermosa, Lima")</f>
      </c>
      <c r="O45" t="str">
        <v>Vehículo encendido</v>
      </c>
      <c r="P45">
        <v>718131.8</v>
      </c>
      <c r="Q45" t="str">
        <v/>
      </c>
      <c r="R45">
        <v>0</v>
      </c>
      <c r="S45">
        <v>82.02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18/09/2026</v>
      </c>
      <c r="AC45" t="str">
        <v>08:45:23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08:47:04</v>
      </c>
      <c r="AK45" t="str">
        <v>08:47:04</v>
      </c>
      <c r="AL45" t="str">
        <v/>
      </c>
    </row>
    <row r="46">
      <c r="A46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/>
      </c>
      <c r="J46" t="str">
        <v>18/09/2026</v>
      </c>
      <c r="K46" t="str">
        <v>08:47:41</v>
      </c>
      <c r="L46">
        <v>-12.317427</v>
      </c>
      <c r="M46">
        <v>-76.82278</v>
      </c>
      <c r="N46">
        <f>HYPERLINK("https://www.google.com/maps/search/?api=1&amp;query=-12.317427,-76.82278","Punta Hermosa, Lima")</f>
      </c>
      <c r="O46" t="str">
        <v>Vehículo apagado</v>
      </c>
      <c r="P46">
        <v>718131.8</v>
      </c>
      <c r="Q46" t="str">
        <v/>
      </c>
      <c r="R46">
        <v>3</v>
      </c>
      <c r="S46">
        <v>82.03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18/09/2026</v>
      </c>
      <c r="AC46" t="str">
        <v>08:47:16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08:47:46</v>
      </c>
      <c r="AK46" t="str">
        <v>08:47:46</v>
      </c>
      <c r="AL46" t="str">
        <v/>
      </c>
    </row>
    <row r="47">
      <c r="A47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/>
      </c>
      <c r="J47" t="str">
        <v>18/09/2026</v>
      </c>
      <c r="K47" t="str">
        <v>08:58:58</v>
      </c>
      <c r="L47">
        <v>-12.317412</v>
      </c>
      <c r="M47">
        <v>-76.8228</v>
      </c>
      <c r="N47">
        <f>HYPERLINK("https://www.google.com/maps/search/?api=1&amp;query=-12.317412,-76.8228","Punta Hermosa, Lima")</f>
      </c>
      <c r="O47" t="str">
        <v>Vehículo encendido</v>
      </c>
      <c r="P47">
        <v>718131.8</v>
      </c>
      <c r="Q47" t="str">
        <v/>
      </c>
      <c r="R47">
        <v>0</v>
      </c>
      <c r="S47">
        <v>82.03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18/09/2026</v>
      </c>
      <c r="AC47" t="str">
        <v>08:47:45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08:59:09</v>
      </c>
      <c r="AK47" t="str">
        <v>08:59:09</v>
      </c>
      <c r="AL47" t="str">
        <v/>
      </c>
    </row>
    <row r="48">
      <c r="A48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/>
      </c>
      <c r="J48" t="str">
        <v>18/09/2026</v>
      </c>
      <c r="K48" t="str">
        <v>09:02:43</v>
      </c>
      <c r="L48">
        <v>-12.317508</v>
      </c>
      <c r="M48">
        <v>-76.82442</v>
      </c>
      <c r="N48">
        <f>HYPERLINK("https://www.google.com/maps/search/?api=1&amp;query=-12.317508,-76.82442","Punta Hermosa, Lima")</f>
      </c>
      <c r="O48" t="str">
        <v>Vehículo apagado</v>
      </c>
      <c r="P48">
        <v>718132.2</v>
      </c>
      <c r="Q48" t="str">
        <v/>
      </c>
      <c r="R48">
        <v>0</v>
      </c>
      <c r="S48">
        <v>82.1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18/09/2026</v>
      </c>
      <c r="AC48" t="str">
        <v>09:01:56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09:02:59</v>
      </c>
      <c r="AK48" t="str">
        <v>09:02:59</v>
      </c>
      <c r="AL48" t="str">
        <v/>
      </c>
    </row>
    <row r="49">
      <c r="A49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/>
      </c>
      <c r="J49" t="str">
        <v>18/09/2026</v>
      </c>
      <c r="K49" t="str">
        <v>09:04:43</v>
      </c>
      <c r="L49">
        <v>-12.317508</v>
      </c>
      <c r="M49">
        <v>-76.82442</v>
      </c>
      <c r="N49">
        <f>HYPERLINK("https://www.google.com/maps/search/?api=1&amp;query=-12.317508,-76.82442","Punta Hermosa, Lima")</f>
      </c>
      <c r="O49" t="str">
        <v>Vehículo encendido</v>
      </c>
      <c r="P49">
        <v>718132.2</v>
      </c>
      <c r="Q49" t="str">
        <v/>
      </c>
      <c r="R49">
        <v>0</v>
      </c>
      <c r="S49">
        <v>82.1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18/09/2026</v>
      </c>
      <c r="AC49" t="str">
        <v>09:02:46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09:04:56</v>
      </c>
      <c r="AK49" t="str">
        <v>09:04:56</v>
      </c>
      <c r="AL49" t="str">
        <v/>
      </c>
    </row>
    <row r="50">
      <c r="A50">
        <v>49</v>
      </c>
      <c r="B50" t="str">
        <v>MASS BSF</v>
      </c>
      <c r="C50" t="str">
        <v>BXQ-847</v>
      </c>
      <c r="D50" t="str">
        <v>BXQ-847</v>
      </c>
      <c r="E50" t="str">
        <v/>
      </c>
      <c r="F50" t="str">
        <v>867162029843950</v>
      </c>
      <c r="G50" t="str">
        <v>TBD</v>
      </c>
      <c r="H50" t="str">
        <v/>
      </c>
      <c r="I50" t="str">
        <v/>
      </c>
      <c r="J50" t="str">
        <v>18/09/2026</v>
      </c>
      <c r="K50" t="str">
        <v>09:04:55</v>
      </c>
      <c r="L50">
        <v>-12.317535</v>
      </c>
      <c r="M50">
        <v>-76.824425</v>
      </c>
      <c r="N50">
        <f>HYPERLINK("https://www.google.com/maps/search/?api=1&amp;query=-12.317535,-76.824425","Punta Hermosa, Lima")</f>
      </c>
      <c r="O50" t="str">
        <v>Vehículo apagado</v>
      </c>
      <c r="P50">
        <v>718132.2</v>
      </c>
      <c r="Q50" t="str">
        <v/>
      </c>
      <c r="R50">
        <v>0</v>
      </c>
      <c r="S50">
        <v>82.1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18/09/2026</v>
      </c>
      <c r="AC50" t="str">
        <v>09:04:57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09:05:04</v>
      </c>
      <c r="AK50" t="str">
        <v>09:05:04</v>
      </c>
      <c r="AL50" t="str">
        <v/>
      </c>
    </row>
    <row r="51">
      <c r="A51">
        <v>50</v>
      </c>
      <c r="B51" t="str">
        <v>MASS BSF</v>
      </c>
      <c r="C51" t="str">
        <v>BXQ-847</v>
      </c>
      <c r="D51" t="str">
        <v>BXQ-847</v>
      </c>
      <c r="E51" t="str">
        <v/>
      </c>
      <c r="F51" t="str">
        <v>867162029843950</v>
      </c>
      <c r="G51" t="str">
        <v>TBD</v>
      </c>
      <c r="H51" t="str">
        <v/>
      </c>
      <c r="I51" t="str">
        <v/>
      </c>
      <c r="J51" t="str">
        <v>18/09/2026</v>
      </c>
      <c r="K51" t="str">
        <v>09:05:27</v>
      </c>
      <c r="L51">
        <v>-12.317536</v>
      </c>
      <c r="M51">
        <v>-76.824425</v>
      </c>
      <c r="N51">
        <f>HYPERLINK("https://www.google.com/maps/search/?api=1&amp;query=-12.317536,-76.824425","Punta Hermosa, Lima")</f>
      </c>
      <c r="O51" t="str">
        <v>Vehículo encendido</v>
      </c>
      <c r="P51">
        <v>718132.2</v>
      </c>
      <c r="Q51" t="str">
        <v/>
      </c>
      <c r="R51">
        <v>0</v>
      </c>
      <c r="S51">
        <v>82.1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18/09/2026</v>
      </c>
      <c r="AC51" t="str">
        <v>09:05:33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09:05:48</v>
      </c>
      <c r="AK51" t="str">
        <v>09:05:48</v>
      </c>
      <c r="AL51" t="str">
        <v/>
      </c>
    </row>
    <row r="52">
      <c r="A52">
        <v>51</v>
      </c>
      <c r="B52" t="str">
        <v>MASS BSF</v>
      </c>
      <c r="C52" t="str">
        <v>BXQ-847</v>
      </c>
      <c r="D52" t="str">
        <v>BXQ-847</v>
      </c>
      <c r="E52" t="str">
        <v/>
      </c>
      <c r="F52" t="str">
        <v>867162029843950</v>
      </c>
      <c r="G52" t="str">
        <v>TBD</v>
      </c>
      <c r="H52" t="str">
        <v/>
      </c>
      <c r="I52" t="str">
        <v/>
      </c>
      <c r="J52" t="str">
        <v>18/09/2026</v>
      </c>
      <c r="K52" t="str">
        <v>09:05:31</v>
      </c>
      <c r="L52">
        <v>-12.317535</v>
      </c>
      <c r="M52">
        <v>-76.824425</v>
      </c>
      <c r="N52">
        <f>HYPERLINK("https://www.google.com/maps/search/?api=1&amp;query=-12.317535,-76.824425","Punta Hermosa, Lima")</f>
      </c>
      <c r="O52" t="str">
        <v>Vehículo apagado</v>
      </c>
      <c r="P52">
        <v>718132.2</v>
      </c>
      <c r="Q52" t="str">
        <v/>
      </c>
      <c r="R52">
        <v>0</v>
      </c>
      <c r="S52">
        <v>82.1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18/09/2026</v>
      </c>
      <c r="AC52" t="str">
        <v>09:04:57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09:05:39</v>
      </c>
      <c r="AK52" t="str">
        <v>09:05:39</v>
      </c>
      <c r="AL52" t="str">
        <v/>
      </c>
    </row>
    <row r="53">
      <c r="A53">
        <v>52</v>
      </c>
      <c r="B53" t="str">
        <v>MASS BSF</v>
      </c>
      <c r="C53" t="str">
        <v>BXQ-847</v>
      </c>
      <c r="D53" t="str">
        <v>BXQ-847</v>
      </c>
      <c r="E53" t="str">
        <v/>
      </c>
      <c r="F53" t="str">
        <v>867162029843950</v>
      </c>
      <c r="G53" t="str">
        <v>TBD</v>
      </c>
      <c r="H53" t="str">
        <v/>
      </c>
      <c r="I53" t="str">
        <v/>
      </c>
      <c r="J53" t="str">
        <v>18/09/2026</v>
      </c>
      <c r="K53" t="str">
        <v>09:24:25</v>
      </c>
      <c r="L53">
        <v>-12.317536</v>
      </c>
      <c r="M53">
        <v>-76.824425</v>
      </c>
      <c r="N53">
        <f>HYPERLINK("https://www.google.com/maps/search/?api=1&amp;query=-12.317536,-76.824425","Punta Hermosa, Lima")</f>
      </c>
      <c r="O53" t="str">
        <v>Vehículo encendido</v>
      </c>
      <c r="P53">
        <v>718132.2</v>
      </c>
      <c r="Q53" t="str">
        <v/>
      </c>
      <c r="R53">
        <v>0</v>
      </c>
      <c r="S53">
        <v>82.1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18/09/2026</v>
      </c>
      <c r="AC53" t="str">
        <v>09:05:33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09:24:54</v>
      </c>
      <c r="AK53" t="str">
        <v>09:24:54</v>
      </c>
      <c r="AL53" t="str">
        <v/>
      </c>
    </row>
    <row r="54">
      <c r="A54">
        <v>53</v>
      </c>
      <c r="B54" t="str">
        <v>MASS BSF</v>
      </c>
      <c r="C54" t="str">
        <v>BXQ-847</v>
      </c>
      <c r="D54" t="str">
        <v>BXQ-847</v>
      </c>
      <c r="E54" t="str">
        <v/>
      </c>
      <c r="F54" t="str">
        <v>867162029843950</v>
      </c>
      <c r="G54" t="str">
        <v>TBD</v>
      </c>
      <c r="H54" t="str">
        <v/>
      </c>
      <c r="I54" t="str">
        <v/>
      </c>
      <c r="J54" t="str">
        <v>18/09/2026</v>
      </c>
      <c r="K54" t="str">
        <v>09:24:41</v>
      </c>
      <c r="L54">
        <v>-12.317501</v>
      </c>
      <c r="M54">
        <v>-76.82441</v>
      </c>
      <c r="N54">
        <f>HYPERLINK("https://www.google.com/maps/search/?api=1&amp;query=-12.317501,-76.82441","Punta Hermosa, Lima")</f>
      </c>
      <c r="O54" t="str">
        <v>Vehículo apagado</v>
      </c>
      <c r="P54">
        <v>718132.2</v>
      </c>
      <c r="Q54" t="str">
        <v/>
      </c>
      <c r="R54">
        <v>0</v>
      </c>
      <c r="S54">
        <v>82.1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18/09/2026</v>
      </c>
      <c r="AC54" t="str">
        <v>09:24:44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09:25:01</v>
      </c>
      <c r="AK54" t="str">
        <v>09:25:01</v>
      </c>
      <c r="AL54" t="str">
        <v/>
      </c>
    </row>
    <row r="55">
      <c r="A55">
        <v>54</v>
      </c>
      <c r="B55" t="str">
        <v>MASS BSF</v>
      </c>
      <c r="C55" t="str">
        <v>BXQ-847</v>
      </c>
      <c r="D55" t="str">
        <v>BXQ-847</v>
      </c>
      <c r="E55" t="str">
        <v/>
      </c>
      <c r="F55" t="str">
        <v>867162029843950</v>
      </c>
      <c r="G55" t="str">
        <v>TBD</v>
      </c>
      <c r="H55" t="str">
        <v/>
      </c>
      <c r="I55" t="str">
        <v/>
      </c>
      <c r="J55" t="str">
        <v>18/09/2026</v>
      </c>
      <c r="K55" t="str">
        <v>09:29:57</v>
      </c>
      <c r="L55">
        <v>-12.317501</v>
      </c>
      <c r="M55">
        <v>-76.82441</v>
      </c>
      <c r="N55">
        <f>HYPERLINK("https://www.google.com/maps/search/?api=1&amp;query=-12.317501,-76.82441","Punta Hermosa, Lima")</f>
      </c>
      <c r="O55" t="str">
        <v>Vehículo encendido</v>
      </c>
      <c r="P55">
        <v>718132.2</v>
      </c>
      <c r="Q55" t="str">
        <v/>
      </c>
      <c r="R55">
        <v>0</v>
      </c>
      <c r="S55">
        <v>82.1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18/09/2026</v>
      </c>
      <c r="AC55" t="str">
        <v>09:24:44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09:30:18</v>
      </c>
      <c r="AK55" t="str">
        <v>09:30:18</v>
      </c>
      <c r="AL55" t="str">
        <v/>
      </c>
    </row>
    <row r="56">
      <c r="A56">
        <v>55</v>
      </c>
      <c r="B56" t="str">
        <v>MASS BSF</v>
      </c>
      <c r="C56" t="str">
        <v>BXQ-847</v>
      </c>
      <c r="D56" t="str">
        <v>BXQ-847</v>
      </c>
      <c r="E56" t="str">
        <v/>
      </c>
      <c r="F56" t="str">
        <v>867162029843950</v>
      </c>
      <c r="G56" t="str">
        <v>TBD</v>
      </c>
      <c r="H56" t="str">
        <v/>
      </c>
      <c r="I56" t="str">
        <v/>
      </c>
      <c r="J56" t="str">
        <v>18/09/2026</v>
      </c>
      <c r="K56" t="str">
        <v>09:39:12</v>
      </c>
      <c r="L56">
        <v>-12.31161</v>
      </c>
      <c r="M56">
        <v>-76.83443</v>
      </c>
      <c r="N56">
        <f>HYPERLINK("https://www.google.com/maps/search/?api=1&amp;query=-12.31161,-76.83443","Carretera Panamericana Sur, Punta Hermosa, Lima")</f>
      </c>
      <c r="O56" t="str">
        <v>Excedió el límite de velocidad</v>
      </c>
      <c r="P56">
        <v>718133.8</v>
      </c>
      <c r="Q56" t="str">
        <v/>
      </c>
      <c r="R56">
        <v>89.3</v>
      </c>
      <c r="S56">
        <v>82.1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18/09/2026</v>
      </c>
      <c r="AC56" t="str">
        <v>09:39:11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09:39:22</v>
      </c>
      <c r="AK56" t="str">
        <v>09:39:22</v>
      </c>
      <c r="AL56" t="str">
        <v/>
      </c>
    </row>
    <row r="57">
      <c r="A57">
        <v>56</v>
      </c>
      <c r="B57" t="str">
        <v>MASS BSF</v>
      </c>
      <c r="C57" t="str">
        <v>BXQ-847</v>
      </c>
      <c r="D57" t="str">
        <v>BXQ-847</v>
      </c>
      <c r="E57" t="str">
        <v/>
      </c>
      <c r="F57" t="str">
        <v>867162029843950</v>
      </c>
      <c r="G57" t="str">
        <v>TBD</v>
      </c>
      <c r="H57" t="str">
        <v/>
      </c>
      <c r="I57" t="str">
        <v/>
      </c>
      <c r="J57" t="str">
        <v>18/09/2026</v>
      </c>
      <c r="K57" t="str">
        <v>09:40:21</v>
      </c>
      <c r="L57">
        <v>-12.301881</v>
      </c>
      <c r="M57">
        <v>-76.84473</v>
      </c>
      <c r="N57">
        <f>HYPERLINK("https://www.google.com/maps/search/?api=1&amp;query=-12.301881,-76.84473","Carretera Panamericana Sur, Lurín, Lima")</f>
      </c>
      <c r="O57" t="str">
        <v>Excedió el límite de velocidad</v>
      </c>
      <c r="P57">
        <v>718135.4</v>
      </c>
      <c r="Q57" t="str">
        <v/>
      </c>
      <c r="R57">
        <v>91.9</v>
      </c>
      <c r="S57">
        <v>82.1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18/09/2026</v>
      </c>
      <c r="AC57" t="str">
        <v>09:40:20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09:40:41</v>
      </c>
      <c r="AK57" t="str">
        <v>09:40:41</v>
      </c>
      <c r="AL57" t="str">
        <v/>
      </c>
    </row>
    <row r="58">
      <c r="A58">
        <v>57</v>
      </c>
      <c r="B58" t="str">
        <v>MASS BSF</v>
      </c>
      <c r="C58" t="str">
        <v>BXQ-847</v>
      </c>
      <c r="D58" t="str">
        <v>BXQ-847</v>
      </c>
      <c r="E58" t="str">
        <v/>
      </c>
      <c r="F58" t="str">
        <v>867162029843950</v>
      </c>
      <c r="G58" t="str">
        <v>TBD</v>
      </c>
      <c r="H58" t="str">
        <v/>
      </c>
      <c r="I58" t="str">
        <v/>
      </c>
      <c r="J58" t="str">
        <v>18/09/2026</v>
      </c>
      <c r="K58" t="str">
        <v>09:41:15</v>
      </c>
      <c r="L58">
        <v>-12.297538</v>
      </c>
      <c r="M58">
        <v>-76.85445</v>
      </c>
      <c r="N58">
        <f>HYPERLINK("https://www.google.com/maps/search/?api=1&amp;query=-12.297538,-76.85445","Carretera Panamericana Sur, Lurín, Lima")</f>
      </c>
      <c r="O58" t="str">
        <v>Excedió el límite de velocidad</v>
      </c>
      <c r="P58">
        <v>718136.6</v>
      </c>
      <c r="Q58" t="str">
        <v/>
      </c>
      <c r="R58">
        <v>88.5</v>
      </c>
      <c r="S58">
        <v>82.1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18/09/2026</v>
      </c>
      <c r="AC58" t="str">
        <v>09:41:14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09:41:42</v>
      </c>
      <c r="AK58" t="str">
        <v>09:41:42</v>
      </c>
      <c r="AL58" t="str">
        <v/>
      </c>
    </row>
    <row r="59">
      <c r="A59">
        <v>58</v>
      </c>
      <c r="B59" t="str">
        <v>MASS BSF</v>
      </c>
      <c r="C59" t="str">
        <v>BXQ-847</v>
      </c>
      <c r="D59" t="str">
        <v>BXQ-847</v>
      </c>
      <c r="E59" t="str">
        <v/>
      </c>
      <c r="F59" t="str">
        <v>867162029843950</v>
      </c>
      <c r="G59" t="str">
        <v>TBD</v>
      </c>
      <c r="H59" t="str">
        <v/>
      </c>
      <c r="I59" t="str">
        <v/>
      </c>
      <c r="J59" t="str">
        <v>18/09/2026</v>
      </c>
      <c r="K59" t="str">
        <v>09:42:06</v>
      </c>
      <c r="L59">
        <v>-12.292008</v>
      </c>
      <c r="M59">
        <v>-76.8643</v>
      </c>
      <c r="N59">
        <f>HYPERLINK("https://www.google.com/maps/search/?api=1&amp;query=-12.292008,-76.8643","Carretera Panamericana Sur, Lurín, Lima")</f>
      </c>
      <c r="O59" t="str">
        <v>Excedió el límite de velocidad</v>
      </c>
      <c r="P59">
        <v>718137.8</v>
      </c>
      <c r="Q59" t="str">
        <v/>
      </c>
      <c r="R59">
        <v>88.4</v>
      </c>
      <c r="S59">
        <v>82.1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18/09/2026</v>
      </c>
      <c r="AC59" t="str">
        <v>09:42:05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09:42:35</v>
      </c>
      <c r="AK59" t="str">
        <v>09:42:35</v>
      </c>
      <c r="AL59" t="str">
        <v/>
      </c>
    </row>
    <row r="60">
      <c r="A60">
        <v>59</v>
      </c>
      <c r="B60" t="str">
        <v>MASS BSF</v>
      </c>
      <c r="C60" t="str">
        <v>BXQ-847</v>
      </c>
      <c r="D60" t="str">
        <v>BXQ-847</v>
      </c>
      <c r="E60" t="str">
        <v/>
      </c>
      <c r="F60" t="str">
        <v>867162029843950</v>
      </c>
      <c r="G60" t="str">
        <v>TBD</v>
      </c>
      <c r="H60" t="str">
        <v/>
      </c>
      <c r="I60" t="str">
        <v/>
      </c>
      <c r="J60" t="str">
        <v>18/09/2026</v>
      </c>
      <c r="K60" t="str">
        <v>10:00:19</v>
      </c>
      <c r="L60">
        <v>-12.24892</v>
      </c>
      <c r="M60">
        <v>-76.89754</v>
      </c>
      <c r="N60">
        <f>HYPERLINK("https://www.google.com/maps/search/?api=1&amp;query=-12.24892,-76.89754","Jirón Los Sauces, Lurín, Lima")</f>
      </c>
      <c r="O60" t="str">
        <v>Vehículo apagado</v>
      </c>
      <c r="P60">
        <v>718145.1</v>
      </c>
      <c r="Q60" t="str">
        <v/>
      </c>
      <c r="R60">
        <v>0</v>
      </c>
      <c r="S60">
        <v>82.6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18/09/2026</v>
      </c>
      <c r="AC60" t="str">
        <v>09:59:56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10:00:25</v>
      </c>
      <c r="AK60" t="str">
        <v>10:00:25</v>
      </c>
      <c r="AL60" t="str">
        <v/>
      </c>
    </row>
    <row r="61">
      <c r="A61">
        <v>60</v>
      </c>
      <c r="B61" t="str">
        <v>MASS BSF</v>
      </c>
      <c r="C61" t="str">
        <v>BXQ-847</v>
      </c>
      <c r="D61" t="str">
        <v>BXQ-847</v>
      </c>
      <c r="E61" t="str">
        <v/>
      </c>
      <c r="F61" t="str">
        <v>867162029843950</v>
      </c>
      <c r="G61" t="str">
        <v>TBD</v>
      </c>
      <c r="H61" t="str">
        <v/>
      </c>
      <c r="I61" t="str">
        <v/>
      </c>
      <c r="J61" t="str">
        <v>18/09/2026</v>
      </c>
      <c r="K61" t="str">
        <v>10:16:51</v>
      </c>
      <c r="L61">
        <v>-12.24892</v>
      </c>
      <c r="M61">
        <v>-76.89754</v>
      </c>
      <c r="N61">
        <f>HYPERLINK("https://www.google.com/maps/search/?api=1&amp;query=-12.24892,-76.89754","Jirón Los Sauces, Lurín, Lima")</f>
      </c>
      <c r="O61" t="str">
        <v>Vehículo encendido</v>
      </c>
      <c r="P61">
        <v>718145.1</v>
      </c>
      <c r="Q61" t="str">
        <v/>
      </c>
      <c r="R61">
        <v>0</v>
      </c>
      <c r="S61">
        <v>82.6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18/09/2026</v>
      </c>
      <c r="AC61" t="str">
        <v>10:00:22</v>
      </c>
      <c r="AD61">
        <f>IF("NOGPS"="NOGPS","GPS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10:17:15</v>
      </c>
      <c r="AK61" t="str">
        <v>10:17:15</v>
      </c>
      <c r="AL61" t="str">
        <v/>
      </c>
    </row>
    <row r="62">
      <c r="A62">
        <v>61</v>
      </c>
      <c r="B62" t="str">
        <v>MASS BSF</v>
      </c>
      <c r="C62" t="str">
        <v>BXQ-847</v>
      </c>
      <c r="D62" t="str">
        <v>BXQ-847</v>
      </c>
      <c r="E62" t="str">
        <v/>
      </c>
      <c r="F62" t="str">
        <v>867162029843950</v>
      </c>
      <c r="G62" t="str">
        <v>TBD</v>
      </c>
      <c r="H62" t="str">
        <v/>
      </c>
      <c r="I62" t="str">
        <v/>
      </c>
      <c r="J62" t="str">
        <v>18/09/2026</v>
      </c>
      <c r="K62" t="str">
        <v>10:27:32</v>
      </c>
      <c r="L62">
        <v>-12.260556</v>
      </c>
      <c r="M62">
        <v>-76.88416</v>
      </c>
      <c r="N62">
        <f>HYPERLINK("https://www.google.com/maps/search/?api=1&amp;query=-12.260556,-76.88416","Antigua Panamericana Sur, Lurín, Lima")</f>
      </c>
      <c r="O62" t="str">
        <v>Vehículo apagado</v>
      </c>
      <c r="P62">
        <v>718147.5</v>
      </c>
      <c r="Q62" t="str">
        <v/>
      </c>
      <c r="R62">
        <v>0</v>
      </c>
      <c r="S62">
        <v>82.6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18/09/2026</v>
      </c>
      <c r="AC62" t="str">
        <v>10:26:49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10:27:43</v>
      </c>
      <c r="AK62" t="str">
        <v>10:27:43</v>
      </c>
      <c r="AL62" t="str">
        <v/>
      </c>
    </row>
    <row r="63">
      <c r="A63">
        <v>62</v>
      </c>
      <c r="B63" t="str">
        <v>MASS BSF</v>
      </c>
      <c r="C63" t="str">
        <v>BXQ-847</v>
      </c>
      <c r="D63" t="str">
        <v>BXQ-847</v>
      </c>
      <c r="E63" t="str">
        <v/>
      </c>
      <c r="F63" t="str">
        <v>867162029843950</v>
      </c>
      <c r="G63" t="str">
        <v>TBD</v>
      </c>
      <c r="H63" t="str">
        <v/>
      </c>
      <c r="I63" t="str">
        <v/>
      </c>
      <c r="J63" t="str">
        <v>18/09/2026</v>
      </c>
      <c r="K63" t="str">
        <v>10:27:34</v>
      </c>
      <c r="L63">
        <v>-12.260556</v>
      </c>
      <c r="M63">
        <v>-76.88416</v>
      </c>
      <c r="N63">
        <f>HYPERLINK("https://www.google.com/maps/search/?api=1&amp;query=-12.260556,-76.88416","Antigua Panamericana Sur, Lurín, Lima")</f>
      </c>
      <c r="O63" t="str">
        <v>Vehículo encendido</v>
      </c>
      <c r="P63">
        <v>718147.5</v>
      </c>
      <c r="Q63" t="str">
        <v/>
      </c>
      <c r="R63">
        <v>0</v>
      </c>
      <c r="S63">
        <v>82.6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18/09/2026</v>
      </c>
      <c r="AC63" t="str">
        <v>10:26:49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10:27:42</v>
      </c>
      <c r="AK63" t="str">
        <v>10:27:42</v>
      </c>
      <c r="AL63" t="str">
        <v/>
      </c>
    </row>
    <row r="64">
      <c r="A64">
        <v>63</v>
      </c>
      <c r="B64" t="str">
        <v>MASS BSF</v>
      </c>
      <c r="C64" t="str">
        <v>BXQ-847</v>
      </c>
      <c r="D64" t="str">
        <v>BXQ-847</v>
      </c>
      <c r="E64" t="str">
        <v/>
      </c>
      <c r="F64" t="str">
        <v>867162029843950</v>
      </c>
      <c r="G64" t="str">
        <v>TBD</v>
      </c>
      <c r="H64" t="str">
        <v/>
      </c>
      <c r="I64" t="str">
        <v/>
      </c>
      <c r="J64" t="str">
        <v>18/09/2026</v>
      </c>
      <c r="K64" t="str">
        <v>10:27:36</v>
      </c>
      <c r="L64">
        <v>-12.260556</v>
      </c>
      <c r="M64">
        <v>-76.88416</v>
      </c>
      <c r="N64">
        <f>HYPERLINK("https://www.google.com/maps/search/?api=1&amp;query=-12.260556,-76.88416","Antigua Panamericana Sur, Lurín, Lima")</f>
      </c>
      <c r="O64" t="str">
        <v>Vehículo apagado</v>
      </c>
      <c r="P64">
        <v>718147.5</v>
      </c>
      <c r="Q64" t="str">
        <v/>
      </c>
      <c r="R64">
        <v>0</v>
      </c>
      <c r="S64">
        <v>82.6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100</v>
      </c>
      <c r="AB64" t="str">
        <v>18/09/2026</v>
      </c>
      <c r="AC64" t="str">
        <v>10:26:49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10:27:53</v>
      </c>
      <c r="AK64" t="str">
        <v>10:27:53</v>
      </c>
      <c r="AL64" t="str">
        <v/>
      </c>
    </row>
    <row r="65">
      <c r="A65">
        <v>64</v>
      </c>
      <c r="B65" t="str">
        <v>MASS BSF</v>
      </c>
      <c r="C65" t="str">
        <v>BXQ-847</v>
      </c>
      <c r="D65" t="str">
        <v>BXQ-847</v>
      </c>
      <c r="E65" t="str">
        <v/>
      </c>
      <c r="F65" t="str">
        <v>867162029843950</v>
      </c>
      <c r="G65" t="str">
        <v>TBD</v>
      </c>
      <c r="H65" t="str">
        <v/>
      </c>
      <c r="I65" t="str">
        <v/>
      </c>
      <c r="J65" t="str">
        <v>18/09/2026</v>
      </c>
      <c r="K65" t="str">
        <v>10:36:49</v>
      </c>
      <c r="L65">
        <v>-12.260544</v>
      </c>
      <c r="M65">
        <v>-76.88417</v>
      </c>
      <c r="N65">
        <f>HYPERLINK("https://www.google.com/maps/search/?api=1&amp;query=-12.260544,-76.88417","Antigua Panamericana Sur, Lurín, Lima")</f>
      </c>
      <c r="O65" t="str">
        <v>Vehículo encendido</v>
      </c>
      <c r="P65">
        <v>718147.5</v>
      </c>
      <c r="Q65" t="str">
        <v/>
      </c>
      <c r="R65">
        <v>0</v>
      </c>
      <c r="S65">
        <v>82.6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100</v>
      </c>
      <c r="AB65" t="str">
        <v>18/09/2026</v>
      </c>
      <c r="AC65" t="str">
        <v>10:27:39</v>
      </c>
      <c r="AD65">
        <f>IF("NOGPS"="NOGPS","GPS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10:37:13</v>
      </c>
      <c r="AK65" t="str">
        <v>10:37:13</v>
      </c>
      <c r="AL65" t="str">
        <v/>
      </c>
    </row>
    <row r="66">
      <c r="A66">
        <v>65</v>
      </c>
      <c r="B66" t="str">
        <v>MASS BSF</v>
      </c>
      <c r="C66" t="str">
        <v>BXQ-847</v>
      </c>
      <c r="D66" t="str">
        <v>BXQ-847</v>
      </c>
      <c r="E66" t="str">
        <v/>
      </c>
      <c r="F66" t="str">
        <v>867162029843950</v>
      </c>
      <c r="G66" t="str">
        <v>TBD</v>
      </c>
      <c r="H66" t="str">
        <v/>
      </c>
      <c r="I66" t="str">
        <v/>
      </c>
      <c r="J66" t="str">
        <v>18/09/2026</v>
      </c>
      <c r="K66" t="str">
        <v>10:47:48</v>
      </c>
      <c r="L66">
        <v>-12.28398</v>
      </c>
      <c r="M66">
        <v>-76.87762</v>
      </c>
      <c r="N66">
        <f>HYPERLINK("https://www.google.com/maps/search/?api=1&amp;query=-12.28398,-76.87762","Carretera Panamericana Sur, Lurín, Lima")</f>
      </c>
      <c r="O66" t="str">
        <v>Giro brusco</v>
      </c>
      <c r="P66">
        <v>718152.5</v>
      </c>
      <c r="Q66" t="str">
        <v/>
      </c>
      <c r="R66">
        <v>44.1</v>
      </c>
      <c r="S66">
        <v>82.6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100</v>
      </c>
      <c r="AB66" t="str">
        <v>18/09/2026</v>
      </c>
      <c r="AC66" t="str">
        <v>10:47:47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10:48:00</v>
      </c>
      <c r="AK66" t="str">
        <v>10:48:00</v>
      </c>
      <c r="AL66" t="str">
        <v/>
      </c>
    </row>
    <row r="67">
      <c r="A67">
        <v>66</v>
      </c>
      <c r="B67" t="str">
        <v>MASS BSF</v>
      </c>
      <c r="C67" t="str">
        <v>BXQ-847</v>
      </c>
      <c r="D67" t="str">
        <v>BXQ-847</v>
      </c>
      <c r="E67" t="str">
        <v/>
      </c>
      <c r="F67" t="str">
        <v>867162029843950</v>
      </c>
      <c r="G67" t="str">
        <v>TBD</v>
      </c>
      <c r="H67" t="str">
        <v/>
      </c>
      <c r="I67" t="str">
        <v/>
      </c>
      <c r="J67" t="str">
        <v>18/09/2026</v>
      </c>
      <c r="K67" t="str">
        <v>10:48:18</v>
      </c>
      <c r="L67">
        <v>-12.286762</v>
      </c>
      <c r="M67">
        <v>-76.87305</v>
      </c>
      <c r="N67">
        <f>HYPERLINK("https://www.google.com/maps/search/?api=1&amp;query=-12.286762,-76.87305","Carretera Panamericana Sur, Lurín, Lima")</f>
      </c>
      <c r="O67" t="str">
        <v>Excedió el límite de velocidad</v>
      </c>
      <c r="P67">
        <v>718153.1</v>
      </c>
      <c r="Q67" t="str">
        <v/>
      </c>
      <c r="R67">
        <v>84</v>
      </c>
      <c r="S67">
        <v>82.6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18/09/2026</v>
      </c>
      <c r="AC67" t="str">
        <v>10:48:17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10:48:37</v>
      </c>
      <c r="AK67" t="str">
        <v>10:48:37</v>
      </c>
      <c r="AL67" t="str">
        <v/>
      </c>
    </row>
    <row r="68">
      <c r="A68">
        <v>67</v>
      </c>
      <c r="B68" t="str">
        <v>MASS BSF</v>
      </c>
      <c r="C68" t="str">
        <v>BXQ-847</v>
      </c>
      <c r="D68" t="str">
        <v>BXQ-847</v>
      </c>
      <c r="E68" t="str">
        <v/>
      </c>
      <c r="F68" t="str">
        <v>867162029843950</v>
      </c>
      <c r="G68" t="str">
        <v>TBD</v>
      </c>
      <c r="H68" t="str">
        <v/>
      </c>
      <c r="I68" t="str">
        <v/>
      </c>
      <c r="J68" t="str">
        <v>18/09/2026</v>
      </c>
      <c r="K68" t="str">
        <v>10:52:54</v>
      </c>
      <c r="L68">
        <v>-12.306018</v>
      </c>
      <c r="M68">
        <v>-76.84093</v>
      </c>
      <c r="N68">
        <f>HYPERLINK("https://www.google.com/maps/search/?api=1&amp;query=-12.306018,-76.84093","Antigua Panamericana Sur, Lurín, Lima")</f>
      </c>
      <c r="O68" t="str">
        <v>Vehículo apagado</v>
      </c>
      <c r="P68">
        <v>718157.5</v>
      </c>
      <c r="Q68" t="str">
        <v/>
      </c>
      <c r="R68">
        <v>24</v>
      </c>
      <c r="S68">
        <v>82.87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100</v>
      </c>
      <c r="AB68" t="str">
        <v>18/09/2026</v>
      </c>
      <c r="AC68" t="str">
        <v>10:51:44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10:53:06</v>
      </c>
      <c r="AK68" t="str">
        <v>10:53:06</v>
      </c>
      <c r="AL68" t="str">
        <v/>
      </c>
    </row>
    <row r="69">
      <c r="A69">
        <v>68</v>
      </c>
      <c r="B69" t="str">
        <v>MASS BSF</v>
      </c>
      <c r="C69" t="str">
        <v>BXQ-847</v>
      </c>
      <c r="D69" t="str">
        <v>BXQ-847</v>
      </c>
      <c r="E69" t="str">
        <v/>
      </c>
      <c r="F69" t="str">
        <v>867162029843950</v>
      </c>
      <c r="G69" t="str">
        <v>TBD</v>
      </c>
      <c r="H69" t="str">
        <v/>
      </c>
      <c r="I69" t="str">
        <v/>
      </c>
      <c r="J69" t="str">
        <v>18/09/2026</v>
      </c>
      <c r="K69" t="str">
        <v>11:05:51</v>
      </c>
      <c r="L69">
        <v>-12.307507</v>
      </c>
      <c r="M69">
        <v>-76.83946</v>
      </c>
      <c r="N69">
        <f>HYPERLINK("https://www.google.com/maps/search/?api=1&amp;query=-12.307507,-76.83946","Antigua Panamericana Sur, Lurín, Lima")</f>
      </c>
      <c r="O69" t="str">
        <v>Vehículo encendido</v>
      </c>
      <c r="P69">
        <v>718157.5</v>
      </c>
      <c r="Q69" t="str">
        <v/>
      </c>
      <c r="R69">
        <v>0</v>
      </c>
      <c r="S69">
        <v>82.87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18/09/2026</v>
      </c>
      <c r="AC69" t="str">
        <v>10:52:55</v>
      </c>
      <c r="AD69">
        <f>IF("NOGPS"="NOGPS","GPS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11:06:05</v>
      </c>
      <c r="AK69" t="str">
        <v>11:06:05</v>
      </c>
      <c r="AL69" t="str">
        <v/>
      </c>
    </row>
    <row r="70">
      <c r="A70">
        <v>69</v>
      </c>
      <c r="B70" t="str">
        <v>MASS BSF</v>
      </c>
      <c r="C70" t="str">
        <v>BXQ-847</v>
      </c>
      <c r="D70" t="str">
        <v>BXQ-847</v>
      </c>
      <c r="E70" t="str">
        <v/>
      </c>
      <c r="F70" t="str">
        <v>867162029843950</v>
      </c>
      <c r="G70" t="str">
        <v>TBD</v>
      </c>
      <c r="H70" t="str">
        <v/>
      </c>
      <c r="I70" t="str">
        <v/>
      </c>
      <c r="J70" t="str">
        <v>18/09/2026</v>
      </c>
      <c r="K70" t="str">
        <v>11:20:43</v>
      </c>
      <c r="L70">
        <v>-12.317356</v>
      </c>
      <c r="M70">
        <v>-76.82296</v>
      </c>
      <c r="N70">
        <f>HYPERLINK("https://www.google.com/maps/search/?api=1&amp;query=-12.317356,-76.82296","Punta Hermosa, Lima")</f>
      </c>
      <c r="O70" t="str">
        <v>Vehículo apagado</v>
      </c>
      <c r="P70">
        <v>718164.4</v>
      </c>
      <c r="Q70" t="str">
        <v/>
      </c>
      <c r="R70">
        <v>0</v>
      </c>
      <c r="S70">
        <v>83.12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18/09/2026</v>
      </c>
      <c r="AC70" t="str">
        <v>11:20:46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11:21:20</v>
      </c>
      <c r="AK70" t="str">
        <v>11:21:20</v>
      </c>
      <c r="AL70" t="str">
        <v/>
      </c>
    </row>
    <row r="71">
      <c r="A71">
        <v>70</v>
      </c>
      <c r="B71" t="str">
        <v>MASS BSF</v>
      </c>
      <c r="C71" t="str">
        <v>BXQ-847</v>
      </c>
      <c r="D71" t="str">
        <v>BXQ-847</v>
      </c>
      <c r="E71" t="str">
        <v/>
      </c>
      <c r="F71" t="str">
        <v>867162029843950</v>
      </c>
      <c r="G71" t="str">
        <v>TBD</v>
      </c>
      <c r="H71" t="str">
        <v/>
      </c>
      <c r="I71" t="str">
        <v/>
      </c>
      <c r="J71" t="str">
        <v>18/09/2026</v>
      </c>
      <c r="K71" t="str">
        <v>11:28:07</v>
      </c>
      <c r="L71">
        <v>-12.317356</v>
      </c>
      <c r="M71">
        <v>-76.82296</v>
      </c>
      <c r="N71">
        <f>HYPERLINK("https://www.google.com/maps/search/?api=1&amp;query=-12.317356,-76.82296","Punta Hermosa, Lima")</f>
      </c>
      <c r="O71" t="str">
        <v>Vehículo encendido</v>
      </c>
      <c r="P71">
        <v>718164.4</v>
      </c>
      <c r="Q71" t="str">
        <v/>
      </c>
      <c r="R71">
        <v>0</v>
      </c>
      <c r="S71">
        <v>83.12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100</v>
      </c>
      <c r="AB71" t="str">
        <v>18/09/2026</v>
      </c>
      <c r="AC71" t="str">
        <v>11:20:46</v>
      </c>
      <c r="AD71">
        <f>IF("NOGPS"="NOGPS","GPS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11:28:20</v>
      </c>
      <c r="AK71" t="str">
        <v>11:28:20</v>
      </c>
      <c r="AL71" t="str">
        <v/>
      </c>
    </row>
    <row r="72">
      <c r="A72">
        <v>71</v>
      </c>
      <c r="B72" t="str">
        <v>MASS BSF</v>
      </c>
      <c r="C72" t="str">
        <v>BXQ-847</v>
      </c>
      <c r="D72" t="str">
        <v>BXQ-847</v>
      </c>
      <c r="E72" t="str">
        <v/>
      </c>
      <c r="F72" t="str">
        <v>867162029843950</v>
      </c>
      <c r="G72" t="str">
        <v>TBD</v>
      </c>
      <c r="H72" t="str">
        <v/>
      </c>
      <c r="I72" t="str">
        <v/>
      </c>
      <c r="J72" t="str">
        <v>18/09/2026</v>
      </c>
      <c r="K72" t="str">
        <v>11:29:51</v>
      </c>
      <c r="L72">
        <v>-12.317788</v>
      </c>
      <c r="M72">
        <v>-76.82431</v>
      </c>
      <c r="N72">
        <f>HYPERLINK("https://www.google.com/maps/search/?api=1&amp;query=-12.317788,-76.82431","Punta Hermosa, Lima")</f>
      </c>
      <c r="O72" t="str">
        <v>Vehículo apagado</v>
      </c>
      <c r="P72">
        <v>718164.7</v>
      </c>
      <c r="Q72" t="str">
        <v/>
      </c>
      <c r="R72">
        <v>4.2</v>
      </c>
      <c r="S72">
        <v>83.15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100</v>
      </c>
      <c r="AB72" t="str">
        <v>18/09/2026</v>
      </c>
      <c r="AC72" t="str">
        <v>11:29:38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11:30:02</v>
      </c>
      <c r="AK72" t="str">
        <v>11:30:02</v>
      </c>
      <c r="AL72" t="str">
        <v/>
      </c>
    </row>
    <row r="73">
      <c r="A73">
        <v>72</v>
      </c>
      <c r="B73" t="str">
        <v>MASS BSF</v>
      </c>
      <c r="C73" t="str">
        <v>BXQ-847</v>
      </c>
      <c r="D73" t="str">
        <v>BXQ-847</v>
      </c>
      <c r="E73" t="str">
        <v/>
      </c>
      <c r="F73" t="str">
        <v>867162029843950</v>
      </c>
      <c r="G73" t="str">
        <v>TBD</v>
      </c>
      <c r="H73" t="str">
        <v/>
      </c>
      <c r="I73" t="str">
        <v/>
      </c>
      <c r="J73" t="str">
        <v>18/09/2026</v>
      </c>
      <c r="K73" t="str">
        <v>11:50:15</v>
      </c>
      <c r="L73">
        <v>-12.31778</v>
      </c>
      <c r="M73">
        <v>-76.82426</v>
      </c>
      <c r="N73">
        <f>HYPERLINK("https://www.google.com/maps/search/?api=1&amp;query=-12.31778,-76.82426","Punta Hermosa, Lima")</f>
      </c>
      <c r="O73" t="str">
        <v>Vehículo encendido</v>
      </c>
      <c r="P73">
        <v>718164.7</v>
      </c>
      <c r="Q73" t="str">
        <v/>
      </c>
      <c r="R73">
        <v>0</v>
      </c>
      <c r="S73">
        <v>83.15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100</v>
      </c>
      <c r="AB73" t="str">
        <v>18/09/2026</v>
      </c>
      <c r="AC73" t="str">
        <v>11:29:55</v>
      </c>
      <c r="AD73">
        <f>IF("NOGPS"="NOGPS","GPS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11:50:39</v>
      </c>
      <c r="AK73" t="str">
        <v>11:50:39</v>
      </c>
      <c r="AL73" t="str">
        <v/>
      </c>
    </row>
    <row r="74">
      <c r="A74">
        <v>73</v>
      </c>
      <c r="B74" t="str">
        <v>MASS BSF</v>
      </c>
      <c r="C74" t="str">
        <v>BXQ-847</v>
      </c>
      <c r="D74" t="str">
        <v>BXQ-847</v>
      </c>
      <c r="E74" t="str">
        <v/>
      </c>
      <c r="F74" t="str">
        <v>867162029843950</v>
      </c>
      <c r="G74" t="str">
        <v>TBD</v>
      </c>
      <c r="H74" t="str">
        <v/>
      </c>
      <c r="I74" t="str">
        <v/>
      </c>
      <c r="J74" t="str">
        <v>18/09/2026</v>
      </c>
      <c r="K74" t="str">
        <v>11:52:50</v>
      </c>
      <c r="L74">
        <v>-12.31804</v>
      </c>
      <c r="M74">
        <v>-76.82418</v>
      </c>
      <c r="N74">
        <f>HYPERLINK("https://www.google.com/maps/search/?api=1&amp;query=-12.31804,-76.82418","Punta Hermosa, Lima")</f>
      </c>
      <c r="O74" t="str">
        <v>Vehículo apagado</v>
      </c>
      <c r="P74">
        <v>718164.7</v>
      </c>
      <c r="Q74" t="str">
        <v/>
      </c>
      <c r="R74">
        <v>0</v>
      </c>
      <c r="S74">
        <v>83.2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100</v>
      </c>
      <c r="AB74" t="str">
        <v>18/09/2026</v>
      </c>
      <c r="AC74" t="str">
        <v>11:52:12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11:53:01</v>
      </c>
      <c r="AK74" t="str">
        <v>11:53:01</v>
      </c>
      <c r="AL74" t="str">
        <v/>
      </c>
    </row>
    <row r="75">
      <c r="A75">
        <v>74</v>
      </c>
      <c r="B75" t="str">
        <v>MASS BSF</v>
      </c>
      <c r="C75" t="str">
        <v>BXQ-847</v>
      </c>
      <c r="D75" t="str">
        <v>BXQ-847</v>
      </c>
      <c r="E75" t="str">
        <v/>
      </c>
      <c r="F75" t="str">
        <v>867162029843950</v>
      </c>
      <c r="G75" t="str">
        <v>TBD</v>
      </c>
      <c r="H75" t="str">
        <v/>
      </c>
      <c r="I75" t="str">
        <v/>
      </c>
      <c r="J75" t="str">
        <v>18/09/2026</v>
      </c>
      <c r="K75" t="str">
        <v>11:52:52</v>
      </c>
      <c r="L75">
        <v>-12.317989</v>
      </c>
      <c r="M75">
        <v>-76.82417</v>
      </c>
      <c r="N75">
        <f>HYPERLINK("https://www.google.com/maps/search/?api=1&amp;query=-12.317989,-76.82417","Punta Hermosa, Lima")</f>
      </c>
      <c r="O75" t="str">
        <v>Vehículo encendido</v>
      </c>
      <c r="P75">
        <v>718164.7</v>
      </c>
      <c r="Q75" t="str">
        <v/>
      </c>
      <c r="R75">
        <v>0</v>
      </c>
      <c r="S75">
        <v>83.2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100</v>
      </c>
      <c r="AB75" t="str">
        <v>18/09/2026</v>
      </c>
      <c r="AC75" t="str">
        <v>11:52:51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11:53:04</v>
      </c>
      <c r="AK75" t="str">
        <v>11:53:04</v>
      </c>
      <c r="AL75" t="str">
        <v/>
      </c>
    </row>
    <row r="76">
      <c r="A76">
        <v>75</v>
      </c>
      <c r="B76" t="str">
        <v>MASS BSF</v>
      </c>
      <c r="C76" t="str">
        <v>BXQ-847</v>
      </c>
      <c r="D76" t="str">
        <v>BXQ-847</v>
      </c>
      <c r="E76" t="str">
        <v/>
      </c>
      <c r="F76" t="str">
        <v>867162029843950</v>
      </c>
      <c r="G76" t="str">
        <v>TBD</v>
      </c>
      <c r="H76" t="str">
        <v/>
      </c>
      <c r="I76" t="str">
        <v/>
      </c>
      <c r="J76" t="str">
        <v>18/09/2026</v>
      </c>
      <c r="K76" t="str">
        <v>11:52:56</v>
      </c>
      <c r="L76">
        <v>-12.31804</v>
      </c>
      <c r="M76">
        <v>-76.82418</v>
      </c>
      <c r="N76">
        <f>HYPERLINK("https://www.google.com/maps/search/?api=1&amp;query=-12.31804,-76.82418","Punta Hermosa, Lima")</f>
      </c>
      <c r="O76" t="str">
        <v>Vehículo apagado</v>
      </c>
      <c r="P76">
        <v>718164.7</v>
      </c>
      <c r="Q76" t="str">
        <v/>
      </c>
      <c r="R76">
        <v>0</v>
      </c>
      <c r="S76">
        <v>83.2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100</v>
      </c>
      <c r="AB76" t="str">
        <v>18/09/2026</v>
      </c>
      <c r="AC76" t="str">
        <v>11:52:12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11:53:01</v>
      </c>
      <c r="AK76" t="str">
        <v>11:53:01</v>
      </c>
      <c r="AL76" t="str">
        <v/>
      </c>
    </row>
    <row r="77">
      <c r="A77">
        <v>76</v>
      </c>
      <c r="B77" t="str">
        <v>MASS BSF</v>
      </c>
      <c r="C77" t="str">
        <v>BXQ-847</v>
      </c>
      <c r="D77" t="str">
        <v>BXQ-847</v>
      </c>
      <c r="E77" t="str">
        <v/>
      </c>
      <c r="F77" t="str">
        <v>867162029843950</v>
      </c>
      <c r="G77" t="str">
        <v>TBD</v>
      </c>
      <c r="H77" t="str">
        <v/>
      </c>
      <c r="I77" t="str">
        <v/>
      </c>
      <c r="J77" t="str">
        <v>18/09/2026</v>
      </c>
      <c r="K77" t="str">
        <v>12:20:39</v>
      </c>
      <c r="L77">
        <v>-12.317989</v>
      </c>
      <c r="M77">
        <v>-76.82417</v>
      </c>
      <c r="N77">
        <f>HYPERLINK("https://www.google.com/maps/search/?api=1&amp;query=-12.317989,-76.82417","Punta Hermosa, Lima")</f>
      </c>
      <c r="O77" t="str">
        <v>Vehículo encendido</v>
      </c>
      <c r="P77">
        <v>718164.7</v>
      </c>
      <c r="Q77" t="str">
        <v/>
      </c>
      <c r="R77">
        <v>0</v>
      </c>
      <c r="S77">
        <v>83.2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100</v>
      </c>
      <c r="AB77" t="str">
        <v>18/09/2026</v>
      </c>
      <c r="AC77" t="str">
        <v>12:20:25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12:21:00</v>
      </c>
      <c r="AK77" t="str">
        <v>12:21:00</v>
      </c>
      <c r="AL77" t="str">
        <v/>
      </c>
    </row>
    <row r="78">
      <c r="A78">
        <v>77</v>
      </c>
      <c r="B78" t="str">
        <v>MASS BSF</v>
      </c>
      <c r="C78" t="str">
        <v>BXQ-847</v>
      </c>
      <c r="D78" t="str">
        <v>BXQ-847</v>
      </c>
      <c r="E78" t="str">
        <v/>
      </c>
      <c r="F78" t="str">
        <v>867162029843950</v>
      </c>
      <c r="G78" t="str">
        <v>TBD</v>
      </c>
      <c r="H78" t="str">
        <v/>
      </c>
      <c r="I78" t="str">
        <v/>
      </c>
      <c r="J78" t="str">
        <v>18/09/2026</v>
      </c>
      <c r="K78" t="str">
        <v>12:20:44</v>
      </c>
      <c r="L78">
        <v>-12.317897</v>
      </c>
      <c r="M78">
        <v>-76.824066</v>
      </c>
      <c r="N78">
        <f>HYPERLINK("https://www.google.com/maps/search/?api=1&amp;query=-12.317897,-76.824066","Punta Hermosa, Lima")</f>
      </c>
      <c r="O78" t="str">
        <v>Vehículo apagado</v>
      </c>
      <c r="P78">
        <v>718164.7</v>
      </c>
      <c r="Q78" t="str">
        <v/>
      </c>
      <c r="R78">
        <v>0.2</v>
      </c>
      <c r="S78">
        <v>83.2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100</v>
      </c>
      <c r="AB78" t="str">
        <v>18/09/2026</v>
      </c>
      <c r="AC78" t="str">
        <v>12:20:45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12:21:01</v>
      </c>
      <c r="AK78" t="str">
        <v>12:21:01</v>
      </c>
      <c r="AL78" t="str">
        <v/>
      </c>
    </row>
    <row r="79">
      <c r="A79">
        <v>78</v>
      </c>
      <c r="B79" t="str">
        <v>MASS BSF</v>
      </c>
      <c r="C79" t="str">
        <v>BXQ-847</v>
      </c>
      <c r="D79" t="str">
        <v>BXQ-847</v>
      </c>
      <c r="E79" t="str">
        <v/>
      </c>
      <c r="F79" t="str">
        <v>867162029843950</v>
      </c>
      <c r="G79" t="str">
        <v>TBD</v>
      </c>
      <c r="H79" t="str">
        <v/>
      </c>
      <c r="I79" t="str">
        <v/>
      </c>
      <c r="J79" t="str">
        <v>18/09/2026</v>
      </c>
      <c r="K79" t="str">
        <v>12:20:46</v>
      </c>
      <c r="L79">
        <v>-12.317989</v>
      </c>
      <c r="M79">
        <v>-76.82417</v>
      </c>
      <c r="N79">
        <f>HYPERLINK("https://www.google.com/maps/search/?api=1&amp;query=-12.317989,-76.82417","Punta Hermosa, Lima")</f>
      </c>
      <c r="O79" t="str">
        <v>Vehículo encendido</v>
      </c>
      <c r="P79">
        <v>718164.7</v>
      </c>
      <c r="Q79" t="str">
        <v/>
      </c>
      <c r="R79">
        <v>0</v>
      </c>
      <c r="S79">
        <v>83.2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100</v>
      </c>
      <c r="AB79" t="str">
        <v>18/09/2026</v>
      </c>
      <c r="AC79" t="str">
        <v>12:20:25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12:21:01</v>
      </c>
      <c r="AK79" t="str">
        <v>12:21:01</v>
      </c>
      <c r="AL79" t="str">
        <v/>
      </c>
    </row>
    <row r="80">
      <c r="A80">
        <v>79</v>
      </c>
      <c r="B80" t="str">
        <v>MASS BSF</v>
      </c>
      <c r="C80" t="str">
        <v>BXQ-847</v>
      </c>
      <c r="D80" t="str">
        <v>BXQ-847</v>
      </c>
      <c r="E80" t="str">
        <v/>
      </c>
      <c r="F80" t="str">
        <v>867162029843950</v>
      </c>
      <c r="G80" t="str">
        <v>TBD</v>
      </c>
      <c r="H80" t="str">
        <v/>
      </c>
      <c r="I80" t="str">
        <v/>
      </c>
      <c r="J80" t="str">
        <v>18/09/2026</v>
      </c>
      <c r="K80" t="str">
        <v>12:23:46</v>
      </c>
      <c r="L80">
        <v>-12.317897</v>
      </c>
      <c r="M80">
        <v>-76.824066</v>
      </c>
      <c r="N80">
        <f>HYPERLINK("https://www.google.com/maps/search/?api=1&amp;query=-12.317897,-76.824066","Punta Hermosa, Lima")</f>
      </c>
      <c r="O80" t="str">
        <v>Inicio de ralentí</v>
      </c>
      <c r="P80">
        <v>718164.7</v>
      </c>
      <c r="Q80" t="str">
        <v/>
      </c>
      <c r="R80">
        <v>0</v>
      </c>
      <c r="S80">
        <v>83.2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100</v>
      </c>
      <c r="AB80" t="str">
        <v>18/09/2026</v>
      </c>
      <c r="AC80" t="str">
        <v>12:23:45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12:24:04</v>
      </c>
      <c r="AK80" t="str">
        <v>12:24:04</v>
      </c>
      <c r="AL80" t="str">
        <v/>
      </c>
    </row>
    <row r="81">
      <c r="A81">
        <v>80</v>
      </c>
      <c r="B81" t="str">
        <v>MASS BSF</v>
      </c>
      <c r="C81" t="str">
        <v>BXQ-847</v>
      </c>
      <c r="D81" t="str">
        <v>BXQ-847</v>
      </c>
      <c r="E81" t="str">
        <v/>
      </c>
      <c r="F81" t="str">
        <v>867162029843950</v>
      </c>
      <c r="G81" t="str">
        <v>TBD</v>
      </c>
      <c r="H81" t="str">
        <v/>
      </c>
      <c r="I81" t="str">
        <v/>
      </c>
      <c r="J81" t="str">
        <v>18/09/2026</v>
      </c>
      <c r="K81" t="str">
        <v>12:30:29</v>
      </c>
      <c r="L81">
        <v>-12.317881</v>
      </c>
      <c r="M81">
        <v>-76.824234</v>
      </c>
      <c r="N81">
        <f>HYPERLINK("https://www.google.com/maps/search/?api=1&amp;query=-12.317881,-76.824234","Punta Hermosa, Lima")</f>
      </c>
      <c r="O81" t="str">
        <v>Fin de ralentí</v>
      </c>
      <c r="P81">
        <v>718164.7</v>
      </c>
      <c r="Q81" t="str">
        <v/>
      </c>
      <c r="R81">
        <v>7.9</v>
      </c>
      <c r="S81">
        <v>83.2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100</v>
      </c>
      <c r="AB81" t="str">
        <v>18/09/2026</v>
      </c>
      <c r="AC81" t="str">
        <v>12:29:45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12:31:01</v>
      </c>
      <c r="AK81" t="str">
        <v>12:31:01</v>
      </c>
      <c r="AL81" t="str">
        <v/>
      </c>
    </row>
    <row r="82">
      <c r="A82">
        <v>81</v>
      </c>
      <c r="B82" t="str">
        <v>MASS BSF</v>
      </c>
      <c r="C82" t="str">
        <v>BXQ-847</v>
      </c>
      <c r="D82" t="str">
        <v>BXQ-847</v>
      </c>
      <c r="E82" t="str">
        <v/>
      </c>
      <c r="F82" t="str">
        <v>867162029843950</v>
      </c>
      <c r="G82" t="str">
        <v>TBD</v>
      </c>
      <c r="H82" t="str">
        <v/>
      </c>
      <c r="I82" t="str">
        <v/>
      </c>
      <c r="J82" t="str">
        <v>18/09/2026</v>
      </c>
      <c r="K82" t="str">
        <v>12:35:28</v>
      </c>
      <c r="L82">
        <v>-12.310265</v>
      </c>
      <c r="M82">
        <v>-76.835335</v>
      </c>
      <c r="N82">
        <f>HYPERLINK("https://www.google.com/maps/search/?api=1&amp;query=-12.310265,-76.835335","Carretera Panamericana Sur, Punta Hermosa, Lima")</f>
      </c>
      <c r="O82" t="str">
        <v>Excedió el límite de velocidad</v>
      </c>
      <c r="P82">
        <v>718166.6</v>
      </c>
      <c r="Q82" t="str">
        <v/>
      </c>
      <c r="R82">
        <v>85.4</v>
      </c>
      <c r="S82">
        <v>83.2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100</v>
      </c>
      <c r="AB82" t="str">
        <v>18/09/2026</v>
      </c>
      <c r="AC82" t="str">
        <v>12:35:27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12:35:37</v>
      </c>
      <c r="AK82" t="str">
        <v>12:35:37</v>
      </c>
      <c r="AL82" t="str">
        <v/>
      </c>
    </row>
    <row r="83">
      <c r="A83">
        <v>82</v>
      </c>
      <c r="B83" t="str">
        <v>MASS BSF</v>
      </c>
      <c r="C83" t="str">
        <v>BXQ-847</v>
      </c>
      <c r="D83" t="str">
        <v>BXQ-847</v>
      </c>
      <c r="E83" t="str">
        <v/>
      </c>
      <c r="F83" t="str">
        <v>867162029843950</v>
      </c>
      <c r="G83" t="str">
        <v>TBD</v>
      </c>
      <c r="H83" t="str">
        <v/>
      </c>
      <c r="I83" t="str">
        <v/>
      </c>
      <c r="J83" t="str">
        <v>18/09/2026</v>
      </c>
      <c r="K83" t="str">
        <v>12:39:50</v>
      </c>
      <c r="L83">
        <v>-12.279246</v>
      </c>
      <c r="M83">
        <v>-76.884735</v>
      </c>
      <c r="N83">
        <f>HYPERLINK("https://www.google.com/maps/search/?api=1&amp;query=-12.279246,-76.884735","Carretera Panamericana Sur, Lurín, Lima")</f>
      </c>
      <c r="O83" t="str">
        <v>Excedió el límite de velocidad</v>
      </c>
      <c r="P83">
        <v>718173</v>
      </c>
      <c r="Q83" t="str">
        <v/>
      </c>
      <c r="R83">
        <v>86.6</v>
      </c>
      <c r="S83">
        <v>83.2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100</v>
      </c>
      <c r="AB83" t="str">
        <v>18/09/2026</v>
      </c>
      <c r="AC83" t="str">
        <v>12:39:48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12:40:15</v>
      </c>
      <c r="AK83" t="str">
        <v>12:40:15</v>
      </c>
      <c r="AL83" t="str">
        <v/>
      </c>
    </row>
    <row r="84">
      <c r="A84">
        <v>83</v>
      </c>
      <c r="B84" t="str">
        <v>MASS BSF</v>
      </c>
      <c r="C84" t="str">
        <v>BXQ-847</v>
      </c>
      <c r="D84" t="str">
        <v>BXQ-847</v>
      </c>
      <c r="E84" t="str">
        <v/>
      </c>
      <c r="F84" t="str">
        <v>867162029843950</v>
      </c>
      <c r="G84" t="str">
        <v>TBD</v>
      </c>
      <c r="H84" t="str">
        <v/>
      </c>
      <c r="I84" t="str">
        <v/>
      </c>
      <c r="J84" t="str">
        <v>18/09/2026</v>
      </c>
      <c r="K84" t="str">
        <v>12:44:40</v>
      </c>
      <c r="L84">
        <v>-12.246875</v>
      </c>
      <c r="M84">
        <v>-76.93532</v>
      </c>
      <c r="N84">
        <f>HYPERLINK("https://www.google.com/maps/search/?api=1&amp;query=-12.246875,-76.93532","Carretera Panamericana Sur, Lurín, Lima")</f>
      </c>
      <c r="O84" t="str">
        <v>Excedió el límite de velocidad</v>
      </c>
      <c r="P84">
        <v>718179.6</v>
      </c>
      <c r="Q84" t="str">
        <v/>
      </c>
      <c r="R84">
        <v>86.5</v>
      </c>
      <c r="S84">
        <v>83.2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100</v>
      </c>
      <c r="AB84" t="str">
        <v>18/09/2026</v>
      </c>
      <c r="AC84" t="str">
        <v>12:44:39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12:51:06</v>
      </c>
      <c r="AK84" t="str">
        <v>12:51:06</v>
      </c>
      <c r="AL84" t="str">
        <v/>
      </c>
    </row>
    <row r="85">
      <c r="A85">
        <v>84</v>
      </c>
      <c r="B85" t="str">
        <v>MASS BSF</v>
      </c>
      <c r="C85" t="str">
        <v>BXQ-847</v>
      </c>
      <c r="D85" t="str">
        <v>BXQ-847</v>
      </c>
      <c r="E85" t="str">
        <v/>
      </c>
      <c r="F85" t="str">
        <v>867162029843950</v>
      </c>
      <c r="G85" t="str">
        <v>TBD</v>
      </c>
      <c r="H85" t="str">
        <v/>
      </c>
      <c r="I85" t="str">
        <v/>
      </c>
      <c r="J85" t="str">
        <v>18/09/2026</v>
      </c>
      <c r="K85" t="str">
        <v>12:45:31</v>
      </c>
      <c r="L85">
        <v>-12.241853</v>
      </c>
      <c r="M85">
        <v>-76.94493</v>
      </c>
      <c r="N85">
        <f>HYPERLINK("https://www.google.com/maps/search/?api=1&amp;query=-12.241853,-76.94493","Carretera Panamericana Sur, Villa El Salvador, Lima")</f>
      </c>
      <c r="O85" t="str">
        <v>Excedió el límite de velocidad</v>
      </c>
      <c r="P85">
        <v>718180.8</v>
      </c>
      <c r="Q85" t="str">
        <v/>
      </c>
      <c r="R85">
        <v>84</v>
      </c>
      <c r="S85">
        <v>83.2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100</v>
      </c>
      <c r="AB85" t="str">
        <v>18/09/2026</v>
      </c>
      <c r="AC85" t="str">
        <v>12:45:30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12:50:55</v>
      </c>
      <c r="AK85" t="str">
        <v>12:50:55</v>
      </c>
      <c r="AL85" t="str">
        <v/>
      </c>
    </row>
    <row r="86">
      <c r="A86">
        <v>85</v>
      </c>
      <c r="B86" t="str">
        <v>MASS BSF</v>
      </c>
      <c r="C86" t="str">
        <v>BXQ-847</v>
      </c>
      <c r="D86" t="str">
        <v>BXQ-847</v>
      </c>
      <c r="E86" t="str">
        <v/>
      </c>
      <c r="F86" t="str">
        <v>867162029843950</v>
      </c>
      <c r="G86" t="str">
        <v>TBD</v>
      </c>
      <c r="H86" t="str">
        <v/>
      </c>
      <c r="I86" t="str">
        <v/>
      </c>
      <c r="J86" t="str">
        <v>18/09/2026</v>
      </c>
      <c r="K86" t="str">
        <v>12:45:49</v>
      </c>
      <c r="L86">
        <v>-12.240162</v>
      </c>
      <c r="M86">
        <v>-76.94825</v>
      </c>
      <c r="N86">
        <f>HYPERLINK("https://www.google.com/maps/search/?api=1&amp;query=-12.240162,-76.94825","Carretera Panamericana Sur, Villa El Salvador, Lima")</f>
      </c>
      <c r="O86" t="str">
        <v>Excedió el límite de velocidad</v>
      </c>
      <c r="P86">
        <v>718181.2</v>
      </c>
      <c r="Q86" t="str">
        <v/>
      </c>
      <c r="R86">
        <v>81.3</v>
      </c>
      <c r="S86">
        <v>83.2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100</v>
      </c>
      <c r="AB86" t="str">
        <v>18/09/2026</v>
      </c>
      <c r="AC86" t="str">
        <v>12:45:48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12:50:59</v>
      </c>
      <c r="AK86" t="str">
        <v>12:50:59</v>
      </c>
      <c r="AL86" t="str">
        <v/>
      </c>
    </row>
    <row r="87">
      <c r="A87">
        <v>86</v>
      </c>
      <c r="B87" t="str">
        <v>MASS BSF</v>
      </c>
      <c r="C87" t="str">
        <v>BXQ-847</v>
      </c>
      <c r="D87" t="str">
        <v>BXQ-847</v>
      </c>
      <c r="E87" t="str">
        <v/>
      </c>
      <c r="F87" t="str">
        <v>867162029843950</v>
      </c>
      <c r="G87" t="str">
        <v>TBD</v>
      </c>
      <c r="H87" t="str">
        <v/>
      </c>
      <c r="I87" t="str">
        <v/>
      </c>
      <c r="J87" t="str">
        <v>18/09/2026</v>
      </c>
      <c r="K87" t="str">
        <v>12:47:22</v>
      </c>
      <c r="L87">
        <v>-12.232129</v>
      </c>
      <c r="M87">
        <v>-76.96375</v>
      </c>
      <c r="N87">
        <f>HYPERLINK("https://www.google.com/maps/search/?api=1&amp;query=-12.232129,-76.96375","Carretera Panamericana Sur, Villa El Salvador, Lima")</f>
      </c>
      <c r="O87" t="str">
        <v>Excedió el límite de velocidad</v>
      </c>
      <c r="P87">
        <v>718183.1</v>
      </c>
      <c r="Q87" t="str">
        <v/>
      </c>
      <c r="R87">
        <v>82.5</v>
      </c>
      <c r="S87">
        <v>83.2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100</v>
      </c>
      <c r="AB87" t="str">
        <v>18/09/2026</v>
      </c>
      <c r="AC87" t="str">
        <v>12:47:21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12:50:59</v>
      </c>
      <c r="AK87" t="str">
        <v>12:50:59</v>
      </c>
      <c r="AL87" t="str">
        <v/>
      </c>
    </row>
    <row r="88">
      <c r="A88">
        <v>87</v>
      </c>
      <c r="B88" t="str">
        <v>MASS BSF</v>
      </c>
      <c r="C88" t="str">
        <v>BXQ-847</v>
      </c>
      <c r="D88" t="str">
        <v>BXQ-847</v>
      </c>
      <c r="E88" t="str">
        <v/>
      </c>
      <c r="F88" t="str">
        <v>867162029843950</v>
      </c>
      <c r="G88" t="str">
        <v>TBD</v>
      </c>
      <c r="H88" t="str">
        <v/>
      </c>
      <c r="I88" t="str">
        <v/>
      </c>
      <c r="J88" t="str">
        <v>18/09/2026</v>
      </c>
      <c r="K88" t="str">
        <v>13:11:15</v>
      </c>
      <c r="L88">
        <v>-12.212956</v>
      </c>
      <c r="M88">
        <v>-76.95878</v>
      </c>
      <c r="N88">
        <f>HYPERLINK("https://www.google.com/maps/search/?api=1&amp;query=-12.212956,-76.95878","Villa El Salvador, Lima")</f>
      </c>
      <c r="O88" t="str">
        <v>Vehículo apagado</v>
      </c>
      <c r="P88">
        <v>718189.8</v>
      </c>
      <c r="Q88" t="str">
        <v/>
      </c>
      <c r="R88">
        <v>0</v>
      </c>
      <c r="S88">
        <v>83.2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100</v>
      </c>
      <c r="AB88" t="str">
        <v>18/09/2026</v>
      </c>
      <c r="AC88" t="str">
        <v>13:11:17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13:11:38</v>
      </c>
      <c r="AK88" t="str">
        <v>13:11:38</v>
      </c>
      <c r="AL88" t="str">
        <v/>
      </c>
    </row>
  </sheetData>
  <ignoredErrors>
    <ignoredError numberStoredAsText="1" sqref="A1:AL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