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18/09/2026</v>
      </c>
      <c r="K2" t="str">
        <v>05:39:22</v>
      </c>
      <c r="L2">
        <v>-12.212961</v>
      </c>
      <c r="M2">
        <v>-76.95894</v>
      </c>
      <c r="N2">
        <f>HYPERLINK("https://www.google.com/maps/search/?api=1&amp;query=-12.212961,-76.95894","Avenida Villa del Mar, Villa El Salvador, Lima")</f>
      </c>
      <c r="O2" t="str">
        <v>Vehículo encendido</v>
      </c>
      <c r="P2">
        <v>1051613.9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18/09/2026</v>
      </c>
      <c r="AC2" t="str">
        <v>05:30:14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05:39:51</v>
      </c>
      <c r="AK2" t="str">
        <v>05:39:51</v>
      </c>
      <c r="AL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18/09/2026</v>
      </c>
      <c r="K3" t="str">
        <v>06:14:01</v>
      </c>
      <c r="L3">
        <v>-12.162859</v>
      </c>
      <c r="M3">
        <v>-76.94553</v>
      </c>
      <c r="N3">
        <f>HYPERLINK("https://www.google.com/maps/search/?api=1&amp;query=-12.162859,-76.94553","Avenida Villa María, Villa María del Triunfo, Lima")</f>
      </c>
      <c r="O3" t="str">
        <v>Vehículo apagado</v>
      </c>
      <c r="P3">
        <v>1051622.5</v>
      </c>
      <c r="Q3" t="str">
        <v/>
      </c>
      <c r="R3">
        <v>15.6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18/09/2026</v>
      </c>
      <c r="AC3" t="str">
        <v>06:13:24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06:14:15</v>
      </c>
      <c r="AK3" t="str">
        <v>06:14:15</v>
      </c>
      <c r="AL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18/09/2026</v>
      </c>
      <c r="K4" t="str">
        <v>06:16:25</v>
      </c>
      <c r="L4">
        <v>-12.163674</v>
      </c>
      <c r="M4">
        <v>-76.94672</v>
      </c>
      <c r="N4">
        <f>HYPERLINK("https://www.google.com/maps/search/?api=1&amp;query=-12.163674,-76.94672","Avenida Villa María, Villa María del Triunfo, Lima")</f>
      </c>
      <c r="O4" t="str">
        <v>Vehículo encendido</v>
      </c>
      <c r="P4">
        <v>1051622.6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92</v>
      </c>
      <c r="AB4" t="str">
        <v>18/09/2026</v>
      </c>
      <c r="AC4" t="str">
        <v>06:14:05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06:16:32</v>
      </c>
      <c r="AK4" t="str">
        <v>06:16:32</v>
      </c>
      <c r="AL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/>
      </c>
      <c r="J5" t="str">
        <v>18/09/2026</v>
      </c>
      <c r="K5" t="str">
        <v>06:17:45</v>
      </c>
      <c r="L5">
        <v>-12.163695</v>
      </c>
      <c r="M5">
        <v>-76.94688</v>
      </c>
      <c r="N5">
        <f>HYPERLINK("https://www.google.com/maps/search/?api=1&amp;query=-12.163695,-76.94688","Avenida Villa María, Villa María del Triunfo, Lima")</f>
      </c>
      <c r="O5" t="str">
        <v>Vehículo apagado</v>
      </c>
      <c r="P5">
        <v>1051622.8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92</v>
      </c>
      <c r="AB5" t="str">
        <v>18/09/2026</v>
      </c>
      <c r="AC5" t="str">
        <v>06:17:22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06:18:00</v>
      </c>
      <c r="AK5" t="str">
        <v>06:18:00</v>
      </c>
      <c r="AL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/>
      </c>
      <c r="J6" t="str">
        <v>18/09/2026</v>
      </c>
      <c r="K6" t="str">
        <v>07:43:48</v>
      </c>
      <c r="L6">
        <v>-12.163716</v>
      </c>
      <c r="M6">
        <v>-76.94685</v>
      </c>
      <c r="N6">
        <f>HYPERLINK("https://www.google.com/maps/search/?api=1&amp;query=-12.163716,-76.94685","Avenida Villa María, Villa María del Triunfo, Lima")</f>
      </c>
      <c r="O6" t="str">
        <v>Vehículo encendido</v>
      </c>
      <c r="P6">
        <v>1051622.8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92</v>
      </c>
      <c r="AB6" t="str">
        <v>18/09/2026</v>
      </c>
      <c r="AC6" t="str">
        <v>07:15:43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07:44:04</v>
      </c>
      <c r="AK6" t="str">
        <v>07:44:04</v>
      </c>
      <c r="AL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/>
      </c>
      <c r="J7" t="str">
        <v>18/09/2026</v>
      </c>
      <c r="K7" t="str">
        <v>08:07:11</v>
      </c>
      <c r="L7">
        <v>-12.167097</v>
      </c>
      <c r="M7">
        <v>-76.91996</v>
      </c>
      <c r="N7">
        <f>HYPERLINK("https://www.google.com/maps/search/?api=1&amp;query=-12.167097,-76.91996","Jirón San Pedro, Villa María del Triunfo, Lima")</f>
      </c>
      <c r="O7" t="str">
        <v>Vehículo apagado</v>
      </c>
      <c r="P7">
        <v>1051627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92</v>
      </c>
      <c r="AB7" t="str">
        <v>18/09/2026</v>
      </c>
      <c r="AC7" t="str">
        <v>08:07:15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08:07:35</v>
      </c>
      <c r="AK7" t="str">
        <v>08:07:35</v>
      </c>
      <c r="AL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18/09/2026</v>
      </c>
      <c r="K8" t="str">
        <v>08:25:49</v>
      </c>
      <c r="L8">
        <v>-12.167097</v>
      </c>
      <c r="M8">
        <v>-76.91996</v>
      </c>
      <c r="N8">
        <f>HYPERLINK("https://www.google.com/maps/search/?api=1&amp;query=-12.167097,-76.91996","Jirón San Pedro, Villa María del Triunfo, Lima")</f>
      </c>
      <c r="O8" t="str">
        <v>Vehículo encendido</v>
      </c>
      <c r="P8">
        <v>1051627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92</v>
      </c>
      <c r="AB8" t="str">
        <v>18/09/2026</v>
      </c>
      <c r="AC8" t="str">
        <v>08:07:15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08:26:17</v>
      </c>
      <c r="AK8" t="str">
        <v>08:26:17</v>
      </c>
      <c r="AL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/>
      </c>
      <c r="J9" t="str">
        <v>18/09/2026</v>
      </c>
      <c r="K9" t="str">
        <v>08:36:04</v>
      </c>
      <c r="L9">
        <v>-12.168132</v>
      </c>
      <c r="M9">
        <v>-76.92671</v>
      </c>
      <c r="N9">
        <f>HYPERLINK("https://www.google.com/maps/search/?api=1&amp;query=-12.168132,-76.92671","Avenida 26 de Noviembre, Villa María del Triunfo, Lima")</f>
      </c>
      <c r="O9" t="str">
        <v>Exceso de velocidad en segmento vial</v>
      </c>
      <c r="P9">
        <v>1051628.2</v>
      </c>
      <c r="Q9" t="str">
        <v/>
      </c>
      <c r="R9">
        <v>54.6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92</v>
      </c>
      <c r="AB9" t="str">
        <v>18/09/2026</v>
      </c>
      <c r="AC9" t="str">
        <v>08:36:04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08:36:24</v>
      </c>
      <c r="AK9" t="str">
        <v>08:36:24</v>
      </c>
      <c r="AL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18/09/2026</v>
      </c>
      <c r="K10" t="str">
        <v>08:54:59</v>
      </c>
      <c r="L10">
        <v>-12.231694</v>
      </c>
      <c r="M10">
        <v>-76.91601</v>
      </c>
      <c r="N10">
        <f>HYPERLINK("https://www.google.com/maps/search/?api=1&amp;query=-12.231694,-76.91601","Avenida Universitaria, Villa El Salvador, Lima")</f>
      </c>
      <c r="O10" t="str">
        <v>Frenado Brusco</v>
      </c>
      <c r="P10">
        <v>1051637.2</v>
      </c>
      <c r="Q10" t="str">
        <v/>
      </c>
      <c r="R10">
        <v>7.4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90</v>
      </c>
      <c r="AB10" t="str">
        <v>18/09/2026</v>
      </c>
      <c r="AC10" t="str">
        <v>08:54:56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08:55:29</v>
      </c>
      <c r="AK10" t="str">
        <v>08:55:29</v>
      </c>
      <c r="AL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18/09/2026</v>
      </c>
      <c r="K11" t="str">
        <v>09:15:50</v>
      </c>
      <c r="L11">
        <v>-12.319623</v>
      </c>
      <c r="M11">
        <v>-76.82922</v>
      </c>
      <c r="N11">
        <f>HYPERLINK("https://www.google.com/maps/search/?api=1&amp;query=-12.319623,-76.82922","Carretera Panamericana Sur, Punta Hermosa, Lima")</f>
      </c>
      <c r="O11" t="str">
        <v>Exceso de velocidad en segmento vial</v>
      </c>
      <c r="P11">
        <v>1051655.8</v>
      </c>
      <c r="Q11" t="str">
        <v/>
      </c>
      <c r="R11">
        <v>80.6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90</v>
      </c>
      <c r="AB11" t="str">
        <v>18/09/2026</v>
      </c>
      <c r="AC11" t="str">
        <v>09:15:47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09:23:22</v>
      </c>
      <c r="AK11" t="str">
        <v>09:23:22</v>
      </c>
      <c r="AL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/>
      </c>
      <c r="J12" t="str">
        <v>18/09/2026</v>
      </c>
      <c r="K12" t="str">
        <v>09:15:54</v>
      </c>
      <c r="L12">
        <v>-12.320643</v>
      </c>
      <c r="M12">
        <v>-76.828545</v>
      </c>
      <c r="N12">
        <f>HYPERLINK("https://www.google.com/maps/search/?api=1&amp;query=-12.320643,-76.828545","Carretera Panamericana Sur, Punta Hermosa, Lima")</f>
      </c>
      <c r="O12" t="str">
        <v>Excedió el límite de velocidad</v>
      </c>
      <c r="P12">
        <v>1051655.9</v>
      </c>
      <c r="Q12" t="str">
        <v/>
      </c>
      <c r="R12">
        <v>80.7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90</v>
      </c>
      <c r="AB12" t="str">
        <v>18/09/2026</v>
      </c>
      <c r="AC12" t="str">
        <v>09:15:53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09:23:22</v>
      </c>
      <c r="AK12" t="str">
        <v>09:23:22</v>
      </c>
      <c r="AL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18/09/2026</v>
      </c>
      <c r="K13" t="str">
        <v>09:16:51</v>
      </c>
      <c r="L13">
        <v>-12.329698</v>
      </c>
      <c r="M13">
        <v>-76.8225</v>
      </c>
      <c r="N13">
        <f>HYPERLINK("https://www.google.com/maps/search/?api=1&amp;query=-12.329698,-76.8225","Carretera Panamericana Sur, Punta Hermosa, Lima")</f>
      </c>
      <c r="O13" t="str">
        <v>Excedió el límite de velocidad</v>
      </c>
      <c r="P13">
        <v>1051657.1</v>
      </c>
      <c r="Q13" t="str">
        <v/>
      </c>
      <c r="R13">
        <v>88.2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90</v>
      </c>
      <c r="AB13" t="str">
        <v>18/09/2026</v>
      </c>
      <c r="AC13" t="str">
        <v>09:16:50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09:23:31</v>
      </c>
      <c r="AK13" t="str">
        <v>09:23:31</v>
      </c>
      <c r="AL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 xml:space="preserve"> </v>
      </c>
      <c r="J14" t="str">
        <v>18/09/2026</v>
      </c>
      <c r="K14" t="str">
        <v>09:21:51</v>
      </c>
      <c r="L14">
        <v>-12.317102</v>
      </c>
      <c r="M14">
        <v>-76.82893</v>
      </c>
      <c r="N14">
        <f>HYPERLINK("https://www.google.com/maps/search/?api=1&amp;query=-12.317102,-76.82893","Punta Hermosa, Lima")</f>
      </c>
      <c r="O14" t="str">
        <v>Llegó a la zona</v>
      </c>
      <c r="P14">
        <v>1051654.4</v>
      </c>
      <c r="Q14" t="str">
        <v>MASS BSF 1</v>
      </c>
      <c r="R14">
        <v>7.9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90</v>
      </c>
      <c r="AB14" t="str">
        <v>18/09/2026</v>
      </c>
      <c r="AC14" t="str">
        <v>09:21:47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09:23:43</v>
      </c>
      <c r="AK14" t="str">
        <v>09:23:43</v>
      </c>
      <c r="AL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 xml:space="preserve"> </v>
      </c>
      <c r="J15" t="str">
        <v>18/09/2026</v>
      </c>
      <c r="K15" t="str">
        <v>09:22:51</v>
      </c>
      <c r="L15">
        <v>-12.316145</v>
      </c>
      <c r="M15">
        <v>-76.827255</v>
      </c>
      <c r="N15">
        <f>HYPERLINK("https://www.google.com/maps/search/?api=1&amp;query=-12.316145,-76.827255","Punta Hermosa, Lima")</f>
      </c>
      <c r="O15" t="str">
        <v>Llegó a la zona</v>
      </c>
      <c r="P15">
        <v>1051654.4</v>
      </c>
      <c r="Q15" t="str">
        <v>MASS BSF 1</v>
      </c>
      <c r="R15">
        <v>14.5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18/09/2026</v>
      </c>
      <c r="AC15" t="str">
        <v>09:22:47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09:23:34</v>
      </c>
      <c r="AK15" t="str">
        <v>09:23:34</v>
      </c>
      <c r="AL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/>
      </c>
      <c r="J16" t="str">
        <v>18/09/2026</v>
      </c>
      <c r="K16" t="str">
        <v>09:26:28</v>
      </c>
      <c r="L16">
        <v>-12.317375</v>
      </c>
      <c r="M16">
        <v>-76.82285</v>
      </c>
      <c r="N16">
        <f>HYPERLINK("https://www.google.com/maps/search/?api=1&amp;query=-12.317375,-76.82285","Punta Hermosa, Lima")</f>
      </c>
      <c r="O16" t="str">
        <v>Vehículo apagado</v>
      </c>
      <c r="P16">
        <v>1051661.4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90</v>
      </c>
      <c r="AB16" t="str">
        <v>18/09/2026</v>
      </c>
      <c r="AC16" t="str">
        <v>09:26:31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09:26:38</v>
      </c>
      <c r="AK16" t="str">
        <v>09:26:38</v>
      </c>
      <c r="AL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/>
      </c>
      <c r="J17" t="str">
        <v>18/09/2026</v>
      </c>
      <c r="K17" t="str">
        <v>09:38:08</v>
      </c>
      <c r="L17">
        <v>-12.317375</v>
      </c>
      <c r="M17">
        <v>-76.82285</v>
      </c>
      <c r="N17">
        <f>HYPERLINK("https://www.google.com/maps/search/?api=1&amp;query=-12.317375,-76.82285","Punta Hermosa, Lima")</f>
      </c>
      <c r="O17" t="str">
        <v>Vehículo encendido</v>
      </c>
      <c r="P17">
        <v>1051661.4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90</v>
      </c>
      <c r="AB17" t="str">
        <v>18/09/2026</v>
      </c>
      <c r="AC17" t="str">
        <v>09:26:31</v>
      </c>
      <c r="AD17">
        <f>IF("NOGPS"="NOGPS","GPS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09:38:26</v>
      </c>
      <c r="AK17" t="str">
        <v>09:38:26</v>
      </c>
      <c r="AL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/>
      </c>
      <c r="J18" t="str">
        <v>18/09/2026</v>
      </c>
      <c r="K18" t="str">
        <v>09:40:44</v>
      </c>
      <c r="L18">
        <v>-12.317896</v>
      </c>
      <c r="M18">
        <v>-76.824356</v>
      </c>
      <c r="N18">
        <f>HYPERLINK("https://www.google.com/maps/search/?api=1&amp;query=-12.317896,-76.824356","Punta Hermosa, Lima")</f>
      </c>
      <c r="O18" t="str">
        <v>Vehículo apagado</v>
      </c>
      <c r="P18">
        <v>1051661.8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18/09/2026</v>
      </c>
      <c r="AC18" t="str">
        <v>09:40:46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09:40:52</v>
      </c>
      <c r="AK18" t="str">
        <v>09:40:52</v>
      </c>
      <c r="AL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18/09/2026</v>
      </c>
      <c r="K19" t="str">
        <v>09:49:04</v>
      </c>
      <c r="L19">
        <v>-12.317896</v>
      </c>
      <c r="M19">
        <v>-76.824356</v>
      </c>
      <c r="N19">
        <f>HYPERLINK("https://www.google.com/maps/search/?api=1&amp;query=-12.317896,-76.824356","Punta Hermosa, Lima")</f>
      </c>
      <c r="O19" t="str">
        <v>Vehículo encendido</v>
      </c>
      <c r="P19">
        <v>1051661.8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18/09/2026</v>
      </c>
      <c r="AC19" t="str">
        <v>09:40:46</v>
      </c>
      <c r="AD19">
        <f>IF("NOGPS"="NOGPS","GPS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09:49:12</v>
      </c>
      <c r="AK19" t="str">
        <v>09:49:12</v>
      </c>
      <c r="AL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18/09/2026</v>
      </c>
      <c r="K20" t="str">
        <v>09:52:22</v>
      </c>
      <c r="L20">
        <v>-12.317528</v>
      </c>
      <c r="M20">
        <v>-76.824394</v>
      </c>
      <c r="N20">
        <f>HYPERLINK("https://www.google.com/maps/search/?api=1&amp;query=-12.317528,-76.824394","Punta Hermosa, Lima")</f>
      </c>
      <c r="O20" t="str">
        <v>Vehículo apagado</v>
      </c>
      <c r="P20">
        <v>1051661.9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18/09/2026</v>
      </c>
      <c r="AC20" t="str">
        <v>09:52:24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09:52:47</v>
      </c>
      <c r="AK20" t="str">
        <v>09:52:47</v>
      </c>
      <c r="AL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/>
      </c>
      <c r="J21" t="str">
        <v>18/09/2026</v>
      </c>
      <c r="K21" t="str">
        <v>10:40:07</v>
      </c>
      <c r="L21">
        <v>-12.317528</v>
      </c>
      <c r="M21">
        <v>-76.824394</v>
      </c>
      <c r="N21">
        <f>HYPERLINK("https://www.google.com/maps/search/?api=1&amp;query=-12.317528,-76.824394","Punta Hermosa, Lima")</f>
      </c>
      <c r="O21" t="str">
        <v>Vehículo encendido</v>
      </c>
      <c r="P21">
        <v>1051661.9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18/09/2026</v>
      </c>
      <c r="AC21" t="str">
        <v>10:20:07</v>
      </c>
      <c r="AD21">
        <f>IF("NOGPS"="NOGPS","GPS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10:40:27</v>
      </c>
      <c r="AK21" t="str">
        <v>10:40:27</v>
      </c>
      <c r="AL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 xml:space="preserve"> </v>
      </c>
      <c r="J22" t="str">
        <v>18/09/2026</v>
      </c>
      <c r="K22" t="str">
        <v>10:47:00</v>
      </c>
      <c r="L22">
        <v>-12.317533</v>
      </c>
      <c r="M22">
        <v>-76.82993</v>
      </c>
      <c r="N22">
        <f>HYPERLINK("https://www.google.com/maps/search/?api=1&amp;query=-12.317533,-76.82993","Punta Hermosa, Lima")</f>
      </c>
      <c r="O22" t="str">
        <v>Salió de zona</v>
      </c>
      <c r="P22">
        <v>1051662.8</v>
      </c>
      <c r="Q22" t="str">
        <v>MASS BSF 1</v>
      </c>
      <c r="R22">
        <v>14.2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18/09/2026</v>
      </c>
      <c r="AC22" t="str">
        <v>10:46:59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10:47:06</v>
      </c>
      <c r="AK22" t="str">
        <v>10:47:06</v>
      </c>
      <c r="AL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 xml:space="preserve"> </v>
      </c>
      <c r="J23" t="str">
        <v>18/09/2026</v>
      </c>
      <c r="K23" t="str">
        <v>10:47:00</v>
      </c>
      <c r="L23">
        <v>-12.317533</v>
      </c>
      <c r="M23">
        <v>-76.82993</v>
      </c>
      <c r="N23">
        <f>HYPERLINK("https://www.google.com/maps/search/?api=1&amp;query=-12.317533,-76.82993","Punta Hermosa, Lima")</f>
      </c>
      <c r="O23" t="str">
        <v>Salió de zona</v>
      </c>
      <c r="P23">
        <v>1051662.8</v>
      </c>
      <c r="Q23" t="str">
        <v>MASS BSF 1</v>
      </c>
      <c r="R23">
        <v>14.2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18/09/2026</v>
      </c>
      <c r="AC23" t="str">
        <v>10:46:59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10:47:07</v>
      </c>
      <c r="AK23" t="str">
        <v>10:47:07</v>
      </c>
      <c r="AL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/>
      </c>
      <c r="J24" t="str">
        <v>18/09/2026</v>
      </c>
      <c r="K24" t="str">
        <v>11:15:02</v>
      </c>
      <c r="L24">
        <v>-12.237642</v>
      </c>
      <c r="M24">
        <v>-76.93679</v>
      </c>
      <c r="N24">
        <f>HYPERLINK("https://www.google.com/maps/search/?api=1&amp;query=-12.237642,-76.93679","Avenida 200 Millas, Villa El Salvador, Lima")</f>
      </c>
      <c r="O24" t="str">
        <v>Vehículo apagado</v>
      </c>
      <c r="P24">
        <v>1051680.2</v>
      </c>
      <c r="Q24" t="str">
        <v/>
      </c>
      <c r="R24">
        <v>0.4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18/09/2026</v>
      </c>
      <c r="AC24" t="str">
        <v>11:15:09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11:15:28</v>
      </c>
      <c r="AK24" t="str">
        <v>11:15:28</v>
      </c>
      <c r="AL24" t="str">
        <v/>
      </c>
    </row>
    <row r="25">
      <c r="A25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/>
      </c>
      <c r="J25" t="str">
        <v>18/09/2026</v>
      </c>
      <c r="K25" t="str">
        <v>11:48:46</v>
      </c>
      <c r="L25">
        <v>-12.237642</v>
      </c>
      <c r="M25">
        <v>-76.93679</v>
      </c>
      <c r="N25">
        <f>HYPERLINK("https://www.google.com/maps/search/?api=1&amp;query=-12.237642,-76.93679","Avenida 200 Millas, Villa El Salvador, Lima")</f>
      </c>
      <c r="O25" t="str">
        <v>Vehículo encendido</v>
      </c>
      <c r="P25">
        <v>1051680.2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90</v>
      </c>
      <c r="AB25" t="str">
        <v>18/09/2026</v>
      </c>
      <c r="AC25" t="str">
        <v>11:43:08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11:49:09</v>
      </c>
      <c r="AK25" t="str">
        <v>11:49:09</v>
      </c>
      <c r="AL25" t="str">
        <v/>
      </c>
    </row>
    <row r="26">
      <c r="A26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/>
      </c>
      <c r="J26" t="str">
        <v>18/09/2026</v>
      </c>
      <c r="K26" t="str">
        <v>12:02:09</v>
      </c>
      <c r="L26">
        <v>-12.215275</v>
      </c>
      <c r="M26">
        <v>-76.93884</v>
      </c>
      <c r="N26">
        <f>HYPERLINK("https://www.google.com/maps/search/?api=1&amp;query=-12.215275,-76.93884","Avenida Los Alamos, Villa El Salvador, Lima")</f>
      </c>
      <c r="O26" t="str">
        <v>Vehículo apagado</v>
      </c>
      <c r="P26">
        <v>1051683.2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90</v>
      </c>
      <c r="AB26" t="str">
        <v>18/09/2026</v>
      </c>
      <c r="AC26" t="str">
        <v>12:02:10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12:02:25</v>
      </c>
      <c r="AK26" t="str">
        <v>12:02:25</v>
      </c>
      <c r="AL26" t="str">
        <v/>
      </c>
    </row>
    <row r="27">
      <c r="A27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/>
      </c>
      <c r="J27" t="str">
        <v>18/09/2026</v>
      </c>
      <c r="K27" t="str">
        <v>12:10:05</v>
      </c>
      <c r="L27">
        <v>-12.215275</v>
      </c>
      <c r="M27">
        <v>-76.93884</v>
      </c>
      <c r="N27">
        <f>HYPERLINK("https://www.google.com/maps/search/?api=1&amp;query=-12.215275,-76.93884","Avenida Los Alamos, Villa El Salvador, Lima")</f>
      </c>
      <c r="O27" t="str">
        <v>Vehículo encendido</v>
      </c>
      <c r="P27">
        <v>1051683.2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90</v>
      </c>
      <c r="AB27" t="str">
        <v>18/09/2026</v>
      </c>
      <c r="AC27" t="str">
        <v>12:02:10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12:10:18</v>
      </c>
      <c r="AK27" t="str">
        <v>12:10:18</v>
      </c>
      <c r="AL27" t="str">
        <v/>
      </c>
    </row>
    <row r="28">
      <c r="A28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/>
      </c>
      <c r="J28" t="str">
        <v>18/09/2026</v>
      </c>
      <c r="K28" t="str">
        <v>12:15:14</v>
      </c>
      <c r="L28">
        <v>-12.212209</v>
      </c>
      <c r="M28">
        <v>-76.93457</v>
      </c>
      <c r="N28">
        <f>HYPERLINK("https://www.google.com/maps/search/?api=1&amp;query=-12.212209,-76.93457","Avenida César Vallejo, Villa El Salvador, Lima")</f>
      </c>
      <c r="O28" t="str">
        <v>Vehículo apagado</v>
      </c>
      <c r="P28">
        <v>1051683.9</v>
      </c>
      <c r="Q28" t="str">
        <v/>
      </c>
      <c r="R28">
        <v>1.1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90</v>
      </c>
      <c r="AB28" t="str">
        <v>18/09/2026</v>
      </c>
      <c r="AC28" t="str">
        <v>12:15:06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12:15:19</v>
      </c>
      <c r="AK28" t="str">
        <v>12:15:19</v>
      </c>
      <c r="AL28" t="str">
        <v/>
      </c>
    </row>
    <row r="29">
      <c r="A29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/>
      </c>
      <c r="J29" t="str">
        <v>18/09/2026</v>
      </c>
      <c r="K29" t="str">
        <v>12:20:06</v>
      </c>
      <c r="L29">
        <v>-12.212209</v>
      </c>
      <c r="M29">
        <v>-76.93457</v>
      </c>
      <c r="N29">
        <f>HYPERLINK("https://www.google.com/maps/search/?api=1&amp;query=-12.212209,-76.93457","Avenida César Vallejo, Villa El Salvador, Lima")</f>
      </c>
      <c r="O29" t="str">
        <v>Vehículo encendido</v>
      </c>
      <c r="P29">
        <v>1051683.9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90</v>
      </c>
      <c r="AB29" t="str">
        <v>18/09/2026</v>
      </c>
      <c r="AC29" t="str">
        <v>12:15:17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12:20:16</v>
      </c>
      <c r="AK29" t="str">
        <v>12:20:16</v>
      </c>
      <c r="AL29" t="str">
        <v/>
      </c>
    </row>
    <row r="30">
      <c r="A30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/>
      </c>
      <c r="J30" t="str">
        <v>18/09/2026</v>
      </c>
      <c r="K30" t="str">
        <v>12:20:38</v>
      </c>
      <c r="L30">
        <v>-12.212222</v>
      </c>
      <c r="M30">
        <v>-76.93455</v>
      </c>
      <c r="N30">
        <f>HYPERLINK("https://www.google.com/maps/search/?api=1&amp;query=-12.212222,-76.93455","Avenida César Vallejo, Villa El Salvador, Lima")</f>
      </c>
      <c r="O30" t="str">
        <v>Vehículo apagado</v>
      </c>
      <c r="P30">
        <v>1051683.9</v>
      </c>
      <c r="Q30" t="str">
        <v/>
      </c>
      <c r="R30">
        <v>1.6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90</v>
      </c>
      <c r="AB30" t="str">
        <v>18/09/2026</v>
      </c>
      <c r="AC30" t="str">
        <v>12:20:23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12:20:53</v>
      </c>
      <c r="AK30" t="str">
        <v>12:20:53</v>
      </c>
      <c r="AL30" t="str">
        <v/>
      </c>
    </row>
    <row r="31">
      <c r="A31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/>
      </c>
      <c r="J31" t="str">
        <v>18/09/2026</v>
      </c>
      <c r="K31" t="str">
        <v>12:45:33</v>
      </c>
      <c r="L31">
        <v>-12.212177</v>
      </c>
      <c r="M31">
        <v>-76.934525</v>
      </c>
      <c r="N31">
        <f>HYPERLINK("https://www.google.com/maps/search/?api=1&amp;query=-12.212177,-76.934525","Avenida César Vallejo, Villa El Salvador, Lima")</f>
      </c>
      <c r="O31" t="str">
        <v>Vehículo encendido</v>
      </c>
      <c r="P31">
        <v>1051683.9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90</v>
      </c>
      <c r="AB31" t="str">
        <v>18/09/2026</v>
      </c>
      <c r="AC31" t="str">
        <v>12:20:40</v>
      </c>
      <c r="AD31">
        <f>IF("NOGPS"="NOGPS","GPS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12:45:57</v>
      </c>
      <c r="AK31" t="str">
        <v>12:45:57</v>
      </c>
      <c r="AL31" t="str">
        <v/>
      </c>
    </row>
    <row r="32">
      <c r="A32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/>
      </c>
      <c r="J32" t="str">
        <v>18/09/2026</v>
      </c>
      <c r="K32" t="str">
        <v>12:45:35</v>
      </c>
      <c r="L32">
        <v>-12.212177</v>
      </c>
      <c r="M32">
        <v>-76.934525</v>
      </c>
      <c r="N32">
        <f>HYPERLINK("https://www.google.com/maps/search/?api=1&amp;query=-12.212177,-76.934525","Avenida César Vallejo, Villa El Salvador, Lima")</f>
      </c>
      <c r="O32" t="str">
        <v>Vehículo apagado</v>
      </c>
      <c r="P32">
        <v>1051683.9</v>
      </c>
      <c r="Q32" t="str">
        <v/>
      </c>
      <c r="R32">
        <v>0.6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90</v>
      </c>
      <c r="AB32" t="str">
        <v>18/09/2026</v>
      </c>
      <c r="AC32" t="str">
        <v>12:20:40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12:45:57</v>
      </c>
      <c r="AK32" t="str">
        <v>12:45:57</v>
      </c>
      <c r="AL32" t="str">
        <v/>
      </c>
    </row>
    <row r="33">
      <c r="A33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/>
      </c>
      <c r="J33" t="str">
        <v>18/09/2026</v>
      </c>
      <c r="K33" t="str">
        <v>12:45:53</v>
      </c>
      <c r="L33">
        <v>-12.212356</v>
      </c>
      <c r="M33">
        <v>-76.93454</v>
      </c>
      <c r="N33">
        <f>HYPERLINK("https://www.google.com/maps/search/?api=1&amp;query=-12.212356,-76.93454","Avenida César Vallejo, Villa El Salvador, Lima")</f>
      </c>
      <c r="O33" t="str">
        <v>Vehículo encendido</v>
      </c>
      <c r="P33">
        <v>1051683.9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18/09/2026</v>
      </c>
      <c r="AC33" t="str">
        <v>12:45:56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12:46:08</v>
      </c>
      <c r="AK33" t="str">
        <v>12:46:08</v>
      </c>
      <c r="AL33" t="str">
        <v/>
      </c>
    </row>
    <row r="34">
      <c r="A34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/>
      </c>
      <c r="J34" t="str">
        <v>18/09/2026</v>
      </c>
      <c r="K34" t="str">
        <v>13:03:00</v>
      </c>
      <c r="L34">
        <v>-12.260375</v>
      </c>
      <c r="M34">
        <v>-76.91488</v>
      </c>
      <c r="N34">
        <f>HYPERLINK("https://www.google.com/maps/search/?api=1&amp;query=-12.260375,-76.91488","Carretera Panamericana Sur, Lurín, Lima")</f>
      </c>
      <c r="O34" t="str">
        <v>Excedió el límite de velocidad</v>
      </c>
      <c r="P34">
        <v>1051693.8</v>
      </c>
      <c r="Q34" t="str">
        <v/>
      </c>
      <c r="R34">
        <v>88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18/09/2026</v>
      </c>
      <c r="AC34" t="str">
        <v>13:02:59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13:03:15</v>
      </c>
      <c r="AK34" t="str">
        <v>13:03:15</v>
      </c>
      <c r="AL34" t="str">
        <v/>
      </c>
    </row>
    <row r="35">
      <c r="A35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/>
      </c>
      <c r="J35" t="str">
        <v>18/09/2026</v>
      </c>
      <c r="K35" t="str">
        <v>13:04:33</v>
      </c>
      <c r="L35">
        <v>-12.270759</v>
      </c>
      <c r="M35">
        <v>-76.89844</v>
      </c>
      <c r="N35">
        <f>HYPERLINK("https://www.google.com/maps/search/?api=1&amp;query=-12.270759,-76.89844","Carretera Panamericana Sur, Lurín, Lima")</f>
      </c>
      <c r="O35" t="str">
        <v>Excedió el límite de velocidad</v>
      </c>
      <c r="P35">
        <v>1051695.8</v>
      </c>
      <c r="Q35" t="str">
        <v/>
      </c>
      <c r="R35">
        <v>84.7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18/09/2026</v>
      </c>
      <c r="AC35" t="str">
        <v>13:04:32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13:04:52</v>
      </c>
      <c r="AK35" t="str">
        <v>13:04:52</v>
      </c>
      <c r="AL35" t="str">
        <v/>
      </c>
    </row>
    <row r="36">
      <c r="A36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/>
      </c>
      <c r="J36" t="str">
        <v>18/09/2026</v>
      </c>
      <c r="K36" t="str">
        <v>13:05:12</v>
      </c>
      <c r="L36">
        <v>-12.275205</v>
      </c>
      <c r="M36">
        <v>-76.89135</v>
      </c>
      <c r="N36">
        <f>HYPERLINK("https://www.google.com/maps/search/?api=1&amp;query=-12.275205,-76.89135","Carretera Panamericana Sur, Lurín, Lima")</f>
      </c>
      <c r="O36" t="str">
        <v>Excedió el límite de velocidad</v>
      </c>
      <c r="P36">
        <v>1051696.8</v>
      </c>
      <c r="Q36" t="str">
        <v/>
      </c>
      <c r="R36">
        <v>83.6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18/09/2026</v>
      </c>
      <c r="AC36" t="str">
        <v>13:05:11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13:05:24</v>
      </c>
      <c r="AK36" t="str">
        <v>13:05:24</v>
      </c>
      <c r="AL36" t="str">
        <v/>
      </c>
    </row>
    <row r="37">
      <c r="A37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/>
      </c>
      <c r="J37" t="str">
        <v>18/09/2026</v>
      </c>
      <c r="K37" t="str">
        <v>13:05:39</v>
      </c>
      <c r="L37">
        <v>-12.278197</v>
      </c>
      <c r="M37">
        <v>-76.8866</v>
      </c>
      <c r="N37">
        <f>HYPERLINK("https://www.google.com/maps/search/?api=1&amp;query=-12.278197,-76.8866","Carretera Panamericana Sur, Lurín, Lima")</f>
      </c>
      <c r="O37" t="str">
        <v>Excedió el límite de velocidad</v>
      </c>
      <c r="P37">
        <v>1051697.4</v>
      </c>
      <c r="Q37" t="str">
        <v/>
      </c>
      <c r="R37">
        <v>85.6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18/09/2026</v>
      </c>
      <c r="AC37" t="str">
        <v>13:05:38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13:06:28</v>
      </c>
      <c r="AK37" t="str">
        <v>13:06:28</v>
      </c>
      <c r="AL37" t="str">
        <v/>
      </c>
    </row>
    <row r="38">
      <c r="A38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/>
      </c>
      <c r="J38" t="str">
        <v>18/09/2026</v>
      </c>
      <c r="K38" t="str">
        <v>13:06:21</v>
      </c>
      <c r="L38">
        <v>-12.283088</v>
      </c>
      <c r="M38">
        <v>-76.87882</v>
      </c>
      <c r="N38">
        <f>HYPERLINK("https://www.google.com/maps/search/?api=1&amp;query=-12.283088,-76.87882","Carretera Panamericana Sur, Lurín, Lima")</f>
      </c>
      <c r="O38" t="str">
        <v>Excedió el límite de velocidad</v>
      </c>
      <c r="P38">
        <v>1051698.4</v>
      </c>
      <c r="Q38" t="str">
        <v/>
      </c>
      <c r="R38">
        <v>83.9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18/09/2026</v>
      </c>
      <c r="AC38" t="str">
        <v>13:06:20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13:09:19</v>
      </c>
      <c r="AK38" t="str">
        <v>13:09:19</v>
      </c>
      <c r="AL38" t="str">
        <v/>
      </c>
    </row>
    <row r="39">
      <c r="A39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/>
      </c>
      <c r="J39" t="str">
        <v>18/09/2026</v>
      </c>
      <c r="K39" t="str">
        <v>13:08:09</v>
      </c>
      <c r="L39">
        <v>-12.295405</v>
      </c>
      <c r="M39">
        <v>-76.85921</v>
      </c>
      <c r="N39">
        <f>HYPERLINK("https://www.google.com/maps/search/?api=1&amp;query=-12.295405,-76.85921","Carretera Panamericana Sur, Lurín, Lima")</f>
      </c>
      <c r="O39" t="str">
        <v>Excedió el límite de velocidad</v>
      </c>
      <c r="P39">
        <v>1051700.9</v>
      </c>
      <c r="Q39" t="str">
        <v/>
      </c>
      <c r="R39">
        <v>86.3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18/09/2026</v>
      </c>
      <c r="AC39" t="str">
        <v>13:08:08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13:09:36</v>
      </c>
      <c r="AK39" t="str">
        <v>13:09:36</v>
      </c>
      <c r="AL39" t="str">
        <v/>
      </c>
    </row>
    <row r="40">
      <c r="A40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/>
      </c>
      <c r="J40" t="str">
        <v>18/09/2026</v>
      </c>
      <c r="K40" t="str">
        <v>13:09:24</v>
      </c>
      <c r="L40">
        <v>-12.301882</v>
      </c>
      <c r="M40">
        <v>-76.84505</v>
      </c>
      <c r="N40">
        <f>HYPERLINK("https://www.google.com/maps/search/?api=1&amp;query=-12.301882,-76.84505","Carretera Panamericana Sur, Lurín, Lima")</f>
      </c>
      <c r="O40" t="str">
        <v>Excedió el límite de velocidad</v>
      </c>
      <c r="P40">
        <v>1051702.6</v>
      </c>
      <c r="Q40" t="str">
        <v/>
      </c>
      <c r="R40">
        <v>80.2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18/09/2026</v>
      </c>
      <c r="AC40" t="str">
        <v>13:09:23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13:09:42</v>
      </c>
      <c r="AK40" t="str">
        <v>13:09:42</v>
      </c>
      <c r="AL40" t="str">
        <v/>
      </c>
    </row>
    <row r="41">
      <c r="A41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/>
      </c>
      <c r="J41" t="str">
        <v>18/09/2026</v>
      </c>
      <c r="K41" t="str">
        <v>13:12:54</v>
      </c>
      <c r="L41">
        <v>-12.329623</v>
      </c>
      <c r="M41">
        <v>-76.82251</v>
      </c>
      <c r="N41">
        <f>HYPERLINK("https://www.google.com/maps/search/?api=1&amp;query=-12.329623,-76.82251","Carretera Panamericana Sur, Punta Hermosa, Lima")</f>
      </c>
      <c r="O41" t="str">
        <v>Exceso de velocidad en segmento vial</v>
      </c>
      <c r="P41">
        <v>1051706.8</v>
      </c>
      <c r="Q41" t="str">
        <v/>
      </c>
      <c r="R41">
        <v>82.1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18/09/2026</v>
      </c>
      <c r="AC41" t="str">
        <v>13:12:50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13:13:14</v>
      </c>
      <c r="AK41" t="str">
        <v>13:13:14</v>
      </c>
      <c r="AL41" t="str">
        <v/>
      </c>
    </row>
    <row r="42">
      <c r="A42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/>
      </c>
      <c r="J42" t="str">
        <v>18/09/2026</v>
      </c>
      <c r="K42" t="str">
        <v>13:12:57</v>
      </c>
      <c r="L42">
        <v>-12.330704</v>
      </c>
      <c r="M42">
        <v>-76.82181</v>
      </c>
      <c r="N42">
        <f>HYPERLINK("https://www.google.com/maps/search/?api=1&amp;query=-12.330704,-76.82181","Carretera Panamericana Sur, Punta Hermosa, Lima")</f>
      </c>
      <c r="O42" t="str">
        <v>Excedió el límite de velocidad</v>
      </c>
      <c r="P42">
        <v>1051706.8</v>
      </c>
      <c r="Q42" t="str">
        <v/>
      </c>
      <c r="R42">
        <v>87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18/09/2026</v>
      </c>
      <c r="AC42" t="str">
        <v>13:12:56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13:13:08</v>
      </c>
      <c r="AK42" t="str">
        <v>13:13:08</v>
      </c>
      <c r="AL42" t="str">
        <v/>
      </c>
    </row>
    <row r="43">
      <c r="A43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 xml:space="preserve"> </v>
      </c>
      <c r="J43" t="str">
        <v>18/09/2026</v>
      </c>
      <c r="K43" t="str">
        <v>13:16:54</v>
      </c>
      <c r="L43">
        <v>-12.317616</v>
      </c>
      <c r="M43">
        <v>-76.829666</v>
      </c>
      <c r="N43">
        <f>HYPERLINK("https://www.google.com/maps/search/?api=1&amp;query=-12.317616,-76.829666","Punta Hermosa, Lima")</f>
      </c>
      <c r="O43" t="str">
        <v>Llegó a la zona</v>
      </c>
      <c r="P43">
        <v>1051709.1</v>
      </c>
      <c r="Q43" t="str">
        <v>MASS BSF 1</v>
      </c>
      <c r="R43">
        <v>6.3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18/09/2026</v>
      </c>
      <c r="AC43" t="str">
        <v>13:16:50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13:17:05</v>
      </c>
      <c r="AK43" t="str">
        <v>13:17:05</v>
      </c>
      <c r="AL43" t="str">
        <v/>
      </c>
    </row>
    <row r="44">
      <c r="A44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/>
      </c>
      <c r="J44" t="str">
        <v>18/09/2026</v>
      </c>
      <c r="K44" t="str">
        <v>13:22:03</v>
      </c>
      <c r="L44">
        <v>-12.317452</v>
      </c>
      <c r="M44">
        <v>-76.8229</v>
      </c>
      <c r="N44">
        <f>HYPERLINK("https://www.google.com/maps/search/?api=1&amp;query=-12.317452,-76.8229","Punta Hermosa, Lima")</f>
      </c>
      <c r="O44" t="str">
        <v>Vehículo apagado</v>
      </c>
      <c r="P44">
        <v>1051711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90</v>
      </c>
      <c r="AB44" t="str">
        <v>18/09/2026</v>
      </c>
      <c r="AC44" t="str">
        <v>13:21:50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13:22:14</v>
      </c>
      <c r="AK44" t="str">
        <v>13:22:14</v>
      </c>
      <c r="AL44" t="str">
        <v/>
      </c>
    </row>
    <row r="45">
      <c r="A45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/>
      </c>
      <c r="J45" t="str">
        <v>18/09/2026</v>
      </c>
      <c r="K45" t="str">
        <v>13:40:07</v>
      </c>
      <c r="L45">
        <v>-12.317452</v>
      </c>
      <c r="M45">
        <v>-76.8229</v>
      </c>
      <c r="N45">
        <f>HYPERLINK("https://www.google.com/maps/search/?api=1&amp;query=-12.317452,-76.8229","Punta Hermosa, Lima")</f>
      </c>
      <c r="O45" t="str">
        <v>Vehículo encendido</v>
      </c>
      <c r="P45">
        <v>1051711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90</v>
      </c>
      <c r="AB45" t="str">
        <v>18/09/2026</v>
      </c>
      <c r="AC45" t="str">
        <v>13:22:07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13:40:27</v>
      </c>
      <c r="AK45" t="str">
        <v>13:40:27</v>
      </c>
      <c r="AL45" t="str">
        <v/>
      </c>
    </row>
    <row r="46">
      <c r="A46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/>
      </c>
      <c r="J46" t="str">
        <v>18/09/2026</v>
      </c>
      <c r="K46" t="str">
        <v>13:43:33</v>
      </c>
      <c r="L46">
        <v>-12.317722</v>
      </c>
      <c r="M46">
        <v>-76.82444</v>
      </c>
      <c r="N46">
        <f>HYPERLINK("https://www.google.com/maps/search/?api=1&amp;query=-12.317722,-76.82444","Punta Hermosa, Lima")</f>
      </c>
      <c r="O46" t="str">
        <v>Vehículo apagado</v>
      </c>
      <c r="P46">
        <v>1051711.2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90</v>
      </c>
      <c r="AB46" t="str">
        <v>18/09/2026</v>
      </c>
      <c r="AC46" t="str">
        <v>13:43:36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13:44:09</v>
      </c>
      <c r="AK46" t="str">
        <v>13:44:09</v>
      </c>
      <c r="AL46" t="str">
        <v/>
      </c>
    </row>
    <row r="47">
      <c r="A47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/>
      </c>
      <c r="J47" t="str">
        <v>18/09/2026</v>
      </c>
      <c r="K47" t="str">
        <v>16:24:29</v>
      </c>
      <c r="L47">
        <v>-12.317826</v>
      </c>
      <c r="M47">
        <v>-76.824455</v>
      </c>
      <c r="N47">
        <f>HYPERLINK("https://www.google.com/maps/search/?api=1&amp;query=-12.317826,-76.824455","Punta Hermosa, Lima")</f>
      </c>
      <c r="O47" t="str">
        <v>Vehículo encendido</v>
      </c>
      <c r="P47">
        <v>1051711.2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90</v>
      </c>
      <c r="AB47" t="str">
        <v>18/09/2026</v>
      </c>
      <c r="AC47" t="str">
        <v>16:11:33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16:24:46</v>
      </c>
      <c r="AK47" t="str">
        <v>16:24:46</v>
      </c>
      <c r="AL47" t="str">
        <v/>
      </c>
    </row>
    <row r="48">
      <c r="A48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/>
      </c>
      <c r="J48" t="str">
        <v>18/09/2026</v>
      </c>
      <c r="K48" t="str">
        <v>16:27:47</v>
      </c>
      <c r="L48">
        <v>-12.318037</v>
      </c>
      <c r="M48">
        <v>-76.824775</v>
      </c>
      <c r="N48">
        <f>HYPERLINK("https://www.google.com/maps/search/?api=1&amp;query=-12.318037,-76.824775","Punta Hermosa, Lima")</f>
      </c>
      <c r="O48" t="str">
        <v>Vehículo apagado</v>
      </c>
      <c r="P48">
        <v>1051711.4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90</v>
      </c>
      <c r="AB48" t="str">
        <v>18/09/2026</v>
      </c>
      <c r="AC48" t="str">
        <v>16:26:29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16:27:55</v>
      </c>
      <c r="AK48" t="str">
        <v>16:27:55</v>
      </c>
      <c r="AL48" t="str">
        <v/>
      </c>
    </row>
  </sheetData>
  <ignoredErrors>
    <ignoredError numberStoredAsText="1" sqref="A1:AL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