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18/09/2026</v>
      </c>
      <c r="K2" t="str">
        <v>05:28:52</v>
      </c>
      <c r="L2">
        <v>-12.193248</v>
      </c>
      <c r="M2">
        <v>-76.92698</v>
      </c>
      <c r="N2">
        <f>HYPERLINK("https://www.google.com/maps/search/?api=1&amp;query=-12.193248,-76.92698","Villa María del Triunfo, Lima")</f>
      </c>
      <c r="O2" t="str">
        <v>Vehículo encendido</v>
      </c>
      <c r="P2">
        <v>269419.4</v>
      </c>
      <c r="Q2" t="str">
        <v/>
      </c>
      <c r="R2">
        <v>0</v>
      </c>
      <c r="S2">
        <v>75.1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18/09/2026</v>
      </c>
      <c r="AC2" t="str">
        <v>04:59:03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05:29:28</v>
      </c>
      <c r="AK2" t="str">
        <v>05:29:28</v>
      </c>
      <c r="AL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/>
      </c>
      <c r="J3" t="str">
        <v>18/09/2026</v>
      </c>
      <c r="K3" t="str">
        <v>05:38:51</v>
      </c>
      <c r="L3">
        <v>-12.18676</v>
      </c>
      <c r="M3">
        <v>-76.929756</v>
      </c>
      <c r="N3">
        <f>HYPERLINK("https://www.google.com/maps/search/?api=1&amp;query=-12.18676,-76.929756","Jirón Túpac Yupanqui, Villa María del Triunfo, Lima")</f>
      </c>
      <c r="O3" t="str">
        <v>Vehículo apagado</v>
      </c>
      <c r="P3">
        <v>269420.7</v>
      </c>
      <c r="Q3" t="str">
        <v/>
      </c>
      <c r="R3">
        <v>0</v>
      </c>
      <c r="S3">
        <v>75.27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18/09/2026</v>
      </c>
      <c r="AC3" t="str">
        <v>05:38:53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05:39:17</v>
      </c>
      <c r="AK3" t="str">
        <v>05:39:17</v>
      </c>
      <c r="AL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/>
      </c>
      <c r="J4" t="str">
        <v>18/09/2026</v>
      </c>
      <c r="K4" t="str">
        <v>05:55:21</v>
      </c>
      <c r="L4">
        <v>-12.18676</v>
      </c>
      <c r="M4">
        <v>-76.929756</v>
      </c>
      <c r="N4">
        <f>HYPERLINK("https://www.google.com/maps/search/?api=1&amp;query=-12.18676,-76.929756","Jirón Túpac Yupanqui, Villa María del Triunfo, Lima")</f>
      </c>
      <c r="O4" t="str">
        <v>Vehículo encendido</v>
      </c>
      <c r="P4">
        <v>269420.7</v>
      </c>
      <c r="Q4" t="str">
        <v/>
      </c>
      <c r="R4">
        <v>0</v>
      </c>
      <c r="S4">
        <v>75.27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18/09/2026</v>
      </c>
      <c r="AC4" t="str">
        <v>05:38:53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05:55:35</v>
      </c>
      <c r="AK4" t="str">
        <v>05:55:35</v>
      </c>
      <c r="AL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/>
      </c>
      <c r="J5" t="str">
        <v>18/09/2026</v>
      </c>
      <c r="K5" t="str">
        <v>06:04:56</v>
      </c>
      <c r="L5">
        <v>-12.214228</v>
      </c>
      <c r="M5">
        <v>-76.92263</v>
      </c>
      <c r="N5">
        <f>HYPERLINK("https://www.google.com/maps/search/?api=1&amp;query=-12.214228,-76.92263","Avenida Pachacútec, Villa El Salvador, Lima")</f>
      </c>
      <c r="O5" t="str">
        <v>Vehículo apagado</v>
      </c>
      <c r="P5">
        <v>269424.6</v>
      </c>
      <c r="Q5" t="str">
        <v/>
      </c>
      <c r="R5">
        <v>0</v>
      </c>
      <c r="S5">
        <v>75.43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18/09/2026</v>
      </c>
      <c r="AC5" t="str">
        <v>06:04:59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06:05:21</v>
      </c>
      <c r="AK5" t="str">
        <v>06:05:21</v>
      </c>
      <c r="AL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/>
      </c>
      <c r="J6" t="str">
        <v>18/09/2026</v>
      </c>
      <c r="K6" t="str">
        <v>06:14:04</v>
      </c>
      <c r="L6">
        <v>-12.214228</v>
      </c>
      <c r="M6">
        <v>-76.92263</v>
      </c>
      <c r="N6">
        <f>HYPERLINK("https://www.google.com/maps/search/?api=1&amp;query=-12.214228,-76.92263","Avenida Pachacútec, Villa El Salvador, Lima")</f>
      </c>
      <c r="O6" t="str">
        <v>Vehículo encendido</v>
      </c>
      <c r="P6">
        <v>269424.6</v>
      </c>
      <c r="Q6" t="str">
        <v/>
      </c>
      <c r="R6">
        <v>0</v>
      </c>
      <c r="S6">
        <v>75.43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18/09/2026</v>
      </c>
      <c r="AC6" t="str">
        <v>06:04:59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06:14:26</v>
      </c>
      <c r="AK6" t="str">
        <v>06:14:26</v>
      </c>
      <c r="AL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/>
      </c>
      <c r="J7" t="str">
        <v>18/09/2026</v>
      </c>
      <c r="K7" t="str">
        <v>06:14:10</v>
      </c>
      <c r="L7">
        <v>-12.214289</v>
      </c>
      <c r="M7">
        <v>-76.922646</v>
      </c>
      <c r="N7">
        <f>HYPERLINK("https://www.google.com/maps/search/?api=1&amp;query=-12.214289,-76.922646","Avenida Pachacútec, Villa El Salvador, Lima")</f>
      </c>
      <c r="O7" t="str">
        <v>SOS</v>
      </c>
      <c r="P7">
        <v>269424.6</v>
      </c>
      <c r="Q7" t="str">
        <v/>
      </c>
      <c r="R7">
        <v>0</v>
      </c>
      <c r="S7">
        <v>75.43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18/09/2026</v>
      </c>
      <c r="AC7" t="str">
        <v>06:14:10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06:14:30</v>
      </c>
      <c r="AK7" t="str">
        <v>06:14:30</v>
      </c>
      <c r="AL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/>
      </c>
      <c r="J8" t="str">
        <v>18/09/2026</v>
      </c>
      <c r="K8" t="str">
        <v>06:38:29</v>
      </c>
      <c r="L8">
        <v>-12.326533</v>
      </c>
      <c r="M8">
        <v>-76.82463</v>
      </c>
      <c r="N8">
        <f>HYPERLINK("https://www.google.com/maps/search/?api=1&amp;query=-12.326533,-76.82463","Carretera Panamericana Sur, Punta Hermosa, Lima")</f>
      </c>
      <c r="O8" t="str">
        <v>SOS</v>
      </c>
      <c r="P8">
        <v>269445.9</v>
      </c>
      <c r="Q8" t="str">
        <v/>
      </c>
      <c r="R8">
        <v>71.1</v>
      </c>
      <c r="S8">
        <v>75.43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18/09/2026</v>
      </c>
      <c r="AC8" t="str">
        <v>06:38:28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06:38:49</v>
      </c>
      <c r="AK8" t="str">
        <v>06:38:49</v>
      </c>
      <c r="AL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18/09/2026</v>
      </c>
      <c r="K9" t="str">
        <v>06:40:41</v>
      </c>
      <c r="L9">
        <v>-12.332895</v>
      </c>
      <c r="M9">
        <v>-76.819885</v>
      </c>
      <c r="N9">
        <f>HYPERLINK("https://www.google.com/maps/search/?api=1&amp;query=-12.332895,-76.819885","Carretera Panamericana Sur, Punta Hermosa, Lima")</f>
      </c>
      <c r="O9" t="str">
        <v>Giro brusco</v>
      </c>
      <c r="P9">
        <v>269447.6</v>
      </c>
      <c r="Q9" t="str">
        <v/>
      </c>
      <c r="R9">
        <v>36.4</v>
      </c>
      <c r="S9">
        <v>75.43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18/09/2026</v>
      </c>
      <c r="AC9" t="str">
        <v>06:40:40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06:41:13</v>
      </c>
      <c r="AK9" t="str">
        <v>06:41:13</v>
      </c>
      <c r="AL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/>
      </c>
      <c r="J10" t="str">
        <v>18/09/2026</v>
      </c>
      <c r="K10" t="str">
        <v>06:52:53</v>
      </c>
      <c r="L10">
        <v>-12.317786</v>
      </c>
      <c r="M10">
        <v>-76.824265</v>
      </c>
      <c r="N10">
        <f>HYPERLINK("https://www.google.com/maps/search/?api=1&amp;query=-12.317786,-76.824265","Punta Hermosa, Lima")</f>
      </c>
      <c r="O10" t="str">
        <v>SOS</v>
      </c>
      <c r="P10">
        <v>269451.8</v>
      </c>
      <c r="Q10" t="str">
        <v/>
      </c>
      <c r="R10">
        <v>15.3</v>
      </c>
      <c r="S10">
        <v>75.43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18/09/2026</v>
      </c>
      <c r="AC10" t="str">
        <v>06:52:52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06:53:15</v>
      </c>
      <c r="AK10" t="str">
        <v>06:53:15</v>
      </c>
      <c r="AL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/>
      </c>
      <c r="J11" t="str">
        <v>18/09/2026</v>
      </c>
      <c r="K11" t="str">
        <v>06:53:14</v>
      </c>
      <c r="L11">
        <v>-12.317988</v>
      </c>
      <c r="M11">
        <v>-76.82414</v>
      </c>
      <c r="N11">
        <f>HYPERLINK("https://www.google.com/maps/search/?api=1&amp;query=-12.317988,-76.82414","Punta Hermosa, Lima")</f>
      </c>
      <c r="O11" t="str">
        <v>SOS</v>
      </c>
      <c r="P11">
        <v>269451.8</v>
      </c>
      <c r="Q11" t="str">
        <v/>
      </c>
      <c r="R11">
        <v>9.5</v>
      </c>
      <c r="S11">
        <v>75.43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18/09/2026</v>
      </c>
      <c r="AC11" t="str">
        <v>06:53:13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06:59:56</v>
      </c>
      <c r="AK11" t="str">
        <v>06:59:56</v>
      </c>
      <c r="AL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18/09/2026</v>
      </c>
      <c r="K12" t="str">
        <v>06:54:39</v>
      </c>
      <c r="L12">
        <v>-12.317373</v>
      </c>
      <c r="M12">
        <v>-76.82291</v>
      </c>
      <c r="N12">
        <f>HYPERLINK("https://www.google.com/maps/search/?api=1&amp;query=-12.317373,-76.82291","Punta Hermosa, Lima")</f>
      </c>
      <c r="O12" t="str">
        <v>Vehículo apagado</v>
      </c>
      <c r="P12">
        <v>269452</v>
      </c>
      <c r="Q12" t="str">
        <v/>
      </c>
      <c r="R12">
        <v>0</v>
      </c>
      <c r="S12">
        <v>76.12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18/09/2026</v>
      </c>
      <c r="AC12" t="str">
        <v>06:54:42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07:00:23</v>
      </c>
      <c r="AK12" t="str">
        <v>07:00:23</v>
      </c>
      <c r="AL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18/09/2026</v>
      </c>
      <c r="K13" t="str">
        <v>07:02:22</v>
      </c>
      <c r="L13">
        <v>-12.317373</v>
      </c>
      <c r="M13">
        <v>-76.82291</v>
      </c>
      <c r="N13">
        <f>HYPERLINK("https://www.google.com/maps/search/?api=1&amp;query=-12.317373,-76.82291","Punta Hermosa, Lima")</f>
      </c>
      <c r="O13" t="str">
        <v>SOS</v>
      </c>
      <c r="P13">
        <v>269452</v>
      </c>
      <c r="Q13" t="str">
        <v/>
      </c>
      <c r="R13">
        <v>0</v>
      </c>
      <c r="S13">
        <v>76.12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18/09/2026</v>
      </c>
      <c r="AC13" t="str">
        <v>07:02:21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07:02:59</v>
      </c>
      <c r="AK13" t="str">
        <v>07:02:59</v>
      </c>
      <c r="AL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18/09/2026</v>
      </c>
      <c r="K14" t="str">
        <v>07:03:39</v>
      </c>
      <c r="L14">
        <v>-12.317373</v>
      </c>
      <c r="M14">
        <v>-76.82291</v>
      </c>
      <c r="N14">
        <f>HYPERLINK("https://www.google.com/maps/search/?api=1&amp;query=-12.317373,-76.82291","Punta Hermosa, Lima")</f>
      </c>
      <c r="O14" t="str">
        <v>SOS</v>
      </c>
      <c r="P14">
        <v>269452</v>
      </c>
      <c r="Q14" t="str">
        <v/>
      </c>
      <c r="R14">
        <v>0</v>
      </c>
      <c r="S14">
        <v>76.12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18/09/2026</v>
      </c>
      <c r="AC14" t="str">
        <v>07:03:38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07:03:47</v>
      </c>
      <c r="AK14" t="str">
        <v>07:03:47</v>
      </c>
      <c r="AL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18/09/2026</v>
      </c>
      <c r="K15" t="str">
        <v>07:05:36</v>
      </c>
      <c r="L15">
        <v>-12.317373</v>
      </c>
      <c r="M15">
        <v>-76.82291</v>
      </c>
      <c r="N15">
        <f>HYPERLINK("https://www.google.com/maps/search/?api=1&amp;query=-12.317373,-76.82291","Punta Hermosa, Lima")</f>
      </c>
      <c r="O15" t="str">
        <v>SOS</v>
      </c>
      <c r="P15">
        <v>269452</v>
      </c>
      <c r="Q15" t="str">
        <v/>
      </c>
      <c r="R15">
        <v>0</v>
      </c>
      <c r="S15">
        <v>76.12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18/09/2026</v>
      </c>
      <c r="AC15" t="str">
        <v>07:05:36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07:06:12</v>
      </c>
      <c r="AK15" t="str">
        <v>07:06:12</v>
      </c>
      <c r="AL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18/09/2026</v>
      </c>
      <c r="K16" t="str">
        <v>07:07:55</v>
      </c>
      <c r="L16">
        <v>-12.317373</v>
      </c>
      <c r="M16">
        <v>-76.82291</v>
      </c>
      <c r="N16">
        <f>HYPERLINK("https://www.google.com/maps/search/?api=1&amp;query=-12.317373,-76.82291","Punta Hermosa, Lima")</f>
      </c>
      <c r="O16" t="str">
        <v>SOS</v>
      </c>
      <c r="P16">
        <v>269452</v>
      </c>
      <c r="Q16" t="str">
        <v/>
      </c>
      <c r="R16">
        <v>0</v>
      </c>
      <c r="S16">
        <v>76.12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18/09/2026</v>
      </c>
      <c r="AC16" t="str">
        <v>07:07:54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07:08:18</v>
      </c>
      <c r="AK16" t="str">
        <v>07:08:18</v>
      </c>
      <c r="AL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/>
      </c>
      <c r="J17" t="str">
        <v>18/09/2026</v>
      </c>
      <c r="K17" t="str">
        <v>07:17:20</v>
      </c>
      <c r="L17">
        <v>-12.317373</v>
      </c>
      <c r="M17">
        <v>-76.82291</v>
      </c>
      <c r="N17">
        <f>HYPERLINK("https://www.google.com/maps/search/?api=1&amp;query=-12.317373,-76.82291","Punta Hermosa, Lima")</f>
      </c>
      <c r="O17" t="str">
        <v>SOS</v>
      </c>
      <c r="P17">
        <v>269452</v>
      </c>
      <c r="Q17" t="str">
        <v/>
      </c>
      <c r="R17">
        <v>0</v>
      </c>
      <c r="S17">
        <v>76.12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18/09/2026</v>
      </c>
      <c r="AC17" t="str">
        <v>07:17:20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07:17:32</v>
      </c>
      <c r="AK17" t="str">
        <v>07:17:32</v>
      </c>
      <c r="AL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/>
      </c>
      <c r="J18" t="str">
        <v>18/09/2026</v>
      </c>
      <c r="K18" t="str">
        <v>08:10:31</v>
      </c>
      <c r="L18">
        <v>-12.317373</v>
      </c>
      <c r="M18">
        <v>-76.82291</v>
      </c>
      <c r="N18">
        <f>HYPERLINK("https://www.google.com/maps/search/?api=1&amp;query=-12.317373,-76.82291","Punta Hermosa, Lima")</f>
      </c>
      <c r="O18" t="str">
        <v>SOS</v>
      </c>
      <c r="P18">
        <v>269452</v>
      </c>
      <c r="Q18" t="str">
        <v/>
      </c>
      <c r="R18">
        <v>0</v>
      </c>
      <c r="S18">
        <v>76.12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18/09/2026</v>
      </c>
      <c r="AC18" t="str">
        <v>08:10:30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08:10:48</v>
      </c>
      <c r="AK18" t="str">
        <v>08:10:48</v>
      </c>
      <c r="AL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/>
      </c>
      <c r="J19" t="str">
        <v>18/09/2026</v>
      </c>
      <c r="K19" t="str">
        <v>08:16:35</v>
      </c>
      <c r="L19">
        <v>-12.317373</v>
      </c>
      <c r="M19">
        <v>-76.82291</v>
      </c>
      <c r="N19">
        <f>HYPERLINK("https://www.google.com/maps/search/?api=1&amp;query=-12.317373,-76.82291","Punta Hermosa, Lima")</f>
      </c>
      <c r="O19" t="str">
        <v>SOS</v>
      </c>
      <c r="P19">
        <v>269452</v>
      </c>
      <c r="Q19" t="str">
        <v/>
      </c>
      <c r="R19">
        <v>0</v>
      </c>
      <c r="S19">
        <v>76.12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18/09/2026</v>
      </c>
      <c r="AC19" t="str">
        <v>08:16:34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08:16:52</v>
      </c>
      <c r="AK19" t="str">
        <v>08:16:52</v>
      </c>
      <c r="AL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18/09/2026</v>
      </c>
      <c r="K20" t="str">
        <v>08:17:48</v>
      </c>
      <c r="L20">
        <v>-12.317373</v>
      </c>
      <c r="M20">
        <v>-76.82291</v>
      </c>
      <c r="N20">
        <f>HYPERLINK("https://www.google.com/maps/search/?api=1&amp;query=-12.317373,-76.82291","Punta Hermosa, Lima")</f>
      </c>
      <c r="O20" t="str">
        <v>SOS</v>
      </c>
      <c r="P20">
        <v>269452</v>
      </c>
      <c r="Q20" t="str">
        <v/>
      </c>
      <c r="R20">
        <v>0</v>
      </c>
      <c r="S20">
        <v>76.12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18/09/2026</v>
      </c>
      <c r="AC20" t="str">
        <v>08:17:48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08:18:14</v>
      </c>
      <c r="AK20" t="str">
        <v>08:18:14</v>
      </c>
      <c r="AL20" t="str">
        <v/>
      </c>
    </row>
    <row r="21">
      <c r="A21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/>
      </c>
      <c r="J21" t="str">
        <v>18/09/2026</v>
      </c>
      <c r="K21" t="str">
        <v>08:18:48</v>
      </c>
      <c r="L21">
        <v>-12.317373</v>
      </c>
      <c r="M21">
        <v>-76.82291</v>
      </c>
      <c r="N21">
        <f>HYPERLINK("https://www.google.com/maps/search/?api=1&amp;query=-12.317373,-76.82291","Punta Hermosa, Lima")</f>
      </c>
      <c r="O21" t="str">
        <v>Vehículo encendido</v>
      </c>
      <c r="P21">
        <v>269452</v>
      </c>
      <c r="Q21" t="str">
        <v/>
      </c>
      <c r="R21">
        <v>0</v>
      </c>
      <c r="S21">
        <v>76.12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18/09/2026</v>
      </c>
      <c r="AC21" t="str">
        <v>08:17:48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08:19:02</v>
      </c>
      <c r="AK21" t="str">
        <v>08:19:02</v>
      </c>
      <c r="AL21" t="str">
        <v/>
      </c>
    </row>
    <row r="22">
      <c r="A22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/>
      </c>
      <c r="J22" t="str">
        <v>18/09/2026</v>
      </c>
      <c r="K22" t="str">
        <v>08:20:02</v>
      </c>
      <c r="L22">
        <v>-12.318408</v>
      </c>
      <c r="M22">
        <v>-76.82394</v>
      </c>
      <c r="N22">
        <f>HYPERLINK("https://www.google.com/maps/search/?api=1&amp;query=-12.318408,-76.82394","Punta Hermosa, Lima")</f>
      </c>
      <c r="O22" t="str">
        <v>SOS</v>
      </c>
      <c r="P22">
        <v>269452.2</v>
      </c>
      <c r="Q22" t="str">
        <v/>
      </c>
      <c r="R22">
        <v>14.7</v>
      </c>
      <c r="S22">
        <v>76.12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18/09/2026</v>
      </c>
      <c r="AC22" t="str">
        <v>08:20:01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08:20:28</v>
      </c>
      <c r="AK22" t="str">
        <v>08:20:28</v>
      </c>
      <c r="AL22" t="str">
        <v/>
      </c>
    </row>
    <row r="23">
      <c r="A23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/>
      </c>
      <c r="J23" t="str">
        <v>18/09/2026</v>
      </c>
      <c r="K23" t="str">
        <v>08:20:35</v>
      </c>
      <c r="L23">
        <v>-12.317916</v>
      </c>
      <c r="M23">
        <v>-76.82414</v>
      </c>
      <c r="N23">
        <f>HYPERLINK("https://www.google.com/maps/search/?api=1&amp;query=-12.317916,-76.82414","Punta Hermosa, Lima")</f>
      </c>
      <c r="O23" t="str">
        <v>SOS</v>
      </c>
      <c r="P23">
        <v>269452.3</v>
      </c>
      <c r="Q23" t="str">
        <v/>
      </c>
      <c r="R23">
        <v>2.2</v>
      </c>
      <c r="S23">
        <v>76.12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18/09/2026</v>
      </c>
      <c r="AC23" t="str">
        <v>08:20:34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08:21:00</v>
      </c>
      <c r="AK23" t="str">
        <v>08:21:00</v>
      </c>
      <c r="AL23" t="str">
        <v/>
      </c>
    </row>
    <row r="24">
      <c r="A24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/>
      </c>
      <c r="J24" t="str">
        <v>18/09/2026</v>
      </c>
      <c r="K24" t="str">
        <v>08:20:38</v>
      </c>
      <c r="L24">
        <v>-12.317915</v>
      </c>
      <c r="M24">
        <v>-76.82414</v>
      </c>
      <c r="N24">
        <f>HYPERLINK("https://www.google.com/maps/search/?api=1&amp;query=-12.317915,-76.82414","Punta Hermosa, Lima")</f>
      </c>
      <c r="O24" t="str">
        <v>Vehículo apagado</v>
      </c>
      <c r="P24">
        <v>269452.3</v>
      </c>
      <c r="Q24" t="str">
        <v/>
      </c>
      <c r="R24">
        <v>0</v>
      </c>
      <c r="S24">
        <v>76.15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18/09/2026</v>
      </c>
      <c r="AC24" t="str">
        <v>08:20:42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08:21:05</v>
      </c>
      <c r="AK24" t="str">
        <v>08:21:05</v>
      </c>
      <c r="AL24" t="str">
        <v/>
      </c>
    </row>
    <row r="25">
      <c r="A25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/>
      </c>
      <c r="J25" t="str">
        <v>18/09/2026</v>
      </c>
      <c r="K25" t="str">
        <v>08:25:42</v>
      </c>
      <c r="L25">
        <v>-12.317915</v>
      </c>
      <c r="M25">
        <v>-76.82414</v>
      </c>
      <c r="N25">
        <f>HYPERLINK("https://www.google.com/maps/search/?api=1&amp;query=-12.317915,-76.82414","Punta Hermosa, Lima")</f>
      </c>
      <c r="O25" t="str">
        <v>Vehículo encendido</v>
      </c>
      <c r="P25">
        <v>269452.3</v>
      </c>
      <c r="Q25" t="str">
        <v/>
      </c>
      <c r="R25">
        <v>0</v>
      </c>
      <c r="S25">
        <v>76.15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18/09/2026</v>
      </c>
      <c r="AC25" t="str">
        <v>08:20:42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08:25:53</v>
      </c>
      <c r="AK25" t="str">
        <v>08:25:53</v>
      </c>
      <c r="AL25" t="str">
        <v/>
      </c>
    </row>
    <row r="26">
      <c r="A26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/>
      </c>
      <c r="J26" t="str">
        <v>18/09/2026</v>
      </c>
      <c r="K26" t="str">
        <v>08:25:51</v>
      </c>
      <c r="L26">
        <v>-12.317994</v>
      </c>
      <c r="M26">
        <v>-76.824066</v>
      </c>
      <c r="N26">
        <f>HYPERLINK("https://www.google.com/maps/search/?api=1&amp;query=-12.317994,-76.824066","Punta Hermosa, Lima")</f>
      </c>
      <c r="O26" t="str">
        <v>SOS</v>
      </c>
      <c r="P26">
        <v>269452.3</v>
      </c>
      <c r="Q26" t="str">
        <v/>
      </c>
      <c r="R26">
        <v>0</v>
      </c>
      <c r="S26">
        <v>76.15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18/09/2026</v>
      </c>
      <c r="AC26" t="str">
        <v>08:25:50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08:26:05</v>
      </c>
      <c r="AK26" t="str">
        <v>08:26:05</v>
      </c>
      <c r="AL26" t="str">
        <v/>
      </c>
    </row>
    <row r="27">
      <c r="A27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/>
      </c>
      <c r="J27" t="str">
        <v>18/09/2026</v>
      </c>
      <c r="K27" t="str">
        <v>08:27:58</v>
      </c>
      <c r="L27">
        <v>-12.317803</v>
      </c>
      <c r="M27">
        <v>-76.82423</v>
      </c>
      <c r="N27">
        <f>HYPERLINK("https://www.google.com/maps/search/?api=1&amp;query=-12.317803,-76.82423","Punta Hermosa, Lima")</f>
      </c>
      <c r="O27" t="str">
        <v>Vehículo apagado</v>
      </c>
      <c r="P27">
        <v>269452.3</v>
      </c>
      <c r="Q27" t="str">
        <v/>
      </c>
      <c r="R27">
        <v>0</v>
      </c>
      <c r="S27">
        <v>76.18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18/09/2026</v>
      </c>
      <c r="AC27" t="str">
        <v>08:27:38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08:28:10</v>
      </c>
      <c r="AK27" t="str">
        <v>08:28:10</v>
      </c>
      <c r="AL27" t="str">
        <v/>
      </c>
    </row>
    <row r="28">
      <c r="A28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/>
      </c>
      <c r="J28" t="str">
        <v>18/09/2026</v>
      </c>
      <c r="K28" t="str">
        <v>08:58:39</v>
      </c>
      <c r="L28">
        <v>-12.317803</v>
      </c>
      <c r="M28">
        <v>-76.82423</v>
      </c>
      <c r="N28">
        <f>HYPERLINK("https://www.google.com/maps/search/?api=1&amp;query=-12.317803,-76.82423","Punta Hermosa, Lima")</f>
      </c>
      <c r="O28" t="str">
        <v>Vehículo encendido</v>
      </c>
      <c r="P28">
        <v>269452.3</v>
      </c>
      <c r="Q28" t="str">
        <v/>
      </c>
      <c r="R28">
        <v>0</v>
      </c>
      <c r="S28">
        <v>76.18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18/09/2026</v>
      </c>
      <c r="AC28" t="str">
        <v>08:55:30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08:58:54</v>
      </c>
      <c r="AK28" t="str">
        <v>08:58:54</v>
      </c>
      <c r="AL28" t="str">
        <v/>
      </c>
    </row>
    <row r="29">
      <c r="A29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/>
      </c>
      <c r="J29" t="str">
        <v>18/09/2026</v>
      </c>
      <c r="K29" t="str">
        <v>09:03:02</v>
      </c>
      <c r="L29">
        <v>-12.31567</v>
      </c>
      <c r="M29">
        <v>-76.826645</v>
      </c>
      <c r="N29">
        <f>HYPERLINK("https://www.google.com/maps/search/?api=1&amp;query=-12.31567,-76.826645","Punta Hermosa, Lima")</f>
      </c>
      <c r="O29" t="str">
        <v>SOS</v>
      </c>
      <c r="P29">
        <v>269452.7</v>
      </c>
      <c r="Q29" t="str">
        <v/>
      </c>
      <c r="R29">
        <v>14.2</v>
      </c>
      <c r="S29">
        <v>76.18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18/09/2026</v>
      </c>
      <c r="AC29" t="str">
        <v>09:03:02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09:03:19</v>
      </c>
      <c r="AK29" t="str">
        <v>09:03:19</v>
      </c>
      <c r="AL29" t="str">
        <v/>
      </c>
    </row>
    <row r="30">
      <c r="A30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/>
      </c>
      <c r="J30" t="str">
        <v>18/09/2026</v>
      </c>
      <c r="K30" t="str">
        <v>09:03:33</v>
      </c>
      <c r="L30">
        <v>-12.316211</v>
      </c>
      <c r="M30">
        <v>-76.82757</v>
      </c>
      <c r="N30">
        <f>HYPERLINK("https://www.google.com/maps/search/?api=1&amp;query=-12.316211,-76.82757","Punta Hermosa, Lima")</f>
      </c>
      <c r="O30" t="str">
        <v>SOS</v>
      </c>
      <c r="P30">
        <v>269452.8</v>
      </c>
      <c r="Q30" t="str">
        <v/>
      </c>
      <c r="R30">
        <v>13.1</v>
      </c>
      <c r="S30">
        <v>76.18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18/09/2026</v>
      </c>
      <c r="AC30" t="str">
        <v>09:03:32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09:03:54</v>
      </c>
      <c r="AK30" t="str">
        <v>09:03:54</v>
      </c>
      <c r="AL30" t="str">
        <v/>
      </c>
    </row>
    <row r="31">
      <c r="A31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/>
      </c>
      <c r="J31" t="str">
        <v>18/09/2026</v>
      </c>
      <c r="K31" t="str">
        <v>09:03:56</v>
      </c>
      <c r="L31">
        <v>-12.316689</v>
      </c>
      <c r="M31">
        <v>-76.82836</v>
      </c>
      <c r="N31">
        <f>HYPERLINK("https://www.google.com/maps/search/?api=1&amp;query=-12.316689,-76.82836","Punta Hermosa, Lima")</f>
      </c>
      <c r="O31" t="str">
        <v>SOS</v>
      </c>
      <c r="P31">
        <v>269452.9</v>
      </c>
      <c r="Q31" t="str">
        <v/>
      </c>
      <c r="R31">
        <v>14.9</v>
      </c>
      <c r="S31">
        <v>76.18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18/09/2026</v>
      </c>
      <c r="AC31" t="str">
        <v>09:03:56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09:04:17</v>
      </c>
      <c r="AK31" t="str">
        <v>09:04:17</v>
      </c>
      <c r="AL31" t="str">
        <v/>
      </c>
    </row>
    <row r="32">
      <c r="A32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/>
      </c>
      <c r="J32" t="str">
        <v>18/09/2026</v>
      </c>
      <c r="K32" t="str">
        <v>09:05:09</v>
      </c>
      <c r="L32">
        <v>-12.31724</v>
      </c>
      <c r="M32">
        <v>-76.8293</v>
      </c>
      <c r="N32">
        <f>HYPERLINK("https://www.google.com/maps/search/?api=1&amp;query=-12.31724,-76.8293","Punta Hermosa, Lima")</f>
      </c>
      <c r="O32" t="str">
        <v>SOS</v>
      </c>
      <c r="P32">
        <v>269453</v>
      </c>
      <c r="Q32" t="str">
        <v/>
      </c>
      <c r="R32">
        <v>0</v>
      </c>
      <c r="S32">
        <v>76.18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18/09/2026</v>
      </c>
      <c r="AC32" t="str">
        <v>09:05:08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09:05:25</v>
      </c>
      <c r="AK32" t="str">
        <v>09:05:25</v>
      </c>
      <c r="AL32" t="str">
        <v/>
      </c>
    </row>
    <row r="33">
      <c r="A33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/>
      </c>
      <c r="J33" t="str">
        <v>18/09/2026</v>
      </c>
      <c r="K33" t="str">
        <v>09:05:54</v>
      </c>
      <c r="L33">
        <v>-12.317292</v>
      </c>
      <c r="M33">
        <v>-76.82938</v>
      </c>
      <c r="N33">
        <f>HYPERLINK("https://www.google.com/maps/search/?api=1&amp;query=-12.317292,-76.82938","Punta Hermosa, Lima")</f>
      </c>
      <c r="O33" t="str">
        <v>SOS</v>
      </c>
      <c r="P33">
        <v>269453</v>
      </c>
      <c r="Q33" t="str">
        <v/>
      </c>
      <c r="R33">
        <v>0</v>
      </c>
      <c r="S33">
        <v>76.18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18/09/2026</v>
      </c>
      <c r="AC33" t="str">
        <v>09:05:53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09:06:07</v>
      </c>
      <c r="AK33" t="str">
        <v>09:06:07</v>
      </c>
      <c r="AL33" t="str">
        <v/>
      </c>
    </row>
    <row r="34">
      <c r="A34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/>
      </c>
      <c r="J34" t="str">
        <v>18/09/2026</v>
      </c>
      <c r="K34" t="str">
        <v>09:06:03</v>
      </c>
      <c r="L34">
        <v>-12.31735</v>
      </c>
      <c r="M34">
        <v>-76.82945</v>
      </c>
      <c r="N34">
        <f>HYPERLINK("https://www.google.com/maps/search/?api=1&amp;query=-12.31735,-76.82945","Punta Hermosa, Lima")</f>
      </c>
      <c r="O34" t="str">
        <v>SOS</v>
      </c>
      <c r="P34">
        <v>269453.1</v>
      </c>
      <c r="Q34" t="str">
        <v/>
      </c>
      <c r="R34">
        <v>0</v>
      </c>
      <c r="S34">
        <v>76.18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18/09/2026</v>
      </c>
      <c r="AC34" t="str">
        <v>09:06:02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09:06:18</v>
      </c>
      <c r="AK34" t="str">
        <v>09:06:18</v>
      </c>
      <c r="AL34" t="str">
        <v/>
      </c>
    </row>
    <row r="35">
      <c r="A35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/>
      </c>
      <c r="J35" t="str">
        <v>18/09/2026</v>
      </c>
      <c r="K35" t="str">
        <v>09:06:41</v>
      </c>
      <c r="L35">
        <v>-12.317386</v>
      </c>
      <c r="M35">
        <v>-76.83028</v>
      </c>
      <c r="N35">
        <f>HYPERLINK("https://www.google.com/maps/search/?api=1&amp;query=-12.317386,-76.83028","Carretera Panamericana Sur, Punta Hermosa, Lima")</f>
      </c>
      <c r="O35" t="str">
        <v>SOS</v>
      </c>
      <c r="P35">
        <v>269453.2</v>
      </c>
      <c r="Q35" t="str">
        <v/>
      </c>
      <c r="R35">
        <v>29.4</v>
      </c>
      <c r="S35">
        <v>76.18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18/09/2026</v>
      </c>
      <c r="AC35" t="str">
        <v>09:06:41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09:06:50</v>
      </c>
      <c r="AK35" t="str">
        <v>09:06:50</v>
      </c>
      <c r="AL35" t="str">
        <v/>
      </c>
    </row>
    <row r="36">
      <c r="A36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/>
      </c>
      <c r="J36" t="str">
        <v>18/09/2026</v>
      </c>
      <c r="K36" t="str">
        <v>09:07:12</v>
      </c>
      <c r="L36">
        <v>-12.314707</v>
      </c>
      <c r="M36">
        <v>-76.8323</v>
      </c>
      <c r="N36">
        <f>HYPERLINK("https://www.google.com/maps/search/?api=1&amp;query=-12.314707,-76.8323","Carretera Panamericana Sur, Punta Hermosa, Lima")</f>
      </c>
      <c r="O36" t="str">
        <v>SOS</v>
      </c>
      <c r="P36">
        <v>269453.5</v>
      </c>
      <c r="Q36" t="str">
        <v/>
      </c>
      <c r="R36">
        <v>55.2</v>
      </c>
      <c r="S36">
        <v>76.18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18/09/2026</v>
      </c>
      <c r="AC36" t="str">
        <v>09:07:11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09:07:18</v>
      </c>
      <c r="AK36" t="str">
        <v>09:07:18</v>
      </c>
      <c r="AL36" t="str">
        <v/>
      </c>
    </row>
    <row r="37">
      <c r="A37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/>
      </c>
      <c r="J37" t="str">
        <v>18/09/2026</v>
      </c>
      <c r="K37" t="str">
        <v>09:07:24</v>
      </c>
      <c r="L37">
        <v>-12.313223</v>
      </c>
      <c r="M37">
        <v>-76.83328</v>
      </c>
      <c r="N37">
        <f>HYPERLINK("https://www.google.com/maps/search/?api=1&amp;query=-12.313223,-76.83328","Carretera Panamericana Sur, Punta Hermosa, Lima")</f>
      </c>
      <c r="O37" t="str">
        <v>SOS</v>
      </c>
      <c r="P37">
        <v>269453.7</v>
      </c>
      <c r="Q37" t="str">
        <v/>
      </c>
      <c r="R37">
        <v>65</v>
      </c>
      <c r="S37">
        <v>76.18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18/09/2026</v>
      </c>
      <c r="AC37" t="str">
        <v>09:07:23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09:07:35</v>
      </c>
      <c r="AK37" t="str">
        <v>09:07:35</v>
      </c>
      <c r="AL37" t="str">
        <v/>
      </c>
    </row>
    <row r="38">
      <c r="A38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/>
      </c>
      <c r="J38" t="str">
        <v>18/09/2026</v>
      </c>
      <c r="K38" t="str">
        <v>09:07:54</v>
      </c>
      <c r="L38">
        <v>-12.308439</v>
      </c>
      <c r="M38">
        <v>-76.83654</v>
      </c>
      <c r="N38">
        <f>HYPERLINK("https://www.google.com/maps/search/?api=1&amp;query=-12.308439,-76.83654","Carretera Panamericana Sur, Punta Hermosa, Lima")</f>
      </c>
      <c r="O38" t="str">
        <v>Excedió el límite de velocidad</v>
      </c>
      <c r="P38">
        <v>269454.4</v>
      </c>
      <c r="Q38" t="str">
        <v/>
      </c>
      <c r="R38">
        <v>83.7</v>
      </c>
      <c r="S38">
        <v>76.18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18/09/2026</v>
      </c>
      <c r="AC38" t="str">
        <v>09:07:53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09:08:29</v>
      </c>
      <c r="AK38" t="str">
        <v>09:08:29</v>
      </c>
      <c r="AL38" t="str">
        <v/>
      </c>
    </row>
    <row r="39">
      <c r="A39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/>
      </c>
      <c r="J39" t="str">
        <v>18/09/2026</v>
      </c>
      <c r="K39" t="str">
        <v>09:09:45</v>
      </c>
      <c r="L39">
        <v>-12.296906</v>
      </c>
      <c r="M39">
        <v>-76.85584</v>
      </c>
      <c r="N39">
        <f>HYPERLINK("https://www.google.com/maps/search/?api=1&amp;query=-12.296906,-76.85584","Carretera Panamericana Sur, Lurín, Lima")</f>
      </c>
      <c r="O39" t="str">
        <v>Excedió el límite de velocidad</v>
      </c>
      <c r="P39">
        <v>269456.9</v>
      </c>
      <c r="Q39" t="str">
        <v/>
      </c>
      <c r="R39">
        <v>87.2</v>
      </c>
      <c r="S39">
        <v>76.18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18/09/2026</v>
      </c>
      <c r="AC39" t="str">
        <v>09:09:44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09:09:59</v>
      </c>
      <c r="AK39" t="str">
        <v>09:09:59</v>
      </c>
      <c r="AL39" t="str">
        <v/>
      </c>
    </row>
    <row r="40">
      <c r="A40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/>
      </c>
      <c r="J40" t="str">
        <v>18/09/2026</v>
      </c>
      <c r="K40" t="str">
        <v>09:13:12</v>
      </c>
      <c r="L40">
        <v>-12.273235</v>
      </c>
      <c r="M40">
        <v>-76.894295</v>
      </c>
      <c r="N40">
        <f>HYPERLINK("https://www.google.com/maps/search/?api=1&amp;query=-12.273235,-76.894295","Carretera Panamericana Sur, Lurín, Lima")</f>
      </c>
      <c r="O40" t="str">
        <v>Excedió el límite de velocidad</v>
      </c>
      <c r="P40">
        <v>269461.8</v>
      </c>
      <c r="Q40" t="str">
        <v/>
      </c>
      <c r="R40">
        <v>84.5</v>
      </c>
      <c r="S40">
        <v>76.18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18/09/2026</v>
      </c>
      <c r="AC40" t="str">
        <v>09:13:11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09:16:12</v>
      </c>
      <c r="AK40" t="str">
        <v>09:16:12</v>
      </c>
      <c r="AL40" t="str">
        <v/>
      </c>
    </row>
    <row r="41">
      <c r="A41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/>
      </c>
      <c r="J41" t="str">
        <v>18/09/2026</v>
      </c>
      <c r="K41" t="str">
        <v>09:15:39</v>
      </c>
      <c r="L41">
        <v>-12.256699</v>
      </c>
      <c r="M41">
        <v>-76.92029</v>
      </c>
      <c r="N41">
        <f>HYPERLINK("https://www.google.com/maps/search/?api=1&amp;query=-12.256699,-76.92029","Carretera Panamericana Sur, Lurín, Lima")</f>
      </c>
      <c r="O41" t="str">
        <v>SOS</v>
      </c>
      <c r="P41">
        <v>269465.2</v>
      </c>
      <c r="Q41" t="str">
        <v/>
      </c>
      <c r="R41">
        <v>55.8</v>
      </c>
      <c r="S41">
        <v>76.18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18/09/2026</v>
      </c>
      <c r="AC41" t="str">
        <v>09:15:38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09:16:09</v>
      </c>
      <c r="AK41" t="str">
        <v>09:16:09</v>
      </c>
      <c r="AL41" t="str">
        <v/>
      </c>
    </row>
    <row r="42">
      <c r="A42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/>
      </c>
      <c r="J42" t="str">
        <v>18/09/2026</v>
      </c>
      <c r="K42" t="str">
        <v>09:16:12</v>
      </c>
      <c r="L42">
        <v>-12.254311</v>
      </c>
      <c r="M42">
        <v>-76.91972</v>
      </c>
      <c r="N42">
        <f>HYPERLINK("https://www.google.com/maps/search/?api=1&amp;query=-12.254311,-76.91972","Antigua Panamericana Sur, Lurín, Lima")</f>
      </c>
      <c r="O42" t="str">
        <v>SOS</v>
      </c>
      <c r="P42">
        <v>269465.6</v>
      </c>
      <c r="Q42" t="str">
        <v/>
      </c>
      <c r="R42">
        <v>31.2</v>
      </c>
      <c r="S42">
        <v>76.18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18/09/2026</v>
      </c>
      <c r="AC42" t="str">
        <v>09:16:11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09:16:22</v>
      </c>
      <c r="AK42" t="str">
        <v>09:16:22</v>
      </c>
      <c r="AL42" t="str">
        <v/>
      </c>
    </row>
    <row r="43">
      <c r="A43">
        <v>42</v>
      </c>
      <c r="B43" t="str">
        <v>MASS BSF</v>
      </c>
      <c r="C43" t="str">
        <v>ARY-825</v>
      </c>
      <c r="D43" t="str">
        <v>ARY-825</v>
      </c>
      <c r="E43" t="str">
        <v/>
      </c>
      <c r="F43" t="str">
        <v>867162029858180</v>
      </c>
      <c r="G43" t="str">
        <v/>
      </c>
      <c r="H43" t="str">
        <v/>
      </c>
      <c r="I43" t="str">
        <v/>
      </c>
      <c r="J43" t="str">
        <v>18/09/2026</v>
      </c>
      <c r="K43" t="str">
        <v>09:33:00</v>
      </c>
      <c r="L43">
        <v>-12.200171</v>
      </c>
      <c r="M43">
        <v>-76.93171</v>
      </c>
      <c r="N43">
        <f>HYPERLINK("https://www.google.com/maps/search/?api=1&amp;query=-12.200171,-76.93171","Avenida Pachacútec, Villa María del Triunfo, Lima")</f>
      </c>
      <c r="O43" t="str">
        <v>SOS</v>
      </c>
      <c r="P43">
        <v>269474.5</v>
      </c>
      <c r="Q43" t="str">
        <v/>
      </c>
      <c r="R43">
        <v>55.2</v>
      </c>
      <c r="S43">
        <v>76.18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18/09/2026</v>
      </c>
      <c r="AC43" t="str">
        <v>09:32:59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09:33:21</v>
      </c>
      <c r="AK43" t="str">
        <v>09:33:21</v>
      </c>
      <c r="AL43" t="str">
        <v/>
      </c>
    </row>
    <row r="44">
      <c r="A44">
        <v>43</v>
      </c>
      <c r="B44" t="str">
        <v>MASS BSF</v>
      </c>
      <c r="C44" t="str">
        <v>ARY-825</v>
      </c>
      <c r="D44" t="str">
        <v>ARY-825</v>
      </c>
      <c r="E44" t="str">
        <v/>
      </c>
      <c r="F44" t="str">
        <v>867162029858180</v>
      </c>
      <c r="G44" t="str">
        <v/>
      </c>
      <c r="H44" t="str">
        <v/>
      </c>
      <c r="I44" t="str">
        <v/>
      </c>
      <c r="J44" t="str">
        <v>18/09/2026</v>
      </c>
      <c r="K44" t="str">
        <v>09:40:36</v>
      </c>
      <c r="L44">
        <v>-12.181147</v>
      </c>
      <c r="M44">
        <v>-76.92582</v>
      </c>
      <c r="N44">
        <f>HYPERLINK("https://www.google.com/maps/search/?api=1&amp;query=-12.181147,-76.92582","Jirón Chan Chan, Villa María del Triunfo, Lima")</f>
      </c>
      <c r="O44" t="str">
        <v>Vehículo apagado</v>
      </c>
      <c r="P44">
        <v>269477.8</v>
      </c>
      <c r="Q44" t="str">
        <v/>
      </c>
      <c r="R44">
        <v>0</v>
      </c>
      <c r="S44">
        <v>76.18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18/09/2026</v>
      </c>
      <c r="AC44" t="str">
        <v>09:40:40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09:41:00</v>
      </c>
      <c r="AK44" t="str">
        <v>09:41:00</v>
      </c>
      <c r="AL44" t="str">
        <v/>
      </c>
    </row>
    <row r="45">
      <c r="A45">
        <v>44</v>
      </c>
      <c r="B45" t="str">
        <v>MASS BSF</v>
      </c>
      <c r="C45" t="str">
        <v>ARY-825</v>
      </c>
      <c r="D45" t="str">
        <v>ARY-825</v>
      </c>
      <c r="E45" t="str">
        <v/>
      </c>
      <c r="F45" t="str">
        <v>867162029858180</v>
      </c>
      <c r="G45" t="str">
        <v/>
      </c>
      <c r="H45" t="str">
        <v/>
      </c>
      <c r="I45" t="str">
        <v/>
      </c>
      <c r="J45" t="str">
        <v>18/09/2026</v>
      </c>
      <c r="K45" t="str">
        <v>09:55:38</v>
      </c>
      <c r="L45">
        <v>-12.181147</v>
      </c>
      <c r="M45">
        <v>-76.92582</v>
      </c>
      <c r="N45">
        <f>HYPERLINK("https://www.google.com/maps/search/?api=1&amp;query=-12.181147,-76.92582","Jirón Chan Chan, Villa María del Triunfo, Lima")</f>
      </c>
      <c r="O45" t="str">
        <v>Vehículo encendido</v>
      </c>
      <c r="P45">
        <v>269477.8</v>
      </c>
      <c r="Q45" t="str">
        <v/>
      </c>
      <c r="R45">
        <v>0</v>
      </c>
      <c r="S45">
        <v>76.18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18/09/2026</v>
      </c>
      <c r="AC45" t="str">
        <v>09:40:40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09:55:49</v>
      </c>
      <c r="AK45" t="str">
        <v>09:55:49</v>
      </c>
      <c r="AL45" t="str">
        <v/>
      </c>
    </row>
    <row r="46">
      <c r="A46">
        <v>45</v>
      </c>
      <c r="B46" t="str">
        <v>MASS BSF</v>
      </c>
      <c r="C46" t="str">
        <v>ARY-825</v>
      </c>
      <c r="D46" t="str">
        <v>ARY-825</v>
      </c>
      <c r="E46" t="str">
        <v/>
      </c>
      <c r="F46" t="str">
        <v>867162029858180</v>
      </c>
      <c r="G46" t="str">
        <v/>
      </c>
      <c r="H46" t="str">
        <v/>
      </c>
      <c r="I46" t="str">
        <v/>
      </c>
      <c r="J46" t="str">
        <v>18/09/2026</v>
      </c>
      <c r="K46" t="str">
        <v>09:58:44</v>
      </c>
      <c r="L46">
        <v>-12.187412</v>
      </c>
      <c r="M46">
        <v>-76.92657</v>
      </c>
      <c r="N46">
        <f>HYPERLINK("https://www.google.com/maps/search/?api=1&amp;query=-12.187412,-76.92657","Jirón Alfonso Ugarte, Villa María del Triunfo, Lima")</f>
      </c>
      <c r="O46" t="str">
        <v>Vehículo apagado</v>
      </c>
      <c r="P46">
        <v>269478.8</v>
      </c>
      <c r="Q46" t="str">
        <v/>
      </c>
      <c r="R46">
        <v>0</v>
      </c>
      <c r="S46">
        <v>76.23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18/09/2026</v>
      </c>
      <c r="AC46" t="str">
        <v>09:58:47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09:59:02</v>
      </c>
      <c r="AK46" t="str">
        <v>09:59:02</v>
      </c>
      <c r="AL46" t="str">
        <v/>
      </c>
    </row>
    <row r="47">
      <c r="A47">
        <v>46</v>
      </c>
      <c r="B47" t="str">
        <v>MASS BSF</v>
      </c>
      <c r="C47" t="str">
        <v>ARY-825</v>
      </c>
      <c r="D47" t="str">
        <v>ARY-825</v>
      </c>
      <c r="E47" t="str">
        <v/>
      </c>
      <c r="F47" t="str">
        <v>867162029858180</v>
      </c>
      <c r="G47" t="str">
        <v/>
      </c>
      <c r="H47" t="str">
        <v/>
      </c>
      <c r="I47" t="str">
        <v/>
      </c>
      <c r="J47" t="str">
        <v>18/09/2026</v>
      </c>
      <c r="K47" t="str">
        <v>10:06:21</v>
      </c>
      <c r="L47">
        <v>-12.187412</v>
      </c>
      <c r="M47">
        <v>-76.92657</v>
      </c>
      <c r="N47">
        <f>HYPERLINK("https://www.google.com/maps/search/?api=1&amp;query=-12.187412,-76.92657","Jirón Alfonso Ugarte, Villa María del Triunfo, Lima")</f>
      </c>
      <c r="O47" t="str">
        <v>Vehículo encendido</v>
      </c>
      <c r="P47">
        <v>269478.8</v>
      </c>
      <c r="Q47" t="str">
        <v/>
      </c>
      <c r="R47">
        <v>0</v>
      </c>
      <c r="S47">
        <v>76.23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18/09/2026</v>
      </c>
      <c r="AC47" t="str">
        <v>09:58:47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10:06:27</v>
      </c>
      <c r="AK47" t="str">
        <v>10:06:27</v>
      </c>
      <c r="AL47" t="str">
        <v/>
      </c>
    </row>
    <row r="48">
      <c r="A48">
        <v>47</v>
      </c>
      <c r="B48" t="str">
        <v>MASS BSF</v>
      </c>
      <c r="C48" t="str">
        <v>ARY-825</v>
      </c>
      <c r="D48" t="str">
        <v>ARY-825</v>
      </c>
      <c r="E48" t="str">
        <v/>
      </c>
      <c r="F48" t="str">
        <v>867162029858180</v>
      </c>
      <c r="G48" t="str">
        <v/>
      </c>
      <c r="H48" t="str">
        <v/>
      </c>
      <c r="I48" t="str">
        <v/>
      </c>
      <c r="J48" t="str">
        <v>18/09/2026</v>
      </c>
      <c r="K48" t="str">
        <v>10:08:37</v>
      </c>
      <c r="L48">
        <v>-12.189148</v>
      </c>
      <c r="M48">
        <v>-76.92247</v>
      </c>
      <c r="N48">
        <f>HYPERLINK("https://www.google.com/maps/search/?api=1&amp;query=-12.189148,-76.92247","Jirón Independencia, Villa María del Triunfo, Lima")</f>
      </c>
      <c r="O48" t="str">
        <v>SOS</v>
      </c>
      <c r="P48">
        <v>269479.4</v>
      </c>
      <c r="Q48" t="str">
        <v/>
      </c>
      <c r="R48">
        <v>30.6</v>
      </c>
      <c r="S48">
        <v>76.23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18/09/2026</v>
      </c>
      <c r="AC48" t="str">
        <v>10:08:36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10:09:01</v>
      </c>
      <c r="AK48" t="str">
        <v>10:09:01</v>
      </c>
      <c r="AL48" t="str">
        <v/>
      </c>
    </row>
    <row r="49">
      <c r="A49">
        <v>48</v>
      </c>
      <c r="B49" t="str">
        <v>MASS BSF</v>
      </c>
      <c r="C49" t="str">
        <v>ARY-825</v>
      </c>
      <c r="D49" t="str">
        <v>ARY-825</v>
      </c>
      <c r="E49" t="str">
        <v/>
      </c>
      <c r="F49" t="str">
        <v>867162029858180</v>
      </c>
      <c r="G49" t="str">
        <v/>
      </c>
      <c r="H49" t="str">
        <v/>
      </c>
      <c r="I49" t="str">
        <v/>
      </c>
      <c r="J49" t="str">
        <v>18/09/2026</v>
      </c>
      <c r="K49" t="str">
        <v>10:09:07</v>
      </c>
      <c r="L49">
        <v>-12.18978</v>
      </c>
      <c r="M49">
        <v>-76.92263</v>
      </c>
      <c r="N49">
        <f>HYPERLINK("https://www.google.com/maps/search/?api=1&amp;query=-12.18978,-76.92263","Jirón Ayacucho, Villa María del Triunfo, Lima")</f>
      </c>
      <c r="O49" t="str">
        <v>Vehículo apagado</v>
      </c>
      <c r="P49">
        <v>269479.5</v>
      </c>
      <c r="Q49" t="str">
        <v/>
      </c>
      <c r="R49">
        <v>0</v>
      </c>
      <c r="S49">
        <v>76.28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18/09/2026</v>
      </c>
      <c r="AC49" t="str">
        <v>10:09:11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10:09:25</v>
      </c>
      <c r="AK49" t="str">
        <v>10:09:25</v>
      </c>
      <c r="AL49" t="str">
        <v/>
      </c>
    </row>
    <row r="50">
      <c r="A50">
        <v>49</v>
      </c>
      <c r="B50" t="str">
        <v>MASS BSF</v>
      </c>
      <c r="C50" t="str">
        <v>ARY-825</v>
      </c>
      <c r="D50" t="str">
        <v>ARY-825</v>
      </c>
      <c r="E50" t="str">
        <v/>
      </c>
      <c r="F50" t="str">
        <v>867162029858180</v>
      </c>
      <c r="G50" t="str">
        <v/>
      </c>
      <c r="H50" t="str">
        <v/>
      </c>
      <c r="I50" t="str">
        <v/>
      </c>
      <c r="J50" t="str">
        <v>18/09/2026</v>
      </c>
      <c r="K50" t="str">
        <v>10:17:17</v>
      </c>
      <c r="L50">
        <v>-12.18978</v>
      </c>
      <c r="M50">
        <v>-76.92263</v>
      </c>
      <c r="N50">
        <f>HYPERLINK("https://www.google.com/maps/search/?api=1&amp;query=-12.18978,-76.92263","Jirón Ayacucho, Villa María del Triunfo, Lima")</f>
      </c>
      <c r="O50" t="str">
        <v>Vehículo encendido</v>
      </c>
      <c r="P50">
        <v>269479.5</v>
      </c>
      <c r="Q50" t="str">
        <v/>
      </c>
      <c r="R50">
        <v>0</v>
      </c>
      <c r="S50">
        <v>76.28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18/09/2026</v>
      </c>
      <c r="AC50" t="str">
        <v>10:09:11</v>
      </c>
      <c r="AD50">
        <f>IF("NOGPS"="NOGPS","GPS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10:17:33</v>
      </c>
      <c r="AK50" t="str">
        <v>10:17:33</v>
      </c>
      <c r="AL50" t="str">
        <v/>
      </c>
    </row>
    <row r="51">
      <c r="A51">
        <v>50</v>
      </c>
      <c r="B51" t="str">
        <v>MASS BSF</v>
      </c>
      <c r="C51" t="str">
        <v>ARY-825</v>
      </c>
      <c r="D51" t="str">
        <v>ARY-825</v>
      </c>
      <c r="E51" t="str">
        <v/>
      </c>
      <c r="F51" t="str">
        <v>867162029858180</v>
      </c>
      <c r="G51" t="str">
        <v/>
      </c>
      <c r="H51" t="str">
        <v/>
      </c>
      <c r="I51" t="str">
        <v/>
      </c>
      <c r="J51" t="str">
        <v>18/09/2026</v>
      </c>
      <c r="K51" t="str">
        <v>10:26:24</v>
      </c>
      <c r="L51">
        <v>-12.19339</v>
      </c>
      <c r="M51">
        <v>-76.92662</v>
      </c>
      <c r="N51">
        <f>HYPERLINK("https://www.google.com/maps/search/?api=1&amp;query=-12.19339,-76.92662","Avenida La Mariscala, Villa María del Triunfo, Lima")</f>
      </c>
      <c r="O51" t="str">
        <v>Vehículo apagado</v>
      </c>
      <c r="P51">
        <v>269480.2</v>
      </c>
      <c r="Q51" t="str">
        <v/>
      </c>
      <c r="R51">
        <v>0</v>
      </c>
      <c r="S51">
        <v>76.43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18/09/2026</v>
      </c>
      <c r="AC51" t="str">
        <v>10:26:26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10:26:50</v>
      </c>
      <c r="AK51" t="str">
        <v>10:26:50</v>
      </c>
      <c r="AL51" t="str">
        <v/>
      </c>
    </row>
    <row r="52">
      <c r="A52">
        <v>51</v>
      </c>
      <c r="B52" t="str">
        <v>MASS BSF</v>
      </c>
      <c r="C52" t="str">
        <v>ARY-825</v>
      </c>
      <c r="D52" t="str">
        <v>ARY-825</v>
      </c>
      <c r="E52" t="str">
        <v/>
      </c>
      <c r="F52" t="str">
        <v>867162029858180</v>
      </c>
      <c r="G52" t="str">
        <v/>
      </c>
      <c r="H52" t="str">
        <v/>
      </c>
      <c r="I52" t="str">
        <v/>
      </c>
      <c r="J52" t="str">
        <v>18/09/2026</v>
      </c>
      <c r="K52" t="str">
        <v>10:32:09</v>
      </c>
      <c r="L52">
        <v>-12.19339</v>
      </c>
      <c r="M52">
        <v>-76.92662</v>
      </c>
      <c r="N52">
        <f>HYPERLINK("https://www.google.com/maps/search/?api=1&amp;query=-12.19339,-76.92662","Avenida La Mariscala, Villa María del Triunfo, Lima")</f>
      </c>
      <c r="O52" t="str">
        <v>Vehículo encendido</v>
      </c>
      <c r="P52">
        <v>269480.2</v>
      </c>
      <c r="Q52" t="str">
        <v/>
      </c>
      <c r="R52">
        <v>0</v>
      </c>
      <c r="S52">
        <v>76.43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18/09/2026</v>
      </c>
      <c r="AC52" t="str">
        <v>10:26:26</v>
      </c>
      <c r="AD52">
        <f>IF("NOGPS"="NOGPS","GPS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10:32:24</v>
      </c>
      <c r="AK52" t="str">
        <v>10:32:24</v>
      </c>
      <c r="AL52" t="str">
        <v/>
      </c>
    </row>
    <row r="53">
      <c r="A53">
        <v>52</v>
      </c>
      <c r="B53" t="str">
        <v>MASS BSF</v>
      </c>
      <c r="C53" t="str">
        <v>ARY-825</v>
      </c>
      <c r="D53" t="str">
        <v>ARY-825</v>
      </c>
      <c r="E53" t="str">
        <v/>
      </c>
      <c r="F53" t="str">
        <v>867162029858180</v>
      </c>
      <c r="G53" t="str">
        <v/>
      </c>
      <c r="H53" t="str">
        <v/>
      </c>
      <c r="I53" t="str">
        <v/>
      </c>
      <c r="J53" t="str">
        <v>18/09/2026</v>
      </c>
      <c r="K53" t="str">
        <v>10:39:37</v>
      </c>
      <c r="L53">
        <v>-12.198963</v>
      </c>
      <c r="M53">
        <v>-76.92757</v>
      </c>
      <c r="N53">
        <f>HYPERLINK("https://www.google.com/maps/search/?api=1&amp;query=-12.198963,-76.92757","Avenida Unión, Villa María del Triunfo, Lima")</f>
      </c>
      <c r="O53" t="str">
        <v>SOS</v>
      </c>
      <c r="P53">
        <v>269481.1</v>
      </c>
      <c r="Q53" t="str">
        <v/>
      </c>
      <c r="R53">
        <v>16.7</v>
      </c>
      <c r="S53">
        <v>76.43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18/09/2026</v>
      </c>
      <c r="AC53" t="str">
        <v>10:39:37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10:40:03</v>
      </c>
      <c r="AK53" t="str">
        <v>10:40:03</v>
      </c>
      <c r="AL53" t="str">
        <v/>
      </c>
    </row>
    <row r="54">
      <c r="A54">
        <v>53</v>
      </c>
      <c r="B54" t="str">
        <v>MASS BSF</v>
      </c>
      <c r="C54" t="str">
        <v>ARY-825</v>
      </c>
      <c r="D54" t="str">
        <v>ARY-825</v>
      </c>
      <c r="E54" t="str">
        <v/>
      </c>
      <c r="F54" t="str">
        <v>867162029858180</v>
      </c>
      <c r="G54" t="str">
        <v/>
      </c>
      <c r="H54" t="str">
        <v/>
      </c>
      <c r="I54" t="str">
        <v/>
      </c>
      <c r="J54" t="str">
        <v>18/09/2026</v>
      </c>
      <c r="K54" t="str">
        <v>10:39:41</v>
      </c>
      <c r="L54">
        <v>-12.199098</v>
      </c>
      <c r="M54">
        <v>-76.927505</v>
      </c>
      <c r="N54">
        <f>HYPERLINK("https://www.google.com/maps/search/?api=1&amp;query=-12.199098,-76.927505","Avenida Unión, Villa María del Triunfo, Lima")</f>
      </c>
      <c r="O54" t="str">
        <v>Giro brusco</v>
      </c>
      <c r="P54">
        <v>269481.1</v>
      </c>
      <c r="Q54" t="str">
        <v/>
      </c>
      <c r="R54">
        <v>22.6</v>
      </c>
      <c r="S54">
        <v>76.43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18/09/2026</v>
      </c>
      <c r="AC54" t="str">
        <v>10:39:40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10:40:10</v>
      </c>
      <c r="AK54" t="str">
        <v>10:40:10</v>
      </c>
      <c r="AL54" t="str">
        <v/>
      </c>
    </row>
    <row r="55">
      <c r="A55">
        <v>54</v>
      </c>
      <c r="B55" t="str">
        <v>MASS BSF</v>
      </c>
      <c r="C55" t="str">
        <v>ARY-825</v>
      </c>
      <c r="D55" t="str">
        <v>ARY-825</v>
      </c>
      <c r="E55" t="str">
        <v/>
      </c>
      <c r="F55" t="str">
        <v>867162029858180</v>
      </c>
      <c r="G55" t="str">
        <v/>
      </c>
      <c r="H55" t="str">
        <v/>
      </c>
      <c r="I55" t="str">
        <v/>
      </c>
      <c r="J55" t="str">
        <v>18/09/2026</v>
      </c>
      <c r="K55" t="str">
        <v>10:41:58</v>
      </c>
      <c r="L55">
        <v>-12.201932</v>
      </c>
      <c r="M55">
        <v>-76.92571</v>
      </c>
      <c r="N55">
        <f>HYPERLINK("https://www.google.com/maps/search/?api=1&amp;query=-12.201932,-76.92571","Avenida Unión, Villa María del Triunfo, Lima")</f>
      </c>
      <c r="O55" t="str">
        <v>Vehículo apagado</v>
      </c>
      <c r="P55">
        <v>269481.5</v>
      </c>
      <c r="Q55" t="str">
        <v/>
      </c>
      <c r="R55">
        <v>0</v>
      </c>
      <c r="S55">
        <v>76.6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18/09/2026</v>
      </c>
      <c r="AC55" t="str">
        <v>10:42:00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10:42:13</v>
      </c>
      <c r="AK55" t="str">
        <v>10:42:13</v>
      </c>
      <c r="AL55" t="str">
        <v/>
      </c>
    </row>
    <row r="56">
      <c r="A56">
        <v>55</v>
      </c>
      <c r="B56" t="str">
        <v>MASS BSF</v>
      </c>
      <c r="C56" t="str">
        <v>ARY-825</v>
      </c>
      <c r="D56" t="str">
        <v>ARY-825</v>
      </c>
      <c r="E56" t="str">
        <v/>
      </c>
      <c r="F56" t="str">
        <v>867162029858180</v>
      </c>
      <c r="G56" t="str">
        <v/>
      </c>
      <c r="H56" t="str">
        <v/>
      </c>
      <c r="I56" t="str">
        <v/>
      </c>
      <c r="J56" t="str">
        <v>18/09/2026</v>
      </c>
      <c r="K56" t="str">
        <v>10:43:28</v>
      </c>
      <c r="L56">
        <v>-12.201932</v>
      </c>
      <c r="M56">
        <v>-76.92571</v>
      </c>
      <c r="N56">
        <f>HYPERLINK("https://www.google.com/maps/search/?api=1&amp;query=-12.201932,-76.92571","Avenida Unión, Villa María del Triunfo, Lima")</f>
      </c>
      <c r="O56" t="str">
        <v>Vehículo encendido</v>
      </c>
      <c r="P56">
        <v>269481.5</v>
      </c>
      <c r="Q56" t="str">
        <v/>
      </c>
      <c r="R56">
        <v>0</v>
      </c>
      <c r="S56">
        <v>76.6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18/09/2026</v>
      </c>
      <c r="AC56" t="str">
        <v>10:42:00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10:43:40</v>
      </c>
      <c r="AK56" t="str">
        <v>10:43:40</v>
      </c>
      <c r="AL56" t="str">
        <v/>
      </c>
    </row>
    <row r="57">
      <c r="A57">
        <v>56</v>
      </c>
      <c r="B57" t="str">
        <v>MASS BSF</v>
      </c>
      <c r="C57" t="str">
        <v>ARY-825</v>
      </c>
      <c r="D57" t="str">
        <v>ARY-825</v>
      </c>
      <c r="E57" t="str">
        <v/>
      </c>
      <c r="F57" t="str">
        <v>867162029858180</v>
      </c>
      <c r="G57" t="str">
        <v/>
      </c>
      <c r="H57" t="str">
        <v/>
      </c>
      <c r="I57" t="str">
        <v/>
      </c>
      <c r="J57" t="str">
        <v>18/09/2026</v>
      </c>
      <c r="K57" t="str">
        <v>10:43:48</v>
      </c>
      <c r="L57">
        <v>-12.202068</v>
      </c>
      <c r="M57">
        <v>-76.92558</v>
      </c>
      <c r="N57">
        <f>HYPERLINK("https://www.google.com/maps/search/?api=1&amp;query=-12.202068,-76.92558","Avenida Unión, Villa María del Triunfo, Lima")</f>
      </c>
      <c r="O57" t="str">
        <v>Vehículo apagado</v>
      </c>
      <c r="P57">
        <v>269481.5</v>
      </c>
      <c r="Q57" t="str">
        <v/>
      </c>
      <c r="R57">
        <v>0</v>
      </c>
      <c r="S57">
        <v>76.6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18/09/2026</v>
      </c>
      <c r="AC57" t="str">
        <v>10:43:49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10:44:07</v>
      </c>
      <c r="AK57" t="str">
        <v>10:44:07</v>
      </c>
      <c r="AL57" t="str">
        <v/>
      </c>
    </row>
    <row r="58">
      <c r="A58">
        <v>57</v>
      </c>
      <c r="B58" t="str">
        <v>MASS BSF</v>
      </c>
      <c r="C58" t="str">
        <v>ARY-825</v>
      </c>
      <c r="D58" t="str">
        <v>ARY-825</v>
      </c>
      <c r="E58" t="str">
        <v/>
      </c>
      <c r="F58" t="str">
        <v>867162029858180</v>
      </c>
      <c r="G58" t="str">
        <v/>
      </c>
      <c r="H58" t="str">
        <v/>
      </c>
      <c r="I58" t="str">
        <v/>
      </c>
      <c r="J58" t="str">
        <v>18/09/2026</v>
      </c>
      <c r="K58" t="str">
        <v>11:07:33</v>
      </c>
      <c r="L58">
        <v>-12.202068</v>
      </c>
      <c r="M58">
        <v>-76.92558</v>
      </c>
      <c r="N58">
        <f>HYPERLINK("https://www.google.com/maps/search/?api=1&amp;query=-12.202068,-76.92558","Avenida Unión, Villa María del Triunfo, Lima")</f>
      </c>
      <c r="O58" t="str">
        <v>Vehículo encendido</v>
      </c>
      <c r="P58">
        <v>269481.5</v>
      </c>
      <c r="Q58" t="str">
        <v/>
      </c>
      <c r="R58">
        <v>0</v>
      </c>
      <c r="S58">
        <v>76.6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18/09/2026</v>
      </c>
      <c r="AC58" t="str">
        <v>10:43:49</v>
      </c>
      <c r="AD58">
        <f>IF("NOGPS"="NOGPS","GPS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11:07:57</v>
      </c>
      <c r="AK58" t="str">
        <v>11:07:57</v>
      </c>
      <c r="AL58" t="str">
        <v/>
      </c>
    </row>
    <row r="59">
      <c r="A59">
        <v>58</v>
      </c>
      <c r="B59" t="str">
        <v>MASS BSF</v>
      </c>
      <c r="C59" t="str">
        <v>ARY-825</v>
      </c>
      <c r="D59" t="str">
        <v>ARY-825</v>
      </c>
      <c r="E59" t="str">
        <v/>
      </c>
      <c r="F59" t="str">
        <v>867162029858180</v>
      </c>
      <c r="G59" t="str">
        <v/>
      </c>
      <c r="H59" t="str">
        <v/>
      </c>
      <c r="I59" t="str">
        <v/>
      </c>
      <c r="J59" t="str">
        <v>18/09/2026</v>
      </c>
      <c r="K59" t="str">
        <v>11:07:38</v>
      </c>
      <c r="L59">
        <v>-12.202172</v>
      </c>
      <c r="M59">
        <v>-76.925545</v>
      </c>
      <c r="N59">
        <f>HYPERLINK("https://www.google.com/maps/search/?api=1&amp;query=-12.202172,-76.925545","Avenida Unión, Villa María del Triunfo, Lima")</f>
      </c>
      <c r="O59" t="str">
        <v>SOS</v>
      </c>
      <c r="P59">
        <v>269481.5</v>
      </c>
      <c r="Q59" t="str">
        <v/>
      </c>
      <c r="R59">
        <v>0.1</v>
      </c>
      <c r="S59">
        <v>76.6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100</v>
      </c>
      <c r="AB59" t="str">
        <v>18/09/2026</v>
      </c>
      <c r="AC59" t="str">
        <v>11:07:38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18/09/2026 11:08:01</v>
      </c>
      <c r="AK59" t="str">
        <v>11:08:01</v>
      </c>
      <c r="AL59" t="str">
        <v/>
      </c>
    </row>
    <row r="60">
      <c r="A60">
        <v>59</v>
      </c>
      <c r="B60" t="str">
        <v>MASS BSF</v>
      </c>
      <c r="C60" t="str">
        <v>ARY-825</v>
      </c>
      <c r="D60" t="str">
        <v>ARY-825</v>
      </c>
      <c r="E60" t="str">
        <v/>
      </c>
      <c r="F60" t="str">
        <v>867162029858180</v>
      </c>
      <c r="G60" t="str">
        <v/>
      </c>
      <c r="H60" t="str">
        <v/>
      </c>
      <c r="I60" t="str">
        <v/>
      </c>
      <c r="J60" t="str">
        <v>18/09/2026</v>
      </c>
      <c r="K60" t="str">
        <v>11:09:02</v>
      </c>
      <c r="L60">
        <v>-12.202172</v>
      </c>
      <c r="M60">
        <v>-76.925545</v>
      </c>
      <c r="N60">
        <f>HYPERLINK("https://www.google.com/maps/search/?api=1&amp;query=-12.202172,-76.925545","Avenida Unión, Villa María del Triunfo, Lima")</f>
      </c>
      <c r="O60" t="str">
        <v>SOS</v>
      </c>
      <c r="P60">
        <v>269481.5</v>
      </c>
      <c r="Q60" t="str">
        <v/>
      </c>
      <c r="R60">
        <v>0</v>
      </c>
      <c r="S60">
        <v>76.6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100</v>
      </c>
      <c r="AB60" t="str">
        <v>18/09/2026</v>
      </c>
      <c r="AC60" t="str">
        <v>11:09:02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18/09/2026 11:09:20</v>
      </c>
      <c r="AK60" t="str">
        <v>11:09:20</v>
      </c>
      <c r="AL60" t="str">
        <v/>
      </c>
    </row>
    <row r="61">
      <c r="A61">
        <v>60</v>
      </c>
      <c r="B61" t="str">
        <v>MASS BSF</v>
      </c>
      <c r="C61" t="str">
        <v>ARY-825</v>
      </c>
      <c r="D61" t="str">
        <v>ARY-825</v>
      </c>
      <c r="E61" t="str">
        <v/>
      </c>
      <c r="F61" t="str">
        <v>867162029858180</v>
      </c>
      <c r="G61" t="str">
        <v/>
      </c>
      <c r="H61" t="str">
        <v/>
      </c>
      <c r="I61" t="str">
        <v/>
      </c>
      <c r="J61" t="str">
        <v>18/09/2026</v>
      </c>
      <c r="K61" t="str">
        <v>11:09:12</v>
      </c>
      <c r="L61">
        <v>-12.202172</v>
      </c>
      <c r="M61">
        <v>-76.925545</v>
      </c>
      <c r="N61">
        <f>HYPERLINK("https://www.google.com/maps/search/?api=1&amp;query=-12.202172,-76.925545","Avenida Unión, Villa María del Triunfo, Lima")</f>
      </c>
      <c r="O61" t="str">
        <v>SOS</v>
      </c>
      <c r="P61">
        <v>269481.5</v>
      </c>
      <c r="Q61" t="str">
        <v/>
      </c>
      <c r="R61">
        <v>0</v>
      </c>
      <c r="S61">
        <v>76.6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100</v>
      </c>
      <c r="AB61" t="str">
        <v>18/09/2026</v>
      </c>
      <c r="AC61" t="str">
        <v>11:09:11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18/09/2026 11:09:27</v>
      </c>
      <c r="AK61" t="str">
        <v>11:09:27</v>
      </c>
      <c r="AL61" t="str">
        <v/>
      </c>
    </row>
    <row r="62">
      <c r="A62">
        <v>61</v>
      </c>
      <c r="B62" t="str">
        <v>MASS BSF</v>
      </c>
      <c r="C62" t="str">
        <v>ARY-825</v>
      </c>
      <c r="D62" t="str">
        <v>ARY-825</v>
      </c>
      <c r="E62" t="str">
        <v/>
      </c>
      <c r="F62" t="str">
        <v>867162029858180</v>
      </c>
      <c r="G62" t="str">
        <v/>
      </c>
      <c r="H62" t="str">
        <v/>
      </c>
      <c r="I62" t="str">
        <v/>
      </c>
      <c r="J62" t="str">
        <v>18/09/2026</v>
      </c>
      <c r="K62" t="str">
        <v>11:09:32</v>
      </c>
      <c r="L62">
        <v>-12.202186</v>
      </c>
      <c r="M62">
        <v>-76.92551</v>
      </c>
      <c r="N62">
        <f>HYPERLINK("https://www.google.com/maps/search/?api=1&amp;query=-12.202186,-76.92551","Avenida Unión, Villa María del Triunfo, Lima")</f>
      </c>
      <c r="O62" t="str">
        <v>SOS</v>
      </c>
      <c r="P62">
        <v>269481.5</v>
      </c>
      <c r="Q62" t="str">
        <v/>
      </c>
      <c r="R62">
        <v>5.1</v>
      </c>
      <c r="S62">
        <v>76.6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100</v>
      </c>
      <c r="AB62" t="str">
        <v>18/09/2026</v>
      </c>
      <c r="AC62" t="str">
        <v>11:09:32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18/09/2026 11:09:45</v>
      </c>
      <c r="AK62" t="str">
        <v>11:09:45</v>
      </c>
      <c r="AL62" t="str">
        <v/>
      </c>
    </row>
    <row r="63">
      <c r="A63">
        <v>62</v>
      </c>
      <c r="B63" t="str">
        <v>MASS BSF</v>
      </c>
      <c r="C63" t="str">
        <v>ARY-825</v>
      </c>
      <c r="D63" t="str">
        <v>ARY-825</v>
      </c>
      <c r="E63" t="str">
        <v/>
      </c>
      <c r="F63" t="str">
        <v>867162029858180</v>
      </c>
      <c r="G63" t="str">
        <v/>
      </c>
      <c r="H63" t="str">
        <v/>
      </c>
      <c r="I63" t="str">
        <v/>
      </c>
      <c r="J63" t="str">
        <v>18/09/2026</v>
      </c>
      <c r="K63" t="str">
        <v>11:12:51</v>
      </c>
      <c r="L63">
        <v>-12.207034</v>
      </c>
      <c r="M63">
        <v>-76.92771</v>
      </c>
      <c r="N63">
        <f>HYPERLINK("https://www.google.com/maps/search/?api=1&amp;query=-12.207034,-76.92771","Avenida Pachacútec, Villa María del Triunfo, Lima")</f>
      </c>
      <c r="O63" t="str">
        <v>SOS</v>
      </c>
      <c r="P63">
        <v>269482.5</v>
      </c>
      <c r="Q63" t="str">
        <v/>
      </c>
      <c r="R63">
        <v>35.1</v>
      </c>
      <c r="S63">
        <v>76.6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100</v>
      </c>
      <c r="AB63" t="str">
        <v>18/09/2026</v>
      </c>
      <c r="AC63" t="str">
        <v>11:12:50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18/09/2026 11:13:08</v>
      </c>
      <c r="AK63" t="str">
        <v>11:13:08</v>
      </c>
      <c r="AL63" t="str">
        <v/>
      </c>
    </row>
    <row r="64">
      <c r="A64">
        <v>63</v>
      </c>
      <c r="B64" t="str">
        <v>MASS BSF</v>
      </c>
      <c r="C64" t="str">
        <v>ARY-825</v>
      </c>
      <c r="D64" t="str">
        <v>ARY-825</v>
      </c>
      <c r="E64" t="str">
        <v/>
      </c>
      <c r="F64" t="str">
        <v>867162029858180</v>
      </c>
      <c r="G64" t="str">
        <v/>
      </c>
      <c r="H64" t="str">
        <v/>
      </c>
      <c r="I64" t="str">
        <v/>
      </c>
      <c r="J64" t="str">
        <v>18/09/2026</v>
      </c>
      <c r="K64" t="str">
        <v>11:28:33</v>
      </c>
      <c r="L64">
        <v>-12.260521</v>
      </c>
      <c r="M64">
        <v>-76.91482</v>
      </c>
      <c r="N64">
        <f>HYPERLINK("https://www.google.com/maps/search/?api=1&amp;query=-12.260521,-76.91482","Carretera Panamericana Sur, Lurín, Lima")</f>
      </c>
      <c r="O64" t="str">
        <v>Excedió el límite de velocidad</v>
      </c>
      <c r="P64">
        <v>269492.4</v>
      </c>
      <c r="Q64" t="str">
        <v/>
      </c>
      <c r="R64">
        <v>85.7</v>
      </c>
      <c r="S64">
        <v>76.6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100</v>
      </c>
      <c r="AB64" t="str">
        <v>18/09/2026</v>
      </c>
      <c r="AC64" t="str">
        <v>11:28:32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18/09/2026 11:31:59</v>
      </c>
      <c r="AK64" t="str">
        <v>11:31:59</v>
      </c>
      <c r="AL64" t="str">
        <v/>
      </c>
    </row>
    <row r="65">
      <c r="A65">
        <v>64</v>
      </c>
      <c r="B65" t="str">
        <v>MASS BSF</v>
      </c>
      <c r="C65" t="str">
        <v>ARY-825</v>
      </c>
      <c r="D65" t="str">
        <v>ARY-825</v>
      </c>
      <c r="E65" t="str">
        <v/>
      </c>
      <c r="F65" t="str">
        <v>867162029858180</v>
      </c>
      <c r="G65" t="str">
        <v/>
      </c>
      <c r="H65" t="str">
        <v/>
      </c>
      <c r="I65" t="str">
        <v/>
      </c>
      <c r="J65" t="str">
        <v>18/09/2026</v>
      </c>
      <c r="K65" t="str">
        <v>11:29:00</v>
      </c>
      <c r="L65">
        <v>-12.263432</v>
      </c>
      <c r="M65">
        <v>-76.91007</v>
      </c>
      <c r="N65">
        <f>HYPERLINK("https://www.google.com/maps/search/?api=1&amp;query=-12.263432,-76.91007","Carretera Panamericana Sur, Lurín, Lima")</f>
      </c>
      <c r="O65" t="str">
        <v>Excedió el límite de velocidad</v>
      </c>
      <c r="P65">
        <v>269493</v>
      </c>
      <c r="Q65" t="str">
        <v/>
      </c>
      <c r="R65">
        <v>80.6</v>
      </c>
      <c r="S65">
        <v>76.6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100</v>
      </c>
      <c r="AB65" t="str">
        <v>18/09/2026</v>
      </c>
      <c r="AC65" t="str">
        <v>11:28:59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18/09/2026 11:32:04</v>
      </c>
      <c r="AK65" t="str">
        <v>11:32:04</v>
      </c>
      <c r="AL65" t="str">
        <v/>
      </c>
    </row>
    <row r="66">
      <c r="A66">
        <v>65</v>
      </c>
      <c r="B66" t="str">
        <v>MASS BSF</v>
      </c>
      <c r="C66" t="str">
        <v>ARY-825</v>
      </c>
      <c r="D66" t="str">
        <v>ARY-825</v>
      </c>
      <c r="E66" t="str">
        <v/>
      </c>
      <c r="F66" t="str">
        <v>867162029858180</v>
      </c>
      <c r="G66" t="str">
        <v/>
      </c>
      <c r="H66" t="str">
        <v/>
      </c>
      <c r="I66" t="str">
        <v/>
      </c>
      <c r="J66" t="str">
        <v>18/09/2026</v>
      </c>
      <c r="K66" t="str">
        <v>11:29:21</v>
      </c>
      <c r="L66">
        <v>-12.265736</v>
      </c>
      <c r="M66">
        <v>-76.90642</v>
      </c>
      <c r="N66">
        <f>HYPERLINK("https://www.google.com/maps/search/?api=1&amp;query=-12.265736,-76.90642","Carretera Panamericana Sur, Lurín, Lima")</f>
      </c>
      <c r="O66" t="str">
        <v>Excedió el límite de velocidad</v>
      </c>
      <c r="P66">
        <v>269493.4</v>
      </c>
      <c r="Q66" t="str">
        <v/>
      </c>
      <c r="R66">
        <v>83.8</v>
      </c>
      <c r="S66">
        <v>76.6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100</v>
      </c>
      <c r="AB66" t="str">
        <v>18/09/2026</v>
      </c>
      <c r="AC66" t="str">
        <v>11:29:20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18/09/2026 11:31:58</v>
      </c>
      <c r="AK66" t="str">
        <v>11:31:58</v>
      </c>
      <c r="AL66" t="str">
        <v/>
      </c>
    </row>
    <row r="67">
      <c r="A67">
        <v>66</v>
      </c>
      <c r="B67" t="str">
        <v>MASS BSF</v>
      </c>
      <c r="C67" t="str">
        <v>ARY-825</v>
      </c>
      <c r="D67" t="str">
        <v>ARY-825</v>
      </c>
      <c r="E67" t="str">
        <v/>
      </c>
      <c r="F67" t="str">
        <v>867162029858180</v>
      </c>
      <c r="G67" t="str">
        <v/>
      </c>
      <c r="H67" t="str">
        <v/>
      </c>
      <c r="I67" t="str">
        <v/>
      </c>
      <c r="J67" t="str">
        <v>18/09/2026</v>
      </c>
      <c r="K67" t="str">
        <v>11:30:15</v>
      </c>
      <c r="L67">
        <v>-12.271749</v>
      </c>
      <c r="M67">
        <v>-76.89685</v>
      </c>
      <c r="N67">
        <f>HYPERLINK("https://www.google.com/maps/search/?api=1&amp;query=-12.271749,-76.89685","Carretera Panamericana Sur, Lurín, Lima")</f>
      </c>
      <c r="O67" t="str">
        <v>Excedió el límite de velocidad</v>
      </c>
      <c r="P67">
        <v>269494.7</v>
      </c>
      <c r="Q67" t="str">
        <v/>
      </c>
      <c r="R67">
        <v>84.2</v>
      </c>
      <c r="S67">
        <v>76.6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100</v>
      </c>
      <c r="AB67" t="str">
        <v>18/09/2026</v>
      </c>
      <c r="AC67" t="str">
        <v>11:30:14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18/09/2026 11:32:06</v>
      </c>
      <c r="AK67" t="str">
        <v>11:32:06</v>
      </c>
      <c r="AL67" t="str">
        <v/>
      </c>
    </row>
    <row r="68">
      <c r="A68">
        <v>67</v>
      </c>
      <c r="B68" t="str">
        <v>MASS BSF</v>
      </c>
      <c r="C68" t="str">
        <v>ARY-825</v>
      </c>
      <c r="D68" t="str">
        <v>ARY-825</v>
      </c>
      <c r="E68" t="str">
        <v/>
      </c>
      <c r="F68" t="str">
        <v>867162029858180</v>
      </c>
      <c r="G68" t="str">
        <v/>
      </c>
      <c r="H68" t="str">
        <v/>
      </c>
      <c r="I68" t="str">
        <v/>
      </c>
      <c r="J68" t="str">
        <v>18/09/2026</v>
      </c>
      <c r="K68" t="str">
        <v>11:31:36</v>
      </c>
      <c r="L68">
        <v>-12.280151</v>
      </c>
      <c r="M68">
        <v>-76.88345</v>
      </c>
      <c r="N68">
        <f>HYPERLINK("https://www.google.com/maps/search/?api=1&amp;query=-12.280151,-76.88345","Carretera Panamericana Sur, Lurín, Lima")</f>
      </c>
      <c r="O68" t="str">
        <v>Excedió el límite de velocidad</v>
      </c>
      <c r="P68">
        <v>269496.4</v>
      </c>
      <c r="Q68" t="str">
        <v/>
      </c>
      <c r="R68">
        <v>82.5</v>
      </c>
      <c r="S68">
        <v>76.6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100</v>
      </c>
      <c r="AB68" t="str">
        <v>18/09/2026</v>
      </c>
      <c r="AC68" t="str">
        <v>11:31:35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18/09/2026 11:32:10</v>
      </c>
      <c r="AK68" t="str">
        <v>11:32:10</v>
      </c>
      <c r="AL68" t="str">
        <v/>
      </c>
    </row>
    <row r="69">
      <c r="A69">
        <v>68</v>
      </c>
      <c r="B69" t="str">
        <v>MASS BSF</v>
      </c>
      <c r="C69" t="str">
        <v>ARY-825</v>
      </c>
      <c r="D69" t="str">
        <v>ARY-825</v>
      </c>
      <c r="E69" t="str">
        <v/>
      </c>
      <c r="F69" t="str">
        <v>867162029858180</v>
      </c>
      <c r="G69" t="str">
        <v/>
      </c>
      <c r="H69" t="str">
        <v/>
      </c>
      <c r="I69" t="str">
        <v/>
      </c>
      <c r="J69" t="str">
        <v>18/09/2026</v>
      </c>
      <c r="K69" t="str">
        <v>11:36:00</v>
      </c>
      <c r="L69">
        <v>-12.306872</v>
      </c>
      <c r="M69">
        <v>-76.83794</v>
      </c>
      <c r="N69">
        <f>HYPERLINK("https://www.google.com/maps/search/?api=1&amp;query=-12.306872,-76.83794","Carretera Panamericana Sur, Punta Hermosa, Lima")</f>
      </c>
      <c r="O69" t="str">
        <v>Excedió el límite de velocidad</v>
      </c>
      <c r="P69">
        <v>269502.2</v>
      </c>
      <c r="Q69" t="str">
        <v/>
      </c>
      <c r="R69">
        <v>82</v>
      </c>
      <c r="S69">
        <v>76.6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100</v>
      </c>
      <c r="AB69" t="str">
        <v>18/09/2026</v>
      </c>
      <c r="AC69" t="str">
        <v>11:35:59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18/09/2026 11:38:02</v>
      </c>
      <c r="AK69" t="str">
        <v>11:38:02</v>
      </c>
      <c r="AL69" t="str">
        <v/>
      </c>
    </row>
    <row r="70">
      <c r="A70">
        <v>69</v>
      </c>
      <c r="B70" t="str">
        <v>MASS BSF</v>
      </c>
      <c r="C70" t="str">
        <v>ARY-825</v>
      </c>
      <c r="D70" t="str">
        <v>ARY-825</v>
      </c>
      <c r="E70" t="str">
        <v/>
      </c>
      <c r="F70" t="str">
        <v>867162029858180</v>
      </c>
      <c r="G70" t="str">
        <v/>
      </c>
      <c r="H70" t="str">
        <v/>
      </c>
      <c r="I70" t="str">
        <v/>
      </c>
      <c r="J70" t="str">
        <v>18/09/2026</v>
      </c>
      <c r="K70" t="str">
        <v>11:36:18</v>
      </c>
      <c r="L70">
        <v>-12.309809</v>
      </c>
      <c r="M70">
        <v>-76.83575</v>
      </c>
      <c r="N70">
        <f>HYPERLINK("https://www.google.com/maps/search/?api=1&amp;query=-12.309809,-76.83575","Carretera Panamericana Sur, Punta Hermosa, Lima")</f>
      </c>
      <c r="O70" t="str">
        <v>Excedió el límite de velocidad</v>
      </c>
      <c r="P70">
        <v>269502.6</v>
      </c>
      <c r="Q70" t="str">
        <v/>
      </c>
      <c r="R70">
        <v>83</v>
      </c>
      <c r="S70">
        <v>76.6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100</v>
      </c>
      <c r="AB70" t="str">
        <v>18/09/2026</v>
      </c>
      <c r="AC70" t="str">
        <v>11:36:17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18/09/2026 11:38:02</v>
      </c>
      <c r="AK70" t="str">
        <v>11:38:02</v>
      </c>
      <c r="AL70" t="str">
        <v/>
      </c>
    </row>
    <row r="71">
      <c r="A71">
        <v>70</v>
      </c>
      <c r="B71" t="str">
        <v>MASS BSF</v>
      </c>
      <c r="C71" t="str">
        <v>ARY-825</v>
      </c>
      <c r="D71" t="str">
        <v>ARY-825</v>
      </c>
      <c r="E71" t="str">
        <v/>
      </c>
      <c r="F71" t="str">
        <v>867162029858180</v>
      </c>
      <c r="G71" t="str">
        <v/>
      </c>
      <c r="H71" t="str">
        <v/>
      </c>
      <c r="I71" t="str">
        <v/>
      </c>
      <c r="J71" t="str">
        <v>18/09/2026</v>
      </c>
      <c r="K71" t="str">
        <v>11:36:34</v>
      </c>
      <c r="L71">
        <v>-12.311941</v>
      </c>
      <c r="M71">
        <v>-76.834335</v>
      </c>
      <c r="N71">
        <f>HYPERLINK("https://www.google.com/maps/search/?api=1&amp;query=-12.311941,-76.834335","Carretera Panamericana Sur, Punta Hermosa, Lima")</f>
      </c>
      <c r="O71" t="str">
        <v>Exceso de velocidad en segmento vial</v>
      </c>
      <c r="P71">
        <v>269503</v>
      </c>
      <c r="Q71" t="str">
        <v/>
      </c>
      <c r="R71">
        <v>81.5</v>
      </c>
      <c r="S71">
        <v>76.6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100</v>
      </c>
      <c r="AB71" t="str">
        <v>18/09/2026</v>
      </c>
      <c r="AC71" t="str">
        <v>11:36:29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18/09/2026 11:38:02</v>
      </c>
      <c r="AK71" t="str">
        <v>11:38:02</v>
      </c>
      <c r="AL71" t="str">
        <v/>
      </c>
    </row>
    <row r="72">
      <c r="A72">
        <v>71</v>
      </c>
      <c r="B72" t="str">
        <v>MASS BSF</v>
      </c>
      <c r="C72" t="str">
        <v>ARY-825</v>
      </c>
      <c r="D72" t="str">
        <v>ARY-825</v>
      </c>
      <c r="E72" t="str">
        <v/>
      </c>
      <c r="F72" t="str">
        <v>867162029858180</v>
      </c>
      <c r="G72" t="str">
        <v/>
      </c>
      <c r="H72" t="str">
        <v/>
      </c>
      <c r="I72" t="str">
        <v/>
      </c>
      <c r="J72" t="str">
        <v>18/09/2026</v>
      </c>
      <c r="K72" t="str">
        <v>11:37:42</v>
      </c>
      <c r="L72">
        <v>-12.323397</v>
      </c>
      <c r="M72">
        <v>-76.82666</v>
      </c>
      <c r="N72">
        <f>HYPERLINK("https://www.google.com/maps/search/?api=1&amp;query=-12.323397,-76.82666","Carretera Panamericana Sur, Punta Hermosa, Lima")</f>
      </c>
      <c r="O72" t="str">
        <v>Excedió el límite de velocidad</v>
      </c>
      <c r="P72">
        <v>269504.4</v>
      </c>
      <c r="Q72" t="str">
        <v/>
      </c>
      <c r="R72">
        <v>83.5</v>
      </c>
      <c r="S72">
        <v>76.6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100</v>
      </c>
      <c r="AB72" t="str">
        <v>18/09/2026</v>
      </c>
      <c r="AC72" t="str">
        <v>11:37:41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18/09/2026 11:38:03</v>
      </c>
      <c r="AK72" t="str">
        <v>11:38:03</v>
      </c>
      <c r="AL72" t="str">
        <v/>
      </c>
    </row>
    <row r="73">
      <c r="A73">
        <v>72</v>
      </c>
      <c r="B73" t="str">
        <v>MASS BSF</v>
      </c>
      <c r="C73" t="str">
        <v>ARY-825</v>
      </c>
      <c r="D73" t="str">
        <v>ARY-825</v>
      </c>
      <c r="E73" t="str">
        <v/>
      </c>
      <c r="F73" t="str">
        <v>867162029858180</v>
      </c>
      <c r="G73" t="str">
        <v/>
      </c>
      <c r="H73" t="str">
        <v/>
      </c>
      <c r="I73" t="str">
        <v/>
      </c>
      <c r="J73" t="str">
        <v>18/09/2026</v>
      </c>
      <c r="K73" t="str">
        <v>11:38:34</v>
      </c>
      <c r="L73">
        <v>-12.332959</v>
      </c>
      <c r="M73">
        <v>-76.82031</v>
      </c>
      <c r="N73">
        <f>HYPERLINK("https://www.google.com/maps/search/?api=1&amp;query=-12.332959,-76.82031","Carretera Panamericana Sur, Punta Hermosa, Lima")</f>
      </c>
      <c r="O73" t="str">
        <v>Exceso de velocidad en segmento vial</v>
      </c>
      <c r="P73">
        <v>269505.8</v>
      </c>
      <c r="Q73" t="str">
        <v/>
      </c>
      <c r="R73">
        <v>88.3</v>
      </c>
      <c r="S73">
        <v>76.6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100</v>
      </c>
      <c r="AB73" t="str">
        <v>18/09/2026</v>
      </c>
      <c r="AC73" t="str">
        <v>11:38:29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18/09/2026 11:38:55</v>
      </c>
      <c r="AK73" t="str">
        <v>11:38:55</v>
      </c>
      <c r="AL73" t="str">
        <v/>
      </c>
    </row>
    <row r="74">
      <c r="A74">
        <v>73</v>
      </c>
      <c r="B74" t="str">
        <v>MASS BSF</v>
      </c>
      <c r="C74" t="str">
        <v>ARY-825</v>
      </c>
      <c r="D74" t="str">
        <v>ARY-825</v>
      </c>
      <c r="E74" t="str">
        <v/>
      </c>
      <c r="F74" t="str">
        <v>867162029858180</v>
      </c>
      <c r="G74" t="str">
        <v/>
      </c>
      <c r="H74" t="str">
        <v/>
      </c>
      <c r="I74" t="str">
        <v/>
      </c>
      <c r="J74" t="str">
        <v>18/09/2026</v>
      </c>
      <c r="K74" t="str">
        <v>11:40:48</v>
      </c>
      <c r="L74">
        <v>-12.32454</v>
      </c>
      <c r="M74">
        <v>-76.825745</v>
      </c>
      <c r="N74">
        <f>HYPERLINK("https://www.google.com/maps/search/?api=1&amp;query=-12.32454,-76.825745","Carretera Panamericana Sur, Punta Hermosa, Lima")</f>
      </c>
      <c r="O74" t="str">
        <v>Excedió el límite de velocidad</v>
      </c>
      <c r="P74">
        <v>269507.7</v>
      </c>
      <c r="Q74" t="str">
        <v/>
      </c>
      <c r="R74">
        <v>80.7</v>
      </c>
      <c r="S74">
        <v>76.6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100</v>
      </c>
      <c r="AB74" t="str">
        <v>18/09/2026</v>
      </c>
      <c r="AC74" t="str">
        <v>11:40:47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18/09/2026 11:41:09</v>
      </c>
      <c r="AK74" t="str">
        <v>11:41:09</v>
      </c>
      <c r="AL74" t="str">
        <v/>
      </c>
    </row>
    <row r="75">
      <c r="A75">
        <v>74</v>
      </c>
      <c r="B75" t="str">
        <v>MASS BSF</v>
      </c>
      <c r="C75" t="str">
        <v>ARY-825</v>
      </c>
      <c r="D75" t="str">
        <v>ARY-825</v>
      </c>
      <c r="E75" t="str">
        <v/>
      </c>
      <c r="F75" t="str">
        <v>867162029858180</v>
      </c>
      <c r="G75" t="str">
        <v/>
      </c>
      <c r="H75" t="str">
        <v/>
      </c>
      <c r="I75" t="str">
        <v/>
      </c>
      <c r="J75" t="str">
        <v>18/09/2026</v>
      </c>
      <c r="K75" t="str">
        <v>11:47:55</v>
      </c>
      <c r="L75">
        <v>-12.317403</v>
      </c>
      <c r="M75">
        <v>-76.822945</v>
      </c>
      <c r="N75">
        <f>HYPERLINK("https://www.google.com/maps/search/?api=1&amp;query=-12.317403,-76.822945","Punta Hermosa, Lima")</f>
      </c>
      <c r="O75" t="str">
        <v>Vehículo apagado</v>
      </c>
      <c r="P75">
        <v>269509.6</v>
      </c>
      <c r="Q75" t="str">
        <v/>
      </c>
      <c r="R75">
        <v>0</v>
      </c>
      <c r="S75">
        <v>77.27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100</v>
      </c>
      <c r="AB75" t="str">
        <v>18/09/2026</v>
      </c>
      <c r="AC75" t="str">
        <v>11:47:58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18/09/2026 11:48:17</v>
      </c>
      <c r="AK75" t="str">
        <v>11:48:17</v>
      </c>
      <c r="AL75" t="str">
        <v/>
      </c>
    </row>
    <row r="76">
      <c r="A76">
        <v>75</v>
      </c>
      <c r="B76" t="str">
        <v>MASS BSF</v>
      </c>
      <c r="C76" t="str">
        <v>ARY-825</v>
      </c>
      <c r="D76" t="str">
        <v>ARY-825</v>
      </c>
      <c r="E76" t="str">
        <v/>
      </c>
      <c r="F76" t="str">
        <v>867162029858180</v>
      </c>
      <c r="G76" t="str">
        <v/>
      </c>
      <c r="H76" t="str">
        <v/>
      </c>
      <c r="I76" t="str">
        <v/>
      </c>
      <c r="J76" t="str">
        <v>18/09/2026</v>
      </c>
      <c r="K76" t="str">
        <v>12:00:05</v>
      </c>
      <c r="L76">
        <v>-12.317403</v>
      </c>
      <c r="M76">
        <v>-76.822945</v>
      </c>
      <c r="N76">
        <f>HYPERLINK("https://www.google.com/maps/search/?api=1&amp;query=-12.317403,-76.822945","Punta Hermosa, Lima")</f>
      </c>
      <c r="O76" t="str">
        <v>Vehículo encendido</v>
      </c>
      <c r="P76">
        <v>269509.6</v>
      </c>
      <c r="Q76" t="str">
        <v/>
      </c>
      <c r="R76">
        <v>0</v>
      </c>
      <c r="S76">
        <v>77.27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100</v>
      </c>
      <c r="AB76" t="str">
        <v>18/09/2026</v>
      </c>
      <c r="AC76" t="str">
        <v>11:47:58</v>
      </c>
      <c r="AD76">
        <f>IF("NOGPS"="NOGPS","GPS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18/09/2026 12:00:24</v>
      </c>
      <c r="AK76" t="str">
        <v>12:00:24</v>
      </c>
      <c r="AL76" t="str">
        <v/>
      </c>
    </row>
    <row r="77">
      <c r="A77">
        <v>76</v>
      </c>
      <c r="B77" t="str">
        <v>MASS BSF</v>
      </c>
      <c r="C77" t="str">
        <v>ARY-825</v>
      </c>
      <c r="D77" t="str">
        <v>ARY-825</v>
      </c>
      <c r="E77" t="str">
        <v/>
      </c>
      <c r="F77" t="str">
        <v>867162029858180</v>
      </c>
      <c r="G77" t="str">
        <v/>
      </c>
      <c r="H77" t="str">
        <v/>
      </c>
      <c r="I77" t="str">
        <v/>
      </c>
      <c r="J77" t="str">
        <v>18/09/2026</v>
      </c>
      <c r="K77" t="str">
        <v>12:01:45</v>
      </c>
      <c r="L77">
        <v>-12.317957</v>
      </c>
      <c r="M77">
        <v>-76.82422</v>
      </c>
      <c r="N77">
        <f>HYPERLINK("https://www.google.com/maps/search/?api=1&amp;query=-12.317957,-76.82422","Punta Hermosa, Lima")</f>
      </c>
      <c r="O77" t="str">
        <v>Vehículo apagado</v>
      </c>
      <c r="P77">
        <v>269509.8</v>
      </c>
      <c r="Q77" t="str">
        <v/>
      </c>
      <c r="R77">
        <v>8.4</v>
      </c>
      <c r="S77">
        <v>77.3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100</v>
      </c>
      <c r="AB77" t="str">
        <v>18/09/2026</v>
      </c>
      <c r="AC77" t="str">
        <v>12:01:28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18/09/2026 12:01:56</v>
      </c>
      <c r="AK77" t="str">
        <v>12:01:56</v>
      </c>
      <c r="AL77" t="str">
        <v/>
      </c>
    </row>
    <row r="78">
      <c r="A78">
        <v>77</v>
      </c>
      <c r="B78" t="str">
        <v>MASS BSF</v>
      </c>
      <c r="C78" t="str">
        <v>ARY-825</v>
      </c>
      <c r="D78" t="str">
        <v>ARY-825</v>
      </c>
      <c r="E78" t="str">
        <v/>
      </c>
      <c r="F78" t="str">
        <v>867162029858180</v>
      </c>
      <c r="G78" t="str">
        <v/>
      </c>
      <c r="H78" t="str">
        <v/>
      </c>
      <c r="I78" t="str">
        <v/>
      </c>
      <c r="J78" t="str">
        <v>18/09/2026</v>
      </c>
      <c r="K78" t="str">
        <v>12:23:59</v>
      </c>
      <c r="L78">
        <v>-12.317932</v>
      </c>
      <c r="M78">
        <v>-76.8241</v>
      </c>
      <c r="N78">
        <f>HYPERLINK("https://www.google.com/maps/search/?api=1&amp;query=-12.317932,-76.8241","Punta Hermosa, Lima")</f>
      </c>
      <c r="O78" t="str">
        <v>Vehículo encendido</v>
      </c>
      <c r="P78">
        <v>269509.8</v>
      </c>
      <c r="Q78" t="str">
        <v/>
      </c>
      <c r="R78">
        <v>0</v>
      </c>
      <c r="S78">
        <v>77.3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100</v>
      </c>
      <c r="AB78" t="str">
        <v>18/09/2026</v>
      </c>
      <c r="AC78" t="str">
        <v>12:01:48</v>
      </c>
      <c r="AD78">
        <f>IF("NOGPS"="NOGPS","GPS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18/09/2026 12:24:16</v>
      </c>
      <c r="AK78" t="str">
        <v>12:24:16</v>
      </c>
      <c r="AL78" t="str">
        <v/>
      </c>
    </row>
    <row r="79">
      <c r="A79">
        <v>78</v>
      </c>
      <c r="B79" t="str">
        <v>MASS BSF</v>
      </c>
      <c r="C79" t="str">
        <v>ARY-825</v>
      </c>
      <c r="D79" t="str">
        <v>ARY-825</v>
      </c>
      <c r="E79" t="str">
        <v/>
      </c>
      <c r="F79" t="str">
        <v>867162029858180</v>
      </c>
      <c r="G79" t="str">
        <v/>
      </c>
      <c r="H79" t="str">
        <v/>
      </c>
      <c r="I79" t="str">
        <v/>
      </c>
      <c r="J79" t="str">
        <v>18/09/2026</v>
      </c>
      <c r="K79" t="str">
        <v>12:29:46</v>
      </c>
      <c r="L79">
        <v>-12.312011</v>
      </c>
      <c r="M79">
        <v>-76.83416</v>
      </c>
      <c r="N79">
        <f>HYPERLINK("https://www.google.com/maps/search/?api=1&amp;query=-12.312011,-76.83416","Carretera Panamericana Sur, Punta Hermosa, Lima")</f>
      </c>
      <c r="O79" t="str">
        <v>Excedió el límite de velocidad</v>
      </c>
      <c r="P79">
        <v>269511.5</v>
      </c>
      <c r="Q79" t="str">
        <v/>
      </c>
      <c r="R79">
        <v>91.2</v>
      </c>
      <c r="S79">
        <v>77.3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100</v>
      </c>
      <c r="AB79" t="str">
        <v>18/09/2026</v>
      </c>
      <c r="AC79" t="str">
        <v>12:29:45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18/09/2026 12:30:20</v>
      </c>
      <c r="AK79" t="str">
        <v>12:30:20</v>
      </c>
      <c r="AL79" t="str">
        <v/>
      </c>
    </row>
    <row r="80">
      <c r="A80">
        <v>79</v>
      </c>
      <c r="B80" t="str">
        <v>MASS BSF</v>
      </c>
      <c r="C80" t="str">
        <v>ARY-825</v>
      </c>
      <c r="D80" t="str">
        <v>ARY-825</v>
      </c>
      <c r="E80" t="str">
        <v/>
      </c>
      <c r="F80" t="str">
        <v>867162029858180</v>
      </c>
      <c r="G80" t="str">
        <v/>
      </c>
      <c r="H80" t="str">
        <v/>
      </c>
      <c r="I80" t="str">
        <v/>
      </c>
      <c r="J80" t="str">
        <v>18/09/2026</v>
      </c>
      <c r="K80" t="str">
        <v>12:37:22</v>
      </c>
      <c r="L80">
        <v>-12.255888</v>
      </c>
      <c r="M80">
        <v>-76.92184</v>
      </c>
      <c r="N80">
        <f>HYPERLINK("https://www.google.com/maps/search/?api=1&amp;query=-12.255888,-76.92184","Carretera Panamericana Sur, Lurín, Lima")</f>
      </c>
      <c r="O80" t="str">
        <v>Excedió el límite de velocidad</v>
      </c>
      <c r="P80">
        <v>269522.9</v>
      </c>
      <c r="Q80" t="str">
        <v/>
      </c>
      <c r="R80">
        <v>86.3</v>
      </c>
      <c r="S80">
        <v>77.3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100</v>
      </c>
      <c r="AB80" t="str">
        <v>18/09/2026</v>
      </c>
      <c r="AC80" t="str">
        <v>12:37:21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18/09/2026 12:37:32</v>
      </c>
      <c r="AK80" t="str">
        <v>12:37:32</v>
      </c>
      <c r="AL80" t="str">
        <v/>
      </c>
    </row>
    <row r="81">
      <c r="A81">
        <v>80</v>
      </c>
      <c r="B81" t="str">
        <v>MASS BSF</v>
      </c>
      <c r="C81" t="str">
        <v>ARY-825</v>
      </c>
      <c r="D81" t="str">
        <v>ARY-825</v>
      </c>
      <c r="E81" t="str">
        <v/>
      </c>
      <c r="F81" t="str">
        <v>867162029858180</v>
      </c>
      <c r="G81" t="str">
        <v/>
      </c>
      <c r="H81" t="str">
        <v/>
      </c>
      <c r="I81" t="str">
        <v/>
      </c>
      <c r="J81" t="str">
        <v>18/09/2026</v>
      </c>
      <c r="K81" t="str">
        <v>12:38:37</v>
      </c>
      <c r="L81">
        <v>-12.247503</v>
      </c>
      <c r="M81">
        <v>-76.93423</v>
      </c>
      <c r="N81">
        <f>HYPERLINK("https://www.google.com/maps/search/?api=1&amp;query=-12.247503,-76.93423","Carretera Panamericana Sur, Villa El Salvador, Lima")</f>
      </c>
      <c r="O81" t="str">
        <v>Excedió el límite de velocidad</v>
      </c>
      <c r="P81">
        <v>269524.6</v>
      </c>
      <c r="Q81" t="str">
        <v/>
      </c>
      <c r="R81">
        <v>87.9</v>
      </c>
      <c r="S81">
        <v>77.3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100</v>
      </c>
      <c r="AB81" t="str">
        <v>18/09/2026</v>
      </c>
      <c r="AC81" t="str">
        <v>12:38:36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18/09/2026 12:45:06</v>
      </c>
      <c r="AK81" t="str">
        <v>12:45:06</v>
      </c>
      <c r="AL81" t="str">
        <v/>
      </c>
    </row>
    <row r="82">
      <c r="A82">
        <v>81</v>
      </c>
      <c r="B82" t="str">
        <v>MASS BSF</v>
      </c>
      <c r="C82" t="str">
        <v>ARY-825</v>
      </c>
      <c r="D82" t="str">
        <v>ARY-825</v>
      </c>
      <c r="E82" t="str">
        <v/>
      </c>
      <c r="F82" t="str">
        <v>867162029858180</v>
      </c>
      <c r="G82" t="str">
        <v/>
      </c>
      <c r="H82" t="str">
        <v/>
      </c>
      <c r="I82" t="str">
        <v/>
      </c>
      <c r="J82" t="str">
        <v>18/09/2026</v>
      </c>
      <c r="K82" t="str">
        <v>12:39:46</v>
      </c>
      <c r="L82">
        <v>-12.241069</v>
      </c>
      <c r="M82">
        <v>-76.94646</v>
      </c>
      <c r="N82">
        <f>HYPERLINK("https://www.google.com/maps/search/?api=1&amp;query=-12.241069,-76.94646","Carretera Panamericana Sur, Villa El Salvador, Lima")</f>
      </c>
      <c r="O82" t="str">
        <v>Excedió el límite de velocidad</v>
      </c>
      <c r="P82">
        <v>269526.1</v>
      </c>
      <c r="Q82" t="str">
        <v/>
      </c>
      <c r="R82">
        <v>83</v>
      </c>
      <c r="S82">
        <v>77.3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100</v>
      </c>
      <c r="AB82" t="str">
        <v>18/09/2026</v>
      </c>
      <c r="AC82" t="str">
        <v>12:39:45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18/09/2026 12:45:06</v>
      </c>
      <c r="AK82" t="str">
        <v>12:45:06</v>
      </c>
      <c r="AL82" t="str">
        <v/>
      </c>
    </row>
    <row r="83">
      <c r="A83">
        <v>82</v>
      </c>
      <c r="B83" t="str">
        <v>MASS BSF</v>
      </c>
      <c r="C83" t="str">
        <v>ARY-825</v>
      </c>
      <c r="D83" t="str">
        <v>ARY-825</v>
      </c>
      <c r="E83" t="str">
        <v/>
      </c>
      <c r="F83" t="str">
        <v>867162029858180</v>
      </c>
      <c r="G83" t="str">
        <v/>
      </c>
      <c r="H83" t="str">
        <v/>
      </c>
      <c r="I83" t="str">
        <v/>
      </c>
      <c r="J83" t="str">
        <v>18/09/2026</v>
      </c>
      <c r="K83" t="str">
        <v>12:54:03</v>
      </c>
      <c r="L83">
        <v>-12.189069</v>
      </c>
      <c r="M83">
        <v>-76.97239</v>
      </c>
      <c r="N83">
        <f>HYPERLINK("https://www.google.com/maps/search/?api=1&amp;query=-12.189069,-76.97239","Avenida Prolongación Pedro Miotta, San Juan de Miraflores, Lima")</f>
      </c>
      <c r="O83" t="str">
        <v>Exceso de velocidad en segmento vial</v>
      </c>
      <c r="P83">
        <v>269533.7</v>
      </c>
      <c r="Q83" t="str">
        <v/>
      </c>
      <c r="R83">
        <v>53.8</v>
      </c>
      <c r="S83">
        <v>77.3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100</v>
      </c>
      <c r="AB83" t="str">
        <v>18/09/2026</v>
      </c>
      <c r="AC83" t="str">
        <v>12:54:00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18/09/2026 12:54:26</v>
      </c>
      <c r="AK83" t="str">
        <v>12:54:26</v>
      </c>
      <c r="AL83" t="str">
        <v/>
      </c>
    </row>
    <row r="84">
      <c r="A84">
        <v>83</v>
      </c>
      <c r="B84" t="str">
        <v>MASS BSF</v>
      </c>
      <c r="C84" t="str">
        <v>ARY-825</v>
      </c>
      <c r="D84" t="str">
        <v>ARY-825</v>
      </c>
      <c r="E84" t="str">
        <v/>
      </c>
      <c r="F84" t="str">
        <v>867162029858180</v>
      </c>
      <c r="G84" t="str">
        <v/>
      </c>
      <c r="H84" t="str">
        <v/>
      </c>
      <c r="I84" t="str">
        <v/>
      </c>
      <c r="J84" t="str">
        <v>18/09/2026</v>
      </c>
      <c r="K84" t="str">
        <v>12:55:03</v>
      </c>
      <c r="L84">
        <v>-12.18413</v>
      </c>
      <c r="M84">
        <v>-76.97362</v>
      </c>
      <c r="N84">
        <f>HYPERLINK("https://www.google.com/maps/search/?api=1&amp;query=-12.18413,-76.97362","Avenida Prolongación Pedro Miotta, San Juan de Miraflores, Lima")</f>
      </c>
      <c r="O84" t="str">
        <v>Exceso de velocidad en segmento vial</v>
      </c>
      <c r="P84">
        <v>269534.2</v>
      </c>
      <c r="Q84" t="str">
        <v/>
      </c>
      <c r="R84">
        <v>41.1</v>
      </c>
      <c r="S84">
        <v>77.3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100</v>
      </c>
      <c r="AB84" t="str">
        <v>18/09/2026</v>
      </c>
      <c r="AC84" t="str">
        <v>12:55:00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18/09/2026 12:55:29</v>
      </c>
      <c r="AK84" t="str">
        <v>12:55:29</v>
      </c>
      <c r="AL84" t="str">
        <v/>
      </c>
    </row>
    <row r="85">
      <c r="A85">
        <v>84</v>
      </c>
      <c r="B85" t="str">
        <v>MASS BSF</v>
      </c>
      <c r="C85" t="str">
        <v>ARY-825</v>
      </c>
      <c r="D85" t="str">
        <v>ARY-825</v>
      </c>
      <c r="E85" t="str">
        <v/>
      </c>
      <c r="F85" t="str">
        <v>867162029858180</v>
      </c>
      <c r="G85" t="str">
        <v/>
      </c>
      <c r="H85" t="str">
        <v/>
      </c>
      <c r="I85" t="str">
        <v/>
      </c>
      <c r="J85" t="str">
        <v>18/09/2026</v>
      </c>
      <c r="K85" t="str">
        <v>13:02:07</v>
      </c>
      <c r="L85">
        <v>-12.165636</v>
      </c>
      <c r="M85">
        <v>-76.97401</v>
      </c>
      <c r="N85">
        <f>HYPERLINK("https://www.google.com/maps/search/?api=1&amp;query=-12.165636,-76.97401","Avenida Ramón Vargas Machuca, San Juan de Miraflores, Lima")</f>
      </c>
      <c r="O85" t="str">
        <v>SOS</v>
      </c>
      <c r="P85">
        <v>269536.7</v>
      </c>
      <c r="Q85" t="str">
        <v/>
      </c>
      <c r="R85">
        <v>0</v>
      </c>
      <c r="S85">
        <v>77.3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100</v>
      </c>
      <c r="AB85" t="str">
        <v>18/09/2026</v>
      </c>
      <c r="AC85" t="str">
        <v>13:02:06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18/09/2026 13:02:20</v>
      </c>
      <c r="AK85" t="str">
        <v>13:02:20</v>
      </c>
      <c r="AL85" t="str">
        <v/>
      </c>
    </row>
    <row r="86">
      <c r="A86">
        <v>85</v>
      </c>
      <c r="B86" t="str">
        <v>MASS BSF</v>
      </c>
      <c r="C86" t="str">
        <v>ARY-825</v>
      </c>
      <c r="D86" t="str">
        <v>ARY-825</v>
      </c>
      <c r="E86" t="str">
        <v/>
      </c>
      <c r="F86" t="str">
        <v>867162029858180</v>
      </c>
      <c r="G86" t="str">
        <v/>
      </c>
      <c r="H86" t="str">
        <v/>
      </c>
      <c r="I86" t="str">
        <v/>
      </c>
      <c r="J86" t="str">
        <v>18/09/2026</v>
      </c>
      <c r="K86" t="str">
        <v>13:02:50</v>
      </c>
      <c r="L86">
        <v>-12.165636</v>
      </c>
      <c r="M86">
        <v>-76.97401</v>
      </c>
      <c r="N86">
        <f>HYPERLINK("https://www.google.com/maps/search/?api=1&amp;query=-12.165636,-76.97401","Avenida Ramón Vargas Machuca, San Juan de Miraflores, Lima")</f>
      </c>
      <c r="O86" t="str">
        <v>Vehículo apagado</v>
      </c>
      <c r="P86">
        <v>269536.7</v>
      </c>
      <c r="Q86" t="str">
        <v/>
      </c>
      <c r="R86">
        <v>0</v>
      </c>
      <c r="S86">
        <v>77.95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100</v>
      </c>
      <c r="AB86" t="str">
        <v>18/09/2026</v>
      </c>
      <c r="AC86" t="str">
        <v>13:02:00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18/09/2026 13:03:09</v>
      </c>
      <c r="AK86" t="str">
        <v>13:03:09</v>
      </c>
      <c r="AL86" t="str">
        <v/>
      </c>
    </row>
    <row r="87">
      <c r="A87">
        <v>86</v>
      </c>
      <c r="B87" t="str">
        <v>MASS BSF</v>
      </c>
      <c r="C87" t="str">
        <v>ARY-825</v>
      </c>
      <c r="D87" t="str">
        <v>ARY-825</v>
      </c>
      <c r="E87" t="str">
        <v/>
      </c>
      <c r="F87" t="str">
        <v>867162029858180</v>
      </c>
      <c r="G87" t="str">
        <v/>
      </c>
      <c r="H87" t="str">
        <v/>
      </c>
      <c r="I87" t="str">
        <v/>
      </c>
      <c r="J87" t="str">
        <v>18/09/2026</v>
      </c>
      <c r="K87" t="str">
        <v>13:26:21</v>
      </c>
      <c r="L87">
        <v>-12.16566</v>
      </c>
      <c r="M87">
        <v>-76.97401</v>
      </c>
      <c r="N87">
        <f>HYPERLINK("https://www.google.com/maps/search/?api=1&amp;query=-12.16566,-76.97401","Avenida Ramón Vargas Machuca, San Juan de Miraflores, Lima")</f>
      </c>
      <c r="O87" t="str">
        <v>Vehículo encendido</v>
      </c>
      <c r="P87">
        <v>269536.7</v>
      </c>
      <c r="Q87" t="str">
        <v/>
      </c>
      <c r="R87">
        <v>0</v>
      </c>
      <c r="S87">
        <v>77.95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100</v>
      </c>
      <c r="AB87" t="str">
        <v>18/09/2026</v>
      </c>
      <c r="AC87" t="str">
        <v>13:02:53</v>
      </c>
      <c r="AD87">
        <f>IF("NOGPS"="NOGPS","GPS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18/09/2026 13:26:27</v>
      </c>
      <c r="AK87" t="str">
        <v>13:26:27</v>
      </c>
      <c r="AL87" t="str">
        <v/>
      </c>
    </row>
    <row r="88">
      <c r="A88">
        <v>87</v>
      </c>
      <c r="B88" t="str">
        <v>MASS BSF</v>
      </c>
      <c r="C88" t="str">
        <v>ARY-825</v>
      </c>
      <c r="D88" t="str">
        <v>ARY-825</v>
      </c>
      <c r="E88" t="str">
        <v/>
      </c>
      <c r="F88" t="str">
        <v>867162029858180</v>
      </c>
      <c r="G88" t="str">
        <v/>
      </c>
      <c r="H88" t="str">
        <v/>
      </c>
      <c r="I88" t="str">
        <v/>
      </c>
      <c r="J88" t="str">
        <v>18/09/2026</v>
      </c>
      <c r="K88" t="str">
        <v>13:26:25</v>
      </c>
      <c r="L88">
        <v>-12.165686</v>
      </c>
      <c r="M88">
        <v>-76.973946</v>
      </c>
      <c r="N88">
        <f>HYPERLINK("https://www.google.com/maps/search/?api=1&amp;query=-12.165686,-76.973946","Avenida Ramón Vargas Machuca, San Juan de Miraflores, Lima")</f>
      </c>
      <c r="O88" t="str">
        <v>SOS</v>
      </c>
      <c r="P88">
        <v>269536.7</v>
      </c>
      <c r="Q88" t="str">
        <v/>
      </c>
      <c r="R88">
        <v>0.1</v>
      </c>
      <c r="S88">
        <v>77.95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100</v>
      </c>
      <c r="AB88" t="str">
        <v>18/09/2026</v>
      </c>
      <c r="AC88" t="str">
        <v>13:26:24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18/09/2026 13:27:02</v>
      </c>
      <c r="AK88" t="str">
        <v>13:27:02</v>
      </c>
      <c r="AL88" t="str">
        <v/>
      </c>
    </row>
    <row r="89">
      <c r="A89">
        <v>88</v>
      </c>
      <c r="B89" t="str">
        <v>MASS BSF</v>
      </c>
      <c r="C89" t="str">
        <v>ARY-825</v>
      </c>
      <c r="D89" t="str">
        <v>ARY-825</v>
      </c>
      <c r="E89" t="str">
        <v/>
      </c>
      <c r="F89" t="str">
        <v>867162029858180</v>
      </c>
      <c r="G89" t="str">
        <v/>
      </c>
      <c r="H89" t="str">
        <v/>
      </c>
      <c r="I89" t="str">
        <v/>
      </c>
      <c r="J89" t="str">
        <v>18/09/2026</v>
      </c>
      <c r="K89" t="str">
        <v>13:30:37</v>
      </c>
      <c r="L89">
        <v>-12.172125</v>
      </c>
      <c r="M89">
        <v>-76.98144</v>
      </c>
      <c r="N89">
        <f>HYPERLINK("https://www.google.com/maps/search/?api=1&amp;query=-12.172125,-76.98144","Avenida Alipio Ponce, Chorrillos, Lima")</f>
      </c>
      <c r="O89" t="str">
        <v>SOS</v>
      </c>
      <c r="P89">
        <v>269538.2</v>
      </c>
      <c r="Q89" t="str">
        <v/>
      </c>
      <c r="R89">
        <v>15.2</v>
      </c>
      <c r="S89">
        <v>77.95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100</v>
      </c>
      <c r="AB89" t="str">
        <v>18/09/2026</v>
      </c>
      <c r="AC89" t="str">
        <v>13:30:36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18/09/2026 13:30:52</v>
      </c>
      <c r="AK89" t="str">
        <v>13:30:52</v>
      </c>
      <c r="AL89" t="str">
        <v/>
      </c>
    </row>
    <row r="90">
      <c r="A90">
        <v>89</v>
      </c>
      <c r="B90" t="str">
        <v>MASS BSF</v>
      </c>
      <c r="C90" t="str">
        <v>ARY-825</v>
      </c>
      <c r="D90" t="str">
        <v>ARY-825</v>
      </c>
      <c r="E90" t="str">
        <v/>
      </c>
      <c r="F90" t="str">
        <v>867162029858180</v>
      </c>
      <c r="G90" t="str">
        <v/>
      </c>
      <c r="H90" t="str">
        <v/>
      </c>
      <c r="I90" t="str">
        <v/>
      </c>
      <c r="J90" t="str">
        <v>18/09/2026</v>
      </c>
      <c r="K90" t="str">
        <v>13:31:16</v>
      </c>
      <c r="L90">
        <v>-12.170446</v>
      </c>
      <c r="M90">
        <v>-76.979996</v>
      </c>
      <c r="N90">
        <f>HYPERLINK("https://www.google.com/maps/search/?api=1&amp;query=-12.170446,-76.979996","Avenida El Triunfo, San Juan de Miraflores, Lima")</f>
      </c>
      <c r="O90" t="str">
        <v>SOS</v>
      </c>
      <c r="P90">
        <v>269538.5</v>
      </c>
      <c r="Q90" t="str">
        <v/>
      </c>
      <c r="R90">
        <v>16.6</v>
      </c>
      <c r="S90">
        <v>77.95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100</v>
      </c>
      <c r="AB90" t="str">
        <v>18/09/2026</v>
      </c>
      <c r="AC90" t="str">
        <v>13:31:15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18/09/2026 13:31:41</v>
      </c>
      <c r="AK90" t="str">
        <v>13:31:41</v>
      </c>
      <c r="AL90" t="str">
        <v/>
      </c>
    </row>
    <row r="91">
      <c r="A91">
        <v>90</v>
      </c>
      <c r="B91" t="str">
        <v>MASS BSF</v>
      </c>
      <c r="C91" t="str">
        <v>ARY-825</v>
      </c>
      <c r="D91" t="str">
        <v>ARY-825</v>
      </c>
      <c r="E91" t="str">
        <v/>
      </c>
      <c r="F91" t="str">
        <v>867162029858180</v>
      </c>
      <c r="G91" t="str">
        <v/>
      </c>
      <c r="H91" t="str">
        <v/>
      </c>
      <c r="I91" t="str">
        <v/>
      </c>
      <c r="J91" t="str">
        <v>18/09/2026</v>
      </c>
      <c r="K91" t="str">
        <v>13:31:16</v>
      </c>
      <c r="L91">
        <v>-12.170446</v>
      </c>
      <c r="M91">
        <v>-76.979996</v>
      </c>
      <c r="N91">
        <f>HYPERLINK("https://www.google.com/maps/search/?api=1&amp;query=-12.170446,-76.979996","Avenida El Triunfo, San Juan de Miraflores, Lima")</f>
      </c>
      <c r="O91" t="str">
        <v>Frenado y giro brusco</v>
      </c>
      <c r="P91">
        <v>269538.5</v>
      </c>
      <c r="Q91" t="str">
        <v/>
      </c>
      <c r="R91">
        <v>16.6</v>
      </c>
      <c r="S91">
        <v>77.95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100</v>
      </c>
      <c r="AB91" t="str">
        <v>18/09/2026</v>
      </c>
      <c r="AC91" t="str">
        <v>13:31:15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18/09/2026 13:31:32</v>
      </c>
      <c r="AK91" t="str">
        <v>13:31:32</v>
      </c>
      <c r="AL91" t="str">
        <v/>
      </c>
    </row>
    <row r="92">
      <c r="A92">
        <v>91</v>
      </c>
      <c r="B92" t="str">
        <v>MASS BSF</v>
      </c>
      <c r="C92" t="str">
        <v>ARY-825</v>
      </c>
      <c r="D92" t="str">
        <v>ARY-825</v>
      </c>
      <c r="E92" t="str">
        <v/>
      </c>
      <c r="F92" t="str">
        <v>867162029858180</v>
      </c>
      <c r="G92" t="str">
        <v/>
      </c>
      <c r="H92" t="str">
        <v/>
      </c>
      <c r="I92" t="str">
        <v/>
      </c>
      <c r="J92" t="str">
        <v>18/09/2026</v>
      </c>
      <c r="K92" t="str">
        <v>13:35:43</v>
      </c>
      <c r="L92">
        <v>-12.194435</v>
      </c>
      <c r="M92">
        <v>-76.97276</v>
      </c>
      <c r="N92">
        <f>HYPERLINK("https://www.google.com/maps/search/?api=1&amp;query=-12.194435,-76.97276","Carretera Panamericana Sur, Villa El Salvador, Lima")</f>
      </c>
      <c r="O92" t="str">
        <v>Excedió el límite de velocidad</v>
      </c>
      <c r="P92">
        <v>269541.3</v>
      </c>
      <c r="Q92" t="str">
        <v/>
      </c>
      <c r="R92">
        <v>80.2</v>
      </c>
      <c r="S92">
        <v>77.95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100</v>
      </c>
      <c r="AB92" t="str">
        <v>18/09/2026</v>
      </c>
      <c r="AC92" t="str">
        <v>13:35:42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18/09/2026 13:35:50</v>
      </c>
      <c r="AK92" t="str">
        <v>13:35:50</v>
      </c>
      <c r="AL92" t="str">
        <v/>
      </c>
    </row>
    <row r="93">
      <c r="A93">
        <v>92</v>
      </c>
      <c r="B93" t="str">
        <v>MASS BSF</v>
      </c>
      <c r="C93" t="str">
        <v>ARY-825</v>
      </c>
      <c r="D93" t="str">
        <v>ARY-825</v>
      </c>
      <c r="E93" t="str">
        <v/>
      </c>
      <c r="F93" t="str">
        <v>867162029858180</v>
      </c>
      <c r="G93" t="str">
        <v/>
      </c>
      <c r="H93" t="str">
        <v/>
      </c>
      <c r="I93" t="str">
        <v/>
      </c>
      <c r="J93" t="str">
        <v>18/09/2026</v>
      </c>
      <c r="K93" t="str">
        <v>13:37:40</v>
      </c>
      <c r="L93">
        <v>-12.21446</v>
      </c>
      <c r="M93">
        <v>-76.976456</v>
      </c>
      <c r="N93">
        <f>HYPERLINK("https://www.google.com/maps/search/?api=1&amp;query=-12.21446,-76.976456","Carretera Panamericana Sur, Chorrillos, Lima")</f>
      </c>
      <c r="O93" t="str">
        <v>Excedió el límite de velocidad</v>
      </c>
      <c r="P93">
        <v>269543.5</v>
      </c>
      <c r="Q93" t="str">
        <v/>
      </c>
      <c r="R93">
        <v>86.2</v>
      </c>
      <c r="S93">
        <v>77.95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100</v>
      </c>
      <c r="AB93" t="str">
        <v>18/09/2026</v>
      </c>
      <c r="AC93" t="str">
        <v>13:37:39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18/09/2026 13:37:48</v>
      </c>
      <c r="AK93" t="str">
        <v>13:37:48</v>
      </c>
      <c r="AL93" t="str">
        <v/>
      </c>
    </row>
    <row r="94">
      <c r="A94">
        <v>93</v>
      </c>
      <c r="B94" t="str">
        <v>MASS BSF</v>
      </c>
      <c r="C94" t="str">
        <v>ARY-825</v>
      </c>
      <c r="D94" t="str">
        <v>ARY-825</v>
      </c>
      <c r="E94" t="str">
        <v/>
      </c>
      <c r="F94" t="str">
        <v>867162029858180</v>
      </c>
      <c r="G94" t="str">
        <v/>
      </c>
      <c r="H94" t="str">
        <v/>
      </c>
      <c r="I94" t="str">
        <v/>
      </c>
      <c r="J94" t="str">
        <v>18/09/2026</v>
      </c>
      <c r="K94" t="str">
        <v>13:39:55</v>
      </c>
      <c r="L94">
        <v>-12.23231</v>
      </c>
      <c r="M94">
        <v>-76.96365</v>
      </c>
      <c r="N94">
        <f>HYPERLINK("https://www.google.com/maps/search/?api=1&amp;query=-12.23231,-76.96365","Carretera Panamericana Sur, Villa El Salvador, Lima")</f>
      </c>
      <c r="O94" t="str">
        <v>Excedió el límite de velocidad</v>
      </c>
      <c r="P94">
        <v>269546.2</v>
      </c>
      <c r="Q94" t="str">
        <v/>
      </c>
      <c r="R94">
        <v>84</v>
      </c>
      <c r="S94">
        <v>77.95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100</v>
      </c>
      <c r="AB94" t="str">
        <v>18/09/2026</v>
      </c>
      <c r="AC94" t="str">
        <v>13:39:54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18/09/2026 13:40:20</v>
      </c>
      <c r="AK94" t="str">
        <v>13:40:20</v>
      </c>
      <c r="AL94" t="str">
        <v/>
      </c>
    </row>
    <row r="95">
      <c r="A95">
        <v>94</v>
      </c>
      <c r="B95" t="str">
        <v>MASS BSF</v>
      </c>
      <c r="C95" t="str">
        <v>ARY-825</v>
      </c>
      <c r="D95" t="str">
        <v>ARY-825</v>
      </c>
      <c r="E95" t="str">
        <v/>
      </c>
      <c r="F95" t="str">
        <v>867162029858180</v>
      </c>
      <c r="G95" t="str">
        <v/>
      </c>
      <c r="H95" t="str">
        <v/>
      </c>
      <c r="I95" t="str">
        <v/>
      </c>
      <c r="J95" t="str">
        <v>18/09/2026</v>
      </c>
      <c r="K95" t="str">
        <v>13:41:55</v>
      </c>
      <c r="L95">
        <v>-12.242971</v>
      </c>
      <c r="M95">
        <v>-76.94304</v>
      </c>
      <c r="N95">
        <f>HYPERLINK("https://www.google.com/maps/search/?api=1&amp;query=-12.242971,-76.94304","Carretera Panamericana Sur, Villa El Salvador, Lima")</f>
      </c>
      <c r="O95" t="str">
        <v>Excedió el límite de velocidad</v>
      </c>
      <c r="P95">
        <v>269548.7</v>
      </c>
      <c r="Q95" t="str">
        <v/>
      </c>
      <c r="R95">
        <v>83.2</v>
      </c>
      <c r="S95">
        <v>77.95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100</v>
      </c>
      <c r="AB95" t="str">
        <v>18/09/2026</v>
      </c>
      <c r="AC95" t="str">
        <v>13:41:54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18/09/2026 13:42:16</v>
      </c>
      <c r="AK95" t="str">
        <v>13:42:16</v>
      </c>
      <c r="AL95" t="str">
        <v/>
      </c>
    </row>
    <row r="96">
      <c r="A96">
        <v>95</v>
      </c>
      <c r="B96" t="str">
        <v>MASS BSF</v>
      </c>
      <c r="C96" t="str">
        <v>ARY-825</v>
      </c>
      <c r="D96" t="str">
        <v>ARY-825</v>
      </c>
      <c r="E96" t="str">
        <v/>
      </c>
      <c r="F96" t="str">
        <v>867162029858180</v>
      </c>
      <c r="G96" t="str">
        <v/>
      </c>
      <c r="H96" t="str">
        <v/>
      </c>
      <c r="I96" t="str">
        <v/>
      </c>
      <c r="J96" t="str">
        <v>18/09/2026</v>
      </c>
      <c r="K96" t="str">
        <v>13:46:28</v>
      </c>
      <c r="L96">
        <v>-12.27339</v>
      </c>
      <c r="M96">
        <v>-76.89424</v>
      </c>
      <c r="N96">
        <f>HYPERLINK("https://www.google.com/maps/search/?api=1&amp;query=-12.27339,-76.89424","Carretera Panamericana Sur, Lurín, Lima")</f>
      </c>
      <c r="O96" t="str">
        <v>Excedió el límite de velocidad</v>
      </c>
      <c r="P96">
        <v>269555</v>
      </c>
      <c r="Q96" t="str">
        <v/>
      </c>
      <c r="R96">
        <v>83.4</v>
      </c>
      <c r="S96">
        <v>77.95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100</v>
      </c>
      <c r="AB96" t="str">
        <v>18/09/2026</v>
      </c>
      <c r="AC96" t="str">
        <v>13:46:27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18/09/2026 13:46:36</v>
      </c>
      <c r="AK96" t="str">
        <v>13:46:36</v>
      </c>
      <c r="AL96" t="str">
        <v/>
      </c>
    </row>
    <row r="97">
      <c r="A97">
        <v>96</v>
      </c>
      <c r="B97" t="str">
        <v>MASS BSF</v>
      </c>
      <c r="C97" t="str">
        <v>ARY-825</v>
      </c>
      <c r="D97" t="str">
        <v>ARY-825</v>
      </c>
      <c r="E97" t="str">
        <v/>
      </c>
      <c r="F97" t="str">
        <v>867162029858180</v>
      </c>
      <c r="G97" t="str">
        <v/>
      </c>
      <c r="H97" t="str">
        <v/>
      </c>
      <c r="I97" t="str">
        <v/>
      </c>
      <c r="J97" t="str">
        <v>18/09/2026</v>
      </c>
      <c r="K97" t="str">
        <v>13:55:10</v>
      </c>
      <c r="L97">
        <v>-12.33513</v>
      </c>
      <c r="M97">
        <v>-76.818985</v>
      </c>
      <c r="N97">
        <f>HYPERLINK("https://www.google.com/maps/search/?api=1&amp;query=-12.33513,-76.818985","Carretera Panamericana Sur, Punta Hermosa, Lima")</f>
      </c>
      <c r="O97" t="str">
        <v>SOS</v>
      </c>
      <c r="P97">
        <v>269566</v>
      </c>
      <c r="Q97" t="str">
        <v/>
      </c>
      <c r="R97">
        <v>49.4</v>
      </c>
      <c r="S97">
        <v>77.95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100</v>
      </c>
      <c r="AB97" t="str">
        <v>18/09/2026</v>
      </c>
      <c r="AC97" t="str">
        <v>13:55:09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18/09/2026 13:55:29</v>
      </c>
      <c r="AK97" t="str">
        <v>13:55:29</v>
      </c>
      <c r="AL97" t="str">
        <v/>
      </c>
    </row>
    <row r="98">
      <c r="A98">
        <v>97</v>
      </c>
      <c r="B98" t="str">
        <v>MASS BSF</v>
      </c>
      <c r="C98" t="str">
        <v>ARY-825</v>
      </c>
      <c r="D98" t="str">
        <v>ARY-825</v>
      </c>
      <c r="E98" t="str">
        <v/>
      </c>
      <c r="F98" t="str">
        <v>867162029858180</v>
      </c>
      <c r="G98" t="str">
        <v/>
      </c>
      <c r="H98" t="str">
        <v/>
      </c>
      <c r="I98" t="str">
        <v/>
      </c>
      <c r="J98" t="str">
        <v>18/09/2026</v>
      </c>
      <c r="K98" t="str">
        <v>13:55:40</v>
      </c>
      <c r="L98">
        <v>-12.33471</v>
      </c>
      <c r="M98">
        <v>-76.81992</v>
      </c>
      <c r="N98">
        <f>HYPERLINK("https://www.google.com/maps/search/?api=1&amp;query=-12.33471,-76.81992","Antigua Panamericana Sur, Punta Hermosa, Lima")</f>
      </c>
      <c r="O98" t="str">
        <v>SOS</v>
      </c>
      <c r="P98">
        <v>269566.2</v>
      </c>
      <c r="Q98" t="str">
        <v/>
      </c>
      <c r="R98">
        <v>35.3</v>
      </c>
      <c r="S98">
        <v>77.95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100</v>
      </c>
      <c r="AB98" t="str">
        <v>18/09/2026</v>
      </c>
      <c r="AC98" t="str">
        <v>13:55:39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18/09/2026 13:55:57</v>
      </c>
      <c r="AK98" t="str">
        <v>13:55:57</v>
      </c>
      <c r="AL98" t="str">
        <v/>
      </c>
    </row>
    <row r="99">
      <c r="A99">
        <v>98</v>
      </c>
      <c r="B99" t="str">
        <v>MASS BSF</v>
      </c>
      <c r="C99" t="str">
        <v>ARY-825</v>
      </c>
      <c r="D99" t="str">
        <v>ARY-825</v>
      </c>
      <c r="E99" t="str">
        <v/>
      </c>
      <c r="F99" t="str">
        <v>867162029858180</v>
      </c>
      <c r="G99" t="str">
        <v/>
      </c>
      <c r="H99" t="str">
        <v/>
      </c>
      <c r="I99" t="str">
        <v/>
      </c>
      <c r="J99" t="str">
        <v>18/09/2026</v>
      </c>
      <c r="K99" t="str">
        <v>14:00:55</v>
      </c>
      <c r="L99">
        <v>-12.316802</v>
      </c>
      <c r="M99">
        <v>-76.825035</v>
      </c>
      <c r="N99">
        <f>HYPERLINK("https://www.google.com/maps/search/?api=1&amp;query=-12.316802,-76.825035","Punta Hermosa, Lima")</f>
      </c>
      <c r="O99" t="str">
        <v>SOS</v>
      </c>
      <c r="P99">
        <v>269569.2</v>
      </c>
      <c r="Q99" t="str">
        <v/>
      </c>
      <c r="R99">
        <v>21.1</v>
      </c>
      <c r="S99">
        <v>78.6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100</v>
      </c>
      <c r="AB99" t="str">
        <v>18/09/2026</v>
      </c>
      <c r="AC99" t="str">
        <v>14:00:54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18/09/2026 14:01:04</v>
      </c>
      <c r="AK99" t="str">
        <v>14:01:04</v>
      </c>
      <c r="AL99" t="str">
        <v/>
      </c>
    </row>
    <row r="100">
      <c r="A100">
        <v>99</v>
      </c>
      <c r="B100" t="str">
        <v>MASS BSF</v>
      </c>
      <c r="C100" t="str">
        <v>ARY-825</v>
      </c>
      <c r="D100" t="str">
        <v>ARY-825</v>
      </c>
      <c r="E100" t="str">
        <v/>
      </c>
      <c r="F100" t="str">
        <v>867162029858180</v>
      </c>
      <c r="G100" t="str">
        <v/>
      </c>
      <c r="H100" t="str">
        <v/>
      </c>
      <c r="I100" t="str">
        <v/>
      </c>
      <c r="J100" t="str">
        <v>18/09/2026</v>
      </c>
      <c r="K100" t="str">
        <v>14:01:10</v>
      </c>
      <c r="L100">
        <v>-12.317366</v>
      </c>
      <c r="M100">
        <v>-76.82465</v>
      </c>
      <c r="N100">
        <f>HYPERLINK("https://www.google.com/maps/search/?api=1&amp;query=-12.317366,-76.82465","Punta Hermosa, Lima")</f>
      </c>
      <c r="O100" t="str">
        <v>SOS</v>
      </c>
      <c r="P100">
        <v>269569.3</v>
      </c>
      <c r="Q100" t="str">
        <v/>
      </c>
      <c r="R100">
        <v>4.9</v>
      </c>
      <c r="S100">
        <v>78.6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100</v>
      </c>
      <c r="AB100" t="str">
        <v>18/09/2026</v>
      </c>
      <c r="AC100" t="str">
        <v>14:01:09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18/09/2026 14:01:42</v>
      </c>
      <c r="AK100" t="str">
        <v>14:01:42</v>
      </c>
      <c r="AL100" t="str">
        <v/>
      </c>
    </row>
    <row r="101">
      <c r="A101">
        <v>100</v>
      </c>
      <c r="B101" t="str">
        <v>MASS BSF</v>
      </c>
      <c r="C101" t="str">
        <v>ARY-825</v>
      </c>
      <c r="D101" t="str">
        <v>ARY-825</v>
      </c>
      <c r="E101" t="str">
        <v/>
      </c>
      <c r="F101" t="str">
        <v>867162029858180</v>
      </c>
      <c r="G101" t="str">
        <v/>
      </c>
      <c r="H101" t="str">
        <v/>
      </c>
      <c r="I101" t="str">
        <v/>
      </c>
      <c r="J101" t="str">
        <v>18/09/2026</v>
      </c>
      <c r="K101" t="str">
        <v>14:04:42</v>
      </c>
      <c r="L101">
        <v>-12.317788</v>
      </c>
      <c r="M101">
        <v>-76.824326</v>
      </c>
      <c r="N101">
        <f>HYPERLINK("https://www.google.com/maps/search/?api=1&amp;query=-12.317788,-76.824326","Punta Hermosa, Lima")</f>
      </c>
      <c r="O101" t="str">
        <v>Vehículo apagado</v>
      </c>
      <c r="P101">
        <v>269569.3</v>
      </c>
      <c r="Q101" t="str">
        <v/>
      </c>
      <c r="R101">
        <v>0</v>
      </c>
      <c r="S101">
        <v>79.23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100</v>
      </c>
      <c r="AB101" t="str">
        <v>18/09/2026</v>
      </c>
      <c r="AC101" t="str">
        <v>14:04:44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18/09/2026 14:04:56</v>
      </c>
      <c r="AK101" t="str">
        <v>14:04:56</v>
      </c>
      <c r="AL101" t="str">
        <v/>
      </c>
    </row>
    <row r="102">
      <c r="A102">
        <v>101</v>
      </c>
      <c r="B102" t="str">
        <v>MASS BSF</v>
      </c>
      <c r="C102" t="str">
        <v>ARY-825</v>
      </c>
      <c r="D102" t="str">
        <v>ARY-825</v>
      </c>
      <c r="E102" t="str">
        <v/>
      </c>
      <c r="F102" t="str">
        <v>867162029858180</v>
      </c>
      <c r="G102" t="str">
        <v/>
      </c>
      <c r="H102" t="str">
        <v/>
      </c>
      <c r="I102" t="str">
        <v/>
      </c>
      <c r="J102" t="str">
        <v>18/09/2026</v>
      </c>
      <c r="K102" t="str">
        <v>14:06:40</v>
      </c>
      <c r="L102">
        <v>-12.317788</v>
      </c>
      <c r="M102">
        <v>-76.824326</v>
      </c>
      <c r="N102">
        <f>HYPERLINK("https://www.google.com/maps/search/?api=1&amp;query=-12.317788,-76.824326","Punta Hermosa, Lima")</f>
      </c>
      <c r="O102" t="str">
        <v>SOS</v>
      </c>
      <c r="P102">
        <v>269569.3</v>
      </c>
      <c r="Q102" t="str">
        <v/>
      </c>
      <c r="R102">
        <v>0</v>
      </c>
      <c r="S102">
        <v>79.23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100</v>
      </c>
      <c r="AB102" t="str">
        <v>18/09/2026</v>
      </c>
      <c r="AC102" t="str">
        <v>14:06:39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18/09/2026 14:07:10</v>
      </c>
      <c r="AK102" t="str">
        <v>14:07:10</v>
      </c>
      <c r="AL102" t="str">
        <v/>
      </c>
    </row>
    <row r="103">
      <c r="A103">
        <v>102</v>
      </c>
      <c r="B103" t="str">
        <v>MASS BSF</v>
      </c>
      <c r="C103" t="str">
        <v>ARY-825</v>
      </c>
      <c r="D103" t="str">
        <v>ARY-825</v>
      </c>
      <c r="E103" t="str">
        <v/>
      </c>
      <c r="F103" t="str">
        <v>867162029858180</v>
      </c>
      <c r="G103" t="str">
        <v/>
      </c>
      <c r="H103" t="str">
        <v/>
      </c>
      <c r="I103" t="str">
        <v/>
      </c>
      <c r="J103" t="str">
        <v>18/09/2026</v>
      </c>
      <c r="K103" t="str">
        <v>14:07:54</v>
      </c>
      <c r="L103">
        <v>-12.317686</v>
      </c>
      <c r="M103">
        <v>-76.824326</v>
      </c>
      <c r="N103">
        <f>HYPERLINK("https://www.google.com/maps/search/?api=1&amp;query=-12.317686,-76.824326","Punta Hermosa, Lima")</f>
      </c>
      <c r="O103" t="str">
        <v>Vehículo encendido</v>
      </c>
      <c r="P103">
        <v>269569.3</v>
      </c>
      <c r="Q103" t="str">
        <v/>
      </c>
      <c r="R103">
        <v>0</v>
      </c>
      <c r="S103">
        <v>79.23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100</v>
      </c>
      <c r="AB103" t="str">
        <v>18/09/2026</v>
      </c>
      <c r="AC103" t="str">
        <v>14:07:59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18/09/2026 14:08:20</v>
      </c>
      <c r="AK103" t="str">
        <v>14:08:20</v>
      </c>
      <c r="AL103" t="str">
        <v/>
      </c>
    </row>
    <row r="104">
      <c r="A104">
        <v>103</v>
      </c>
      <c r="B104" t="str">
        <v>MASS BSF</v>
      </c>
      <c r="C104" t="str">
        <v>ARY-825</v>
      </c>
      <c r="D104" t="str">
        <v>ARY-825</v>
      </c>
      <c r="E104" t="str">
        <v/>
      </c>
      <c r="F104" t="str">
        <v>867162029858180</v>
      </c>
      <c r="G104" t="str">
        <v/>
      </c>
      <c r="H104" t="str">
        <v/>
      </c>
      <c r="I104" t="str">
        <v/>
      </c>
      <c r="J104" t="str">
        <v>18/09/2026</v>
      </c>
      <c r="K104" t="str">
        <v>14:13:25</v>
      </c>
      <c r="L104">
        <v>-12.317996</v>
      </c>
      <c r="M104">
        <v>-76.82416</v>
      </c>
      <c r="N104">
        <f>HYPERLINK("https://www.google.com/maps/search/?api=1&amp;query=-12.317996,-76.82416","Punta Hermosa, Lima")</f>
      </c>
      <c r="O104" t="str">
        <v>Vehículo apagado</v>
      </c>
      <c r="P104">
        <v>269569.4</v>
      </c>
      <c r="Q104" t="str">
        <v/>
      </c>
      <c r="R104">
        <v>0</v>
      </c>
      <c r="S104">
        <v>79.33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100</v>
      </c>
      <c r="AB104" t="str">
        <v>18/09/2026</v>
      </c>
      <c r="AC104" t="str">
        <v>14:12:53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18/09/2026 14:13:37</v>
      </c>
      <c r="AK104" t="str">
        <v>14:13:37</v>
      </c>
      <c r="AL104" t="str">
        <v/>
      </c>
    </row>
    <row r="105">
      <c r="A105">
        <v>104</v>
      </c>
      <c r="B105" t="str">
        <v>MASS BSF</v>
      </c>
      <c r="C105" t="str">
        <v>ARY-825</v>
      </c>
      <c r="D105" t="str">
        <v>ARY-825</v>
      </c>
      <c r="E105" t="str">
        <v/>
      </c>
      <c r="F105" t="str">
        <v>867162029858180</v>
      </c>
      <c r="G105" t="str">
        <v/>
      </c>
      <c r="H105" t="str">
        <v/>
      </c>
      <c r="I105" t="str">
        <v/>
      </c>
      <c r="J105" t="str">
        <v>18/09/2026</v>
      </c>
      <c r="K105" t="str">
        <v>14:13:39</v>
      </c>
      <c r="L105">
        <v>-12.317996</v>
      </c>
      <c r="M105">
        <v>-76.82416</v>
      </c>
      <c r="N105">
        <f>HYPERLINK("https://www.google.com/maps/search/?api=1&amp;query=-12.317996,-76.82416","Punta Hermosa, Lima")</f>
      </c>
      <c r="O105" t="str">
        <v>SOS</v>
      </c>
      <c r="P105">
        <v>269569.4</v>
      </c>
      <c r="Q105" t="str">
        <v/>
      </c>
      <c r="R105">
        <v>0.1</v>
      </c>
      <c r="S105">
        <v>79.33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100</v>
      </c>
      <c r="AB105" t="str">
        <v>18/09/2026</v>
      </c>
      <c r="AC105" t="str">
        <v>14:13:38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18/09/2026 14:14:02</v>
      </c>
      <c r="AK105" t="str">
        <v>14:14:02</v>
      </c>
      <c r="AL105" t="str">
        <v/>
      </c>
    </row>
    <row r="106">
      <c r="A106">
        <v>105</v>
      </c>
      <c r="B106" t="str">
        <v>MASS BSF</v>
      </c>
      <c r="C106" t="str">
        <v>ARY-825</v>
      </c>
      <c r="D106" t="str">
        <v>ARY-825</v>
      </c>
      <c r="E106" t="str">
        <v/>
      </c>
      <c r="F106" t="str">
        <v>867162029858180</v>
      </c>
      <c r="G106" t="str">
        <v/>
      </c>
      <c r="H106" t="str">
        <v/>
      </c>
      <c r="I106" t="str">
        <v/>
      </c>
      <c r="J106" t="str">
        <v>18/09/2026</v>
      </c>
      <c r="K106" t="str">
        <v>16:05:43</v>
      </c>
      <c r="L106">
        <v>-12.317996</v>
      </c>
      <c r="M106">
        <v>-76.82416</v>
      </c>
      <c r="N106">
        <f>HYPERLINK("https://www.google.com/maps/search/?api=1&amp;query=-12.317996,-76.82416","Punta Hermosa, Lima")</f>
      </c>
      <c r="O106" t="str">
        <v>SOS</v>
      </c>
      <c r="P106">
        <v>269569.4</v>
      </c>
      <c r="Q106" t="str">
        <v/>
      </c>
      <c r="R106">
        <v>0</v>
      </c>
      <c r="S106">
        <v>79.33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100</v>
      </c>
      <c r="AB106" t="str">
        <v>18/09/2026</v>
      </c>
      <c r="AC106" t="str">
        <v>16:05:42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18/09/2026 16:05:50</v>
      </c>
      <c r="AK106" t="str">
        <v>16:05:50</v>
      </c>
      <c r="AL106" t="str">
        <v/>
      </c>
    </row>
    <row r="107">
      <c r="A107">
        <v>106</v>
      </c>
      <c r="B107" t="str">
        <v>MASS BSF</v>
      </c>
      <c r="C107" t="str">
        <v>ARY-825</v>
      </c>
      <c r="D107" t="str">
        <v>ARY-825</v>
      </c>
      <c r="E107" t="str">
        <v/>
      </c>
      <c r="F107" t="str">
        <v>867162029858180</v>
      </c>
      <c r="G107" t="str">
        <v/>
      </c>
      <c r="H107" t="str">
        <v/>
      </c>
      <c r="I107" t="str">
        <v/>
      </c>
      <c r="J107" t="str">
        <v>18/09/2026</v>
      </c>
      <c r="K107" t="str">
        <v>16:06:46</v>
      </c>
      <c r="L107">
        <v>-12.317996</v>
      </c>
      <c r="M107">
        <v>-76.82416</v>
      </c>
      <c r="N107">
        <f>HYPERLINK("https://www.google.com/maps/search/?api=1&amp;query=-12.317996,-76.82416","Punta Hermosa, Lima")</f>
      </c>
      <c r="O107" t="str">
        <v>SOS</v>
      </c>
      <c r="P107">
        <v>269569.4</v>
      </c>
      <c r="Q107" t="str">
        <v/>
      </c>
      <c r="R107">
        <v>0</v>
      </c>
      <c r="S107">
        <v>79.33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100</v>
      </c>
      <c r="AB107" t="str">
        <v>18/09/2026</v>
      </c>
      <c r="AC107" t="str">
        <v>16:06:45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18/09/2026 16:07:07</v>
      </c>
      <c r="AK107" t="str">
        <v>16:07:07</v>
      </c>
      <c r="AL107" t="str">
        <v/>
      </c>
    </row>
    <row r="108">
      <c r="A108">
        <v>107</v>
      </c>
      <c r="B108" t="str">
        <v>MASS BSF</v>
      </c>
      <c r="C108" t="str">
        <v>ARY-825</v>
      </c>
      <c r="D108" t="str">
        <v>ARY-825</v>
      </c>
      <c r="E108" t="str">
        <v/>
      </c>
      <c r="F108" t="str">
        <v>867162029858180</v>
      </c>
      <c r="G108" t="str">
        <v/>
      </c>
      <c r="H108" t="str">
        <v/>
      </c>
      <c r="I108" t="str">
        <v/>
      </c>
      <c r="J108" t="str">
        <v>18/09/2026</v>
      </c>
      <c r="K108" t="str">
        <v>16:12:08</v>
      </c>
      <c r="L108">
        <v>-12.317996</v>
      </c>
      <c r="M108">
        <v>-76.82416</v>
      </c>
      <c r="N108">
        <f>HYPERLINK("https://www.google.com/maps/search/?api=1&amp;query=-12.317996,-76.82416","Punta Hermosa, Lima")</f>
      </c>
      <c r="O108" t="str">
        <v>SOS</v>
      </c>
      <c r="P108">
        <v>269569.4</v>
      </c>
      <c r="Q108" t="str">
        <v/>
      </c>
      <c r="R108">
        <v>0</v>
      </c>
      <c r="S108">
        <v>79.33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100</v>
      </c>
      <c r="AB108" t="str">
        <v>18/09/2026</v>
      </c>
      <c r="AC108" t="str">
        <v>16:12:07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18/09/2026 16:12:28</v>
      </c>
      <c r="AK108" t="str">
        <v>16:12:28</v>
      </c>
      <c r="AL108" t="str">
        <v/>
      </c>
    </row>
    <row r="109">
      <c r="A109">
        <v>108</v>
      </c>
      <c r="B109" t="str">
        <v>MASS BSF</v>
      </c>
      <c r="C109" t="str">
        <v>ARY-825</v>
      </c>
      <c r="D109" t="str">
        <v>ARY-825</v>
      </c>
      <c r="E109" t="str">
        <v/>
      </c>
      <c r="F109" t="str">
        <v>867162029858180</v>
      </c>
      <c r="G109" t="str">
        <v/>
      </c>
      <c r="H109" t="str">
        <v/>
      </c>
      <c r="I109" t="str">
        <v/>
      </c>
      <c r="J109" t="str">
        <v>18/09/2026</v>
      </c>
      <c r="K109" t="str">
        <v>16:12:37</v>
      </c>
      <c r="L109">
        <v>-12.317996</v>
      </c>
      <c r="M109">
        <v>-76.82416</v>
      </c>
      <c r="N109">
        <f>HYPERLINK("https://www.google.com/maps/search/?api=1&amp;query=-12.317996,-76.82416","Punta Hermosa, Lima")</f>
      </c>
      <c r="O109" t="str">
        <v>SOS</v>
      </c>
      <c r="P109">
        <v>269569.4</v>
      </c>
      <c r="Q109" t="str">
        <v/>
      </c>
      <c r="R109">
        <v>0</v>
      </c>
      <c r="S109">
        <v>79.33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100</v>
      </c>
      <c r="AB109" t="str">
        <v>18/09/2026</v>
      </c>
      <c r="AC109" t="str">
        <v>16:12:36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18/09/2026 16:12:43</v>
      </c>
      <c r="AK109" t="str">
        <v>16:12:43</v>
      </c>
      <c r="AL109" t="str">
        <v/>
      </c>
    </row>
    <row r="110">
      <c r="A110">
        <v>109</v>
      </c>
      <c r="B110" t="str">
        <v>MASS BSF</v>
      </c>
      <c r="C110" t="str">
        <v>ARY-825</v>
      </c>
      <c r="D110" t="str">
        <v>ARY-825</v>
      </c>
      <c r="E110" t="str">
        <v/>
      </c>
      <c r="F110" t="str">
        <v>867162029858180</v>
      </c>
      <c r="G110" t="str">
        <v/>
      </c>
      <c r="H110" t="str">
        <v/>
      </c>
      <c r="I110" t="str">
        <v/>
      </c>
      <c r="J110" t="str">
        <v>18/09/2026</v>
      </c>
      <c r="K110" t="str">
        <v>16:12:50</v>
      </c>
      <c r="L110">
        <v>-12.317996</v>
      </c>
      <c r="M110">
        <v>-76.82416</v>
      </c>
      <c r="N110">
        <f>HYPERLINK("https://www.google.com/maps/search/?api=1&amp;query=-12.317996,-76.82416","Punta Hermosa, Lima")</f>
      </c>
      <c r="O110" t="str">
        <v>SOS</v>
      </c>
      <c r="P110">
        <v>269569.4</v>
      </c>
      <c r="Q110" t="str">
        <v/>
      </c>
      <c r="R110">
        <v>0</v>
      </c>
      <c r="S110">
        <v>79.33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100</v>
      </c>
      <c r="AB110" t="str">
        <v>18/09/2026</v>
      </c>
      <c r="AC110" t="str">
        <v>16:12:49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18/09/2026 16:13:08</v>
      </c>
      <c r="AK110" t="str">
        <v>16:13:08</v>
      </c>
      <c r="AL110" t="str">
        <v/>
      </c>
    </row>
    <row r="111">
      <c r="A111">
        <v>110</v>
      </c>
      <c r="B111" t="str">
        <v>MASS BSF</v>
      </c>
      <c r="C111" t="str">
        <v>ARY-825</v>
      </c>
      <c r="D111" t="str">
        <v>ARY-825</v>
      </c>
      <c r="E111" t="str">
        <v/>
      </c>
      <c r="F111" t="str">
        <v>867162029858180</v>
      </c>
      <c r="G111" t="str">
        <v/>
      </c>
      <c r="H111" t="str">
        <v/>
      </c>
      <c r="I111" t="str">
        <v/>
      </c>
      <c r="J111" t="str">
        <v>18/09/2026</v>
      </c>
      <c r="K111" t="str">
        <v>16:12:58</v>
      </c>
      <c r="L111">
        <v>-12.317996</v>
      </c>
      <c r="M111">
        <v>-76.82416</v>
      </c>
      <c r="N111">
        <f>HYPERLINK("https://www.google.com/maps/search/?api=1&amp;query=-12.317996,-76.82416","Punta Hermosa, Lima")</f>
      </c>
      <c r="O111" t="str">
        <v>SOS</v>
      </c>
      <c r="P111">
        <v>269569.4</v>
      </c>
      <c r="Q111" t="str">
        <v/>
      </c>
      <c r="R111">
        <v>0</v>
      </c>
      <c r="S111">
        <v>79.33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100</v>
      </c>
      <c r="AB111" t="str">
        <v>18/09/2026</v>
      </c>
      <c r="AC111" t="str">
        <v>16:12:57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18/09/2026 16:13:08</v>
      </c>
      <c r="AK111" t="str">
        <v>16:13:08</v>
      </c>
      <c r="AL111" t="str">
        <v/>
      </c>
    </row>
    <row r="112">
      <c r="A112">
        <v>111</v>
      </c>
      <c r="B112" t="str">
        <v>MASS BSF</v>
      </c>
      <c r="C112" t="str">
        <v>ARY-825</v>
      </c>
      <c r="D112" t="str">
        <v>ARY-825</v>
      </c>
      <c r="E112" t="str">
        <v/>
      </c>
      <c r="F112" t="str">
        <v>867162029858180</v>
      </c>
      <c r="G112" t="str">
        <v/>
      </c>
      <c r="H112" t="str">
        <v/>
      </c>
      <c r="I112" t="str">
        <v/>
      </c>
      <c r="J112" t="str">
        <v>18/09/2026</v>
      </c>
      <c r="K112" t="str">
        <v>16:13:18</v>
      </c>
      <c r="L112">
        <v>-12.317996</v>
      </c>
      <c r="M112">
        <v>-76.82416</v>
      </c>
      <c r="N112">
        <f>HYPERLINK("https://www.google.com/maps/search/?api=1&amp;query=-12.317996,-76.82416","Punta Hermosa, Lima")</f>
      </c>
      <c r="O112" t="str">
        <v>SOS</v>
      </c>
      <c r="P112">
        <v>269569.4</v>
      </c>
      <c r="Q112" t="str">
        <v/>
      </c>
      <c r="R112">
        <v>0</v>
      </c>
      <c r="S112">
        <v>79.33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100</v>
      </c>
      <c r="AB112" t="str">
        <v>18/09/2026</v>
      </c>
      <c r="AC112" t="str">
        <v>16:13:17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18/09/2026 16:13:31</v>
      </c>
      <c r="AK112" t="str">
        <v>16:13:31</v>
      </c>
      <c r="AL112" t="str">
        <v/>
      </c>
    </row>
  </sheetData>
  <ignoredErrors>
    <ignoredError numberStoredAsText="1" sqref="A1:AL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