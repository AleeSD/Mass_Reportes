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18/09/2026</v>
      </c>
      <c r="K2" t="str">
        <v>06:09:01</v>
      </c>
      <c r="L2">
        <v>-12.21287</v>
      </c>
      <c r="M2">
        <v>-76.95893</v>
      </c>
      <c r="N2">
        <f>HYPERLINK("https://www.google.com/maps/search/?api=1&amp;query=-12.21287,-76.95893","Avenida Villa del Mar, Villa El Salvador, Lima")</f>
      </c>
      <c r="O2" t="str">
        <v>Vehículo encendido</v>
      </c>
      <c r="P2">
        <v>560852.6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18/09/2026</v>
      </c>
      <c r="AC2" t="str">
        <v>06:04:31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06:09:20</v>
      </c>
      <c r="AK2" t="str">
        <v>06:09:20</v>
      </c>
      <c r="AL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 xml:space="preserve"> </v>
      </c>
      <c r="J3" t="str">
        <v>18/09/2026</v>
      </c>
      <c r="K3" t="str">
        <v>06:59:23</v>
      </c>
      <c r="L3">
        <v>-12.317588</v>
      </c>
      <c r="M3">
        <v>-76.82964</v>
      </c>
      <c r="N3">
        <f>HYPERLINK("https://www.google.com/maps/search/?api=1&amp;query=-12.317588,-76.82964","Punta Hermosa, Lima")</f>
      </c>
      <c r="O3" t="str">
        <v>Llegó a la zona</v>
      </c>
      <c r="P3">
        <v>560881.4</v>
      </c>
      <c r="Q3" t="str">
        <v>MASS BSF 1</v>
      </c>
      <c r="R3">
        <v>11.3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18/09/2026</v>
      </c>
      <c r="AC3" t="str">
        <v>06:59:22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06:59:43</v>
      </c>
      <c r="AK3" t="str">
        <v>06:59:43</v>
      </c>
      <c r="AL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18/09/2026</v>
      </c>
      <c r="K4" t="str">
        <v>07:05:48</v>
      </c>
      <c r="L4">
        <v>-12.317767</v>
      </c>
      <c r="M4">
        <v>-76.82417</v>
      </c>
      <c r="N4">
        <f>HYPERLINK("https://www.google.com/maps/search/?api=1&amp;query=-12.317767,-76.82417","Punta Hermosa, Lima")</f>
      </c>
      <c r="O4" t="str">
        <v>Vehículo apagado</v>
      </c>
      <c r="P4">
        <v>560882.3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18/09/2026</v>
      </c>
      <c r="AC4" t="str">
        <v>07:05:51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07:06:16</v>
      </c>
      <c r="AK4" t="str">
        <v>07:06:16</v>
      </c>
      <c r="AL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18/09/2026</v>
      </c>
      <c r="K5" t="str">
        <v>08:25:55</v>
      </c>
      <c r="L5">
        <v>-12.317767</v>
      </c>
      <c r="M5">
        <v>-76.82417</v>
      </c>
      <c r="N5">
        <f>HYPERLINK("https://www.google.com/maps/search/?api=1&amp;query=-12.317767,-76.82417","Punta Hermosa, Lima")</f>
      </c>
      <c r="O5" t="str">
        <v>Vehículo encendido</v>
      </c>
      <c r="P5">
        <v>560882.3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96</v>
      </c>
      <c r="AB5" t="str">
        <v>18/09/2026</v>
      </c>
      <c r="AC5" t="str">
        <v>08:03:20</v>
      </c>
      <c r="AD5">
        <f>IF("NOGPS"="NOGPS","GPS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08:26:18</v>
      </c>
      <c r="AK5" t="str">
        <v>08:26:18</v>
      </c>
      <c r="AL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18/09/2026</v>
      </c>
      <c r="K6" t="str">
        <v>08:29:03</v>
      </c>
      <c r="L6">
        <v>-12.31784</v>
      </c>
      <c r="M6">
        <v>-76.82416</v>
      </c>
      <c r="N6">
        <f>HYPERLINK("https://www.google.com/maps/search/?api=1&amp;query=-12.31784,-76.82416","Punta Hermosa, Lima")</f>
      </c>
      <c r="O6" t="str">
        <v>Vehículo apagado</v>
      </c>
      <c r="P6">
        <v>560882.3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96</v>
      </c>
      <c r="AB6" t="str">
        <v>18/09/2026</v>
      </c>
      <c r="AC6" t="str">
        <v>08:29:05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08:29:27</v>
      </c>
      <c r="AK6" t="str">
        <v>08:29:27</v>
      </c>
      <c r="AL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18/09/2026</v>
      </c>
      <c r="K7" t="str">
        <v>09:02:31</v>
      </c>
      <c r="L7">
        <v>-12.31784</v>
      </c>
      <c r="M7">
        <v>-76.82416</v>
      </c>
      <c r="N7">
        <f>HYPERLINK("https://www.google.com/maps/search/?api=1&amp;query=-12.31784,-76.82416","Punta Hermosa, Lima")</f>
      </c>
      <c r="O7" t="str">
        <v>Vehículo encendido</v>
      </c>
      <c r="P7">
        <v>560882.3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96</v>
      </c>
      <c r="AB7" t="str">
        <v>18/09/2026</v>
      </c>
      <c r="AC7" t="str">
        <v>08:56:35</v>
      </c>
      <c r="AD7">
        <f>IF("NOGPS"="NOGPS","GPS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09:02:35</v>
      </c>
      <c r="AK7" t="str">
        <v>09:02:35</v>
      </c>
      <c r="AL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/>
      </c>
      <c r="J8" t="str">
        <v>18/09/2026</v>
      </c>
      <c r="K8" t="str">
        <v>09:05:32</v>
      </c>
      <c r="L8">
        <v>-12.317682</v>
      </c>
      <c r="M8">
        <v>-76.82428</v>
      </c>
      <c r="N8">
        <f>HYPERLINK("https://www.google.com/maps/search/?api=1&amp;query=-12.317682,-76.82428","Punta Hermosa, Lima")</f>
      </c>
      <c r="O8" t="str">
        <v>Inicio de ralentí</v>
      </c>
      <c r="P8">
        <v>560882.3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96</v>
      </c>
      <c r="AB8" t="str">
        <v>18/09/2026</v>
      </c>
      <c r="AC8" t="str">
        <v>09:04:29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09:05:39</v>
      </c>
      <c r="AK8" t="str">
        <v>09:05:39</v>
      </c>
      <c r="AL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/>
      </c>
      <c r="J9" t="str">
        <v>18/09/2026</v>
      </c>
      <c r="K9" t="str">
        <v>09:07:57</v>
      </c>
      <c r="L9">
        <v>-12.316705</v>
      </c>
      <c r="M9">
        <v>-76.82504</v>
      </c>
      <c r="N9">
        <f>HYPERLINK("https://www.google.com/maps/search/?api=1&amp;query=-12.316705,-76.82504","Punta Hermosa, Lima")</f>
      </c>
      <c r="O9" t="str">
        <v>Fin de ralentí</v>
      </c>
      <c r="P9">
        <v>560882.4</v>
      </c>
      <c r="Q9" t="str">
        <v/>
      </c>
      <c r="R9">
        <v>11.8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96</v>
      </c>
      <c r="AB9" t="str">
        <v>18/09/2026</v>
      </c>
      <c r="AC9" t="str">
        <v>09:08:05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09:08:23</v>
      </c>
      <c r="AK9" t="str">
        <v>09:08:23</v>
      </c>
      <c r="AL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 xml:space="preserve"> </v>
      </c>
      <c r="J10" t="str">
        <v>18/09/2026</v>
      </c>
      <c r="K10" t="str">
        <v>09:11:56</v>
      </c>
      <c r="L10">
        <v>-12.317501</v>
      </c>
      <c r="M10">
        <v>-76.82993</v>
      </c>
      <c r="N10">
        <f>HYPERLINK("https://www.google.com/maps/search/?api=1&amp;query=-12.317501,-76.82993","Punta Hermosa, Lima")</f>
      </c>
      <c r="O10" t="str">
        <v>Salió de zona</v>
      </c>
      <c r="P10">
        <v>560883</v>
      </c>
      <c r="Q10" t="str">
        <v>MASS BSF 1</v>
      </c>
      <c r="R10">
        <v>13.7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96</v>
      </c>
      <c r="AB10" t="str">
        <v>18/09/2026</v>
      </c>
      <c r="AC10" t="str">
        <v>09:11:56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09:12:24</v>
      </c>
      <c r="AK10" t="str">
        <v>09:12:24</v>
      </c>
      <c r="AL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/>
      </c>
      <c r="J11" t="str">
        <v>18/09/2026</v>
      </c>
      <c r="K11" t="str">
        <v>09:25:57</v>
      </c>
      <c r="L11">
        <v>-12.240394</v>
      </c>
      <c r="M11">
        <v>-76.94773</v>
      </c>
      <c r="N11">
        <f>HYPERLINK("https://www.google.com/maps/search/?api=1&amp;query=-12.240394,-76.94773","Carretera Panamericana Sur, Villa El Salvador, Lima")</f>
      </c>
      <c r="O11" t="str">
        <v>Excedió el límite de velocidad</v>
      </c>
      <c r="P11">
        <v>560898.6</v>
      </c>
      <c r="Q11" t="str">
        <v/>
      </c>
      <c r="R11">
        <v>80.4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95</v>
      </c>
      <c r="AB11" t="str">
        <v>18/09/2026</v>
      </c>
      <c r="AC11" t="str">
        <v>09:25:56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09:26:18</v>
      </c>
      <c r="AK11" t="str">
        <v>09:26:18</v>
      </c>
      <c r="AL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18/09/2026</v>
      </c>
      <c r="K12" t="str">
        <v>09:51:10</v>
      </c>
      <c r="L12">
        <v>-12.165631</v>
      </c>
      <c r="M12">
        <v>-76.99221</v>
      </c>
      <c r="N12">
        <f>HYPERLINK("https://www.google.com/maps/search/?api=1&amp;query=-12.165631,-76.99221","Jirón Guardia Civil Norte, Santiago de Surco, Lima")</f>
      </c>
      <c r="O12" t="str">
        <v>Vehículo apagado</v>
      </c>
      <c r="P12">
        <v>560911.7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95</v>
      </c>
      <c r="AB12" t="str">
        <v>18/09/2026</v>
      </c>
      <c r="AC12" t="str">
        <v>09:50:29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09:51:17</v>
      </c>
      <c r="AK12" t="str">
        <v>09:51:17</v>
      </c>
      <c r="AL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/>
      </c>
      <c r="J13" t="str">
        <v>18/09/2026</v>
      </c>
      <c r="K13" t="str">
        <v>10:09:40</v>
      </c>
      <c r="L13">
        <v>-12.165572</v>
      </c>
      <c r="M13">
        <v>-76.99216</v>
      </c>
      <c r="N13">
        <f>HYPERLINK("https://www.google.com/maps/search/?api=1&amp;query=-12.165572,-76.99216","Jirón Guardia Civil Norte, Santiago de Surco, Lima")</f>
      </c>
      <c r="O13" t="str">
        <v>Vehículo encendido</v>
      </c>
      <c r="P13">
        <v>560911.7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95</v>
      </c>
      <c r="AB13" t="str">
        <v>18/09/2026</v>
      </c>
      <c r="AC13" t="str">
        <v>09:51:13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10:10:04</v>
      </c>
      <c r="AK13" t="str">
        <v>10:10:04</v>
      </c>
      <c r="AL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18/09/2026</v>
      </c>
      <c r="K14" t="str">
        <v>10:16:45</v>
      </c>
      <c r="L14">
        <v>-12.167258</v>
      </c>
      <c r="M14">
        <v>-76.99083</v>
      </c>
      <c r="N14">
        <f>HYPERLINK("https://www.google.com/maps/search/?api=1&amp;query=-12.167258,-76.99083","Avenida de la Guardia Civil Sur, Santiago de Surco, Lima")</f>
      </c>
      <c r="O14" t="str">
        <v>Vehículo apagado</v>
      </c>
      <c r="P14">
        <v>560912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95</v>
      </c>
      <c r="AB14" t="str">
        <v>18/09/2026</v>
      </c>
      <c r="AC14" t="str">
        <v>10:16:48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10:17:10</v>
      </c>
      <c r="AK14" t="str">
        <v>10:17:10</v>
      </c>
      <c r="AL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18/09/2026</v>
      </c>
      <c r="K15" t="str">
        <v>10:36:57</v>
      </c>
      <c r="L15">
        <v>-12.167258</v>
      </c>
      <c r="M15">
        <v>-76.99083</v>
      </c>
      <c r="N15">
        <f>HYPERLINK("https://www.google.com/maps/search/?api=1&amp;query=-12.167258,-76.99083","Avenida de la Guardia Civil Sur, Santiago de Surco, Lima")</f>
      </c>
      <c r="O15" t="str">
        <v>Vehículo encendido</v>
      </c>
      <c r="P15">
        <v>560912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95</v>
      </c>
      <c r="AB15" t="str">
        <v>18/09/2026</v>
      </c>
      <c r="AC15" t="str">
        <v>10:16:48</v>
      </c>
      <c r="AD15">
        <f>IF("NOGPS"="NOGPS","GPS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10:37:12</v>
      </c>
      <c r="AK15" t="str">
        <v>10:37:12</v>
      </c>
      <c r="AL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/>
      </c>
      <c r="J16" t="str">
        <v>18/09/2026</v>
      </c>
      <c r="K16" t="str">
        <v>10:45:51</v>
      </c>
      <c r="L16">
        <v>-12.172083</v>
      </c>
      <c r="M16">
        <v>-76.98517</v>
      </c>
      <c r="N16">
        <f>HYPERLINK("https://www.google.com/maps/search/?api=1&amp;query=-12.172083,-76.98517","Avenida Alipio Ponce, Chorrillos, Lima")</f>
      </c>
      <c r="O16" t="str">
        <v>Exceso de velocidad en segmento vial</v>
      </c>
      <c r="P16">
        <v>560914.2</v>
      </c>
      <c r="Q16" t="str">
        <v/>
      </c>
      <c r="R16">
        <v>50.8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95</v>
      </c>
      <c r="AB16" t="str">
        <v>18/09/2026</v>
      </c>
      <c r="AC16" t="str">
        <v>10:45:51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10:46:20</v>
      </c>
      <c r="AK16" t="str">
        <v>10:46:20</v>
      </c>
      <c r="AL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18/09/2026</v>
      </c>
      <c r="K17" t="str">
        <v>10:46:49</v>
      </c>
      <c r="L17">
        <v>-12.172148</v>
      </c>
      <c r="M17">
        <v>-76.98478</v>
      </c>
      <c r="N17">
        <f>HYPERLINK("https://www.google.com/maps/search/?api=1&amp;query=-12.172148,-76.98478","Avenida Alipio Ponce, Chorrillos, Lima")</f>
      </c>
      <c r="O17" t="str">
        <v>Exceso de velocidad en segmento vial</v>
      </c>
      <c r="P17">
        <v>560914.6</v>
      </c>
      <c r="Q17" t="str">
        <v/>
      </c>
      <c r="R17">
        <v>50.7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95</v>
      </c>
      <c r="AB17" t="str">
        <v>18/09/2026</v>
      </c>
      <c r="AC17" t="str">
        <v>10:45:54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10:47:05</v>
      </c>
      <c r="AK17" t="str">
        <v>10:47:05</v>
      </c>
      <c r="AL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 xml:space="preserve"> </v>
      </c>
      <c r="J18" t="str">
        <v>18/09/2026</v>
      </c>
      <c r="K18" t="str">
        <v>11:18:19</v>
      </c>
      <c r="L18">
        <v>-12.317581</v>
      </c>
      <c r="M18">
        <v>-76.82963</v>
      </c>
      <c r="N18">
        <f>HYPERLINK("https://www.google.com/maps/search/?api=1&amp;query=-12.317581,-76.82963","Punta Hermosa, Lima")</f>
      </c>
      <c r="O18" t="str">
        <v>Llegó a la zona</v>
      </c>
      <c r="P18">
        <v>560944</v>
      </c>
      <c r="Q18" t="str">
        <v>MASS BSF 1</v>
      </c>
      <c r="R18">
        <v>10.5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95</v>
      </c>
      <c r="AB18" t="str">
        <v>18/09/2026</v>
      </c>
      <c r="AC18" t="str">
        <v>11:18:18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11:18:29</v>
      </c>
      <c r="AK18" t="str">
        <v>11:18:29</v>
      </c>
      <c r="AL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18/09/2026</v>
      </c>
      <c r="K19" t="str">
        <v>11:25:11</v>
      </c>
      <c r="L19">
        <v>-12.317369</v>
      </c>
      <c r="M19">
        <v>-76.82294</v>
      </c>
      <c r="N19">
        <f>HYPERLINK("https://www.google.com/maps/search/?api=1&amp;query=-12.317369,-76.82294","Punta Hermosa, Lima")</f>
      </c>
      <c r="O19" t="str">
        <v>Vehículo apagado</v>
      </c>
      <c r="P19">
        <v>560946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93</v>
      </c>
      <c r="AB19" t="str">
        <v>18/09/2026</v>
      </c>
      <c r="AC19" t="str">
        <v>11:24:57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11:25:24</v>
      </c>
      <c r="AK19" t="str">
        <v>11:25:24</v>
      </c>
      <c r="AL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18/09/2026</v>
      </c>
      <c r="K20" t="str">
        <v>11:32:37</v>
      </c>
      <c r="L20">
        <v>-12.317369</v>
      </c>
      <c r="M20">
        <v>-76.82294</v>
      </c>
      <c r="N20">
        <f>HYPERLINK("https://www.google.com/maps/search/?api=1&amp;query=-12.317369,-76.82294","Punta Hermosa, Lima")</f>
      </c>
      <c r="O20" t="str">
        <v>Vehículo encendido</v>
      </c>
      <c r="P20">
        <v>560946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93</v>
      </c>
      <c r="AB20" t="str">
        <v>18/09/2026</v>
      </c>
      <c r="AC20" t="str">
        <v>11:25:14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11:32:58</v>
      </c>
      <c r="AK20" t="str">
        <v>11:32:58</v>
      </c>
      <c r="AL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/>
      </c>
      <c r="J21" t="str">
        <v>18/09/2026</v>
      </c>
      <c r="K21" t="str">
        <v>11:35:17</v>
      </c>
      <c r="L21">
        <v>-12.317856</v>
      </c>
      <c r="M21">
        <v>-76.824234</v>
      </c>
      <c r="N21">
        <f>HYPERLINK("https://www.google.com/maps/search/?api=1&amp;query=-12.317856,-76.824234","Punta Hermosa, Lima")</f>
      </c>
      <c r="O21" t="str">
        <v>Vehículo apagado</v>
      </c>
      <c r="P21">
        <v>560946.3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93</v>
      </c>
      <c r="AB21" t="str">
        <v>18/09/2026</v>
      </c>
      <c r="AC21" t="str">
        <v>11:35:19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11:35:35</v>
      </c>
      <c r="AK21" t="str">
        <v>11:35:35</v>
      </c>
      <c r="AL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/>
      </c>
      <c r="J22" t="str">
        <v>18/09/2026</v>
      </c>
      <c r="K22" t="str">
        <v>12:23:13</v>
      </c>
      <c r="L22">
        <v>-12.317856</v>
      </c>
      <c r="M22">
        <v>-76.824234</v>
      </c>
      <c r="N22">
        <f>HYPERLINK("https://www.google.com/maps/search/?api=1&amp;query=-12.317856,-76.824234","Punta Hermosa, Lima")</f>
      </c>
      <c r="O22" t="str">
        <v>Vehículo encendido</v>
      </c>
      <c r="P22">
        <v>560946.3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93</v>
      </c>
      <c r="AB22" t="str">
        <v>18/09/2026</v>
      </c>
      <c r="AC22" t="str">
        <v>12:02:51</v>
      </c>
      <c r="AD22">
        <f>IF("NOGPS"="NOGPS","GPS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12:23:36</v>
      </c>
      <c r="AK22" t="str">
        <v>12:23:36</v>
      </c>
      <c r="AL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 xml:space="preserve"> </v>
      </c>
      <c r="J23" t="str">
        <v>18/09/2026</v>
      </c>
      <c r="K23" t="str">
        <v>12:28:07</v>
      </c>
      <c r="L23">
        <v>-12.31747</v>
      </c>
      <c r="M23">
        <v>-76.83011</v>
      </c>
      <c r="N23">
        <f>HYPERLINK("https://www.google.com/maps/search/?api=1&amp;query=-12.31747,-76.83011","Punta Hermosa, Lima")</f>
      </c>
      <c r="O23" t="str">
        <v>Salió de zona</v>
      </c>
      <c r="P23">
        <v>560947</v>
      </c>
      <c r="Q23" t="str">
        <v>MASS BSF 1</v>
      </c>
      <c r="R23">
        <v>27.5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93</v>
      </c>
      <c r="AB23" t="str">
        <v>18/09/2026</v>
      </c>
      <c r="AC23" t="str">
        <v>12:28:07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12:28:21</v>
      </c>
      <c r="AK23" t="str">
        <v>12:28:21</v>
      </c>
      <c r="AL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/>
      </c>
      <c r="J24" t="str">
        <v>18/09/2026</v>
      </c>
      <c r="K24" t="str">
        <v>12:31:43</v>
      </c>
      <c r="L24">
        <v>-12.29568</v>
      </c>
      <c r="M24">
        <v>-76.85853</v>
      </c>
      <c r="N24">
        <f>HYPERLINK("https://www.google.com/maps/search/?api=1&amp;query=-12.29568,-76.85853","Carretera Panamericana Sur, Lurín, Lima")</f>
      </c>
      <c r="O24" t="str">
        <v>Excedió el límite de velocidad</v>
      </c>
      <c r="P24">
        <v>560951.2</v>
      </c>
      <c r="Q24" t="str">
        <v/>
      </c>
      <c r="R24">
        <v>80.5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18/09/2026</v>
      </c>
      <c r="AC24" t="str">
        <v>12:31:43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12:32:05</v>
      </c>
      <c r="AK24" t="str">
        <v>12:32:05</v>
      </c>
      <c r="AL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/>
      </c>
      <c r="J25" t="str">
        <v>18/09/2026</v>
      </c>
      <c r="K25" t="str">
        <v>12:37:50</v>
      </c>
      <c r="L25">
        <v>-12.257046</v>
      </c>
      <c r="M25">
        <v>-76.92</v>
      </c>
      <c r="N25">
        <f>HYPERLINK("https://www.google.com/maps/search/?api=1&amp;query=-12.257046,-76.92","Carretera Panamericana Sur, Lurín, Lima")</f>
      </c>
      <c r="O25" t="str">
        <v>Excedió el límite de velocidad</v>
      </c>
      <c r="P25">
        <v>560959.2</v>
      </c>
      <c r="Q25" t="str">
        <v/>
      </c>
      <c r="R25">
        <v>80.6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18/09/2026</v>
      </c>
      <c r="AC25" t="str">
        <v>12:37:49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12:41:11</v>
      </c>
      <c r="AK25" t="str">
        <v>12:41:11</v>
      </c>
      <c r="AL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/>
      </c>
      <c r="J26" t="str">
        <v>18/09/2026</v>
      </c>
      <c r="K26" t="str">
        <v>13:03:45</v>
      </c>
      <c r="L26">
        <v>-12.165649</v>
      </c>
      <c r="M26">
        <v>-76.974014</v>
      </c>
      <c r="N26">
        <f>HYPERLINK("https://www.google.com/maps/search/?api=1&amp;query=-12.165649,-76.974014","Avenida Ramón Vargas Machuca, San Juan de Miraflores, Lima")</f>
      </c>
      <c r="O26" t="str">
        <v>Vehículo apagado</v>
      </c>
      <c r="P26">
        <v>560973.2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18/09/2026</v>
      </c>
      <c r="AC26" t="str">
        <v>13:03:48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13:04:06</v>
      </c>
      <c r="AK26" t="str">
        <v>13:04:06</v>
      </c>
      <c r="AL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/>
      </c>
      <c r="J27" t="str">
        <v>18/09/2026</v>
      </c>
      <c r="K27" t="str">
        <v>14:03:11</v>
      </c>
      <c r="L27">
        <v>-12.165716</v>
      </c>
      <c r="M27">
        <v>-76.97401</v>
      </c>
      <c r="N27">
        <f>HYPERLINK("https://www.google.com/maps/search/?api=1&amp;query=-12.165716,-76.97401","Avenida Ramón Vargas Machuca, San Juan de Miraflores, Lima")</f>
      </c>
      <c r="O27" t="str">
        <v>Vehículo encendido</v>
      </c>
      <c r="P27">
        <v>560973.2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92</v>
      </c>
      <c r="AB27" t="str">
        <v>18/09/2026</v>
      </c>
      <c r="AC27" t="str">
        <v>14:03:14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14:03:32</v>
      </c>
      <c r="AK27" t="str">
        <v>14:03:32</v>
      </c>
      <c r="AL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/>
      </c>
      <c r="J28" t="str">
        <v>18/09/2026</v>
      </c>
      <c r="K28" t="str">
        <v>14:07:50</v>
      </c>
      <c r="L28">
        <v>-12.165724</v>
      </c>
      <c r="M28">
        <v>-76.974</v>
      </c>
      <c r="N28">
        <f>HYPERLINK("https://www.google.com/maps/search/?api=1&amp;query=-12.165724,-76.974","Avenida Ramón Vargas Machuca, San Juan de Miraflores, Lima")</f>
      </c>
      <c r="O28" t="str">
        <v>Inicio de ralentí</v>
      </c>
      <c r="P28">
        <v>560973.2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92</v>
      </c>
      <c r="AB28" t="str">
        <v>18/09/2026</v>
      </c>
      <c r="AC28" t="str">
        <v>14:07:08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14:08:12</v>
      </c>
      <c r="AK28" t="str">
        <v>14:08:12</v>
      </c>
      <c r="AL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/>
      </c>
      <c r="J29" t="str">
        <v>18/09/2026</v>
      </c>
      <c r="K29" t="str">
        <v>14:09:19</v>
      </c>
      <c r="L29">
        <v>-12.165724</v>
      </c>
      <c r="M29">
        <v>-76.974</v>
      </c>
      <c r="N29">
        <f>HYPERLINK("https://www.google.com/maps/search/?api=1&amp;query=-12.165724,-76.974","Avenida Ramón Vargas Machuca, San Juan de Miraflores, Lima")</f>
      </c>
      <c r="O29" t="str">
        <v>Fin de ralentí</v>
      </c>
      <c r="P29">
        <v>560973.2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92</v>
      </c>
      <c r="AB29" t="str">
        <v>18/09/2026</v>
      </c>
      <c r="AC29" t="str">
        <v>14:09:08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14:09:29</v>
      </c>
      <c r="AK29" t="str">
        <v>14:09:29</v>
      </c>
      <c r="AL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/>
      </c>
      <c r="J30" t="str">
        <v>18/09/2026</v>
      </c>
      <c r="K30" t="str">
        <v>14:13:00</v>
      </c>
      <c r="L30">
        <v>-12.165724</v>
      </c>
      <c r="M30">
        <v>-76.974</v>
      </c>
      <c r="N30">
        <f>HYPERLINK("https://www.google.com/maps/search/?api=1&amp;query=-12.165724,-76.974","Avenida Ramón Vargas Machuca, San Juan de Miraflores, Lima")</f>
      </c>
      <c r="O30" t="str">
        <v>Inicio de ralentí</v>
      </c>
      <c r="P30">
        <v>560973.2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92</v>
      </c>
      <c r="AB30" t="str">
        <v>18/09/2026</v>
      </c>
      <c r="AC30" t="str">
        <v>14:12:08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14:13:25</v>
      </c>
      <c r="AK30" t="str">
        <v>14:13:25</v>
      </c>
      <c r="AL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/>
      </c>
      <c r="J31" t="str">
        <v>18/09/2026</v>
      </c>
      <c r="K31" t="str">
        <v>14:19:52</v>
      </c>
      <c r="L31">
        <v>-12.165724</v>
      </c>
      <c r="M31">
        <v>-76.974</v>
      </c>
      <c r="N31">
        <f>HYPERLINK("https://www.google.com/maps/search/?api=1&amp;query=-12.165724,-76.974","Avenida Ramón Vargas Machuca, San Juan de Miraflores, Lima")</f>
      </c>
      <c r="O31" t="str">
        <v>Fin de ralentí</v>
      </c>
      <c r="P31">
        <v>560973.2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92</v>
      </c>
      <c r="AB31" t="str">
        <v>18/09/2026</v>
      </c>
      <c r="AC31" t="str">
        <v>14:19:08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14:20:08</v>
      </c>
      <c r="AK31" t="str">
        <v>14:20:08</v>
      </c>
      <c r="AL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/>
      </c>
      <c r="J32" t="str">
        <v>18/09/2026</v>
      </c>
      <c r="K32" t="str">
        <v>14:26:12</v>
      </c>
      <c r="L32">
        <v>-12.176422</v>
      </c>
      <c r="M32">
        <v>-76.97775</v>
      </c>
      <c r="N32">
        <f>HYPERLINK("https://www.google.com/maps/search/?api=1&amp;query=-12.176422,-76.97775","Avenida El Triunfo, San Juan de Miraflores, Lima")</f>
      </c>
      <c r="O32" t="str">
        <v>Exceso de velocidad en segmento vial</v>
      </c>
      <c r="P32">
        <v>560975.5</v>
      </c>
      <c r="Q32" t="str">
        <v/>
      </c>
      <c r="R32">
        <v>40.6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92</v>
      </c>
      <c r="AB32" t="str">
        <v>18/09/2026</v>
      </c>
      <c r="AC32" t="str">
        <v>14:26:08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14:26:33</v>
      </c>
      <c r="AK32" t="str">
        <v>14:26:33</v>
      </c>
      <c r="AL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 xml:space="preserve"> </v>
      </c>
      <c r="J33" t="str">
        <v>18/09/2026</v>
      </c>
      <c r="K33" t="str">
        <v>14:55:57</v>
      </c>
      <c r="L33">
        <v>-12.317468</v>
      </c>
      <c r="M33">
        <v>-76.82952</v>
      </c>
      <c r="N33">
        <f>HYPERLINK("https://www.google.com/maps/search/?api=1&amp;query=-12.317468,-76.82952","Punta Hermosa, Lima")</f>
      </c>
      <c r="O33" t="str">
        <v>Llegó a la zona</v>
      </c>
      <c r="P33">
        <v>561002.7</v>
      </c>
      <c r="Q33" t="str">
        <v>MASS BSF 1</v>
      </c>
      <c r="R33">
        <v>11.2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92</v>
      </c>
      <c r="AB33" t="str">
        <v>18/09/2026</v>
      </c>
      <c r="AC33" t="str">
        <v>14:55:56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14:56:24</v>
      </c>
      <c r="AK33" t="str">
        <v>14:56:24</v>
      </c>
      <c r="AL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/>
      </c>
      <c r="J34" t="str">
        <v>18/09/2026</v>
      </c>
      <c r="K34" t="str">
        <v>15:01:40</v>
      </c>
      <c r="L34">
        <v>-12.317951</v>
      </c>
      <c r="M34">
        <v>-76.82431</v>
      </c>
      <c r="N34">
        <f>HYPERLINK("https://www.google.com/maps/search/?api=1&amp;query=-12.317951,-76.82431","Punta Hermosa, Lima")</f>
      </c>
      <c r="O34" t="str">
        <v>Vehículo apagado</v>
      </c>
      <c r="P34">
        <v>561005.6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92</v>
      </c>
      <c r="AB34" t="str">
        <v>18/09/2026</v>
      </c>
      <c r="AC34" t="str">
        <v>15:01:43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15:02:00</v>
      </c>
      <c r="AK34" t="str">
        <v>15:02:00</v>
      </c>
      <c r="AL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/>
      </c>
      <c r="J35" t="str">
        <v>18/09/2026</v>
      </c>
      <c r="K35" t="str">
        <v>15:04:38</v>
      </c>
      <c r="L35">
        <v>-12.317951</v>
      </c>
      <c r="M35">
        <v>-76.82431</v>
      </c>
      <c r="N35">
        <f>HYPERLINK("https://www.google.com/maps/search/?api=1&amp;query=-12.317951,-76.82431","Punta Hermosa, Lima")</f>
      </c>
      <c r="O35" t="str">
        <v>Vehículo encendido</v>
      </c>
      <c r="P35">
        <v>561005.6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92</v>
      </c>
      <c r="AB35" t="str">
        <v>18/09/2026</v>
      </c>
      <c r="AC35" t="str">
        <v>15:01:43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15:04:49</v>
      </c>
      <c r="AK35" t="str">
        <v>15:04:49</v>
      </c>
      <c r="AL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/>
      </c>
      <c r="J36" t="str">
        <v>18/09/2026</v>
      </c>
      <c r="K36" t="str">
        <v>15:07:38</v>
      </c>
      <c r="L36">
        <v>-12.317957</v>
      </c>
      <c r="M36">
        <v>-76.82414</v>
      </c>
      <c r="N36">
        <f>HYPERLINK("https://www.google.com/maps/search/?api=1&amp;query=-12.317957,-76.82414","Punta Hermosa, Lima")</f>
      </c>
      <c r="O36" t="str">
        <v>Inicio de ralentí</v>
      </c>
      <c r="P36">
        <v>561005.6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92</v>
      </c>
      <c r="AB36" t="str">
        <v>18/09/2026</v>
      </c>
      <c r="AC36" t="str">
        <v>15:07:36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15:08:03</v>
      </c>
      <c r="AK36" t="str">
        <v>15:08:03</v>
      </c>
      <c r="AL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/>
      </c>
      <c r="J37" t="str">
        <v>18/09/2026</v>
      </c>
      <c r="K37" t="str">
        <v>15:08:58</v>
      </c>
      <c r="L37">
        <v>-12.317957</v>
      </c>
      <c r="M37">
        <v>-76.82414</v>
      </c>
      <c r="N37">
        <f>HYPERLINK("https://www.google.com/maps/search/?api=1&amp;query=-12.317957,-76.82414","Punta Hermosa, Lima")</f>
      </c>
      <c r="O37" t="str">
        <v>Vehículo apagado</v>
      </c>
      <c r="P37">
        <v>561005.6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92</v>
      </c>
      <c r="AB37" t="str">
        <v>18/09/2026</v>
      </c>
      <c r="AC37" t="str">
        <v>15:08:36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15:09:08</v>
      </c>
      <c r="AK37" t="str">
        <v>15:09:08</v>
      </c>
      <c r="AL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/>
      </c>
      <c r="J38" t="str">
        <v>18/09/2026</v>
      </c>
      <c r="K38" t="str">
        <v>15:09:58</v>
      </c>
      <c r="L38">
        <v>-12.317957</v>
      </c>
      <c r="M38">
        <v>-76.82414</v>
      </c>
      <c r="N38">
        <f>HYPERLINK("https://www.google.com/maps/search/?api=1&amp;query=-12.317957,-76.82414","Punta Hermosa, Lima")</f>
      </c>
      <c r="O38" t="str">
        <v>Fin de ralentí</v>
      </c>
      <c r="P38">
        <v>561005.6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92</v>
      </c>
      <c r="AB38" t="str">
        <v>18/09/2026</v>
      </c>
      <c r="AC38" t="str">
        <v>15:09:02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15:10:21</v>
      </c>
      <c r="AK38" t="str">
        <v>15:10:21</v>
      </c>
      <c r="AL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/>
      </c>
      <c r="J39" t="str">
        <v>18/09/2026</v>
      </c>
      <c r="K39" t="str">
        <v>15:38:38</v>
      </c>
      <c r="L39">
        <v>-12.317957</v>
      </c>
      <c r="M39">
        <v>-76.82414</v>
      </c>
      <c r="N39">
        <f>HYPERLINK("https://www.google.com/maps/search/?api=1&amp;query=-12.317957,-76.82414","Punta Hermosa, Lima")</f>
      </c>
      <c r="O39" t="str">
        <v>Vehículo encendido</v>
      </c>
      <c r="P39">
        <v>561005.6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92</v>
      </c>
      <c r="AB39" t="str">
        <v>18/09/2026</v>
      </c>
      <c r="AC39" t="str">
        <v>15:36:27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15:38:58</v>
      </c>
      <c r="AK39" t="str">
        <v>15:38:58</v>
      </c>
      <c r="AL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/>
      </c>
      <c r="J40" t="str">
        <v>18/09/2026</v>
      </c>
      <c r="K40" t="str">
        <v>15:43:22</v>
      </c>
      <c r="L40">
        <v>-12.317564</v>
      </c>
      <c r="M40">
        <v>-76.82449</v>
      </c>
      <c r="N40">
        <f>HYPERLINK("https://www.google.com/maps/search/?api=1&amp;query=-12.317564,-76.82449","Punta Hermosa, Lima")</f>
      </c>
      <c r="O40" t="str">
        <v>Vehículo apagado</v>
      </c>
      <c r="P40">
        <v>561005.6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92</v>
      </c>
      <c r="AB40" t="str">
        <v>18/09/2026</v>
      </c>
      <c r="AC40" t="str">
        <v>15:42:35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15:43:38</v>
      </c>
      <c r="AK40" t="str">
        <v>15:43:38</v>
      </c>
      <c r="AL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/>
      </c>
      <c r="J41" t="str">
        <v>18/09/2026</v>
      </c>
      <c r="K41" t="str">
        <v>16:00:51</v>
      </c>
      <c r="L41">
        <v>-12.317564</v>
      </c>
      <c r="M41">
        <v>-76.82449</v>
      </c>
      <c r="N41">
        <f>HYPERLINK("https://www.google.com/maps/search/?api=1&amp;query=-12.317564,-76.82449","Punta Hermosa, Lima")</f>
      </c>
      <c r="O41" t="str">
        <v>Vehículo encendido</v>
      </c>
      <c r="P41">
        <v>561005.6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18/09/2026</v>
      </c>
      <c r="AC41" t="str">
        <v>15:43:25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16:01:14</v>
      </c>
      <c r="AK41" t="str">
        <v>16:01:14</v>
      </c>
      <c r="AL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 xml:space="preserve"> </v>
      </c>
      <c r="J42" t="str">
        <v>18/09/2026</v>
      </c>
      <c r="K42" t="str">
        <v>16:08:29</v>
      </c>
      <c r="L42">
        <v>-12.317515</v>
      </c>
      <c r="M42">
        <v>-76.83005</v>
      </c>
      <c r="N42">
        <f>HYPERLINK("https://www.google.com/maps/search/?api=1&amp;query=-12.317515,-76.83005","Punta Hermosa, Lima")</f>
      </c>
      <c r="O42" t="str">
        <v>Salió de zona</v>
      </c>
      <c r="P42">
        <v>561006.4</v>
      </c>
      <c r="Q42" t="str">
        <v>MASS BSF 1</v>
      </c>
      <c r="R42">
        <v>18.1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18/09/2026</v>
      </c>
      <c r="AC42" t="str">
        <v>16:08:29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16:08:47</v>
      </c>
      <c r="AK42" t="str">
        <v>16:08:47</v>
      </c>
      <c r="AL42" t="str">
        <v/>
      </c>
    </row>
  </sheetData>
  <ignoredErrors>
    <ignoredError numberStoredAsText="1" sqref="A1:AL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