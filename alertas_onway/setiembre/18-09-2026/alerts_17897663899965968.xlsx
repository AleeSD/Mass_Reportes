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Ale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21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Conductor</v>
      </c>
      <c r="J1" t="str">
        <v>Fecha</v>
      </c>
      <c r="K1" t="str">
        <v>Hora</v>
      </c>
      <c r="L1" t="str">
        <v>Latitud</v>
      </c>
      <c r="M1" t="str">
        <v>Longitud</v>
      </c>
      <c r="N1" t="str">
        <v>Dirección</v>
      </c>
      <c r="O1" t="str">
        <v>Alerta</v>
      </c>
      <c r="P1" t="str">
        <v>Odómetro (Km)</v>
      </c>
      <c r="Q1" t="str">
        <v>Zona</v>
      </c>
      <c r="R1" t="str">
        <v>Velocidad (Km/h)</v>
      </c>
      <c r="S1" t="str">
        <v>Horómetro (Hrs)</v>
      </c>
      <c r="T1" t="str">
        <v>Velocidad máxima permitida</v>
      </c>
      <c r="U1" t="str">
        <v>Velocidad máxima alcanzada</v>
      </c>
      <c r="V1" t="str">
        <v>Velocidad promedio</v>
      </c>
      <c r="W1" t="str">
        <v>Duración (segundos)</v>
      </c>
      <c r="X1" t="str">
        <v>Severidad de la alerta</v>
      </c>
      <c r="Y1" t="str">
        <v>Fecha y hora de inicio del exceso</v>
      </c>
      <c r="Z1" t="str">
        <v>Fecha y hora de fin del exceso</v>
      </c>
      <c r="AA1" t="str">
        <v>% Batería</v>
      </c>
      <c r="AB1" t="str">
        <v>Fecha GPS</v>
      </c>
      <c r="AC1" t="str">
        <v>Hora GPS</v>
      </c>
      <c r="AD1" t="str">
        <v>Estado GPS</v>
      </c>
      <c r="AE1" t="str">
        <v>Atención Alerta</v>
      </c>
      <c r="AF1" t="str">
        <v>Reporte de Alerta</v>
      </c>
      <c r="AG1" t="str">
        <v>Fecha Reporte Al.</v>
      </c>
      <c r="AH1" t="str">
        <v>Hora Reporte Al.</v>
      </c>
      <c r="AI1" t="str">
        <v>Registro de Atención</v>
      </c>
      <c r="AJ1" t="str">
        <v>Fecha Registro At.</v>
      </c>
      <c r="AK1" t="str">
        <v>Hora Registro At.</v>
      </c>
      <c r="AL1" t="str">
        <v>Notas</v>
      </c>
    </row>
    <row r="2">
      <c r="A2">
        <v>1</v>
      </c>
      <c r="B2" t="str">
        <v>MASS BSF</v>
      </c>
      <c r="C2" t="str">
        <v>AJQ-739</v>
      </c>
      <c r="D2" t="str">
        <v>AJQ-739</v>
      </c>
      <c r="E2" t="str">
        <v/>
      </c>
      <c r="F2" t="str">
        <v>867806075788192</v>
      </c>
      <c r="G2" t="str">
        <v>TBD</v>
      </c>
      <c r="H2" t="str">
        <v/>
      </c>
      <c r="I2" t="str">
        <v/>
      </c>
      <c r="J2" t="str">
        <v>18/09/2026</v>
      </c>
      <c r="K2" t="str">
        <v>05:40:57</v>
      </c>
      <c r="L2">
        <v>-12.213061</v>
      </c>
      <c r="M2">
        <v>-76.958984</v>
      </c>
      <c r="N2">
        <f>HYPERLINK("https://www.google.com/maps/search/?api=1&amp;query=-12.213061,-76.958984","Villa El Salvador, Lima")</f>
      </c>
      <c r="O2" t="str">
        <v>Vehículo encendido</v>
      </c>
      <c r="P2">
        <v>359635.4</v>
      </c>
      <c r="Q2" t="str">
        <v/>
      </c>
      <c r="R2">
        <v>0</v>
      </c>
      <c r="S2">
        <v>13.93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>
        <v>83</v>
      </c>
      <c r="AB2" t="str">
        <v>18/09/2026</v>
      </c>
      <c r="AC2" t="str">
        <v>05:40:53</v>
      </c>
      <c r="AD2">
        <f>IF("ONLINE"="NOGPS","GPS Antiguo","En línea")</f>
      </c>
      <c r="AE2">
        <f>IF(0=0,"Sin atender", IF(0=1,"Atendida","Atendida y Reportada"))</f>
      </c>
      <c r="AF2" t="str">
        <v/>
      </c>
      <c r="AG2" t="str">
        <v/>
      </c>
      <c r="AH2" t="str">
        <v/>
      </c>
      <c r="AI2" t="str">
        <v/>
      </c>
      <c r="AJ2" t="str">
        <v>18/09/2026 05:41:15</v>
      </c>
      <c r="AK2" t="str">
        <v>05:41:15</v>
      </c>
      <c r="AL2" t="str">
        <v/>
      </c>
    </row>
    <row r="3">
      <c r="A3">
        <v>2</v>
      </c>
      <c r="B3" t="str">
        <v>MASS BSF</v>
      </c>
      <c r="C3" t="str">
        <v>AJQ-739</v>
      </c>
      <c r="D3" t="str">
        <v>AJQ-739</v>
      </c>
      <c r="E3" t="str">
        <v/>
      </c>
      <c r="F3" t="str">
        <v>867806075788192</v>
      </c>
      <c r="G3" t="str">
        <v>TBD</v>
      </c>
      <c r="H3" t="str">
        <v/>
      </c>
      <c r="I3" t="str">
        <v/>
      </c>
      <c r="J3" t="str">
        <v>18/09/2026</v>
      </c>
      <c r="K3" t="str">
        <v>05:40:58</v>
      </c>
      <c r="L3">
        <v>-12.213061</v>
      </c>
      <c r="M3">
        <v>-76.958984</v>
      </c>
      <c r="N3">
        <f>HYPERLINK("https://www.google.com/maps/search/?api=1&amp;query=-12.213061,-76.958984","Villa El Salvador, Lima")</f>
      </c>
      <c r="O3" t="str">
        <v>Vehículo apagado</v>
      </c>
      <c r="P3">
        <v>359635.4</v>
      </c>
      <c r="Q3" t="str">
        <v/>
      </c>
      <c r="R3">
        <v>0</v>
      </c>
      <c r="S3">
        <v>13.93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>
        <v>83</v>
      </c>
      <c r="AB3" t="str">
        <v>18/09/2026</v>
      </c>
      <c r="AC3" t="str">
        <v>05:40:54</v>
      </c>
      <c r="AD3">
        <f>IF("ONLINE"="NOGPS","GPS Antiguo","En línea")</f>
      </c>
      <c r="AE3">
        <f>IF(0=0,"Sin atender", IF(0=1,"Atendida","Atendida y Reportada"))</f>
      </c>
      <c r="AF3" t="str">
        <v/>
      </c>
      <c r="AG3" t="str">
        <v/>
      </c>
      <c r="AH3" t="str">
        <v/>
      </c>
      <c r="AI3" t="str">
        <v/>
      </c>
      <c r="AJ3" t="str">
        <v>18/09/2026 05:41:15</v>
      </c>
      <c r="AK3" t="str">
        <v>05:41:15</v>
      </c>
      <c r="AL3" t="str">
        <v/>
      </c>
    </row>
    <row r="4">
      <c r="A4">
        <v>3</v>
      </c>
      <c r="B4" t="str">
        <v>MASS BSF</v>
      </c>
      <c r="C4" t="str">
        <v>AJQ-739</v>
      </c>
      <c r="D4" t="str">
        <v>AJQ-739</v>
      </c>
      <c r="E4" t="str">
        <v/>
      </c>
      <c r="F4" t="str">
        <v>867806075788192</v>
      </c>
      <c r="G4" t="str">
        <v>TBD</v>
      </c>
      <c r="H4" t="str">
        <v/>
      </c>
      <c r="I4" t="str">
        <v/>
      </c>
      <c r="J4" t="str">
        <v>18/09/2026</v>
      </c>
      <c r="K4" t="str">
        <v>05:41:00</v>
      </c>
      <c r="L4">
        <v>-12.213061</v>
      </c>
      <c r="M4">
        <v>-76.958984</v>
      </c>
      <c r="N4">
        <f>HYPERLINK("https://www.google.com/maps/search/?api=1&amp;query=-12.213061,-76.958984","Villa El Salvador, Lima")</f>
      </c>
      <c r="O4" t="str">
        <v>Vehículo encendido</v>
      </c>
      <c r="P4">
        <v>359635.4</v>
      </c>
      <c r="Q4" t="str">
        <v/>
      </c>
      <c r="R4">
        <v>0</v>
      </c>
      <c r="S4">
        <v>13.93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>
        <v>83</v>
      </c>
      <c r="AB4" t="str">
        <v>18/09/2026</v>
      </c>
      <c r="AC4" t="str">
        <v>05:40:56</v>
      </c>
      <c r="AD4">
        <f>IF("ONLINE"="NOGPS","GPS Antiguo","En línea")</f>
      </c>
      <c r="AE4">
        <f>IF(0=0,"Sin atender", IF(0=1,"Atendida","Atendida y Reportada"))</f>
      </c>
      <c r="AF4" t="str">
        <v/>
      </c>
      <c r="AG4" t="str">
        <v/>
      </c>
      <c r="AH4" t="str">
        <v/>
      </c>
      <c r="AI4" t="str">
        <v/>
      </c>
      <c r="AJ4" t="str">
        <v>18/09/2026 05:41:24</v>
      </c>
      <c r="AK4" t="str">
        <v>05:41:24</v>
      </c>
      <c r="AL4" t="str">
        <v/>
      </c>
    </row>
    <row r="5">
      <c r="A5">
        <v>4</v>
      </c>
      <c r="B5" t="str">
        <v>MASS BSF</v>
      </c>
      <c r="C5" t="str">
        <v>AJQ-739</v>
      </c>
      <c r="D5" t="str">
        <v>AJQ-739</v>
      </c>
      <c r="E5" t="str">
        <v/>
      </c>
      <c r="F5" t="str">
        <v>867806075788192</v>
      </c>
      <c r="G5" t="str">
        <v>TBD</v>
      </c>
      <c r="H5" t="str">
        <v/>
      </c>
      <c r="I5" t="str">
        <v/>
      </c>
      <c r="J5" t="str">
        <v>18/09/2026</v>
      </c>
      <c r="K5" t="str">
        <v>05:46:03</v>
      </c>
      <c r="L5">
        <v>-12.213995</v>
      </c>
      <c r="M5">
        <v>-76.96114</v>
      </c>
      <c r="N5">
        <f>HYPERLINK("https://www.google.com/maps/search/?api=1&amp;query=-12.213995,-76.96114","Avenida Villa del Mar, Villa El Salvador, Lima")</f>
      </c>
      <c r="O5" t="str">
        <v>Bache</v>
      </c>
      <c r="P5">
        <v>359635.7</v>
      </c>
      <c r="Q5" t="str">
        <v/>
      </c>
      <c r="R5">
        <v>14.8</v>
      </c>
      <c r="S5">
        <v>13.93</v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>
        <v>81</v>
      </c>
      <c r="AB5" t="str">
        <v>18/09/2026</v>
      </c>
      <c r="AC5" t="str">
        <v>05:45:59</v>
      </c>
      <c r="AD5">
        <f>IF("ONLINE"="NOGPS","GPS Antiguo","En línea")</f>
      </c>
      <c r="AE5">
        <f>IF(0=0,"Sin atender", IF(0=1,"Atendida","Atendida y Reportada"))</f>
      </c>
      <c r="AF5" t="str">
        <v/>
      </c>
      <c r="AG5" t="str">
        <v/>
      </c>
      <c r="AH5" t="str">
        <v/>
      </c>
      <c r="AI5" t="str">
        <v/>
      </c>
      <c r="AJ5" t="str">
        <v>18/09/2026 05:46:10</v>
      </c>
      <c r="AK5" t="str">
        <v>05:46:10</v>
      </c>
      <c r="AL5" t="str">
        <v/>
      </c>
    </row>
    <row r="6">
      <c r="A6">
        <v>5</v>
      </c>
      <c r="B6" t="str">
        <v>MASS BSF</v>
      </c>
      <c r="C6" t="str">
        <v>AJQ-739</v>
      </c>
      <c r="D6" t="str">
        <v>AJQ-739</v>
      </c>
      <c r="E6" t="str">
        <v/>
      </c>
      <c r="F6" t="str">
        <v>867806075788192</v>
      </c>
      <c r="G6" t="str">
        <v>TBD</v>
      </c>
      <c r="H6" t="str">
        <v/>
      </c>
      <c r="I6" t="str">
        <v/>
      </c>
      <c r="J6" t="str">
        <v>18/09/2026</v>
      </c>
      <c r="K6" t="str">
        <v>05:46:55</v>
      </c>
      <c r="L6">
        <v>-12.21512</v>
      </c>
      <c r="M6">
        <v>-76.96303</v>
      </c>
      <c r="N6">
        <f>HYPERLINK("https://www.google.com/maps/search/?api=1&amp;query=-12.21512,-76.96303","Avenida Villa del Mar, Villa El Salvador, Lima")</f>
      </c>
      <c r="O6" t="str">
        <v>Ingreso a camino vecinal</v>
      </c>
      <c r="P6">
        <v>359635.9</v>
      </c>
      <c r="Q6" t="str">
        <v/>
      </c>
      <c r="R6">
        <v>18.1</v>
      </c>
      <c r="S6">
        <v>13.93</v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>
        <v>80</v>
      </c>
      <c r="AB6" t="str">
        <v>18/09/2026</v>
      </c>
      <c r="AC6" t="str">
        <v>05:46:51</v>
      </c>
      <c r="AD6">
        <f>IF("ONLINE"="NOGPS","GPS Antiguo","En línea")</f>
      </c>
      <c r="AE6">
        <f>IF(0=0,"Sin atender", IF(0=1,"Atendida","Atendida y Reportada"))</f>
      </c>
      <c r="AF6" t="str">
        <v/>
      </c>
      <c r="AG6" t="str">
        <v/>
      </c>
      <c r="AH6" t="str">
        <v/>
      </c>
      <c r="AI6" t="str">
        <v/>
      </c>
      <c r="AJ6" t="str">
        <v>18/09/2026 05:47:08</v>
      </c>
      <c r="AK6" t="str">
        <v>05:47:08</v>
      </c>
      <c r="AL6" t="str">
        <v/>
      </c>
    </row>
    <row r="7">
      <c r="A7">
        <v>6</v>
      </c>
      <c r="B7" t="str">
        <v>MASS BSF</v>
      </c>
      <c r="C7" t="str">
        <v>AJQ-739</v>
      </c>
      <c r="D7" t="str">
        <v>AJQ-739</v>
      </c>
      <c r="E7" t="str">
        <v/>
      </c>
      <c r="F7" t="str">
        <v>867806075788192</v>
      </c>
      <c r="G7" t="str">
        <v>TBD</v>
      </c>
      <c r="H7" t="str">
        <v/>
      </c>
      <c r="I7" t="str">
        <v/>
      </c>
      <c r="J7" t="str">
        <v>18/09/2026</v>
      </c>
      <c r="K7" t="str">
        <v>05:47:55</v>
      </c>
      <c r="L7">
        <v>-12.214046</v>
      </c>
      <c r="M7">
        <v>-76.96382</v>
      </c>
      <c r="N7">
        <f>HYPERLINK("https://www.google.com/maps/search/?api=1&amp;query=-12.214046,-76.96382","Avenida Los Forestales, Villa El Salvador, Lima")</f>
      </c>
      <c r="O7" t="str">
        <v>Salida de camino vecinal</v>
      </c>
      <c r="P7">
        <v>359636.2</v>
      </c>
      <c r="Q7" t="str">
        <v/>
      </c>
      <c r="R7">
        <v>11.2</v>
      </c>
      <c r="S7">
        <v>13.93</v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>
        <v>80</v>
      </c>
      <c r="AB7" t="str">
        <v>18/09/2026</v>
      </c>
      <c r="AC7" t="str">
        <v>05:47:51</v>
      </c>
      <c r="AD7">
        <f>IF("ONLINE"="NOGPS","GPS Antiguo","En línea")</f>
      </c>
      <c r="AE7">
        <f>IF(0=0,"Sin atender", IF(0=1,"Atendida","Atendida y Reportada"))</f>
      </c>
      <c r="AF7" t="str">
        <v/>
      </c>
      <c r="AG7" t="str">
        <v/>
      </c>
      <c r="AH7" t="str">
        <v/>
      </c>
      <c r="AI7" t="str">
        <v/>
      </c>
      <c r="AJ7" t="str">
        <v>18/09/2026 05:48:01</v>
      </c>
      <c r="AK7" t="str">
        <v>05:48:01</v>
      </c>
      <c r="AL7" t="str">
        <v/>
      </c>
    </row>
    <row r="8">
      <c r="A8">
        <v>7</v>
      </c>
      <c r="B8" t="str">
        <v>MASS BSF</v>
      </c>
      <c r="C8" t="str">
        <v>AJQ-739</v>
      </c>
      <c r="D8" t="str">
        <v>AJQ-739</v>
      </c>
      <c r="E8" t="str">
        <v/>
      </c>
      <c r="F8" t="str">
        <v>867806075788192</v>
      </c>
      <c r="G8" t="str">
        <v>TBD</v>
      </c>
      <c r="H8" t="str">
        <v/>
      </c>
      <c r="I8" t="str">
        <v/>
      </c>
      <c r="J8" t="str">
        <v>18/09/2026</v>
      </c>
      <c r="K8" t="str">
        <v>05:48:02</v>
      </c>
      <c r="L8">
        <v>-12.213881</v>
      </c>
      <c r="M8">
        <v>-76.96381</v>
      </c>
      <c r="N8">
        <f>HYPERLINK("https://www.google.com/maps/search/?api=1&amp;query=-12.213881,-76.96381","Avenida Los Forestales, Villa El Salvador, Lima")</f>
      </c>
      <c r="O8" t="str">
        <v>Bache</v>
      </c>
      <c r="P8">
        <v>359636.2</v>
      </c>
      <c r="Q8" t="str">
        <v/>
      </c>
      <c r="R8">
        <v>14.4</v>
      </c>
      <c r="S8">
        <v>13.93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>
        <v>80</v>
      </c>
      <c r="AB8" t="str">
        <v>18/09/2026</v>
      </c>
      <c r="AC8" t="str">
        <v>05:47:58</v>
      </c>
      <c r="AD8">
        <f>IF("ONLINE"="NOGPS","GPS Antiguo","En línea")</f>
      </c>
      <c r="AE8">
        <f>IF(0=0,"Sin atender", IF(0=1,"Atendida","Atendida y Reportada"))</f>
      </c>
      <c r="AF8" t="str">
        <v/>
      </c>
      <c r="AG8" t="str">
        <v/>
      </c>
      <c r="AH8" t="str">
        <v/>
      </c>
      <c r="AI8" t="str">
        <v/>
      </c>
      <c r="AJ8" t="str">
        <v>18/09/2026 05:48:16</v>
      </c>
      <c r="AK8" t="str">
        <v>05:48:16</v>
      </c>
      <c r="AL8" t="str">
        <v/>
      </c>
    </row>
    <row r="9">
      <c r="A9">
        <v>8</v>
      </c>
      <c r="B9" t="str">
        <v>MASS BSF</v>
      </c>
      <c r="C9" t="str">
        <v>AJQ-739</v>
      </c>
      <c r="D9" t="str">
        <v>AJQ-739</v>
      </c>
      <c r="E9" t="str">
        <v/>
      </c>
      <c r="F9" t="str">
        <v>867806075788192</v>
      </c>
      <c r="G9" t="str">
        <v>TBD</v>
      </c>
      <c r="H9" t="str">
        <v/>
      </c>
      <c r="I9" t="str">
        <v/>
      </c>
      <c r="J9" t="str">
        <v>18/09/2026</v>
      </c>
      <c r="K9" t="str">
        <v>05:48:26</v>
      </c>
      <c r="L9">
        <v>-12.212892</v>
      </c>
      <c r="M9">
        <v>-76.96373</v>
      </c>
      <c r="N9">
        <f>HYPERLINK("https://www.google.com/maps/search/?api=1&amp;query=-12.212892,-76.96373","Avenida Los Forestales, Villa El Salvador, Lima")</f>
      </c>
      <c r="O9" t="str">
        <v>Bache</v>
      </c>
      <c r="P9">
        <v>359636.3</v>
      </c>
      <c r="Q9" t="str">
        <v/>
      </c>
      <c r="R9">
        <v>15.3</v>
      </c>
      <c r="S9">
        <v>13.93</v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>
        <v>80</v>
      </c>
      <c r="AB9" t="str">
        <v>18/09/2026</v>
      </c>
      <c r="AC9" t="str">
        <v>05:48:22</v>
      </c>
      <c r="AD9">
        <f>IF("ONLINE"="NOGPS","GPS Antiguo","En línea")</f>
      </c>
      <c r="AE9">
        <f>IF(0=0,"Sin atender", IF(0=1,"Atendida","Atendida y Reportada"))</f>
      </c>
      <c r="AF9" t="str">
        <v/>
      </c>
      <c r="AG9" t="str">
        <v/>
      </c>
      <c r="AH9" t="str">
        <v/>
      </c>
      <c r="AI9" t="str">
        <v/>
      </c>
      <c r="AJ9" t="str">
        <v>18/09/2026 05:48:41</v>
      </c>
      <c r="AK9" t="str">
        <v>05:48:41</v>
      </c>
      <c r="AL9" t="str">
        <v/>
      </c>
    </row>
    <row r="10">
      <c r="A10">
        <v>9</v>
      </c>
      <c r="B10" t="str">
        <v>MASS BSF</v>
      </c>
      <c r="C10" t="str">
        <v>AJQ-739</v>
      </c>
      <c r="D10" t="str">
        <v>AJQ-739</v>
      </c>
      <c r="E10" t="str">
        <v/>
      </c>
      <c r="F10" t="str">
        <v>867806075788192</v>
      </c>
      <c r="G10" t="str">
        <v>TBD</v>
      </c>
      <c r="H10" t="str">
        <v/>
      </c>
      <c r="I10" t="str">
        <v/>
      </c>
      <c r="J10" t="str">
        <v>18/09/2026</v>
      </c>
      <c r="K10" t="str">
        <v>05:48:40</v>
      </c>
      <c r="L10">
        <v>-12.212327</v>
      </c>
      <c r="M10">
        <v>-76.9637</v>
      </c>
      <c r="N10">
        <f>HYPERLINK("https://www.google.com/maps/search/?api=1&amp;query=-12.212327,-76.9637","Avenida Los Forestales, Villa El Salvador, Lima")</f>
      </c>
      <c r="O10" t="str">
        <v>Bache</v>
      </c>
      <c r="P10">
        <v>359636.4</v>
      </c>
      <c r="Q10" t="str">
        <v/>
      </c>
      <c r="R10">
        <v>12.9</v>
      </c>
      <c r="S10">
        <v>13.93</v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>
        <v>80</v>
      </c>
      <c r="AB10" t="str">
        <v>18/09/2026</v>
      </c>
      <c r="AC10" t="str">
        <v>05:48:36</v>
      </c>
      <c r="AD10">
        <f>IF("ONLINE"="NOGPS","GPS Antiguo","En línea")</f>
      </c>
      <c r="AE10">
        <f>IF(0=0,"Sin atender", IF(0=1,"Atendida","Atendida y Reportada"))</f>
      </c>
      <c r="AF10" t="str">
        <v/>
      </c>
      <c r="AG10" t="str">
        <v/>
      </c>
      <c r="AH10" t="str">
        <v/>
      </c>
      <c r="AI10" t="str">
        <v/>
      </c>
      <c r="AJ10" t="str">
        <v>18/09/2026 05:48:52</v>
      </c>
      <c r="AK10" t="str">
        <v>05:48:52</v>
      </c>
      <c r="AL10" t="str">
        <v/>
      </c>
    </row>
    <row r="11">
      <c r="A11">
        <v>10</v>
      </c>
      <c r="B11" t="str">
        <v>MASS BSF</v>
      </c>
      <c r="C11" t="str">
        <v>AJQ-739</v>
      </c>
      <c r="D11" t="str">
        <v>AJQ-739</v>
      </c>
      <c r="E11" t="str">
        <v/>
      </c>
      <c r="F11" t="str">
        <v>867806075788192</v>
      </c>
      <c r="G11" t="str">
        <v>TBD</v>
      </c>
      <c r="H11" t="str">
        <v/>
      </c>
      <c r="I11" t="str">
        <v/>
      </c>
      <c r="J11" t="str">
        <v>18/09/2026</v>
      </c>
      <c r="K11" t="str">
        <v>05:48:55</v>
      </c>
      <c r="L11">
        <v>-12.212062</v>
      </c>
      <c r="M11">
        <v>-76.96381</v>
      </c>
      <c r="N11">
        <f>HYPERLINK("https://www.google.com/maps/search/?api=1&amp;query=-12.212062,-76.96381","Avenida El Sol, Villa El Salvador, Lima")</f>
      </c>
      <c r="O11" t="str">
        <v>Ingreso a camino vecinal</v>
      </c>
      <c r="P11">
        <v>359636.4</v>
      </c>
      <c r="Q11" t="str">
        <v/>
      </c>
      <c r="R11">
        <v>15.9</v>
      </c>
      <c r="S11">
        <v>13.93</v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>
        <v>86</v>
      </c>
      <c r="AB11" t="str">
        <v>18/09/2026</v>
      </c>
      <c r="AC11" t="str">
        <v>05:48:51</v>
      </c>
      <c r="AD11">
        <f>IF("ONLINE"="NOGPS","GPS Antiguo","En línea")</f>
      </c>
      <c r="AE11">
        <f>IF(0=0,"Sin atender", IF(0=1,"Atendida","Atendida y Reportada"))</f>
      </c>
      <c r="AF11" t="str">
        <v/>
      </c>
      <c r="AG11" t="str">
        <v/>
      </c>
      <c r="AH11" t="str">
        <v/>
      </c>
      <c r="AI11" t="str">
        <v/>
      </c>
      <c r="AJ11" t="str">
        <v>18/09/2026 05:49:12</v>
      </c>
      <c r="AK11" t="str">
        <v>05:49:12</v>
      </c>
      <c r="AL11" t="str">
        <v/>
      </c>
    </row>
    <row r="12">
      <c r="A12">
        <v>11</v>
      </c>
      <c r="B12" t="str">
        <v>MASS BSF</v>
      </c>
      <c r="C12" t="str">
        <v>AJQ-739</v>
      </c>
      <c r="D12" t="str">
        <v>AJQ-739</v>
      </c>
      <c r="E12" t="str">
        <v/>
      </c>
      <c r="F12" t="str">
        <v>867806075788192</v>
      </c>
      <c r="G12" t="str">
        <v>TBD</v>
      </c>
      <c r="H12" t="str">
        <v/>
      </c>
      <c r="I12" t="str">
        <v/>
      </c>
      <c r="J12" t="str">
        <v>18/09/2026</v>
      </c>
      <c r="K12" t="str">
        <v>05:49:55</v>
      </c>
      <c r="L12">
        <v>-12.214903</v>
      </c>
      <c r="M12">
        <v>-76.96728</v>
      </c>
      <c r="N12">
        <f>HYPERLINK("https://www.google.com/maps/search/?api=1&amp;query=-12.214903,-76.96728","Avenida El Sol, Villa El Salvador, Lima")</f>
      </c>
      <c r="O12" t="str">
        <v>Salida de camino vecinal</v>
      </c>
      <c r="P12">
        <v>359636.9</v>
      </c>
      <c r="Q12" t="str">
        <v/>
      </c>
      <c r="R12">
        <v>34.4</v>
      </c>
      <c r="S12">
        <v>13.93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>
        <v>86</v>
      </c>
      <c r="AB12" t="str">
        <v>18/09/2026</v>
      </c>
      <c r="AC12" t="str">
        <v>05:49:51</v>
      </c>
      <c r="AD12">
        <f>IF("ONLINE"="NOGPS","GPS Antiguo","En línea")</f>
      </c>
      <c r="AE12">
        <f>IF(0=0,"Sin atender", IF(0=1,"Atendida","Atendida y Reportada"))</f>
      </c>
      <c r="AF12" t="str">
        <v/>
      </c>
      <c r="AG12" t="str">
        <v/>
      </c>
      <c r="AH12" t="str">
        <v/>
      </c>
      <c r="AI12" t="str">
        <v/>
      </c>
      <c r="AJ12" t="str">
        <v>18/09/2026 05:50:00</v>
      </c>
      <c r="AK12" t="str">
        <v>05:50:00</v>
      </c>
      <c r="AL12" t="str">
        <v/>
      </c>
    </row>
    <row r="13">
      <c r="A13">
        <v>12</v>
      </c>
      <c r="B13" t="str">
        <v>MASS BSF</v>
      </c>
      <c r="C13" t="str">
        <v>AJQ-739</v>
      </c>
      <c r="D13" t="str">
        <v>AJQ-739</v>
      </c>
      <c r="E13" t="str">
        <v/>
      </c>
      <c r="F13" t="str">
        <v>867806075788192</v>
      </c>
      <c r="G13" t="str">
        <v>TBD</v>
      </c>
      <c r="H13" t="str">
        <v/>
      </c>
      <c r="I13" t="str">
        <v/>
      </c>
      <c r="J13" t="str">
        <v>18/09/2026</v>
      </c>
      <c r="K13" t="str">
        <v>05:51:25</v>
      </c>
      <c r="L13">
        <v>-12.219513</v>
      </c>
      <c r="M13">
        <v>-76.97165</v>
      </c>
      <c r="N13">
        <f>HYPERLINK("https://www.google.com/maps/search/?api=1&amp;query=-12.219513,-76.97165","Avenida El Sol, Villa El Salvador, Lima")</f>
      </c>
      <c r="O13" t="str">
        <v>Bache</v>
      </c>
      <c r="P13">
        <v>359637.6</v>
      </c>
      <c r="Q13" t="str">
        <v/>
      </c>
      <c r="R13">
        <v>37.7</v>
      </c>
      <c r="S13">
        <v>13.93</v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>
        <v>86</v>
      </c>
      <c r="AB13" t="str">
        <v>18/09/2026</v>
      </c>
      <c r="AC13" t="str">
        <v>05:51:21</v>
      </c>
      <c r="AD13">
        <f>IF("ONLINE"="NOGPS","GPS Antiguo","En línea")</f>
      </c>
      <c r="AE13">
        <f>IF(0=0,"Sin atender", IF(0=1,"Atendida","Atendida y Reportada"))</f>
      </c>
      <c r="AF13" t="str">
        <v/>
      </c>
      <c r="AG13" t="str">
        <v/>
      </c>
      <c r="AH13" t="str">
        <v/>
      </c>
      <c r="AI13" t="str">
        <v/>
      </c>
      <c r="AJ13" t="str">
        <v>18/09/2026 05:51:37</v>
      </c>
      <c r="AK13" t="str">
        <v>05:51:37</v>
      </c>
      <c r="AL13" t="str">
        <v/>
      </c>
    </row>
    <row r="14">
      <c r="A14">
        <v>13</v>
      </c>
      <c r="B14" t="str">
        <v>MASS BSF</v>
      </c>
      <c r="C14" t="str">
        <v>AJQ-739</v>
      </c>
      <c r="D14" t="str">
        <v>AJQ-739</v>
      </c>
      <c r="E14" t="str">
        <v/>
      </c>
      <c r="F14" t="str">
        <v>867806075788192</v>
      </c>
      <c r="G14" t="str">
        <v>TBD</v>
      </c>
      <c r="H14" t="str">
        <v/>
      </c>
      <c r="I14" t="str">
        <v/>
      </c>
      <c r="J14" t="str">
        <v>18/09/2026</v>
      </c>
      <c r="K14" t="str">
        <v>05:51:35</v>
      </c>
      <c r="L14">
        <v>-12.220185</v>
      </c>
      <c r="M14">
        <v>-76.97236</v>
      </c>
      <c r="N14">
        <f>HYPERLINK("https://www.google.com/maps/search/?api=1&amp;query=-12.220185,-76.97236","Avenida El Sol, Villa El Salvador, Lima")</f>
      </c>
      <c r="O14" t="str">
        <v>Bache</v>
      </c>
      <c r="P14">
        <v>359637.7</v>
      </c>
      <c r="Q14" t="str">
        <v/>
      </c>
      <c r="R14">
        <v>39</v>
      </c>
      <c r="S14">
        <v>13.93</v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>
        <v>86</v>
      </c>
      <c r="AB14" t="str">
        <v>18/09/2026</v>
      </c>
      <c r="AC14" t="str">
        <v>05:51:31</v>
      </c>
      <c r="AD14">
        <f>IF("ONLINE"="NOGPS","GPS Antiguo","En línea")</f>
      </c>
      <c r="AE14">
        <f>IF(0=0,"Sin atender", IF(0=1,"Atendida","Atendida y Reportada"))</f>
      </c>
      <c r="AF14" t="str">
        <v/>
      </c>
      <c r="AG14" t="str">
        <v/>
      </c>
      <c r="AH14" t="str">
        <v/>
      </c>
      <c r="AI14" t="str">
        <v/>
      </c>
      <c r="AJ14" t="str">
        <v>18/09/2026 05:51:56</v>
      </c>
      <c r="AK14" t="str">
        <v>05:51:56</v>
      </c>
      <c r="AL14" t="str">
        <v/>
      </c>
    </row>
    <row r="15">
      <c r="A15">
        <v>14</v>
      </c>
      <c r="B15" t="str">
        <v>MASS BSF</v>
      </c>
      <c r="C15" t="str">
        <v>AJQ-739</v>
      </c>
      <c r="D15" t="str">
        <v>AJQ-739</v>
      </c>
      <c r="E15" t="str">
        <v/>
      </c>
      <c r="F15" t="str">
        <v>867806075788192</v>
      </c>
      <c r="G15" t="str">
        <v>TBD</v>
      </c>
      <c r="H15" t="str">
        <v/>
      </c>
      <c r="I15" t="str">
        <v/>
      </c>
      <c r="J15" t="str">
        <v>18/09/2026</v>
      </c>
      <c r="K15" t="str">
        <v>05:51:55</v>
      </c>
      <c r="L15">
        <v>-12.221804</v>
      </c>
      <c r="M15">
        <v>-76.974045</v>
      </c>
      <c r="N15">
        <f>HYPERLINK("https://www.google.com/maps/search/?api=1&amp;query=-12.221804,-76.974045","Avenida El Sol, Villa El Salvador, Lima")</f>
      </c>
      <c r="O15" t="str">
        <v>Ingreso a camino vecinal</v>
      </c>
      <c r="P15">
        <v>359638</v>
      </c>
      <c r="Q15" t="str">
        <v/>
      </c>
      <c r="R15">
        <v>34.8</v>
      </c>
      <c r="S15">
        <v>13.93</v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>
        <v>86</v>
      </c>
      <c r="AB15" t="str">
        <v>18/09/2026</v>
      </c>
      <c r="AC15" t="str">
        <v>05:51:51</v>
      </c>
      <c r="AD15">
        <f>IF("ONLINE"="NOGPS","GPS Antiguo","En línea")</f>
      </c>
      <c r="AE15">
        <f>IF(0=0,"Sin atender", IF(0=1,"Atendida","Atendida y Reportada"))</f>
      </c>
      <c r="AF15" t="str">
        <v/>
      </c>
      <c r="AG15" t="str">
        <v/>
      </c>
      <c r="AH15" t="str">
        <v/>
      </c>
      <c r="AI15" t="str">
        <v/>
      </c>
      <c r="AJ15" t="str">
        <v>18/09/2026 05:52:04</v>
      </c>
      <c r="AK15" t="str">
        <v>05:52:04</v>
      </c>
      <c r="AL15" t="str">
        <v/>
      </c>
    </row>
    <row r="16">
      <c r="A16">
        <v>15</v>
      </c>
      <c r="B16" t="str">
        <v>MASS BSF</v>
      </c>
      <c r="C16" t="str">
        <v>AJQ-739</v>
      </c>
      <c r="D16" t="str">
        <v>AJQ-739</v>
      </c>
      <c r="E16" t="str">
        <v/>
      </c>
      <c r="F16" t="str">
        <v>867806075788192</v>
      </c>
      <c r="G16" t="str">
        <v>TBD</v>
      </c>
      <c r="H16" t="str">
        <v/>
      </c>
      <c r="I16" t="str">
        <v/>
      </c>
      <c r="J16" t="str">
        <v>18/09/2026</v>
      </c>
      <c r="K16" t="str">
        <v>05:52:55</v>
      </c>
      <c r="L16">
        <v>-12.219145</v>
      </c>
      <c r="M16">
        <v>-76.975746</v>
      </c>
      <c r="N16">
        <f>HYPERLINK("https://www.google.com/maps/search/?api=1&amp;query=-12.219145,-76.975746","Antigua Panamericana Sur, Villa El Salvador, Lima")</f>
      </c>
      <c r="O16" t="str">
        <v>Salida de camino vecinal</v>
      </c>
      <c r="P16">
        <v>359638.4</v>
      </c>
      <c r="Q16" t="str">
        <v/>
      </c>
      <c r="R16">
        <v>31.4</v>
      </c>
      <c r="S16">
        <v>13.93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>
        <v>81</v>
      </c>
      <c r="AB16" t="str">
        <v>18/09/2026</v>
      </c>
      <c r="AC16" t="str">
        <v>05:52:51</v>
      </c>
      <c r="AD16">
        <f>IF("ONLINE"="NOGPS","GPS Antiguo","En línea")</f>
      </c>
      <c r="AE16">
        <f>IF(0=0,"Sin atender", IF(0=1,"Atendida","Atendida y Reportada"))</f>
      </c>
      <c r="AF16" t="str">
        <v/>
      </c>
      <c r="AG16" t="str">
        <v/>
      </c>
      <c r="AH16" t="str">
        <v/>
      </c>
      <c r="AI16" t="str">
        <v/>
      </c>
      <c r="AJ16" t="str">
        <v>18/09/2026 05:53:08</v>
      </c>
      <c r="AK16" t="str">
        <v>05:53:08</v>
      </c>
      <c r="AL16" t="str">
        <v/>
      </c>
    </row>
    <row r="17">
      <c r="A17">
        <v>16</v>
      </c>
      <c r="B17" t="str">
        <v>MASS BSF</v>
      </c>
      <c r="C17" t="str">
        <v>AJQ-739</v>
      </c>
      <c r="D17" t="str">
        <v>AJQ-739</v>
      </c>
      <c r="E17" t="str">
        <v/>
      </c>
      <c r="F17" t="str">
        <v>867806075788192</v>
      </c>
      <c r="G17" t="str">
        <v>TBD</v>
      </c>
      <c r="H17" t="str">
        <v/>
      </c>
      <c r="I17" t="str">
        <v/>
      </c>
      <c r="J17" t="str">
        <v>18/09/2026</v>
      </c>
      <c r="K17" t="str">
        <v>05:55:04</v>
      </c>
      <c r="L17">
        <v>-12.21802</v>
      </c>
      <c r="M17">
        <v>-76.97815</v>
      </c>
      <c r="N17">
        <f>HYPERLINK("https://www.google.com/maps/search/?api=1&amp;query=-12.21802,-76.97815","Avenida Caminos del Inca, Chorrillos, Lima")</f>
      </c>
      <c r="O17" t="str">
        <v>Bache</v>
      </c>
      <c r="P17">
        <v>359639.6</v>
      </c>
      <c r="Q17" t="str">
        <v/>
      </c>
      <c r="R17">
        <v>9.6</v>
      </c>
      <c r="S17">
        <v>13.93</v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>
        <v>87</v>
      </c>
      <c r="AB17" t="str">
        <v>18/09/2026</v>
      </c>
      <c r="AC17" t="str">
        <v>05:55:00</v>
      </c>
      <c r="AD17">
        <f>IF("ONLINE"="NOGPS","GPS Antiguo","En línea")</f>
      </c>
      <c r="AE17">
        <f>IF(0=0,"Sin atender", IF(0=1,"Atendida","Atendida y Reportada"))</f>
      </c>
      <c r="AF17" t="str">
        <v/>
      </c>
      <c r="AG17" t="str">
        <v/>
      </c>
      <c r="AH17" t="str">
        <v/>
      </c>
      <c r="AI17" t="str">
        <v/>
      </c>
      <c r="AJ17" t="str">
        <v>18/09/2026 05:55:11</v>
      </c>
      <c r="AK17" t="str">
        <v>05:55:11</v>
      </c>
      <c r="AL17" t="str">
        <v/>
      </c>
    </row>
    <row r="18">
      <c r="A18">
        <v>17</v>
      </c>
      <c r="B18" t="str">
        <v>MASS BSF</v>
      </c>
      <c r="C18" t="str">
        <v>AJQ-739</v>
      </c>
      <c r="D18" t="str">
        <v>AJQ-739</v>
      </c>
      <c r="E18" t="str">
        <v/>
      </c>
      <c r="F18" t="str">
        <v>867806075788192</v>
      </c>
      <c r="G18" t="str">
        <v>TBD</v>
      </c>
      <c r="H18" t="str">
        <v/>
      </c>
      <c r="I18" t="str">
        <v/>
      </c>
      <c r="J18" t="str">
        <v>18/09/2026</v>
      </c>
      <c r="K18" t="str">
        <v>06:13:07</v>
      </c>
      <c r="L18">
        <v>-12.149963</v>
      </c>
      <c r="M18">
        <v>-76.9819</v>
      </c>
      <c r="N18">
        <f>HYPERLINK("https://www.google.com/maps/search/?api=1&amp;query=-12.149963,-76.9819","Avenida Los Héroes, San Juan de Miraflores, Lima")</f>
      </c>
      <c r="O18" t="str">
        <v>Aceleración brusca</v>
      </c>
      <c r="P18">
        <v>359648.2</v>
      </c>
      <c r="Q18" t="str">
        <v/>
      </c>
      <c r="R18">
        <v>31.2</v>
      </c>
      <c r="S18">
        <v>13.93</v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>
        <v>83</v>
      </c>
      <c r="AB18" t="str">
        <v>18/09/2026</v>
      </c>
      <c r="AC18" t="str">
        <v>06:13:03</v>
      </c>
      <c r="AD18">
        <f>IF("ONLINE"="NOGPS","GPS Antiguo","En línea")</f>
      </c>
      <c r="AE18">
        <f>IF(0=0,"Sin atender", IF(0=1,"Atendida","Atendida y Reportada"))</f>
      </c>
      <c r="AF18" t="str">
        <v/>
      </c>
      <c r="AG18" t="str">
        <v/>
      </c>
      <c r="AH18" t="str">
        <v/>
      </c>
      <c r="AI18" t="str">
        <v/>
      </c>
      <c r="AJ18" t="str">
        <v>18/09/2026 06:13:21</v>
      </c>
      <c r="AK18" t="str">
        <v>06:13:21</v>
      </c>
      <c r="AL18" t="str">
        <v/>
      </c>
    </row>
    <row r="19">
      <c r="A19">
        <v>18</v>
      </c>
      <c r="B19" t="str">
        <v>MASS BSF</v>
      </c>
      <c r="C19" t="str">
        <v>AJQ-739</v>
      </c>
      <c r="D19" t="str">
        <v>AJQ-739</v>
      </c>
      <c r="E19" t="str">
        <v/>
      </c>
      <c r="F19" t="str">
        <v>867806075788192</v>
      </c>
      <c r="G19" t="str">
        <v>TBD</v>
      </c>
      <c r="H19" t="str">
        <v/>
      </c>
      <c r="I19" t="str">
        <v/>
      </c>
      <c r="J19" t="str">
        <v>18/09/2026</v>
      </c>
      <c r="K19" t="str">
        <v>06:13:43</v>
      </c>
      <c r="L19">
        <v>-12.148597</v>
      </c>
      <c r="M19">
        <v>-76.983795</v>
      </c>
      <c r="N19">
        <f>HYPERLINK("https://www.google.com/maps/search/?api=1&amp;query=-12.148597,-76.983795","Jirón Morro Solar, Santiago de Surco, Lima")</f>
      </c>
      <c r="O19" t="str">
        <v>Aceleración brusca</v>
      </c>
      <c r="P19">
        <v>359648.5</v>
      </c>
      <c r="Q19" t="str">
        <v/>
      </c>
      <c r="R19">
        <v>27.7</v>
      </c>
      <c r="S19">
        <v>13.93</v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>
        <v>87</v>
      </c>
      <c r="AB19" t="str">
        <v>18/09/2026</v>
      </c>
      <c r="AC19" t="str">
        <v>06:13:39</v>
      </c>
      <c r="AD19">
        <f>IF("ONLINE"="NOGPS","GPS Antiguo","En línea")</f>
      </c>
      <c r="AE19">
        <f>IF(0=0,"Sin atender", IF(0=1,"Atendida","Atendida y Reportada"))</f>
      </c>
      <c r="AF19" t="str">
        <v/>
      </c>
      <c r="AG19" t="str">
        <v/>
      </c>
      <c r="AH19" t="str">
        <v/>
      </c>
      <c r="AI19" t="str">
        <v/>
      </c>
      <c r="AJ19" t="str">
        <v>18/09/2026 06:14:09</v>
      </c>
      <c r="AK19" t="str">
        <v>06:14:09</v>
      </c>
      <c r="AL19" t="str">
        <v/>
      </c>
    </row>
    <row r="20">
      <c r="A20">
        <v>19</v>
      </c>
      <c r="B20" t="str">
        <v>MASS BSF</v>
      </c>
      <c r="C20" t="str">
        <v>AJQ-739</v>
      </c>
      <c r="D20" t="str">
        <v>AJQ-739</v>
      </c>
      <c r="E20" t="str">
        <v/>
      </c>
      <c r="F20" t="str">
        <v>867806075788192</v>
      </c>
      <c r="G20" t="str">
        <v>TBD</v>
      </c>
      <c r="H20" t="str">
        <v/>
      </c>
      <c r="I20" t="str">
        <v/>
      </c>
      <c r="J20" t="str">
        <v>18/09/2026</v>
      </c>
      <c r="K20" t="str">
        <v>06:18:35</v>
      </c>
      <c r="L20">
        <v>-12.15777</v>
      </c>
      <c r="M20">
        <v>-76.98387</v>
      </c>
      <c r="N20">
        <f>HYPERLINK("https://www.google.com/maps/search/?api=1&amp;query=-12.15777,-76.98387","San Juan de Miraflores, Lima")</f>
      </c>
      <c r="O20" t="str">
        <v>Bache</v>
      </c>
      <c r="P20">
        <v>359649.7</v>
      </c>
      <c r="Q20" t="str">
        <v/>
      </c>
      <c r="R20">
        <v>14.2</v>
      </c>
      <c r="S20">
        <v>13.93</v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>
        <v>82</v>
      </c>
      <c r="AB20" t="str">
        <v>18/09/2026</v>
      </c>
      <c r="AC20" t="str">
        <v>06:18:31</v>
      </c>
      <c r="AD20">
        <f>IF("ONLINE"="NOGPS","GPS Antiguo","En línea")</f>
      </c>
      <c r="AE20">
        <f>IF(0=0,"Sin atender", IF(0=1,"Atendida","Atendida y Reportada"))</f>
      </c>
      <c r="AF20" t="str">
        <v/>
      </c>
      <c r="AG20" t="str">
        <v/>
      </c>
      <c r="AH20" t="str">
        <v/>
      </c>
      <c r="AI20" t="str">
        <v/>
      </c>
      <c r="AJ20" t="str">
        <v>18/09/2026 06:18:48</v>
      </c>
      <c r="AK20" t="str">
        <v>06:18:48</v>
      </c>
      <c r="AL20" t="str">
        <v/>
      </c>
    </row>
    <row r="21">
      <c r="A21">
        <v>20</v>
      </c>
      <c r="B21" t="str">
        <v>MASS BSF</v>
      </c>
      <c r="C21" t="str">
        <v>AJQ-739</v>
      </c>
      <c r="D21" t="str">
        <v>AJQ-739</v>
      </c>
      <c r="E21" t="str">
        <v/>
      </c>
      <c r="F21" t="str">
        <v>867806075788192</v>
      </c>
      <c r="G21" t="str">
        <v>TBD</v>
      </c>
      <c r="H21" t="str">
        <v/>
      </c>
      <c r="I21" t="str">
        <v/>
      </c>
      <c r="J21" t="str">
        <v>18/09/2026</v>
      </c>
      <c r="K21" t="str">
        <v>06:21:42</v>
      </c>
      <c r="L21">
        <v>-12.15787</v>
      </c>
      <c r="M21">
        <v>-76.984245</v>
      </c>
      <c r="N21">
        <f>HYPERLINK("https://www.google.com/maps/search/?api=1&amp;query=-12.15787,-76.984245","Calle Los Claveles, San Juan de Miraflores, Lima")</f>
      </c>
      <c r="O21" t="str">
        <v>Inicio de ralentí</v>
      </c>
      <c r="P21">
        <v>359649.7</v>
      </c>
      <c r="Q21" t="str">
        <v/>
      </c>
      <c r="R21">
        <v>0</v>
      </c>
      <c r="S21">
        <v>13.93</v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>
        <v>82</v>
      </c>
      <c r="AB21" t="str">
        <v>18/09/2026</v>
      </c>
      <c r="AC21" t="str">
        <v>06:21:37</v>
      </c>
      <c r="AD21">
        <f>IF("ONLINE"="NOGPS","GPS Antiguo","En línea")</f>
      </c>
      <c r="AE21">
        <f>IF(0=0,"Sin atender", IF(0=1,"Atendida","Atendida y Reportada"))</f>
      </c>
      <c r="AF21" t="str">
        <v/>
      </c>
      <c r="AG21" t="str">
        <v/>
      </c>
      <c r="AH21" t="str">
        <v/>
      </c>
      <c r="AI21" t="str">
        <v/>
      </c>
      <c r="AJ21" t="str">
        <v>18/09/2026 06:21:54</v>
      </c>
      <c r="AK21" t="str">
        <v>06:21:54</v>
      </c>
      <c r="AL21" t="str">
        <v/>
      </c>
    </row>
    <row r="22">
      <c r="A22">
        <v>21</v>
      </c>
      <c r="B22" t="str">
        <v>MASS BSF</v>
      </c>
      <c r="C22" t="str">
        <v>AJQ-739</v>
      </c>
      <c r="D22" t="str">
        <v>AJQ-739</v>
      </c>
      <c r="E22" t="str">
        <v/>
      </c>
      <c r="F22" t="str">
        <v>867806075788192</v>
      </c>
      <c r="G22" t="str">
        <v>TBD</v>
      </c>
      <c r="H22" t="str">
        <v/>
      </c>
      <c r="I22" t="str">
        <v/>
      </c>
      <c r="J22" t="str">
        <v>18/09/2026</v>
      </c>
      <c r="K22" t="str">
        <v>06:26:13</v>
      </c>
      <c r="L22">
        <v>-12.157862</v>
      </c>
      <c r="M22">
        <v>-76.984344</v>
      </c>
      <c r="N22">
        <f>HYPERLINK("https://www.google.com/maps/search/?api=1&amp;query=-12.157862,-76.984344","Calle Los Claveles, Santiago de Surco, Lima")</f>
      </c>
      <c r="O22" t="str">
        <v>Fin de ralentí</v>
      </c>
      <c r="P22">
        <v>359649.7</v>
      </c>
      <c r="Q22" t="str">
        <v/>
      </c>
      <c r="R22">
        <v>0</v>
      </c>
      <c r="S22">
        <v>13.93</v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>
        <v>87</v>
      </c>
      <c r="AB22" t="str">
        <v>18/09/2026</v>
      </c>
      <c r="AC22" t="str">
        <v>06:26:08</v>
      </c>
      <c r="AD22">
        <f>IF("ONLINE"="NOGPS","GPS Antiguo","En línea")</f>
      </c>
      <c r="AE22">
        <f>IF(0=0,"Sin atender", IF(0=1,"Atendida","Atendida y Reportada"))</f>
      </c>
      <c r="AF22" t="str">
        <v/>
      </c>
      <c r="AG22" t="str">
        <v/>
      </c>
      <c r="AH22" t="str">
        <v/>
      </c>
      <c r="AI22" t="str">
        <v/>
      </c>
      <c r="AJ22" t="str">
        <v>18/09/2026 06:26:17</v>
      </c>
      <c r="AK22" t="str">
        <v>06:26:17</v>
      </c>
      <c r="AL22" t="str">
        <v/>
      </c>
    </row>
    <row r="23">
      <c r="A23">
        <v>22</v>
      </c>
      <c r="B23" t="str">
        <v>MASS BSF</v>
      </c>
      <c r="C23" t="str">
        <v>AJQ-739</v>
      </c>
      <c r="D23" t="str">
        <v>AJQ-739</v>
      </c>
      <c r="E23" t="str">
        <v/>
      </c>
      <c r="F23" t="str">
        <v>867806075788192</v>
      </c>
      <c r="G23" t="str">
        <v>TBD</v>
      </c>
      <c r="H23" t="str">
        <v/>
      </c>
      <c r="I23" t="str">
        <v/>
      </c>
      <c r="J23" t="str">
        <v>18/09/2026</v>
      </c>
      <c r="K23" t="str">
        <v>06:34:58</v>
      </c>
      <c r="L23">
        <v>-12.157862</v>
      </c>
      <c r="M23">
        <v>-76.984344</v>
      </c>
      <c r="N23">
        <f>HYPERLINK("https://www.google.com/maps/search/?api=1&amp;query=-12.157862,-76.984344","Calle Los Claveles, Santiago de Surco, Lima")</f>
      </c>
      <c r="O23" t="str">
        <v>Se detuvo</v>
      </c>
      <c r="P23">
        <v>359649.7</v>
      </c>
      <c r="Q23" t="str">
        <v/>
      </c>
      <c r="R23">
        <v>0</v>
      </c>
      <c r="S23">
        <v>13.93</v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>
        <v>89</v>
      </c>
      <c r="AB23" t="str">
        <v>18/09/2026</v>
      </c>
      <c r="AC23" t="str">
        <v>06:34:53</v>
      </c>
      <c r="AD23">
        <f>IF("ONLINE"="NOGPS","GPS Antiguo","En línea")</f>
      </c>
      <c r="AE23">
        <f>IF(0=0,"Sin atender", IF(0=1,"Atendida","Atendida y Reportada"))</f>
      </c>
      <c r="AF23" t="str">
        <v/>
      </c>
      <c r="AG23" t="str">
        <v/>
      </c>
      <c r="AH23" t="str">
        <v/>
      </c>
      <c r="AI23" t="str">
        <v/>
      </c>
      <c r="AJ23" t="str">
        <v>18/09/2026 06:35:06</v>
      </c>
      <c r="AK23" t="str">
        <v>06:35:06</v>
      </c>
      <c r="AL23" t="str">
        <v/>
      </c>
    </row>
    <row r="24">
      <c r="A24">
        <v>23</v>
      </c>
      <c r="B24" t="str">
        <v>MASS BSF</v>
      </c>
      <c r="C24" t="str">
        <v>AJQ-739</v>
      </c>
      <c r="D24" t="str">
        <v>AJQ-739</v>
      </c>
      <c r="E24" t="str">
        <v/>
      </c>
      <c r="F24" t="str">
        <v>867806075788192</v>
      </c>
      <c r="G24" t="str">
        <v>TBD</v>
      </c>
      <c r="H24" t="str">
        <v/>
      </c>
      <c r="I24" t="str">
        <v/>
      </c>
      <c r="J24" t="str">
        <v>18/09/2026</v>
      </c>
      <c r="K24" t="str">
        <v>06:55:08</v>
      </c>
      <c r="L24">
        <v>-12.157708</v>
      </c>
      <c r="M24">
        <v>-76.98378</v>
      </c>
      <c r="N24">
        <f>HYPERLINK("https://www.google.com/maps/search/?api=1&amp;query=-12.157708,-76.98378","San Juan de Miraflores, Lima")</f>
      </c>
      <c r="O24" t="str">
        <v>Bache</v>
      </c>
      <c r="P24">
        <v>359649.8</v>
      </c>
      <c r="Q24" t="str">
        <v/>
      </c>
      <c r="R24">
        <v>12.2</v>
      </c>
      <c r="S24">
        <v>13.93</v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>
        <v>90</v>
      </c>
      <c r="AB24" t="str">
        <v>18/09/2026</v>
      </c>
      <c r="AC24" t="str">
        <v>06:55:04</v>
      </c>
      <c r="AD24">
        <f>IF("ONLINE"="NOGPS","GPS Antiguo","En línea")</f>
      </c>
      <c r="AE24">
        <f>IF(0=0,"Sin atender", IF(0=1,"Atendida","Atendida y Reportada"))</f>
      </c>
      <c r="AF24" t="str">
        <v/>
      </c>
      <c r="AG24" t="str">
        <v/>
      </c>
      <c r="AH24" t="str">
        <v/>
      </c>
      <c r="AI24" t="str">
        <v/>
      </c>
      <c r="AJ24" t="str">
        <v>18/09/2026 06:55:13</v>
      </c>
      <c r="AK24" t="str">
        <v>06:55:13</v>
      </c>
      <c r="AL24" t="str">
        <v/>
      </c>
    </row>
    <row r="25">
      <c r="A25">
        <v>24</v>
      </c>
      <c r="B25" t="str">
        <v>MASS BSF</v>
      </c>
      <c r="C25" t="str">
        <v>AJQ-739</v>
      </c>
      <c r="D25" t="str">
        <v>AJQ-739</v>
      </c>
      <c r="E25" t="str">
        <v/>
      </c>
      <c r="F25" t="str">
        <v>867806075788192</v>
      </c>
      <c r="G25" t="str">
        <v>TBD</v>
      </c>
      <c r="H25" t="str">
        <v/>
      </c>
      <c r="I25" t="str">
        <v/>
      </c>
      <c r="J25" t="str">
        <v>18/09/2026</v>
      </c>
      <c r="K25" t="str">
        <v>06:56:51</v>
      </c>
      <c r="L25">
        <v>-12.161622</v>
      </c>
      <c r="M25">
        <v>-76.9823</v>
      </c>
      <c r="N25">
        <f>HYPERLINK("https://www.google.com/maps/search/?api=1&amp;query=-12.161622,-76.9823","Calle Los Girasoles, San Juan de Miraflores, Lima")</f>
      </c>
      <c r="O25" t="str">
        <v>Acelerado y giro brusco</v>
      </c>
      <c r="P25">
        <v>359650.3</v>
      </c>
      <c r="Q25" t="str">
        <v/>
      </c>
      <c r="R25">
        <v>12.7</v>
      </c>
      <c r="S25">
        <v>13.93</v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>
        <v>90</v>
      </c>
      <c r="AB25" t="str">
        <v>18/09/2026</v>
      </c>
      <c r="AC25" t="str">
        <v>06:56:46</v>
      </c>
      <c r="AD25">
        <f>IF("ONLINE"="NOGPS","GPS Antiguo","En línea")</f>
      </c>
      <c r="AE25">
        <f>IF(0=0,"Sin atender", IF(0=1,"Atendida","Atendida y Reportada"))</f>
      </c>
      <c r="AF25" t="str">
        <v/>
      </c>
      <c r="AG25" t="str">
        <v/>
      </c>
      <c r="AH25" t="str">
        <v/>
      </c>
      <c r="AI25" t="str">
        <v/>
      </c>
      <c r="AJ25" t="str">
        <v>18/09/2026 06:57:01</v>
      </c>
      <c r="AK25" t="str">
        <v>06:57:01</v>
      </c>
      <c r="AL25" t="str">
        <v/>
      </c>
    </row>
    <row r="26">
      <c r="A26">
        <v>25</v>
      </c>
      <c r="B26" t="str">
        <v>MASS BSF</v>
      </c>
      <c r="C26" t="str">
        <v>AJQ-739</v>
      </c>
      <c r="D26" t="str">
        <v>AJQ-739</v>
      </c>
      <c r="E26" t="str">
        <v/>
      </c>
      <c r="F26" t="str">
        <v>867806075788192</v>
      </c>
      <c r="G26" t="str">
        <v>TBD</v>
      </c>
      <c r="H26" t="str">
        <v/>
      </c>
      <c r="I26" t="str">
        <v/>
      </c>
      <c r="J26" t="str">
        <v>18/09/2026</v>
      </c>
      <c r="K26" t="str">
        <v>07:04:31</v>
      </c>
      <c r="L26">
        <v>-12.161535</v>
      </c>
      <c r="M26">
        <v>-76.98283</v>
      </c>
      <c r="N26">
        <f>HYPERLINK("https://www.google.com/maps/search/?api=1&amp;query=-12.161535,-76.98283","Calle Los Girasoles, San Juan de Miraflores, Lima")</f>
      </c>
      <c r="O26" t="str">
        <v>Se detuvo</v>
      </c>
      <c r="P26">
        <v>359650.4</v>
      </c>
      <c r="Q26" t="str">
        <v/>
      </c>
      <c r="R26">
        <v>0</v>
      </c>
      <c r="S26">
        <v>13.93</v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>
        <v>89</v>
      </c>
      <c r="AB26" t="str">
        <v>18/09/2026</v>
      </c>
      <c r="AC26" t="str">
        <v>07:04:26</v>
      </c>
      <c r="AD26">
        <f>IF("ONLINE"="NOGPS","GPS Antiguo","En línea")</f>
      </c>
      <c r="AE26">
        <f>IF(0=0,"Sin atender", IF(0=1,"Atendida","Atendida y Reportada"))</f>
      </c>
      <c r="AF26" t="str">
        <v/>
      </c>
      <c r="AG26" t="str">
        <v/>
      </c>
      <c r="AH26" t="str">
        <v/>
      </c>
      <c r="AI26" t="str">
        <v/>
      </c>
      <c r="AJ26" t="str">
        <v>18/09/2026 07:04:44</v>
      </c>
      <c r="AK26" t="str">
        <v>07:04:44</v>
      </c>
      <c r="AL26" t="str">
        <v/>
      </c>
    </row>
    <row r="27">
      <c r="A27">
        <v>26</v>
      </c>
      <c r="B27" t="str">
        <v>MASS BSF</v>
      </c>
      <c r="C27" t="str">
        <v>AJQ-739</v>
      </c>
      <c r="D27" t="str">
        <v>AJQ-739</v>
      </c>
      <c r="E27" t="str">
        <v/>
      </c>
      <c r="F27" t="str">
        <v>867806075788192</v>
      </c>
      <c r="G27" t="str">
        <v>TBD</v>
      </c>
      <c r="H27" t="str">
        <v/>
      </c>
      <c r="I27" t="str">
        <v/>
      </c>
      <c r="J27" t="str">
        <v>18/09/2026</v>
      </c>
      <c r="K27" t="str">
        <v>07:28:05</v>
      </c>
      <c r="L27">
        <v>-12.161482</v>
      </c>
      <c r="M27">
        <v>-76.98275</v>
      </c>
      <c r="N27">
        <f>HYPERLINK("https://www.google.com/maps/search/?api=1&amp;query=-12.161482,-76.98275","Calle Los Girasoles, San Juan de Miraflores, Lima")</f>
      </c>
      <c r="O27" t="str">
        <v>Vehículo apagado</v>
      </c>
      <c r="P27">
        <v>359650.4</v>
      </c>
      <c r="Q27" t="str">
        <v/>
      </c>
      <c r="R27">
        <v>0</v>
      </c>
      <c r="S27">
        <v>15.72</v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>
        <v>91</v>
      </c>
      <c r="AB27" t="str">
        <v>18/09/2026</v>
      </c>
      <c r="AC27" t="str">
        <v>07:28:01</v>
      </c>
      <c r="AD27">
        <f>IF("ONLINE"="NOGPS","GPS Antiguo","En línea")</f>
      </c>
      <c r="AE27">
        <f>IF(0=0,"Sin atender", IF(0=1,"Atendida","Atendida y Reportada"))</f>
      </c>
      <c r="AF27" t="str">
        <v/>
      </c>
      <c r="AG27" t="str">
        <v/>
      </c>
      <c r="AH27" t="str">
        <v/>
      </c>
      <c r="AI27" t="str">
        <v/>
      </c>
      <c r="AJ27" t="str">
        <v>18/09/2026 07:28:10</v>
      </c>
      <c r="AK27" t="str">
        <v>07:28:10</v>
      </c>
      <c r="AL27" t="str">
        <v/>
      </c>
    </row>
    <row r="28">
      <c r="A28">
        <v>27</v>
      </c>
      <c r="B28" t="str">
        <v>MASS BSF</v>
      </c>
      <c r="C28" t="str">
        <v>AJQ-739</v>
      </c>
      <c r="D28" t="str">
        <v>AJQ-739</v>
      </c>
      <c r="E28" t="str">
        <v/>
      </c>
      <c r="F28" t="str">
        <v>867806075788192</v>
      </c>
      <c r="G28" t="str">
        <v>TBD</v>
      </c>
      <c r="H28" t="str">
        <v/>
      </c>
      <c r="I28" t="str">
        <v/>
      </c>
      <c r="J28" t="str">
        <v>18/09/2026</v>
      </c>
      <c r="K28" t="str">
        <v>07:28:06</v>
      </c>
      <c r="L28">
        <v>-12.161482</v>
      </c>
      <c r="M28">
        <v>-76.98275</v>
      </c>
      <c r="N28">
        <f>HYPERLINK("https://www.google.com/maps/search/?api=1&amp;query=-12.161482,-76.98275","Calle Los Girasoles, San Juan de Miraflores, Lima")</f>
      </c>
      <c r="O28" t="str">
        <v>Vehículo encendido</v>
      </c>
      <c r="P28">
        <v>359650.4</v>
      </c>
      <c r="Q28" t="str">
        <v/>
      </c>
      <c r="R28">
        <v>0</v>
      </c>
      <c r="S28">
        <v>15.72</v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>
        <v>91</v>
      </c>
      <c r="AB28" t="str">
        <v>18/09/2026</v>
      </c>
      <c r="AC28" t="str">
        <v>07:28:02</v>
      </c>
      <c r="AD28">
        <f>IF("ONLINE"="NOGPS","GPS Antiguo","En línea")</f>
      </c>
      <c r="AE28">
        <f>IF(0=0,"Sin atender", IF(0=1,"Atendida","Atendida y Reportada"))</f>
      </c>
      <c r="AF28" t="str">
        <v/>
      </c>
      <c r="AG28" t="str">
        <v/>
      </c>
      <c r="AH28" t="str">
        <v/>
      </c>
      <c r="AI28" t="str">
        <v/>
      </c>
      <c r="AJ28" t="str">
        <v>18/09/2026 07:28:21</v>
      </c>
      <c r="AK28" t="str">
        <v>07:28:21</v>
      </c>
      <c r="AL28" t="str">
        <v/>
      </c>
    </row>
    <row r="29">
      <c r="A29">
        <v>28</v>
      </c>
      <c r="B29" t="str">
        <v>MASS BSF</v>
      </c>
      <c r="C29" t="str">
        <v>AJQ-739</v>
      </c>
      <c r="D29" t="str">
        <v>AJQ-739</v>
      </c>
      <c r="E29" t="str">
        <v/>
      </c>
      <c r="F29" t="str">
        <v>867806075788192</v>
      </c>
      <c r="G29" t="str">
        <v>TBD</v>
      </c>
      <c r="H29" t="str">
        <v/>
      </c>
      <c r="I29" t="str">
        <v/>
      </c>
      <c r="J29" t="str">
        <v>18/09/2026</v>
      </c>
      <c r="K29" t="str">
        <v>07:30:20</v>
      </c>
      <c r="L29">
        <v>-12.161221</v>
      </c>
      <c r="M29">
        <v>-76.984344</v>
      </c>
      <c r="N29">
        <f>HYPERLINK("https://www.google.com/maps/search/?api=1&amp;query=-12.161221,-76.984344","Jirón Los Herrerillos, San Juan de Miraflores, Lima")</f>
      </c>
      <c r="O29" t="str">
        <v>Bache</v>
      </c>
      <c r="P29">
        <v>359650.6</v>
      </c>
      <c r="Q29" t="str">
        <v/>
      </c>
      <c r="R29">
        <v>6.2</v>
      </c>
      <c r="S29">
        <v>15.72</v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>
        <v>91</v>
      </c>
      <c r="AB29" t="str">
        <v>18/09/2026</v>
      </c>
      <c r="AC29" t="str">
        <v>07:30:16</v>
      </c>
      <c r="AD29">
        <f>IF("ONLINE"="NOGPS","GPS Antiguo","En línea")</f>
      </c>
      <c r="AE29">
        <f>IF(0=0,"Sin atender", IF(0=1,"Atendida","Atendida y Reportada"))</f>
      </c>
      <c r="AF29" t="str">
        <v/>
      </c>
      <c r="AG29" t="str">
        <v/>
      </c>
      <c r="AH29" t="str">
        <v/>
      </c>
      <c r="AI29" t="str">
        <v/>
      </c>
      <c r="AJ29" t="str">
        <v>18/09/2026 07:30:27</v>
      </c>
      <c r="AK29" t="str">
        <v>07:30:27</v>
      </c>
      <c r="AL29" t="str">
        <v/>
      </c>
    </row>
    <row r="30">
      <c r="A30">
        <v>29</v>
      </c>
      <c r="B30" t="str">
        <v>MASS BSF</v>
      </c>
      <c r="C30" t="str">
        <v>AJQ-739</v>
      </c>
      <c r="D30" t="str">
        <v>AJQ-739</v>
      </c>
      <c r="E30" t="str">
        <v/>
      </c>
      <c r="F30" t="str">
        <v>867806075788192</v>
      </c>
      <c r="G30" t="str">
        <v>TBD</v>
      </c>
      <c r="H30" t="str">
        <v/>
      </c>
      <c r="I30" t="str">
        <v/>
      </c>
      <c r="J30" t="str">
        <v>18/09/2026</v>
      </c>
      <c r="K30" t="str">
        <v>07:30:35</v>
      </c>
      <c r="L30">
        <v>-12.16159</v>
      </c>
      <c r="M30">
        <v>-76.98428</v>
      </c>
      <c r="N30">
        <f>HYPERLINK("https://www.google.com/maps/search/?api=1&amp;query=-12.16159,-76.98428","Jirón Los Herrerillos, San Juan de Miraflores, Lima")</f>
      </c>
      <c r="O30" t="str">
        <v>Bache</v>
      </c>
      <c r="P30">
        <v>359650.7</v>
      </c>
      <c r="Q30" t="str">
        <v/>
      </c>
      <c r="R30">
        <v>11.4</v>
      </c>
      <c r="S30">
        <v>15.72</v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>
        <v>91</v>
      </c>
      <c r="AB30" t="str">
        <v>18/09/2026</v>
      </c>
      <c r="AC30" t="str">
        <v>07:30:30</v>
      </c>
      <c r="AD30">
        <f>IF("ONLINE"="NOGPS","GPS Antiguo","En línea")</f>
      </c>
      <c r="AE30">
        <f>IF(0=0,"Sin atender", IF(0=1,"Atendida","Atendida y Reportada"))</f>
      </c>
      <c r="AF30" t="str">
        <v/>
      </c>
      <c r="AG30" t="str">
        <v/>
      </c>
      <c r="AH30" t="str">
        <v/>
      </c>
      <c r="AI30" t="str">
        <v/>
      </c>
      <c r="AJ30" t="str">
        <v>18/09/2026 07:30:46</v>
      </c>
      <c r="AK30" t="str">
        <v>07:30:46</v>
      </c>
      <c r="AL30" t="str">
        <v/>
      </c>
    </row>
    <row r="31">
      <c r="A31">
        <v>30</v>
      </c>
      <c r="B31" t="str">
        <v>MASS BSF</v>
      </c>
      <c r="C31" t="str">
        <v>AJQ-739</v>
      </c>
      <c r="D31" t="str">
        <v>AJQ-739</v>
      </c>
      <c r="E31" t="str">
        <v/>
      </c>
      <c r="F31" t="str">
        <v>867806075788192</v>
      </c>
      <c r="G31" t="str">
        <v>TBD</v>
      </c>
      <c r="H31" t="str">
        <v/>
      </c>
      <c r="I31" t="str">
        <v/>
      </c>
      <c r="J31" t="str">
        <v>18/09/2026</v>
      </c>
      <c r="K31" t="str">
        <v>07:31:55</v>
      </c>
      <c r="L31">
        <v>-12.16468</v>
      </c>
      <c r="M31">
        <v>-76.98394</v>
      </c>
      <c r="N31">
        <f>HYPERLINK("https://www.google.com/maps/search/?api=1&amp;query=-12.16468,-76.98394","Jirón Los Herrerillos, San Juan de Miraflores, Lima")</f>
      </c>
      <c r="O31" t="str">
        <v>Bache</v>
      </c>
      <c r="P31">
        <v>359651</v>
      </c>
      <c r="Q31" t="str">
        <v/>
      </c>
      <c r="R31">
        <v>8.1</v>
      </c>
      <c r="S31">
        <v>15.72</v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>
        <v>90</v>
      </c>
      <c r="AB31" t="str">
        <v>18/09/2026</v>
      </c>
      <c r="AC31" t="str">
        <v>07:31:50</v>
      </c>
      <c r="AD31">
        <f>IF("ONLINE"="NOGPS","GPS Antiguo","En línea")</f>
      </c>
      <c r="AE31">
        <f>IF(0=0,"Sin atender", IF(0=1,"Atendida","Atendida y Reportada"))</f>
      </c>
      <c r="AF31" t="str">
        <v/>
      </c>
      <c r="AG31" t="str">
        <v/>
      </c>
      <c r="AH31" t="str">
        <v/>
      </c>
      <c r="AI31" t="str">
        <v/>
      </c>
      <c r="AJ31" t="str">
        <v>18/09/2026 07:32:08</v>
      </c>
      <c r="AK31" t="str">
        <v>07:32:08</v>
      </c>
      <c r="AL31" t="str">
        <v/>
      </c>
    </row>
    <row r="32">
      <c r="A32">
        <v>31</v>
      </c>
      <c r="B32" t="str">
        <v>MASS BSF</v>
      </c>
      <c r="C32" t="str">
        <v>AJQ-739</v>
      </c>
      <c r="D32" t="str">
        <v>AJQ-739</v>
      </c>
      <c r="E32" t="str">
        <v/>
      </c>
      <c r="F32" t="str">
        <v>867806075788192</v>
      </c>
      <c r="G32" t="str">
        <v>TBD</v>
      </c>
      <c r="H32" t="str">
        <v/>
      </c>
      <c r="I32" t="str">
        <v/>
      </c>
      <c r="J32" t="str">
        <v>18/09/2026</v>
      </c>
      <c r="K32" t="str">
        <v>07:39:54</v>
      </c>
      <c r="L32">
        <v>-12.165657</v>
      </c>
      <c r="M32">
        <v>-76.98418</v>
      </c>
      <c r="N32">
        <f>HYPERLINK("https://www.google.com/maps/search/?api=1&amp;query=-12.165657,-76.98418","Jirón Los Herrerillos, San Juan de Miraflores, Lima")</f>
      </c>
      <c r="O32" t="str">
        <v>Se detuvo</v>
      </c>
      <c r="P32">
        <v>359651.1</v>
      </c>
      <c r="Q32" t="str">
        <v/>
      </c>
      <c r="R32">
        <v>0</v>
      </c>
      <c r="S32">
        <v>15.72</v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>
        <v>81</v>
      </c>
      <c r="AB32" t="str">
        <v>18/09/2026</v>
      </c>
      <c r="AC32" t="str">
        <v>07:39:49</v>
      </c>
      <c r="AD32">
        <f>IF("ONLINE"="NOGPS","GPS Antiguo","En línea")</f>
      </c>
      <c r="AE32">
        <f>IF(0=0,"Sin atender", IF(0=1,"Atendida","Atendida y Reportada"))</f>
      </c>
      <c r="AF32" t="str">
        <v/>
      </c>
      <c r="AG32" t="str">
        <v/>
      </c>
      <c r="AH32" t="str">
        <v/>
      </c>
      <c r="AI32" t="str">
        <v/>
      </c>
      <c r="AJ32" t="str">
        <v>18/09/2026 07:40:08</v>
      </c>
      <c r="AK32" t="str">
        <v>07:40:08</v>
      </c>
      <c r="AL32" t="str">
        <v/>
      </c>
    </row>
    <row r="33">
      <c r="A33">
        <v>32</v>
      </c>
      <c r="B33" t="str">
        <v>MASS BSF</v>
      </c>
      <c r="C33" t="str">
        <v>AJQ-739</v>
      </c>
      <c r="D33" t="str">
        <v>AJQ-739</v>
      </c>
      <c r="E33" t="str">
        <v/>
      </c>
      <c r="F33" t="str">
        <v>867806075788192</v>
      </c>
      <c r="G33" t="str">
        <v>TBD</v>
      </c>
      <c r="H33" t="str">
        <v/>
      </c>
      <c r="I33" t="str">
        <v/>
      </c>
      <c r="J33" t="str">
        <v>18/09/2026</v>
      </c>
      <c r="K33" t="str">
        <v>07:51:34</v>
      </c>
      <c r="L33">
        <v>-12.164632</v>
      </c>
      <c r="M33">
        <v>-76.9839</v>
      </c>
      <c r="N33">
        <f>HYPERLINK("https://www.google.com/maps/search/?api=1&amp;query=-12.164632,-76.9839","Jirón Los Herrerillos, San Juan de Miraflores, Lima")</f>
      </c>
      <c r="O33" t="str">
        <v>Bache</v>
      </c>
      <c r="P33">
        <v>359651.4</v>
      </c>
      <c r="Q33" t="str">
        <v/>
      </c>
      <c r="R33">
        <v>8.1</v>
      </c>
      <c r="S33">
        <v>15.72</v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>
        <v>89</v>
      </c>
      <c r="AB33" t="str">
        <v>18/09/2026</v>
      </c>
      <c r="AC33" t="str">
        <v>07:51:29</v>
      </c>
      <c r="AD33">
        <f>IF("ONLINE"="NOGPS","GPS Antiguo","En línea")</f>
      </c>
      <c r="AE33">
        <f>IF(0=0,"Sin atender", IF(0=1,"Atendida","Atendida y Reportada"))</f>
      </c>
      <c r="AF33" t="str">
        <v/>
      </c>
      <c r="AG33" t="str">
        <v/>
      </c>
      <c r="AH33" t="str">
        <v/>
      </c>
      <c r="AI33" t="str">
        <v/>
      </c>
      <c r="AJ33" t="str">
        <v>18/09/2026 07:51:43</v>
      </c>
      <c r="AK33" t="str">
        <v>07:51:43</v>
      </c>
      <c r="AL33" t="str">
        <v/>
      </c>
    </row>
    <row r="34">
      <c r="A34">
        <v>33</v>
      </c>
      <c r="B34" t="str">
        <v>MASS BSF</v>
      </c>
      <c r="C34" t="str">
        <v>AJQ-739</v>
      </c>
      <c r="D34" t="str">
        <v>AJQ-739</v>
      </c>
      <c r="E34" t="str">
        <v/>
      </c>
      <c r="F34" t="str">
        <v>867806075788192</v>
      </c>
      <c r="G34" t="str">
        <v>TBD</v>
      </c>
      <c r="H34" t="str">
        <v/>
      </c>
      <c r="I34" t="str">
        <v/>
      </c>
      <c r="J34" t="str">
        <v>18/09/2026</v>
      </c>
      <c r="K34" t="str">
        <v>07:52:49</v>
      </c>
      <c r="L34">
        <v>-12.161563</v>
      </c>
      <c r="M34">
        <v>-76.98427</v>
      </c>
      <c r="N34">
        <f>HYPERLINK("https://www.google.com/maps/search/?api=1&amp;query=-12.161563,-76.98427","Jirón Los Herrerillos, San Juan de Miraflores, Lima")</f>
      </c>
      <c r="O34" t="str">
        <v>Bache</v>
      </c>
      <c r="P34">
        <v>359651.7</v>
      </c>
      <c r="Q34" t="str">
        <v/>
      </c>
      <c r="R34">
        <v>6.2</v>
      </c>
      <c r="S34">
        <v>15.72</v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>
        <v>81</v>
      </c>
      <c r="AB34" t="str">
        <v>18/09/2026</v>
      </c>
      <c r="AC34" t="str">
        <v>07:52:44</v>
      </c>
      <c r="AD34">
        <f>IF("ONLINE"="NOGPS","GPS Antiguo","En línea")</f>
      </c>
      <c r="AE34">
        <f>IF(0=0,"Sin atender", IF(0=1,"Atendida","Atendida y Reportada"))</f>
      </c>
      <c r="AF34" t="str">
        <v/>
      </c>
      <c r="AG34" t="str">
        <v/>
      </c>
      <c r="AH34" t="str">
        <v/>
      </c>
      <c r="AI34" t="str">
        <v/>
      </c>
      <c r="AJ34" t="str">
        <v>18/09/2026 07:52:59</v>
      </c>
      <c r="AK34" t="str">
        <v>07:52:59</v>
      </c>
      <c r="AL34" t="str">
        <v/>
      </c>
    </row>
    <row r="35">
      <c r="A35">
        <v>34</v>
      </c>
      <c r="B35" t="str">
        <v>MASS BSF</v>
      </c>
      <c r="C35" t="str">
        <v>AJQ-739</v>
      </c>
      <c r="D35" t="str">
        <v>AJQ-739</v>
      </c>
      <c r="E35" t="str">
        <v/>
      </c>
      <c r="F35" t="str">
        <v>867806075788192</v>
      </c>
      <c r="G35" t="str">
        <v>TBD</v>
      </c>
      <c r="H35" t="str">
        <v/>
      </c>
      <c r="I35" t="str">
        <v/>
      </c>
      <c r="J35" t="str">
        <v>18/09/2026</v>
      </c>
      <c r="K35" t="str">
        <v>07:56:32</v>
      </c>
      <c r="L35">
        <v>-12.163693</v>
      </c>
      <c r="M35">
        <v>-76.981705</v>
      </c>
      <c r="N35">
        <f>HYPERLINK("https://www.google.com/maps/search/?api=1&amp;query=-12.163693,-76.981705","Avenida Los Alamos, San Juan de Miraflores, Lima")</f>
      </c>
      <c r="O35" t="str">
        <v>Bache</v>
      </c>
      <c r="P35">
        <v>359652.3</v>
      </c>
      <c r="Q35" t="str">
        <v/>
      </c>
      <c r="R35">
        <v>15.1</v>
      </c>
      <c r="S35">
        <v>15.72</v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>
        <v>81</v>
      </c>
      <c r="AB35" t="str">
        <v>18/09/2026</v>
      </c>
      <c r="AC35" t="str">
        <v>07:56:27</v>
      </c>
      <c r="AD35">
        <f>IF("ONLINE"="NOGPS","GPS Antiguo","En línea")</f>
      </c>
      <c r="AE35">
        <f>IF(0=0,"Sin atender", IF(0=1,"Atendida","Atendida y Reportada"))</f>
      </c>
      <c r="AF35" t="str">
        <v/>
      </c>
      <c r="AG35" t="str">
        <v/>
      </c>
      <c r="AH35" t="str">
        <v/>
      </c>
      <c r="AI35" t="str">
        <v/>
      </c>
      <c r="AJ35" t="str">
        <v>18/09/2026 07:56:53</v>
      </c>
      <c r="AK35" t="str">
        <v>07:56:53</v>
      </c>
      <c r="AL35" t="str">
        <v/>
      </c>
    </row>
    <row r="36">
      <c r="A36">
        <v>35</v>
      </c>
      <c r="B36" t="str">
        <v>MASS BSF</v>
      </c>
      <c r="C36" t="str">
        <v>AJQ-739</v>
      </c>
      <c r="D36" t="str">
        <v>AJQ-739</v>
      </c>
      <c r="E36" t="str">
        <v/>
      </c>
      <c r="F36" t="str">
        <v>867806075788192</v>
      </c>
      <c r="G36" t="str">
        <v>TBD</v>
      </c>
      <c r="H36" t="str">
        <v/>
      </c>
      <c r="I36" t="str">
        <v/>
      </c>
      <c r="J36" t="str">
        <v>18/09/2026</v>
      </c>
      <c r="K36" t="str">
        <v>07:56:46</v>
      </c>
      <c r="L36">
        <v>-12.164432</v>
      </c>
      <c r="M36">
        <v>-76.98156</v>
      </c>
      <c r="N36">
        <f>HYPERLINK("https://www.google.com/maps/search/?api=1&amp;query=-12.164432,-76.98156","Avenida Los Alamos, San Juan de Miraflores, Lima")</f>
      </c>
      <c r="O36" t="str">
        <v>Bache</v>
      </c>
      <c r="P36">
        <v>359652.4</v>
      </c>
      <c r="Q36" t="str">
        <v/>
      </c>
      <c r="R36">
        <v>6.1</v>
      </c>
      <c r="S36">
        <v>15.72</v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>
        <v>81</v>
      </c>
      <c r="AB36" t="str">
        <v>18/09/2026</v>
      </c>
      <c r="AC36" t="str">
        <v>07:56:41</v>
      </c>
      <c r="AD36">
        <f>IF("ONLINE"="NOGPS","GPS Antiguo","En línea")</f>
      </c>
      <c r="AE36">
        <f>IF(0=0,"Sin atender", IF(0=1,"Atendida","Atendida y Reportada"))</f>
      </c>
      <c r="AF36" t="str">
        <v/>
      </c>
      <c r="AG36" t="str">
        <v/>
      </c>
      <c r="AH36" t="str">
        <v/>
      </c>
      <c r="AI36" t="str">
        <v/>
      </c>
      <c r="AJ36" t="str">
        <v>18/09/2026 07:56:49</v>
      </c>
      <c r="AK36" t="str">
        <v>07:56:49</v>
      </c>
      <c r="AL36" t="str">
        <v/>
      </c>
    </row>
    <row r="37">
      <c r="A37">
        <v>36</v>
      </c>
      <c r="B37" t="str">
        <v>MASS BSF</v>
      </c>
      <c r="C37" t="str">
        <v>AJQ-739</v>
      </c>
      <c r="D37" t="str">
        <v>AJQ-739</v>
      </c>
      <c r="E37" t="str">
        <v/>
      </c>
      <c r="F37" t="str">
        <v>867806075788192</v>
      </c>
      <c r="G37" t="str">
        <v>TBD</v>
      </c>
      <c r="H37" t="str">
        <v/>
      </c>
      <c r="I37" t="str">
        <v/>
      </c>
      <c r="J37" t="str">
        <v>18/09/2026</v>
      </c>
      <c r="K37" t="str">
        <v>07:57:01</v>
      </c>
      <c r="L37">
        <v>-12.164927</v>
      </c>
      <c r="M37">
        <v>-76.98147</v>
      </c>
      <c r="N37">
        <f>HYPERLINK("https://www.google.com/maps/search/?api=1&amp;query=-12.164927,-76.98147","Avenida Los Alamos, San Juan de Miraflores, Lima")</f>
      </c>
      <c r="O37" t="str">
        <v>Bache</v>
      </c>
      <c r="P37">
        <v>359652.4</v>
      </c>
      <c r="Q37" t="str">
        <v/>
      </c>
      <c r="R37">
        <v>7.7</v>
      </c>
      <c r="S37">
        <v>15.72</v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>
        <v>81</v>
      </c>
      <c r="AB37" t="str">
        <v>18/09/2026</v>
      </c>
      <c r="AC37" t="str">
        <v>07:56:56</v>
      </c>
      <c r="AD37">
        <f>IF("ONLINE"="NOGPS","GPS Antiguo","En línea")</f>
      </c>
      <c r="AE37">
        <f>IF(0=0,"Sin atender", IF(0=1,"Atendida","Atendida y Reportada"))</f>
      </c>
      <c r="AF37" t="str">
        <v/>
      </c>
      <c r="AG37" t="str">
        <v/>
      </c>
      <c r="AH37" t="str">
        <v/>
      </c>
      <c r="AI37" t="str">
        <v/>
      </c>
      <c r="AJ37" t="str">
        <v>18/09/2026 07:57:22</v>
      </c>
      <c r="AK37" t="str">
        <v>07:57:22</v>
      </c>
      <c r="AL37" t="str">
        <v/>
      </c>
    </row>
    <row r="38">
      <c r="A38">
        <v>37</v>
      </c>
      <c r="B38" t="str">
        <v>MASS BSF</v>
      </c>
      <c r="C38" t="str">
        <v>AJQ-739</v>
      </c>
      <c r="D38" t="str">
        <v>AJQ-739</v>
      </c>
      <c r="E38" t="str">
        <v/>
      </c>
      <c r="F38" t="str">
        <v>867806075788192</v>
      </c>
      <c r="G38" t="str">
        <v>TBD</v>
      </c>
      <c r="H38" t="str">
        <v/>
      </c>
      <c r="I38" t="str">
        <v/>
      </c>
      <c r="J38" t="str">
        <v>18/09/2026</v>
      </c>
      <c r="K38" t="str">
        <v>07:57:18</v>
      </c>
      <c r="L38">
        <v>-12.16574</v>
      </c>
      <c r="M38">
        <v>-76.98133</v>
      </c>
      <c r="N38">
        <f>HYPERLINK("https://www.google.com/maps/search/?api=1&amp;query=-12.16574,-76.98133","Avenida Los Alamos, San Juan de Miraflores, Lima")</f>
      </c>
      <c r="O38" t="str">
        <v>Bache</v>
      </c>
      <c r="P38">
        <v>359652.5</v>
      </c>
      <c r="Q38" t="str">
        <v/>
      </c>
      <c r="R38">
        <v>18.5</v>
      </c>
      <c r="S38">
        <v>15.72</v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>
        <v>89</v>
      </c>
      <c r="AB38" t="str">
        <v>18/09/2026</v>
      </c>
      <c r="AC38" t="str">
        <v>07:57:13</v>
      </c>
      <c r="AD38">
        <f>IF("ONLINE"="NOGPS","GPS Antiguo","En línea")</f>
      </c>
      <c r="AE38">
        <f>IF(0=0,"Sin atender", IF(0=1,"Atendida","Atendida y Reportada"))</f>
      </c>
      <c r="AF38" t="str">
        <v/>
      </c>
      <c r="AG38" t="str">
        <v/>
      </c>
      <c r="AH38" t="str">
        <v/>
      </c>
      <c r="AI38" t="str">
        <v/>
      </c>
      <c r="AJ38" t="str">
        <v>18/09/2026 07:57:33</v>
      </c>
      <c r="AK38" t="str">
        <v>07:57:33</v>
      </c>
      <c r="AL38" t="str">
        <v/>
      </c>
    </row>
    <row r="39">
      <c r="A39">
        <v>38</v>
      </c>
      <c r="B39" t="str">
        <v>MASS BSF</v>
      </c>
      <c r="C39" t="str">
        <v>AJQ-739</v>
      </c>
      <c r="D39" t="str">
        <v>AJQ-739</v>
      </c>
      <c r="E39" t="str">
        <v/>
      </c>
      <c r="F39" t="str">
        <v>867806075788192</v>
      </c>
      <c r="G39" t="str">
        <v>TBD</v>
      </c>
      <c r="H39" t="str">
        <v/>
      </c>
      <c r="I39" t="str">
        <v/>
      </c>
      <c r="J39" t="str">
        <v>18/09/2026</v>
      </c>
      <c r="K39" t="str">
        <v>07:58:47</v>
      </c>
      <c r="L39">
        <v>-12.169434</v>
      </c>
      <c r="M39">
        <v>-76.98032</v>
      </c>
      <c r="N39">
        <f>HYPERLINK("https://www.google.com/maps/search/?api=1&amp;query=-12.169434,-76.98032","Avenida Los Alamos, San Juan de Miraflores, Lima")</f>
      </c>
      <c r="O39" t="str">
        <v>Bache</v>
      </c>
      <c r="P39">
        <v>359652.9</v>
      </c>
      <c r="Q39" t="str">
        <v/>
      </c>
      <c r="R39">
        <v>17.2</v>
      </c>
      <c r="S39">
        <v>15.72</v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>
        <v>89</v>
      </c>
      <c r="AB39" t="str">
        <v>18/09/2026</v>
      </c>
      <c r="AC39" t="str">
        <v>07:58:42</v>
      </c>
      <c r="AD39">
        <f>IF("ONLINE"="NOGPS","GPS Antiguo","En línea")</f>
      </c>
      <c r="AE39">
        <f>IF(0=0,"Sin atender", IF(0=1,"Atendida","Atendida y Reportada"))</f>
      </c>
      <c r="AF39" t="str">
        <v/>
      </c>
      <c r="AG39" t="str">
        <v/>
      </c>
      <c r="AH39" t="str">
        <v/>
      </c>
      <c r="AI39" t="str">
        <v/>
      </c>
      <c r="AJ39" t="str">
        <v>18/09/2026 07:58:57</v>
      </c>
      <c r="AK39" t="str">
        <v>07:58:57</v>
      </c>
      <c r="AL39" t="str">
        <v/>
      </c>
    </row>
    <row r="40">
      <c r="A40">
        <v>39</v>
      </c>
      <c r="B40" t="str">
        <v>MASS BSF</v>
      </c>
      <c r="C40" t="str">
        <v>AJQ-739</v>
      </c>
      <c r="D40" t="str">
        <v>AJQ-739</v>
      </c>
      <c r="E40" t="str">
        <v/>
      </c>
      <c r="F40" t="str">
        <v>867806075788192</v>
      </c>
      <c r="G40" t="str">
        <v>TBD</v>
      </c>
      <c r="H40" t="str">
        <v/>
      </c>
      <c r="I40" t="str">
        <v/>
      </c>
      <c r="J40" t="str">
        <v>18/09/2026</v>
      </c>
      <c r="K40" t="str">
        <v>08:00:06</v>
      </c>
      <c r="L40">
        <v>-12.170403</v>
      </c>
      <c r="M40">
        <v>-76.98009</v>
      </c>
      <c r="N40">
        <f>HYPERLINK("https://www.google.com/maps/search/?api=1&amp;query=-12.170403,-76.98009","Avenida El Triunfo, San Juan de Miraflores, Lima")</f>
      </c>
      <c r="O40" t="str">
        <v>Acelerado y giro brusco</v>
      </c>
      <c r="P40">
        <v>359653.5</v>
      </c>
      <c r="Q40" t="str">
        <v/>
      </c>
      <c r="R40">
        <v>21.1</v>
      </c>
      <c r="S40">
        <v>15.72</v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>
        <v>89</v>
      </c>
      <c r="AB40" t="str">
        <v>18/09/2026</v>
      </c>
      <c r="AC40" t="str">
        <v>08:00:01</v>
      </c>
      <c r="AD40">
        <f>IF("ONLINE"="NOGPS","GPS Antiguo","En línea")</f>
      </c>
      <c r="AE40">
        <f>IF(0=0,"Sin atender", IF(0=1,"Atendida","Atendida y Reportada"))</f>
      </c>
      <c r="AF40" t="str">
        <v/>
      </c>
      <c r="AG40" t="str">
        <v/>
      </c>
      <c r="AH40" t="str">
        <v/>
      </c>
      <c r="AI40" t="str">
        <v/>
      </c>
      <c r="AJ40" t="str">
        <v>18/09/2026 08:00:20</v>
      </c>
      <c r="AK40" t="str">
        <v>08:00:20</v>
      </c>
      <c r="AL40" t="str">
        <v/>
      </c>
    </row>
    <row r="41">
      <c r="A41">
        <v>40</v>
      </c>
      <c r="B41" t="str">
        <v>MASS BSF</v>
      </c>
      <c r="C41" t="str">
        <v>AJQ-739</v>
      </c>
      <c r="D41" t="str">
        <v>AJQ-739</v>
      </c>
      <c r="E41" t="str">
        <v/>
      </c>
      <c r="F41" t="str">
        <v>867806075788192</v>
      </c>
      <c r="G41" t="str">
        <v>TBD</v>
      </c>
      <c r="H41" t="str">
        <v/>
      </c>
      <c r="I41" t="str">
        <v/>
      </c>
      <c r="J41" t="str">
        <v>18/09/2026</v>
      </c>
      <c r="K41" t="str">
        <v>08:00:37</v>
      </c>
      <c r="L41">
        <v>-12.171958</v>
      </c>
      <c r="M41">
        <v>-76.97919</v>
      </c>
      <c r="N41">
        <f>HYPERLINK("https://www.google.com/maps/search/?api=1&amp;query=-12.171958,-76.97919","Avenida El Triunfo, San Juan de Miraflores, Lima")</f>
      </c>
      <c r="O41" t="str">
        <v>Bache</v>
      </c>
      <c r="P41">
        <v>359653.8</v>
      </c>
      <c r="Q41" t="str">
        <v/>
      </c>
      <c r="R41">
        <v>14</v>
      </c>
      <c r="S41">
        <v>15.72</v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>
        <v>89</v>
      </c>
      <c r="AB41" t="str">
        <v>18/09/2026</v>
      </c>
      <c r="AC41" t="str">
        <v>08:00:33</v>
      </c>
      <c r="AD41">
        <f>IF("ONLINE"="NOGPS","GPS Antiguo","En línea")</f>
      </c>
      <c r="AE41">
        <f>IF(0=0,"Sin atender", IF(0=1,"Atendida","Atendida y Reportada"))</f>
      </c>
      <c r="AF41" t="str">
        <v/>
      </c>
      <c r="AG41" t="str">
        <v/>
      </c>
      <c r="AH41" t="str">
        <v/>
      </c>
      <c r="AI41" t="str">
        <v/>
      </c>
      <c r="AJ41" t="str">
        <v>18/09/2026 08:00:49</v>
      </c>
      <c r="AK41" t="str">
        <v>08:00:49</v>
      </c>
      <c r="AL41" t="str">
        <v/>
      </c>
    </row>
    <row r="42">
      <c r="A42">
        <v>41</v>
      </c>
      <c r="B42" t="str">
        <v>MASS BSF</v>
      </c>
      <c r="C42" t="str">
        <v>AJQ-739</v>
      </c>
      <c r="D42" t="str">
        <v>AJQ-739</v>
      </c>
      <c r="E42" t="str">
        <v/>
      </c>
      <c r="F42" t="str">
        <v>867806075788192</v>
      </c>
      <c r="G42" t="str">
        <v>TBD</v>
      </c>
      <c r="H42" t="str">
        <v/>
      </c>
      <c r="I42" t="str">
        <v/>
      </c>
      <c r="J42" t="str">
        <v>18/09/2026</v>
      </c>
      <c r="K42" t="str">
        <v>08:01:59</v>
      </c>
      <c r="L42">
        <v>-12.178112</v>
      </c>
      <c r="M42">
        <v>-76.9772</v>
      </c>
      <c r="N42">
        <f>HYPERLINK("https://www.google.com/maps/search/?api=1&amp;query=-12.178112,-76.9772","Avenida El Triunfo, San Juan de Miraflores, Lima")</f>
      </c>
      <c r="O42" t="str">
        <v>Bache</v>
      </c>
      <c r="P42">
        <v>359654.4</v>
      </c>
      <c r="Q42" t="str">
        <v/>
      </c>
      <c r="R42">
        <v>9.4</v>
      </c>
      <c r="S42">
        <v>15.72</v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>
        <v>89</v>
      </c>
      <c r="AB42" t="str">
        <v>18/09/2026</v>
      </c>
      <c r="AC42" t="str">
        <v>08:01:55</v>
      </c>
      <c r="AD42">
        <f>IF("ONLINE"="NOGPS","GPS Antiguo","En línea")</f>
      </c>
      <c r="AE42">
        <f>IF(0=0,"Sin atender", IF(0=1,"Atendida","Atendida y Reportada"))</f>
      </c>
      <c r="AF42" t="str">
        <v/>
      </c>
      <c r="AG42" t="str">
        <v/>
      </c>
      <c r="AH42" t="str">
        <v/>
      </c>
      <c r="AI42" t="str">
        <v/>
      </c>
      <c r="AJ42" t="str">
        <v>18/09/2026 08:02:06</v>
      </c>
      <c r="AK42" t="str">
        <v>08:02:06</v>
      </c>
      <c r="AL42" t="str">
        <v/>
      </c>
    </row>
    <row r="43">
      <c r="A43">
        <v>42</v>
      </c>
      <c r="B43" t="str">
        <v>MASS BSF</v>
      </c>
      <c r="C43" t="str">
        <v>AJQ-739</v>
      </c>
      <c r="D43" t="str">
        <v>AJQ-739</v>
      </c>
      <c r="E43" t="str">
        <v/>
      </c>
      <c r="F43" t="str">
        <v>867806075788192</v>
      </c>
      <c r="G43" t="str">
        <v>TBD</v>
      </c>
      <c r="H43" t="str">
        <v/>
      </c>
      <c r="I43" t="str">
        <v/>
      </c>
      <c r="J43" t="str">
        <v>18/09/2026</v>
      </c>
      <c r="K43" t="str">
        <v>08:02:27</v>
      </c>
      <c r="L43">
        <v>-12.180027</v>
      </c>
      <c r="M43">
        <v>-76.9766</v>
      </c>
      <c r="N43">
        <f>HYPERLINK("https://www.google.com/maps/search/?api=1&amp;query=-12.180027,-76.9766","Avenida El Triunfo, San Juan de Miraflores, Lima")</f>
      </c>
      <c r="O43" t="str">
        <v>Bache</v>
      </c>
      <c r="P43">
        <v>359654.7</v>
      </c>
      <c r="Q43" t="str">
        <v/>
      </c>
      <c r="R43">
        <v>7.7</v>
      </c>
      <c r="S43">
        <v>15.72</v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>
        <v>89</v>
      </c>
      <c r="AB43" t="str">
        <v>18/09/2026</v>
      </c>
      <c r="AC43" t="str">
        <v>08:02:22</v>
      </c>
      <c r="AD43">
        <f>IF("ONLINE"="NOGPS","GPS Antiguo","En línea")</f>
      </c>
      <c r="AE43">
        <f>IF(0=0,"Sin atender", IF(0=1,"Atendida","Atendida y Reportada"))</f>
      </c>
      <c r="AF43" t="str">
        <v/>
      </c>
      <c r="AG43" t="str">
        <v/>
      </c>
      <c r="AH43" t="str">
        <v/>
      </c>
      <c r="AI43" t="str">
        <v/>
      </c>
      <c r="AJ43" t="str">
        <v>18/09/2026 08:02:34</v>
      </c>
      <c r="AK43" t="str">
        <v>08:02:34</v>
      </c>
      <c r="AL43" t="str">
        <v/>
      </c>
    </row>
    <row r="44">
      <c r="A44">
        <v>43</v>
      </c>
      <c r="B44" t="str">
        <v>MASS BSF</v>
      </c>
      <c r="C44" t="str">
        <v>AJQ-739</v>
      </c>
      <c r="D44" t="str">
        <v>AJQ-739</v>
      </c>
      <c r="E44" t="str">
        <v/>
      </c>
      <c r="F44" t="str">
        <v>867806075788192</v>
      </c>
      <c r="G44" t="str">
        <v>TBD</v>
      </c>
      <c r="H44" t="str">
        <v/>
      </c>
      <c r="I44" t="str">
        <v/>
      </c>
      <c r="J44" t="str">
        <v>18/09/2026</v>
      </c>
      <c r="K44" t="str">
        <v>08:02:33</v>
      </c>
      <c r="L44">
        <v>-12.180297</v>
      </c>
      <c r="M44">
        <v>-76.97651</v>
      </c>
      <c r="N44">
        <f>HYPERLINK("https://www.google.com/maps/search/?api=1&amp;query=-12.180297,-76.97651","Avenida El Triunfo, San Juan de Miraflores, Lima")</f>
      </c>
      <c r="O44" t="str">
        <v>Bache</v>
      </c>
      <c r="P44">
        <v>359654.7</v>
      </c>
      <c r="Q44" t="str">
        <v/>
      </c>
      <c r="R44">
        <v>22.5</v>
      </c>
      <c r="S44">
        <v>15.72</v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>
        <v>89</v>
      </c>
      <c r="AB44" t="str">
        <v>18/09/2026</v>
      </c>
      <c r="AC44" t="str">
        <v>08:02:29</v>
      </c>
      <c r="AD44">
        <f>IF("ONLINE"="NOGPS","GPS Antiguo","En línea")</f>
      </c>
      <c r="AE44">
        <f>IF(0=0,"Sin atender", IF(0=1,"Atendida","Atendida y Reportada"))</f>
      </c>
      <c r="AF44" t="str">
        <v/>
      </c>
      <c r="AG44" t="str">
        <v/>
      </c>
      <c r="AH44" t="str">
        <v/>
      </c>
      <c r="AI44" t="str">
        <v/>
      </c>
      <c r="AJ44" t="str">
        <v>18/09/2026 08:02:54</v>
      </c>
      <c r="AK44" t="str">
        <v>08:02:54</v>
      </c>
      <c r="AL44" t="str">
        <v/>
      </c>
    </row>
    <row r="45">
      <c r="A45">
        <v>44</v>
      </c>
      <c r="B45" t="str">
        <v>MASS BSF</v>
      </c>
      <c r="C45" t="str">
        <v>AJQ-739</v>
      </c>
      <c r="D45" t="str">
        <v>AJQ-739</v>
      </c>
      <c r="E45" t="str">
        <v/>
      </c>
      <c r="F45" t="str">
        <v>867806075788192</v>
      </c>
      <c r="G45" t="str">
        <v>TBD</v>
      </c>
      <c r="H45" t="str">
        <v/>
      </c>
      <c r="I45" t="str">
        <v/>
      </c>
      <c r="J45" t="str">
        <v>18/09/2026</v>
      </c>
      <c r="K45" t="str">
        <v>08:03:15</v>
      </c>
      <c r="L45">
        <v>-12.183742</v>
      </c>
      <c r="M45">
        <v>-76.97541</v>
      </c>
      <c r="N45">
        <f>HYPERLINK("https://www.google.com/maps/search/?api=1&amp;query=-12.183742,-76.97541","Avenida El Triunfo, San Juan de Miraflores, Lima")</f>
      </c>
      <c r="O45" t="str">
        <v>Bache</v>
      </c>
      <c r="P45">
        <v>359655.1</v>
      </c>
      <c r="Q45" t="str">
        <v/>
      </c>
      <c r="R45">
        <v>9.8</v>
      </c>
      <c r="S45">
        <v>15.72</v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>
        <v>89</v>
      </c>
      <c r="AB45" t="str">
        <v>18/09/2026</v>
      </c>
      <c r="AC45" t="str">
        <v>08:03:11</v>
      </c>
      <c r="AD45">
        <f>IF("ONLINE"="NOGPS","GPS Antiguo","En línea")</f>
      </c>
      <c r="AE45">
        <f>IF(0=0,"Sin atender", IF(0=1,"Atendida","Atendida y Reportada"))</f>
      </c>
      <c r="AF45" t="str">
        <v/>
      </c>
      <c r="AG45" t="str">
        <v/>
      </c>
      <c r="AH45" t="str">
        <v/>
      </c>
      <c r="AI45" t="str">
        <v/>
      </c>
      <c r="AJ45" t="str">
        <v>18/09/2026 08:03:26</v>
      </c>
      <c r="AK45" t="str">
        <v>08:03:26</v>
      </c>
      <c r="AL45" t="str">
        <v/>
      </c>
    </row>
    <row r="46">
      <c r="A46">
        <v>45</v>
      </c>
      <c r="B46" t="str">
        <v>MASS BSF</v>
      </c>
      <c r="C46" t="str">
        <v>AJQ-739</v>
      </c>
      <c r="D46" t="str">
        <v>AJQ-739</v>
      </c>
      <c r="E46" t="str">
        <v/>
      </c>
      <c r="F46" t="str">
        <v>867806075788192</v>
      </c>
      <c r="G46" t="str">
        <v>TBD</v>
      </c>
      <c r="H46" t="str">
        <v/>
      </c>
      <c r="I46" t="str">
        <v/>
      </c>
      <c r="J46" t="str">
        <v>18/09/2026</v>
      </c>
      <c r="K46" t="str">
        <v>08:09:06</v>
      </c>
      <c r="L46">
        <v>-12.225895</v>
      </c>
      <c r="M46">
        <v>-76.97131</v>
      </c>
      <c r="N46">
        <f>HYPERLINK("https://www.google.com/maps/search/?api=1&amp;query=-12.225895,-76.97131","Carretera Panamericana Sur, Villa El Salvador, Lima")</f>
      </c>
      <c r="O46" t="str">
        <v>Bache</v>
      </c>
      <c r="P46">
        <v>359660.1</v>
      </c>
      <c r="Q46" t="str">
        <v/>
      </c>
      <c r="R46">
        <v>41.4</v>
      </c>
      <c r="S46">
        <v>15.72</v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>
        <v>81</v>
      </c>
      <c r="AB46" t="str">
        <v>18/09/2026</v>
      </c>
      <c r="AC46" t="str">
        <v>08:09:01</v>
      </c>
      <c r="AD46">
        <f>IF("ONLINE"="NOGPS","GPS Antiguo","En línea")</f>
      </c>
      <c r="AE46">
        <f>IF(0=0,"Sin atender", IF(0=1,"Atendida","Atendida y Reportada"))</f>
      </c>
      <c r="AF46" t="str">
        <v/>
      </c>
      <c r="AG46" t="str">
        <v/>
      </c>
      <c r="AH46" t="str">
        <v/>
      </c>
      <c r="AI46" t="str">
        <v/>
      </c>
      <c r="AJ46" t="str">
        <v>18/09/2026 08:09:17</v>
      </c>
      <c r="AK46" t="str">
        <v>08:09:17</v>
      </c>
      <c r="AL46" t="str">
        <v/>
      </c>
    </row>
    <row r="47">
      <c r="A47">
        <v>46</v>
      </c>
      <c r="B47" t="str">
        <v>MASS BSF</v>
      </c>
      <c r="C47" t="str">
        <v>AJQ-739</v>
      </c>
      <c r="D47" t="str">
        <v>AJQ-739</v>
      </c>
      <c r="E47" t="str">
        <v/>
      </c>
      <c r="F47" t="str">
        <v>867806075788192</v>
      </c>
      <c r="G47" t="str">
        <v>TBD</v>
      </c>
      <c r="H47" t="str">
        <v/>
      </c>
      <c r="I47" t="str">
        <v/>
      </c>
      <c r="J47" t="str">
        <v>18/09/2026</v>
      </c>
      <c r="K47" t="str">
        <v>08:09:14</v>
      </c>
      <c r="L47">
        <v>-12.226472</v>
      </c>
      <c r="M47">
        <v>-76.97071</v>
      </c>
      <c r="N47">
        <f>HYPERLINK("https://www.google.com/maps/search/?api=1&amp;query=-12.226472,-76.97071","Carretera Panamericana Sur, Villa El Salvador, Lima")</f>
      </c>
      <c r="O47" t="str">
        <v>Bache</v>
      </c>
      <c r="P47">
        <v>359660.2</v>
      </c>
      <c r="Q47" t="str">
        <v/>
      </c>
      <c r="R47">
        <v>34.8</v>
      </c>
      <c r="S47">
        <v>15.72</v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>
        <v>81</v>
      </c>
      <c r="AB47" t="str">
        <v>18/09/2026</v>
      </c>
      <c r="AC47" t="str">
        <v>08:09:09</v>
      </c>
      <c r="AD47">
        <f>IF("ONLINE"="NOGPS","GPS Antiguo","En línea")</f>
      </c>
      <c r="AE47">
        <f>IF(0=0,"Sin atender", IF(0=1,"Atendida","Atendida y Reportada"))</f>
      </c>
      <c r="AF47" t="str">
        <v/>
      </c>
      <c r="AG47" t="str">
        <v/>
      </c>
      <c r="AH47" t="str">
        <v/>
      </c>
      <c r="AI47" t="str">
        <v/>
      </c>
      <c r="AJ47" t="str">
        <v>18/09/2026 08:09:21</v>
      </c>
      <c r="AK47" t="str">
        <v>08:09:21</v>
      </c>
      <c r="AL47" t="str">
        <v/>
      </c>
    </row>
    <row r="48">
      <c r="A48">
        <v>47</v>
      </c>
      <c r="B48" t="str">
        <v>MASS BSF</v>
      </c>
      <c r="C48" t="str">
        <v>AJQ-739</v>
      </c>
      <c r="D48" t="str">
        <v>AJQ-739</v>
      </c>
      <c r="E48" t="str">
        <v/>
      </c>
      <c r="F48" t="str">
        <v>867806075788192</v>
      </c>
      <c r="G48" t="str">
        <v>TBD</v>
      </c>
      <c r="H48" t="str">
        <v/>
      </c>
      <c r="I48" t="str">
        <v/>
      </c>
      <c r="J48" t="str">
        <v>18/09/2026</v>
      </c>
      <c r="K48" t="str">
        <v>08:29:18</v>
      </c>
      <c r="L48">
        <v>-12.335834</v>
      </c>
      <c r="M48">
        <v>-76.818886</v>
      </c>
      <c r="N48">
        <f>HYPERLINK("https://www.google.com/maps/search/?api=1&amp;query=-12.335834,-76.818886","Antigua Panamericana Sur, Punta Hermosa, Lima")</f>
      </c>
      <c r="O48" t="str">
        <v>Acelerado y giro brusco</v>
      </c>
      <c r="P48">
        <v>359680.9</v>
      </c>
      <c r="Q48" t="str">
        <v/>
      </c>
      <c r="R48">
        <v>25.3</v>
      </c>
      <c r="S48">
        <v>15.72</v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>
        <v>85</v>
      </c>
      <c r="AB48" t="str">
        <v>18/09/2026</v>
      </c>
      <c r="AC48" t="str">
        <v>08:29:18</v>
      </c>
      <c r="AD48">
        <f>IF("ONLINE"="NOGPS","GPS Antiguo","En línea")</f>
      </c>
      <c r="AE48">
        <f>IF(0=0,"Sin atender", IF(0=1,"Atendida","Atendida y Reportada"))</f>
      </c>
      <c r="AF48" t="str">
        <v/>
      </c>
      <c r="AG48" t="str">
        <v/>
      </c>
      <c r="AH48" t="str">
        <v/>
      </c>
      <c r="AI48" t="str">
        <v/>
      </c>
      <c r="AJ48" t="str">
        <v>18/09/2026 08:29:28</v>
      </c>
      <c r="AK48" t="str">
        <v>08:29:28</v>
      </c>
      <c r="AL48" t="str">
        <v/>
      </c>
    </row>
    <row r="49">
      <c r="A49">
        <v>48</v>
      </c>
      <c r="B49" t="str">
        <v>MASS BSF</v>
      </c>
      <c r="C49" t="str">
        <v>AJQ-739</v>
      </c>
      <c r="D49" t="str">
        <v>AJQ-739</v>
      </c>
      <c r="E49" t="str">
        <v/>
      </c>
      <c r="F49" t="str">
        <v>867806075788192</v>
      </c>
      <c r="G49" t="str">
        <v>TBD</v>
      </c>
      <c r="H49" t="str">
        <v/>
      </c>
      <c r="I49" t="str">
        <v/>
      </c>
      <c r="J49" t="str">
        <v>18/09/2026</v>
      </c>
      <c r="K49" t="str">
        <v>08:29:24</v>
      </c>
      <c r="L49">
        <v>-12.335845</v>
      </c>
      <c r="M49">
        <v>-76.81918</v>
      </c>
      <c r="N49">
        <f>HYPERLINK("https://www.google.com/maps/search/?api=1&amp;query=-12.335845,-76.81918","Antigua Panamericana Sur, Punta Hermosa, Lima")</f>
      </c>
      <c r="O49" t="str">
        <v>Acelerado y giro brusco</v>
      </c>
      <c r="P49">
        <v>359680.9</v>
      </c>
      <c r="Q49" t="str">
        <v/>
      </c>
      <c r="R49">
        <v>23.7</v>
      </c>
      <c r="S49">
        <v>15.72</v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>
        <v>85</v>
      </c>
      <c r="AB49" t="str">
        <v>18/09/2026</v>
      </c>
      <c r="AC49" t="str">
        <v>08:29:24</v>
      </c>
      <c r="AD49">
        <f>IF("ONLINE"="NOGPS","GPS Antiguo","En línea")</f>
      </c>
      <c r="AE49">
        <f>IF(0=0,"Sin atender", IF(0=1,"Atendida","Atendida y Reportada"))</f>
      </c>
      <c r="AF49" t="str">
        <v/>
      </c>
      <c r="AG49" t="str">
        <v/>
      </c>
      <c r="AH49" t="str">
        <v/>
      </c>
      <c r="AI49" t="str">
        <v/>
      </c>
      <c r="AJ49" t="str">
        <v>18/09/2026 08:29:40</v>
      </c>
      <c r="AK49" t="str">
        <v>08:29:40</v>
      </c>
      <c r="AL49" t="str">
        <v/>
      </c>
    </row>
    <row r="50">
      <c r="A50">
        <v>49</v>
      </c>
      <c r="B50" t="str">
        <v>MASS BSF</v>
      </c>
      <c r="C50" t="str">
        <v>AJQ-739</v>
      </c>
      <c r="D50" t="str">
        <v>AJQ-739</v>
      </c>
      <c r="E50" t="str">
        <v/>
      </c>
      <c r="F50" t="str">
        <v>867806075788192</v>
      </c>
      <c r="G50" t="str">
        <v>TBD</v>
      </c>
      <c r="H50" t="str">
        <v/>
      </c>
      <c r="I50" t="str">
        <v/>
      </c>
      <c r="J50" t="str">
        <v>18/09/2026</v>
      </c>
      <c r="K50" t="str">
        <v>08:29:39</v>
      </c>
      <c r="L50">
        <v>-12.334875</v>
      </c>
      <c r="M50">
        <v>-76.81983</v>
      </c>
      <c r="N50">
        <f>HYPERLINK("https://www.google.com/maps/search/?api=1&amp;query=-12.334875,-76.81983","Antigua Panamericana Sur, Punta Hermosa, Lima")</f>
      </c>
      <c r="O50" t="str">
        <v>Bache</v>
      </c>
      <c r="P50">
        <v>359681.1</v>
      </c>
      <c r="Q50" t="str">
        <v/>
      </c>
      <c r="R50">
        <v>25.3</v>
      </c>
      <c r="S50">
        <v>15.72</v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>
        <v>85</v>
      </c>
      <c r="AB50" t="str">
        <v>18/09/2026</v>
      </c>
      <c r="AC50" t="str">
        <v>08:29:39</v>
      </c>
      <c r="AD50">
        <f>IF("ONLINE"="NOGPS","GPS Antiguo","En línea")</f>
      </c>
      <c r="AE50">
        <f>IF(0=0,"Sin atender", IF(0=1,"Atendida","Atendida y Reportada"))</f>
      </c>
      <c r="AF50" t="str">
        <v/>
      </c>
      <c r="AG50" t="str">
        <v/>
      </c>
      <c r="AH50" t="str">
        <v/>
      </c>
      <c r="AI50" t="str">
        <v/>
      </c>
      <c r="AJ50" t="str">
        <v>18/09/2026 08:30:04</v>
      </c>
      <c r="AK50" t="str">
        <v>08:30:04</v>
      </c>
      <c r="AL50" t="str">
        <v/>
      </c>
    </row>
    <row r="51">
      <c r="A51">
        <v>50</v>
      </c>
      <c r="B51" t="str">
        <v>MASS BSF</v>
      </c>
      <c r="C51" t="str">
        <v>AJQ-739</v>
      </c>
      <c r="D51" t="str">
        <v>AJQ-739</v>
      </c>
      <c r="E51" t="str">
        <v/>
      </c>
      <c r="F51" t="str">
        <v>867806075788192</v>
      </c>
      <c r="G51" t="str">
        <v>TBD</v>
      </c>
      <c r="H51" t="str">
        <v/>
      </c>
      <c r="I51" t="str">
        <v/>
      </c>
      <c r="J51" t="str">
        <v>18/09/2026</v>
      </c>
      <c r="K51" t="str">
        <v>08:29:58</v>
      </c>
      <c r="L51">
        <v>-12.333707</v>
      </c>
      <c r="M51">
        <v>-76.82045</v>
      </c>
      <c r="N51">
        <f>HYPERLINK("https://www.google.com/maps/search/?api=1&amp;query=-12.333707,-76.82045","Antigua Panamericana Sur, Punta Hermosa, Lima")</f>
      </c>
      <c r="O51" t="str">
        <v>Aceleración brusca</v>
      </c>
      <c r="P51">
        <v>359681.2</v>
      </c>
      <c r="Q51" t="str">
        <v/>
      </c>
      <c r="R51">
        <v>18.7</v>
      </c>
      <c r="S51">
        <v>15.72</v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>
        <v>81</v>
      </c>
      <c r="AB51" t="str">
        <v>18/09/2026</v>
      </c>
      <c r="AC51" t="str">
        <v>08:29:58</v>
      </c>
      <c r="AD51">
        <f>IF("ONLINE"="NOGPS","GPS Antiguo","En línea")</f>
      </c>
      <c r="AE51">
        <f>IF(0=0,"Sin atender", IF(0=1,"Atendida","Atendida y Reportada"))</f>
      </c>
      <c r="AF51" t="str">
        <v/>
      </c>
      <c r="AG51" t="str">
        <v/>
      </c>
      <c r="AH51" t="str">
        <v/>
      </c>
      <c r="AI51" t="str">
        <v/>
      </c>
      <c r="AJ51" t="str">
        <v>18/09/2026 08:30:18</v>
      </c>
      <c r="AK51" t="str">
        <v>08:30:18</v>
      </c>
      <c r="AL51" t="str">
        <v/>
      </c>
    </row>
    <row r="52">
      <c r="A52">
        <v>51</v>
      </c>
      <c r="B52" t="str">
        <v>MASS BSF</v>
      </c>
      <c r="C52" t="str">
        <v>AJQ-739</v>
      </c>
      <c r="D52" t="str">
        <v>AJQ-739</v>
      </c>
      <c r="E52" t="str">
        <v/>
      </c>
      <c r="F52" t="str">
        <v>867806075788192</v>
      </c>
      <c r="G52" t="str">
        <v>TBD</v>
      </c>
      <c r="H52" t="str">
        <v/>
      </c>
      <c r="I52" t="str">
        <v/>
      </c>
      <c r="J52" t="str">
        <v>18/09/2026</v>
      </c>
      <c r="K52" t="str">
        <v>08:35:28</v>
      </c>
      <c r="L52">
        <v>-12.315389</v>
      </c>
      <c r="M52">
        <v>-76.82584</v>
      </c>
      <c r="N52">
        <f>HYPERLINK("https://www.google.com/maps/search/?api=1&amp;query=-12.315389,-76.82584","Punta Hermosa, Lima")</f>
      </c>
      <c r="O52" t="str">
        <v>Acelerado y giro brusco</v>
      </c>
      <c r="P52">
        <v>359683.9</v>
      </c>
      <c r="Q52" t="str">
        <v/>
      </c>
      <c r="R52">
        <v>17</v>
      </c>
      <c r="S52">
        <v>15.72</v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>
        <v>88</v>
      </c>
      <c r="AB52" t="str">
        <v>18/09/2026</v>
      </c>
      <c r="AC52" t="str">
        <v>08:35:28</v>
      </c>
      <c r="AD52">
        <f>IF("ONLINE"="NOGPS","GPS Antiguo","En línea")</f>
      </c>
      <c r="AE52">
        <f>IF(0=0,"Sin atender", IF(0=1,"Atendida","Atendida y Reportada"))</f>
      </c>
      <c r="AF52" t="str">
        <v/>
      </c>
      <c r="AG52" t="str">
        <v/>
      </c>
      <c r="AH52" t="str">
        <v/>
      </c>
      <c r="AI52" t="str">
        <v/>
      </c>
      <c r="AJ52" t="str">
        <v>18/09/2026 08:35:44</v>
      </c>
      <c r="AK52" t="str">
        <v>08:35:44</v>
      </c>
      <c r="AL52" t="str">
        <v/>
      </c>
    </row>
    <row r="53">
      <c r="A53">
        <v>52</v>
      </c>
      <c r="B53" t="str">
        <v>MASS BSF</v>
      </c>
      <c r="C53" t="str">
        <v>AJQ-739</v>
      </c>
      <c r="D53" t="str">
        <v>AJQ-739</v>
      </c>
      <c r="E53" t="str">
        <v/>
      </c>
      <c r="F53" t="str">
        <v>867806075788192</v>
      </c>
      <c r="G53" t="str">
        <v>TBD</v>
      </c>
      <c r="H53" t="str">
        <v/>
      </c>
      <c r="I53" t="str">
        <v/>
      </c>
      <c r="J53" t="str">
        <v>18/09/2026</v>
      </c>
      <c r="K53" t="str">
        <v>08:37:44</v>
      </c>
      <c r="L53">
        <v>-12.317327</v>
      </c>
      <c r="M53">
        <v>-76.82295</v>
      </c>
      <c r="N53">
        <f>HYPERLINK("https://www.google.com/maps/search/?api=1&amp;query=-12.317327,-76.82295","Punta Hermosa, Lima")</f>
      </c>
      <c r="O53" t="str">
        <v>Aceleración brusca</v>
      </c>
      <c r="P53">
        <v>359684.5</v>
      </c>
      <c r="Q53" t="str">
        <v/>
      </c>
      <c r="R53">
        <v>8.5</v>
      </c>
      <c r="S53">
        <v>15.72</v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>
        <v>84</v>
      </c>
      <c r="AB53" t="str">
        <v>18/09/2026</v>
      </c>
      <c r="AC53" t="str">
        <v>08:37:44</v>
      </c>
      <c r="AD53">
        <f>IF("ONLINE"="NOGPS","GPS Antiguo","En línea")</f>
      </c>
      <c r="AE53">
        <f>IF(0=0,"Sin atender", IF(0=1,"Atendida","Atendida y Reportada"))</f>
      </c>
      <c r="AF53" t="str">
        <v/>
      </c>
      <c r="AG53" t="str">
        <v/>
      </c>
      <c r="AH53" t="str">
        <v/>
      </c>
      <c r="AI53" t="str">
        <v/>
      </c>
      <c r="AJ53" t="str">
        <v>18/09/2026 08:38:07</v>
      </c>
      <c r="AK53" t="str">
        <v>08:38:07</v>
      </c>
      <c r="AL53" t="str">
        <v/>
      </c>
    </row>
    <row r="54">
      <c r="A54">
        <v>53</v>
      </c>
      <c r="B54" t="str">
        <v>MASS BSF</v>
      </c>
      <c r="C54" t="str">
        <v>AJQ-739</v>
      </c>
      <c r="D54" t="str">
        <v>AJQ-739</v>
      </c>
      <c r="E54" t="str">
        <v/>
      </c>
      <c r="F54" t="str">
        <v>867806075788192</v>
      </c>
      <c r="G54" t="str">
        <v>TBD</v>
      </c>
      <c r="H54" t="str">
        <v/>
      </c>
      <c r="I54" t="str">
        <v/>
      </c>
      <c r="J54" t="str">
        <v>18/09/2026</v>
      </c>
      <c r="K54" t="str">
        <v>08:41:19</v>
      </c>
      <c r="L54">
        <v>-12.317367</v>
      </c>
      <c r="M54">
        <v>-76.822975</v>
      </c>
      <c r="N54">
        <f>HYPERLINK("https://www.google.com/maps/search/?api=1&amp;query=-12.317367,-76.822975","Punta Hermosa, Lima")</f>
      </c>
      <c r="O54" t="str">
        <v>Vehículo apagado</v>
      </c>
      <c r="P54">
        <v>359684.5</v>
      </c>
      <c r="Q54" t="str">
        <v/>
      </c>
      <c r="R54">
        <v>0</v>
      </c>
      <c r="S54">
        <v>16.93</v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>
        <v>84</v>
      </c>
      <c r="AB54" t="str">
        <v>18/09/2026</v>
      </c>
      <c r="AC54" t="str">
        <v>08:41:19</v>
      </c>
      <c r="AD54">
        <f>IF("ONLINE"="NOGPS","GPS Antiguo","En línea")</f>
      </c>
      <c r="AE54">
        <f>IF(0=0,"Sin atender", IF(0=1,"Atendida","Atendida y Reportada"))</f>
      </c>
      <c r="AF54" t="str">
        <v/>
      </c>
      <c r="AG54" t="str">
        <v/>
      </c>
      <c r="AH54" t="str">
        <v/>
      </c>
      <c r="AI54" t="str">
        <v/>
      </c>
      <c r="AJ54" t="str">
        <v>18/09/2026 08:41:26</v>
      </c>
      <c r="AK54" t="str">
        <v>08:41:26</v>
      </c>
      <c r="AL54" t="str">
        <v/>
      </c>
    </row>
    <row r="55">
      <c r="A55">
        <v>54</v>
      </c>
      <c r="B55" t="str">
        <v>MASS BSF</v>
      </c>
      <c r="C55" t="str">
        <v>AJQ-739</v>
      </c>
      <c r="D55" t="str">
        <v>AJQ-739</v>
      </c>
      <c r="E55" t="str">
        <v/>
      </c>
      <c r="F55" t="str">
        <v>867806075788192</v>
      </c>
      <c r="G55" t="str">
        <v>TBD</v>
      </c>
      <c r="H55" t="str">
        <v/>
      </c>
      <c r="I55" t="str">
        <v/>
      </c>
      <c r="J55" t="str">
        <v>18/09/2026</v>
      </c>
      <c r="K55" t="str">
        <v>08:45:30</v>
      </c>
      <c r="L55">
        <v>-12.317367</v>
      </c>
      <c r="M55">
        <v>-76.822975</v>
      </c>
      <c r="N55">
        <f>HYPERLINK("https://www.google.com/maps/search/?api=1&amp;query=-12.317367,-76.822975","Punta Hermosa, Lima")</f>
      </c>
      <c r="O55" t="str">
        <v>Se detuvo</v>
      </c>
      <c r="P55">
        <v>359684.5</v>
      </c>
      <c r="Q55" t="str">
        <v/>
      </c>
      <c r="R55">
        <v>0</v>
      </c>
      <c r="S55">
        <v>16.93</v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>
        <v>84</v>
      </c>
      <c r="AB55" t="str">
        <v>18/09/2026</v>
      </c>
      <c r="AC55" t="str">
        <v>08:45:29</v>
      </c>
      <c r="AD55">
        <f>IF("ONLINE"="NOGPS","GPS Antiguo","En línea")</f>
      </c>
      <c r="AE55">
        <f>IF(0=0,"Sin atender", IF(0=1,"Atendida","Atendida y Reportada"))</f>
      </c>
      <c r="AF55" t="str">
        <v/>
      </c>
      <c r="AG55" t="str">
        <v/>
      </c>
      <c r="AH55" t="str">
        <v/>
      </c>
      <c r="AI55" t="str">
        <v/>
      </c>
      <c r="AJ55" t="str">
        <v>18/09/2026 08:45:46</v>
      </c>
      <c r="AK55" t="str">
        <v>08:45:46</v>
      </c>
      <c r="AL55" t="str">
        <v/>
      </c>
    </row>
    <row r="56">
      <c r="A56">
        <v>55</v>
      </c>
      <c r="B56" t="str">
        <v>MASS BSF</v>
      </c>
      <c r="C56" t="str">
        <v>AJQ-739</v>
      </c>
      <c r="D56" t="str">
        <v>AJQ-739</v>
      </c>
      <c r="E56" t="str">
        <v/>
      </c>
      <c r="F56" t="str">
        <v>867806075788192</v>
      </c>
      <c r="G56" t="str">
        <v>TBD</v>
      </c>
      <c r="H56" t="str">
        <v/>
      </c>
      <c r="I56" t="str">
        <v/>
      </c>
      <c r="J56" t="str">
        <v>18/09/2026</v>
      </c>
      <c r="K56" t="str">
        <v>08:54:27</v>
      </c>
      <c r="L56">
        <v>-12.317367</v>
      </c>
      <c r="M56">
        <v>-76.822975</v>
      </c>
      <c r="N56">
        <f>HYPERLINK("https://www.google.com/maps/search/?api=1&amp;query=-12.317367,-76.822975","Punta Hermosa, Lima")</f>
      </c>
      <c r="O56" t="str">
        <v>Vehículo encendido</v>
      </c>
      <c r="P56">
        <v>359684.5</v>
      </c>
      <c r="Q56" t="str">
        <v/>
      </c>
      <c r="R56">
        <v>0</v>
      </c>
      <c r="S56">
        <v>16.93</v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>
        <v>84</v>
      </c>
      <c r="AB56" t="str">
        <v>18/09/2026</v>
      </c>
      <c r="AC56" t="str">
        <v>08:54:27</v>
      </c>
      <c r="AD56">
        <f>IF("ONLINE"="NOGPS","GPS Antiguo","En línea")</f>
      </c>
      <c r="AE56">
        <f>IF(0=0,"Sin atender", IF(0=1,"Atendida","Atendida y Reportada"))</f>
      </c>
      <c r="AF56" t="str">
        <v/>
      </c>
      <c r="AG56" t="str">
        <v/>
      </c>
      <c r="AH56" t="str">
        <v/>
      </c>
      <c r="AI56" t="str">
        <v/>
      </c>
      <c r="AJ56" t="str">
        <v>18/09/2026 08:54:44</v>
      </c>
      <c r="AK56" t="str">
        <v>08:54:44</v>
      </c>
      <c r="AL56" t="str">
        <v/>
      </c>
    </row>
    <row r="57">
      <c r="A57">
        <v>56</v>
      </c>
      <c r="B57" t="str">
        <v>MASS BSF</v>
      </c>
      <c r="C57" t="str">
        <v>AJQ-739</v>
      </c>
      <c r="D57" t="str">
        <v>AJQ-739</v>
      </c>
      <c r="E57" t="str">
        <v/>
      </c>
      <c r="F57" t="str">
        <v>867806075788192</v>
      </c>
      <c r="G57" t="str">
        <v>TBD</v>
      </c>
      <c r="H57" t="str">
        <v/>
      </c>
      <c r="I57" t="str">
        <v/>
      </c>
      <c r="J57" t="str">
        <v>18/09/2026</v>
      </c>
      <c r="K57" t="str">
        <v>08:54:28</v>
      </c>
      <c r="L57">
        <v>-12.317367</v>
      </c>
      <c r="M57">
        <v>-76.822975</v>
      </c>
      <c r="N57">
        <f>HYPERLINK("https://www.google.com/maps/search/?api=1&amp;query=-12.317367,-76.822975","Punta Hermosa, Lima")</f>
      </c>
      <c r="O57" t="str">
        <v>Vehículo apagado</v>
      </c>
      <c r="P57">
        <v>359684.5</v>
      </c>
      <c r="Q57" t="str">
        <v/>
      </c>
      <c r="R57">
        <v>0</v>
      </c>
      <c r="S57">
        <v>16.93</v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>
        <v>84</v>
      </c>
      <c r="AB57" t="str">
        <v>18/09/2026</v>
      </c>
      <c r="AC57" t="str">
        <v>08:54:28</v>
      </c>
      <c r="AD57">
        <f>IF("ONLINE"="NOGPS","GPS Antiguo","En línea")</f>
      </c>
      <c r="AE57">
        <f>IF(0=0,"Sin atender", IF(0=1,"Atendida","Atendida y Reportada"))</f>
      </c>
      <c r="AF57" t="str">
        <v/>
      </c>
      <c r="AG57" t="str">
        <v/>
      </c>
      <c r="AH57" t="str">
        <v/>
      </c>
      <c r="AI57" t="str">
        <v/>
      </c>
      <c r="AJ57" t="str">
        <v>18/09/2026 08:54:44</v>
      </c>
      <c r="AK57" t="str">
        <v>08:54:44</v>
      </c>
      <c r="AL57" t="str">
        <v/>
      </c>
    </row>
    <row r="58">
      <c r="A58">
        <v>57</v>
      </c>
      <c r="B58" t="str">
        <v>MASS BSF</v>
      </c>
      <c r="C58" t="str">
        <v>AJQ-739</v>
      </c>
      <c r="D58" t="str">
        <v>AJQ-739</v>
      </c>
      <c r="E58" t="str">
        <v/>
      </c>
      <c r="F58" t="str">
        <v>867806075788192</v>
      </c>
      <c r="G58" t="str">
        <v>TBD</v>
      </c>
      <c r="H58" t="str">
        <v/>
      </c>
      <c r="I58" t="str">
        <v/>
      </c>
      <c r="J58" t="str">
        <v>18/09/2026</v>
      </c>
      <c r="K58" t="str">
        <v>08:54:28</v>
      </c>
      <c r="L58">
        <v>-12.317367</v>
      </c>
      <c r="M58">
        <v>-76.822975</v>
      </c>
      <c r="N58">
        <f>HYPERLINK("https://www.google.com/maps/search/?api=1&amp;query=-12.317367,-76.822975","Punta Hermosa, Lima")</f>
      </c>
      <c r="O58" t="str">
        <v>Vehículo apagado</v>
      </c>
      <c r="P58">
        <v>359684.5</v>
      </c>
      <c r="Q58" t="str">
        <v/>
      </c>
      <c r="R58">
        <v>0</v>
      </c>
      <c r="S58">
        <v>16.93</v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>
        <v>84</v>
      </c>
      <c r="AB58" t="str">
        <v>18/09/2026</v>
      </c>
      <c r="AC58" t="str">
        <v>08:54:28</v>
      </c>
      <c r="AD58">
        <f>IF("ONLINE"="NOGPS","GPS Antiguo","En línea")</f>
      </c>
      <c r="AE58">
        <f>IF(0=0,"Sin atender", IF(0=1,"Atendida","Atendida y Reportada"))</f>
      </c>
      <c r="AF58" t="str">
        <v/>
      </c>
      <c r="AG58" t="str">
        <v/>
      </c>
      <c r="AH58" t="str">
        <v/>
      </c>
      <c r="AI58" t="str">
        <v/>
      </c>
      <c r="AJ58" t="str">
        <v>18/09/2026 08:56:07</v>
      </c>
      <c r="AK58" t="str">
        <v>08:56:07</v>
      </c>
      <c r="AL58" t="str">
        <v/>
      </c>
    </row>
    <row r="59">
      <c r="A59">
        <v>58</v>
      </c>
      <c r="B59" t="str">
        <v>MASS BSF</v>
      </c>
      <c r="C59" t="str">
        <v>AJQ-739</v>
      </c>
      <c r="D59" t="str">
        <v>AJQ-739</v>
      </c>
      <c r="E59" t="str">
        <v/>
      </c>
      <c r="F59" t="str">
        <v>867806075788192</v>
      </c>
      <c r="G59" t="str">
        <v>TBD</v>
      </c>
      <c r="H59" t="str">
        <v/>
      </c>
      <c r="I59" t="str">
        <v/>
      </c>
      <c r="J59" t="str">
        <v>18/09/2026</v>
      </c>
      <c r="K59" t="str">
        <v>08:54:29</v>
      </c>
      <c r="L59">
        <v>-12.317367</v>
      </c>
      <c r="M59">
        <v>-76.822975</v>
      </c>
      <c r="N59">
        <f>HYPERLINK("https://www.google.com/maps/search/?api=1&amp;query=-12.317367,-76.822975","Punta Hermosa, Lima")</f>
      </c>
      <c r="O59" t="str">
        <v>Vehículo encendido</v>
      </c>
      <c r="P59">
        <v>359684.5</v>
      </c>
      <c r="Q59" t="str">
        <v/>
      </c>
      <c r="R59">
        <v>0</v>
      </c>
      <c r="S59">
        <v>16.93</v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>
        <v>84</v>
      </c>
      <c r="AB59" t="str">
        <v>18/09/2026</v>
      </c>
      <c r="AC59" t="str">
        <v>08:54:29</v>
      </c>
      <c r="AD59">
        <f>IF("ONLINE"="NOGPS","GPS Antiguo","En línea")</f>
      </c>
      <c r="AE59">
        <f>IF(0=0,"Sin atender", IF(0=1,"Atendida","Atendida y Reportada"))</f>
      </c>
      <c r="AF59" t="str">
        <v/>
      </c>
      <c r="AG59" t="str">
        <v/>
      </c>
      <c r="AH59" t="str">
        <v/>
      </c>
      <c r="AI59" t="str">
        <v/>
      </c>
      <c r="AJ59" t="str">
        <v>18/09/2026 08:54:55</v>
      </c>
      <c r="AK59" t="str">
        <v>08:54:55</v>
      </c>
      <c r="AL59" t="str">
        <v/>
      </c>
    </row>
    <row r="60">
      <c r="A60">
        <v>59</v>
      </c>
      <c r="B60" t="str">
        <v>MASS BSF</v>
      </c>
      <c r="C60" t="str">
        <v>AJQ-739</v>
      </c>
      <c r="D60" t="str">
        <v>AJQ-739</v>
      </c>
      <c r="E60" t="str">
        <v/>
      </c>
      <c r="F60" t="str">
        <v>867806075788192</v>
      </c>
      <c r="G60" t="str">
        <v>TBD</v>
      </c>
      <c r="H60" t="str">
        <v/>
      </c>
      <c r="I60" t="str">
        <v/>
      </c>
      <c r="J60" t="str">
        <v>18/09/2026</v>
      </c>
      <c r="K60" t="str">
        <v>08:54:29</v>
      </c>
      <c r="L60">
        <v>-12.317367</v>
      </c>
      <c r="M60">
        <v>-76.822975</v>
      </c>
      <c r="N60">
        <f>HYPERLINK("https://www.google.com/maps/search/?api=1&amp;query=-12.317367,-76.822975","Punta Hermosa, Lima")</f>
      </c>
      <c r="O60" t="str">
        <v>Vehículo encendido</v>
      </c>
      <c r="P60">
        <v>359684.5</v>
      </c>
      <c r="Q60" t="str">
        <v/>
      </c>
      <c r="R60">
        <v>0</v>
      </c>
      <c r="S60">
        <v>16.93</v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>
        <v>84</v>
      </c>
      <c r="AB60" t="str">
        <v>18/09/2026</v>
      </c>
      <c r="AC60" t="str">
        <v>08:54:29</v>
      </c>
      <c r="AD60">
        <f>IF("ONLINE"="NOGPS","GPS Antiguo","En línea")</f>
      </c>
      <c r="AE60">
        <f>IF(0=0,"Sin atender", IF(0=1,"Atendida","Atendida y Reportada"))</f>
      </c>
      <c r="AF60" t="str">
        <v/>
      </c>
      <c r="AG60" t="str">
        <v/>
      </c>
      <c r="AH60" t="str">
        <v/>
      </c>
      <c r="AI60" t="str">
        <v/>
      </c>
      <c r="AJ60" t="str">
        <v>18/09/2026 08:56:08</v>
      </c>
      <c r="AK60" t="str">
        <v>08:56:08</v>
      </c>
      <c r="AL60" t="str">
        <v/>
      </c>
    </row>
    <row r="61">
      <c r="A61">
        <v>60</v>
      </c>
      <c r="B61" t="str">
        <v>MASS BSF</v>
      </c>
      <c r="C61" t="str">
        <v>AJQ-739</v>
      </c>
      <c r="D61" t="str">
        <v>AJQ-739</v>
      </c>
      <c r="E61" t="str">
        <v/>
      </c>
      <c r="F61" t="str">
        <v>867806075788192</v>
      </c>
      <c r="G61" t="str">
        <v>TBD</v>
      </c>
      <c r="H61" t="str">
        <v/>
      </c>
      <c r="I61" t="str">
        <v/>
      </c>
      <c r="J61" t="str">
        <v>18/09/2026</v>
      </c>
      <c r="K61" t="str">
        <v>09:03:44</v>
      </c>
      <c r="L61">
        <v>-12.317761</v>
      </c>
      <c r="M61">
        <v>-76.82423</v>
      </c>
      <c r="N61">
        <f>HYPERLINK("https://www.google.com/maps/search/?api=1&amp;query=-12.317761,-76.82423","Punta Hermosa, Lima")</f>
      </c>
      <c r="O61" t="str">
        <v>Se detuvo</v>
      </c>
      <c r="P61">
        <v>359684.8</v>
      </c>
      <c r="Q61" t="str">
        <v/>
      </c>
      <c r="R61">
        <v>0</v>
      </c>
      <c r="S61">
        <v>16.93</v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>
        <v>81</v>
      </c>
      <c r="AB61" t="str">
        <v>18/09/2026</v>
      </c>
      <c r="AC61" t="str">
        <v>09:03:43</v>
      </c>
      <c r="AD61">
        <f>IF("ONLINE"="NOGPS","GPS Antiguo","En línea")</f>
      </c>
      <c r="AE61">
        <f>IF(0=0,"Sin atender", IF(0=1,"Atendida","Atendida y Reportada"))</f>
      </c>
      <c r="AF61" t="str">
        <v/>
      </c>
      <c r="AG61" t="str">
        <v/>
      </c>
      <c r="AH61" t="str">
        <v/>
      </c>
      <c r="AI61" t="str">
        <v/>
      </c>
      <c r="AJ61" t="str">
        <v>18/09/2026 09:04:09</v>
      </c>
      <c r="AK61" t="str">
        <v>09:04:09</v>
      </c>
      <c r="AL61" t="str">
        <v/>
      </c>
    </row>
    <row r="62">
      <c r="A62">
        <v>61</v>
      </c>
      <c r="B62" t="str">
        <v>MASS BSF</v>
      </c>
      <c r="C62" t="str">
        <v>AJQ-739</v>
      </c>
      <c r="D62" t="str">
        <v>AJQ-739</v>
      </c>
      <c r="E62" t="str">
        <v/>
      </c>
      <c r="F62" t="str">
        <v>867806075788192</v>
      </c>
      <c r="G62" t="str">
        <v>TBD</v>
      </c>
      <c r="H62" t="str">
        <v/>
      </c>
      <c r="I62" t="str">
        <v/>
      </c>
      <c r="J62" t="str">
        <v>18/09/2026</v>
      </c>
      <c r="K62" t="str">
        <v>09:25:37</v>
      </c>
      <c r="L62">
        <v>-12.317761</v>
      </c>
      <c r="M62">
        <v>-76.82423</v>
      </c>
      <c r="N62">
        <f>HYPERLINK("https://www.google.com/maps/search/?api=1&amp;query=-12.317761,-76.82423","Punta Hermosa, Lima")</f>
      </c>
      <c r="O62" t="str">
        <v>Vehículo apagado</v>
      </c>
      <c r="P62">
        <v>359684.8</v>
      </c>
      <c r="Q62" t="str">
        <v/>
      </c>
      <c r="R62">
        <v>0</v>
      </c>
      <c r="S62">
        <v>17.45</v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>
        <v>89</v>
      </c>
      <c r="AB62" t="str">
        <v>18/09/2026</v>
      </c>
      <c r="AC62" t="str">
        <v>09:25:36</v>
      </c>
      <c r="AD62">
        <f>IF("ONLINE"="NOGPS","GPS Antiguo","En línea")</f>
      </c>
      <c r="AE62">
        <f>IF(0=0,"Sin atender", IF(0=1,"Atendida","Atendida y Reportada"))</f>
      </c>
      <c r="AF62" t="str">
        <v/>
      </c>
      <c r="AG62" t="str">
        <v/>
      </c>
      <c r="AH62" t="str">
        <v/>
      </c>
      <c r="AI62" t="str">
        <v/>
      </c>
      <c r="AJ62" t="str">
        <v>18/09/2026 09:25:58</v>
      </c>
      <c r="AK62" t="str">
        <v>09:25:58</v>
      </c>
      <c r="AL62" t="str">
        <v/>
      </c>
    </row>
    <row r="63">
      <c r="A63">
        <v>62</v>
      </c>
      <c r="B63" t="str">
        <v>MASS BSF</v>
      </c>
      <c r="C63" t="str">
        <v>AJQ-739</v>
      </c>
      <c r="D63" t="str">
        <v>AJQ-739</v>
      </c>
      <c r="E63" t="str">
        <v/>
      </c>
      <c r="F63" t="str">
        <v>867806075788192</v>
      </c>
      <c r="G63" t="str">
        <v>TBD</v>
      </c>
      <c r="H63" t="str">
        <v/>
      </c>
      <c r="I63" t="str">
        <v/>
      </c>
      <c r="J63" t="str">
        <v>18/09/2026</v>
      </c>
      <c r="K63" t="str">
        <v>09:28:24</v>
      </c>
      <c r="L63">
        <v>-12.317761</v>
      </c>
      <c r="M63">
        <v>-76.82423</v>
      </c>
      <c r="N63">
        <f>HYPERLINK("https://www.google.com/maps/search/?api=1&amp;query=-12.317761,-76.82423","Punta Hermosa, Lima")</f>
      </c>
      <c r="O63" t="str">
        <v>Vehículo encendido</v>
      </c>
      <c r="P63">
        <v>359684.8</v>
      </c>
      <c r="Q63" t="str">
        <v/>
      </c>
      <c r="R63">
        <v>0</v>
      </c>
      <c r="S63">
        <v>17.45</v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>
        <v>89</v>
      </c>
      <c r="AB63" t="str">
        <v>18/09/2026</v>
      </c>
      <c r="AC63" t="str">
        <v>09:28:24</v>
      </c>
      <c r="AD63">
        <f>IF("ONLINE"="NOGPS","GPS Antiguo","En línea")</f>
      </c>
      <c r="AE63">
        <f>IF(0=0,"Sin atender", IF(0=1,"Atendida","Atendida y Reportada"))</f>
      </c>
      <c r="AF63" t="str">
        <v/>
      </c>
      <c r="AG63" t="str">
        <v/>
      </c>
      <c r="AH63" t="str">
        <v/>
      </c>
      <c r="AI63" t="str">
        <v/>
      </c>
      <c r="AJ63" t="str">
        <v>18/09/2026 09:28:41</v>
      </c>
      <c r="AK63" t="str">
        <v>09:28:41</v>
      </c>
      <c r="AL63" t="str">
        <v/>
      </c>
    </row>
    <row r="64">
      <c r="A64">
        <v>63</v>
      </c>
      <c r="B64" t="str">
        <v>MASS BSF</v>
      </c>
      <c r="C64" t="str">
        <v>AJQ-739</v>
      </c>
      <c r="D64" t="str">
        <v>AJQ-739</v>
      </c>
      <c r="E64" t="str">
        <v/>
      </c>
      <c r="F64" t="str">
        <v>867806075788192</v>
      </c>
      <c r="G64" t="str">
        <v>TBD</v>
      </c>
      <c r="H64" t="str">
        <v/>
      </c>
      <c r="I64" t="str">
        <v/>
      </c>
      <c r="J64" t="str">
        <v>18/09/2026</v>
      </c>
      <c r="K64" t="str">
        <v>09:28:25</v>
      </c>
      <c r="L64">
        <v>-12.317761</v>
      </c>
      <c r="M64">
        <v>-76.82423</v>
      </c>
      <c r="N64">
        <f>HYPERLINK("https://www.google.com/maps/search/?api=1&amp;query=-12.317761,-76.82423","Punta Hermosa, Lima")</f>
      </c>
      <c r="O64" t="str">
        <v>Vehículo apagado</v>
      </c>
      <c r="P64">
        <v>359684.8</v>
      </c>
      <c r="Q64" t="str">
        <v/>
      </c>
      <c r="R64">
        <v>0</v>
      </c>
      <c r="S64">
        <v>17.45</v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>
        <v>89</v>
      </c>
      <c r="AB64" t="str">
        <v>18/09/2026</v>
      </c>
      <c r="AC64" t="str">
        <v>09:28:25</v>
      </c>
      <c r="AD64">
        <f>IF("ONLINE"="NOGPS","GPS Antiguo","En línea")</f>
      </c>
      <c r="AE64">
        <f>IF(0=0,"Sin atender", IF(0=1,"Atendida","Atendida y Reportada"))</f>
      </c>
      <c r="AF64" t="str">
        <v/>
      </c>
      <c r="AG64" t="str">
        <v/>
      </c>
      <c r="AH64" t="str">
        <v/>
      </c>
      <c r="AI64" t="str">
        <v/>
      </c>
      <c r="AJ64" t="str">
        <v>18/09/2026 09:28:56</v>
      </c>
      <c r="AK64" t="str">
        <v>09:28:56</v>
      </c>
      <c r="AL64" t="str">
        <v/>
      </c>
    </row>
    <row r="65">
      <c r="A65">
        <v>64</v>
      </c>
      <c r="B65" t="str">
        <v>MASS BSF</v>
      </c>
      <c r="C65" t="str">
        <v>AJQ-739</v>
      </c>
      <c r="D65" t="str">
        <v>AJQ-739</v>
      </c>
      <c r="E65" t="str">
        <v/>
      </c>
      <c r="F65" t="str">
        <v>867806075788192</v>
      </c>
      <c r="G65" t="str">
        <v>TBD</v>
      </c>
      <c r="H65" t="str">
        <v/>
      </c>
      <c r="I65" t="str">
        <v/>
      </c>
      <c r="J65" t="str">
        <v>18/09/2026</v>
      </c>
      <c r="K65" t="str">
        <v>09:28:25</v>
      </c>
      <c r="L65">
        <v>-12.317761</v>
      </c>
      <c r="M65">
        <v>-76.82423</v>
      </c>
      <c r="N65">
        <f>HYPERLINK("https://www.google.com/maps/search/?api=1&amp;query=-12.317761,-76.82423","Punta Hermosa, Lima")</f>
      </c>
      <c r="O65" t="str">
        <v>Vehículo apagado</v>
      </c>
      <c r="P65">
        <v>359684.8</v>
      </c>
      <c r="Q65" t="str">
        <v/>
      </c>
      <c r="R65">
        <v>0</v>
      </c>
      <c r="S65">
        <v>17.45</v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>
        <v>89</v>
      </c>
      <c r="AB65" t="str">
        <v>18/09/2026</v>
      </c>
      <c r="AC65" t="str">
        <v>09:28:25</v>
      </c>
      <c r="AD65">
        <f>IF("ONLINE"="NOGPS","GPS Antiguo","En línea")</f>
      </c>
      <c r="AE65">
        <f>IF(0=0,"Sin atender", IF(0=1,"Atendida","Atendida y Reportada"))</f>
      </c>
      <c r="AF65" t="str">
        <v/>
      </c>
      <c r="AG65" t="str">
        <v/>
      </c>
      <c r="AH65" t="str">
        <v/>
      </c>
      <c r="AI65" t="str">
        <v/>
      </c>
      <c r="AJ65" t="str">
        <v>18/09/2026 09:29:56</v>
      </c>
      <c r="AK65" t="str">
        <v>09:29:56</v>
      </c>
      <c r="AL65" t="str">
        <v/>
      </c>
    </row>
    <row r="66">
      <c r="A66">
        <v>65</v>
      </c>
      <c r="B66" t="str">
        <v>MASS BSF</v>
      </c>
      <c r="C66" t="str">
        <v>AJQ-739</v>
      </c>
      <c r="D66" t="str">
        <v>AJQ-739</v>
      </c>
      <c r="E66" t="str">
        <v/>
      </c>
      <c r="F66" t="str">
        <v>867806075788192</v>
      </c>
      <c r="G66" t="str">
        <v>TBD</v>
      </c>
      <c r="H66" t="str">
        <v/>
      </c>
      <c r="I66" t="str">
        <v/>
      </c>
      <c r="J66" t="str">
        <v>18/09/2026</v>
      </c>
      <c r="K66" t="str">
        <v>09:28:27</v>
      </c>
      <c r="L66">
        <v>-12.317761</v>
      </c>
      <c r="M66">
        <v>-76.82423</v>
      </c>
      <c r="N66">
        <f>HYPERLINK("https://www.google.com/maps/search/?api=1&amp;query=-12.317761,-76.82423","Punta Hermosa, Lima")</f>
      </c>
      <c r="O66" t="str">
        <v>Vehículo encendido</v>
      </c>
      <c r="P66">
        <v>359684.8</v>
      </c>
      <c r="Q66" t="str">
        <v/>
      </c>
      <c r="R66">
        <v>0</v>
      </c>
      <c r="S66">
        <v>17.45</v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>
        <v>89</v>
      </c>
      <c r="AB66" t="str">
        <v>18/09/2026</v>
      </c>
      <c r="AC66" t="str">
        <v>09:28:26</v>
      </c>
      <c r="AD66">
        <f>IF("ONLINE"="NOGPS","GPS Antiguo","En línea")</f>
      </c>
      <c r="AE66">
        <f>IF(0=0,"Sin atender", IF(0=1,"Atendida","Atendida y Reportada"))</f>
      </c>
      <c r="AF66" t="str">
        <v/>
      </c>
      <c r="AG66" t="str">
        <v/>
      </c>
      <c r="AH66" t="str">
        <v/>
      </c>
      <c r="AI66" t="str">
        <v/>
      </c>
      <c r="AJ66" t="str">
        <v>18/09/2026 09:29:56</v>
      </c>
      <c r="AK66" t="str">
        <v>09:29:56</v>
      </c>
      <c r="AL66" t="str">
        <v/>
      </c>
    </row>
    <row r="67">
      <c r="A67">
        <v>66</v>
      </c>
      <c r="B67" t="str">
        <v>MASS BSF</v>
      </c>
      <c r="C67" t="str">
        <v>AJQ-739</v>
      </c>
      <c r="D67" t="str">
        <v>AJQ-739</v>
      </c>
      <c r="E67" t="str">
        <v/>
      </c>
      <c r="F67" t="str">
        <v>867806075788192</v>
      </c>
      <c r="G67" t="str">
        <v>TBD</v>
      </c>
      <c r="H67" t="str">
        <v/>
      </c>
      <c r="I67" t="str">
        <v/>
      </c>
      <c r="J67" t="str">
        <v>18/09/2026</v>
      </c>
      <c r="K67" t="str">
        <v>09:38:02</v>
      </c>
      <c r="L67">
        <v>-12.313923</v>
      </c>
      <c r="M67">
        <v>-76.832756</v>
      </c>
      <c r="N67">
        <f>HYPERLINK("https://www.google.com/maps/search/?api=1&amp;query=-12.313923,-76.832756","Carretera Panamericana Sur, Punta Hermosa, Lima")</f>
      </c>
      <c r="O67" t="str">
        <v>Inicio de ralentí</v>
      </c>
      <c r="P67">
        <v>359686.1</v>
      </c>
      <c r="Q67" t="str">
        <v/>
      </c>
      <c r="R67">
        <v>0</v>
      </c>
      <c r="S67">
        <v>17.45</v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>
        <v>93</v>
      </c>
      <c r="AB67" t="str">
        <v>18/09/2026</v>
      </c>
      <c r="AC67" t="str">
        <v>09:38:01</v>
      </c>
      <c r="AD67">
        <f>IF("ONLINE"="NOGPS","GPS Antiguo","En línea")</f>
      </c>
      <c r="AE67">
        <f>IF(0=0,"Sin atender", IF(0=1,"Atendida","Atendida y Reportada"))</f>
      </c>
      <c r="AF67" t="str">
        <v/>
      </c>
      <c r="AG67" t="str">
        <v/>
      </c>
      <c r="AH67" t="str">
        <v/>
      </c>
      <c r="AI67" t="str">
        <v/>
      </c>
      <c r="AJ67" t="str">
        <v>18/09/2026 09:38:20</v>
      </c>
      <c r="AK67" t="str">
        <v>09:38:20</v>
      </c>
      <c r="AL67" t="str">
        <v/>
      </c>
    </row>
    <row r="68">
      <c r="A68">
        <v>67</v>
      </c>
      <c r="B68" t="str">
        <v>MASS BSF</v>
      </c>
      <c r="C68" t="str">
        <v>AJQ-739</v>
      </c>
      <c r="D68" t="str">
        <v>AJQ-739</v>
      </c>
      <c r="E68" t="str">
        <v/>
      </c>
      <c r="F68" t="str">
        <v>867806075788192</v>
      </c>
      <c r="G68" t="str">
        <v>TBD</v>
      </c>
      <c r="H68" t="str">
        <v/>
      </c>
      <c r="I68" t="str">
        <v/>
      </c>
      <c r="J68" t="str">
        <v>18/09/2026</v>
      </c>
      <c r="K68" t="str">
        <v>09:42:27</v>
      </c>
      <c r="L68">
        <v>-12.313923</v>
      </c>
      <c r="M68">
        <v>-76.832756</v>
      </c>
      <c r="N68">
        <f>HYPERLINK("https://www.google.com/maps/search/?api=1&amp;query=-12.313923,-76.832756","Carretera Panamericana Sur, Punta Hermosa, Lima")</f>
      </c>
      <c r="O68" t="str">
        <v>Se detuvo</v>
      </c>
      <c r="P68">
        <v>359686.1</v>
      </c>
      <c r="Q68" t="str">
        <v/>
      </c>
      <c r="R68">
        <v>0</v>
      </c>
      <c r="S68">
        <v>17.45</v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>
        <v>87</v>
      </c>
      <c r="AB68" t="str">
        <v>18/09/2026</v>
      </c>
      <c r="AC68" t="str">
        <v>09:42:26</v>
      </c>
      <c r="AD68">
        <f>IF("ONLINE"="NOGPS","GPS Antiguo","En línea")</f>
      </c>
      <c r="AE68">
        <f>IF(0=0,"Sin atender", IF(0=1,"Atendida","Atendida y Reportada"))</f>
      </c>
      <c r="AF68" t="str">
        <v/>
      </c>
      <c r="AG68" t="str">
        <v/>
      </c>
      <c r="AH68" t="str">
        <v/>
      </c>
      <c r="AI68" t="str">
        <v/>
      </c>
      <c r="AJ68" t="str">
        <v>18/09/2026 09:42:40</v>
      </c>
      <c r="AK68" t="str">
        <v>09:42:40</v>
      </c>
      <c r="AL68" t="str">
        <v/>
      </c>
    </row>
    <row r="69">
      <c r="A69">
        <v>68</v>
      </c>
      <c r="B69" t="str">
        <v>MASS BSF</v>
      </c>
      <c r="C69" t="str">
        <v>AJQ-739</v>
      </c>
      <c r="D69" t="str">
        <v>AJQ-739</v>
      </c>
      <c r="E69" t="str">
        <v/>
      </c>
      <c r="F69" t="str">
        <v>867806075788192</v>
      </c>
      <c r="G69" t="str">
        <v>TBD</v>
      </c>
      <c r="H69" t="str">
        <v/>
      </c>
      <c r="I69" t="str">
        <v/>
      </c>
      <c r="J69" t="str">
        <v>18/09/2026</v>
      </c>
      <c r="K69" t="str">
        <v>09:43:07</v>
      </c>
      <c r="L69">
        <v>-12.313893</v>
      </c>
      <c r="M69">
        <v>-76.8328</v>
      </c>
      <c r="N69">
        <f>HYPERLINK("https://www.google.com/maps/search/?api=1&amp;query=-12.313893,-76.8328","Carretera Panamericana Sur, Punta Hermosa, Lima")</f>
      </c>
      <c r="O69" t="str">
        <v>Fin de ralentí</v>
      </c>
      <c r="P69">
        <v>359686.1</v>
      </c>
      <c r="Q69" t="str">
        <v/>
      </c>
      <c r="R69">
        <v>9.4</v>
      </c>
      <c r="S69">
        <v>17.45</v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>
        <v>87</v>
      </c>
      <c r="AB69" t="str">
        <v>18/09/2026</v>
      </c>
      <c r="AC69" t="str">
        <v>09:43:07</v>
      </c>
      <c r="AD69">
        <f>IF("ONLINE"="NOGPS","GPS Antiguo","En línea")</f>
      </c>
      <c r="AE69">
        <f>IF(0=0,"Sin atender", IF(0=1,"Atendida","Atendida y Reportada"))</f>
      </c>
      <c r="AF69" t="str">
        <v/>
      </c>
      <c r="AG69" t="str">
        <v/>
      </c>
      <c r="AH69" t="str">
        <v/>
      </c>
      <c r="AI69" t="str">
        <v/>
      </c>
      <c r="AJ69" t="str">
        <v>18/09/2026 09:43:17</v>
      </c>
      <c r="AK69" t="str">
        <v>09:43:17</v>
      </c>
      <c r="AL69" t="str">
        <v/>
      </c>
    </row>
    <row r="70">
      <c r="A70">
        <v>69</v>
      </c>
      <c r="B70" t="str">
        <v>MASS BSF</v>
      </c>
      <c r="C70" t="str">
        <v>AJQ-739</v>
      </c>
      <c r="D70" t="str">
        <v>AJQ-739</v>
      </c>
      <c r="E70" t="str">
        <v/>
      </c>
      <c r="F70" t="str">
        <v>867806075788192</v>
      </c>
      <c r="G70" t="str">
        <v>TBD</v>
      </c>
      <c r="H70" t="str">
        <v/>
      </c>
      <c r="I70" t="str">
        <v/>
      </c>
      <c r="J70" t="str">
        <v>18/09/2026</v>
      </c>
      <c r="K70" t="str">
        <v>10:02:41</v>
      </c>
      <c r="L70">
        <v>-12.217896</v>
      </c>
      <c r="M70">
        <v>-76.97795</v>
      </c>
      <c r="N70">
        <f>HYPERLINK("https://www.google.com/maps/search/?api=1&amp;query=-12.217896,-76.97795","Avenida Caminos del Inca, Chorrillos, Lima")</f>
      </c>
      <c r="O70" t="str">
        <v>Bache</v>
      </c>
      <c r="P70">
        <v>359705.3</v>
      </c>
      <c r="Q70" t="str">
        <v/>
      </c>
      <c r="R70">
        <v>12</v>
      </c>
      <c r="S70">
        <v>17.45</v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>
        <v>83</v>
      </c>
      <c r="AB70" t="str">
        <v>18/09/2026</v>
      </c>
      <c r="AC70" t="str">
        <v>10:02:40</v>
      </c>
      <c r="AD70">
        <f>IF("ONLINE"="NOGPS","GPS Antiguo","En línea")</f>
      </c>
      <c r="AE70">
        <f>IF(0=0,"Sin atender", IF(0=1,"Atendida","Atendida y Reportada"))</f>
      </c>
      <c r="AF70" t="str">
        <v/>
      </c>
      <c r="AG70" t="str">
        <v/>
      </c>
      <c r="AH70" t="str">
        <v/>
      </c>
      <c r="AI70" t="str">
        <v/>
      </c>
      <c r="AJ70" t="str">
        <v>18/09/2026 10:02:47</v>
      </c>
      <c r="AK70" t="str">
        <v>10:02:47</v>
      </c>
      <c r="AL70" t="str">
        <v/>
      </c>
    </row>
    <row r="71">
      <c r="A71">
        <v>70</v>
      </c>
      <c r="B71" t="str">
        <v>MASS BSF</v>
      </c>
      <c r="C71" t="str">
        <v>AJQ-739</v>
      </c>
      <c r="D71" t="str">
        <v>AJQ-739</v>
      </c>
      <c r="E71" t="str">
        <v/>
      </c>
      <c r="F71" t="str">
        <v>867806075788192</v>
      </c>
      <c r="G71" t="str">
        <v>TBD</v>
      </c>
      <c r="H71" t="str">
        <v/>
      </c>
      <c r="I71" t="str">
        <v/>
      </c>
      <c r="J71" t="str">
        <v>18/09/2026</v>
      </c>
      <c r="K71" t="str">
        <v>10:10:01</v>
      </c>
      <c r="L71">
        <v>-12.216987</v>
      </c>
      <c r="M71">
        <v>-76.968796</v>
      </c>
      <c r="N71">
        <f>HYPERLINK("https://www.google.com/maps/search/?api=1&amp;query=-12.216987,-76.968796","Avenida El Sol, Villa El Salvador, Lima")</f>
      </c>
      <c r="O71" t="str">
        <v>Bache</v>
      </c>
      <c r="P71">
        <v>359708.3</v>
      </c>
      <c r="Q71" t="str">
        <v/>
      </c>
      <c r="R71">
        <v>7.4</v>
      </c>
      <c r="S71">
        <v>17.45</v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>
        <v>83</v>
      </c>
      <c r="AB71" t="str">
        <v>18/09/2026</v>
      </c>
      <c r="AC71" t="str">
        <v>10:10:01</v>
      </c>
      <c r="AD71">
        <f>IF("ONLINE"="NOGPS","GPS Antiguo","En línea")</f>
      </c>
      <c r="AE71">
        <f>IF(0=0,"Sin atender", IF(0=1,"Atendida","Atendida y Reportada"))</f>
      </c>
      <c r="AF71" t="str">
        <v/>
      </c>
      <c r="AG71" t="str">
        <v/>
      </c>
      <c r="AH71" t="str">
        <v/>
      </c>
      <c r="AI71" t="str">
        <v/>
      </c>
      <c r="AJ71" t="str">
        <v>18/09/2026 10:10:12</v>
      </c>
      <c r="AK71" t="str">
        <v>10:10:12</v>
      </c>
      <c r="AL71" t="str">
        <v/>
      </c>
    </row>
    <row r="72">
      <c r="A72">
        <v>71</v>
      </c>
      <c r="B72" t="str">
        <v>MASS BSF</v>
      </c>
      <c r="C72" t="str">
        <v>AJQ-739</v>
      </c>
      <c r="D72" t="str">
        <v>AJQ-739</v>
      </c>
      <c r="E72" t="str">
        <v/>
      </c>
      <c r="F72" t="str">
        <v>867806075788192</v>
      </c>
      <c r="G72" t="str">
        <v>TBD</v>
      </c>
      <c r="H72" t="str">
        <v/>
      </c>
      <c r="I72" t="str">
        <v/>
      </c>
      <c r="J72" t="str">
        <v>18/09/2026</v>
      </c>
      <c r="K72" t="str">
        <v>10:13:03</v>
      </c>
      <c r="L72">
        <v>-12.212256</v>
      </c>
      <c r="M72">
        <v>-76.96129</v>
      </c>
      <c r="N72">
        <f>HYPERLINK("https://www.google.com/maps/search/?api=1&amp;query=-12.212256,-76.96129","Calle 1, Villa El Salvador, Lima")</f>
      </c>
      <c r="O72" t="str">
        <v>Bache</v>
      </c>
      <c r="P72">
        <v>359709.3</v>
      </c>
      <c r="Q72" t="str">
        <v/>
      </c>
      <c r="R72">
        <v>16.2</v>
      </c>
      <c r="S72">
        <v>17.45</v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>
        <v>93</v>
      </c>
      <c r="AB72" t="str">
        <v>18/09/2026</v>
      </c>
      <c r="AC72" t="str">
        <v>10:13:03</v>
      </c>
      <c r="AD72">
        <f>IF("ONLINE"="NOGPS","GPS Antiguo","En línea")</f>
      </c>
      <c r="AE72">
        <f>IF(0=0,"Sin atender", IF(0=1,"Atendida","Atendida y Reportada"))</f>
      </c>
      <c r="AF72" t="str">
        <v/>
      </c>
      <c r="AG72" t="str">
        <v/>
      </c>
      <c r="AH72" t="str">
        <v/>
      </c>
      <c r="AI72" t="str">
        <v/>
      </c>
      <c r="AJ72" t="str">
        <v>18/09/2026 10:13:24</v>
      </c>
      <c r="AK72" t="str">
        <v>10:13:24</v>
      </c>
      <c r="AL72" t="str">
        <v/>
      </c>
    </row>
    <row r="73">
      <c r="A73">
        <v>72</v>
      </c>
      <c r="B73" t="str">
        <v>MASS BSF</v>
      </c>
      <c r="C73" t="str">
        <v>AJQ-739</v>
      </c>
      <c r="D73" t="str">
        <v>AJQ-739</v>
      </c>
      <c r="E73" t="str">
        <v/>
      </c>
      <c r="F73" t="str">
        <v>867806075788192</v>
      </c>
      <c r="G73" t="str">
        <v>TBD</v>
      </c>
      <c r="H73" t="str">
        <v/>
      </c>
      <c r="I73" t="str">
        <v/>
      </c>
      <c r="J73" t="str">
        <v>18/09/2026</v>
      </c>
      <c r="K73" t="str">
        <v>10:14:17</v>
      </c>
      <c r="L73">
        <v>-12.213418</v>
      </c>
      <c r="M73">
        <v>-76.9602</v>
      </c>
      <c r="N73">
        <f>HYPERLINK("https://www.google.com/maps/search/?api=1&amp;query=-12.213418,-76.9602","Avenida Villa del Mar, Villa El Salvador, Lima")</f>
      </c>
      <c r="O73" t="str">
        <v>Bache</v>
      </c>
      <c r="P73">
        <v>359709.6</v>
      </c>
      <c r="Q73" t="str">
        <v/>
      </c>
      <c r="R73">
        <v>12.7</v>
      </c>
      <c r="S73">
        <v>17.45</v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>
        <v>89</v>
      </c>
      <c r="AB73" t="str">
        <v>18/09/2026</v>
      </c>
      <c r="AC73" t="str">
        <v>10:14:16</v>
      </c>
      <c r="AD73">
        <f>IF("ONLINE"="NOGPS","GPS Antiguo","En línea")</f>
      </c>
      <c r="AE73">
        <f>IF(0=0,"Sin atender", IF(0=1,"Atendida","Atendida y Reportada"))</f>
      </c>
      <c r="AF73" t="str">
        <v/>
      </c>
      <c r="AG73" t="str">
        <v/>
      </c>
      <c r="AH73" t="str">
        <v/>
      </c>
      <c r="AI73" t="str">
        <v/>
      </c>
      <c r="AJ73" t="str">
        <v>18/09/2026 10:14:43</v>
      </c>
      <c r="AK73" t="str">
        <v>10:14:43</v>
      </c>
      <c r="AL73" t="str">
        <v/>
      </c>
    </row>
    <row r="74">
      <c r="A74">
        <v>73</v>
      </c>
      <c r="B74" t="str">
        <v>MASS BSF</v>
      </c>
      <c r="C74" t="str">
        <v>AJQ-739</v>
      </c>
      <c r="D74" t="str">
        <v>AJQ-739</v>
      </c>
      <c r="E74" t="str">
        <v/>
      </c>
      <c r="F74" t="str">
        <v>867806075788192</v>
      </c>
      <c r="G74" t="str">
        <v>TBD</v>
      </c>
      <c r="H74" t="str">
        <v/>
      </c>
      <c r="I74" t="str">
        <v/>
      </c>
      <c r="J74" t="str">
        <v>18/09/2026</v>
      </c>
      <c r="K74" t="str">
        <v>10:15:03</v>
      </c>
      <c r="L74">
        <v>-12.212823</v>
      </c>
      <c r="M74">
        <v>-76.95907</v>
      </c>
      <c r="N74">
        <f>HYPERLINK("https://www.google.com/maps/search/?api=1&amp;query=-12.212823,-76.95907","Avenida Villa del Mar, Villa El Salvador, Lima")</f>
      </c>
      <c r="O74" t="str">
        <v>Vehículo apagado</v>
      </c>
      <c r="P74">
        <v>359709.7</v>
      </c>
      <c r="Q74" t="str">
        <v/>
      </c>
      <c r="R74">
        <v>0</v>
      </c>
      <c r="S74">
        <v>18.23</v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>
        <v>87</v>
      </c>
      <c r="AB74" t="str">
        <v>18/09/2026</v>
      </c>
      <c r="AC74" t="str">
        <v>10:15:02</v>
      </c>
      <c r="AD74">
        <f>IF("ONLINE"="NOGPS","GPS Antiguo","En línea")</f>
      </c>
      <c r="AE74">
        <f>IF(0=0,"Sin atender", IF(0=1,"Atendida","Atendida y Reportada"))</f>
      </c>
      <c r="AF74" t="str">
        <v/>
      </c>
      <c r="AG74" t="str">
        <v/>
      </c>
      <c r="AH74" t="str">
        <v/>
      </c>
      <c r="AI74" t="str">
        <v/>
      </c>
      <c r="AJ74" t="str">
        <v>18/09/2026 10:15:17</v>
      </c>
      <c r="AK74" t="str">
        <v>10:15:17</v>
      </c>
      <c r="AL74" t="str">
        <v/>
      </c>
    </row>
    <row r="75">
      <c r="A75">
        <v>74</v>
      </c>
      <c r="B75" t="str">
        <v>MASS BSF</v>
      </c>
      <c r="C75" t="str">
        <v>AJQ-739</v>
      </c>
      <c r="D75" t="str">
        <v>AJQ-739</v>
      </c>
      <c r="E75" t="str">
        <v/>
      </c>
      <c r="F75" t="str">
        <v>867806075788192</v>
      </c>
      <c r="G75" t="str">
        <v>TBD</v>
      </c>
      <c r="H75" t="str">
        <v/>
      </c>
      <c r="I75" t="str">
        <v/>
      </c>
      <c r="J75" t="str">
        <v>18/09/2026</v>
      </c>
      <c r="K75" t="str">
        <v>10:22:15</v>
      </c>
      <c r="L75">
        <v>-12.212791</v>
      </c>
      <c r="M75">
        <v>-76.95915</v>
      </c>
      <c r="N75">
        <f>HYPERLINK("https://www.google.com/maps/search/?api=1&amp;query=-12.212791,-76.95915","Avenida Villa del Mar, Villa El Salvador, Lima")</f>
      </c>
      <c r="O75" t="str">
        <v>Se detuvo</v>
      </c>
      <c r="P75">
        <v>359709.7</v>
      </c>
      <c r="Q75" t="str">
        <v/>
      </c>
      <c r="R75">
        <v>0</v>
      </c>
      <c r="S75">
        <v>18.23</v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>
        <v>87</v>
      </c>
      <c r="AB75" t="str">
        <v>18/09/2026</v>
      </c>
      <c r="AC75" t="str">
        <v>10:22:14</v>
      </c>
      <c r="AD75">
        <f>IF("ONLINE"="NOGPS","GPS Antiguo","En línea")</f>
      </c>
      <c r="AE75">
        <f>IF(0=0,"Sin atender", IF(0=1,"Atendida","Atendida y Reportada"))</f>
      </c>
      <c r="AF75" t="str">
        <v/>
      </c>
      <c r="AG75" t="str">
        <v/>
      </c>
      <c r="AH75" t="str">
        <v/>
      </c>
      <c r="AI75" t="str">
        <v/>
      </c>
      <c r="AJ75" t="str">
        <v>18/09/2026 10:22:27</v>
      </c>
      <c r="AK75" t="str">
        <v>10:22:27</v>
      </c>
      <c r="AL75" t="str">
        <v/>
      </c>
    </row>
    <row r="76">
      <c r="A76">
        <v>75</v>
      </c>
      <c r="B76" t="str">
        <v>MASS BSF</v>
      </c>
      <c r="C76" t="str">
        <v>AJQ-739</v>
      </c>
      <c r="D76" t="str">
        <v>AJQ-739</v>
      </c>
      <c r="E76" t="str">
        <v/>
      </c>
      <c r="F76" t="str">
        <v>867806075788192</v>
      </c>
      <c r="G76" t="str">
        <v>TBD</v>
      </c>
      <c r="H76" t="str">
        <v/>
      </c>
      <c r="I76" t="str">
        <v/>
      </c>
      <c r="J76" t="str">
        <v>18/09/2026</v>
      </c>
      <c r="K76" t="str">
        <v>13:44:14</v>
      </c>
      <c r="L76">
        <v>-12.21292</v>
      </c>
      <c r="M76">
        <v>-76.958984</v>
      </c>
      <c r="N76">
        <f>HYPERLINK("https://www.google.com/maps/search/?api=1&amp;query=-12.21292,-76.958984","Avenida Villa del Mar, Villa El Salvador, Lima")</f>
      </c>
      <c r="O76" t="str">
        <v>Vehículo encendido</v>
      </c>
      <c r="P76">
        <v>359709.7</v>
      </c>
      <c r="Q76" t="str">
        <v/>
      </c>
      <c r="R76">
        <v>0</v>
      </c>
      <c r="S76">
        <v>16.98</v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>
        <v>85</v>
      </c>
      <c r="AB76" t="str">
        <v>18/09/2026</v>
      </c>
      <c r="AC76" t="str">
        <v>13:44:12</v>
      </c>
      <c r="AD76">
        <f>IF("ONLINE"="NOGPS","GPS Antiguo","En línea")</f>
      </c>
      <c r="AE76">
        <f>IF(0=0,"Sin atender", IF(0=1,"Atendida","Atendida y Reportada"))</f>
      </c>
      <c r="AF76" t="str">
        <v/>
      </c>
      <c r="AG76" t="str">
        <v/>
      </c>
      <c r="AH76" t="str">
        <v/>
      </c>
      <c r="AI76" t="str">
        <v/>
      </c>
      <c r="AJ76" t="str">
        <v>18/09/2026 13:44:30</v>
      </c>
      <c r="AK76" t="str">
        <v>13:44:30</v>
      </c>
      <c r="AL76" t="str">
        <v/>
      </c>
    </row>
    <row r="77">
      <c r="A77">
        <v>76</v>
      </c>
      <c r="B77" t="str">
        <v>MASS BSF</v>
      </c>
      <c r="C77" t="str">
        <v>AJQ-739</v>
      </c>
      <c r="D77" t="str">
        <v>AJQ-739</v>
      </c>
      <c r="E77" t="str">
        <v/>
      </c>
      <c r="F77" t="str">
        <v>867806075788192</v>
      </c>
      <c r="G77" t="str">
        <v>TBD</v>
      </c>
      <c r="H77" t="str">
        <v/>
      </c>
      <c r="I77" t="str">
        <v/>
      </c>
      <c r="J77" t="str">
        <v>18/09/2026</v>
      </c>
      <c r="K77" t="str">
        <v>13:44:17</v>
      </c>
      <c r="L77">
        <v>-12.21292</v>
      </c>
      <c r="M77">
        <v>-76.958984</v>
      </c>
      <c r="N77">
        <f>HYPERLINK("https://www.google.com/maps/search/?api=1&amp;query=-12.21292,-76.958984","Avenida Villa del Mar, Villa El Salvador, Lima")</f>
      </c>
      <c r="O77" t="str">
        <v>Vehículo apagado</v>
      </c>
      <c r="P77">
        <v>359709.7</v>
      </c>
      <c r="Q77" t="str">
        <v/>
      </c>
      <c r="R77">
        <v>0</v>
      </c>
      <c r="S77">
        <v>16.98</v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>
        <v>85</v>
      </c>
      <c r="AB77" t="str">
        <v>18/09/2026</v>
      </c>
      <c r="AC77" t="str">
        <v>13:44:15</v>
      </c>
      <c r="AD77">
        <f>IF("ONLINE"="NOGPS","GPS Antiguo","En línea")</f>
      </c>
      <c r="AE77">
        <f>IF(0=0,"Sin atender", IF(0=1,"Atendida","Atendida y Reportada"))</f>
      </c>
      <c r="AF77" t="str">
        <v/>
      </c>
      <c r="AG77" t="str">
        <v/>
      </c>
      <c r="AH77" t="str">
        <v/>
      </c>
      <c r="AI77" t="str">
        <v/>
      </c>
      <c r="AJ77" t="str">
        <v>18/09/2026 13:44:20</v>
      </c>
      <c r="AK77" t="str">
        <v>13:44:20</v>
      </c>
      <c r="AL77" t="str">
        <v/>
      </c>
    </row>
    <row r="78">
      <c r="A78">
        <v>77</v>
      </c>
      <c r="B78" t="str">
        <v>MASS BSF</v>
      </c>
      <c r="C78" t="str">
        <v>AJQ-739</v>
      </c>
      <c r="D78" t="str">
        <v>AJQ-739</v>
      </c>
      <c r="E78" t="str">
        <v/>
      </c>
      <c r="F78" t="str">
        <v>867806075788192</v>
      </c>
      <c r="G78" t="str">
        <v>TBD</v>
      </c>
      <c r="H78" t="str">
        <v/>
      </c>
      <c r="I78" t="str">
        <v/>
      </c>
      <c r="J78" t="str">
        <v>18/09/2026</v>
      </c>
      <c r="K78" t="str">
        <v>13:44:19</v>
      </c>
      <c r="L78">
        <v>-12.21292</v>
      </c>
      <c r="M78">
        <v>-76.958984</v>
      </c>
      <c r="N78">
        <f>HYPERLINK("https://www.google.com/maps/search/?api=1&amp;query=-12.21292,-76.958984","Avenida Villa del Mar, Villa El Salvador, Lima")</f>
      </c>
      <c r="O78" t="str">
        <v>Vehículo encendido</v>
      </c>
      <c r="P78">
        <v>359709.7</v>
      </c>
      <c r="Q78" t="str">
        <v/>
      </c>
      <c r="R78">
        <v>0</v>
      </c>
      <c r="S78">
        <v>16.98</v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>
        <v>85</v>
      </c>
      <c r="AB78" t="str">
        <v>18/09/2026</v>
      </c>
      <c r="AC78" t="str">
        <v>13:44:17</v>
      </c>
      <c r="AD78">
        <f>IF("ONLINE"="NOGPS","GPS Antiguo","En línea")</f>
      </c>
      <c r="AE78">
        <f>IF(0=0,"Sin atender", IF(0=1,"Atendida","Atendida y Reportada"))</f>
      </c>
      <c r="AF78" t="str">
        <v/>
      </c>
      <c r="AG78" t="str">
        <v/>
      </c>
      <c r="AH78" t="str">
        <v/>
      </c>
      <c r="AI78" t="str">
        <v/>
      </c>
      <c r="AJ78" t="str">
        <v>18/09/2026 13:44:41</v>
      </c>
      <c r="AK78" t="str">
        <v>13:44:41</v>
      </c>
      <c r="AL78" t="str">
        <v/>
      </c>
    </row>
    <row r="79">
      <c r="A79">
        <v>78</v>
      </c>
      <c r="B79" t="str">
        <v>MASS BSF</v>
      </c>
      <c r="C79" t="str">
        <v>AJQ-739</v>
      </c>
      <c r="D79" t="str">
        <v>AJQ-739</v>
      </c>
      <c r="E79" t="str">
        <v/>
      </c>
      <c r="F79" t="str">
        <v>867806075788192</v>
      </c>
      <c r="G79" t="str">
        <v>TBD</v>
      </c>
      <c r="H79" t="str">
        <v/>
      </c>
      <c r="I79" t="str">
        <v/>
      </c>
      <c r="J79" t="str">
        <v>18/09/2026</v>
      </c>
      <c r="K79" t="str">
        <v>13:45:10</v>
      </c>
      <c r="L79">
        <v>-12.212974</v>
      </c>
      <c r="M79">
        <v>-76.95938</v>
      </c>
      <c r="N79">
        <f>HYPERLINK("https://www.google.com/maps/search/?api=1&amp;query=-12.212974,-76.95938","Avenida Villa del Mar, Villa El Salvador, Lima")</f>
      </c>
      <c r="O79" t="str">
        <v>Se movio</v>
      </c>
      <c r="P79">
        <v>359709.8</v>
      </c>
      <c r="Q79" t="str">
        <v/>
      </c>
      <c r="R79">
        <v>11.6</v>
      </c>
      <c r="S79">
        <v>16.98</v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>
        <v>85</v>
      </c>
      <c r="AB79" t="str">
        <v>18/09/2026</v>
      </c>
      <c r="AC79" t="str">
        <v>13:45:08</v>
      </c>
      <c r="AD79">
        <f>IF("ONLINE"="NOGPS","GPS Antiguo","En línea")</f>
      </c>
      <c r="AE79">
        <f>IF(0=0,"Sin atender", IF(0=1,"Atendida","Atendida y Reportada"))</f>
      </c>
      <c r="AF79" t="str">
        <v/>
      </c>
      <c r="AG79" t="str">
        <v/>
      </c>
      <c r="AH79" t="str">
        <v/>
      </c>
      <c r="AI79" t="str">
        <v/>
      </c>
      <c r="AJ79" t="str">
        <v>18/09/2026 13:45:14</v>
      </c>
      <c r="AK79" t="str">
        <v>13:45:14</v>
      </c>
      <c r="AL79" t="str">
        <v/>
      </c>
    </row>
    <row r="80">
      <c r="A80">
        <v>79</v>
      </c>
      <c r="B80" t="str">
        <v>MASS BSF</v>
      </c>
      <c r="C80" t="str">
        <v>AJQ-739</v>
      </c>
      <c r="D80" t="str">
        <v>AJQ-739</v>
      </c>
      <c r="E80" t="str">
        <v/>
      </c>
      <c r="F80" t="str">
        <v>867806075788192</v>
      </c>
      <c r="G80" t="str">
        <v>TBD</v>
      </c>
      <c r="H80" t="str">
        <v/>
      </c>
      <c r="I80" t="str">
        <v/>
      </c>
      <c r="J80" t="str">
        <v>18/09/2026</v>
      </c>
      <c r="K80" t="str">
        <v>13:45:59</v>
      </c>
      <c r="L80">
        <v>-12.213727</v>
      </c>
      <c r="M80">
        <v>-76.96064</v>
      </c>
      <c r="N80">
        <f>HYPERLINK("https://www.google.com/maps/search/?api=1&amp;query=-12.213727,-76.96064","Avenida Villa del Mar, Villa El Salvador, Lima")</f>
      </c>
      <c r="O80" t="str">
        <v>Bache</v>
      </c>
      <c r="P80">
        <v>359709.9</v>
      </c>
      <c r="Q80" t="str">
        <v/>
      </c>
      <c r="R80">
        <v>10</v>
      </c>
      <c r="S80">
        <v>16.98</v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>
        <v>87</v>
      </c>
      <c r="AB80" t="str">
        <v>18/09/2026</v>
      </c>
      <c r="AC80" t="str">
        <v>13:45:57</v>
      </c>
      <c r="AD80">
        <f>IF("ONLINE"="NOGPS","GPS Antiguo","En línea")</f>
      </c>
      <c r="AE80">
        <f>IF(0=0,"Sin atender", IF(0=1,"Atendida","Atendida y Reportada"))</f>
      </c>
      <c r="AF80" t="str">
        <v/>
      </c>
      <c r="AG80" t="str">
        <v/>
      </c>
      <c r="AH80" t="str">
        <v/>
      </c>
      <c r="AI80" t="str">
        <v/>
      </c>
      <c r="AJ80" t="str">
        <v>18/09/2026 13:46:14</v>
      </c>
      <c r="AK80" t="str">
        <v>13:46:14</v>
      </c>
      <c r="AL80" t="str">
        <v/>
      </c>
    </row>
    <row r="81">
      <c r="A81">
        <v>80</v>
      </c>
      <c r="B81" t="str">
        <v>MASS BSF</v>
      </c>
      <c r="C81" t="str">
        <v>AJQ-739</v>
      </c>
      <c r="D81" t="str">
        <v>AJQ-739</v>
      </c>
      <c r="E81" t="str">
        <v/>
      </c>
      <c r="F81" t="str">
        <v>867806075788192</v>
      </c>
      <c r="G81" t="str">
        <v>TBD</v>
      </c>
      <c r="H81" t="str">
        <v/>
      </c>
      <c r="I81" t="str">
        <v/>
      </c>
      <c r="J81" t="str">
        <v>18/09/2026</v>
      </c>
      <c r="K81" t="str">
        <v>13:46:13</v>
      </c>
      <c r="L81">
        <v>-12.213926</v>
      </c>
      <c r="M81">
        <v>-76.961</v>
      </c>
      <c r="N81">
        <f>HYPERLINK("https://www.google.com/maps/search/?api=1&amp;query=-12.213926,-76.961","Avenida Villa del Mar, Villa El Salvador, Lima")</f>
      </c>
      <c r="O81" t="str">
        <v>Bache</v>
      </c>
      <c r="P81">
        <v>359709.9</v>
      </c>
      <c r="Q81" t="str">
        <v/>
      </c>
      <c r="R81">
        <v>10.9</v>
      </c>
      <c r="S81">
        <v>16.98</v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>
        <v>87</v>
      </c>
      <c r="AB81" t="str">
        <v>18/09/2026</v>
      </c>
      <c r="AC81" t="str">
        <v>13:46:11</v>
      </c>
      <c r="AD81">
        <f>IF("ONLINE"="NOGPS","GPS Antiguo","En línea")</f>
      </c>
      <c r="AE81">
        <f>IF(0=0,"Sin atender", IF(0=1,"Atendida","Atendida y Reportada"))</f>
      </c>
      <c r="AF81" t="str">
        <v/>
      </c>
      <c r="AG81" t="str">
        <v/>
      </c>
      <c r="AH81" t="str">
        <v/>
      </c>
      <c r="AI81" t="str">
        <v/>
      </c>
      <c r="AJ81" t="str">
        <v>18/09/2026 13:46:18</v>
      </c>
      <c r="AK81" t="str">
        <v>13:46:18</v>
      </c>
      <c r="AL81" t="str">
        <v/>
      </c>
    </row>
    <row r="82">
      <c r="A82">
        <v>81</v>
      </c>
      <c r="B82" t="str">
        <v>MASS BSF</v>
      </c>
      <c r="C82" t="str">
        <v>AJQ-739</v>
      </c>
      <c r="D82" t="str">
        <v>AJQ-739</v>
      </c>
      <c r="E82" t="str">
        <v/>
      </c>
      <c r="F82" t="str">
        <v>867806075788192</v>
      </c>
      <c r="G82" t="str">
        <v>TBD</v>
      </c>
      <c r="H82" t="str">
        <v/>
      </c>
      <c r="I82" t="str">
        <v/>
      </c>
      <c r="J82" t="str">
        <v>18/09/2026</v>
      </c>
      <c r="K82" t="str">
        <v>13:47:39</v>
      </c>
      <c r="L82">
        <v>-12.215372</v>
      </c>
      <c r="M82">
        <v>-76.96344</v>
      </c>
      <c r="N82">
        <f>HYPERLINK("https://www.google.com/maps/search/?api=1&amp;query=-12.215372,-76.96344","Avenida Villa del Mar, Villa El Salvador, Lima")</f>
      </c>
      <c r="O82" t="str">
        <v>Bache</v>
      </c>
      <c r="P82">
        <v>359710.3</v>
      </c>
      <c r="Q82" t="str">
        <v/>
      </c>
      <c r="R82">
        <v>13.7</v>
      </c>
      <c r="S82">
        <v>16.98</v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>
        <v>86</v>
      </c>
      <c r="AB82" t="str">
        <v>18/09/2026</v>
      </c>
      <c r="AC82" t="str">
        <v>13:47:37</v>
      </c>
      <c r="AD82">
        <f>IF("ONLINE"="NOGPS","GPS Antiguo","En línea")</f>
      </c>
      <c r="AE82">
        <f>IF(0=0,"Sin atender", IF(0=1,"Atendida","Atendida y Reportada"))</f>
      </c>
      <c r="AF82" t="str">
        <v/>
      </c>
      <c r="AG82" t="str">
        <v/>
      </c>
      <c r="AH82" t="str">
        <v/>
      </c>
      <c r="AI82" t="str">
        <v/>
      </c>
      <c r="AJ82" t="str">
        <v>18/09/2026 13:47:48</v>
      </c>
      <c r="AK82" t="str">
        <v>13:47:48</v>
      </c>
      <c r="AL82" t="str">
        <v/>
      </c>
    </row>
    <row r="83">
      <c r="A83">
        <v>82</v>
      </c>
      <c r="B83" t="str">
        <v>MASS BSF</v>
      </c>
      <c r="C83" t="str">
        <v>AJQ-739</v>
      </c>
      <c r="D83" t="str">
        <v>AJQ-739</v>
      </c>
      <c r="E83" t="str">
        <v/>
      </c>
      <c r="F83" t="str">
        <v>867806075788192</v>
      </c>
      <c r="G83" t="str">
        <v>TBD</v>
      </c>
      <c r="H83" t="str">
        <v/>
      </c>
      <c r="I83" t="str">
        <v/>
      </c>
      <c r="J83" t="str">
        <v>18/09/2026</v>
      </c>
      <c r="K83" t="str">
        <v>13:47:40</v>
      </c>
      <c r="L83">
        <v>-12.215388</v>
      </c>
      <c r="M83">
        <v>-76.96347</v>
      </c>
      <c r="N83">
        <f>HYPERLINK("https://www.google.com/maps/search/?api=1&amp;query=-12.215388,-76.96347","Avenida Villa del Mar, Villa El Salvador, Lima")</f>
      </c>
      <c r="O83" t="str">
        <v>Frenado Brusco</v>
      </c>
      <c r="P83">
        <v>359710.3</v>
      </c>
      <c r="Q83" t="str">
        <v/>
      </c>
      <c r="R83">
        <v>14.2</v>
      </c>
      <c r="S83">
        <v>16.98</v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>
        <v>86</v>
      </c>
      <c r="AB83" t="str">
        <v>18/09/2026</v>
      </c>
      <c r="AC83" t="str">
        <v>13:47:38</v>
      </c>
      <c r="AD83">
        <f>IF("ONLINE"="NOGPS","GPS Antiguo","En línea")</f>
      </c>
      <c r="AE83">
        <f>IF(0=0,"Sin atender", IF(0=1,"Atendida","Atendida y Reportada"))</f>
      </c>
      <c r="AF83" t="str">
        <v/>
      </c>
      <c r="AG83" t="str">
        <v/>
      </c>
      <c r="AH83" t="str">
        <v/>
      </c>
      <c r="AI83" t="str">
        <v/>
      </c>
      <c r="AJ83" t="str">
        <v>18/09/2026 13:47:49</v>
      </c>
      <c r="AK83" t="str">
        <v>13:47:49</v>
      </c>
      <c r="AL83" t="str">
        <v/>
      </c>
    </row>
    <row r="84">
      <c r="A84">
        <v>83</v>
      </c>
      <c r="B84" t="str">
        <v>MASS BSF</v>
      </c>
      <c r="C84" t="str">
        <v>AJQ-739</v>
      </c>
      <c r="D84" t="str">
        <v>AJQ-739</v>
      </c>
      <c r="E84" t="str">
        <v/>
      </c>
      <c r="F84" t="str">
        <v>867806075788192</v>
      </c>
      <c r="G84" t="str">
        <v>TBD</v>
      </c>
      <c r="H84" t="str">
        <v/>
      </c>
      <c r="I84" t="str">
        <v/>
      </c>
      <c r="J84" t="str">
        <v>18/09/2026</v>
      </c>
      <c r="K84" t="str">
        <v>13:49:02</v>
      </c>
      <c r="L84">
        <v>-12.21326</v>
      </c>
      <c r="M84">
        <v>-76.96373</v>
      </c>
      <c r="N84">
        <f>HYPERLINK("https://www.google.com/maps/search/?api=1&amp;query=-12.21326,-76.96373","Avenida Los Forestales, Villa El Salvador, Lima")</f>
      </c>
      <c r="O84" t="str">
        <v>Bache</v>
      </c>
      <c r="P84">
        <v>359710.6</v>
      </c>
      <c r="Q84" t="str">
        <v/>
      </c>
      <c r="R84">
        <v>11.4</v>
      </c>
      <c r="S84">
        <v>16.98</v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>
        <v>88</v>
      </c>
      <c r="AB84" t="str">
        <v>18/09/2026</v>
      </c>
      <c r="AC84" t="str">
        <v>13:49:00</v>
      </c>
      <c r="AD84">
        <f>IF("ONLINE"="NOGPS","GPS Antiguo","En línea")</f>
      </c>
      <c r="AE84">
        <f>IF(0=0,"Sin atender", IF(0=1,"Atendida","Atendida y Reportada"))</f>
      </c>
      <c r="AF84" t="str">
        <v/>
      </c>
      <c r="AG84" t="str">
        <v/>
      </c>
      <c r="AH84" t="str">
        <v/>
      </c>
      <c r="AI84" t="str">
        <v/>
      </c>
      <c r="AJ84" t="str">
        <v>18/09/2026 13:49:20</v>
      </c>
      <c r="AK84" t="str">
        <v>13:49:20</v>
      </c>
      <c r="AL84" t="str">
        <v/>
      </c>
    </row>
    <row r="85">
      <c r="A85">
        <v>84</v>
      </c>
      <c r="B85" t="str">
        <v>MASS BSF</v>
      </c>
      <c r="C85" t="str">
        <v>AJQ-739</v>
      </c>
      <c r="D85" t="str">
        <v>AJQ-739</v>
      </c>
      <c r="E85" t="str">
        <v/>
      </c>
      <c r="F85" t="str">
        <v>867806075788192</v>
      </c>
      <c r="G85" t="str">
        <v>TBD</v>
      </c>
      <c r="H85" t="str">
        <v/>
      </c>
      <c r="I85" t="str">
        <v/>
      </c>
      <c r="J85" t="str">
        <v>18/09/2026</v>
      </c>
      <c r="K85" t="str">
        <v>13:49:10</v>
      </c>
      <c r="L85">
        <v>-12.213</v>
      </c>
      <c r="M85">
        <v>-76.96373</v>
      </c>
      <c r="N85">
        <f>HYPERLINK("https://www.google.com/maps/search/?api=1&amp;query=-12.213,-76.96373","Avenida Los Forestales, Villa El Salvador, Lima")</f>
      </c>
      <c r="O85" t="str">
        <v>Bache</v>
      </c>
      <c r="P85">
        <v>359710.6</v>
      </c>
      <c r="Q85" t="str">
        <v/>
      </c>
      <c r="R85">
        <v>12.9</v>
      </c>
      <c r="S85">
        <v>16.98</v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>
        <v>88</v>
      </c>
      <c r="AB85" t="str">
        <v>18/09/2026</v>
      </c>
      <c r="AC85" t="str">
        <v>13:49:08</v>
      </c>
      <c r="AD85">
        <f>IF("ONLINE"="NOGPS","GPS Antiguo","En línea")</f>
      </c>
      <c r="AE85">
        <f>IF(0=0,"Sin atender", IF(0=1,"Atendida","Atendida y Reportada"))</f>
      </c>
      <c r="AF85" t="str">
        <v/>
      </c>
      <c r="AG85" t="str">
        <v/>
      </c>
      <c r="AH85" t="str">
        <v/>
      </c>
      <c r="AI85" t="str">
        <v/>
      </c>
      <c r="AJ85" t="str">
        <v>18/09/2026 13:49:27</v>
      </c>
      <c r="AK85" t="str">
        <v>13:49:27</v>
      </c>
      <c r="AL85" t="str">
        <v/>
      </c>
    </row>
    <row r="86">
      <c r="A86">
        <v>85</v>
      </c>
      <c r="B86" t="str">
        <v>MASS BSF</v>
      </c>
      <c r="C86" t="str">
        <v>AJQ-739</v>
      </c>
      <c r="D86" t="str">
        <v>AJQ-739</v>
      </c>
      <c r="E86" t="str">
        <v/>
      </c>
      <c r="F86" t="str">
        <v>867806075788192</v>
      </c>
      <c r="G86" t="str">
        <v>TBD</v>
      </c>
      <c r="H86" t="str">
        <v/>
      </c>
      <c r="I86" t="str">
        <v/>
      </c>
      <c r="J86" t="str">
        <v>18/09/2026</v>
      </c>
      <c r="K86" t="str">
        <v>13:49:29</v>
      </c>
      <c r="L86">
        <v>-12.212355</v>
      </c>
      <c r="M86">
        <v>-76.96369</v>
      </c>
      <c r="N86">
        <f>HYPERLINK("https://www.google.com/maps/search/?api=1&amp;query=-12.212355,-76.96369","Avenida Los Forestales, Villa El Salvador, Lima")</f>
      </c>
      <c r="O86" t="str">
        <v>Bache</v>
      </c>
      <c r="P86">
        <v>359710.7</v>
      </c>
      <c r="Q86" t="str">
        <v/>
      </c>
      <c r="R86">
        <v>12</v>
      </c>
      <c r="S86">
        <v>16.98</v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>
        <v>88</v>
      </c>
      <c r="AB86" t="str">
        <v>18/09/2026</v>
      </c>
      <c r="AC86" t="str">
        <v>13:49:27</v>
      </c>
      <c r="AD86">
        <f>IF("ONLINE"="NOGPS","GPS Antiguo","En línea")</f>
      </c>
      <c r="AE86">
        <f>IF(0=0,"Sin atender", IF(0=1,"Atendida","Atendida y Reportada"))</f>
      </c>
      <c r="AF86" t="str">
        <v/>
      </c>
      <c r="AG86" t="str">
        <v/>
      </c>
      <c r="AH86" t="str">
        <v/>
      </c>
      <c r="AI86" t="str">
        <v/>
      </c>
      <c r="AJ86" t="str">
        <v>18/09/2026 13:49:42</v>
      </c>
      <c r="AK86" t="str">
        <v>13:49:42</v>
      </c>
      <c r="AL86" t="str">
        <v/>
      </c>
    </row>
    <row r="87">
      <c r="A87">
        <v>86</v>
      </c>
      <c r="B87" t="str">
        <v>MASS BSF</v>
      </c>
      <c r="C87" t="str">
        <v>AJQ-739</v>
      </c>
      <c r="D87" t="str">
        <v>AJQ-739</v>
      </c>
      <c r="E87" t="str">
        <v/>
      </c>
      <c r="F87" t="str">
        <v>867806075788192</v>
      </c>
      <c r="G87" t="str">
        <v>TBD</v>
      </c>
      <c r="H87" t="str">
        <v/>
      </c>
      <c r="I87" t="str">
        <v/>
      </c>
      <c r="J87" t="str">
        <v>18/09/2026</v>
      </c>
      <c r="K87" t="str">
        <v>13:55:24</v>
      </c>
      <c r="L87">
        <v>-12.2172</v>
      </c>
      <c r="M87">
        <v>-76.96921</v>
      </c>
      <c r="N87">
        <f>HYPERLINK("https://www.google.com/maps/search/?api=1&amp;query=-12.2172,-76.96921","Avenida El Sol, Villa El Salvador, Lima")</f>
      </c>
      <c r="O87" t="str">
        <v>Inicio de ralentí</v>
      </c>
      <c r="P87">
        <v>359711.5</v>
      </c>
      <c r="Q87" t="str">
        <v/>
      </c>
      <c r="R87">
        <v>0</v>
      </c>
      <c r="S87">
        <v>16.98</v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>
        <v>84</v>
      </c>
      <c r="AB87" t="str">
        <v>18/09/2026</v>
      </c>
      <c r="AC87" t="str">
        <v>13:55:22</v>
      </c>
      <c r="AD87">
        <f>IF("ONLINE"="NOGPS","GPS Antiguo","En línea")</f>
      </c>
      <c r="AE87">
        <f>IF(0=0,"Sin atender", IF(0=1,"Atendida","Atendida y Reportada"))</f>
      </c>
      <c r="AF87" t="str">
        <v/>
      </c>
      <c r="AG87" t="str">
        <v/>
      </c>
      <c r="AH87" t="str">
        <v/>
      </c>
      <c r="AI87" t="str">
        <v/>
      </c>
      <c r="AJ87" t="str">
        <v>18/09/2026 13:55:45</v>
      </c>
      <c r="AK87" t="str">
        <v>13:55:45</v>
      </c>
      <c r="AL87" t="str">
        <v/>
      </c>
    </row>
    <row r="88">
      <c r="A88">
        <v>87</v>
      </c>
      <c r="B88" t="str">
        <v>MASS BSF</v>
      </c>
      <c r="C88" t="str">
        <v>AJQ-739</v>
      </c>
      <c r="D88" t="str">
        <v>AJQ-739</v>
      </c>
      <c r="E88" t="str">
        <v/>
      </c>
      <c r="F88" t="str">
        <v>867806075788192</v>
      </c>
      <c r="G88" t="str">
        <v>TBD</v>
      </c>
      <c r="H88" t="str">
        <v/>
      </c>
      <c r="I88" t="str">
        <v/>
      </c>
      <c r="J88" t="str">
        <v>18/09/2026</v>
      </c>
      <c r="K88" t="str">
        <v>13:58:23</v>
      </c>
      <c r="L88">
        <v>-12.217238</v>
      </c>
      <c r="M88">
        <v>-76.96923</v>
      </c>
      <c r="N88">
        <f>HYPERLINK("https://www.google.com/maps/search/?api=1&amp;query=-12.217238,-76.96923","Avenida El Sol, Villa El Salvador, Lima")</f>
      </c>
      <c r="O88" t="str">
        <v>Fin de ralentí</v>
      </c>
      <c r="P88">
        <v>359711.5</v>
      </c>
      <c r="Q88" t="str">
        <v/>
      </c>
      <c r="R88">
        <v>8.8</v>
      </c>
      <c r="S88">
        <v>16.98</v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>
        <v>85</v>
      </c>
      <c r="AB88" t="str">
        <v>18/09/2026</v>
      </c>
      <c r="AC88" t="str">
        <v>13:58:21</v>
      </c>
      <c r="AD88">
        <f>IF("ONLINE"="NOGPS","GPS Antiguo","En línea")</f>
      </c>
      <c r="AE88">
        <f>IF(0=0,"Sin atender", IF(0=1,"Atendida","Atendida y Reportada"))</f>
      </c>
      <c r="AF88" t="str">
        <v/>
      </c>
      <c r="AG88" t="str">
        <v/>
      </c>
      <c r="AH88" t="str">
        <v/>
      </c>
      <c r="AI88" t="str">
        <v/>
      </c>
      <c r="AJ88" t="str">
        <v>18/09/2026 13:58:37</v>
      </c>
      <c r="AK88" t="str">
        <v>13:58:37</v>
      </c>
      <c r="AL88" t="str">
        <v/>
      </c>
    </row>
    <row r="89">
      <c r="A89">
        <v>88</v>
      </c>
      <c r="B89" t="str">
        <v>MASS BSF</v>
      </c>
      <c r="C89" t="str">
        <v>AJQ-739</v>
      </c>
      <c r="D89" t="str">
        <v>AJQ-739</v>
      </c>
      <c r="E89" t="str">
        <v/>
      </c>
      <c r="F89" t="str">
        <v>867806075788192</v>
      </c>
      <c r="G89" t="str">
        <v>TBD</v>
      </c>
      <c r="H89" t="str">
        <v/>
      </c>
      <c r="I89" t="str">
        <v/>
      </c>
      <c r="J89" t="str">
        <v>18/09/2026</v>
      </c>
      <c r="K89" t="str">
        <v>13:59:37</v>
      </c>
      <c r="L89">
        <v>-12.220203</v>
      </c>
      <c r="M89">
        <v>-76.972374</v>
      </c>
      <c r="N89">
        <f>HYPERLINK("https://www.google.com/maps/search/?api=1&amp;query=-12.220203,-76.972374","Avenida El Sol, Villa El Salvador, Lima")</f>
      </c>
      <c r="O89" t="str">
        <v>Bache</v>
      </c>
      <c r="P89">
        <v>359712</v>
      </c>
      <c r="Q89" t="str">
        <v/>
      </c>
      <c r="R89">
        <v>29</v>
      </c>
      <c r="S89">
        <v>16.98</v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>
        <v>85</v>
      </c>
      <c r="AB89" t="str">
        <v>18/09/2026</v>
      </c>
      <c r="AC89" t="str">
        <v>13:59:35</v>
      </c>
      <c r="AD89">
        <f>IF("ONLINE"="NOGPS","GPS Antiguo","En línea")</f>
      </c>
      <c r="AE89">
        <f>IF(0=0,"Sin atender", IF(0=1,"Atendida","Atendida y Reportada"))</f>
      </c>
      <c r="AF89" t="str">
        <v/>
      </c>
      <c r="AG89" t="str">
        <v/>
      </c>
      <c r="AH89" t="str">
        <v/>
      </c>
      <c r="AI89" t="str">
        <v/>
      </c>
      <c r="AJ89" t="str">
        <v>18/09/2026 13:59:54</v>
      </c>
      <c r="AK89" t="str">
        <v>13:59:54</v>
      </c>
      <c r="AL89" t="str">
        <v/>
      </c>
    </row>
    <row r="90">
      <c r="A90">
        <v>89</v>
      </c>
      <c r="B90" t="str">
        <v>MASS BSF</v>
      </c>
      <c r="C90" t="str">
        <v>AJQ-739</v>
      </c>
      <c r="D90" t="str">
        <v>AJQ-739</v>
      </c>
      <c r="E90" t="str">
        <v/>
      </c>
      <c r="F90" t="str">
        <v>867806075788192</v>
      </c>
      <c r="G90" t="str">
        <v>TBD</v>
      </c>
      <c r="H90" t="str">
        <v/>
      </c>
      <c r="I90" t="str">
        <v/>
      </c>
      <c r="J90" t="str">
        <v>18/09/2026</v>
      </c>
      <c r="K90" t="str">
        <v>14:00:12</v>
      </c>
      <c r="L90">
        <v>-12.221967</v>
      </c>
      <c r="M90">
        <v>-76.97422</v>
      </c>
      <c r="N90">
        <f>HYPERLINK("https://www.google.com/maps/search/?api=1&amp;query=-12.221967,-76.97422","Avenida El Sol, Villa El Salvador, Lima")</f>
      </c>
      <c r="O90" t="str">
        <v>Ingreso a camino vecinal</v>
      </c>
      <c r="P90">
        <v>359712.3</v>
      </c>
      <c r="Q90" t="str">
        <v/>
      </c>
      <c r="R90">
        <v>16.4</v>
      </c>
      <c r="S90">
        <v>16.98</v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>
        <v>92</v>
      </c>
      <c r="AB90" t="str">
        <v>18/09/2026</v>
      </c>
      <c r="AC90" t="str">
        <v>14:00:10</v>
      </c>
      <c r="AD90">
        <f>IF("ONLINE"="NOGPS","GPS Antiguo","En línea")</f>
      </c>
      <c r="AE90">
        <f>IF(0=0,"Sin atender", IF(0=1,"Atendida","Atendida y Reportada"))</f>
      </c>
      <c r="AF90" t="str">
        <v/>
      </c>
      <c r="AG90" t="str">
        <v/>
      </c>
      <c r="AH90" t="str">
        <v/>
      </c>
      <c r="AI90" t="str">
        <v/>
      </c>
      <c r="AJ90" t="str">
        <v>18/09/2026 14:00:28</v>
      </c>
      <c r="AK90" t="str">
        <v>14:00:28</v>
      </c>
      <c r="AL90" t="str">
        <v/>
      </c>
    </row>
    <row r="91">
      <c r="A91">
        <v>90</v>
      </c>
      <c r="B91" t="str">
        <v>MASS BSF</v>
      </c>
      <c r="C91" t="str">
        <v>AJQ-739</v>
      </c>
      <c r="D91" t="str">
        <v>AJQ-739</v>
      </c>
      <c r="E91" t="str">
        <v/>
      </c>
      <c r="F91" t="str">
        <v>867806075788192</v>
      </c>
      <c r="G91" t="str">
        <v>TBD</v>
      </c>
      <c r="H91" t="str">
        <v/>
      </c>
      <c r="I91" t="str">
        <v/>
      </c>
      <c r="J91" t="str">
        <v>18/09/2026</v>
      </c>
      <c r="K91" t="str">
        <v>14:01:12</v>
      </c>
      <c r="L91">
        <v>-12.219388</v>
      </c>
      <c r="M91">
        <v>-76.97578</v>
      </c>
      <c r="N91">
        <f>HYPERLINK("https://www.google.com/maps/search/?api=1&amp;query=-12.219388,-76.97578","Antigua Panamericana Sur, Villa El Salvador, Lima")</f>
      </c>
      <c r="O91" t="str">
        <v>Salida de camino vecinal</v>
      </c>
      <c r="P91">
        <v>359712.7</v>
      </c>
      <c r="Q91" t="str">
        <v/>
      </c>
      <c r="R91">
        <v>35.1</v>
      </c>
      <c r="S91">
        <v>16.98</v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>
        <v>92</v>
      </c>
      <c r="AB91" t="str">
        <v>18/09/2026</v>
      </c>
      <c r="AC91" t="str">
        <v>14:01:10</v>
      </c>
      <c r="AD91">
        <f>IF("ONLINE"="NOGPS","GPS Antiguo","En línea")</f>
      </c>
      <c r="AE91">
        <f>IF(0=0,"Sin atender", IF(0=1,"Atendida","Atendida y Reportada"))</f>
      </c>
      <c r="AF91" t="str">
        <v/>
      </c>
      <c r="AG91" t="str">
        <v/>
      </c>
      <c r="AH91" t="str">
        <v/>
      </c>
      <c r="AI91" t="str">
        <v/>
      </c>
      <c r="AJ91" t="str">
        <v>18/09/2026 14:01:52</v>
      </c>
      <c r="AK91" t="str">
        <v>14:01:52</v>
      </c>
      <c r="AL91" t="str">
        <v/>
      </c>
    </row>
    <row r="92">
      <c r="A92">
        <v>91</v>
      </c>
      <c r="B92" t="str">
        <v>MASS BSF</v>
      </c>
      <c r="C92" t="str">
        <v>AJQ-739</v>
      </c>
      <c r="D92" t="str">
        <v>AJQ-739</v>
      </c>
      <c r="E92" t="str">
        <v/>
      </c>
      <c r="F92" t="str">
        <v>867806075788192</v>
      </c>
      <c r="G92" t="str">
        <v>TBD</v>
      </c>
      <c r="H92" t="str">
        <v/>
      </c>
      <c r="I92" t="str">
        <v/>
      </c>
      <c r="J92" t="str">
        <v>18/09/2026</v>
      </c>
      <c r="K92" t="str">
        <v>14:10:52</v>
      </c>
      <c r="L92">
        <v>-12.223304</v>
      </c>
      <c r="M92">
        <v>-76.97457</v>
      </c>
      <c r="N92">
        <f>HYPERLINK("https://www.google.com/maps/search/?api=1&amp;query=-12.223304,-76.97457","Prolongación Huaylas, Chorrillos, Lima")</f>
      </c>
      <c r="O92" t="str">
        <v>Inicio de ralentí</v>
      </c>
      <c r="P92">
        <v>359714.6</v>
      </c>
      <c r="Q92" t="str">
        <v/>
      </c>
      <c r="R92">
        <v>0</v>
      </c>
      <c r="S92">
        <v>16.98</v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>
        <v>91</v>
      </c>
      <c r="AB92" t="str">
        <v>18/09/2026</v>
      </c>
      <c r="AC92" t="str">
        <v>14:10:49</v>
      </c>
      <c r="AD92">
        <f>IF("ONLINE"="NOGPS","GPS Antiguo","En línea")</f>
      </c>
      <c r="AE92">
        <f>IF(0=0,"Sin atender", IF(0=1,"Atendida","Atendida y Reportada"))</f>
      </c>
      <c r="AF92" t="str">
        <v/>
      </c>
      <c r="AG92" t="str">
        <v/>
      </c>
      <c r="AH92" t="str">
        <v/>
      </c>
      <c r="AI92" t="str">
        <v/>
      </c>
      <c r="AJ92" t="str">
        <v>18/09/2026 14:11:03</v>
      </c>
      <c r="AK92" t="str">
        <v>14:11:03</v>
      </c>
      <c r="AL92" t="str">
        <v/>
      </c>
    </row>
    <row r="93">
      <c r="A93">
        <v>92</v>
      </c>
      <c r="B93" t="str">
        <v>MASS BSF</v>
      </c>
      <c r="C93" t="str">
        <v>AJQ-739</v>
      </c>
      <c r="D93" t="str">
        <v>AJQ-739</v>
      </c>
      <c r="E93" t="str">
        <v/>
      </c>
      <c r="F93" t="str">
        <v>867806075788192</v>
      </c>
      <c r="G93" t="str">
        <v>TBD</v>
      </c>
      <c r="H93" t="str">
        <v/>
      </c>
      <c r="I93" t="str">
        <v/>
      </c>
      <c r="J93" t="str">
        <v>18/09/2026</v>
      </c>
      <c r="K93" t="str">
        <v>14:13:01</v>
      </c>
      <c r="L93">
        <v>-12.223304</v>
      </c>
      <c r="M93">
        <v>-76.97457</v>
      </c>
      <c r="N93">
        <f>HYPERLINK("https://www.google.com/maps/search/?api=1&amp;query=-12.223304,-76.97457","Prolongación Huaylas, Chorrillos, Lima")</f>
      </c>
      <c r="O93" t="str">
        <v>Vehículo apagado</v>
      </c>
      <c r="P93">
        <v>359714.6</v>
      </c>
      <c r="Q93" t="str">
        <v/>
      </c>
      <c r="R93">
        <v>0</v>
      </c>
      <c r="S93">
        <v>17.47</v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>
        <v>91</v>
      </c>
      <c r="AB93" t="str">
        <v>18/09/2026</v>
      </c>
      <c r="AC93" t="str">
        <v>14:12:59</v>
      </c>
      <c r="AD93">
        <f>IF("ONLINE"="NOGPS","GPS Antiguo","En línea")</f>
      </c>
      <c r="AE93">
        <f>IF(0=0,"Sin atender", IF(0=1,"Atendida","Atendida y Reportada"))</f>
      </c>
      <c r="AF93" t="str">
        <v/>
      </c>
      <c r="AG93" t="str">
        <v/>
      </c>
      <c r="AH93" t="str">
        <v/>
      </c>
      <c r="AI93" t="str">
        <v/>
      </c>
      <c r="AJ93" t="str">
        <v>18/09/2026 14:13:10</v>
      </c>
      <c r="AK93" t="str">
        <v>14:13:10</v>
      </c>
      <c r="AL93" t="str">
        <v/>
      </c>
    </row>
    <row r="94">
      <c r="A94">
        <v>93</v>
      </c>
      <c r="B94" t="str">
        <v>MASS BSF</v>
      </c>
      <c r="C94" t="str">
        <v>AJQ-739</v>
      </c>
      <c r="D94" t="str">
        <v>AJQ-739</v>
      </c>
      <c r="E94" t="str">
        <v/>
      </c>
      <c r="F94" t="str">
        <v>867806075788192</v>
      </c>
      <c r="G94" t="str">
        <v>TBD</v>
      </c>
      <c r="H94" t="str">
        <v/>
      </c>
      <c r="I94" t="str">
        <v/>
      </c>
      <c r="J94" t="str">
        <v>18/09/2026</v>
      </c>
      <c r="K94" t="str">
        <v>14:13:01</v>
      </c>
      <c r="L94">
        <v>-12.223304</v>
      </c>
      <c r="M94">
        <v>-76.97457</v>
      </c>
      <c r="N94">
        <f>HYPERLINK("https://www.google.com/maps/search/?api=1&amp;query=-12.223304,-76.97457","Prolongación Huaylas, Chorrillos, Lima")</f>
      </c>
      <c r="O94" t="str">
        <v>Fin de ralentí</v>
      </c>
      <c r="P94">
        <v>359714.6</v>
      </c>
      <c r="Q94" t="str">
        <v/>
      </c>
      <c r="R94">
        <v>0</v>
      </c>
      <c r="S94">
        <v>16.98</v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>
        <v>91</v>
      </c>
      <c r="AB94" t="str">
        <v>18/09/2026</v>
      </c>
      <c r="AC94" t="str">
        <v>14:12:59</v>
      </c>
      <c r="AD94">
        <f>IF("ONLINE"="NOGPS","GPS Antiguo","En línea")</f>
      </c>
      <c r="AE94">
        <f>IF(0=0,"Sin atender", IF(0=1,"Atendida","Atendida y Reportada"))</f>
      </c>
      <c r="AF94" t="str">
        <v/>
      </c>
      <c r="AG94" t="str">
        <v/>
      </c>
      <c r="AH94" t="str">
        <v/>
      </c>
      <c r="AI94" t="str">
        <v/>
      </c>
      <c r="AJ94" t="str">
        <v>18/09/2026 14:13:10</v>
      </c>
      <c r="AK94" t="str">
        <v>14:13:10</v>
      </c>
      <c r="AL94" t="str">
        <v/>
      </c>
    </row>
    <row r="95">
      <c r="A95">
        <v>94</v>
      </c>
      <c r="B95" t="str">
        <v>MASS BSF</v>
      </c>
      <c r="C95" t="str">
        <v>AJQ-739</v>
      </c>
      <c r="D95" t="str">
        <v>AJQ-739</v>
      </c>
      <c r="E95" t="str">
        <v/>
      </c>
      <c r="F95" t="str">
        <v>867806075788192</v>
      </c>
      <c r="G95" t="str">
        <v>TBD</v>
      </c>
      <c r="H95" t="str">
        <v/>
      </c>
      <c r="I95" t="str">
        <v/>
      </c>
      <c r="J95" t="str">
        <v>18/09/2026</v>
      </c>
      <c r="K95" t="str">
        <v>14:13:03</v>
      </c>
      <c r="L95">
        <v>-12.223304</v>
      </c>
      <c r="M95">
        <v>-76.97457</v>
      </c>
      <c r="N95">
        <f>HYPERLINK("https://www.google.com/maps/search/?api=1&amp;query=-12.223304,-76.97457","Prolongación Huaylas, Chorrillos, Lima")</f>
      </c>
      <c r="O95" t="str">
        <v>Vehículo encendido</v>
      </c>
      <c r="P95">
        <v>359714.6</v>
      </c>
      <c r="Q95" t="str">
        <v/>
      </c>
      <c r="R95">
        <v>0</v>
      </c>
      <c r="S95">
        <v>17.47</v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>
        <v>91</v>
      </c>
      <c r="AB95" t="str">
        <v>18/09/2026</v>
      </c>
      <c r="AC95" t="str">
        <v>14:13:01</v>
      </c>
      <c r="AD95">
        <f>IF("ONLINE"="NOGPS","GPS Antiguo","En línea")</f>
      </c>
      <c r="AE95">
        <f>IF(0=0,"Sin atender", IF(0=1,"Atendida","Atendida y Reportada"))</f>
      </c>
      <c r="AF95" t="str">
        <v/>
      </c>
      <c r="AG95" t="str">
        <v/>
      </c>
      <c r="AH95" t="str">
        <v/>
      </c>
      <c r="AI95" t="str">
        <v/>
      </c>
      <c r="AJ95" t="str">
        <v>18/09/2026 14:13:17</v>
      </c>
      <c r="AK95" t="str">
        <v>14:13:17</v>
      </c>
      <c r="AL95" t="str">
        <v/>
      </c>
    </row>
    <row r="96">
      <c r="A96">
        <v>95</v>
      </c>
      <c r="B96" t="str">
        <v>MASS BSF</v>
      </c>
      <c r="C96" t="str">
        <v>AJQ-739</v>
      </c>
      <c r="D96" t="str">
        <v>AJQ-739</v>
      </c>
      <c r="E96" t="str">
        <v/>
      </c>
      <c r="F96" t="str">
        <v>867806075788192</v>
      </c>
      <c r="G96" t="str">
        <v>TBD</v>
      </c>
      <c r="H96" t="str">
        <v/>
      </c>
      <c r="I96" t="str">
        <v/>
      </c>
      <c r="J96" t="str">
        <v>18/09/2026</v>
      </c>
      <c r="K96" t="str">
        <v>14:14:53</v>
      </c>
      <c r="L96">
        <v>-12.224435</v>
      </c>
      <c r="M96">
        <v>-76.972984</v>
      </c>
      <c r="N96">
        <f>HYPERLINK("https://www.google.com/maps/search/?api=1&amp;query=-12.224435,-76.972984","Carretera Panamericana Sur, Chorrillos, Lima")</f>
      </c>
      <c r="O96" t="str">
        <v>Bache</v>
      </c>
      <c r="P96">
        <v>359714.8</v>
      </c>
      <c r="Q96" t="str">
        <v/>
      </c>
      <c r="R96">
        <v>13.3</v>
      </c>
      <c r="S96">
        <v>17.47</v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>
        <v>83</v>
      </c>
      <c r="AB96" t="str">
        <v>18/09/2026</v>
      </c>
      <c r="AC96" t="str">
        <v>14:14:51</v>
      </c>
      <c r="AD96">
        <f>IF("ONLINE"="NOGPS","GPS Antiguo","En línea")</f>
      </c>
      <c r="AE96">
        <f>IF(0=0,"Sin atender", IF(0=1,"Atendida","Atendida y Reportada"))</f>
      </c>
      <c r="AF96" t="str">
        <v/>
      </c>
      <c r="AG96" t="str">
        <v/>
      </c>
      <c r="AH96" t="str">
        <v/>
      </c>
      <c r="AI96" t="str">
        <v/>
      </c>
      <c r="AJ96" t="str">
        <v>18/09/2026 14:15:01</v>
      </c>
      <c r="AK96" t="str">
        <v>14:15:01</v>
      </c>
      <c r="AL96" t="str">
        <v/>
      </c>
    </row>
    <row r="97">
      <c r="A97">
        <v>96</v>
      </c>
      <c r="B97" t="str">
        <v>MASS BSF</v>
      </c>
      <c r="C97" t="str">
        <v>AJQ-739</v>
      </c>
      <c r="D97" t="str">
        <v>AJQ-739</v>
      </c>
      <c r="E97" t="str">
        <v/>
      </c>
      <c r="F97" t="str">
        <v>867806075788192</v>
      </c>
      <c r="G97" t="str">
        <v>TBD</v>
      </c>
      <c r="H97" t="str">
        <v/>
      </c>
      <c r="I97" t="str">
        <v/>
      </c>
      <c r="J97" t="str">
        <v>18/09/2026</v>
      </c>
      <c r="K97" t="str">
        <v>14:15:11</v>
      </c>
      <c r="L97">
        <v>-12.224985</v>
      </c>
      <c r="M97">
        <v>-76.972496</v>
      </c>
      <c r="N97">
        <f>HYPERLINK("https://www.google.com/maps/search/?api=1&amp;query=-12.224985,-76.972496","Calle Venecia, Chorrillos, Lima")</f>
      </c>
      <c r="O97" t="str">
        <v>Acelerado y giro brusco</v>
      </c>
      <c r="P97">
        <v>359714.9</v>
      </c>
      <c r="Q97" t="str">
        <v/>
      </c>
      <c r="R97">
        <v>15.3</v>
      </c>
      <c r="S97">
        <v>17.47</v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>
        <v>82</v>
      </c>
      <c r="AB97" t="str">
        <v>18/09/2026</v>
      </c>
      <c r="AC97" t="str">
        <v>14:15:09</v>
      </c>
      <c r="AD97">
        <f>IF("ONLINE"="NOGPS","GPS Antiguo","En línea")</f>
      </c>
      <c r="AE97">
        <f>IF(0=0,"Sin atender", IF(0=1,"Atendida","Atendida y Reportada"))</f>
      </c>
      <c r="AF97" t="str">
        <v/>
      </c>
      <c r="AG97" t="str">
        <v/>
      </c>
      <c r="AH97" t="str">
        <v/>
      </c>
      <c r="AI97" t="str">
        <v/>
      </c>
      <c r="AJ97" t="str">
        <v>18/09/2026 14:15:32</v>
      </c>
      <c r="AK97" t="str">
        <v>14:15:32</v>
      </c>
      <c r="AL97" t="str">
        <v/>
      </c>
    </row>
    <row r="98">
      <c r="A98">
        <v>97</v>
      </c>
      <c r="B98" t="str">
        <v>MASS BSF</v>
      </c>
      <c r="C98" t="str">
        <v>AJQ-739</v>
      </c>
      <c r="D98" t="str">
        <v>AJQ-739</v>
      </c>
      <c r="E98" t="str">
        <v/>
      </c>
      <c r="F98" t="str">
        <v>867806075788192</v>
      </c>
      <c r="G98" t="str">
        <v>TBD</v>
      </c>
      <c r="H98" t="str">
        <v/>
      </c>
      <c r="I98" t="str">
        <v/>
      </c>
      <c r="J98" t="str">
        <v>18/09/2026</v>
      </c>
      <c r="K98" t="str">
        <v>14:23:06</v>
      </c>
      <c r="L98">
        <v>-12.218025</v>
      </c>
      <c r="M98">
        <v>-76.97819</v>
      </c>
      <c r="N98">
        <f>HYPERLINK("https://www.google.com/maps/search/?api=1&amp;query=-12.218025,-76.97819","Avenida Caminos del Inca, Chorrillos, Lima")</f>
      </c>
      <c r="O98" t="str">
        <v>Bache</v>
      </c>
      <c r="P98">
        <v>359716.6</v>
      </c>
      <c r="Q98" t="str">
        <v/>
      </c>
      <c r="R98">
        <v>8.1</v>
      </c>
      <c r="S98">
        <v>17.47</v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>
        <v>83</v>
      </c>
      <c r="AB98" t="str">
        <v>18/09/2026</v>
      </c>
      <c r="AC98" t="str">
        <v>14:23:04</v>
      </c>
      <c r="AD98">
        <f>IF("ONLINE"="NOGPS","GPS Antiguo","En línea")</f>
      </c>
      <c r="AE98">
        <f>IF(0=0,"Sin atender", IF(0=1,"Atendida","Atendida y Reportada"))</f>
      </c>
      <c r="AF98" t="str">
        <v/>
      </c>
      <c r="AG98" t="str">
        <v/>
      </c>
      <c r="AH98" t="str">
        <v/>
      </c>
      <c r="AI98" t="str">
        <v/>
      </c>
      <c r="AJ98" t="str">
        <v>18/09/2026 14:23:12</v>
      </c>
      <c r="AK98" t="str">
        <v>14:23:12</v>
      </c>
      <c r="AL98" t="str">
        <v/>
      </c>
    </row>
    <row r="99">
      <c r="A99">
        <v>98</v>
      </c>
      <c r="B99" t="str">
        <v>MASS BSF</v>
      </c>
      <c r="C99" t="str">
        <v>AJQ-739</v>
      </c>
      <c r="D99" t="str">
        <v>AJQ-739</v>
      </c>
      <c r="E99" t="str">
        <v/>
      </c>
      <c r="F99" t="str">
        <v>867806075788192</v>
      </c>
      <c r="G99" t="str">
        <v>TBD</v>
      </c>
      <c r="H99" t="str">
        <v/>
      </c>
      <c r="I99" t="str">
        <v/>
      </c>
      <c r="J99" t="str">
        <v>18/09/2026</v>
      </c>
      <c r="K99" t="str">
        <v>14:28:17</v>
      </c>
      <c r="L99">
        <v>-12.217275</v>
      </c>
      <c r="M99">
        <v>-76.96912</v>
      </c>
      <c r="N99">
        <f>HYPERLINK("https://www.google.com/maps/search/?api=1&amp;query=-12.217275,-76.96912","Avenida El Sol, Villa El Salvador, Lima")</f>
      </c>
      <c r="O99" t="str">
        <v>Vehículo apagado</v>
      </c>
      <c r="P99">
        <v>359718.6</v>
      </c>
      <c r="Q99" t="str">
        <v/>
      </c>
      <c r="R99">
        <v>0</v>
      </c>
      <c r="S99">
        <v>17.72</v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>
        <v>94</v>
      </c>
      <c r="AB99" t="str">
        <v>18/09/2026</v>
      </c>
      <c r="AC99" t="str">
        <v>14:28:15</v>
      </c>
      <c r="AD99">
        <f>IF("ONLINE"="NOGPS","GPS Antiguo","En línea")</f>
      </c>
      <c r="AE99">
        <f>IF(0=0,"Sin atender", IF(0=1,"Atendida","Atendida y Reportada"))</f>
      </c>
      <c r="AF99" t="str">
        <v/>
      </c>
      <c r="AG99" t="str">
        <v/>
      </c>
      <c r="AH99" t="str">
        <v/>
      </c>
      <c r="AI99" t="str">
        <v/>
      </c>
      <c r="AJ99" t="str">
        <v>18/09/2026 14:28:29</v>
      </c>
      <c r="AK99" t="str">
        <v>14:28:29</v>
      </c>
      <c r="AL99" t="str">
        <v/>
      </c>
    </row>
    <row r="100">
      <c r="A100">
        <v>99</v>
      </c>
      <c r="B100" t="str">
        <v>MASS BSF</v>
      </c>
      <c r="C100" t="str">
        <v>AJQ-739</v>
      </c>
      <c r="D100" t="str">
        <v>AJQ-739</v>
      </c>
      <c r="E100" t="str">
        <v/>
      </c>
      <c r="F100" t="str">
        <v>867806075788192</v>
      </c>
      <c r="G100" t="str">
        <v>TBD</v>
      </c>
      <c r="H100" t="str">
        <v/>
      </c>
      <c r="I100" t="str">
        <v/>
      </c>
      <c r="J100" t="str">
        <v>18/09/2026</v>
      </c>
      <c r="K100" t="str">
        <v>14:28:18</v>
      </c>
      <c r="L100">
        <v>-12.217275</v>
      </c>
      <c r="M100">
        <v>-76.96912</v>
      </c>
      <c r="N100">
        <f>HYPERLINK("https://www.google.com/maps/search/?api=1&amp;query=-12.217275,-76.96912","Avenida El Sol, Villa El Salvador, Lima")</f>
      </c>
      <c r="O100" t="str">
        <v>Vehículo encendido</v>
      </c>
      <c r="P100">
        <v>359718.6</v>
      </c>
      <c r="Q100" t="str">
        <v/>
      </c>
      <c r="R100">
        <v>0</v>
      </c>
      <c r="S100">
        <v>17.72</v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>
        <v>94</v>
      </c>
      <c r="AB100" t="str">
        <v>18/09/2026</v>
      </c>
      <c r="AC100" t="str">
        <v>14:28:16</v>
      </c>
      <c r="AD100">
        <f>IF("ONLINE"="NOGPS","GPS Antiguo","En línea")</f>
      </c>
      <c r="AE100">
        <f>IF(0=0,"Sin atender", IF(0=1,"Atendida","Atendida y Reportada"))</f>
      </c>
      <c r="AF100" t="str">
        <v/>
      </c>
      <c r="AG100" t="str">
        <v/>
      </c>
      <c r="AH100" t="str">
        <v/>
      </c>
      <c r="AI100" t="str">
        <v/>
      </c>
      <c r="AJ100" t="str">
        <v>18/09/2026 14:28:31</v>
      </c>
      <c r="AK100" t="str">
        <v>14:28:31</v>
      </c>
      <c r="AL100" t="str">
        <v/>
      </c>
    </row>
    <row r="101">
      <c r="A101">
        <v>100</v>
      </c>
      <c r="B101" t="str">
        <v>MASS BSF</v>
      </c>
      <c r="C101" t="str">
        <v>AJQ-739</v>
      </c>
      <c r="D101" t="str">
        <v>AJQ-739</v>
      </c>
      <c r="E101" t="str">
        <v/>
      </c>
      <c r="F101" t="str">
        <v>867806075788192</v>
      </c>
      <c r="G101" t="str">
        <v>TBD</v>
      </c>
      <c r="H101" t="str">
        <v/>
      </c>
      <c r="I101" t="str">
        <v/>
      </c>
      <c r="J101" t="str">
        <v>18/09/2026</v>
      </c>
      <c r="K101" t="str">
        <v>14:31:33</v>
      </c>
      <c r="L101">
        <v>-12.217214</v>
      </c>
      <c r="M101">
        <v>-76.969055</v>
      </c>
      <c r="N101">
        <f>HYPERLINK("https://www.google.com/maps/search/?api=1&amp;query=-12.217214,-76.969055","Avenida El Sol, Villa El Salvador, Lima")</f>
      </c>
      <c r="O101" t="str">
        <v>Inicio de ralentí</v>
      </c>
      <c r="P101">
        <v>359718.6</v>
      </c>
      <c r="Q101" t="str">
        <v/>
      </c>
      <c r="R101">
        <v>0</v>
      </c>
      <c r="S101">
        <v>17.72</v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>
        <v>88</v>
      </c>
      <c r="AB101" t="str">
        <v>18/09/2026</v>
      </c>
      <c r="AC101" t="str">
        <v>14:31:30</v>
      </c>
      <c r="AD101">
        <f>IF("ONLINE"="NOGPS","GPS Antiguo","En línea")</f>
      </c>
      <c r="AE101">
        <f>IF(0=0,"Sin atender", IF(0=1,"Atendida","Atendida y Reportada"))</f>
      </c>
      <c r="AF101" t="str">
        <v/>
      </c>
      <c r="AG101" t="str">
        <v/>
      </c>
      <c r="AH101" t="str">
        <v/>
      </c>
      <c r="AI101" t="str">
        <v/>
      </c>
      <c r="AJ101" t="str">
        <v>18/09/2026 14:31:50</v>
      </c>
      <c r="AK101" t="str">
        <v>14:31:50</v>
      </c>
      <c r="AL101" t="str">
        <v/>
      </c>
    </row>
    <row r="102">
      <c r="A102">
        <v>101</v>
      </c>
      <c r="B102" t="str">
        <v>MASS BSF</v>
      </c>
      <c r="C102" t="str">
        <v>AJQ-739</v>
      </c>
      <c r="D102" t="str">
        <v>AJQ-739</v>
      </c>
      <c r="E102" t="str">
        <v/>
      </c>
      <c r="F102" t="str">
        <v>867806075788192</v>
      </c>
      <c r="G102" t="str">
        <v>TBD</v>
      </c>
      <c r="H102" t="str">
        <v/>
      </c>
      <c r="I102" t="str">
        <v/>
      </c>
      <c r="J102" t="str">
        <v>18/09/2026</v>
      </c>
      <c r="K102" t="str">
        <v>14:31:38</v>
      </c>
      <c r="L102">
        <v>-12.217178</v>
      </c>
      <c r="M102">
        <v>-76.969</v>
      </c>
      <c r="N102">
        <f>HYPERLINK("https://www.google.com/maps/search/?api=1&amp;query=-12.217178,-76.969","Avenida El Sol, Villa El Salvador, Lima")</f>
      </c>
      <c r="O102" t="str">
        <v>Fin de ralentí</v>
      </c>
      <c r="P102">
        <v>359718.7</v>
      </c>
      <c r="Q102" t="str">
        <v/>
      </c>
      <c r="R102">
        <v>8.3</v>
      </c>
      <c r="S102">
        <v>17.72</v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>
        <v>88</v>
      </c>
      <c r="AB102" t="str">
        <v>18/09/2026</v>
      </c>
      <c r="AC102" t="str">
        <v>14:31:36</v>
      </c>
      <c r="AD102">
        <f>IF("ONLINE"="NOGPS","GPS Antiguo","En línea")</f>
      </c>
      <c r="AE102">
        <f>IF(0=0,"Sin atender", IF(0=1,"Atendida","Atendida y Reportada"))</f>
      </c>
      <c r="AF102" t="str">
        <v/>
      </c>
      <c r="AG102" t="str">
        <v/>
      </c>
      <c r="AH102" t="str">
        <v/>
      </c>
      <c r="AI102" t="str">
        <v/>
      </c>
      <c r="AJ102" t="str">
        <v>18/09/2026 14:32:21</v>
      </c>
      <c r="AK102" t="str">
        <v>14:32:21</v>
      </c>
      <c r="AL102" t="str">
        <v/>
      </c>
    </row>
    <row r="103">
      <c r="A103">
        <v>102</v>
      </c>
      <c r="B103" t="str">
        <v>MASS BSF</v>
      </c>
      <c r="C103" t="str">
        <v>AJQ-739</v>
      </c>
      <c r="D103" t="str">
        <v>AJQ-739</v>
      </c>
      <c r="E103" t="str">
        <v/>
      </c>
      <c r="F103" t="str">
        <v>867806075788192</v>
      </c>
      <c r="G103" t="str">
        <v>TBD</v>
      </c>
      <c r="H103" t="str">
        <v/>
      </c>
      <c r="I103" t="str">
        <v/>
      </c>
      <c r="J103" t="str">
        <v>18/09/2026</v>
      </c>
      <c r="K103" t="str">
        <v>14:38:32</v>
      </c>
      <c r="L103">
        <v>-12.20147</v>
      </c>
      <c r="M103">
        <v>-76.96634</v>
      </c>
      <c r="N103">
        <f>HYPERLINK("https://www.google.com/maps/search/?api=1&amp;query=-12.20147,-76.96634","Avenida Los Algarrobos, Villa El Salvador, Lima")</f>
      </c>
      <c r="O103" t="str">
        <v>Bache</v>
      </c>
      <c r="P103">
        <v>359720.8</v>
      </c>
      <c r="Q103" t="str">
        <v/>
      </c>
      <c r="R103">
        <v>8.5</v>
      </c>
      <c r="S103">
        <v>17.72</v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>
        <v>84</v>
      </c>
      <c r="AB103" t="str">
        <v>18/09/2026</v>
      </c>
      <c r="AC103" t="str">
        <v>14:38:29</v>
      </c>
      <c r="AD103">
        <f>IF("ONLINE"="NOGPS","GPS Antiguo","En línea")</f>
      </c>
      <c r="AE103">
        <f>IF(0=0,"Sin atender", IF(0=1,"Atendida","Atendida y Reportada"))</f>
      </c>
      <c r="AF103" t="str">
        <v/>
      </c>
      <c r="AG103" t="str">
        <v/>
      </c>
      <c r="AH103" t="str">
        <v/>
      </c>
      <c r="AI103" t="str">
        <v/>
      </c>
      <c r="AJ103" t="str">
        <v>18/09/2026 14:38:50</v>
      </c>
      <c r="AK103" t="str">
        <v>14:38:50</v>
      </c>
      <c r="AL103" t="str">
        <v/>
      </c>
    </row>
    <row r="104">
      <c r="A104">
        <v>103</v>
      </c>
      <c r="B104" t="str">
        <v>MASS BSF</v>
      </c>
      <c r="C104" t="str">
        <v>AJQ-739</v>
      </c>
      <c r="D104" t="str">
        <v>AJQ-739</v>
      </c>
      <c r="E104" t="str">
        <v/>
      </c>
      <c r="F104" t="str">
        <v>867806075788192</v>
      </c>
      <c r="G104" t="str">
        <v>TBD</v>
      </c>
      <c r="H104" t="str">
        <v/>
      </c>
      <c r="I104" t="str">
        <v/>
      </c>
      <c r="J104" t="str">
        <v>18/09/2026</v>
      </c>
      <c r="K104" t="str">
        <v>14:44:23</v>
      </c>
      <c r="L104">
        <v>-12.184102</v>
      </c>
      <c r="M104">
        <v>-76.97362</v>
      </c>
      <c r="N104">
        <f>HYPERLINK("https://www.google.com/maps/search/?api=1&amp;query=-12.184102,-76.97362","Avenida Prolongación Pedro Miotta, San Juan de Miraflores, Lima")</f>
      </c>
      <c r="O104" t="str">
        <v>Exceso de velocidad en segmento vial</v>
      </c>
      <c r="P104">
        <v>359723.3</v>
      </c>
      <c r="Q104" t="str">
        <v/>
      </c>
      <c r="R104">
        <v>52.4</v>
      </c>
      <c r="S104">
        <v>17.72</v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>
        <v>94</v>
      </c>
      <c r="AB104" t="str">
        <v>18/09/2026</v>
      </c>
      <c r="AC104" t="str">
        <v>14:44:21</v>
      </c>
      <c r="AD104">
        <f>IF("ONLINE"="NOGPS","GPS Antiguo","En línea")</f>
      </c>
      <c r="AE104">
        <f>IF(0=0,"Sin atender", IF(0=1,"Atendida","Atendida y Reportada"))</f>
      </c>
      <c r="AF104" t="str">
        <v/>
      </c>
      <c r="AG104" t="str">
        <v/>
      </c>
      <c r="AH104" t="str">
        <v/>
      </c>
      <c r="AI104" t="str">
        <v/>
      </c>
      <c r="AJ104" t="str">
        <v>18/09/2026 14:44:43</v>
      </c>
      <c r="AK104" t="str">
        <v>14:44:43</v>
      </c>
      <c r="AL104" t="str">
        <v/>
      </c>
    </row>
    <row r="105">
      <c r="A105">
        <v>104</v>
      </c>
      <c r="B105" t="str">
        <v>MASS BSF</v>
      </c>
      <c r="C105" t="str">
        <v>AJQ-739</v>
      </c>
      <c r="D105" t="str">
        <v>AJQ-739</v>
      </c>
      <c r="E105" t="str">
        <v/>
      </c>
      <c r="F105" t="str">
        <v>867806075788192</v>
      </c>
      <c r="G105" t="str">
        <v>TBD</v>
      </c>
      <c r="H105" t="str">
        <v/>
      </c>
      <c r="I105" t="str">
        <v/>
      </c>
      <c r="J105" t="str">
        <v>18/09/2026</v>
      </c>
      <c r="K105" t="str">
        <v>14:46:35</v>
      </c>
      <c r="L105">
        <v>-12.17458</v>
      </c>
      <c r="M105">
        <v>-76.976074</v>
      </c>
      <c r="N105">
        <f>HYPERLINK("https://www.google.com/maps/search/?api=1&amp;query=-12.17458,-76.976074","Avenida Prolongación Pedro Miotta, San Juan de Miraflores, Lima")</f>
      </c>
      <c r="O105" t="str">
        <v>Bache</v>
      </c>
      <c r="P105">
        <v>359724.4</v>
      </c>
      <c r="Q105" t="str">
        <v/>
      </c>
      <c r="R105">
        <v>7.5</v>
      </c>
      <c r="S105">
        <v>17.72</v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>
        <v>94</v>
      </c>
      <c r="AB105" t="str">
        <v>18/09/2026</v>
      </c>
      <c r="AC105" t="str">
        <v>14:46:32</v>
      </c>
      <c r="AD105">
        <f>IF("ONLINE"="NOGPS","GPS Antiguo","En línea")</f>
      </c>
      <c r="AE105">
        <f>IF(0=0,"Sin atender", IF(0=1,"Atendida","Atendida y Reportada"))</f>
      </c>
      <c r="AF105" t="str">
        <v/>
      </c>
      <c r="AG105" t="str">
        <v/>
      </c>
      <c r="AH105" t="str">
        <v/>
      </c>
      <c r="AI105" t="str">
        <v/>
      </c>
      <c r="AJ105" t="str">
        <v>18/09/2026 14:46:49</v>
      </c>
      <c r="AK105" t="str">
        <v>14:46:49</v>
      </c>
      <c r="AL105" t="str">
        <v/>
      </c>
    </row>
    <row r="106">
      <c r="A106">
        <v>105</v>
      </c>
      <c r="B106" t="str">
        <v>MASS BSF</v>
      </c>
      <c r="C106" t="str">
        <v>AJQ-739</v>
      </c>
      <c r="D106" t="str">
        <v>AJQ-739</v>
      </c>
      <c r="E106" t="str">
        <v/>
      </c>
      <c r="F106" t="str">
        <v>867806075788192</v>
      </c>
      <c r="G106" t="str">
        <v>TBD</v>
      </c>
      <c r="H106" t="str">
        <v/>
      </c>
      <c r="I106" t="str">
        <v/>
      </c>
      <c r="J106" t="str">
        <v>18/09/2026</v>
      </c>
      <c r="K106" t="str">
        <v>14:46:58</v>
      </c>
      <c r="L106">
        <v>-12.173727</v>
      </c>
      <c r="M106">
        <v>-76.9763</v>
      </c>
      <c r="N106">
        <f>HYPERLINK("https://www.google.com/maps/search/?api=1&amp;query=-12.173727,-76.9763","Avenida Prolongación Pedro Miotta, San Juan de Miraflores, Lima")</f>
      </c>
      <c r="O106" t="str">
        <v>Bache</v>
      </c>
      <c r="P106">
        <v>359724.5</v>
      </c>
      <c r="Q106" t="str">
        <v/>
      </c>
      <c r="R106">
        <v>7.2</v>
      </c>
      <c r="S106">
        <v>17.72</v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>
        <v>94</v>
      </c>
      <c r="AB106" t="str">
        <v>18/09/2026</v>
      </c>
      <c r="AC106" t="str">
        <v>14:46:56</v>
      </c>
      <c r="AD106">
        <f>IF("ONLINE"="NOGPS","GPS Antiguo","En línea")</f>
      </c>
      <c r="AE106">
        <f>IF(0=0,"Sin atender", IF(0=1,"Atendida","Atendida y Reportada"))</f>
      </c>
      <c r="AF106" t="str">
        <v/>
      </c>
      <c r="AG106" t="str">
        <v/>
      </c>
      <c r="AH106" t="str">
        <v/>
      </c>
      <c r="AI106" t="str">
        <v/>
      </c>
      <c r="AJ106" t="str">
        <v>18/09/2026 14:47:09</v>
      </c>
      <c r="AK106" t="str">
        <v>14:47:09</v>
      </c>
      <c r="AL106" t="str">
        <v/>
      </c>
    </row>
    <row r="107">
      <c r="A107">
        <v>106</v>
      </c>
      <c r="B107" t="str">
        <v>MASS BSF</v>
      </c>
      <c r="C107" t="str">
        <v>AJQ-739</v>
      </c>
      <c r="D107" t="str">
        <v>AJQ-739</v>
      </c>
      <c r="E107" t="str">
        <v/>
      </c>
      <c r="F107" t="str">
        <v>867806075788192</v>
      </c>
      <c r="G107" t="str">
        <v>TBD</v>
      </c>
      <c r="H107" t="str">
        <v/>
      </c>
      <c r="I107" t="str">
        <v/>
      </c>
      <c r="J107" t="str">
        <v>18/09/2026</v>
      </c>
      <c r="K107" t="str">
        <v>14:46:59</v>
      </c>
      <c r="L107">
        <v>-12.173703</v>
      </c>
      <c r="M107">
        <v>-76.9763</v>
      </c>
      <c r="N107">
        <f>HYPERLINK("https://www.google.com/maps/search/?api=1&amp;query=-12.173703,-76.9763","Avenida Prolongación Pedro Miotta, San Juan de Miraflores, Lima")</f>
      </c>
      <c r="O107" t="str">
        <v>Frenado y giro brusco</v>
      </c>
      <c r="P107">
        <v>359724.5</v>
      </c>
      <c r="Q107" t="str">
        <v/>
      </c>
      <c r="R107">
        <v>10.5</v>
      </c>
      <c r="S107">
        <v>17.72</v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>
        <v>94</v>
      </c>
      <c r="AB107" t="str">
        <v>18/09/2026</v>
      </c>
      <c r="AC107" t="str">
        <v>14:46:57</v>
      </c>
      <c r="AD107">
        <f>IF("ONLINE"="NOGPS","GPS Antiguo","En línea")</f>
      </c>
      <c r="AE107">
        <f>IF(0=0,"Sin atender", IF(0=1,"Atendida","Atendida y Reportada"))</f>
      </c>
      <c r="AF107" t="str">
        <v/>
      </c>
      <c r="AG107" t="str">
        <v/>
      </c>
      <c r="AH107" t="str">
        <v/>
      </c>
      <c r="AI107" t="str">
        <v/>
      </c>
      <c r="AJ107" t="str">
        <v>18/09/2026 14:47:12</v>
      </c>
      <c r="AK107" t="str">
        <v>14:47:12</v>
      </c>
      <c r="AL107" t="str">
        <v/>
      </c>
    </row>
    <row r="108">
      <c r="A108">
        <v>107</v>
      </c>
      <c r="B108" t="str">
        <v>MASS BSF</v>
      </c>
      <c r="C108" t="str">
        <v>AJQ-739</v>
      </c>
      <c r="D108" t="str">
        <v>AJQ-739</v>
      </c>
      <c r="E108" t="str">
        <v/>
      </c>
      <c r="F108" t="str">
        <v>867806075788192</v>
      </c>
      <c r="G108" t="str">
        <v>TBD</v>
      </c>
      <c r="H108" t="str">
        <v/>
      </c>
      <c r="I108" t="str">
        <v/>
      </c>
      <c r="J108" t="str">
        <v>18/09/2026</v>
      </c>
      <c r="K108" t="str">
        <v>14:49:14</v>
      </c>
      <c r="L108">
        <v>-12.168286</v>
      </c>
      <c r="M108">
        <v>-76.97764</v>
      </c>
      <c r="N108">
        <f>HYPERLINK("https://www.google.com/maps/search/?api=1&amp;query=-12.168286,-76.97764","Jirón Francisco de Paula Ugarriza, San Juan de Miraflores, Lima")</f>
      </c>
      <c r="O108" t="str">
        <v>Aceleración brusca</v>
      </c>
      <c r="P108">
        <v>359725.1</v>
      </c>
      <c r="Q108" t="str">
        <v/>
      </c>
      <c r="R108">
        <v>13.8</v>
      </c>
      <c r="S108">
        <v>17.72</v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>
        <v>94</v>
      </c>
      <c r="AB108" t="str">
        <v>18/09/2026</v>
      </c>
      <c r="AC108" t="str">
        <v>14:49:12</v>
      </c>
      <c r="AD108">
        <f>IF("ONLINE"="NOGPS","GPS Antiguo","En línea")</f>
      </c>
      <c r="AE108">
        <f>IF(0=0,"Sin atender", IF(0=1,"Atendida","Atendida y Reportada"))</f>
      </c>
      <c r="AF108" t="str">
        <v/>
      </c>
      <c r="AG108" t="str">
        <v/>
      </c>
      <c r="AH108" t="str">
        <v/>
      </c>
      <c r="AI108" t="str">
        <v/>
      </c>
      <c r="AJ108" t="str">
        <v>18/09/2026 14:49:22</v>
      </c>
      <c r="AK108" t="str">
        <v>14:49:22</v>
      </c>
      <c r="AL108" t="str">
        <v/>
      </c>
    </row>
    <row r="109">
      <c r="A109">
        <v>108</v>
      </c>
      <c r="B109" t="str">
        <v>MASS BSF</v>
      </c>
      <c r="C109" t="str">
        <v>AJQ-739</v>
      </c>
      <c r="D109" t="str">
        <v>AJQ-739</v>
      </c>
      <c r="E109" t="str">
        <v/>
      </c>
      <c r="F109" t="str">
        <v>867806075788192</v>
      </c>
      <c r="G109" t="str">
        <v>TBD</v>
      </c>
      <c r="H109" t="str">
        <v/>
      </c>
      <c r="I109" t="str">
        <v/>
      </c>
      <c r="J109" t="str">
        <v>18/09/2026</v>
      </c>
      <c r="K109" t="str">
        <v>14:49:30</v>
      </c>
      <c r="L109">
        <v>-12.168108</v>
      </c>
      <c r="M109">
        <v>-76.97688</v>
      </c>
      <c r="N109">
        <f>HYPERLINK("https://www.google.com/maps/search/?api=1&amp;query=-12.168108,-76.97688","Jirón Francisco de Paula Ugarriza, San Juan de Miraflores, Lima")</f>
      </c>
      <c r="O109" t="str">
        <v>Bache</v>
      </c>
      <c r="P109">
        <v>359725.2</v>
      </c>
      <c r="Q109" t="str">
        <v/>
      </c>
      <c r="R109">
        <v>5.9</v>
      </c>
      <c r="S109">
        <v>17.72</v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>
        <v>83</v>
      </c>
      <c r="AB109" t="str">
        <v>18/09/2026</v>
      </c>
      <c r="AC109" t="str">
        <v>14:49:28</v>
      </c>
      <c r="AD109">
        <f>IF("ONLINE"="NOGPS","GPS Antiguo","En línea")</f>
      </c>
      <c r="AE109">
        <f>IF(0=0,"Sin atender", IF(0=1,"Atendida","Atendida y Reportada"))</f>
      </c>
      <c r="AF109" t="str">
        <v/>
      </c>
      <c r="AG109" t="str">
        <v/>
      </c>
      <c r="AH109" t="str">
        <v/>
      </c>
      <c r="AI109" t="str">
        <v/>
      </c>
      <c r="AJ109" t="str">
        <v>18/09/2026 14:49:51</v>
      </c>
      <c r="AK109" t="str">
        <v>14:49:51</v>
      </c>
      <c r="AL109" t="str">
        <v/>
      </c>
    </row>
    <row r="110">
      <c r="A110">
        <v>109</v>
      </c>
      <c r="B110" t="str">
        <v>MASS BSF</v>
      </c>
      <c r="C110" t="str">
        <v>AJQ-739</v>
      </c>
      <c r="D110" t="str">
        <v>AJQ-739</v>
      </c>
      <c r="E110" t="str">
        <v/>
      </c>
      <c r="F110" t="str">
        <v>867806075788192</v>
      </c>
      <c r="G110" t="str">
        <v>TBD</v>
      </c>
      <c r="H110" t="str">
        <v/>
      </c>
      <c r="I110" t="str">
        <v/>
      </c>
      <c r="J110" t="str">
        <v>18/09/2026</v>
      </c>
      <c r="K110" t="str">
        <v>14:52:18</v>
      </c>
      <c r="L110">
        <v>-12.16566</v>
      </c>
      <c r="M110">
        <v>-76.97398</v>
      </c>
      <c r="N110">
        <f>HYPERLINK("https://www.google.com/maps/search/?api=1&amp;query=-12.16566,-76.97398","Avenida Ramón Vargas Machuca, San Juan de Miraflores, Lima")</f>
      </c>
      <c r="O110" t="str">
        <v>Vehículo apagado</v>
      </c>
      <c r="P110">
        <v>359725.8</v>
      </c>
      <c r="Q110" t="str">
        <v/>
      </c>
      <c r="R110">
        <v>0</v>
      </c>
      <c r="S110">
        <v>18.12</v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>
        <v>83</v>
      </c>
      <c r="AB110" t="str">
        <v>18/09/2026</v>
      </c>
      <c r="AC110" t="str">
        <v>14:52:16</v>
      </c>
      <c r="AD110">
        <f>IF("ONLINE"="NOGPS","GPS Antiguo","En línea")</f>
      </c>
      <c r="AE110">
        <f>IF(0=0,"Sin atender", IF(0=1,"Atendida","Atendida y Reportada"))</f>
      </c>
      <c r="AF110" t="str">
        <v/>
      </c>
      <c r="AG110" t="str">
        <v/>
      </c>
      <c r="AH110" t="str">
        <v/>
      </c>
      <c r="AI110" t="str">
        <v/>
      </c>
      <c r="AJ110" t="str">
        <v>18/09/2026 14:52:38</v>
      </c>
      <c r="AK110" t="str">
        <v>14:52:38</v>
      </c>
      <c r="AL110" t="str">
        <v/>
      </c>
    </row>
    <row r="111">
      <c r="A111">
        <v>110</v>
      </c>
      <c r="B111" t="str">
        <v>MASS BSF</v>
      </c>
      <c r="C111" t="str">
        <v>AJQ-739</v>
      </c>
      <c r="D111" t="str">
        <v>AJQ-739</v>
      </c>
      <c r="E111" t="str">
        <v/>
      </c>
      <c r="F111" t="str">
        <v>867806075788192</v>
      </c>
      <c r="G111" t="str">
        <v>TBD</v>
      </c>
      <c r="H111" t="str">
        <v/>
      </c>
      <c r="I111" t="str">
        <v/>
      </c>
      <c r="J111" t="str">
        <v>18/09/2026</v>
      </c>
      <c r="K111" t="str">
        <v>14:57:06</v>
      </c>
      <c r="L111">
        <v>-12.16566</v>
      </c>
      <c r="M111">
        <v>-76.97398</v>
      </c>
      <c r="N111">
        <f>HYPERLINK("https://www.google.com/maps/search/?api=1&amp;query=-12.16566,-76.97398","Avenida Ramón Vargas Machuca, San Juan de Miraflores, Lima")</f>
      </c>
      <c r="O111" t="str">
        <v>Vehículo encendido</v>
      </c>
      <c r="P111">
        <v>359725.8</v>
      </c>
      <c r="Q111" t="str">
        <v/>
      </c>
      <c r="R111">
        <v>0</v>
      </c>
      <c r="S111">
        <v>18.12</v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>
        <v>83</v>
      </c>
      <c r="AB111" t="str">
        <v>18/09/2026</v>
      </c>
      <c r="AC111" t="str">
        <v>14:57:03</v>
      </c>
      <c r="AD111">
        <f>IF("ONLINE"="NOGPS","GPS Antiguo","En línea")</f>
      </c>
      <c r="AE111">
        <f>IF(0=0,"Sin atender", IF(0=1,"Atendida","Atendida y Reportada"))</f>
      </c>
      <c r="AF111" t="str">
        <v/>
      </c>
      <c r="AG111" t="str">
        <v/>
      </c>
      <c r="AH111" t="str">
        <v/>
      </c>
      <c r="AI111" t="str">
        <v/>
      </c>
      <c r="AJ111" t="str">
        <v>18/09/2026 14:57:22</v>
      </c>
      <c r="AK111" t="str">
        <v>14:57:22</v>
      </c>
      <c r="AL111" t="str">
        <v/>
      </c>
    </row>
    <row r="112">
      <c r="A112">
        <v>111</v>
      </c>
      <c r="B112" t="str">
        <v>MASS BSF</v>
      </c>
      <c r="C112" t="str">
        <v>AJQ-739</v>
      </c>
      <c r="D112" t="str">
        <v>AJQ-739</v>
      </c>
      <c r="E112" t="str">
        <v/>
      </c>
      <c r="F112" t="str">
        <v>867806075788192</v>
      </c>
      <c r="G112" t="str">
        <v>TBD</v>
      </c>
      <c r="H112" t="str">
        <v/>
      </c>
      <c r="I112" t="str">
        <v/>
      </c>
      <c r="J112" t="str">
        <v>18/09/2026</v>
      </c>
      <c r="K112" t="str">
        <v>15:00:08</v>
      </c>
      <c r="L112">
        <v>-12.16566</v>
      </c>
      <c r="M112">
        <v>-76.97398</v>
      </c>
      <c r="N112">
        <f>HYPERLINK("https://www.google.com/maps/search/?api=1&amp;query=-12.16566,-76.97398","Avenida Ramón Vargas Machuca, San Juan de Miraflores, Lima")</f>
      </c>
      <c r="O112" t="str">
        <v>Vehículo apagado</v>
      </c>
      <c r="P112">
        <v>359725.8</v>
      </c>
      <c r="Q112" t="str">
        <v/>
      </c>
      <c r="R112">
        <v>0</v>
      </c>
      <c r="S112">
        <v>18.12</v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>
        <v>83</v>
      </c>
      <c r="AB112" t="str">
        <v>18/09/2026</v>
      </c>
      <c r="AC112" t="str">
        <v>15:00:06</v>
      </c>
      <c r="AD112">
        <f>IF("ONLINE"="NOGPS","GPS Antiguo","En línea")</f>
      </c>
      <c r="AE112">
        <f>IF(0=0,"Sin atender", IF(0=1,"Atendida","Atendida y Reportada"))</f>
      </c>
      <c r="AF112" t="str">
        <v/>
      </c>
      <c r="AG112" t="str">
        <v/>
      </c>
      <c r="AH112" t="str">
        <v/>
      </c>
      <c r="AI112" t="str">
        <v/>
      </c>
      <c r="AJ112" t="str">
        <v>18/09/2026 15:00:22</v>
      </c>
      <c r="AK112" t="str">
        <v>15:00:22</v>
      </c>
      <c r="AL112" t="str">
        <v/>
      </c>
    </row>
    <row r="113">
      <c r="A113">
        <v>112</v>
      </c>
      <c r="B113" t="str">
        <v>MASS BSF</v>
      </c>
      <c r="C113" t="str">
        <v>AJQ-739</v>
      </c>
      <c r="D113" t="str">
        <v>AJQ-739</v>
      </c>
      <c r="E113" t="str">
        <v/>
      </c>
      <c r="F113" t="str">
        <v>867806075788192</v>
      </c>
      <c r="G113" t="str">
        <v>TBD</v>
      </c>
      <c r="H113" t="str">
        <v/>
      </c>
      <c r="I113" t="str">
        <v/>
      </c>
      <c r="J113" t="str">
        <v>18/09/2026</v>
      </c>
      <c r="K113" t="str">
        <v>15:00:09</v>
      </c>
      <c r="L113">
        <v>-12.16566</v>
      </c>
      <c r="M113">
        <v>-76.97398</v>
      </c>
      <c r="N113">
        <f>HYPERLINK("https://www.google.com/maps/search/?api=1&amp;query=-12.16566,-76.97398","Avenida Ramón Vargas Machuca, San Juan de Miraflores, Lima")</f>
      </c>
      <c r="O113" t="str">
        <v>Vehículo encendido</v>
      </c>
      <c r="P113">
        <v>359725.8</v>
      </c>
      <c r="Q113" t="str">
        <v/>
      </c>
      <c r="R113">
        <v>0</v>
      </c>
      <c r="S113">
        <v>18.12</v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>
        <v>83</v>
      </c>
      <c r="AB113" t="str">
        <v>18/09/2026</v>
      </c>
      <c r="AC113" t="str">
        <v>15:00:07</v>
      </c>
      <c r="AD113">
        <f>IF("ONLINE"="NOGPS","GPS Antiguo","En línea")</f>
      </c>
      <c r="AE113">
        <f>IF(0=0,"Sin atender", IF(0=1,"Atendida","Atendida y Reportada"))</f>
      </c>
      <c r="AF113" t="str">
        <v/>
      </c>
      <c r="AG113" t="str">
        <v/>
      </c>
      <c r="AH113" t="str">
        <v/>
      </c>
      <c r="AI113" t="str">
        <v/>
      </c>
      <c r="AJ113" t="str">
        <v>18/09/2026 15:00:19</v>
      </c>
      <c r="AK113" t="str">
        <v>15:00:19</v>
      </c>
      <c r="AL113" t="str">
        <v/>
      </c>
    </row>
    <row r="114">
      <c r="A114">
        <v>113</v>
      </c>
      <c r="B114" t="str">
        <v>MASS BSF</v>
      </c>
      <c r="C114" t="str">
        <v>AJQ-739</v>
      </c>
      <c r="D114" t="str">
        <v>AJQ-739</v>
      </c>
      <c r="E114" t="str">
        <v/>
      </c>
      <c r="F114" t="str">
        <v>867806075788192</v>
      </c>
      <c r="G114" t="str">
        <v>TBD</v>
      </c>
      <c r="H114" t="str">
        <v/>
      </c>
      <c r="I114" t="str">
        <v/>
      </c>
      <c r="J114" t="str">
        <v>18/09/2026</v>
      </c>
      <c r="K114" t="str">
        <v>15:00:25</v>
      </c>
      <c r="L114">
        <v>-12.16566</v>
      </c>
      <c r="M114">
        <v>-76.97393</v>
      </c>
      <c r="N114">
        <f>HYPERLINK("https://www.google.com/maps/search/?api=1&amp;query=-12.16566,-76.97393","Avenida Ramón Vargas Machuca, San Juan de Miraflores, Lima")</f>
      </c>
      <c r="O114" t="str">
        <v>Se movio</v>
      </c>
      <c r="P114">
        <v>359725.8</v>
      </c>
      <c r="Q114" t="str">
        <v/>
      </c>
      <c r="R114">
        <v>0</v>
      </c>
      <c r="S114">
        <v>18.12</v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>
        <v>83</v>
      </c>
      <c r="AB114" t="str">
        <v>18/09/2026</v>
      </c>
      <c r="AC114" t="str">
        <v>15:00:23</v>
      </c>
      <c r="AD114">
        <f>IF("ONLINE"="NOGPS","GPS Antiguo","En línea")</f>
      </c>
      <c r="AE114">
        <f>IF(0=0,"Sin atender", IF(0=1,"Atendida","Atendida y Reportada"))</f>
      </c>
      <c r="AF114" t="str">
        <v/>
      </c>
      <c r="AG114" t="str">
        <v/>
      </c>
      <c r="AH114" t="str">
        <v/>
      </c>
      <c r="AI114" t="str">
        <v/>
      </c>
      <c r="AJ114" t="str">
        <v>18/09/2026 15:00:45</v>
      </c>
      <c r="AK114" t="str">
        <v>15:00:45</v>
      </c>
      <c r="AL114" t="str">
        <v/>
      </c>
    </row>
    <row r="115">
      <c r="A115">
        <v>114</v>
      </c>
      <c r="B115" t="str">
        <v>MASS BSF</v>
      </c>
      <c r="C115" t="str">
        <v>AJQ-739</v>
      </c>
      <c r="D115" t="str">
        <v>AJQ-739</v>
      </c>
      <c r="E115" t="str">
        <v/>
      </c>
      <c r="F115" t="str">
        <v>867806075788192</v>
      </c>
      <c r="G115" t="str">
        <v>TBD</v>
      </c>
      <c r="H115" t="str">
        <v/>
      </c>
      <c r="I115" t="str">
        <v/>
      </c>
      <c r="J115" t="str">
        <v>18/09/2026</v>
      </c>
      <c r="K115" t="str">
        <v>15:03:58</v>
      </c>
      <c r="L115">
        <v>-12.165647</v>
      </c>
      <c r="M115">
        <v>-76.97393</v>
      </c>
      <c r="N115">
        <f>HYPERLINK("https://www.google.com/maps/search/?api=1&amp;query=-12.165647,-76.97393","Avenida Ramón Vargas Machuca, San Juan de Miraflores, Lima")</f>
      </c>
      <c r="O115" t="str">
        <v>Inicio de ralentí</v>
      </c>
      <c r="P115">
        <v>359725.8</v>
      </c>
      <c r="Q115" t="str">
        <v/>
      </c>
      <c r="R115">
        <v>0</v>
      </c>
      <c r="S115">
        <v>18.12</v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>
        <v>82</v>
      </c>
      <c r="AB115" t="str">
        <v>18/09/2026</v>
      </c>
      <c r="AC115" t="str">
        <v>15:03:55</v>
      </c>
      <c r="AD115">
        <f>IF("ONLINE"="NOGPS","GPS Antiguo","En línea")</f>
      </c>
      <c r="AE115">
        <f>IF(0=0,"Sin atender", IF(0=1,"Atendida","Atendida y Reportada"))</f>
      </c>
      <c r="AF115" t="str">
        <v/>
      </c>
      <c r="AG115" t="str">
        <v/>
      </c>
      <c r="AH115" t="str">
        <v/>
      </c>
      <c r="AI115" t="str">
        <v/>
      </c>
      <c r="AJ115" t="str">
        <v>18/09/2026 15:04:17</v>
      </c>
      <c r="AK115" t="str">
        <v>15:04:17</v>
      </c>
      <c r="AL115" t="str">
        <v/>
      </c>
    </row>
    <row r="116">
      <c r="A116">
        <v>115</v>
      </c>
      <c r="B116" t="str">
        <v>MASS BSF</v>
      </c>
      <c r="C116" t="str">
        <v>AJQ-739</v>
      </c>
      <c r="D116" t="str">
        <v>AJQ-739</v>
      </c>
      <c r="E116" t="str">
        <v/>
      </c>
      <c r="F116" t="str">
        <v>867806075788192</v>
      </c>
      <c r="G116" t="str">
        <v>TBD</v>
      </c>
      <c r="H116" t="str">
        <v/>
      </c>
      <c r="I116" t="str">
        <v/>
      </c>
      <c r="J116" t="str">
        <v>18/09/2026</v>
      </c>
      <c r="K116" t="str">
        <v>15:06:15</v>
      </c>
      <c r="L116">
        <v>-12.165647</v>
      </c>
      <c r="M116">
        <v>-76.97393</v>
      </c>
      <c r="N116">
        <f>HYPERLINK("https://www.google.com/maps/search/?api=1&amp;query=-12.165647,-76.97393","Avenida Ramón Vargas Machuca, San Juan de Miraflores, Lima")</f>
      </c>
      <c r="O116" t="str">
        <v>Vehículo apagado</v>
      </c>
      <c r="P116">
        <v>359725.8</v>
      </c>
      <c r="Q116" t="str">
        <v/>
      </c>
      <c r="R116">
        <v>0</v>
      </c>
      <c r="S116">
        <v>18.12</v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>
        <v>90</v>
      </c>
      <c r="AB116" t="str">
        <v>18/09/2026</v>
      </c>
      <c r="AC116" t="str">
        <v>15:06:12</v>
      </c>
      <c r="AD116">
        <f>IF("ONLINE"="NOGPS","GPS Antiguo","En línea")</f>
      </c>
      <c r="AE116">
        <f>IF(0=0,"Sin atender", IF(0=1,"Atendida","Atendida y Reportada"))</f>
      </c>
      <c r="AF116" t="str">
        <v/>
      </c>
      <c r="AG116" t="str">
        <v/>
      </c>
      <c r="AH116" t="str">
        <v/>
      </c>
      <c r="AI116" t="str">
        <v/>
      </c>
      <c r="AJ116" t="str">
        <v>18/09/2026 15:06:34</v>
      </c>
      <c r="AK116" t="str">
        <v>15:06:34</v>
      </c>
      <c r="AL116" t="str">
        <v/>
      </c>
    </row>
    <row r="117">
      <c r="A117">
        <v>116</v>
      </c>
      <c r="B117" t="str">
        <v>MASS BSF</v>
      </c>
      <c r="C117" t="str">
        <v>AJQ-739</v>
      </c>
      <c r="D117" t="str">
        <v>AJQ-739</v>
      </c>
      <c r="E117" t="str">
        <v/>
      </c>
      <c r="F117" t="str">
        <v>867806075788192</v>
      </c>
      <c r="G117" t="str">
        <v>TBD</v>
      </c>
      <c r="H117" t="str">
        <v/>
      </c>
      <c r="I117" t="str">
        <v/>
      </c>
      <c r="J117" t="str">
        <v>18/09/2026</v>
      </c>
      <c r="K117" t="str">
        <v>15:06:15</v>
      </c>
      <c r="L117">
        <v>-12.165647</v>
      </c>
      <c r="M117">
        <v>-76.97393</v>
      </c>
      <c r="N117">
        <f>HYPERLINK("https://www.google.com/maps/search/?api=1&amp;query=-12.165647,-76.97393","Avenida Ramón Vargas Machuca, San Juan de Miraflores, Lima")</f>
      </c>
      <c r="O117" t="str">
        <v>Fin de ralentí</v>
      </c>
      <c r="P117">
        <v>359725.8</v>
      </c>
      <c r="Q117" t="str">
        <v/>
      </c>
      <c r="R117">
        <v>0</v>
      </c>
      <c r="S117">
        <v>18.12</v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>
        <v>90</v>
      </c>
      <c r="AB117" t="str">
        <v>18/09/2026</v>
      </c>
      <c r="AC117" t="str">
        <v>15:06:12</v>
      </c>
      <c r="AD117">
        <f>IF("ONLINE"="NOGPS","GPS Antiguo","En línea")</f>
      </c>
      <c r="AE117">
        <f>IF(0=0,"Sin atender", IF(0=1,"Atendida","Atendida y Reportada"))</f>
      </c>
      <c r="AF117" t="str">
        <v/>
      </c>
      <c r="AG117" t="str">
        <v/>
      </c>
      <c r="AH117" t="str">
        <v/>
      </c>
      <c r="AI117" t="str">
        <v/>
      </c>
      <c r="AJ117" t="str">
        <v>18/09/2026 15:06:33</v>
      </c>
      <c r="AK117" t="str">
        <v>15:06:33</v>
      </c>
      <c r="AL117" t="str">
        <v/>
      </c>
    </row>
    <row r="118">
      <c r="A118">
        <v>117</v>
      </c>
      <c r="B118" t="str">
        <v>MASS BSF</v>
      </c>
      <c r="C118" t="str">
        <v>AJQ-739</v>
      </c>
      <c r="D118" t="str">
        <v>AJQ-739</v>
      </c>
      <c r="E118" t="str">
        <v/>
      </c>
      <c r="F118" t="str">
        <v>867806075788192</v>
      </c>
      <c r="G118" t="str">
        <v>TBD</v>
      </c>
      <c r="H118" t="str">
        <v/>
      </c>
      <c r="I118" t="str">
        <v/>
      </c>
      <c r="J118" t="str">
        <v>18/09/2026</v>
      </c>
      <c r="K118" t="str">
        <v>15:06:16</v>
      </c>
      <c r="L118">
        <v>-12.165647</v>
      </c>
      <c r="M118">
        <v>-76.97393</v>
      </c>
      <c r="N118">
        <f>HYPERLINK("https://www.google.com/maps/search/?api=1&amp;query=-12.165647,-76.97393","Avenida Ramón Vargas Machuca, San Juan de Miraflores, Lima")</f>
      </c>
      <c r="O118" t="str">
        <v>Vehículo encendido</v>
      </c>
      <c r="P118">
        <v>359725.8</v>
      </c>
      <c r="Q118" t="str">
        <v/>
      </c>
      <c r="R118">
        <v>0</v>
      </c>
      <c r="S118">
        <v>18.12</v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>
        <v>90</v>
      </c>
      <c r="AB118" t="str">
        <v>18/09/2026</v>
      </c>
      <c r="AC118" t="str">
        <v>15:06:14</v>
      </c>
      <c r="AD118">
        <f>IF("ONLINE"="NOGPS","GPS Antiguo","En línea")</f>
      </c>
      <c r="AE118">
        <f>IF(0=0,"Sin atender", IF(0=1,"Atendida","Atendida y Reportada"))</f>
      </c>
      <c r="AF118" t="str">
        <v/>
      </c>
      <c r="AG118" t="str">
        <v/>
      </c>
      <c r="AH118" t="str">
        <v/>
      </c>
      <c r="AI118" t="str">
        <v/>
      </c>
      <c r="AJ118" t="str">
        <v>18/09/2026 15:06:25</v>
      </c>
      <c r="AK118" t="str">
        <v>15:06:25</v>
      </c>
      <c r="AL118" t="str">
        <v/>
      </c>
    </row>
    <row r="119">
      <c r="A119">
        <v>118</v>
      </c>
      <c r="B119" t="str">
        <v>MASS BSF</v>
      </c>
      <c r="C119" t="str">
        <v>AJQ-739</v>
      </c>
      <c r="D119" t="str">
        <v>AJQ-739</v>
      </c>
      <c r="E119" t="str">
        <v/>
      </c>
      <c r="F119" t="str">
        <v>867806075788192</v>
      </c>
      <c r="G119" t="str">
        <v>TBD</v>
      </c>
      <c r="H119" t="str">
        <v/>
      </c>
      <c r="I119" t="str">
        <v/>
      </c>
      <c r="J119" t="str">
        <v>18/09/2026</v>
      </c>
      <c r="K119" t="str">
        <v>15:07:55</v>
      </c>
      <c r="L119">
        <v>-12.1657</v>
      </c>
      <c r="M119">
        <v>-76.97457</v>
      </c>
      <c r="N119">
        <f>HYPERLINK("https://www.google.com/maps/search/?api=1&amp;query=-12.1657,-76.97457","Avenida Ramón Vargas Machuca, San Juan de Miraflores, Lima")</f>
      </c>
      <c r="O119" t="str">
        <v>Bache</v>
      </c>
      <c r="P119">
        <v>359726</v>
      </c>
      <c r="Q119" t="str">
        <v/>
      </c>
      <c r="R119">
        <v>5.9</v>
      </c>
      <c r="S119">
        <v>18.12</v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>
        <v>83</v>
      </c>
      <c r="AB119" t="str">
        <v>18/09/2026</v>
      </c>
      <c r="AC119" t="str">
        <v>15:07:53</v>
      </c>
      <c r="AD119">
        <f>IF("ONLINE"="NOGPS","GPS Antiguo","En línea")</f>
      </c>
      <c r="AE119">
        <f>IF(0=0,"Sin atender", IF(0=1,"Atendida","Atendida y Reportada"))</f>
      </c>
      <c r="AF119" t="str">
        <v/>
      </c>
      <c r="AG119" t="str">
        <v/>
      </c>
      <c r="AH119" t="str">
        <v/>
      </c>
      <c r="AI119" t="str">
        <v/>
      </c>
      <c r="AJ119" t="str">
        <v>18/09/2026 15:08:07</v>
      </c>
      <c r="AK119" t="str">
        <v>15:08:07</v>
      </c>
      <c r="AL119" t="str">
        <v/>
      </c>
    </row>
    <row r="120">
      <c r="A120">
        <v>119</v>
      </c>
      <c r="B120" t="str">
        <v>MASS BSF</v>
      </c>
      <c r="C120" t="str">
        <v>AJQ-739</v>
      </c>
      <c r="D120" t="str">
        <v>AJQ-739</v>
      </c>
      <c r="E120" t="str">
        <v/>
      </c>
      <c r="F120" t="str">
        <v>867806075788192</v>
      </c>
      <c r="G120" t="str">
        <v>TBD</v>
      </c>
      <c r="H120" t="str">
        <v/>
      </c>
      <c r="I120" t="str">
        <v/>
      </c>
      <c r="J120" t="str">
        <v>18/09/2026</v>
      </c>
      <c r="K120" t="str">
        <v>15:13:03</v>
      </c>
      <c r="L120">
        <v>-12.165704</v>
      </c>
      <c r="M120">
        <v>-76.97408</v>
      </c>
      <c r="N120">
        <f>HYPERLINK("https://www.google.com/maps/search/?api=1&amp;query=-12.165704,-76.97408","Avenida Ramón Vargas Machuca, San Juan de Miraflores, Lima")</f>
      </c>
      <c r="O120" t="str">
        <v>Vehículo apagado</v>
      </c>
      <c r="P120">
        <v>359726.1</v>
      </c>
      <c r="Q120" t="str">
        <v/>
      </c>
      <c r="R120">
        <v>0</v>
      </c>
      <c r="S120">
        <v>18.12</v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>
        <v>82</v>
      </c>
      <c r="AB120" t="str">
        <v>18/09/2026</v>
      </c>
      <c r="AC120" t="str">
        <v>15:13:00</v>
      </c>
      <c r="AD120">
        <f>IF("ONLINE"="NOGPS","GPS Antiguo","En línea")</f>
      </c>
      <c r="AE120">
        <f>IF(0=0,"Sin atender", IF(0=1,"Atendida","Atendida y Reportada"))</f>
      </c>
      <c r="AF120" t="str">
        <v/>
      </c>
      <c r="AG120" t="str">
        <v/>
      </c>
      <c r="AH120" t="str">
        <v/>
      </c>
      <c r="AI120" t="str">
        <v/>
      </c>
      <c r="AJ120" t="str">
        <v>18/09/2026 15:13:24</v>
      </c>
      <c r="AK120" t="str">
        <v>15:13:24</v>
      </c>
      <c r="AL120" t="str">
        <v/>
      </c>
    </row>
    <row r="121">
      <c r="A121">
        <v>120</v>
      </c>
      <c r="B121" t="str">
        <v>MASS BSF</v>
      </c>
      <c r="C121" t="str">
        <v>AJQ-739</v>
      </c>
      <c r="D121" t="str">
        <v>AJQ-739</v>
      </c>
      <c r="E121" t="str">
        <v/>
      </c>
      <c r="F121" t="str">
        <v>867806075788192</v>
      </c>
      <c r="G121" t="str">
        <v>TBD</v>
      </c>
      <c r="H121" t="str">
        <v/>
      </c>
      <c r="I121" t="str">
        <v/>
      </c>
      <c r="J121" t="str">
        <v>18/09/2026</v>
      </c>
      <c r="K121" t="str">
        <v>16:22:33</v>
      </c>
      <c r="L121">
        <v>-12.165717</v>
      </c>
      <c r="M121">
        <v>-76.97398</v>
      </c>
      <c r="N121">
        <f>HYPERLINK("https://www.google.com/maps/search/?api=1&amp;query=-12.165717,-76.97398","Avenida Ramón Vargas Machuca, San Juan de Miraflores, Lima")</f>
      </c>
      <c r="O121" t="str">
        <v>Se movio</v>
      </c>
      <c r="P121">
        <v>359726.1</v>
      </c>
      <c r="Q121" t="str">
        <v/>
      </c>
      <c r="R121">
        <v>0</v>
      </c>
      <c r="S121">
        <v>18.12</v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>
        <v>80</v>
      </c>
      <c r="AB121" t="str">
        <v>18/09/2026</v>
      </c>
      <c r="AC121" t="str">
        <v>16:22:30</v>
      </c>
      <c r="AD121">
        <f>IF("ONLINE"="NOGPS","GPS Antiguo","En línea")</f>
      </c>
      <c r="AE121">
        <f>IF(0=0,"Sin atender", IF(0=1,"Atendida","Atendida y Reportada"))</f>
      </c>
      <c r="AF121" t="str">
        <v/>
      </c>
      <c r="AG121" t="str">
        <v/>
      </c>
      <c r="AH121" t="str">
        <v/>
      </c>
      <c r="AI121" t="str">
        <v/>
      </c>
      <c r="AJ121" t="str">
        <v>18/09/2026 16:22:46</v>
      </c>
      <c r="AK121" t="str">
        <v>16:22:46</v>
      </c>
      <c r="AL121" t="str">
        <v/>
      </c>
    </row>
  </sheetData>
  <ignoredErrors>
    <ignoredError numberStoredAsText="1" sqref="A1:AL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Alerts</dc:subject>
  <dc:title>Report Alerts</dc:title>
</cp:coreProperties>
</file>