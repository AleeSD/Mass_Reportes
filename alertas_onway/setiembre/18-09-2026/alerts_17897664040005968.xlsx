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/>
      </c>
      <c r="J2" t="str">
        <v>18/09/2026</v>
      </c>
      <c r="K2" t="str">
        <v>05:08:53</v>
      </c>
      <c r="L2">
        <v>-12.21302</v>
      </c>
      <c r="M2">
        <v>-76.95907</v>
      </c>
      <c r="N2">
        <f>HYPERLINK("https://www.google.com/maps/search/?api=1&amp;query=-12.21302,-76.95907","Avenida Villa del Mar, Villa El Salvador, Lima")</f>
      </c>
      <c r="O2" t="str">
        <v>Vehículo encendido</v>
      </c>
      <c r="P2">
        <v>1581.7</v>
      </c>
      <c r="Q2" t="str">
        <v/>
      </c>
      <c r="R2">
        <v>0</v>
      </c>
      <c r="S2">
        <v>105.48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93</v>
      </c>
      <c r="AB2" t="str">
        <v>18/09/2026</v>
      </c>
      <c r="AC2" t="str">
        <v>05:08:52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05:09:09</v>
      </c>
      <c r="AK2" t="str">
        <v>05:09:09</v>
      </c>
      <c r="AL2" t="str">
        <v/>
      </c>
    </row>
    <row r="3">
      <c r="A3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/>
      </c>
      <c r="J3" t="str">
        <v>18/09/2026</v>
      </c>
      <c r="K3" t="str">
        <v>05:08:53</v>
      </c>
      <c r="L3">
        <v>-12.21302</v>
      </c>
      <c r="M3">
        <v>-76.95907</v>
      </c>
      <c r="N3">
        <f>HYPERLINK("https://www.google.com/maps/search/?api=1&amp;query=-12.21302,-76.95907","Avenida Villa del Mar, Villa El Salvador, Lima")</f>
      </c>
      <c r="O3" t="str">
        <v>Se movio</v>
      </c>
      <c r="P3">
        <v>1581.7</v>
      </c>
      <c r="Q3" t="str">
        <v/>
      </c>
      <c r="R3">
        <v>0</v>
      </c>
      <c r="S3">
        <v>105.48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93</v>
      </c>
      <c r="AB3" t="str">
        <v>18/09/2026</v>
      </c>
      <c r="AC3" t="str">
        <v>05:08:52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05:09:11</v>
      </c>
      <c r="AK3" t="str">
        <v>05:09:11</v>
      </c>
      <c r="AL3" t="str">
        <v/>
      </c>
    </row>
    <row r="4">
      <c r="A4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/>
      </c>
      <c r="J4" t="str">
        <v>18/09/2026</v>
      </c>
      <c r="K4" t="str">
        <v>05:46:11</v>
      </c>
      <c r="L4">
        <v>-12.153024</v>
      </c>
      <c r="M4">
        <v>-76.970634</v>
      </c>
      <c r="N4">
        <f>HYPERLINK("https://www.google.com/maps/search/?api=1&amp;query=-12.153024,-76.970634","Avenida Hernando de La Valle, San Juan de Miraflores, Lima")</f>
      </c>
      <c r="O4" t="str">
        <v>Vehículo apagado</v>
      </c>
      <c r="P4">
        <v>1591.9</v>
      </c>
      <c r="Q4" t="str">
        <v/>
      </c>
      <c r="R4">
        <v>0</v>
      </c>
      <c r="S4">
        <v>106.1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90</v>
      </c>
      <c r="AB4" t="str">
        <v>18/09/2026</v>
      </c>
      <c r="AC4" t="str">
        <v>05:46:10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05:46:36</v>
      </c>
      <c r="AK4" t="str">
        <v>05:46:36</v>
      </c>
      <c r="AL4" t="str">
        <v/>
      </c>
    </row>
    <row r="5">
      <c r="A5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/>
      </c>
      <c r="J5" t="str">
        <v>18/09/2026</v>
      </c>
      <c r="K5" t="str">
        <v>06:47:10</v>
      </c>
      <c r="L5">
        <v>-12.153024</v>
      </c>
      <c r="M5">
        <v>-76.970634</v>
      </c>
      <c r="N5">
        <f>HYPERLINK("https://www.google.com/maps/search/?api=1&amp;query=-12.153024,-76.970634","Avenida Hernando de La Valle, San Juan de Miraflores, Lima")</f>
      </c>
      <c r="O5" t="str">
        <v>Vehículo encendido</v>
      </c>
      <c r="P5">
        <v>1591.9</v>
      </c>
      <c r="Q5" t="str">
        <v/>
      </c>
      <c r="R5">
        <v>0</v>
      </c>
      <c r="S5">
        <v>106.1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92</v>
      </c>
      <c r="AB5" t="str">
        <v>18/09/2026</v>
      </c>
      <c r="AC5" t="str">
        <v>06:47:08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06:47:20</v>
      </c>
      <c r="AK5" t="str">
        <v>06:47:20</v>
      </c>
      <c r="AL5" t="str">
        <v/>
      </c>
    </row>
    <row r="6">
      <c r="A6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/>
      </c>
      <c r="J6" t="str">
        <v>18/09/2026</v>
      </c>
      <c r="K6" t="str">
        <v>06:47:10</v>
      </c>
      <c r="L6">
        <v>-12.153024</v>
      </c>
      <c r="M6">
        <v>-76.970634</v>
      </c>
      <c r="N6">
        <f>HYPERLINK("https://www.google.com/maps/search/?api=1&amp;query=-12.153024,-76.970634","Avenida Hernando de La Valle, San Juan de Miraflores, Lima")</f>
      </c>
      <c r="O6" t="str">
        <v>Se movio</v>
      </c>
      <c r="P6">
        <v>1591.9</v>
      </c>
      <c r="Q6" t="str">
        <v/>
      </c>
      <c r="R6">
        <v>0</v>
      </c>
      <c r="S6">
        <v>106.1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92</v>
      </c>
      <c r="AB6" t="str">
        <v>18/09/2026</v>
      </c>
      <c r="AC6" t="str">
        <v>06:47:08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06:47:20</v>
      </c>
      <c r="AK6" t="str">
        <v>06:47:20</v>
      </c>
      <c r="AL6" t="str">
        <v/>
      </c>
    </row>
    <row r="7">
      <c r="A7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/>
      </c>
      <c r="J7" t="str">
        <v>18/09/2026</v>
      </c>
      <c r="K7" t="str">
        <v>06:50:26</v>
      </c>
      <c r="L7">
        <v>-12.153024</v>
      </c>
      <c r="M7">
        <v>-76.970634</v>
      </c>
      <c r="N7">
        <f>HYPERLINK("https://www.google.com/maps/search/?api=1&amp;query=-12.153024,-76.970634","Avenida Hernando de La Valle, San Juan de Miraflores, Lima")</f>
      </c>
      <c r="O7" t="str">
        <v>Encendido o Entró en cobertura</v>
      </c>
      <c r="P7">
        <v>1591.9</v>
      </c>
      <c r="Q7" t="str">
        <v/>
      </c>
      <c r="R7">
        <v>0</v>
      </c>
      <c r="S7">
        <v>106.1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93</v>
      </c>
      <c r="AB7" t="str">
        <v>18/09/2026</v>
      </c>
      <c r="AC7" t="str">
        <v>06:50:08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06:50:38</v>
      </c>
      <c r="AK7" t="str">
        <v>06:50:38</v>
      </c>
      <c r="AL7" t="str">
        <v/>
      </c>
    </row>
    <row r="8">
      <c r="A8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/>
      </c>
      <c r="J8" t="str">
        <v>18/09/2026</v>
      </c>
      <c r="K8" t="str">
        <v>06:54:40</v>
      </c>
      <c r="L8">
        <v>-12.153024</v>
      </c>
      <c r="M8">
        <v>-76.970634</v>
      </c>
      <c r="N8">
        <f>HYPERLINK("https://www.google.com/maps/search/?api=1&amp;query=-12.153024,-76.970634","Avenida Hernando de La Valle, San Juan de Miraflores, Lima")</f>
      </c>
      <c r="O8" t="str">
        <v>Vehículo apagado</v>
      </c>
      <c r="P8">
        <v>1591.9</v>
      </c>
      <c r="Q8" t="str">
        <v/>
      </c>
      <c r="R8">
        <v>0</v>
      </c>
      <c r="S8">
        <v>106.23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87</v>
      </c>
      <c r="AB8" t="str">
        <v>18/09/2026</v>
      </c>
      <c r="AC8" t="str">
        <v>06:54:38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06:54:53</v>
      </c>
      <c r="AK8" t="str">
        <v>06:54:53</v>
      </c>
      <c r="AL8" t="str">
        <v/>
      </c>
    </row>
    <row r="9">
      <c r="A9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/>
      </c>
      <c r="J9" t="str">
        <v>18/09/2026</v>
      </c>
      <c r="K9" t="str">
        <v>07:06:57</v>
      </c>
      <c r="L9">
        <v>-12.153024</v>
      </c>
      <c r="M9">
        <v>-76.970634</v>
      </c>
      <c r="N9">
        <f>HYPERLINK("https://www.google.com/maps/search/?api=1&amp;query=-12.153024,-76.970634","Avenida Hernando de La Valle, San Juan de Miraflores, Lima")</f>
      </c>
      <c r="O9" t="str">
        <v>Vehículo encendido</v>
      </c>
      <c r="P9">
        <v>1591.9</v>
      </c>
      <c r="Q9" t="str">
        <v/>
      </c>
      <c r="R9">
        <v>0</v>
      </c>
      <c r="S9">
        <v>106.23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87</v>
      </c>
      <c r="AB9" t="str">
        <v>18/09/2026</v>
      </c>
      <c r="AC9" t="str">
        <v>07:06:55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07:07:10</v>
      </c>
      <c r="AK9" t="str">
        <v>07:07:10</v>
      </c>
      <c r="AL9" t="str">
        <v/>
      </c>
    </row>
    <row r="10">
      <c r="A10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/>
      </c>
      <c r="J10" t="str">
        <v>18/09/2026</v>
      </c>
      <c r="K10" t="str">
        <v>07:06:57</v>
      </c>
      <c r="L10">
        <v>-12.153024</v>
      </c>
      <c r="M10">
        <v>-76.970634</v>
      </c>
      <c r="N10">
        <f>HYPERLINK("https://www.google.com/maps/search/?api=1&amp;query=-12.153024,-76.970634","Avenida Hernando de La Valle, San Juan de Miraflores, Lima")</f>
      </c>
      <c r="O10" t="str">
        <v>Se movio</v>
      </c>
      <c r="P10">
        <v>1591.9</v>
      </c>
      <c r="Q10" t="str">
        <v/>
      </c>
      <c r="R10">
        <v>0</v>
      </c>
      <c r="S10">
        <v>106.23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87</v>
      </c>
      <c r="AB10" t="str">
        <v>18/09/2026</v>
      </c>
      <c r="AC10" t="str">
        <v>07:06:55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07:07:08</v>
      </c>
      <c r="AK10" t="str">
        <v>07:07:08</v>
      </c>
      <c r="AL10" t="str">
        <v/>
      </c>
    </row>
    <row r="11">
      <c r="A11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/>
      </c>
      <c r="J11" t="str">
        <v>18/09/2026</v>
      </c>
      <c r="K11" t="str">
        <v>07:22:01</v>
      </c>
      <c r="L11">
        <v>-12.155142</v>
      </c>
      <c r="M11">
        <v>-76.97729</v>
      </c>
      <c r="N11">
        <f>HYPERLINK("https://www.google.com/maps/search/?api=1&amp;query=-12.155142,-76.97729","Joaquín Bernal, San Juan de Miraflores, Lima")</f>
      </c>
      <c r="O11" t="str">
        <v>Vehículo apagado</v>
      </c>
      <c r="P11">
        <v>1592.9</v>
      </c>
      <c r="Q11" t="str">
        <v/>
      </c>
      <c r="R11">
        <v>0</v>
      </c>
      <c r="S11">
        <v>106.48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83</v>
      </c>
      <c r="AB11" t="str">
        <v>18/09/2026</v>
      </c>
      <c r="AC11" t="str">
        <v>07:21:59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07:22:23</v>
      </c>
      <c r="AK11" t="str">
        <v>07:22:23</v>
      </c>
      <c r="AL11" t="str">
        <v/>
      </c>
    </row>
    <row r="12">
      <c r="A12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/>
      </c>
      <c r="J12" t="str">
        <v>18/09/2026</v>
      </c>
      <c r="K12" t="str">
        <v>07:38:25</v>
      </c>
      <c r="L12">
        <v>-12.155142</v>
      </c>
      <c r="M12">
        <v>-76.97729</v>
      </c>
      <c r="N12">
        <f>HYPERLINK("https://www.google.com/maps/search/?api=1&amp;query=-12.155142,-76.97729","Joaquín Bernal, San Juan de Miraflores, Lima")</f>
      </c>
      <c r="O12" t="str">
        <v>Vehículo encendido</v>
      </c>
      <c r="P12">
        <v>1592.9</v>
      </c>
      <c r="Q12" t="str">
        <v/>
      </c>
      <c r="R12">
        <v>0</v>
      </c>
      <c r="S12">
        <v>106.48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83</v>
      </c>
      <c r="AB12" t="str">
        <v>18/09/2026</v>
      </c>
      <c r="AC12" t="str">
        <v>07:38:24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07:38:40</v>
      </c>
      <c r="AK12" t="str">
        <v>07:38:40</v>
      </c>
      <c r="AL12" t="str">
        <v/>
      </c>
    </row>
    <row r="13">
      <c r="A13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/>
      </c>
      <c r="J13" t="str">
        <v>18/09/2026</v>
      </c>
      <c r="K13" t="str">
        <v>07:38:25</v>
      </c>
      <c r="L13">
        <v>-12.155142</v>
      </c>
      <c r="M13">
        <v>-76.97729</v>
      </c>
      <c r="N13">
        <f>HYPERLINK("https://www.google.com/maps/search/?api=1&amp;query=-12.155142,-76.97729","Joaquín Bernal, San Juan de Miraflores, Lima")</f>
      </c>
      <c r="O13" t="str">
        <v>Se movio</v>
      </c>
      <c r="P13">
        <v>1592.9</v>
      </c>
      <c r="Q13" t="str">
        <v/>
      </c>
      <c r="R13">
        <v>0</v>
      </c>
      <c r="S13">
        <v>106.48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83</v>
      </c>
      <c r="AB13" t="str">
        <v>18/09/2026</v>
      </c>
      <c r="AC13" t="str">
        <v>07:38:24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07:38:40</v>
      </c>
      <c r="AK13" t="str">
        <v>07:38:40</v>
      </c>
      <c r="AL13" t="str">
        <v/>
      </c>
    </row>
    <row r="14">
      <c r="A14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/>
      </c>
      <c r="J14" t="str">
        <v>18/09/2026</v>
      </c>
      <c r="K14" t="str">
        <v>07:56:18</v>
      </c>
      <c r="L14">
        <v>-12.15626</v>
      </c>
      <c r="M14">
        <v>-76.97152</v>
      </c>
      <c r="N14">
        <f>HYPERLINK("https://www.google.com/maps/search/?api=1&amp;query=-12.15626,-76.97152","Manuel Montero Rosas, San Juan de Miraflores, Lima")</f>
      </c>
      <c r="O14" t="str">
        <v>Vehículo apagado</v>
      </c>
      <c r="P14">
        <v>1594.5</v>
      </c>
      <c r="Q14" t="str">
        <v/>
      </c>
      <c r="R14">
        <v>0</v>
      </c>
      <c r="S14">
        <v>106.78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83</v>
      </c>
      <c r="AB14" t="str">
        <v>18/09/2026</v>
      </c>
      <c r="AC14" t="str">
        <v>07:56:16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07:56:33</v>
      </c>
      <c r="AK14" t="str">
        <v>07:56:33</v>
      </c>
      <c r="AL14" t="str">
        <v/>
      </c>
    </row>
    <row r="15">
      <c r="A15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/>
      </c>
      <c r="J15" t="str">
        <v>18/09/2026</v>
      </c>
      <c r="K15" t="str">
        <v>08:26:14</v>
      </c>
      <c r="L15">
        <v>-12.15626</v>
      </c>
      <c r="M15">
        <v>-76.97152</v>
      </c>
      <c r="N15">
        <f>HYPERLINK("https://www.google.com/maps/search/?api=1&amp;query=-12.15626,-76.97152","Manuel Montero Rosas, San Juan de Miraflores, Lima")</f>
      </c>
      <c r="O15" t="str">
        <v>Vehículo encendido</v>
      </c>
      <c r="P15">
        <v>1594.5</v>
      </c>
      <c r="Q15" t="str">
        <v/>
      </c>
      <c r="R15">
        <v>0</v>
      </c>
      <c r="S15">
        <v>106.78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83</v>
      </c>
      <c r="AB15" t="str">
        <v>18/09/2026</v>
      </c>
      <c r="AC15" t="str">
        <v>08:26:12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08:26:22</v>
      </c>
      <c r="AK15" t="str">
        <v>08:26:22</v>
      </c>
      <c r="AL15" t="str">
        <v/>
      </c>
    </row>
    <row r="16">
      <c r="A16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/>
      </c>
      <c r="J16" t="str">
        <v>18/09/2026</v>
      </c>
      <c r="K16" t="str">
        <v>08:26:14</v>
      </c>
      <c r="L16">
        <v>-12.15626</v>
      </c>
      <c r="M16">
        <v>-76.97152</v>
      </c>
      <c r="N16">
        <f>HYPERLINK("https://www.google.com/maps/search/?api=1&amp;query=-12.15626,-76.97152","Manuel Montero Rosas, San Juan de Miraflores, Lima")</f>
      </c>
      <c r="O16" t="str">
        <v>Se movio</v>
      </c>
      <c r="P16">
        <v>1594.5</v>
      </c>
      <c r="Q16" t="str">
        <v/>
      </c>
      <c r="R16">
        <v>0</v>
      </c>
      <c r="S16">
        <v>106.78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83</v>
      </c>
      <c r="AB16" t="str">
        <v>18/09/2026</v>
      </c>
      <c r="AC16" t="str">
        <v>08:26:12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08:26:19</v>
      </c>
      <c r="AK16" t="str">
        <v>08:26:19</v>
      </c>
      <c r="AL16" t="str">
        <v/>
      </c>
    </row>
    <row r="17">
      <c r="A17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/>
      </c>
      <c r="J17" t="str">
        <v>18/09/2026</v>
      </c>
      <c r="K17" t="str">
        <v>08:36:19</v>
      </c>
      <c r="L17">
        <v>-12.17815</v>
      </c>
      <c r="M17">
        <v>-76.97533</v>
      </c>
      <c r="N17">
        <f>HYPERLINK("https://www.google.com/maps/search/?api=1&amp;query=-12.17815,-76.97533","Avenida Prolongación Pedro Miotta, San Juan de Miraflores, Lima")</f>
      </c>
      <c r="O17" t="str">
        <v>Exceso de velocidad en segmento vial</v>
      </c>
      <c r="P17">
        <v>1598</v>
      </c>
      <c r="Q17" t="str">
        <v/>
      </c>
      <c r="R17">
        <v>44</v>
      </c>
      <c r="S17">
        <v>106.78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92</v>
      </c>
      <c r="AB17" t="str">
        <v>18/09/2026</v>
      </c>
      <c r="AC17" t="str">
        <v>08:36:17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08:36:26</v>
      </c>
      <c r="AK17" t="str">
        <v>08:36:26</v>
      </c>
      <c r="AL17" t="str">
        <v/>
      </c>
    </row>
    <row r="18">
      <c r="A18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/>
      </c>
      <c r="J18" t="str">
        <v>18/09/2026</v>
      </c>
      <c r="K18" t="str">
        <v>08:37:17</v>
      </c>
      <c r="L18">
        <v>-12.184419</v>
      </c>
      <c r="M18">
        <v>-76.97366</v>
      </c>
      <c r="N18">
        <f>HYPERLINK("https://www.google.com/maps/search/?api=1&amp;query=-12.184419,-76.97366","Avenida Prolongación Pedro Miotta, San Juan de Miraflores, Lima")</f>
      </c>
      <c r="O18" t="str">
        <v>Exceso de velocidad en segmento vial</v>
      </c>
      <c r="P18">
        <v>1598.7</v>
      </c>
      <c r="Q18" t="str">
        <v/>
      </c>
      <c r="R18">
        <v>64.6</v>
      </c>
      <c r="S18">
        <v>106.78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85</v>
      </c>
      <c r="AB18" t="str">
        <v>18/09/2026</v>
      </c>
      <c r="AC18" t="str">
        <v>08:37:16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08:37:25</v>
      </c>
      <c r="AK18" t="str">
        <v>08:37:25</v>
      </c>
      <c r="AL18" t="str">
        <v/>
      </c>
    </row>
    <row r="19">
      <c r="A19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/>
      </c>
      <c r="J19" t="str">
        <v>18/09/2026</v>
      </c>
      <c r="K19" t="str">
        <v>09:36:57</v>
      </c>
      <c r="L19">
        <v>-12.31743</v>
      </c>
      <c r="M19">
        <v>-76.822914</v>
      </c>
      <c r="N19">
        <f>HYPERLINK("https://www.google.com/maps/search/?api=1&amp;query=-12.31743,-76.822914","Punta Hermosa, Lima")</f>
      </c>
      <c r="O19" t="str">
        <v>Vehículo apagado</v>
      </c>
      <c r="P19">
        <v>1628.8</v>
      </c>
      <c r="Q19" t="str">
        <v/>
      </c>
      <c r="R19">
        <v>0</v>
      </c>
      <c r="S19">
        <v>107.97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83</v>
      </c>
      <c r="AB19" t="str">
        <v>18/09/2026</v>
      </c>
      <c r="AC19" t="str">
        <v>09:36:54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09:37:05</v>
      </c>
      <c r="AK19" t="str">
        <v>09:37:05</v>
      </c>
      <c r="AL19" t="str">
        <v/>
      </c>
    </row>
    <row r="20">
      <c r="A20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/>
      </c>
      <c r="J20" t="str">
        <v>18/09/2026</v>
      </c>
      <c r="K20" t="str">
        <v>09:56:40</v>
      </c>
      <c r="L20">
        <v>-12.31743</v>
      </c>
      <c r="M20">
        <v>-76.822914</v>
      </c>
      <c r="N20">
        <f>HYPERLINK("https://www.google.com/maps/search/?api=1&amp;query=-12.31743,-76.822914","Punta Hermosa, Lima")</f>
      </c>
      <c r="O20" t="str">
        <v>Vehículo encendido</v>
      </c>
      <c r="P20">
        <v>1628.8</v>
      </c>
      <c r="Q20" t="str">
        <v/>
      </c>
      <c r="R20">
        <v>0</v>
      </c>
      <c r="S20">
        <v>107.97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83</v>
      </c>
      <c r="AB20" t="str">
        <v>18/09/2026</v>
      </c>
      <c r="AC20" t="str">
        <v>09:56:37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09:56:46</v>
      </c>
      <c r="AK20" t="str">
        <v>09:56:46</v>
      </c>
      <c r="AL20" t="str">
        <v/>
      </c>
    </row>
    <row r="21">
      <c r="A21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/>
      </c>
      <c r="J21" t="str">
        <v>18/09/2026</v>
      </c>
      <c r="K21" t="str">
        <v>09:56:40</v>
      </c>
      <c r="L21">
        <v>-12.31743</v>
      </c>
      <c r="M21">
        <v>-76.822914</v>
      </c>
      <c r="N21">
        <f>HYPERLINK("https://www.google.com/maps/search/?api=1&amp;query=-12.31743,-76.822914","Punta Hermosa, Lima")</f>
      </c>
      <c r="O21" t="str">
        <v>Se movio</v>
      </c>
      <c r="P21">
        <v>1628.8</v>
      </c>
      <c r="Q21" t="str">
        <v/>
      </c>
      <c r="R21">
        <v>0</v>
      </c>
      <c r="S21">
        <v>107.97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83</v>
      </c>
      <c r="AB21" t="str">
        <v>18/09/2026</v>
      </c>
      <c r="AC21" t="str">
        <v>09:56:37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09:56:51</v>
      </c>
      <c r="AK21" t="str">
        <v>09:56:51</v>
      </c>
      <c r="AL21" t="str">
        <v/>
      </c>
    </row>
    <row r="22">
      <c r="A22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/>
      </c>
      <c r="J22" t="str">
        <v>18/09/2026</v>
      </c>
      <c r="K22" t="str">
        <v>10:05:18</v>
      </c>
      <c r="L22">
        <v>-12.317875</v>
      </c>
      <c r="M22">
        <v>-76.824135</v>
      </c>
      <c r="N22">
        <f>HYPERLINK("https://www.google.com/maps/search/?api=1&amp;query=-12.317875,-76.824135","Punta Hermosa, Lima")</f>
      </c>
      <c r="O22" t="str">
        <v>Vehículo apagado</v>
      </c>
      <c r="P22">
        <v>1629</v>
      </c>
      <c r="Q22" t="str">
        <v/>
      </c>
      <c r="R22">
        <v>0</v>
      </c>
      <c r="S22">
        <v>108.12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85</v>
      </c>
      <c r="AB22" t="str">
        <v>18/09/2026</v>
      </c>
      <c r="AC22" t="str">
        <v>10:05:15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10:05:31</v>
      </c>
      <c r="AK22" t="str">
        <v>10:05:31</v>
      </c>
      <c r="AL22" t="str">
        <v/>
      </c>
    </row>
    <row r="23">
      <c r="A23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/>
      </c>
      <c r="J23" t="str">
        <v>18/09/2026</v>
      </c>
      <c r="K23" t="str">
        <v>10:09:16</v>
      </c>
      <c r="L23">
        <v>-12.317875</v>
      </c>
      <c r="M23">
        <v>-76.824135</v>
      </c>
      <c r="N23">
        <f>HYPERLINK("https://www.google.com/maps/search/?api=1&amp;query=-12.317875,-76.824135","Punta Hermosa, Lima")</f>
      </c>
      <c r="O23" t="str">
        <v>Vehículo encendido</v>
      </c>
      <c r="P23">
        <v>1629</v>
      </c>
      <c r="Q23" t="str">
        <v/>
      </c>
      <c r="R23">
        <v>0</v>
      </c>
      <c r="S23">
        <v>108.12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85</v>
      </c>
      <c r="AB23" t="str">
        <v>18/09/2026</v>
      </c>
      <c r="AC23" t="str">
        <v>10:09:14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10:09:23</v>
      </c>
      <c r="AK23" t="str">
        <v>10:09:23</v>
      </c>
      <c r="AL23" t="str">
        <v/>
      </c>
    </row>
    <row r="24">
      <c r="A24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/>
      </c>
      <c r="J24" t="str">
        <v>18/09/2026</v>
      </c>
      <c r="K24" t="str">
        <v>10:09:16</v>
      </c>
      <c r="L24">
        <v>-12.317875</v>
      </c>
      <c r="M24">
        <v>-76.824135</v>
      </c>
      <c r="N24">
        <f>HYPERLINK("https://www.google.com/maps/search/?api=1&amp;query=-12.317875,-76.824135","Punta Hermosa, Lima")</f>
      </c>
      <c r="O24" t="str">
        <v>Se movio</v>
      </c>
      <c r="P24">
        <v>1629</v>
      </c>
      <c r="Q24" t="str">
        <v/>
      </c>
      <c r="R24">
        <v>0</v>
      </c>
      <c r="S24">
        <v>108.12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85</v>
      </c>
      <c r="AB24" t="str">
        <v>18/09/2026</v>
      </c>
      <c r="AC24" t="str">
        <v>10:09:14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10:09:25</v>
      </c>
      <c r="AK24" t="str">
        <v>10:09:25</v>
      </c>
      <c r="AL24" t="str">
        <v/>
      </c>
    </row>
    <row r="25">
      <c r="A25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/>
      </c>
      <c r="J25" t="str">
        <v>18/09/2026</v>
      </c>
      <c r="K25" t="str">
        <v>10:19:50</v>
      </c>
      <c r="L25">
        <v>-12.317482</v>
      </c>
      <c r="M25">
        <v>-76.82443</v>
      </c>
      <c r="N25">
        <f>HYPERLINK("https://www.google.com/maps/search/?api=1&amp;query=-12.317482,-76.82443","Punta Hermosa, Lima")</f>
      </c>
      <c r="O25" t="str">
        <v>Vehículo apagado</v>
      </c>
      <c r="P25">
        <v>1629.1</v>
      </c>
      <c r="Q25" t="str">
        <v/>
      </c>
      <c r="R25">
        <v>0</v>
      </c>
      <c r="S25">
        <v>108.3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93</v>
      </c>
      <c r="AB25" t="str">
        <v>18/09/2026</v>
      </c>
      <c r="AC25" t="str">
        <v>10:19:47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10:20:01</v>
      </c>
      <c r="AK25" t="str">
        <v>10:20:01</v>
      </c>
      <c r="AL25" t="str">
        <v/>
      </c>
    </row>
    <row r="26">
      <c r="A26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/>
      </c>
      <c r="J26" t="str">
        <v>18/09/2026</v>
      </c>
      <c r="K26" t="str">
        <v>10:28:34</v>
      </c>
      <c r="L26">
        <v>-12.317482</v>
      </c>
      <c r="M26">
        <v>-76.82443</v>
      </c>
      <c r="N26">
        <f>HYPERLINK("https://www.google.com/maps/search/?api=1&amp;query=-12.317482,-76.82443","Punta Hermosa, Lima")</f>
      </c>
      <c r="O26" t="str">
        <v>Vehículo encendido</v>
      </c>
      <c r="P26">
        <v>1629.1</v>
      </c>
      <c r="Q26" t="str">
        <v/>
      </c>
      <c r="R26">
        <v>0</v>
      </c>
      <c r="S26">
        <v>108.3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93</v>
      </c>
      <c r="AB26" t="str">
        <v>18/09/2026</v>
      </c>
      <c r="AC26" t="str">
        <v>10:28:32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10:28:46</v>
      </c>
      <c r="AK26" t="str">
        <v>10:28:46</v>
      </c>
      <c r="AL26" t="str">
        <v/>
      </c>
    </row>
    <row r="27">
      <c r="A27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/>
      </c>
      <c r="J27" t="str">
        <v>18/09/2026</v>
      </c>
      <c r="K27" t="str">
        <v>10:28:34</v>
      </c>
      <c r="L27">
        <v>-12.317482</v>
      </c>
      <c r="M27">
        <v>-76.82443</v>
      </c>
      <c r="N27">
        <f>HYPERLINK("https://www.google.com/maps/search/?api=1&amp;query=-12.317482,-76.82443","Punta Hermosa, Lima")</f>
      </c>
      <c r="O27" t="str">
        <v>Se movio</v>
      </c>
      <c r="P27">
        <v>1629.1</v>
      </c>
      <c r="Q27" t="str">
        <v/>
      </c>
      <c r="R27">
        <v>0</v>
      </c>
      <c r="S27">
        <v>108.3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93</v>
      </c>
      <c r="AB27" t="str">
        <v>18/09/2026</v>
      </c>
      <c r="AC27" t="str">
        <v>10:28:32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10:28:42</v>
      </c>
      <c r="AK27" t="str">
        <v>10:28:42</v>
      </c>
      <c r="AL27" t="str">
        <v/>
      </c>
    </row>
    <row r="28">
      <c r="A28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/>
      </c>
      <c r="J28" t="str">
        <v>18/09/2026</v>
      </c>
      <c r="K28" t="str">
        <v>10:36:04</v>
      </c>
      <c r="L28">
        <v>-12.317482</v>
      </c>
      <c r="M28">
        <v>-76.82443</v>
      </c>
      <c r="N28">
        <f>HYPERLINK("https://www.google.com/maps/search/?api=1&amp;query=-12.317482,-76.82443","Punta Hermosa, Lima")</f>
      </c>
      <c r="O28" t="str">
        <v>Vehículo apagado</v>
      </c>
      <c r="P28">
        <v>1629.1</v>
      </c>
      <c r="Q28" t="str">
        <v/>
      </c>
      <c r="R28">
        <v>0</v>
      </c>
      <c r="S28">
        <v>108.43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93</v>
      </c>
      <c r="AB28" t="str">
        <v>18/09/2026</v>
      </c>
      <c r="AC28" t="str">
        <v>10:36:01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10:36:14</v>
      </c>
      <c r="AK28" t="str">
        <v>10:36:14</v>
      </c>
      <c r="AL28" t="str">
        <v/>
      </c>
    </row>
    <row r="29">
      <c r="A29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/>
      </c>
      <c r="J29" t="str">
        <v>18/09/2026</v>
      </c>
      <c r="K29" t="str">
        <v>10:49:11</v>
      </c>
      <c r="L29">
        <v>-12.317482</v>
      </c>
      <c r="M29">
        <v>-76.82443</v>
      </c>
      <c r="N29">
        <f>HYPERLINK("https://www.google.com/maps/search/?api=1&amp;query=-12.317482,-76.82443","Punta Hermosa, Lima")</f>
      </c>
      <c r="O29" t="str">
        <v>Vehículo encendido</v>
      </c>
      <c r="P29">
        <v>1629.1</v>
      </c>
      <c r="Q29" t="str">
        <v/>
      </c>
      <c r="R29">
        <v>0</v>
      </c>
      <c r="S29">
        <v>108.43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93</v>
      </c>
      <c r="AB29" t="str">
        <v>18/09/2026</v>
      </c>
      <c r="AC29" t="str">
        <v>10:49:08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10:49:38</v>
      </c>
      <c r="AK29" t="str">
        <v>10:49:38</v>
      </c>
      <c r="AL29" t="str">
        <v/>
      </c>
    </row>
    <row r="30">
      <c r="A30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/>
      </c>
      <c r="J30" t="str">
        <v>18/09/2026</v>
      </c>
      <c r="K30" t="str">
        <v>10:49:11</v>
      </c>
      <c r="L30">
        <v>-12.317482</v>
      </c>
      <c r="M30">
        <v>-76.82443</v>
      </c>
      <c r="N30">
        <f>HYPERLINK("https://www.google.com/maps/search/?api=1&amp;query=-12.317482,-76.82443","Punta Hermosa, Lima")</f>
      </c>
      <c r="O30" t="str">
        <v>Se movio</v>
      </c>
      <c r="P30">
        <v>1629.1</v>
      </c>
      <c r="Q30" t="str">
        <v/>
      </c>
      <c r="R30">
        <v>0</v>
      </c>
      <c r="S30">
        <v>108.43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93</v>
      </c>
      <c r="AB30" t="str">
        <v>18/09/2026</v>
      </c>
      <c r="AC30" t="str">
        <v>10:49:08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10:49:38</v>
      </c>
      <c r="AK30" t="str">
        <v>10:49:38</v>
      </c>
      <c r="AL30" t="str">
        <v/>
      </c>
    </row>
    <row r="31">
      <c r="A31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/>
      </c>
      <c r="J31" t="str">
        <v>18/09/2026</v>
      </c>
      <c r="K31" t="str">
        <v>11:17:09</v>
      </c>
      <c r="L31">
        <v>-12.295526</v>
      </c>
      <c r="M31">
        <v>-76.85191</v>
      </c>
      <c r="N31">
        <f>HYPERLINK("https://www.google.com/maps/search/?api=1&amp;query=-12.295526,-76.85191","Antigua Panamericana Sur, Lurín, Lima")</f>
      </c>
      <c r="O31" t="str">
        <v>Vehículo apagado</v>
      </c>
      <c r="P31">
        <v>1633.6</v>
      </c>
      <c r="Q31" t="str">
        <v/>
      </c>
      <c r="R31">
        <v>0</v>
      </c>
      <c r="S31">
        <v>108.9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91</v>
      </c>
      <c r="AB31" t="str">
        <v>18/09/2026</v>
      </c>
      <c r="AC31" t="str">
        <v>11:17:05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11:17:20</v>
      </c>
      <c r="AK31" t="str">
        <v>11:17:20</v>
      </c>
      <c r="AL31" t="str">
        <v/>
      </c>
    </row>
    <row r="32">
      <c r="A32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/>
      </c>
      <c r="J32" t="str">
        <v>18/09/2026</v>
      </c>
      <c r="K32" t="str">
        <v>11:36:52</v>
      </c>
      <c r="L32">
        <v>-12.295526</v>
      </c>
      <c r="M32">
        <v>-76.85191</v>
      </c>
      <c r="N32">
        <f>HYPERLINK("https://www.google.com/maps/search/?api=1&amp;query=-12.295526,-76.85191","Antigua Panamericana Sur, Lurín, Lima")</f>
      </c>
      <c r="O32" t="str">
        <v>Vehículo encendido</v>
      </c>
      <c r="P32">
        <v>1633.6</v>
      </c>
      <c r="Q32" t="str">
        <v/>
      </c>
      <c r="R32">
        <v>0</v>
      </c>
      <c r="S32">
        <v>108.9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91</v>
      </c>
      <c r="AB32" t="str">
        <v>18/09/2026</v>
      </c>
      <c r="AC32" t="str">
        <v>11:36:49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11:37:05</v>
      </c>
      <c r="AK32" t="str">
        <v>11:37:05</v>
      </c>
      <c r="AL32" t="str">
        <v/>
      </c>
    </row>
    <row r="33">
      <c r="A33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/>
      </c>
      <c r="J33" t="str">
        <v>18/09/2026</v>
      </c>
      <c r="K33" t="str">
        <v>11:36:52</v>
      </c>
      <c r="L33">
        <v>-12.295526</v>
      </c>
      <c r="M33">
        <v>-76.85191</v>
      </c>
      <c r="N33">
        <f>HYPERLINK("https://www.google.com/maps/search/?api=1&amp;query=-12.295526,-76.85191","Antigua Panamericana Sur, Lurín, Lima")</f>
      </c>
      <c r="O33" t="str">
        <v>Se movio</v>
      </c>
      <c r="P33">
        <v>1633.6</v>
      </c>
      <c r="Q33" t="str">
        <v/>
      </c>
      <c r="R33">
        <v>0</v>
      </c>
      <c r="S33">
        <v>108.9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91</v>
      </c>
      <c r="AB33" t="str">
        <v>18/09/2026</v>
      </c>
      <c r="AC33" t="str">
        <v>11:36:49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11:37:05</v>
      </c>
      <c r="AK33" t="str">
        <v>11:37:05</v>
      </c>
      <c r="AL33" t="str">
        <v/>
      </c>
    </row>
    <row r="34">
      <c r="A34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/>
      </c>
      <c r="J34" t="str">
        <v>18/09/2026</v>
      </c>
      <c r="K34" t="str">
        <v>11:48:32</v>
      </c>
      <c r="L34">
        <v>-12.291741</v>
      </c>
      <c r="M34">
        <v>-76.8535</v>
      </c>
      <c r="N34">
        <f>HYPERLINK("https://www.google.com/maps/search/?api=1&amp;query=-12.291741,-76.8535","Jirón Portugal, Lurín, Lima")</f>
      </c>
      <c r="O34" t="str">
        <v>Vehículo apagado</v>
      </c>
      <c r="P34">
        <v>1634.4</v>
      </c>
      <c r="Q34" t="str">
        <v/>
      </c>
      <c r="R34">
        <v>0</v>
      </c>
      <c r="S34">
        <v>109.1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93</v>
      </c>
      <c r="AB34" t="str">
        <v>18/09/2026</v>
      </c>
      <c r="AC34" t="str">
        <v>11:48:28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11:48:48</v>
      </c>
      <c r="AK34" t="str">
        <v>11:48:48</v>
      </c>
      <c r="AL34" t="str">
        <v/>
      </c>
    </row>
    <row r="35">
      <c r="A35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/>
      </c>
      <c r="J35" t="str">
        <v>18/09/2026</v>
      </c>
      <c r="K35" t="str">
        <v>12:06:40</v>
      </c>
      <c r="L35">
        <v>-12.291741</v>
      </c>
      <c r="M35">
        <v>-76.8535</v>
      </c>
      <c r="N35">
        <f>HYPERLINK("https://www.google.com/maps/search/?api=1&amp;query=-12.291741,-76.8535","Jirón Portugal, Lurín, Lima")</f>
      </c>
      <c r="O35" t="str">
        <v>Vehículo encendido</v>
      </c>
      <c r="P35">
        <v>1634.4</v>
      </c>
      <c r="Q35" t="str">
        <v/>
      </c>
      <c r="R35">
        <v>0</v>
      </c>
      <c r="S35">
        <v>109.1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93</v>
      </c>
      <c r="AB35" t="str">
        <v>18/09/2026</v>
      </c>
      <c r="AC35" t="str">
        <v>12:06:37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12:06:49</v>
      </c>
      <c r="AK35" t="str">
        <v>12:06:49</v>
      </c>
      <c r="AL35" t="str">
        <v/>
      </c>
    </row>
    <row r="36">
      <c r="A36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/>
      </c>
      <c r="J36" t="str">
        <v>18/09/2026</v>
      </c>
      <c r="K36" t="str">
        <v>12:06:40</v>
      </c>
      <c r="L36">
        <v>-12.291741</v>
      </c>
      <c r="M36">
        <v>-76.8535</v>
      </c>
      <c r="N36">
        <f>HYPERLINK("https://www.google.com/maps/search/?api=1&amp;query=-12.291741,-76.8535","Jirón Portugal, Lurín, Lima")</f>
      </c>
      <c r="O36" t="str">
        <v>Se movio</v>
      </c>
      <c r="P36">
        <v>1634.4</v>
      </c>
      <c r="Q36" t="str">
        <v/>
      </c>
      <c r="R36">
        <v>0</v>
      </c>
      <c r="S36">
        <v>109.1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93</v>
      </c>
      <c r="AB36" t="str">
        <v>18/09/2026</v>
      </c>
      <c r="AC36" t="str">
        <v>12:06:37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12:06:49</v>
      </c>
      <c r="AK36" t="str">
        <v>12:06:49</v>
      </c>
      <c r="AL36" t="str">
        <v/>
      </c>
    </row>
    <row r="37">
      <c r="A37">
        <v>36</v>
      </c>
      <c r="B37" t="str">
        <v>MASS BSF</v>
      </c>
      <c r="C37" t="str">
        <v>AAR-880</v>
      </c>
      <c r="D37" t="str">
        <v>AAR-880</v>
      </c>
      <c r="E37" t="str">
        <v/>
      </c>
      <c r="F37" t="str">
        <v>867806078847433</v>
      </c>
      <c r="G37" t="str">
        <v>Otro</v>
      </c>
      <c r="H37" t="str">
        <v/>
      </c>
      <c r="I37" t="str">
        <v/>
      </c>
      <c r="J37" t="str">
        <v>18/09/2026</v>
      </c>
      <c r="K37" t="str">
        <v>12:34:15</v>
      </c>
      <c r="L37">
        <v>-12.299883</v>
      </c>
      <c r="M37">
        <v>-76.849945</v>
      </c>
      <c r="N37">
        <f>HYPERLINK("https://www.google.com/maps/search/?api=1&amp;query=-12.299883,-76.849945","Calle Las Algas, Lurín, Lima")</f>
      </c>
      <c r="O37" t="str">
        <v>Vehículo apagado</v>
      </c>
      <c r="P37">
        <v>1638.2</v>
      </c>
      <c r="Q37" t="str">
        <v/>
      </c>
      <c r="R37">
        <v>0</v>
      </c>
      <c r="S37">
        <v>109.57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18/09/2026</v>
      </c>
      <c r="AC37" t="str">
        <v>12:34:11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12:34:26</v>
      </c>
      <c r="AK37" t="str">
        <v>12:34:26</v>
      </c>
      <c r="AL37" t="str">
        <v/>
      </c>
    </row>
    <row r="38">
      <c r="A38">
        <v>37</v>
      </c>
      <c r="B38" t="str">
        <v>MASS BSF</v>
      </c>
      <c r="C38" t="str">
        <v>AAR-880</v>
      </c>
      <c r="D38" t="str">
        <v>AAR-880</v>
      </c>
      <c r="E38" t="str">
        <v/>
      </c>
      <c r="F38" t="str">
        <v>867806078847433</v>
      </c>
      <c r="G38" t="str">
        <v>Otro</v>
      </c>
      <c r="H38" t="str">
        <v/>
      </c>
      <c r="I38" t="str">
        <v/>
      </c>
      <c r="J38" t="str">
        <v>18/09/2026</v>
      </c>
      <c r="K38" t="str">
        <v>13:15:19</v>
      </c>
      <c r="L38">
        <v>-12.299883</v>
      </c>
      <c r="M38">
        <v>-76.849945</v>
      </c>
      <c r="N38">
        <f>HYPERLINK("https://www.google.com/maps/search/?api=1&amp;query=-12.299883,-76.849945","Calle Las Algas, Lurín, Lima")</f>
      </c>
      <c r="O38" t="str">
        <v>Vehículo encendido</v>
      </c>
      <c r="P38">
        <v>1638.2</v>
      </c>
      <c r="Q38" t="str">
        <v/>
      </c>
      <c r="R38">
        <v>0</v>
      </c>
      <c r="S38">
        <v>109.57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18/09/2026</v>
      </c>
      <c r="AC38" t="str">
        <v>13:15:15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13:15:29</v>
      </c>
      <c r="AK38" t="str">
        <v>13:15:29</v>
      </c>
      <c r="AL38" t="str">
        <v/>
      </c>
    </row>
    <row r="39">
      <c r="A39">
        <v>38</v>
      </c>
      <c r="B39" t="str">
        <v>MASS BSF</v>
      </c>
      <c r="C39" t="str">
        <v>AAR-880</v>
      </c>
      <c r="D39" t="str">
        <v>AAR-880</v>
      </c>
      <c r="E39" t="str">
        <v/>
      </c>
      <c r="F39" t="str">
        <v>867806078847433</v>
      </c>
      <c r="G39" t="str">
        <v>Otro</v>
      </c>
      <c r="H39" t="str">
        <v/>
      </c>
      <c r="I39" t="str">
        <v/>
      </c>
      <c r="J39" t="str">
        <v>18/09/2026</v>
      </c>
      <c r="K39" t="str">
        <v>13:15:19</v>
      </c>
      <c r="L39">
        <v>-12.299883</v>
      </c>
      <c r="M39">
        <v>-76.849945</v>
      </c>
      <c r="N39">
        <f>HYPERLINK("https://www.google.com/maps/search/?api=1&amp;query=-12.299883,-76.849945","Calle Las Algas, Lurín, Lima")</f>
      </c>
      <c r="O39" t="str">
        <v>Se movio</v>
      </c>
      <c r="P39">
        <v>1638.2</v>
      </c>
      <c r="Q39" t="str">
        <v/>
      </c>
      <c r="R39">
        <v>0</v>
      </c>
      <c r="S39">
        <v>109.57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18/09/2026</v>
      </c>
      <c r="AC39" t="str">
        <v>13:15:15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13:15:29</v>
      </c>
      <c r="AK39" t="str">
        <v>13:15:29</v>
      </c>
      <c r="AL39" t="str">
        <v/>
      </c>
    </row>
    <row r="40">
      <c r="A40">
        <v>39</v>
      </c>
      <c r="B40" t="str">
        <v>MASS BSF</v>
      </c>
      <c r="C40" t="str">
        <v>AAR-880</v>
      </c>
      <c r="D40" t="str">
        <v>AAR-880</v>
      </c>
      <c r="E40" t="str">
        <v/>
      </c>
      <c r="F40" t="str">
        <v>867806078847433</v>
      </c>
      <c r="G40" t="str">
        <v>Otro</v>
      </c>
      <c r="H40" t="str">
        <v/>
      </c>
      <c r="I40" t="str">
        <v/>
      </c>
      <c r="J40" t="str">
        <v>18/09/2026</v>
      </c>
      <c r="K40" t="str">
        <v>13:28:03</v>
      </c>
      <c r="L40">
        <v>-12.312346</v>
      </c>
      <c r="M40">
        <v>-76.83947</v>
      </c>
      <c r="N40">
        <f>HYPERLINK("https://www.google.com/maps/search/?api=1&amp;query=-12.312346,-76.83947","Jirón Virgen Del Carmen, Punta Hermosa, Lima")</f>
      </c>
      <c r="O40" t="str">
        <v>Vehículo apagado</v>
      </c>
      <c r="P40">
        <v>1640.8</v>
      </c>
      <c r="Q40" t="str">
        <v/>
      </c>
      <c r="R40">
        <v>0</v>
      </c>
      <c r="S40">
        <v>109.78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92</v>
      </c>
      <c r="AB40" t="str">
        <v>18/09/2026</v>
      </c>
      <c r="AC40" t="str">
        <v>13:27:59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13:28:17</v>
      </c>
      <c r="AK40" t="str">
        <v>13:28:17</v>
      </c>
      <c r="AL40" t="str">
        <v/>
      </c>
    </row>
    <row r="41">
      <c r="A41">
        <v>40</v>
      </c>
      <c r="B41" t="str">
        <v>MASS BSF</v>
      </c>
      <c r="C41" t="str">
        <v>AAR-880</v>
      </c>
      <c r="D41" t="str">
        <v>AAR-880</v>
      </c>
      <c r="E41" t="str">
        <v/>
      </c>
      <c r="F41" t="str">
        <v>867806078847433</v>
      </c>
      <c r="G41" t="str">
        <v>Otro</v>
      </c>
      <c r="H41" t="str">
        <v/>
      </c>
      <c r="I41" t="str">
        <v/>
      </c>
      <c r="J41" t="str">
        <v>18/09/2026</v>
      </c>
      <c r="K41" t="str">
        <v>14:44:22</v>
      </c>
      <c r="L41">
        <v>-12.312346</v>
      </c>
      <c r="M41">
        <v>-76.83947</v>
      </c>
      <c r="N41">
        <f>HYPERLINK("https://www.google.com/maps/search/?api=1&amp;query=-12.312346,-76.83947","Jirón Virgen Del Carmen, Punta Hermosa, Lima")</f>
      </c>
      <c r="O41" t="str">
        <v>Vehículo encendido</v>
      </c>
      <c r="P41">
        <v>1640.8</v>
      </c>
      <c r="Q41" t="str">
        <v/>
      </c>
      <c r="R41">
        <v>0</v>
      </c>
      <c r="S41">
        <v>109.7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93</v>
      </c>
      <c r="AB41" t="str">
        <v>18/09/2026</v>
      </c>
      <c r="AC41" t="str">
        <v>14:44:17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14:44:33</v>
      </c>
      <c r="AK41" t="str">
        <v>14:44:33</v>
      </c>
      <c r="AL41" t="str">
        <v/>
      </c>
    </row>
    <row r="42">
      <c r="A42">
        <v>41</v>
      </c>
      <c r="B42" t="str">
        <v>MASS BSF</v>
      </c>
      <c r="C42" t="str">
        <v>AAR-880</v>
      </c>
      <c r="D42" t="str">
        <v>AAR-880</v>
      </c>
      <c r="E42" t="str">
        <v/>
      </c>
      <c r="F42" t="str">
        <v>867806078847433</v>
      </c>
      <c r="G42" t="str">
        <v>Otro</v>
      </c>
      <c r="H42" t="str">
        <v/>
      </c>
      <c r="I42" t="str">
        <v/>
      </c>
      <c r="J42" t="str">
        <v>18/09/2026</v>
      </c>
      <c r="K42" t="str">
        <v>15:08:26</v>
      </c>
      <c r="L42">
        <v>-12.317385</v>
      </c>
      <c r="M42">
        <v>-76.822975</v>
      </c>
      <c r="N42">
        <f>HYPERLINK("https://www.google.com/maps/search/?api=1&amp;query=-12.317385,-76.822975","Punta Hermosa, Lima")</f>
      </c>
      <c r="O42" t="str">
        <v>Vehículo apagado</v>
      </c>
      <c r="P42">
        <v>1647.4</v>
      </c>
      <c r="Q42" t="str">
        <v/>
      </c>
      <c r="R42">
        <v>0</v>
      </c>
      <c r="S42">
        <v>110.1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87</v>
      </c>
      <c r="AB42" t="str">
        <v>18/09/2026</v>
      </c>
      <c r="AC42" t="str">
        <v>15:08:21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15:08:33</v>
      </c>
      <c r="AK42" t="str">
        <v>15:08:33</v>
      </c>
      <c r="AL42" t="str">
        <v/>
      </c>
    </row>
    <row r="43">
      <c r="A43">
        <v>42</v>
      </c>
      <c r="B43" t="str">
        <v>MASS BSF</v>
      </c>
      <c r="C43" t="str">
        <v>AAR-880</v>
      </c>
      <c r="D43" t="str">
        <v>AAR-880</v>
      </c>
      <c r="E43" t="str">
        <v/>
      </c>
      <c r="F43" t="str">
        <v>867806078847433</v>
      </c>
      <c r="G43" t="str">
        <v>Otro</v>
      </c>
      <c r="H43" t="str">
        <v/>
      </c>
      <c r="I43" t="str">
        <v/>
      </c>
      <c r="J43" t="str">
        <v>18/09/2026</v>
      </c>
      <c r="K43" t="str">
        <v>15:08:26</v>
      </c>
      <c r="L43">
        <v>-12.317385</v>
      </c>
      <c r="M43">
        <v>-76.822975</v>
      </c>
      <c r="N43">
        <f>HYPERLINK("https://www.google.com/maps/search/?api=1&amp;query=-12.317385,-76.822975","Punta Hermosa, Lima")</f>
      </c>
      <c r="O43" t="str">
        <v>Se detuvo</v>
      </c>
      <c r="P43">
        <v>1647.4</v>
      </c>
      <c r="Q43" t="str">
        <v/>
      </c>
      <c r="R43">
        <v>0</v>
      </c>
      <c r="S43">
        <v>109.7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87</v>
      </c>
      <c r="AB43" t="str">
        <v>18/09/2026</v>
      </c>
      <c r="AC43" t="str">
        <v>15:08:21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15:08:35</v>
      </c>
      <c r="AK43" t="str">
        <v>15:08:35</v>
      </c>
      <c r="AL43" t="str">
        <v/>
      </c>
    </row>
    <row r="44">
      <c r="A44">
        <v>43</v>
      </c>
      <c r="B44" t="str">
        <v>MASS BSF</v>
      </c>
      <c r="C44" t="str">
        <v>AAR-880</v>
      </c>
      <c r="D44" t="str">
        <v>AAR-880</v>
      </c>
      <c r="E44" t="str">
        <v/>
      </c>
      <c r="F44" t="str">
        <v>867806078847433</v>
      </c>
      <c r="G44" t="str">
        <v>Otro</v>
      </c>
      <c r="H44" t="str">
        <v/>
      </c>
      <c r="I44" t="str">
        <v/>
      </c>
      <c r="J44" t="str">
        <v>18/09/2026</v>
      </c>
      <c r="K44" t="str">
        <v>15:18:31</v>
      </c>
      <c r="L44">
        <v>-12.317385</v>
      </c>
      <c r="M44">
        <v>-76.822975</v>
      </c>
      <c r="N44">
        <f>HYPERLINK("https://www.google.com/maps/search/?api=1&amp;query=-12.317385,-76.822975","Punta Hermosa, Lima")</f>
      </c>
      <c r="O44" t="str">
        <v>Vehículo encendido</v>
      </c>
      <c r="P44">
        <v>1647.4</v>
      </c>
      <c r="Q44" t="str">
        <v/>
      </c>
      <c r="R44">
        <v>0</v>
      </c>
      <c r="S44">
        <v>110.1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87</v>
      </c>
      <c r="AB44" t="str">
        <v>18/09/2026</v>
      </c>
      <c r="AC44" t="str">
        <v>15:18:27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15:18:39</v>
      </c>
      <c r="AK44" t="str">
        <v>15:18:39</v>
      </c>
      <c r="AL44" t="str">
        <v/>
      </c>
    </row>
    <row r="45">
      <c r="A45">
        <v>44</v>
      </c>
      <c r="B45" t="str">
        <v>MASS BSF</v>
      </c>
      <c r="C45" t="str">
        <v>AAR-880</v>
      </c>
      <c r="D45" t="str">
        <v>AAR-880</v>
      </c>
      <c r="E45" t="str">
        <v/>
      </c>
      <c r="F45" t="str">
        <v>867806078847433</v>
      </c>
      <c r="G45" t="str">
        <v>Otro</v>
      </c>
      <c r="H45" t="str">
        <v/>
      </c>
      <c r="I45" t="str">
        <v/>
      </c>
      <c r="J45" t="str">
        <v>18/09/2026</v>
      </c>
      <c r="K45" t="str">
        <v>15:27:18</v>
      </c>
      <c r="L45">
        <v>-12.317839</v>
      </c>
      <c r="M45">
        <v>-76.82418</v>
      </c>
      <c r="N45">
        <f>HYPERLINK("https://www.google.com/maps/search/?api=1&amp;query=-12.317839,-76.82418","Punta Hermosa, Lima")</f>
      </c>
      <c r="O45" t="str">
        <v>Vehículo apagado</v>
      </c>
      <c r="P45">
        <v>1647.7</v>
      </c>
      <c r="Q45" t="str">
        <v/>
      </c>
      <c r="R45">
        <v>0</v>
      </c>
      <c r="S45">
        <v>110.25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92</v>
      </c>
      <c r="AB45" t="str">
        <v>18/09/2026</v>
      </c>
      <c r="AC45" t="str">
        <v>15:27:13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15:27:34</v>
      </c>
      <c r="AK45" t="str">
        <v>15:27:34</v>
      </c>
      <c r="AL45" t="str">
        <v/>
      </c>
    </row>
    <row r="46">
      <c r="A46">
        <v>45</v>
      </c>
      <c r="B46" t="str">
        <v>MASS BSF</v>
      </c>
      <c r="C46" t="str">
        <v>AAR-880</v>
      </c>
      <c r="D46" t="str">
        <v>AAR-880</v>
      </c>
      <c r="E46" t="str">
        <v/>
      </c>
      <c r="F46" t="str">
        <v>867806078847433</v>
      </c>
      <c r="G46" t="str">
        <v>Otro</v>
      </c>
      <c r="H46" t="str">
        <v/>
      </c>
      <c r="I46" t="str">
        <v/>
      </c>
      <c r="J46" t="str">
        <v>18/09/2026</v>
      </c>
      <c r="K46" t="str">
        <v>15:27:18</v>
      </c>
      <c r="L46">
        <v>-12.317839</v>
      </c>
      <c r="M46">
        <v>-76.82418</v>
      </c>
      <c r="N46">
        <f>HYPERLINK("https://www.google.com/maps/search/?api=1&amp;query=-12.317839,-76.82418","Punta Hermosa, Lima")</f>
      </c>
      <c r="O46" t="str">
        <v>Se detuvo</v>
      </c>
      <c r="P46">
        <v>1647.7</v>
      </c>
      <c r="Q46" t="str">
        <v/>
      </c>
      <c r="R46">
        <v>0</v>
      </c>
      <c r="S46">
        <v>110.1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92</v>
      </c>
      <c r="AB46" t="str">
        <v>18/09/2026</v>
      </c>
      <c r="AC46" t="str">
        <v>15:27:13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15:27:24</v>
      </c>
      <c r="AK46" t="str">
        <v>15:27:24</v>
      </c>
      <c r="AL46" t="str">
        <v/>
      </c>
    </row>
    <row r="47">
      <c r="A47">
        <v>46</v>
      </c>
      <c r="B47" t="str">
        <v>MASS BSF</v>
      </c>
      <c r="C47" t="str">
        <v>AAR-880</v>
      </c>
      <c r="D47" t="str">
        <v>AAR-880</v>
      </c>
      <c r="E47" t="str">
        <v/>
      </c>
      <c r="F47" t="str">
        <v>867806078847433</v>
      </c>
      <c r="G47" t="str">
        <v>Otro</v>
      </c>
      <c r="H47" t="str">
        <v/>
      </c>
      <c r="I47" t="str">
        <v/>
      </c>
      <c r="J47" t="str">
        <v>18/09/2026</v>
      </c>
      <c r="K47" t="str">
        <v>16:28:19</v>
      </c>
      <c r="L47">
        <v>-12.317838</v>
      </c>
      <c r="M47">
        <v>-76.82418</v>
      </c>
      <c r="N47">
        <f>HYPERLINK("https://www.google.com/maps/search/?api=1&amp;query=-12.317838,-76.82418","Punta Hermosa, Lima")</f>
      </c>
      <c r="O47" t="str">
        <v>Vehículo encendido</v>
      </c>
      <c r="P47">
        <v>1647.7</v>
      </c>
      <c r="Q47" t="str">
        <v/>
      </c>
      <c r="R47">
        <v>0</v>
      </c>
      <c r="S47">
        <v>110.25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88</v>
      </c>
      <c r="AB47" t="str">
        <v>18/09/2026</v>
      </c>
      <c r="AC47" t="str">
        <v>16:28:19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16:28:29</v>
      </c>
      <c r="AK47" t="str">
        <v>16:28:29</v>
      </c>
      <c r="AL47" t="str">
        <v/>
      </c>
    </row>
  </sheetData>
  <ignoredErrors>
    <ignoredError numberStoredAsText="1" sqref="A1:AL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