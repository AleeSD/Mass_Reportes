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CMV-853</v>
      </c>
      <c r="D2" t="str">
        <v>CMV-853</v>
      </c>
      <c r="E2" t="str">
        <v/>
      </c>
      <c r="F2" t="str">
        <v>867162029810454</v>
      </c>
      <c r="G2" t="str">
        <v>TBD</v>
      </c>
      <c r="H2" t="str">
        <v/>
      </c>
      <c r="I2" t="str">
        <v/>
      </c>
      <c r="J2" t="str">
        <v>18/09/2026</v>
      </c>
      <c r="K2" t="str">
        <v>08:59:44</v>
      </c>
      <c r="L2">
        <v>-12.212834</v>
      </c>
      <c r="M2">
        <v>-76.9589</v>
      </c>
      <c r="N2">
        <f>HYPERLINK("https://www.google.com/maps/search/?api=1&amp;query=-12.212834,-76.9589","Avenida Villa del Mar, Villa El Salvador, Lima")</f>
      </c>
      <c r="O2" t="str">
        <v>Vehículo encendido</v>
      </c>
      <c r="P2">
        <v>10912.9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92</v>
      </c>
      <c r="AB2" t="str">
        <v>18/09/2026</v>
      </c>
      <c r="AC2" t="str">
        <v>08:41:51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09:00:04</v>
      </c>
      <c r="AK2" t="str">
        <v>09:00:04</v>
      </c>
      <c r="AL2" t="str">
        <v/>
      </c>
    </row>
    <row r="3">
      <c r="A3">
        <v>2</v>
      </c>
      <c r="B3" t="str">
        <v>MASS BSF</v>
      </c>
      <c r="C3" t="str">
        <v>CMV-853</v>
      </c>
      <c r="D3" t="str">
        <v>CMV-853</v>
      </c>
      <c r="E3" t="str">
        <v/>
      </c>
      <c r="F3" t="str">
        <v>867162029810454</v>
      </c>
      <c r="G3" t="str">
        <v>TBD</v>
      </c>
      <c r="H3" t="str">
        <v/>
      </c>
      <c r="I3" t="str">
        <v/>
      </c>
      <c r="J3" t="str">
        <v>18/09/2026</v>
      </c>
      <c r="K3" t="str">
        <v>09:01:10</v>
      </c>
      <c r="L3">
        <v>-12.213046</v>
      </c>
      <c r="M3">
        <v>-76.959045</v>
      </c>
      <c r="N3">
        <f>HYPERLINK("https://www.google.com/maps/search/?api=1&amp;query=-12.213046,-76.959045","Avenida Villa del Mar, Villa El Salvador, Lima")</f>
      </c>
      <c r="O3" t="str">
        <v>Vehículo apagado</v>
      </c>
      <c r="P3">
        <v>10912.9</v>
      </c>
      <c r="Q3" t="str">
        <v/>
      </c>
      <c r="R3">
        <v>3.3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92</v>
      </c>
      <c r="AB3" t="str">
        <v>18/09/2026</v>
      </c>
      <c r="AC3" t="str">
        <v>09:00:42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09:01:16</v>
      </c>
      <c r="AK3" t="str">
        <v>09:01:16</v>
      </c>
      <c r="AL3" t="str">
        <v/>
      </c>
    </row>
    <row r="4">
      <c r="A4">
        <v>3</v>
      </c>
      <c r="B4" t="str">
        <v>MASS BSF</v>
      </c>
      <c r="C4" t="str">
        <v>CMV-853</v>
      </c>
      <c r="D4" t="str">
        <v>CMV-853</v>
      </c>
      <c r="E4" t="str">
        <v/>
      </c>
      <c r="F4" t="str">
        <v>867162029810454</v>
      </c>
      <c r="G4" t="str">
        <v>TBD</v>
      </c>
      <c r="H4" t="str">
        <v/>
      </c>
      <c r="I4" t="str">
        <v/>
      </c>
      <c r="J4" t="str">
        <v>18/09/2026</v>
      </c>
      <c r="K4" t="str">
        <v>09:28:00</v>
      </c>
      <c r="L4">
        <v>-12.213046</v>
      </c>
      <c r="M4">
        <v>-76.959045</v>
      </c>
      <c r="N4">
        <f>HYPERLINK("https://www.google.com/maps/search/?api=1&amp;query=-12.213046,-76.959045","Avenida Villa del Mar, Villa El Salvador, Lima")</f>
      </c>
      <c r="O4" t="str">
        <v>Vehículo encendido</v>
      </c>
      <c r="P4">
        <v>10912.9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92</v>
      </c>
      <c r="AB4" t="str">
        <v>18/09/2026</v>
      </c>
      <c r="AC4" t="str">
        <v>09:01:14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09:28:20</v>
      </c>
      <c r="AK4" t="str">
        <v>09:28:20</v>
      </c>
      <c r="AL4" t="str">
        <v/>
      </c>
    </row>
    <row r="5">
      <c r="A5">
        <v>4</v>
      </c>
      <c r="B5" t="str">
        <v>MASS BSF</v>
      </c>
      <c r="C5" t="str">
        <v>CMV-853</v>
      </c>
      <c r="D5" t="str">
        <v>CMV-853</v>
      </c>
      <c r="E5" t="str">
        <v/>
      </c>
      <c r="F5" t="str">
        <v>867162029810454</v>
      </c>
      <c r="G5" t="str">
        <v>TBD</v>
      </c>
      <c r="H5" t="str">
        <v/>
      </c>
      <c r="I5" t="str">
        <v/>
      </c>
      <c r="J5" t="str">
        <v>18/09/2026</v>
      </c>
      <c r="K5" t="str">
        <v>10:56:22</v>
      </c>
      <c r="L5">
        <v>-12.120093</v>
      </c>
      <c r="M5">
        <v>-76.97758</v>
      </c>
      <c r="N5">
        <f>HYPERLINK("https://www.google.com/maps/search/?api=1&amp;query=-12.120093,-76.97758","Jirón Morro Solar, Santiago de Surco, Lima")</f>
      </c>
      <c r="O5" t="str">
        <v>Vehículo apagado</v>
      </c>
      <c r="P5">
        <v>10931.3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90</v>
      </c>
      <c r="AB5" t="str">
        <v>18/09/2026</v>
      </c>
      <c r="AC5" t="str">
        <v>10:56:24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10:56:40</v>
      </c>
      <c r="AK5" t="str">
        <v>10:56:40</v>
      </c>
      <c r="AL5" t="str">
        <v/>
      </c>
    </row>
    <row r="6">
      <c r="A6">
        <v>5</v>
      </c>
      <c r="B6" t="str">
        <v>MASS BSF</v>
      </c>
      <c r="C6" t="str">
        <v>CMV-853</v>
      </c>
      <c r="D6" t="str">
        <v>CMV-853</v>
      </c>
      <c r="E6" t="str">
        <v/>
      </c>
      <c r="F6" t="str">
        <v>867162029810454</v>
      </c>
      <c r="G6" t="str">
        <v>TBD</v>
      </c>
      <c r="H6" t="str">
        <v/>
      </c>
      <c r="I6" t="str">
        <v/>
      </c>
      <c r="J6" t="str">
        <v>18/09/2026</v>
      </c>
      <c r="K6" t="str">
        <v>11:04:21</v>
      </c>
      <c r="L6">
        <v>-12.120093</v>
      </c>
      <c r="M6">
        <v>-76.97758</v>
      </c>
      <c r="N6">
        <f>HYPERLINK("https://www.google.com/maps/search/?api=1&amp;query=-12.120093,-76.97758","Jirón Morro Solar, Santiago de Surco, Lima")</f>
      </c>
      <c r="O6" t="str">
        <v>Vehículo encendido</v>
      </c>
      <c r="P6">
        <v>10931.3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90</v>
      </c>
      <c r="AB6" t="str">
        <v>18/09/2026</v>
      </c>
      <c r="AC6" t="str">
        <v>10:56:24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11:04:28</v>
      </c>
      <c r="AK6" t="str">
        <v>11:04:28</v>
      </c>
      <c r="AL6" t="str">
        <v/>
      </c>
    </row>
    <row r="7">
      <c r="A7">
        <v>6</v>
      </c>
      <c r="B7" t="str">
        <v>MASS BSF</v>
      </c>
      <c r="C7" t="str">
        <v>CMV-853</v>
      </c>
      <c r="D7" t="str">
        <v>CMV-853</v>
      </c>
      <c r="E7" t="str">
        <v/>
      </c>
      <c r="F7" t="str">
        <v>867162029810454</v>
      </c>
      <c r="G7" t="str">
        <v>TBD</v>
      </c>
      <c r="H7" t="str">
        <v/>
      </c>
      <c r="I7" t="str">
        <v/>
      </c>
      <c r="J7" t="str">
        <v>18/09/2026</v>
      </c>
      <c r="K7" t="str">
        <v>11:05:59</v>
      </c>
      <c r="L7">
        <v>-12.119999</v>
      </c>
      <c r="M7">
        <v>-76.977905</v>
      </c>
      <c r="N7">
        <f>HYPERLINK("https://www.google.com/maps/search/?api=1&amp;query=-12.119999,-76.977905","Santiago de Surco, Lima")</f>
      </c>
      <c r="O7" t="str">
        <v>Vehículo apagado</v>
      </c>
      <c r="P7">
        <v>10931.3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90</v>
      </c>
      <c r="AB7" t="str">
        <v>18/09/2026</v>
      </c>
      <c r="AC7" t="str">
        <v>11:05:21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11:06:10</v>
      </c>
      <c r="AK7" t="str">
        <v>11:06:10</v>
      </c>
      <c r="AL7" t="str">
        <v/>
      </c>
    </row>
    <row r="8">
      <c r="A8">
        <v>7</v>
      </c>
      <c r="B8" t="str">
        <v>MASS BSF</v>
      </c>
      <c r="C8" t="str">
        <v>CMV-853</v>
      </c>
      <c r="D8" t="str">
        <v>CMV-853</v>
      </c>
      <c r="E8" t="str">
        <v/>
      </c>
      <c r="F8" t="str">
        <v>867162029810454</v>
      </c>
      <c r="G8" t="str">
        <v>TBD</v>
      </c>
      <c r="H8" t="str">
        <v/>
      </c>
      <c r="I8" t="str">
        <v/>
      </c>
      <c r="J8" t="str">
        <v>18/09/2026</v>
      </c>
      <c r="K8" t="str">
        <v>11:39:27</v>
      </c>
      <c r="L8">
        <v>-12.119999</v>
      </c>
      <c r="M8">
        <v>-76.977905</v>
      </c>
      <c r="N8">
        <f>HYPERLINK("https://www.google.com/maps/search/?api=1&amp;query=-12.119999,-76.977905","Santiago de Surco, Lima")</f>
      </c>
      <c r="O8" t="str">
        <v>Vehículo encendido</v>
      </c>
      <c r="P8">
        <v>10931.3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90</v>
      </c>
      <c r="AB8" t="str">
        <v>18/09/2026</v>
      </c>
      <c r="AC8" t="str">
        <v>11:33:37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11:39:34</v>
      </c>
      <c r="AK8" t="str">
        <v>11:39:34</v>
      </c>
      <c r="AL8" t="str">
        <v/>
      </c>
    </row>
    <row r="9">
      <c r="A9">
        <v>8</v>
      </c>
      <c r="B9" t="str">
        <v>MASS BSF</v>
      </c>
      <c r="C9" t="str">
        <v>CMV-853</v>
      </c>
      <c r="D9" t="str">
        <v>CMV-853</v>
      </c>
      <c r="E9" t="str">
        <v/>
      </c>
      <c r="F9" t="str">
        <v>867162029810454</v>
      </c>
      <c r="G9" t="str">
        <v>TBD</v>
      </c>
      <c r="H9" t="str">
        <v/>
      </c>
      <c r="I9" t="str">
        <v/>
      </c>
      <c r="J9" t="str">
        <v>18/09/2026</v>
      </c>
      <c r="K9" t="str">
        <v>14:00:40</v>
      </c>
      <c r="L9">
        <v>-12.12041</v>
      </c>
      <c r="M9">
        <v>-76.978226</v>
      </c>
      <c r="N9">
        <f>HYPERLINK("https://www.google.com/maps/search/?api=1&amp;query=-12.12041,-76.978226","Pamplona, Santiago de Surco, Lima")</f>
      </c>
      <c r="O9" t="str">
        <v>Vehículo apagado</v>
      </c>
      <c r="P9">
        <v>10931.3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90</v>
      </c>
      <c r="AB9" t="str">
        <v>18/09/2026</v>
      </c>
      <c r="AC9" t="str">
        <v>14:00:43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14:01:04</v>
      </c>
      <c r="AK9" t="str">
        <v>14:01:04</v>
      </c>
      <c r="AL9" t="str">
        <v/>
      </c>
    </row>
    <row r="10">
      <c r="A10">
        <v>9</v>
      </c>
      <c r="B10" t="str">
        <v>MASS BSF</v>
      </c>
      <c r="C10" t="str">
        <v>CMV-853</v>
      </c>
      <c r="D10" t="str">
        <v>CMV-853</v>
      </c>
      <c r="E10" t="str">
        <v/>
      </c>
      <c r="F10" t="str">
        <v>867162029810454</v>
      </c>
      <c r="G10" t="str">
        <v>TBD</v>
      </c>
      <c r="H10" t="str">
        <v/>
      </c>
      <c r="I10" t="str">
        <v/>
      </c>
      <c r="J10" t="str">
        <v>18/09/2026</v>
      </c>
      <c r="K10" t="str">
        <v>16:23:31</v>
      </c>
      <c r="L10">
        <v>-12.12041</v>
      </c>
      <c r="M10">
        <v>-76.978226</v>
      </c>
      <c r="N10">
        <f>HYPERLINK("https://www.google.com/maps/search/?api=1&amp;query=-12.12041,-76.978226","Pamplona, Santiago de Surco, Lima")</f>
      </c>
      <c r="O10" t="str">
        <v>Vehículo encendido</v>
      </c>
      <c r="P10">
        <v>10931.3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90</v>
      </c>
      <c r="AB10" t="str">
        <v>18/09/2026</v>
      </c>
      <c r="AC10" t="str">
        <v>15:58:24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16:23:51</v>
      </c>
      <c r="AK10" t="str">
        <v>16:23:51</v>
      </c>
      <c r="AL10" t="str">
        <v/>
      </c>
    </row>
    <row r="11">
      <c r="A11">
        <v>10</v>
      </c>
      <c r="B11" t="str">
        <v>MASS BSF</v>
      </c>
      <c r="C11" t="str">
        <v>CMV-853</v>
      </c>
      <c r="D11" t="str">
        <v>CMV-853</v>
      </c>
      <c r="E11" t="str">
        <v/>
      </c>
      <c r="F11" t="str">
        <v>867162029810454</v>
      </c>
      <c r="G11" t="str">
        <v>TBD</v>
      </c>
      <c r="H11" t="str">
        <v/>
      </c>
      <c r="I11" t="str">
        <v/>
      </c>
      <c r="J11" t="str">
        <v>18/09/2026</v>
      </c>
      <c r="K11" t="str">
        <v>16:30:50</v>
      </c>
      <c r="L11">
        <v>-12.11995</v>
      </c>
      <c r="M11">
        <v>-76.977974</v>
      </c>
      <c r="N11">
        <f>HYPERLINK("https://www.google.com/maps/search/?api=1&amp;query=-12.11995,-76.977974","Santiago de Surco, Lima")</f>
      </c>
      <c r="O11" t="str">
        <v>Inicio de ralentí</v>
      </c>
      <c r="P11">
        <v>10931.3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90</v>
      </c>
      <c r="AB11" t="str">
        <v>18/09/2026</v>
      </c>
      <c r="AC11" t="str">
        <v>16:30:31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16:31:03</v>
      </c>
      <c r="AK11" t="str">
        <v>16:31:03</v>
      </c>
      <c r="AL11" t="str">
        <v/>
      </c>
    </row>
    <row r="12">
      <c r="A12">
        <v>11</v>
      </c>
      <c r="B12" t="str">
        <v>MASS BSF</v>
      </c>
      <c r="C12" t="str">
        <v>CMV-853</v>
      </c>
      <c r="D12" t="str">
        <v>CMV-853</v>
      </c>
      <c r="E12" t="str">
        <v/>
      </c>
      <c r="F12" t="str">
        <v>867162029810454</v>
      </c>
      <c r="G12" t="str">
        <v>TBD</v>
      </c>
      <c r="H12" t="str">
        <v/>
      </c>
      <c r="I12" t="str">
        <v/>
      </c>
      <c r="J12" t="str">
        <v>18/09/2026</v>
      </c>
      <c r="K12" t="str">
        <v>16:32:55</v>
      </c>
      <c r="L12">
        <v>-12.11995</v>
      </c>
      <c r="M12">
        <v>-76.977973</v>
      </c>
      <c r="N12">
        <f>HYPERLINK("https://www.google.com/maps/search/?api=1&amp;query=-12.11995,-76.977973","Santiago de Surco, Lima")</f>
      </c>
      <c r="O12" t="str">
        <v>Fin de ralentí</v>
      </c>
      <c r="P12">
        <v>10931.3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90</v>
      </c>
      <c r="AB12" t="str">
        <v>18/09/2026</v>
      </c>
      <c r="AC12" t="str">
        <v>16:32:31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16:33:09</v>
      </c>
      <c r="AK12" t="str">
        <v>16:33:09</v>
      </c>
      <c r="AL12" t="str">
        <v/>
      </c>
    </row>
  </sheetData>
  <ignoredErrors>
    <ignoredError numberStoredAsText="1" sqref="A1:A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