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IMEI</v>
      </c>
      <c r="F1" t="str">
        <v>Tipo de carrocería</v>
      </c>
      <c r="G1" t="str">
        <v>Empresa</v>
      </c>
      <c r="H1" t="str">
        <v>Conductor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Alerta</v>
      </c>
      <c r="O1" t="str">
        <v>Odómetro (Km)</v>
      </c>
      <c r="P1" t="str">
        <v>Zona</v>
      </c>
      <c r="Q1" t="str">
        <v>Velocidad (Km/h)</v>
      </c>
      <c r="R1" t="str">
        <v>Horómetro (Hrs)</v>
      </c>
      <c r="S1" t="str">
        <v>Velocidad máxima permitida</v>
      </c>
      <c r="T1" t="str">
        <v>Velocidad máxima alcanzada</v>
      </c>
      <c r="U1" t="str">
        <v>Velocidad promedio</v>
      </c>
      <c r="V1" t="str">
        <v>Duración (segundos)</v>
      </c>
      <c r="W1" t="str">
        <v>Severidad de la alerta</v>
      </c>
      <c r="X1" t="str">
        <v>Fecha y hora de inicio del exceso</v>
      </c>
      <c r="Y1" t="str">
        <v>Fecha y hora de fin del exceso</v>
      </c>
      <c r="Z1" t="str">
        <v>% Batería</v>
      </c>
      <c r="AA1" t="str">
        <v>Fecha GPS</v>
      </c>
      <c r="AB1" t="str">
        <v>Hora GPS</v>
      </c>
      <c r="AC1" t="str">
        <v>Estado GPS</v>
      </c>
      <c r="AD1" t="str">
        <v>Atención Alerta</v>
      </c>
      <c r="AE1" t="str">
        <v>Reporte de Alerta</v>
      </c>
      <c r="AF1" t="str">
        <v>Fecha Reporte Al.</v>
      </c>
      <c r="AG1" t="str">
        <v>Hora Reporte Al.</v>
      </c>
      <c r="AH1" t="str">
        <v>Registro de Atención</v>
      </c>
      <c r="AI1" t="str">
        <v>Fecha Registro At.</v>
      </c>
      <c r="AJ1" t="str">
        <v>Hora Registro At.</v>
      </c>
      <c r="AK1" t="str">
        <v>Notas</v>
      </c>
    </row>
    <row r="2">
      <c r="A2">
        <v>1</v>
      </c>
      <c r="B2" t="str">
        <v>MASS BSF</v>
      </c>
      <c r="C2" t="str">
        <v>CLW-864</v>
      </c>
      <c r="D2" t="str">
        <v>CLW-864</v>
      </c>
      <c r="E2" t="str">
        <v>867162029823242</v>
      </c>
      <c r="F2" t="str">
        <v>TBD</v>
      </c>
      <c r="G2" t="str">
        <v/>
      </c>
      <c r="H2" t="str">
        <v/>
      </c>
      <c r="I2" t="str">
        <v>18/09/2026</v>
      </c>
      <c r="J2" t="str">
        <v>07:05:20</v>
      </c>
      <c r="K2">
        <v>-12.213233</v>
      </c>
      <c r="L2">
        <v>-76.958916</v>
      </c>
      <c r="M2">
        <f>HYPERLINK("https://www.google.com/maps/search/?api=1&amp;query=-12.213233,-76.958916","Villa El Salvador, Lima")</f>
      </c>
      <c r="N2" t="str">
        <v>Vehículo encendido</v>
      </c>
      <c r="O2">
        <v>10397.6</v>
      </c>
      <c r="P2" t="str">
        <v/>
      </c>
      <c r="Q2">
        <v>0</v>
      </c>
      <c r="R2">
        <v>85.48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100</v>
      </c>
      <c r="AA2" t="str">
        <v>18/09/2026</v>
      </c>
      <c r="AB2" t="str">
        <v>07:00:09</v>
      </c>
      <c r="AC2">
        <f>IF("NOGPS"="NOGPS","GPS Antiguo","En línea")</f>
      </c>
      <c r="AD2">
        <f>IF(0=0,"Sin atender", IF(0=1,"Atendida","Atendida y Reportada"))</f>
      </c>
      <c r="AE2" t="str">
        <v/>
      </c>
      <c r="AF2" t="str">
        <v/>
      </c>
      <c r="AG2" t="str">
        <v/>
      </c>
      <c r="AH2" t="str">
        <v/>
      </c>
      <c r="AI2" t="str">
        <v>18/09/2026 07:05:40</v>
      </c>
      <c r="AJ2" t="str">
        <v>07:05:40</v>
      </c>
      <c r="AK2" t="str">
        <v/>
      </c>
    </row>
    <row r="3">
      <c r="A3">
        <v>2</v>
      </c>
      <c r="B3" t="str">
        <v>MASS BSF</v>
      </c>
      <c r="C3" t="str">
        <v>CLW-864</v>
      </c>
      <c r="D3" t="str">
        <v>CLW-864</v>
      </c>
      <c r="E3" t="str">
        <v>867162029823242</v>
      </c>
      <c r="F3" t="str">
        <v>TBD</v>
      </c>
      <c r="G3" t="str">
        <v/>
      </c>
      <c r="H3" t="str">
        <v/>
      </c>
      <c r="I3" t="str">
        <v>18/09/2026</v>
      </c>
      <c r="J3" t="str">
        <v>07:05:28</v>
      </c>
      <c r="K3">
        <v>-12.212519</v>
      </c>
      <c r="L3">
        <v>-76.959145</v>
      </c>
      <c r="M3">
        <f>HYPERLINK("https://www.google.com/maps/search/?api=1&amp;query=-12.212519,-76.959145","Avenida Villa del Mar, Villa El Salvador, Lima")</f>
      </c>
      <c r="N3" t="str">
        <v>Vehículo apagado</v>
      </c>
      <c r="O3">
        <v>10397.6</v>
      </c>
      <c r="P3" t="str">
        <v/>
      </c>
      <c r="Q3">
        <v>0.6</v>
      </c>
      <c r="R3">
        <v>85.48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100</v>
      </c>
      <c r="AA3" t="str">
        <v>18/09/2026</v>
      </c>
      <c r="AB3" t="str">
        <v>07:05:25</v>
      </c>
      <c r="AC3">
        <f>IF("ONLINE"="NOGPS","GPS Antiguo","En línea")</f>
      </c>
      <c r="AD3">
        <f>IF(0=0,"Sin atender", IF(0=1,"Atendida","Atendida y Reportada"))</f>
      </c>
      <c r="AE3" t="str">
        <v/>
      </c>
      <c r="AF3" t="str">
        <v/>
      </c>
      <c r="AG3" t="str">
        <v/>
      </c>
      <c r="AH3" t="str">
        <v/>
      </c>
      <c r="AI3" t="str">
        <v>18/09/2026 07:05:39</v>
      </c>
      <c r="AJ3" t="str">
        <v>07:05:39</v>
      </c>
      <c r="AK3" t="str">
        <v/>
      </c>
    </row>
    <row r="4">
      <c r="A4">
        <v>3</v>
      </c>
      <c r="B4" t="str">
        <v>MASS BSF</v>
      </c>
      <c r="C4" t="str">
        <v>CLW-864</v>
      </c>
      <c r="D4" t="str">
        <v>CLW-864</v>
      </c>
      <c r="E4" t="str">
        <v>867162029823242</v>
      </c>
      <c r="F4" t="str">
        <v>TBD</v>
      </c>
      <c r="G4" t="str">
        <v/>
      </c>
      <c r="H4" t="str">
        <v/>
      </c>
      <c r="I4" t="str">
        <v>18/09/2026</v>
      </c>
      <c r="J4" t="str">
        <v>07:05:30</v>
      </c>
      <c r="K4">
        <v>-12.212529</v>
      </c>
      <c r="L4">
        <v>-76.95904</v>
      </c>
      <c r="M4">
        <f>HYPERLINK("https://www.google.com/maps/search/?api=1&amp;query=-12.212529,-76.95904","Avenida Villa del Mar, Villa El Salvador, Lima")</f>
      </c>
      <c r="N4" t="str">
        <v>Vehículo encendido</v>
      </c>
      <c r="O4">
        <v>10397.6</v>
      </c>
      <c r="P4" t="str">
        <v/>
      </c>
      <c r="Q4">
        <v>0</v>
      </c>
      <c r="R4">
        <v>85.48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100</v>
      </c>
      <c r="AA4" t="str">
        <v>18/09/2026</v>
      </c>
      <c r="AB4" t="str">
        <v>07:05:30</v>
      </c>
      <c r="AC4">
        <f>IF("ONLINE"="NOGPS","GPS Antiguo","En línea")</f>
      </c>
      <c r="AD4">
        <f>IF(0=0,"Sin atender", IF(0=1,"Atendida","Atendida y Reportada"))</f>
      </c>
      <c r="AE4" t="str">
        <v/>
      </c>
      <c r="AF4" t="str">
        <v/>
      </c>
      <c r="AG4" t="str">
        <v/>
      </c>
      <c r="AH4" t="str">
        <v/>
      </c>
      <c r="AI4" t="str">
        <v>18/09/2026 07:05:51</v>
      </c>
      <c r="AJ4" t="str">
        <v>07:05:51</v>
      </c>
      <c r="AK4" t="str">
        <v/>
      </c>
    </row>
    <row r="5">
      <c r="A5">
        <v>4</v>
      </c>
      <c r="B5" t="str">
        <v>MASS BSF</v>
      </c>
      <c r="C5" t="str">
        <v>CLW-864</v>
      </c>
      <c r="D5" t="str">
        <v>CLW-864</v>
      </c>
      <c r="E5" t="str">
        <v>867162029823242</v>
      </c>
      <c r="F5" t="str">
        <v>TBD</v>
      </c>
      <c r="G5" t="str">
        <v/>
      </c>
      <c r="H5" t="str">
        <v/>
      </c>
      <c r="I5" t="str">
        <v>18/09/2026</v>
      </c>
      <c r="J5" t="str">
        <v>07:09:04</v>
      </c>
      <c r="K5">
        <v>-12.212529</v>
      </c>
      <c r="L5">
        <v>-76.95904</v>
      </c>
      <c r="M5">
        <f>HYPERLINK("https://www.google.com/maps/search/?api=1&amp;query=-12.212529,-76.95904","Avenida Villa del Mar, Villa El Salvador, Lima")</f>
      </c>
      <c r="N5" t="str">
        <v>Inicio de ralentí</v>
      </c>
      <c r="O5">
        <v>10397.6</v>
      </c>
      <c r="P5" t="str">
        <v/>
      </c>
      <c r="Q5">
        <v>0</v>
      </c>
      <c r="R5">
        <v>85.48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100</v>
      </c>
      <c r="AA5" t="str">
        <v>18/09/2026</v>
      </c>
      <c r="AB5" t="str">
        <v>07:08:27</v>
      </c>
      <c r="AC5">
        <f>IF("ONLINE"="NOGPS","GPS Antiguo","En línea")</f>
      </c>
      <c r="AD5">
        <f>IF(0=0,"Sin atender", IF(0=1,"Atendida","Atendida y Reportada"))</f>
      </c>
      <c r="AE5" t="str">
        <v/>
      </c>
      <c r="AF5" t="str">
        <v/>
      </c>
      <c r="AG5" t="str">
        <v/>
      </c>
      <c r="AH5" t="str">
        <v/>
      </c>
      <c r="AI5" t="str">
        <v>18/09/2026 07:09:18</v>
      </c>
      <c r="AJ5" t="str">
        <v>07:09:18</v>
      </c>
      <c r="AK5" t="str">
        <v/>
      </c>
    </row>
    <row r="6">
      <c r="A6">
        <v>5</v>
      </c>
      <c r="B6" t="str">
        <v>MASS BSF</v>
      </c>
      <c r="C6" t="str">
        <v>CLW-864</v>
      </c>
      <c r="D6" t="str">
        <v>CLW-864</v>
      </c>
      <c r="E6" t="str">
        <v>867162029823242</v>
      </c>
      <c r="F6" t="str">
        <v>TBD</v>
      </c>
      <c r="G6" t="str">
        <v/>
      </c>
      <c r="H6" t="str">
        <v/>
      </c>
      <c r="I6" t="str">
        <v>18/09/2026</v>
      </c>
      <c r="J6" t="str">
        <v>07:11:41</v>
      </c>
      <c r="K6">
        <v>-12.2133</v>
      </c>
      <c r="L6">
        <v>-76.96004</v>
      </c>
      <c r="M6">
        <f>HYPERLINK("https://www.google.com/maps/search/?api=1&amp;query=-12.2133,-76.96004","Avenida Villa del Mar, Villa El Salvador, Lima")</f>
      </c>
      <c r="N6" t="str">
        <v>Fin de ralentí</v>
      </c>
      <c r="O6">
        <v>10397.6</v>
      </c>
      <c r="P6" t="str">
        <v/>
      </c>
      <c r="Q6">
        <v>7.6</v>
      </c>
      <c r="R6">
        <v>85.48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100</v>
      </c>
      <c r="AA6" t="str">
        <v>18/09/2026</v>
      </c>
      <c r="AB6" t="str">
        <v>07:11:25</v>
      </c>
      <c r="AC6">
        <f>IF("ONLINE"="NOGPS","GPS Antiguo","En línea")</f>
      </c>
      <c r="AD6">
        <f>IF(0=0,"Sin atender", IF(0=1,"Atendida","Atendida y Reportada"))</f>
      </c>
      <c r="AE6" t="str">
        <v/>
      </c>
      <c r="AF6" t="str">
        <v/>
      </c>
      <c r="AG6" t="str">
        <v/>
      </c>
      <c r="AH6" t="str">
        <v/>
      </c>
      <c r="AI6" t="str">
        <v>18/09/2026 07:12:00</v>
      </c>
      <c r="AJ6" t="str">
        <v>07:12:00</v>
      </c>
      <c r="AK6" t="str">
        <v/>
      </c>
    </row>
    <row r="7">
      <c r="A7">
        <v>6</v>
      </c>
      <c r="B7" t="str">
        <v>MASS BSF</v>
      </c>
      <c r="C7" t="str">
        <v>CLW-864</v>
      </c>
      <c r="D7" t="str">
        <v>CLW-864</v>
      </c>
      <c r="E7" t="str">
        <v>867162029823242</v>
      </c>
      <c r="F7" t="str">
        <v>TBD</v>
      </c>
      <c r="G7" t="str">
        <v/>
      </c>
      <c r="H7" t="str">
        <v/>
      </c>
      <c r="I7" t="str">
        <v>18/09/2026</v>
      </c>
      <c r="J7" t="str">
        <v>08:02:08</v>
      </c>
      <c r="K7">
        <v>-12.151315</v>
      </c>
      <c r="L7">
        <v>-76.96909</v>
      </c>
      <c r="M7">
        <f>HYPERLINK("https://www.google.com/maps/search/?api=1&amp;query=-12.151315,-76.96909","Jirón Manuel Arias, San Juan de Miraflores, Lima")</f>
      </c>
      <c r="N7" t="str">
        <v>Inicio de ralentí</v>
      </c>
      <c r="O7">
        <v>10408</v>
      </c>
      <c r="P7" t="str">
        <v/>
      </c>
      <c r="Q7">
        <v>0</v>
      </c>
      <c r="R7">
        <v>85.48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100</v>
      </c>
      <c r="AA7" t="str">
        <v>18/09/2026</v>
      </c>
      <c r="AB7" t="str">
        <v>08:01:28</v>
      </c>
      <c r="AC7">
        <f>IF("ONLINE"="NOGPS","GPS Antiguo","En línea")</f>
      </c>
      <c r="AD7">
        <f>IF(0=0,"Sin atender", IF(0=1,"Atendida","Atendida y Reportada"))</f>
      </c>
      <c r="AE7" t="str">
        <v/>
      </c>
      <c r="AF7" t="str">
        <v/>
      </c>
      <c r="AG7" t="str">
        <v/>
      </c>
      <c r="AH7" t="str">
        <v/>
      </c>
      <c r="AI7" t="str">
        <v>18/09/2026 08:02:24</v>
      </c>
      <c r="AJ7" t="str">
        <v>08:02:24</v>
      </c>
      <c r="AK7" t="str">
        <v/>
      </c>
    </row>
    <row r="8">
      <c r="A8">
        <v>7</v>
      </c>
      <c r="B8" t="str">
        <v>MASS BSF</v>
      </c>
      <c r="C8" t="str">
        <v>CLW-864</v>
      </c>
      <c r="D8" t="str">
        <v>CLW-864</v>
      </c>
      <c r="E8" t="str">
        <v>867162029823242</v>
      </c>
      <c r="F8" t="str">
        <v>TBD</v>
      </c>
      <c r="G8" t="str">
        <v/>
      </c>
      <c r="H8" t="str">
        <v/>
      </c>
      <c r="I8" t="str">
        <v>18/09/2026</v>
      </c>
      <c r="J8" t="str">
        <v>08:04:19</v>
      </c>
      <c r="K8">
        <v>-12.151315</v>
      </c>
      <c r="L8">
        <v>-76.96909</v>
      </c>
      <c r="M8">
        <f>HYPERLINK("https://www.google.com/maps/search/?api=1&amp;query=-12.151315,-76.96909","Jirón Manuel Arias, San Juan de Miraflores, Lima")</f>
      </c>
      <c r="N8" t="str">
        <v>Vehículo apagado</v>
      </c>
      <c r="O8">
        <v>10408</v>
      </c>
      <c r="P8" t="str">
        <v/>
      </c>
      <c r="Q8">
        <v>0</v>
      </c>
      <c r="R8">
        <v>86.47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100</v>
      </c>
      <c r="AA8" t="str">
        <v>18/09/2026</v>
      </c>
      <c r="AB8" t="str">
        <v>08:03:28</v>
      </c>
      <c r="AC8">
        <f>IF("ONLINE"="NOGPS","GPS Antiguo","En línea")</f>
      </c>
      <c r="AD8">
        <f>IF(0=0,"Sin atender", IF(0=1,"Atendida","Atendida y Reportada"))</f>
      </c>
      <c r="AE8" t="str">
        <v/>
      </c>
      <c r="AF8" t="str">
        <v/>
      </c>
      <c r="AG8" t="str">
        <v/>
      </c>
      <c r="AH8" t="str">
        <v/>
      </c>
      <c r="AI8" t="str">
        <v>18/09/2026 08:04:31</v>
      </c>
      <c r="AJ8" t="str">
        <v>08:04:31</v>
      </c>
      <c r="AK8" t="str">
        <v/>
      </c>
    </row>
    <row r="9">
      <c r="A9">
        <v>8</v>
      </c>
      <c r="B9" t="str">
        <v>MASS BSF</v>
      </c>
      <c r="C9" t="str">
        <v>CLW-864</v>
      </c>
      <c r="D9" t="str">
        <v>CLW-864</v>
      </c>
      <c r="E9" t="str">
        <v>867162029823242</v>
      </c>
      <c r="F9" t="str">
        <v>TBD</v>
      </c>
      <c r="G9" t="str">
        <v/>
      </c>
      <c r="H9" t="str">
        <v/>
      </c>
      <c r="I9" t="str">
        <v>18/09/2026</v>
      </c>
      <c r="J9" t="str">
        <v>08:04:57</v>
      </c>
      <c r="K9">
        <v>-12.151314</v>
      </c>
      <c r="L9">
        <v>-76.96912</v>
      </c>
      <c r="M9">
        <f>HYPERLINK("https://www.google.com/maps/search/?api=1&amp;query=-12.151314,-76.96912","Jirón Manuel Arias, San Juan de Miraflores, Lima")</f>
      </c>
      <c r="N9" t="str">
        <v>Fin de ralentí</v>
      </c>
      <c r="O9">
        <v>10408</v>
      </c>
      <c r="P9" t="str">
        <v/>
      </c>
      <c r="Q9">
        <v>0</v>
      </c>
      <c r="R9">
        <v>86.47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100</v>
      </c>
      <c r="AA9" t="str">
        <v>18/09/2026</v>
      </c>
      <c r="AB9" t="str">
        <v>08:04:21</v>
      </c>
      <c r="AC9">
        <f>IF("ONLINE"="NOGPS","GPS Antiguo","En línea")</f>
      </c>
      <c r="AD9">
        <f>IF(0=0,"Sin atender", IF(0=1,"Atendida","Atendida y Reportada"))</f>
      </c>
      <c r="AE9" t="str">
        <v/>
      </c>
      <c r="AF9" t="str">
        <v/>
      </c>
      <c r="AG9" t="str">
        <v/>
      </c>
      <c r="AH9" t="str">
        <v/>
      </c>
      <c r="AI9" t="str">
        <v>18/09/2026 08:05:10</v>
      </c>
      <c r="AJ9" t="str">
        <v>08:05:10</v>
      </c>
      <c r="AK9" t="str">
        <v/>
      </c>
    </row>
    <row r="10">
      <c r="A10">
        <v>9</v>
      </c>
      <c r="B10" t="str">
        <v>MASS BSF</v>
      </c>
      <c r="C10" t="str">
        <v>CLW-864</v>
      </c>
      <c r="D10" t="str">
        <v>CLW-864</v>
      </c>
      <c r="E10" t="str">
        <v>867162029823242</v>
      </c>
      <c r="F10" t="str">
        <v>TBD</v>
      </c>
      <c r="G10" t="str">
        <v/>
      </c>
      <c r="H10" t="str">
        <v/>
      </c>
      <c r="I10" t="str">
        <v>18/09/2026</v>
      </c>
      <c r="J10" t="str">
        <v>08:13:31</v>
      </c>
      <c r="K10">
        <v>-12.151314</v>
      </c>
      <c r="L10">
        <v>-76.96912</v>
      </c>
      <c r="M10">
        <f>HYPERLINK("https://www.google.com/maps/search/?api=1&amp;query=-12.151314,-76.96912","Jirón Manuel Arias, San Juan de Miraflores, Lima")</f>
      </c>
      <c r="N10" t="str">
        <v>Vehículo encendido</v>
      </c>
      <c r="O10">
        <v>10408</v>
      </c>
      <c r="P10" t="str">
        <v/>
      </c>
      <c r="Q10">
        <v>0</v>
      </c>
      <c r="R10">
        <v>86.47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100</v>
      </c>
      <c r="AA10" t="str">
        <v>18/09/2026</v>
      </c>
      <c r="AB10" t="str">
        <v>08:04:21</v>
      </c>
      <c r="AC10">
        <f>IF("NOGPS"="NOGPS","GPS Antiguo","En línea")</f>
      </c>
      <c r="AD10">
        <f>IF(0=0,"Sin atender", IF(0=1,"Atendida","Atendida y Reportada"))</f>
      </c>
      <c r="AE10" t="str">
        <v/>
      </c>
      <c r="AF10" t="str">
        <v/>
      </c>
      <c r="AG10" t="str">
        <v/>
      </c>
      <c r="AH10" t="str">
        <v/>
      </c>
      <c r="AI10" t="str">
        <v>18/09/2026 08:13:51</v>
      </c>
      <c r="AJ10" t="str">
        <v>08:13:51</v>
      </c>
      <c r="AK10" t="str">
        <v/>
      </c>
    </row>
    <row r="11">
      <c r="A11">
        <v>10</v>
      </c>
      <c r="B11" t="str">
        <v>MASS BSF</v>
      </c>
      <c r="C11" t="str">
        <v>CLW-864</v>
      </c>
      <c r="D11" t="str">
        <v>CLW-864</v>
      </c>
      <c r="E11" t="str">
        <v>867162029823242</v>
      </c>
      <c r="F11" t="str">
        <v>TBD</v>
      </c>
      <c r="G11" t="str">
        <v/>
      </c>
      <c r="H11" t="str">
        <v/>
      </c>
      <c r="I11" t="str">
        <v>18/09/2026</v>
      </c>
      <c r="J11" t="str">
        <v>08:13:33</v>
      </c>
      <c r="K11">
        <v>-12.151314</v>
      </c>
      <c r="L11">
        <v>-76.96912</v>
      </c>
      <c r="M11">
        <f>HYPERLINK("https://www.google.com/maps/search/?api=1&amp;query=-12.151314,-76.96912","Jirón Manuel Arias, San Juan de Miraflores, Lima")</f>
      </c>
      <c r="N11" t="str">
        <v>Vehículo apagado</v>
      </c>
      <c r="O11">
        <v>10408</v>
      </c>
      <c r="P11" t="str">
        <v/>
      </c>
      <c r="Q11">
        <v>0</v>
      </c>
      <c r="R11">
        <v>86.47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100</v>
      </c>
      <c r="AA11" t="str">
        <v>18/09/2026</v>
      </c>
      <c r="AB11" t="str">
        <v>08:04:21</v>
      </c>
      <c r="AC11">
        <f>IF("NOGPS"="NOGPS","GPS Antiguo","En línea")</f>
      </c>
      <c r="AD11">
        <f>IF(0=0,"Sin atender", IF(0=1,"Atendida","Atendida y Reportada"))</f>
      </c>
      <c r="AE11" t="str">
        <v/>
      </c>
      <c r="AF11" t="str">
        <v/>
      </c>
      <c r="AG11" t="str">
        <v/>
      </c>
      <c r="AH11" t="str">
        <v/>
      </c>
      <c r="AI11" t="str">
        <v>18/09/2026 08:13:52</v>
      </c>
      <c r="AJ11" t="str">
        <v>08:13:52</v>
      </c>
      <c r="AK11" t="str">
        <v/>
      </c>
    </row>
    <row r="12">
      <c r="A12">
        <v>11</v>
      </c>
      <c r="B12" t="str">
        <v>MASS BSF</v>
      </c>
      <c r="C12" t="str">
        <v>CLW-864</v>
      </c>
      <c r="D12" t="str">
        <v>CLW-864</v>
      </c>
      <c r="E12" t="str">
        <v>867162029823242</v>
      </c>
      <c r="F12" t="str">
        <v>TBD</v>
      </c>
      <c r="G12" t="str">
        <v/>
      </c>
      <c r="H12" t="str">
        <v/>
      </c>
      <c r="I12" t="str">
        <v>18/09/2026</v>
      </c>
      <c r="J12" t="str">
        <v>08:13:35</v>
      </c>
      <c r="K12">
        <v>-12.151314</v>
      </c>
      <c r="L12">
        <v>-76.96912</v>
      </c>
      <c r="M12">
        <f>HYPERLINK("https://www.google.com/maps/search/?api=1&amp;query=-12.151314,-76.96912","Jirón Manuel Arias, San Juan de Miraflores, Lima")</f>
      </c>
      <c r="N12" t="str">
        <v>Vehículo encendido</v>
      </c>
      <c r="O12">
        <v>10408</v>
      </c>
      <c r="P12" t="str">
        <v/>
      </c>
      <c r="Q12">
        <v>0</v>
      </c>
      <c r="R12">
        <v>86.47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100</v>
      </c>
      <c r="AA12" t="str">
        <v>18/09/2026</v>
      </c>
      <c r="AB12" t="str">
        <v>08:04:21</v>
      </c>
      <c r="AC12">
        <f>IF("NOGPS"="NOGPS","GPS Antiguo","En línea")</f>
      </c>
      <c r="AD12">
        <f>IF(0=0,"Sin atender", IF(0=1,"Atendida","Atendida y Reportada"))</f>
      </c>
      <c r="AE12" t="str">
        <v/>
      </c>
      <c r="AF12" t="str">
        <v/>
      </c>
      <c r="AG12" t="str">
        <v/>
      </c>
      <c r="AH12" t="str">
        <v/>
      </c>
      <c r="AI12" t="str">
        <v>18/09/2026 08:13:54</v>
      </c>
      <c r="AJ12" t="str">
        <v>08:13:54</v>
      </c>
      <c r="AK12" t="str">
        <v/>
      </c>
    </row>
    <row r="13">
      <c r="A13">
        <v>12</v>
      </c>
      <c r="B13" t="str">
        <v>MASS BSF</v>
      </c>
      <c r="C13" t="str">
        <v>CLW-864</v>
      </c>
      <c r="D13" t="str">
        <v>CLW-864</v>
      </c>
      <c r="E13" t="str">
        <v>867162029823242</v>
      </c>
      <c r="F13" t="str">
        <v>TBD</v>
      </c>
      <c r="G13" t="str">
        <v/>
      </c>
      <c r="H13" t="str">
        <v/>
      </c>
      <c r="I13" t="str">
        <v>18/09/2026</v>
      </c>
      <c r="J13" t="str">
        <v>08:34:56</v>
      </c>
      <c r="K13">
        <v>-12.150163</v>
      </c>
      <c r="L13">
        <v>-76.971436</v>
      </c>
      <c r="M13">
        <f>HYPERLINK("https://www.google.com/maps/search/?api=1&amp;query=-12.150163,-76.971436","Faustino Silva, San Juan de Miraflores, Lima")</f>
      </c>
      <c r="N13" t="str">
        <v>Vehículo apagado</v>
      </c>
      <c r="O13">
        <v>10409.1</v>
      </c>
      <c r="P13" t="str">
        <v/>
      </c>
      <c r="Q13">
        <v>0</v>
      </c>
      <c r="R13">
        <v>86.82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100</v>
      </c>
      <c r="AA13" t="str">
        <v>18/09/2026</v>
      </c>
      <c r="AB13" t="str">
        <v>08:35:02</v>
      </c>
      <c r="AC13">
        <f>IF("ONLINE"="NOGPS","GPS Antiguo","En línea")</f>
      </c>
      <c r="AD13">
        <f>IF(0=0,"Sin atender", IF(0=1,"Atendida","Atendida y Reportada"))</f>
      </c>
      <c r="AE13" t="str">
        <v/>
      </c>
      <c r="AF13" t="str">
        <v/>
      </c>
      <c r="AG13" t="str">
        <v/>
      </c>
      <c r="AH13" t="str">
        <v/>
      </c>
      <c r="AI13" t="str">
        <v>18/09/2026 08:35:13</v>
      </c>
      <c r="AJ13" t="str">
        <v>08:35:13</v>
      </c>
      <c r="AK13" t="str">
        <v/>
      </c>
    </row>
    <row r="14">
      <c r="A14">
        <v>13</v>
      </c>
      <c r="B14" t="str">
        <v>MASS BSF</v>
      </c>
      <c r="C14" t="str">
        <v>CLW-864</v>
      </c>
      <c r="D14" t="str">
        <v>CLW-864</v>
      </c>
      <c r="E14" t="str">
        <v>867162029823242</v>
      </c>
      <c r="F14" t="str">
        <v>TBD</v>
      </c>
      <c r="G14" t="str">
        <v/>
      </c>
      <c r="H14" t="str">
        <v/>
      </c>
      <c r="I14" t="str">
        <v>18/09/2026</v>
      </c>
      <c r="J14" t="str">
        <v>09:00:21</v>
      </c>
      <c r="K14">
        <v>-12.150163</v>
      </c>
      <c r="L14">
        <v>-76.971436</v>
      </c>
      <c r="M14">
        <f>HYPERLINK("https://www.google.com/maps/search/?api=1&amp;query=-12.150163,-76.971436","Faustino Silva, San Juan de Miraflores, Lima")</f>
      </c>
      <c r="N14" t="str">
        <v>Vehículo encendido</v>
      </c>
      <c r="O14">
        <v>10409.1</v>
      </c>
      <c r="P14" t="str">
        <v/>
      </c>
      <c r="Q14">
        <v>0</v>
      </c>
      <c r="R14">
        <v>86.82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100</v>
      </c>
      <c r="AA14" t="str">
        <v>18/09/2026</v>
      </c>
      <c r="AB14" t="str">
        <v>08:35:02</v>
      </c>
      <c r="AC14">
        <f>IF("NOGPS"="NOGPS","GPS Antiguo","En línea")</f>
      </c>
      <c r="AD14">
        <f>IF(0=0,"Sin atender", IF(0=1,"Atendida","Atendida y Reportada"))</f>
      </c>
      <c r="AE14" t="str">
        <v/>
      </c>
      <c r="AF14" t="str">
        <v/>
      </c>
      <c r="AG14" t="str">
        <v/>
      </c>
      <c r="AH14" t="str">
        <v/>
      </c>
      <c r="AI14" t="str">
        <v>18/09/2026 09:00:33</v>
      </c>
      <c r="AJ14" t="str">
        <v>09:00:33</v>
      </c>
      <c r="AK14" t="str">
        <v/>
      </c>
    </row>
    <row r="15">
      <c r="A15">
        <v>14</v>
      </c>
      <c r="B15" t="str">
        <v>MASS BSF</v>
      </c>
      <c r="C15" t="str">
        <v>CLW-864</v>
      </c>
      <c r="D15" t="str">
        <v>CLW-864</v>
      </c>
      <c r="E15" t="str">
        <v>867162029823242</v>
      </c>
      <c r="F15" t="str">
        <v>TBD</v>
      </c>
      <c r="G15" t="str">
        <v/>
      </c>
      <c r="H15" t="str">
        <v/>
      </c>
      <c r="I15" t="str">
        <v>18/09/2026</v>
      </c>
      <c r="J15" t="str">
        <v>09:00:25</v>
      </c>
      <c r="K15">
        <v>-12.150163</v>
      </c>
      <c r="L15">
        <v>-76.971436</v>
      </c>
      <c r="M15">
        <f>HYPERLINK("https://www.google.com/maps/search/?api=1&amp;query=-12.150163,-76.971436","Faustino Silva, San Juan de Miraflores, Lima")</f>
      </c>
      <c r="N15" t="str">
        <v>Vehículo apagado</v>
      </c>
      <c r="O15">
        <v>10409.1</v>
      </c>
      <c r="P15" t="str">
        <v/>
      </c>
      <c r="Q15">
        <v>0</v>
      </c>
      <c r="R15">
        <v>86.82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100</v>
      </c>
      <c r="AA15" t="str">
        <v>18/09/2026</v>
      </c>
      <c r="AB15" t="str">
        <v>08:35:02</v>
      </c>
      <c r="AC15">
        <f>IF("NOGPS"="NOGPS","GPS Antiguo","En línea")</f>
      </c>
      <c r="AD15">
        <f>IF(0=0,"Sin atender", IF(0=1,"Atendida","Atendida y Reportada"))</f>
      </c>
      <c r="AE15" t="str">
        <v/>
      </c>
      <c r="AF15" t="str">
        <v/>
      </c>
      <c r="AG15" t="str">
        <v/>
      </c>
      <c r="AH15" t="str">
        <v/>
      </c>
      <c r="AI15" t="str">
        <v>18/09/2026 09:00:38</v>
      </c>
      <c r="AJ15" t="str">
        <v>09:00:38</v>
      </c>
      <c r="AK15" t="str">
        <v/>
      </c>
    </row>
    <row r="16">
      <c r="A16">
        <v>15</v>
      </c>
      <c r="B16" t="str">
        <v>MASS BSF</v>
      </c>
      <c r="C16" t="str">
        <v>CLW-864</v>
      </c>
      <c r="D16" t="str">
        <v>CLW-864</v>
      </c>
      <c r="E16" t="str">
        <v>867162029823242</v>
      </c>
      <c r="F16" t="str">
        <v>TBD</v>
      </c>
      <c r="G16" t="str">
        <v/>
      </c>
      <c r="H16" t="str">
        <v/>
      </c>
      <c r="I16" t="str">
        <v>18/09/2026</v>
      </c>
      <c r="J16" t="str">
        <v>09:00:27</v>
      </c>
      <c r="K16">
        <v>-12.150163</v>
      </c>
      <c r="L16">
        <v>-76.971436</v>
      </c>
      <c r="M16">
        <f>HYPERLINK("https://www.google.com/maps/search/?api=1&amp;query=-12.150163,-76.971436","Faustino Silva, San Juan de Miraflores, Lima")</f>
      </c>
      <c r="N16" t="str">
        <v>Vehículo encendido</v>
      </c>
      <c r="O16">
        <v>10409.1</v>
      </c>
      <c r="P16" t="str">
        <v/>
      </c>
      <c r="Q16">
        <v>0</v>
      </c>
      <c r="R16">
        <v>86.82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100</v>
      </c>
      <c r="AA16" t="str">
        <v>18/09/2026</v>
      </c>
      <c r="AB16" t="str">
        <v>08:35:02</v>
      </c>
      <c r="AC16">
        <f>IF("NOGPS"="NOGPS","GPS Antiguo","En línea")</f>
      </c>
      <c r="AD16">
        <f>IF(0=0,"Sin atender", IF(0=1,"Atendida","Atendida y Reportada"))</f>
      </c>
      <c r="AE16" t="str">
        <v/>
      </c>
      <c r="AF16" t="str">
        <v/>
      </c>
      <c r="AG16" t="str">
        <v/>
      </c>
      <c r="AH16" t="str">
        <v/>
      </c>
      <c r="AI16" t="str">
        <v>18/09/2026 09:00:43</v>
      </c>
      <c r="AJ16" t="str">
        <v>09:00:43</v>
      </c>
      <c r="AK16" t="str">
        <v/>
      </c>
    </row>
    <row r="17">
      <c r="A17">
        <v>16</v>
      </c>
      <c r="B17" t="str">
        <v>MASS BSF</v>
      </c>
      <c r="C17" t="str">
        <v>CLW-864</v>
      </c>
      <c r="D17" t="str">
        <v>CLW-864</v>
      </c>
      <c r="E17" t="str">
        <v>867162029823242</v>
      </c>
      <c r="F17" t="str">
        <v>TBD</v>
      </c>
      <c r="G17" t="str">
        <v/>
      </c>
      <c r="H17" t="str">
        <v/>
      </c>
      <c r="I17" t="str">
        <v>18/09/2026</v>
      </c>
      <c r="J17" t="str">
        <v>09:03:58</v>
      </c>
      <c r="K17">
        <v>-12.150276</v>
      </c>
      <c r="L17">
        <v>-76.971275</v>
      </c>
      <c r="M17">
        <f>HYPERLINK("https://www.google.com/maps/search/?api=1&amp;query=-12.150276,-76.971275","Avenida José Torres Paz, San Juan de Miraflores, Lima")</f>
      </c>
      <c r="N17" t="str">
        <v>Inicio de ralentí</v>
      </c>
      <c r="O17">
        <v>10409.1</v>
      </c>
      <c r="P17" t="str">
        <v/>
      </c>
      <c r="Q17">
        <v>0</v>
      </c>
      <c r="R17">
        <v>86.82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v>100</v>
      </c>
      <c r="AA17" t="str">
        <v>18/09/2026</v>
      </c>
      <c r="AB17" t="str">
        <v>09:03:25</v>
      </c>
      <c r="AC17">
        <f>IF("ONLINE"="NOGPS","GPS Antiguo","En línea")</f>
      </c>
      <c r="AD17">
        <f>IF(0=0,"Sin atender", IF(0=1,"Atendida","Atendida y Reportada"))</f>
      </c>
      <c r="AE17" t="str">
        <v/>
      </c>
      <c r="AF17" t="str">
        <v/>
      </c>
      <c r="AG17" t="str">
        <v/>
      </c>
      <c r="AH17" t="str">
        <v/>
      </c>
      <c r="AI17" t="str">
        <v>18/09/2026 09:04:16</v>
      </c>
      <c r="AJ17" t="str">
        <v>09:04:16</v>
      </c>
      <c r="AK17" t="str">
        <v/>
      </c>
    </row>
    <row r="18">
      <c r="A18">
        <v>17</v>
      </c>
      <c r="B18" t="str">
        <v>MASS BSF</v>
      </c>
      <c r="C18" t="str">
        <v>CLW-864</v>
      </c>
      <c r="D18" t="str">
        <v>CLW-864</v>
      </c>
      <c r="E18" t="str">
        <v>867162029823242</v>
      </c>
      <c r="F18" t="str">
        <v>TBD</v>
      </c>
      <c r="G18" t="str">
        <v/>
      </c>
      <c r="H18" t="str">
        <v/>
      </c>
      <c r="I18" t="str">
        <v>18/09/2026</v>
      </c>
      <c r="J18" t="str">
        <v>09:05:12</v>
      </c>
      <c r="K18">
        <v>-12.15009</v>
      </c>
      <c r="L18">
        <v>-76.971245</v>
      </c>
      <c r="M18">
        <f>HYPERLINK("https://www.google.com/maps/search/?api=1&amp;query=-12.15009,-76.971245","Avenida José Torres Paz, San Juan de Miraflores, Lima")</f>
      </c>
      <c r="N18" t="str">
        <v>Fin de ralentí</v>
      </c>
      <c r="O18">
        <v>10409.2</v>
      </c>
      <c r="P18" t="str">
        <v/>
      </c>
      <c r="Q18">
        <v>0</v>
      </c>
      <c r="R18">
        <v>86.82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v>100</v>
      </c>
      <c r="AA18" t="str">
        <v>18/09/2026</v>
      </c>
      <c r="AB18" t="str">
        <v>09:04:25</v>
      </c>
      <c r="AC18">
        <f>IF("ONLINE"="NOGPS","GPS Antiguo","En línea")</f>
      </c>
      <c r="AD18">
        <f>IF(0=0,"Sin atender", IF(0=1,"Atendida","Atendida y Reportada"))</f>
      </c>
      <c r="AE18" t="str">
        <v/>
      </c>
      <c r="AF18" t="str">
        <v/>
      </c>
      <c r="AG18" t="str">
        <v/>
      </c>
      <c r="AH18" t="str">
        <v/>
      </c>
      <c r="AI18" t="str">
        <v>18/09/2026 09:05:27</v>
      </c>
      <c r="AJ18" t="str">
        <v>09:05:27</v>
      </c>
      <c r="AK18" t="str">
        <v/>
      </c>
    </row>
    <row r="19">
      <c r="A19">
        <v>18</v>
      </c>
      <c r="B19" t="str">
        <v>MASS BSF</v>
      </c>
      <c r="C19" t="str">
        <v>CLW-864</v>
      </c>
      <c r="D19" t="str">
        <v>CLW-864</v>
      </c>
      <c r="E19" t="str">
        <v>867162029823242</v>
      </c>
      <c r="F19" t="str">
        <v>TBD</v>
      </c>
      <c r="G19" t="str">
        <v/>
      </c>
      <c r="H19" t="str">
        <v/>
      </c>
      <c r="I19" t="str">
        <v>18/09/2026</v>
      </c>
      <c r="J19" t="str">
        <v>09:19:11</v>
      </c>
      <c r="K19">
        <v>-12.162764</v>
      </c>
      <c r="L19">
        <v>-76.96565</v>
      </c>
      <c r="M19">
        <f>HYPERLINK("https://www.google.com/maps/search/?api=1&amp;query=-12.162764,-76.96565","Avenida Belisario Suárez, San Juan de Miraflores, Lima")</f>
      </c>
      <c r="N19" t="str">
        <v>Vehículo apagado</v>
      </c>
      <c r="O19">
        <v>10412.2</v>
      </c>
      <c r="P19" t="str">
        <v/>
      </c>
      <c r="Q19">
        <v>0</v>
      </c>
      <c r="R19">
        <v>87.13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100</v>
      </c>
      <c r="AA19" t="str">
        <v>18/09/2026</v>
      </c>
      <c r="AB19" t="str">
        <v>09:19:17</v>
      </c>
      <c r="AC19">
        <f>IF("ONLINE"="NOGPS","GPS Antiguo","En línea")</f>
      </c>
      <c r="AD19">
        <f>IF(0=0,"Sin atender", IF(0=1,"Atendida","Atendida y Reportada"))</f>
      </c>
      <c r="AE19" t="str">
        <v/>
      </c>
      <c r="AF19" t="str">
        <v/>
      </c>
      <c r="AG19" t="str">
        <v/>
      </c>
      <c r="AH19" t="str">
        <v/>
      </c>
      <c r="AI19" t="str">
        <v>18/09/2026 09:19:29</v>
      </c>
      <c r="AJ19" t="str">
        <v>09:19:29</v>
      </c>
      <c r="AK19" t="str">
        <v/>
      </c>
    </row>
    <row r="20">
      <c r="A20">
        <v>19</v>
      </c>
      <c r="B20" t="str">
        <v>MASS BSF</v>
      </c>
      <c r="C20" t="str">
        <v>CLW-864</v>
      </c>
      <c r="D20" t="str">
        <v>CLW-864</v>
      </c>
      <c r="E20" t="str">
        <v>867162029823242</v>
      </c>
      <c r="F20" t="str">
        <v>TBD</v>
      </c>
      <c r="G20" t="str">
        <v/>
      </c>
      <c r="H20" t="str">
        <v/>
      </c>
      <c r="I20" t="str">
        <v>18/09/2026</v>
      </c>
      <c r="J20" t="str">
        <v>09:27:10</v>
      </c>
      <c r="K20">
        <v>-12.162764</v>
      </c>
      <c r="L20">
        <v>-76.96565</v>
      </c>
      <c r="M20">
        <f>HYPERLINK("https://www.google.com/maps/search/?api=1&amp;query=-12.162764,-76.96565","Avenida Belisario Suárez, San Juan de Miraflores, Lima")</f>
      </c>
      <c r="N20" t="str">
        <v>Vehículo encendido</v>
      </c>
      <c r="O20">
        <v>10412.2</v>
      </c>
      <c r="P20" t="str">
        <v/>
      </c>
      <c r="Q20">
        <v>0</v>
      </c>
      <c r="R20">
        <v>87.13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100</v>
      </c>
      <c r="AA20" t="str">
        <v>18/09/2026</v>
      </c>
      <c r="AB20" t="str">
        <v>09:19:17</v>
      </c>
      <c r="AC20">
        <f>IF("NOGPS"="NOGPS","GPS Antiguo","En línea")</f>
      </c>
      <c r="AD20">
        <f>IF(0=0,"Sin atender", IF(0=1,"Atendida","Atendida y Reportada"))</f>
      </c>
      <c r="AE20" t="str">
        <v/>
      </c>
      <c r="AF20" t="str">
        <v/>
      </c>
      <c r="AG20" t="str">
        <v/>
      </c>
      <c r="AH20" t="str">
        <v/>
      </c>
      <c r="AI20" t="str">
        <v>18/09/2026 09:27:28</v>
      </c>
      <c r="AJ20" t="str">
        <v>09:27:28</v>
      </c>
      <c r="AK20" t="str">
        <v/>
      </c>
    </row>
    <row r="21">
      <c r="A21">
        <v>20</v>
      </c>
      <c r="B21" t="str">
        <v>MASS BSF</v>
      </c>
      <c r="C21" t="str">
        <v>CLW-864</v>
      </c>
      <c r="D21" t="str">
        <v>CLW-864</v>
      </c>
      <c r="E21" t="str">
        <v>867162029823242</v>
      </c>
      <c r="F21" t="str">
        <v>TBD</v>
      </c>
      <c r="G21" t="str">
        <v/>
      </c>
      <c r="H21" t="str">
        <v/>
      </c>
      <c r="I21" t="str">
        <v>18/09/2026</v>
      </c>
      <c r="J21" t="str">
        <v>09:27:20</v>
      </c>
      <c r="K21">
        <v>-12.162753</v>
      </c>
      <c r="L21">
        <v>-76.96572</v>
      </c>
      <c r="M21">
        <f>HYPERLINK("https://www.google.com/maps/search/?api=1&amp;query=-12.162753,-76.96572","Avenida Belisario Suárez, San Juan de Miraflores, Lima")</f>
      </c>
      <c r="N21" t="str">
        <v>Vehículo apagado</v>
      </c>
      <c r="O21">
        <v>10412.2</v>
      </c>
      <c r="P21" t="str">
        <v/>
      </c>
      <c r="Q21">
        <v>0</v>
      </c>
      <c r="R21">
        <v>87.13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100</v>
      </c>
      <c r="AA21" t="str">
        <v>18/09/2026</v>
      </c>
      <c r="AB21" t="str">
        <v>09:27:23</v>
      </c>
      <c r="AC21">
        <f>IF("ONLINE"="NOGPS","GPS Antiguo","En línea")</f>
      </c>
      <c r="AD21">
        <f>IF(0=0,"Sin atender", IF(0=1,"Atendida","Atendida y Reportada"))</f>
      </c>
      <c r="AE21" t="str">
        <v/>
      </c>
      <c r="AF21" t="str">
        <v/>
      </c>
      <c r="AG21" t="str">
        <v/>
      </c>
      <c r="AH21" t="str">
        <v/>
      </c>
      <c r="AI21" t="str">
        <v>18/09/2026 09:27:43</v>
      </c>
      <c r="AJ21" t="str">
        <v>09:27:43</v>
      </c>
      <c r="AK21" t="str">
        <v/>
      </c>
    </row>
    <row r="22">
      <c r="A22">
        <v>21</v>
      </c>
      <c r="B22" t="str">
        <v>MASS BSF</v>
      </c>
      <c r="C22" t="str">
        <v>CLW-864</v>
      </c>
      <c r="D22" t="str">
        <v>CLW-864</v>
      </c>
      <c r="E22" t="str">
        <v>867162029823242</v>
      </c>
      <c r="F22" t="str">
        <v>TBD</v>
      </c>
      <c r="G22" t="str">
        <v/>
      </c>
      <c r="H22" t="str">
        <v/>
      </c>
      <c r="I22" t="str">
        <v>18/09/2026</v>
      </c>
      <c r="J22" t="str">
        <v>09:27:22</v>
      </c>
      <c r="K22">
        <v>-12.162753</v>
      </c>
      <c r="L22">
        <v>-76.96572</v>
      </c>
      <c r="M22">
        <f>HYPERLINK("https://www.google.com/maps/search/?api=1&amp;query=-12.162753,-76.96572","Avenida Belisario Suárez, San Juan de Miraflores, Lima")</f>
      </c>
      <c r="N22" t="str">
        <v>Vehículo encendido</v>
      </c>
      <c r="O22">
        <v>10412.2</v>
      </c>
      <c r="P22" t="str">
        <v/>
      </c>
      <c r="Q22">
        <v>0</v>
      </c>
      <c r="R22">
        <v>87.13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100</v>
      </c>
      <c r="AA22" t="str">
        <v>18/09/2026</v>
      </c>
      <c r="AB22" t="str">
        <v>09:27:23</v>
      </c>
      <c r="AC22">
        <f>IF("ONLINE"="NOGPS","GPS Antiguo","En línea")</f>
      </c>
      <c r="AD22">
        <f>IF(0=0,"Sin atender", IF(0=1,"Atendida","Atendida y Reportada"))</f>
      </c>
      <c r="AE22" t="str">
        <v/>
      </c>
      <c r="AF22" t="str">
        <v/>
      </c>
      <c r="AG22" t="str">
        <v/>
      </c>
      <c r="AH22" t="str">
        <v/>
      </c>
      <c r="AI22" t="str">
        <v>18/09/2026 09:27:43</v>
      </c>
      <c r="AJ22" t="str">
        <v>09:27:43</v>
      </c>
      <c r="AK22" t="str">
        <v/>
      </c>
    </row>
    <row r="23">
      <c r="A23">
        <v>22</v>
      </c>
      <c r="B23" t="str">
        <v>MASS BSF</v>
      </c>
      <c r="C23" t="str">
        <v>CLW-864</v>
      </c>
      <c r="D23" t="str">
        <v>CLW-864</v>
      </c>
      <c r="E23" t="str">
        <v>867162029823242</v>
      </c>
      <c r="F23" t="str">
        <v>TBD</v>
      </c>
      <c r="G23" t="str">
        <v/>
      </c>
      <c r="H23" t="str">
        <v/>
      </c>
      <c r="I23" t="str">
        <v>18/09/2026</v>
      </c>
      <c r="J23" t="str">
        <v>09:30:25</v>
      </c>
      <c r="K23">
        <v>-12.162753</v>
      </c>
      <c r="L23">
        <v>-76.96572</v>
      </c>
      <c r="M23">
        <f>HYPERLINK("https://www.google.com/maps/search/?api=1&amp;query=-12.162753,-76.96572","Avenida Belisario Suárez, San Juan de Miraflores, Lima")</f>
      </c>
      <c r="N23" t="str">
        <v>Vehículo apagado</v>
      </c>
      <c r="O23">
        <v>10412.2</v>
      </c>
      <c r="P23" t="str">
        <v/>
      </c>
      <c r="Q23">
        <v>0</v>
      </c>
      <c r="R23">
        <v>87.18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100</v>
      </c>
      <c r="AA23" t="str">
        <v>18/09/2026</v>
      </c>
      <c r="AB23" t="str">
        <v>09:30:28</v>
      </c>
      <c r="AC23">
        <f>IF("ONLINE"="NOGPS","GPS Antiguo","En línea")</f>
      </c>
      <c r="AD23">
        <f>IF(0=0,"Sin atender", IF(0=1,"Atendida","Atendida y Reportada"))</f>
      </c>
      <c r="AE23" t="str">
        <v/>
      </c>
      <c r="AF23" t="str">
        <v/>
      </c>
      <c r="AG23" t="str">
        <v/>
      </c>
      <c r="AH23" t="str">
        <v/>
      </c>
      <c r="AI23" t="str">
        <v>18/09/2026 09:30:50</v>
      </c>
      <c r="AJ23" t="str">
        <v>09:30:50</v>
      </c>
      <c r="AK23" t="str">
        <v/>
      </c>
    </row>
    <row r="24">
      <c r="A24">
        <v>23</v>
      </c>
      <c r="B24" t="str">
        <v>MASS BSF</v>
      </c>
      <c r="C24" t="str">
        <v>CLW-864</v>
      </c>
      <c r="D24" t="str">
        <v>CLW-864</v>
      </c>
      <c r="E24" t="str">
        <v>867162029823242</v>
      </c>
      <c r="F24" t="str">
        <v>TBD</v>
      </c>
      <c r="G24" t="str">
        <v/>
      </c>
      <c r="H24" t="str">
        <v/>
      </c>
      <c r="I24" t="str">
        <v>18/09/2026</v>
      </c>
      <c r="J24" t="str">
        <v>09:42:10</v>
      </c>
      <c r="K24">
        <v>-12.162753</v>
      </c>
      <c r="L24">
        <v>-76.96572</v>
      </c>
      <c r="M24">
        <f>HYPERLINK("https://www.google.com/maps/search/?api=1&amp;query=-12.162753,-76.96572","Avenida Belisario Suárez, San Juan de Miraflores, Lima")</f>
      </c>
      <c r="N24" t="str">
        <v>Vehículo encendido</v>
      </c>
      <c r="O24">
        <v>10412.2</v>
      </c>
      <c r="P24" t="str">
        <v/>
      </c>
      <c r="Q24">
        <v>0</v>
      </c>
      <c r="R24">
        <v>87.18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100</v>
      </c>
      <c r="AA24" t="str">
        <v>18/09/2026</v>
      </c>
      <c r="AB24" t="str">
        <v>09:30:28</v>
      </c>
      <c r="AC24">
        <f>IF("NOGPS"="NOGPS","GPS Antiguo","En línea")</f>
      </c>
      <c r="AD24">
        <f>IF(0=0,"Sin atender", IF(0=1,"Atendida","Atendida y Reportada"))</f>
      </c>
      <c r="AE24" t="str">
        <v/>
      </c>
      <c r="AF24" t="str">
        <v/>
      </c>
      <c r="AG24" t="str">
        <v/>
      </c>
      <c r="AH24" t="str">
        <v/>
      </c>
      <c r="AI24" t="str">
        <v>18/09/2026 09:42:29</v>
      </c>
      <c r="AJ24" t="str">
        <v>09:42:29</v>
      </c>
      <c r="AK24" t="str">
        <v/>
      </c>
    </row>
    <row r="25">
      <c r="A25">
        <v>24</v>
      </c>
      <c r="B25" t="str">
        <v>MASS BSF</v>
      </c>
      <c r="C25" t="str">
        <v>CLW-864</v>
      </c>
      <c r="D25" t="str">
        <v>CLW-864</v>
      </c>
      <c r="E25" t="str">
        <v>867162029823242</v>
      </c>
      <c r="F25" t="str">
        <v>TBD</v>
      </c>
      <c r="G25" t="str">
        <v/>
      </c>
      <c r="H25" t="str">
        <v/>
      </c>
      <c r="I25" t="str">
        <v>18/09/2026</v>
      </c>
      <c r="J25" t="str">
        <v>09:42:24</v>
      </c>
      <c r="K25">
        <v>-12.162745</v>
      </c>
      <c r="L25">
        <v>-76.96573</v>
      </c>
      <c r="M25">
        <f>HYPERLINK("https://www.google.com/maps/search/?api=1&amp;query=-12.162745,-76.96573","Avenida Belisario Suárez, San Juan de Miraflores, Lima")</f>
      </c>
      <c r="N25" t="str">
        <v>Vehículo apagado</v>
      </c>
      <c r="O25">
        <v>10412.2</v>
      </c>
      <c r="P25" t="str">
        <v/>
      </c>
      <c r="Q25">
        <v>0</v>
      </c>
      <c r="R25">
        <v>87.18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100</v>
      </c>
      <c r="AA25" t="str">
        <v>18/09/2026</v>
      </c>
      <c r="AB25" t="str">
        <v>09:42:26</v>
      </c>
      <c r="AC25">
        <f>IF("ONLINE"="NOGPS","GPS Antiguo","En línea")</f>
      </c>
      <c r="AD25">
        <f>IF(0=0,"Sin atender", IF(0=1,"Atendida","Atendida y Reportada"))</f>
      </c>
      <c r="AE25" t="str">
        <v/>
      </c>
      <c r="AF25" t="str">
        <v/>
      </c>
      <c r="AG25" t="str">
        <v/>
      </c>
      <c r="AH25" t="str">
        <v/>
      </c>
      <c r="AI25" t="str">
        <v>18/09/2026 09:42:42</v>
      </c>
      <c r="AJ25" t="str">
        <v>09:42:42</v>
      </c>
      <c r="AK25" t="str">
        <v/>
      </c>
    </row>
    <row r="26">
      <c r="A26">
        <v>25</v>
      </c>
      <c r="B26" t="str">
        <v>MASS BSF</v>
      </c>
      <c r="C26" t="str">
        <v>CLW-864</v>
      </c>
      <c r="D26" t="str">
        <v>CLW-864</v>
      </c>
      <c r="E26" t="str">
        <v>867162029823242</v>
      </c>
      <c r="F26" t="str">
        <v>TBD</v>
      </c>
      <c r="G26" t="str">
        <v/>
      </c>
      <c r="H26" t="str">
        <v/>
      </c>
      <c r="I26" t="str">
        <v>18/09/2026</v>
      </c>
      <c r="J26" t="str">
        <v>09:42:26</v>
      </c>
      <c r="K26">
        <v>-12.162745</v>
      </c>
      <c r="L26">
        <v>-76.96573</v>
      </c>
      <c r="M26">
        <f>HYPERLINK("https://www.google.com/maps/search/?api=1&amp;query=-12.162745,-76.96573","Avenida Belisario Suárez, San Juan de Miraflores, Lima")</f>
      </c>
      <c r="N26" t="str">
        <v>Vehículo encendido</v>
      </c>
      <c r="O26">
        <v>10412.2</v>
      </c>
      <c r="P26" t="str">
        <v/>
      </c>
      <c r="Q26">
        <v>0</v>
      </c>
      <c r="R26">
        <v>87.18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100</v>
      </c>
      <c r="AA26" t="str">
        <v>18/09/2026</v>
      </c>
      <c r="AB26" t="str">
        <v>09:42:26</v>
      </c>
      <c r="AC26">
        <f>IF("ONLINE"="NOGPS","GPS Antiguo","En línea")</f>
      </c>
      <c r="AD26">
        <f>IF(0=0,"Sin atender", IF(0=1,"Atendida","Atendida y Reportada"))</f>
      </c>
      <c r="AE26" t="str">
        <v/>
      </c>
      <c r="AF26" t="str">
        <v/>
      </c>
      <c r="AG26" t="str">
        <v/>
      </c>
      <c r="AH26" t="str">
        <v/>
      </c>
      <c r="AI26" t="str">
        <v>18/09/2026 09:42:35</v>
      </c>
      <c r="AJ26" t="str">
        <v>09:42:35</v>
      </c>
      <c r="AK26" t="str">
        <v/>
      </c>
    </row>
    <row r="27">
      <c r="A27">
        <v>26</v>
      </c>
      <c r="B27" t="str">
        <v>MASS BSF</v>
      </c>
      <c r="C27" t="str">
        <v>CLW-864</v>
      </c>
      <c r="D27" t="str">
        <v>CLW-864</v>
      </c>
      <c r="E27" t="str">
        <v>867162029823242</v>
      </c>
      <c r="F27" t="str">
        <v>TBD</v>
      </c>
      <c r="G27" t="str">
        <v/>
      </c>
      <c r="H27" t="str">
        <v/>
      </c>
      <c r="I27" t="str">
        <v>18/09/2026</v>
      </c>
      <c r="J27" t="str">
        <v>09:55:35</v>
      </c>
      <c r="K27">
        <v>-12.176744</v>
      </c>
      <c r="L27">
        <v>-76.97763</v>
      </c>
      <c r="M27">
        <f>HYPERLINK("https://www.google.com/maps/search/?api=1&amp;query=-12.176744,-76.97763","Avenida El Triunfo, San Juan de Miraflores, Lima")</f>
      </c>
      <c r="N27" t="str">
        <v>Exceso de velocidad en segmento vial</v>
      </c>
      <c r="O27">
        <v>10415.9</v>
      </c>
      <c r="P27" t="str">
        <v/>
      </c>
      <c r="Q27">
        <v>40.5</v>
      </c>
      <c r="R27">
        <v>87.18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100</v>
      </c>
      <c r="AA27" t="str">
        <v>18/09/2026</v>
      </c>
      <c r="AB27" t="str">
        <v>09:55:26</v>
      </c>
      <c r="AC27">
        <f>IF("ONLINE"="NOGPS","GPS Antiguo","En línea")</f>
      </c>
      <c r="AD27">
        <f>IF(0=0,"Sin atender", IF(0=1,"Atendida","Atendida y Reportada"))</f>
      </c>
      <c r="AE27" t="str">
        <v/>
      </c>
      <c r="AF27" t="str">
        <v/>
      </c>
      <c r="AG27" t="str">
        <v/>
      </c>
      <c r="AH27" t="str">
        <v/>
      </c>
      <c r="AI27" t="str">
        <v>18/09/2026 09:55:52</v>
      </c>
      <c r="AJ27" t="str">
        <v>09:55:52</v>
      </c>
      <c r="AK27" t="str">
        <v/>
      </c>
    </row>
    <row r="28">
      <c r="A28">
        <v>27</v>
      </c>
      <c r="B28" t="str">
        <v>MASS BSF</v>
      </c>
      <c r="C28" t="str">
        <v>CLW-864</v>
      </c>
      <c r="D28" t="str">
        <v>CLW-864</v>
      </c>
      <c r="E28" t="str">
        <v>867162029823242</v>
      </c>
      <c r="F28" t="str">
        <v>TBD</v>
      </c>
      <c r="G28" t="str">
        <v/>
      </c>
      <c r="H28" t="str">
        <v/>
      </c>
      <c r="I28" t="str">
        <v>18/09/2026</v>
      </c>
      <c r="J28" t="str">
        <v>10:12:09</v>
      </c>
      <c r="K28">
        <v>-12.284144</v>
      </c>
      <c r="L28">
        <v>-76.87707</v>
      </c>
      <c r="M28">
        <f>HYPERLINK("https://www.google.com/maps/search/?api=1&amp;query=-12.284144,-76.87707","Carretera Panamericana Sur, Lurín, Lima")</f>
      </c>
      <c r="N28" t="str">
        <v>Excedió el límite de velocidad</v>
      </c>
      <c r="O28">
        <v>10433.9</v>
      </c>
      <c r="P28" t="str">
        <v/>
      </c>
      <c r="Q28">
        <v>82.7</v>
      </c>
      <c r="R28">
        <v>87.18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100</v>
      </c>
      <c r="AA28" t="str">
        <v>18/09/2026</v>
      </c>
      <c r="AB28" t="str">
        <v>10:12:08</v>
      </c>
      <c r="AC28">
        <f>IF("ONLINE"="NOGPS","GPS Antiguo","En línea")</f>
      </c>
      <c r="AD28">
        <f>IF(0=0,"Sin atender", IF(0=1,"Atendida","Atendida y Reportada"))</f>
      </c>
      <c r="AE28" t="str">
        <v/>
      </c>
      <c r="AF28" t="str">
        <v/>
      </c>
      <c r="AG28" t="str">
        <v/>
      </c>
      <c r="AH28" t="str">
        <v/>
      </c>
      <c r="AI28" t="str">
        <v>18/09/2026 10:12:17</v>
      </c>
      <c r="AJ28" t="str">
        <v>10:12:17</v>
      </c>
      <c r="AK28" t="str">
        <v/>
      </c>
    </row>
    <row r="29">
      <c r="A29">
        <v>28</v>
      </c>
      <c r="B29" t="str">
        <v>MASS BSF</v>
      </c>
      <c r="C29" t="str">
        <v>CLW-864</v>
      </c>
      <c r="D29" t="str">
        <v>CLW-864</v>
      </c>
      <c r="E29" t="str">
        <v>867162029823242</v>
      </c>
      <c r="F29" t="str">
        <v>TBD</v>
      </c>
      <c r="G29" t="str">
        <v/>
      </c>
      <c r="H29" t="str">
        <v/>
      </c>
      <c r="I29" t="str">
        <v>18/09/2026</v>
      </c>
      <c r="J29" t="str">
        <v>10:13:33</v>
      </c>
      <c r="K29">
        <v>-12.29297</v>
      </c>
      <c r="L29">
        <v>-76.86301</v>
      </c>
      <c r="M29">
        <f>HYPERLINK("https://www.google.com/maps/search/?api=1&amp;query=-12.29297,-76.86301","Carretera Panamericana Sur, Lurín, Lima")</f>
      </c>
      <c r="N29" t="str">
        <v>Excedió el límite de velocidad</v>
      </c>
      <c r="O29">
        <v>10435.7</v>
      </c>
      <c r="P29" t="str">
        <v/>
      </c>
      <c r="Q29">
        <v>81</v>
      </c>
      <c r="R29">
        <v>87.18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100</v>
      </c>
      <c r="AA29" t="str">
        <v>18/09/2026</v>
      </c>
      <c r="AB29" t="str">
        <v>10:13:32</v>
      </c>
      <c r="AC29">
        <f>IF("ONLINE"="NOGPS","GPS Antiguo","En línea")</f>
      </c>
      <c r="AD29">
        <f>IF(0=0,"Sin atender", IF(0=1,"Atendida","Atendida y Reportada"))</f>
      </c>
      <c r="AE29" t="str">
        <v/>
      </c>
      <c r="AF29" t="str">
        <v/>
      </c>
      <c r="AG29" t="str">
        <v/>
      </c>
      <c r="AH29" t="str">
        <v/>
      </c>
      <c r="AI29" t="str">
        <v>18/09/2026 10:13:37</v>
      </c>
      <c r="AJ29" t="str">
        <v>10:13:37</v>
      </c>
      <c r="AK29" t="str">
        <v/>
      </c>
    </row>
    <row r="30">
      <c r="A30">
        <v>29</v>
      </c>
      <c r="B30" t="str">
        <v>MASS BSF</v>
      </c>
      <c r="C30" t="str">
        <v>CLW-864</v>
      </c>
      <c r="D30" t="str">
        <v>CLW-864</v>
      </c>
      <c r="E30" t="str">
        <v>867162029823242</v>
      </c>
      <c r="F30" t="str">
        <v>TBD</v>
      </c>
      <c r="G30" t="str">
        <v/>
      </c>
      <c r="H30" t="str">
        <v/>
      </c>
      <c r="I30" t="str">
        <v>18/09/2026</v>
      </c>
      <c r="J30" t="str">
        <v>10:18:09</v>
      </c>
      <c r="K30">
        <v>-12.324848</v>
      </c>
      <c r="L30">
        <v>-76.82569</v>
      </c>
      <c r="M30">
        <f>HYPERLINK("https://www.google.com/maps/search/?api=1&amp;query=-12.324848,-76.82569","Carretera Panamericana Sur, Punta Hermosa, Lima")</f>
      </c>
      <c r="N30" t="str">
        <v>Excedió el límite de velocidad</v>
      </c>
      <c r="O30">
        <v>10441.2</v>
      </c>
      <c r="P30" t="str">
        <v/>
      </c>
      <c r="Q30">
        <v>84.4</v>
      </c>
      <c r="R30">
        <v>87.18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100</v>
      </c>
      <c r="AA30" t="str">
        <v>18/09/2026</v>
      </c>
      <c r="AB30" t="str">
        <v>10:18:08</v>
      </c>
      <c r="AC30">
        <f>IF("ONLINE"="NOGPS","GPS Antiguo","En línea")</f>
      </c>
      <c r="AD30">
        <f>IF(0=0,"Sin atender", IF(0=1,"Atendida","Atendida y Reportada"))</f>
      </c>
      <c r="AE30" t="str">
        <v/>
      </c>
      <c r="AF30" t="str">
        <v/>
      </c>
      <c r="AG30" t="str">
        <v/>
      </c>
      <c r="AH30" t="str">
        <v/>
      </c>
      <c r="AI30" t="str">
        <v>18/09/2026 10:18:23</v>
      </c>
      <c r="AJ30" t="str">
        <v>10:18:23</v>
      </c>
      <c r="AK30" t="str">
        <v/>
      </c>
    </row>
    <row r="31">
      <c r="A31">
        <v>30</v>
      </c>
      <c r="B31" t="str">
        <v>MASS BSF</v>
      </c>
      <c r="C31" t="str">
        <v>CLW-864</v>
      </c>
      <c r="D31" t="str">
        <v>CLW-864</v>
      </c>
      <c r="E31" t="str">
        <v>867162029823242</v>
      </c>
      <c r="F31" t="str">
        <v>TBD</v>
      </c>
      <c r="G31" t="str">
        <v/>
      </c>
      <c r="H31" t="str">
        <v/>
      </c>
      <c r="I31" t="str">
        <v>18/09/2026</v>
      </c>
      <c r="J31" t="str">
        <v>10:32:11</v>
      </c>
      <c r="K31">
        <v>-12.317276</v>
      </c>
      <c r="L31">
        <v>-76.82292</v>
      </c>
      <c r="M31">
        <f>HYPERLINK("https://www.google.com/maps/search/?api=1&amp;query=-12.317276,-76.82292","Punta Hermosa, Lima")</f>
      </c>
      <c r="N31" t="str">
        <v>Vehículo apagado</v>
      </c>
      <c r="O31">
        <v>10446.3</v>
      </c>
      <c r="P31" t="str">
        <v/>
      </c>
      <c r="Q31">
        <v>0</v>
      </c>
      <c r="R31">
        <v>88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v>100</v>
      </c>
      <c r="AA31" t="str">
        <v>18/09/2026</v>
      </c>
      <c r="AB31" t="str">
        <v>10:31:26</v>
      </c>
      <c r="AC31">
        <f>IF("ONLINE"="NOGPS","GPS Antiguo","En línea")</f>
      </c>
      <c r="AD31">
        <f>IF(0=0,"Sin atender", IF(0=1,"Atendida","Atendida y Reportada"))</f>
      </c>
      <c r="AE31" t="str">
        <v/>
      </c>
      <c r="AF31" t="str">
        <v/>
      </c>
      <c r="AG31" t="str">
        <v/>
      </c>
      <c r="AH31" t="str">
        <v/>
      </c>
      <c r="AI31" t="str">
        <v>18/09/2026 10:32:27</v>
      </c>
      <c r="AJ31" t="str">
        <v>10:32:27</v>
      </c>
      <c r="AK31" t="str">
        <v/>
      </c>
    </row>
    <row r="32">
      <c r="A32">
        <v>31</v>
      </c>
      <c r="B32" t="str">
        <v>MASS BSF</v>
      </c>
      <c r="C32" t="str">
        <v>CLW-864</v>
      </c>
      <c r="D32" t="str">
        <v>CLW-864</v>
      </c>
      <c r="E32" t="str">
        <v>867162029823242</v>
      </c>
      <c r="F32" t="str">
        <v>TBD</v>
      </c>
      <c r="G32" t="str">
        <v/>
      </c>
      <c r="H32" t="str">
        <v/>
      </c>
      <c r="I32" t="str">
        <v>18/09/2026</v>
      </c>
      <c r="J32" t="str">
        <v>10:35:15</v>
      </c>
      <c r="K32">
        <v>-12.317276</v>
      </c>
      <c r="L32">
        <v>-76.82292</v>
      </c>
      <c r="M32">
        <f>HYPERLINK("https://www.google.com/maps/search/?api=1&amp;query=-12.317276,-76.82292","Punta Hermosa, Lima")</f>
      </c>
      <c r="N32" t="str">
        <v>Vehículo encendido</v>
      </c>
      <c r="O32">
        <v>10446.3</v>
      </c>
      <c r="P32" t="str">
        <v/>
      </c>
      <c r="Q32">
        <v>0</v>
      </c>
      <c r="R32">
        <v>88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100</v>
      </c>
      <c r="AA32" t="str">
        <v>18/09/2026</v>
      </c>
      <c r="AB32" t="str">
        <v>10:32:13</v>
      </c>
      <c r="AC32">
        <f>IF("ONLINE"="NOGPS","GPS Antiguo","En línea")</f>
      </c>
      <c r="AD32">
        <f>IF(0=0,"Sin atender", IF(0=1,"Atendida","Atendida y Reportada"))</f>
      </c>
      <c r="AE32" t="str">
        <v/>
      </c>
      <c r="AF32" t="str">
        <v/>
      </c>
      <c r="AG32" t="str">
        <v/>
      </c>
      <c r="AH32" t="str">
        <v/>
      </c>
      <c r="AI32" t="str">
        <v>18/09/2026 10:35:31</v>
      </c>
      <c r="AJ32" t="str">
        <v>10:35:31</v>
      </c>
      <c r="AK32" t="str">
        <v/>
      </c>
    </row>
    <row r="33">
      <c r="A33">
        <v>32</v>
      </c>
      <c r="B33" t="str">
        <v>MASS BSF</v>
      </c>
      <c r="C33" t="str">
        <v>CLW-864</v>
      </c>
      <c r="D33" t="str">
        <v>CLW-864</v>
      </c>
      <c r="E33" t="str">
        <v>867162029823242</v>
      </c>
      <c r="F33" t="str">
        <v>TBD</v>
      </c>
      <c r="G33" t="str">
        <v/>
      </c>
      <c r="H33" t="str">
        <v/>
      </c>
      <c r="I33" t="str">
        <v>18/09/2026</v>
      </c>
      <c r="J33" t="str">
        <v>10:46:09</v>
      </c>
      <c r="K33">
        <v>-12.317804</v>
      </c>
      <c r="L33">
        <v>-76.82421</v>
      </c>
      <c r="M33">
        <f>HYPERLINK("https://www.google.com/maps/search/?api=1&amp;query=-12.317804,-76.82421","Punta Hermosa, Lima")</f>
      </c>
      <c r="N33" t="str">
        <v>Vehículo apagado</v>
      </c>
      <c r="O33">
        <v>10446.5</v>
      </c>
      <c r="P33" t="str">
        <v/>
      </c>
      <c r="Q33">
        <v>0</v>
      </c>
      <c r="R33">
        <v>88.18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v>100</v>
      </c>
      <c r="AA33" t="str">
        <v>18/09/2026</v>
      </c>
      <c r="AB33" t="str">
        <v>10:44:12</v>
      </c>
      <c r="AC33">
        <f>IF("ONLINE"="NOGPS","GPS Antiguo","En línea")</f>
      </c>
      <c r="AD33">
        <f>IF(0=0,"Sin atender", IF(0=1,"Atendida","Atendida y Reportada"))</f>
      </c>
      <c r="AE33" t="str">
        <v/>
      </c>
      <c r="AF33" t="str">
        <v/>
      </c>
      <c r="AG33" t="str">
        <v/>
      </c>
      <c r="AH33" t="str">
        <v/>
      </c>
      <c r="AI33" t="str">
        <v>18/09/2026 10:46:28</v>
      </c>
      <c r="AJ33" t="str">
        <v>10:46:28</v>
      </c>
      <c r="AK33" t="str">
        <v/>
      </c>
    </row>
    <row r="34">
      <c r="A34">
        <v>33</v>
      </c>
      <c r="B34" t="str">
        <v>MASS BSF</v>
      </c>
      <c r="C34" t="str">
        <v>CLW-864</v>
      </c>
      <c r="D34" t="str">
        <v>CLW-864</v>
      </c>
      <c r="E34" t="str">
        <v>867162029823242</v>
      </c>
      <c r="F34" t="str">
        <v>TBD</v>
      </c>
      <c r="G34" t="str">
        <v/>
      </c>
      <c r="H34" t="str">
        <v/>
      </c>
      <c r="I34" t="str">
        <v>18/09/2026</v>
      </c>
      <c r="J34" t="str">
        <v>11:12:02</v>
      </c>
      <c r="K34">
        <v>-12.317804</v>
      </c>
      <c r="L34">
        <v>-76.82421</v>
      </c>
      <c r="M34">
        <f>HYPERLINK("https://www.google.com/maps/search/?api=1&amp;query=-12.317804,-76.82421","Punta Hermosa, Lima")</f>
      </c>
      <c r="N34" t="str">
        <v>Vehículo encendido</v>
      </c>
      <c r="O34">
        <v>10446.5</v>
      </c>
      <c r="P34" t="str">
        <v/>
      </c>
      <c r="Q34">
        <v>0</v>
      </c>
      <c r="R34">
        <v>88.18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v>100</v>
      </c>
      <c r="AA34" t="str">
        <v>18/09/2026</v>
      </c>
      <c r="AB34" t="str">
        <v>10:46:11</v>
      </c>
      <c r="AC34">
        <f>IF("NOGPS"="NOGPS","GPS Antiguo","En línea")</f>
      </c>
      <c r="AD34">
        <f>IF(0=0,"Sin atender", IF(0=1,"Atendida","Atendida y Reportada"))</f>
      </c>
      <c r="AE34" t="str">
        <v/>
      </c>
      <c r="AF34" t="str">
        <v/>
      </c>
      <c r="AG34" t="str">
        <v/>
      </c>
      <c r="AH34" t="str">
        <v/>
      </c>
      <c r="AI34" t="str">
        <v>18/09/2026 11:12:16</v>
      </c>
      <c r="AJ34" t="str">
        <v>11:12:16</v>
      </c>
      <c r="AK34" t="str">
        <v/>
      </c>
    </row>
    <row r="35">
      <c r="A35">
        <v>34</v>
      </c>
      <c r="B35" t="str">
        <v>MASS BSF</v>
      </c>
      <c r="C35" t="str">
        <v>CLW-864</v>
      </c>
      <c r="D35" t="str">
        <v>CLW-864</v>
      </c>
      <c r="E35" t="str">
        <v>867162029823242</v>
      </c>
      <c r="F35" t="str">
        <v>TBD</v>
      </c>
      <c r="G35" t="str">
        <v/>
      </c>
      <c r="H35" t="str">
        <v/>
      </c>
      <c r="I35" t="str">
        <v>18/09/2026</v>
      </c>
      <c r="J35" t="str">
        <v>11:57:37</v>
      </c>
      <c r="K35">
        <v>-12.241227</v>
      </c>
      <c r="L35">
        <v>-76.92667</v>
      </c>
      <c r="M35">
        <f>HYPERLINK("https://www.google.com/maps/search/?api=1&amp;query=-12.241227,-76.92667","Avenida Prolongación Mariano Pastor Sevilla, Villa El Salvador, Lima")</f>
      </c>
      <c r="N35" t="str">
        <v>Inicio de ralentí</v>
      </c>
      <c r="O35">
        <v>10465.4</v>
      </c>
      <c r="P35" t="str">
        <v/>
      </c>
      <c r="Q35">
        <v>0</v>
      </c>
      <c r="R35">
        <v>88.18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100</v>
      </c>
      <c r="AA35" t="str">
        <v>18/09/2026</v>
      </c>
      <c r="AB35" t="str">
        <v>11:56:03</v>
      </c>
      <c r="AC35">
        <f>IF("ONLINE"="NOGPS","GPS Antiguo","En línea")</f>
      </c>
      <c r="AD35">
        <f>IF(0=0,"Sin atender", IF(0=1,"Atendida","Atendida y Reportada"))</f>
      </c>
      <c r="AE35" t="str">
        <v/>
      </c>
      <c r="AF35" t="str">
        <v/>
      </c>
      <c r="AG35" t="str">
        <v/>
      </c>
      <c r="AH35" t="str">
        <v/>
      </c>
      <c r="AI35" t="str">
        <v>18/09/2026 11:57:54</v>
      </c>
      <c r="AJ35" t="str">
        <v>11:57:54</v>
      </c>
      <c r="AK35" t="str">
        <v/>
      </c>
    </row>
    <row r="36">
      <c r="A36">
        <v>35</v>
      </c>
      <c r="B36" t="str">
        <v>MASS BSF</v>
      </c>
      <c r="C36" t="str">
        <v>CLW-864</v>
      </c>
      <c r="D36" t="str">
        <v>CLW-864</v>
      </c>
      <c r="E36" t="str">
        <v>867162029823242</v>
      </c>
      <c r="F36" t="str">
        <v>TBD</v>
      </c>
      <c r="G36" t="str">
        <v/>
      </c>
      <c r="H36" t="str">
        <v/>
      </c>
      <c r="I36" t="str">
        <v>18/09/2026</v>
      </c>
      <c r="J36" t="str">
        <v>11:59:46</v>
      </c>
      <c r="K36">
        <v>-12.241227</v>
      </c>
      <c r="L36">
        <v>-76.92667</v>
      </c>
      <c r="M36">
        <f>HYPERLINK("https://www.google.com/maps/search/?api=1&amp;query=-12.241227,-76.92667","Avenida Prolongación Mariano Pastor Sevilla, Villa El Salvador, Lima")</f>
      </c>
      <c r="N36" t="str">
        <v>Fin de ralentí</v>
      </c>
      <c r="O36">
        <v>10465.4</v>
      </c>
      <c r="P36" t="str">
        <v/>
      </c>
      <c r="Q36">
        <v>0</v>
      </c>
      <c r="R36">
        <v>88.18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100</v>
      </c>
      <c r="AA36" t="str">
        <v>18/09/2026</v>
      </c>
      <c r="AB36" t="str">
        <v>11:59:03</v>
      </c>
      <c r="AC36">
        <f>IF("ONLINE"="NOGPS","GPS Antiguo","En línea")</f>
      </c>
      <c r="AD36">
        <f>IF(0=0,"Sin atender", IF(0=1,"Atendida","Atendida y Reportada"))</f>
      </c>
      <c r="AE36" t="str">
        <v/>
      </c>
      <c r="AF36" t="str">
        <v/>
      </c>
      <c r="AG36" t="str">
        <v/>
      </c>
      <c r="AH36" t="str">
        <v/>
      </c>
      <c r="AI36" t="str">
        <v>18/09/2026 12:00:01</v>
      </c>
      <c r="AJ36" t="str">
        <v>12:00:01</v>
      </c>
      <c r="AK36" t="str">
        <v/>
      </c>
    </row>
    <row r="37">
      <c r="A37">
        <v>36</v>
      </c>
      <c r="B37" t="str">
        <v>MASS BSF</v>
      </c>
      <c r="C37" t="str">
        <v>CLW-864</v>
      </c>
      <c r="D37" t="str">
        <v>CLW-864</v>
      </c>
      <c r="E37" t="str">
        <v>867162029823242</v>
      </c>
      <c r="F37" t="str">
        <v>TBD</v>
      </c>
      <c r="G37" t="str">
        <v/>
      </c>
      <c r="H37" t="str">
        <v/>
      </c>
      <c r="I37" t="str">
        <v>18/09/2026</v>
      </c>
      <c r="J37" t="str">
        <v>12:05:51</v>
      </c>
      <c r="K37">
        <v>-12.241227</v>
      </c>
      <c r="L37">
        <v>-76.92667</v>
      </c>
      <c r="M37">
        <f>HYPERLINK("https://www.google.com/maps/search/?api=1&amp;query=-12.241227,-76.92667","Avenida Prolongación Mariano Pastor Sevilla, Villa El Salvador, Lima")</f>
      </c>
      <c r="N37" t="str">
        <v>Vehículo apagado</v>
      </c>
      <c r="O37">
        <v>10465.4</v>
      </c>
      <c r="P37" t="str">
        <v/>
      </c>
      <c r="Q37">
        <v>0</v>
      </c>
      <c r="R37">
        <v>89.08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v>100</v>
      </c>
      <c r="AA37" t="str">
        <v>18/09/2026</v>
      </c>
      <c r="AB37" t="str">
        <v>12:05:03</v>
      </c>
      <c r="AC37">
        <f>IF("ONLINE"="NOGPS","GPS Antiguo","En línea")</f>
      </c>
      <c r="AD37">
        <f>IF(0=0,"Sin atender", IF(0=1,"Atendida","Atendida y Reportada"))</f>
      </c>
      <c r="AE37" t="str">
        <v/>
      </c>
      <c r="AF37" t="str">
        <v/>
      </c>
      <c r="AG37" t="str">
        <v/>
      </c>
      <c r="AH37" t="str">
        <v/>
      </c>
      <c r="AI37" t="str">
        <v>18/09/2026 12:06:03</v>
      </c>
      <c r="AJ37" t="str">
        <v>12:06:03</v>
      </c>
      <c r="AK37" t="str">
        <v/>
      </c>
    </row>
    <row r="38">
      <c r="A38">
        <v>37</v>
      </c>
      <c r="B38" t="str">
        <v>MASS BSF</v>
      </c>
      <c r="C38" t="str">
        <v>CLW-864</v>
      </c>
      <c r="D38" t="str">
        <v>CLW-864</v>
      </c>
      <c r="E38" t="str">
        <v>867162029823242</v>
      </c>
      <c r="F38" t="str">
        <v>TBD</v>
      </c>
      <c r="G38" t="str">
        <v/>
      </c>
      <c r="H38" t="str">
        <v/>
      </c>
      <c r="I38" t="str">
        <v>18/09/2026</v>
      </c>
      <c r="J38" t="str">
        <v>12:30:56</v>
      </c>
      <c r="K38">
        <v>-12.241251</v>
      </c>
      <c r="L38">
        <v>-76.92665</v>
      </c>
      <c r="M38">
        <f>HYPERLINK("https://www.google.com/maps/search/?api=1&amp;query=-12.241251,-76.92665","Avenida Prolongación Mariano Pastor Sevilla, Villa El Salvador, Lima")</f>
      </c>
      <c r="N38" t="str">
        <v>Vehículo encendido</v>
      </c>
      <c r="O38">
        <v>10465.4</v>
      </c>
      <c r="P38" t="str">
        <v/>
      </c>
      <c r="Q38">
        <v>0</v>
      </c>
      <c r="R38">
        <v>89.08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v>100</v>
      </c>
      <c r="AA38" t="str">
        <v>18/09/2026</v>
      </c>
      <c r="AB38" t="str">
        <v>12:05:59</v>
      </c>
      <c r="AC38">
        <f>IF("NOGPS"="NOGPS","GPS Antiguo","En línea")</f>
      </c>
      <c r="AD38">
        <f>IF(0=0,"Sin atender", IF(0=1,"Atendida","Atendida y Reportada"))</f>
      </c>
      <c r="AE38" t="str">
        <v/>
      </c>
      <c r="AF38" t="str">
        <v/>
      </c>
      <c r="AG38" t="str">
        <v/>
      </c>
      <c r="AH38" t="str">
        <v/>
      </c>
      <c r="AI38" t="str">
        <v>18/09/2026 12:31:16</v>
      </c>
      <c r="AJ38" t="str">
        <v>12:31:16</v>
      </c>
      <c r="AK38" t="str">
        <v/>
      </c>
    </row>
    <row r="39">
      <c r="A39">
        <v>38</v>
      </c>
      <c r="B39" t="str">
        <v>MASS BSF</v>
      </c>
      <c r="C39" t="str">
        <v>CLW-864</v>
      </c>
      <c r="D39" t="str">
        <v>CLW-864</v>
      </c>
      <c r="E39" t="str">
        <v>867162029823242</v>
      </c>
      <c r="F39" t="str">
        <v>TBD</v>
      </c>
      <c r="G39" t="str">
        <v/>
      </c>
      <c r="H39" t="str">
        <v/>
      </c>
      <c r="I39" t="str">
        <v>18/09/2026</v>
      </c>
      <c r="J39" t="str">
        <v>12:31:08</v>
      </c>
      <c r="K39">
        <v>-12.241191</v>
      </c>
      <c r="L39">
        <v>-76.926544</v>
      </c>
      <c r="M39">
        <f>HYPERLINK("https://www.google.com/maps/search/?api=1&amp;query=-12.241191,-76.926544","Avenida Prolongación Mariano Pastor Sevilla, Villa El Salvador, Lima")</f>
      </c>
      <c r="N39" t="str">
        <v>Vehículo apagado</v>
      </c>
      <c r="O39">
        <v>10465.4</v>
      </c>
      <c r="P39" t="str">
        <v/>
      </c>
      <c r="Q39">
        <v>0</v>
      </c>
      <c r="R39">
        <v>89.08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v>100</v>
      </c>
      <c r="AA39" t="str">
        <v>18/09/2026</v>
      </c>
      <c r="AB39" t="str">
        <v>12:31:11</v>
      </c>
      <c r="AC39">
        <f>IF("ONLINE"="NOGPS","GPS Antiguo","En línea")</f>
      </c>
      <c r="AD39">
        <f>IF(0=0,"Sin atender", IF(0=1,"Atendida","Atendida y Reportada"))</f>
      </c>
      <c r="AE39" t="str">
        <v/>
      </c>
      <c r="AF39" t="str">
        <v/>
      </c>
      <c r="AG39" t="str">
        <v/>
      </c>
      <c r="AH39" t="str">
        <v/>
      </c>
      <c r="AI39" t="str">
        <v>18/09/2026 12:31:38</v>
      </c>
      <c r="AJ39" t="str">
        <v>12:31:38</v>
      </c>
      <c r="AK39" t="str">
        <v/>
      </c>
    </row>
    <row r="40">
      <c r="A40">
        <v>39</v>
      </c>
      <c r="B40" t="str">
        <v>MASS BSF</v>
      </c>
      <c r="C40" t="str">
        <v>CLW-864</v>
      </c>
      <c r="D40" t="str">
        <v>CLW-864</v>
      </c>
      <c r="E40" t="str">
        <v>867162029823242</v>
      </c>
      <c r="F40" t="str">
        <v>TBD</v>
      </c>
      <c r="G40" t="str">
        <v/>
      </c>
      <c r="H40" t="str">
        <v/>
      </c>
      <c r="I40" t="str">
        <v>18/09/2026</v>
      </c>
      <c r="J40" t="str">
        <v>12:46:05</v>
      </c>
      <c r="K40">
        <v>-12.241191</v>
      </c>
      <c r="L40">
        <v>-76.926544</v>
      </c>
      <c r="M40">
        <f>HYPERLINK("https://www.google.com/maps/search/?api=1&amp;query=-12.241191,-76.926544","Avenida Prolongación Mariano Pastor Sevilla, Villa El Salvador, Lima")</f>
      </c>
      <c r="N40" t="str">
        <v>Vehículo encendido</v>
      </c>
      <c r="O40">
        <v>10465.4</v>
      </c>
      <c r="P40" t="str">
        <v/>
      </c>
      <c r="Q40">
        <v>0</v>
      </c>
      <c r="R40">
        <v>89.08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v>100</v>
      </c>
      <c r="AA40" t="str">
        <v>18/09/2026</v>
      </c>
      <c r="AB40" t="str">
        <v>12:31:11</v>
      </c>
      <c r="AC40">
        <f>IF("NOGPS"="NOGPS","GPS Antiguo","En línea")</f>
      </c>
      <c r="AD40">
        <f>IF(0=0,"Sin atender", IF(0=1,"Atendida","Atendida y Reportada"))</f>
      </c>
      <c r="AE40" t="str">
        <v/>
      </c>
      <c r="AF40" t="str">
        <v/>
      </c>
      <c r="AG40" t="str">
        <v/>
      </c>
      <c r="AH40" t="str">
        <v/>
      </c>
      <c r="AI40" t="str">
        <v>18/09/2026 12:46:25</v>
      </c>
      <c r="AJ40" t="str">
        <v>12:46:25</v>
      </c>
      <c r="AK40" t="str">
        <v/>
      </c>
    </row>
    <row r="41">
      <c r="A41">
        <v>40</v>
      </c>
      <c r="B41" t="str">
        <v>MASS BSF</v>
      </c>
      <c r="C41" t="str">
        <v>CLW-864</v>
      </c>
      <c r="D41" t="str">
        <v>CLW-864</v>
      </c>
      <c r="E41" t="str">
        <v>867162029823242</v>
      </c>
      <c r="F41" t="str">
        <v>TBD</v>
      </c>
      <c r="G41" t="str">
        <v/>
      </c>
      <c r="H41" t="str">
        <v/>
      </c>
      <c r="I41" t="str">
        <v>18/09/2026</v>
      </c>
      <c r="J41" t="str">
        <v>12:46:13</v>
      </c>
      <c r="K41">
        <v>-12.241142</v>
      </c>
      <c r="L41">
        <v>-76.92659</v>
      </c>
      <c r="M41">
        <f>HYPERLINK("https://www.google.com/maps/search/?api=1&amp;query=-12.241142,-76.92659","Avenida Prolongación Mariano Pastor Sevilla, Villa El Salvador, Lima")</f>
      </c>
      <c r="N41" t="str">
        <v>Vehículo apagado</v>
      </c>
      <c r="O41">
        <v>10465.4</v>
      </c>
      <c r="P41" t="str">
        <v/>
      </c>
      <c r="Q41">
        <v>0.1</v>
      </c>
      <c r="R41">
        <v>89.08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100</v>
      </c>
      <c r="AA41" t="str">
        <v>18/09/2026</v>
      </c>
      <c r="AB41" t="str">
        <v>12:46:12</v>
      </c>
      <c r="AC41">
        <f>IF("ONLINE"="NOGPS","GPS Antiguo","En línea")</f>
      </c>
      <c r="AD41">
        <f>IF(0=0,"Sin atender", IF(0=1,"Atendida","Atendida y Reportada"))</f>
      </c>
      <c r="AE41" t="str">
        <v/>
      </c>
      <c r="AF41" t="str">
        <v/>
      </c>
      <c r="AG41" t="str">
        <v/>
      </c>
      <c r="AH41" t="str">
        <v/>
      </c>
      <c r="AI41" t="str">
        <v>18/09/2026 12:46:31</v>
      </c>
      <c r="AJ41" t="str">
        <v>12:46:31</v>
      </c>
      <c r="AK41" t="str">
        <v/>
      </c>
    </row>
    <row r="42">
      <c r="A42">
        <v>41</v>
      </c>
      <c r="B42" t="str">
        <v>MASS BSF</v>
      </c>
      <c r="C42" t="str">
        <v>CLW-864</v>
      </c>
      <c r="D42" t="str">
        <v>CLW-864</v>
      </c>
      <c r="E42" t="str">
        <v>867162029823242</v>
      </c>
      <c r="F42" t="str">
        <v>TBD</v>
      </c>
      <c r="G42" t="str">
        <v/>
      </c>
      <c r="H42" t="str">
        <v/>
      </c>
      <c r="I42" t="str">
        <v>18/09/2026</v>
      </c>
      <c r="J42" t="str">
        <v>12:46:15</v>
      </c>
      <c r="K42">
        <v>-12.241142</v>
      </c>
      <c r="L42">
        <v>-76.92659</v>
      </c>
      <c r="M42">
        <f>HYPERLINK("https://www.google.com/maps/search/?api=1&amp;query=-12.241142,-76.92659","Avenida Prolongación Mariano Pastor Sevilla, Villa El Salvador, Lima")</f>
      </c>
      <c r="N42" t="str">
        <v>Vehículo encendido</v>
      </c>
      <c r="O42">
        <v>10465.4</v>
      </c>
      <c r="P42" t="str">
        <v/>
      </c>
      <c r="Q42">
        <v>0</v>
      </c>
      <c r="R42">
        <v>89.08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v>100</v>
      </c>
      <c r="AA42" t="str">
        <v>18/09/2026</v>
      </c>
      <c r="AB42" t="str">
        <v>12:46:12</v>
      </c>
      <c r="AC42">
        <f>IF("ONLINE"="NOGPS","GPS Antiguo","En línea")</f>
      </c>
      <c r="AD42">
        <f>IF(0=0,"Sin atender", IF(0=1,"Atendida","Atendida y Reportada"))</f>
      </c>
      <c r="AE42" t="str">
        <v/>
      </c>
      <c r="AF42" t="str">
        <v/>
      </c>
      <c r="AG42" t="str">
        <v/>
      </c>
      <c r="AH42" t="str">
        <v/>
      </c>
      <c r="AI42" t="str">
        <v>18/09/2026 12:46:25</v>
      </c>
      <c r="AJ42" t="str">
        <v>12:46:25</v>
      </c>
      <c r="AK42" t="str">
        <v/>
      </c>
    </row>
    <row r="43">
      <c r="A43">
        <v>42</v>
      </c>
      <c r="B43" t="str">
        <v>MASS BSF</v>
      </c>
      <c r="C43" t="str">
        <v>CLW-864</v>
      </c>
      <c r="D43" t="str">
        <v>CLW-864</v>
      </c>
      <c r="E43" t="str">
        <v>867162029823242</v>
      </c>
      <c r="F43" t="str">
        <v>TBD</v>
      </c>
      <c r="G43" t="str">
        <v/>
      </c>
      <c r="H43" t="str">
        <v/>
      </c>
      <c r="I43" t="str">
        <v>18/09/2026</v>
      </c>
      <c r="J43" t="str">
        <v>12:49:49</v>
      </c>
      <c r="K43">
        <v>-12.241142</v>
      </c>
      <c r="L43">
        <v>-76.92659</v>
      </c>
      <c r="M43">
        <f>HYPERLINK("https://www.google.com/maps/search/?api=1&amp;query=-12.241142,-76.92659","Avenida Prolongación Mariano Pastor Sevilla, Villa El Salvador, Lima")</f>
      </c>
      <c r="N43" t="str">
        <v>Inicio de ralentí</v>
      </c>
      <c r="O43">
        <v>10465.4</v>
      </c>
      <c r="P43" t="str">
        <v/>
      </c>
      <c r="Q43">
        <v>0</v>
      </c>
      <c r="R43">
        <v>89.08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100</v>
      </c>
      <c r="AA43" t="str">
        <v>18/09/2026</v>
      </c>
      <c r="AB43" t="str">
        <v>12:49:15</v>
      </c>
      <c r="AC43">
        <f>IF("ONLINE"="NOGPS","GPS Antiguo","En línea")</f>
      </c>
      <c r="AD43">
        <f>IF(0=0,"Sin atender", IF(0=1,"Atendida","Atendida y Reportada"))</f>
      </c>
      <c r="AE43" t="str">
        <v/>
      </c>
      <c r="AF43" t="str">
        <v/>
      </c>
      <c r="AG43" t="str">
        <v/>
      </c>
      <c r="AH43" t="str">
        <v/>
      </c>
      <c r="AI43" t="str">
        <v>18/09/2026 12:50:08</v>
      </c>
      <c r="AJ43" t="str">
        <v>12:50:08</v>
      </c>
      <c r="AK43" t="str">
        <v/>
      </c>
    </row>
    <row r="44">
      <c r="A44">
        <v>43</v>
      </c>
      <c r="B44" t="str">
        <v>MASS BSF</v>
      </c>
      <c r="C44" t="str">
        <v>CLW-864</v>
      </c>
      <c r="D44" t="str">
        <v>CLW-864</v>
      </c>
      <c r="E44" t="str">
        <v>867162029823242</v>
      </c>
      <c r="F44" t="str">
        <v>TBD</v>
      </c>
      <c r="G44" t="str">
        <v/>
      </c>
      <c r="H44" t="str">
        <v/>
      </c>
      <c r="I44" t="str">
        <v>18/09/2026</v>
      </c>
      <c r="J44" t="str">
        <v>12:52:06</v>
      </c>
      <c r="K44">
        <v>-12.238883</v>
      </c>
      <c r="L44">
        <v>-76.92819</v>
      </c>
      <c r="M44">
        <f>HYPERLINK("https://www.google.com/maps/search/?api=1&amp;query=-12.238883,-76.92819","Avenida Universitaria, Villa El Salvador, Lima")</f>
      </c>
      <c r="N44" t="str">
        <v>Fin de ralentí</v>
      </c>
      <c r="O44">
        <v>10465.7</v>
      </c>
      <c r="P44" t="str">
        <v/>
      </c>
      <c r="Q44">
        <v>8.8</v>
      </c>
      <c r="R44">
        <v>89.08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v>100</v>
      </c>
      <c r="AA44" t="str">
        <v>18/09/2026</v>
      </c>
      <c r="AB44" t="str">
        <v>12:52:18</v>
      </c>
      <c r="AC44">
        <f>IF("ONLINE"="NOGPS","GPS Antiguo","En línea")</f>
      </c>
      <c r="AD44">
        <f>IF(0=0,"Sin atender", IF(0=1,"Atendida","Atendida y Reportada"))</f>
      </c>
      <c r="AE44" t="str">
        <v/>
      </c>
      <c r="AF44" t="str">
        <v/>
      </c>
      <c r="AG44" t="str">
        <v/>
      </c>
      <c r="AH44" t="str">
        <v/>
      </c>
      <c r="AI44" t="str">
        <v>18/09/2026 12:52:28</v>
      </c>
      <c r="AJ44" t="str">
        <v>12:52:28</v>
      </c>
      <c r="AK44" t="str">
        <v/>
      </c>
    </row>
    <row r="45">
      <c r="A45">
        <v>44</v>
      </c>
      <c r="B45" t="str">
        <v>MASS BSF</v>
      </c>
      <c r="C45" t="str">
        <v>CLW-864</v>
      </c>
      <c r="D45" t="str">
        <v>CLW-864</v>
      </c>
      <c r="E45" t="str">
        <v>867162029823242</v>
      </c>
      <c r="F45" t="str">
        <v>TBD</v>
      </c>
      <c r="G45" t="str">
        <v/>
      </c>
      <c r="H45" t="str">
        <v/>
      </c>
      <c r="I45" t="str">
        <v>18/09/2026</v>
      </c>
      <c r="J45" t="str">
        <v>13:04:58</v>
      </c>
      <c r="K45">
        <v>-12.2772</v>
      </c>
      <c r="L45">
        <v>-76.88818</v>
      </c>
      <c r="M45">
        <f>HYPERLINK("https://www.google.com/maps/search/?api=1&amp;query=-12.2772,-76.88818","Carretera Panamericana Sur, Lurín, Lima")</f>
      </c>
      <c r="N45" t="str">
        <v>Excedió el límite de velocidad</v>
      </c>
      <c r="O45">
        <v>10474.4</v>
      </c>
      <c r="P45" t="str">
        <v/>
      </c>
      <c r="Q45">
        <v>81.6</v>
      </c>
      <c r="R45">
        <v>89.08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100</v>
      </c>
      <c r="AA45" t="str">
        <v>18/09/2026</v>
      </c>
      <c r="AB45" t="str">
        <v>13:04:57</v>
      </c>
      <c r="AC45">
        <f>IF("ONLINE"="NOGPS","GPS Antiguo","En línea")</f>
      </c>
      <c r="AD45">
        <f>IF(0=0,"Sin atender", IF(0=1,"Atendida","Atendida y Reportada"))</f>
      </c>
      <c r="AE45" t="str">
        <v/>
      </c>
      <c r="AF45" t="str">
        <v/>
      </c>
      <c r="AG45" t="str">
        <v/>
      </c>
      <c r="AH45" t="str">
        <v/>
      </c>
      <c r="AI45" t="str">
        <v>18/09/2026 13:05:50</v>
      </c>
      <c r="AJ45" t="str">
        <v>13:05:50</v>
      </c>
      <c r="AK45" t="str">
        <v/>
      </c>
    </row>
    <row r="46">
      <c r="A46">
        <v>45</v>
      </c>
      <c r="B46" t="str">
        <v>MASS BSF</v>
      </c>
      <c r="C46" t="str">
        <v>CLW-864</v>
      </c>
      <c r="D46" t="str">
        <v>CLW-864</v>
      </c>
      <c r="E46" t="str">
        <v>867162029823242</v>
      </c>
      <c r="F46" t="str">
        <v>TBD</v>
      </c>
      <c r="G46" t="str">
        <v/>
      </c>
      <c r="H46" t="str">
        <v/>
      </c>
      <c r="I46" t="str">
        <v>18/09/2026</v>
      </c>
      <c r="J46" t="str">
        <v>13:08:16</v>
      </c>
      <c r="K46">
        <v>-12.297203</v>
      </c>
      <c r="L46">
        <v>-76.855484</v>
      </c>
      <c r="M46">
        <f>HYPERLINK("https://www.google.com/maps/search/?api=1&amp;query=-12.297203,-76.855484","Carretera Panamericana Sur, Lurín, Lima")</f>
      </c>
      <c r="N46" t="str">
        <v>Excedió el límite de velocidad</v>
      </c>
      <c r="O46">
        <v>10478.6</v>
      </c>
      <c r="P46" t="str">
        <v/>
      </c>
      <c r="Q46">
        <v>81.3</v>
      </c>
      <c r="R46">
        <v>89.08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100</v>
      </c>
      <c r="AA46" t="str">
        <v>18/09/2026</v>
      </c>
      <c r="AB46" t="str">
        <v>13:08:15</v>
      </c>
      <c r="AC46">
        <f>IF("ONLINE"="NOGPS","GPS Antiguo","En línea")</f>
      </c>
      <c r="AD46">
        <f>IF(0=0,"Sin atender", IF(0=1,"Atendida","Atendida y Reportada"))</f>
      </c>
      <c r="AE46" t="str">
        <v/>
      </c>
      <c r="AF46" t="str">
        <v/>
      </c>
      <c r="AG46" t="str">
        <v/>
      </c>
      <c r="AH46" t="str">
        <v/>
      </c>
      <c r="AI46" t="str">
        <v>18/09/2026 13:08:43</v>
      </c>
      <c r="AJ46" t="str">
        <v>13:08:43</v>
      </c>
      <c r="AK46" t="str">
        <v/>
      </c>
    </row>
    <row r="47">
      <c r="A47">
        <v>46</v>
      </c>
      <c r="B47" t="str">
        <v>MASS BSF</v>
      </c>
      <c r="C47" t="str">
        <v>CLW-864</v>
      </c>
      <c r="D47" t="str">
        <v>CLW-864</v>
      </c>
      <c r="E47" t="str">
        <v>867162029823242</v>
      </c>
      <c r="F47" t="str">
        <v>TBD</v>
      </c>
      <c r="G47" t="str">
        <v/>
      </c>
      <c r="H47" t="str">
        <v/>
      </c>
      <c r="I47" t="str">
        <v>18/09/2026</v>
      </c>
      <c r="J47" t="str">
        <v>13:09:10</v>
      </c>
      <c r="K47">
        <v>-12.301615</v>
      </c>
      <c r="L47">
        <v>-76.84555</v>
      </c>
      <c r="M47">
        <f>HYPERLINK("https://www.google.com/maps/search/?api=1&amp;query=-12.301615,-76.84555","Carretera Panamericana Sur, Lurín, Lima")</f>
      </c>
      <c r="N47" t="str">
        <v>Excedió el límite de velocidad</v>
      </c>
      <c r="O47">
        <v>10479.8</v>
      </c>
      <c r="P47" t="str">
        <v/>
      </c>
      <c r="Q47">
        <v>80.6</v>
      </c>
      <c r="R47">
        <v>89.08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100</v>
      </c>
      <c r="AA47" t="str">
        <v>18/09/2026</v>
      </c>
      <c r="AB47" t="str">
        <v>13:09:09</v>
      </c>
      <c r="AC47">
        <f>IF("ONLINE"="NOGPS","GPS Antiguo","En línea")</f>
      </c>
      <c r="AD47">
        <f>IF(0=0,"Sin atender", IF(0=1,"Atendida","Atendida y Reportada"))</f>
      </c>
      <c r="AE47" t="str">
        <v/>
      </c>
      <c r="AF47" t="str">
        <v/>
      </c>
      <c r="AG47" t="str">
        <v/>
      </c>
      <c r="AH47" t="str">
        <v/>
      </c>
      <c r="AI47" t="str">
        <v>18/09/2026 13:09:36</v>
      </c>
      <c r="AJ47" t="str">
        <v>13:09:36</v>
      </c>
      <c r="AK47" t="str">
        <v/>
      </c>
    </row>
    <row r="48">
      <c r="A48">
        <v>47</v>
      </c>
      <c r="B48" t="str">
        <v>MASS BSF</v>
      </c>
      <c r="C48" t="str">
        <v>CLW-864</v>
      </c>
      <c r="D48" t="str">
        <v>CLW-864</v>
      </c>
      <c r="E48" t="str">
        <v>867162029823242</v>
      </c>
      <c r="F48" t="str">
        <v>TBD</v>
      </c>
      <c r="G48" t="str">
        <v/>
      </c>
      <c r="H48" t="str">
        <v/>
      </c>
      <c r="I48" t="str">
        <v>18/09/2026</v>
      </c>
      <c r="J48" t="str">
        <v>13:26:35</v>
      </c>
      <c r="K48">
        <v>-12.317609</v>
      </c>
      <c r="L48">
        <v>-76.82287</v>
      </c>
      <c r="M48">
        <f>HYPERLINK("https://www.google.com/maps/search/?api=1&amp;query=-12.317609,-76.82287","Punta Hermosa, Lima")</f>
      </c>
      <c r="N48" t="str">
        <v>Inicio de ralentí</v>
      </c>
      <c r="O48">
        <v>10488.2</v>
      </c>
      <c r="P48" t="str">
        <v/>
      </c>
      <c r="Q48">
        <v>0</v>
      </c>
      <c r="R48">
        <v>89.08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v>100</v>
      </c>
      <c r="AA48" t="str">
        <v>18/09/2026</v>
      </c>
      <c r="AB48" t="str">
        <v>13:26:15</v>
      </c>
      <c r="AC48">
        <f>IF("ONLINE"="NOGPS","GPS Antiguo","En línea")</f>
      </c>
      <c r="AD48">
        <f>IF(0=0,"Sin atender", IF(0=1,"Atendida","Atendida y Reportada"))</f>
      </c>
      <c r="AE48" t="str">
        <v/>
      </c>
      <c r="AF48" t="str">
        <v/>
      </c>
      <c r="AG48" t="str">
        <v/>
      </c>
      <c r="AH48" t="str">
        <v/>
      </c>
      <c r="AI48" t="str">
        <v>18/09/2026 13:27:02</v>
      </c>
      <c r="AJ48" t="str">
        <v>13:27:02</v>
      </c>
      <c r="AK48" t="str">
        <v/>
      </c>
    </row>
    <row r="49">
      <c r="A49">
        <v>48</v>
      </c>
      <c r="B49" t="str">
        <v>MASS BSF</v>
      </c>
      <c r="C49" t="str">
        <v>CLW-864</v>
      </c>
      <c r="D49" t="str">
        <v>CLW-864</v>
      </c>
      <c r="E49" t="str">
        <v>867162029823242</v>
      </c>
      <c r="F49" t="str">
        <v>TBD</v>
      </c>
      <c r="G49" t="str">
        <v/>
      </c>
      <c r="H49" t="str">
        <v/>
      </c>
      <c r="I49" t="str">
        <v>18/09/2026</v>
      </c>
      <c r="J49" t="str">
        <v>13:29:48</v>
      </c>
      <c r="K49">
        <v>-12.318332</v>
      </c>
      <c r="L49">
        <v>-76.824005</v>
      </c>
      <c r="M49">
        <f>HYPERLINK("https://www.google.com/maps/search/?api=1&amp;query=-12.318332,-76.824005","Punta Hermosa, Lima")</f>
      </c>
      <c r="N49" t="str">
        <v>Fin de ralentí</v>
      </c>
      <c r="O49">
        <v>10488.4</v>
      </c>
      <c r="P49" t="str">
        <v/>
      </c>
      <c r="Q49">
        <v>11.7</v>
      </c>
      <c r="R49">
        <v>89.08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v>100</v>
      </c>
      <c r="AA49" t="str">
        <v>18/09/2026</v>
      </c>
      <c r="AB49" t="str">
        <v>13:30:06</v>
      </c>
      <c r="AC49">
        <f>IF("ONLINE"="NOGPS","GPS Antiguo","En línea")</f>
      </c>
      <c r="AD49">
        <f>IF(0=0,"Sin atender", IF(0=1,"Atendida","Atendida y Reportada"))</f>
      </c>
      <c r="AE49" t="str">
        <v/>
      </c>
      <c r="AF49" t="str">
        <v/>
      </c>
      <c r="AG49" t="str">
        <v/>
      </c>
      <c r="AH49" t="str">
        <v/>
      </c>
      <c r="AI49" t="str">
        <v>18/09/2026 13:30:24</v>
      </c>
      <c r="AJ49" t="str">
        <v>13:30:24</v>
      </c>
      <c r="AK49" t="str">
        <v/>
      </c>
    </row>
    <row r="50">
      <c r="A50">
        <v>49</v>
      </c>
      <c r="B50" t="str">
        <v>MASS BSF</v>
      </c>
      <c r="C50" t="str">
        <v>CLW-864</v>
      </c>
      <c r="D50" t="str">
        <v>CLW-864</v>
      </c>
      <c r="E50" t="str">
        <v>867162029823242</v>
      </c>
      <c r="F50" t="str">
        <v>TBD</v>
      </c>
      <c r="G50" t="str">
        <v/>
      </c>
      <c r="H50" t="str">
        <v/>
      </c>
      <c r="I50" t="str">
        <v>18/09/2026</v>
      </c>
      <c r="J50" t="str">
        <v>13:31:44</v>
      </c>
      <c r="K50">
        <v>-12.317869</v>
      </c>
      <c r="L50">
        <v>-76.82425</v>
      </c>
      <c r="M50">
        <f>HYPERLINK("https://www.google.com/maps/search/?api=1&amp;query=-12.317869,-76.82425","Punta Hermosa, Lima")</f>
      </c>
      <c r="N50" t="str">
        <v>Vehículo apagado</v>
      </c>
      <c r="O50">
        <v>10488.5</v>
      </c>
      <c r="P50" t="str">
        <v/>
      </c>
      <c r="Q50">
        <v>0</v>
      </c>
      <c r="R50">
        <v>89.83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v>100</v>
      </c>
      <c r="AA50" t="str">
        <v>18/09/2026</v>
      </c>
      <c r="AB50" t="str">
        <v>13:31:47</v>
      </c>
      <c r="AC50">
        <f>IF("ONLINE"="NOGPS","GPS Antiguo","En línea")</f>
      </c>
      <c r="AD50">
        <f>IF(0=0,"Sin atender", IF(0=1,"Atendida","Atendida y Reportada"))</f>
      </c>
      <c r="AE50" t="str">
        <v/>
      </c>
      <c r="AF50" t="str">
        <v/>
      </c>
      <c r="AG50" t="str">
        <v/>
      </c>
      <c r="AH50" t="str">
        <v/>
      </c>
      <c r="AI50" t="str">
        <v>18/09/2026 13:32:00</v>
      </c>
      <c r="AJ50" t="str">
        <v>13:32:00</v>
      </c>
      <c r="AK50" t="str">
        <v/>
      </c>
    </row>
    <row r="51">
      <c r="A51">
        <v>50</v>
      </c>
      <c r="B51" t="str">
        <v>MASS BSF</v>
      </c>
      <c r="C51" t="str">
        <v>CLW-864</v>
      </c>
      <c r="D51" t="str">
        <v>CLW-864</v>
      </c>
      <c r="E51" t="str">
        <v>867162029823242</v>
      </c>
      <c r="F51" t="str">
        <v>TBD</v>
      </c>
      <c r="G51" t="str">
        <v/>
      </c>
      <c r="H51" t="str">
        <v/>
      </c>
      <c r="I51" t="str">
        <v>18/09/2026</v>
      </c>
      <c r="J51" t="str">
        <v>14:00:47</v>
      </c>
      <c r="K51">
        <v>-12.317869</v>
      </c>
      <c r="L51">
        <v>-76.82425</v>
      </c>
      <c r="M51">
        <f>HYPERLINK("https://www.google.com/maps/search/?api=1&amp;query=-12.317869,-76.82425","Punta Hermosa, Lima")</f>
      </c>
      <c r="N51" t="str">
        <v>Vehículo encendido</v>
      </c>
      <c r="O51">
        <v>10488.5</v>
      </c>
      <c r="P51" t="str">
        <v/>
      </c>
      <c r="Q51">
        <v>0</v>
      </c>
      <c r="R51">
        <v>89.83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v>100</v>
      </c>
      <c r="AA51" t="str">
        <v>18/09/2026</v>
      </c>
      <c r="AB51" t="str">
        <v>13:59:13</v>
      </c>
      <c r="AC51">
        <f>IF("ONLINE"="NOGPS","GPS Antiguo","En línea")</f>
      </c>
      <c r="AD51">
        <f>IF(0=0,"Sin atender", IF(0=1,"Atendida","Atendida y Reportada"))</f>
      </c>
      <c r="AE51" t="str">
        <v/>
      </c>
      <c r="AF51" t="str">
        <v/>
      </c>
      <c r="AG51" t="str">
        <v/>
      </c>
      <c r="AH51" t="str">
        <v/>
      </c>
      <c r="AI51" t="str">
        <v>18/09/2026 14:01:16</v>
      </c>
      <c r="AJ51" t="str">
        <v>14:01:16</v>
      </c>
      <c r="AK51" t="str">
        <v/>
      </c>
    </row>
    <row r="52">
      <c r="A52">
        <v>51</v>
      </c>
      <c r="B52" t="str">
        <v>MASS BSF</v>
      </c>
      <c r="C52" t="str">
        <v>CLW-864</v>
      </c>
      <c r="D52" t="str">
        <v>CLW-864</v>
      </c>
      <c r="E52" t="str">
        <v>867162029823242</v>
      </c>
      <c r="F52" t="str">
        <v>TBD</v>
      </c>
      <c r="G52" t="str">
        <v/>
      </c>
      <c r="H52" t="str">
        <v/>
      </c>
      <c r="I52" t="str">
        <v>18/09/2026</v>
      </c>
      <c r="J52" t="str">
        <v>14:00:55</v>
      </c>
      <c r="K52">
        <v>-12.317939</v>
      </c>
      <c r="L52">
        <v>-76.82429</v>
      </c>
      <c r="M52">
        <f>HYPERLINK("https://www.google.com/maps/search/?api=1&amp;query=-12.317939,-76.82429","Punta Hermosa, Lima")</f>
      </c>
      <c r="N52" t="str">
        <v>Vehículo apagado</v>
      </c>
      <c r="O52">
        <v>10488.5</v>
      </c>
      <c r="P52" t="str">
        <v/>
      </c>
      <c r="Q52">
        <v>0</v>
      </c>
      <c r="R52">
        <v>89.83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v>100</v>
      </c>
      <c r="AA52" t="str">
        <v>18/09/2026</v>
      </c>
      <c r="AB52" t="str">
        <v>14:00:54</v>
      </c>
      <c r="AC52">
        <f>IF("ONLINE"="NOGPS","GPS Antiguo","En línea")</f>
      </c>
      <c r="AD52">
        <f>IF(0=0,"Sin atender", IF(0=1,"Atendida","Atendida y Reportada"))</f>
      </c>
      <c r="AE52" t="str">
        <v/>
      </c>
      <c r="AF52" t="str">
        <v/>
      </c>
      <c r="AG52" t="str">
        <v/>
      </c>
      <c r="AH52" t="str">
        <v/>
      </c>
      <c r="AI52" t="str">
        <v>18/09/2026 14:01:15</v>
      </c>
      <c r="AJ52" t="str">
        <v>14:01:15</v>
      </c>
      <c r="AK52" t="str">
        <v/>
      </c>
    </row>
    <row r="53">
      <c r="A53">
        <v>52</v>
      </c>
      <c r="B53" t="str">
        <v>MASS BSF</v>
      </c>
      <c r="C53" t="str">
        <v>CLW-864</v>
      </c>
      <c r="D53" t="str">
        <v>CLW-864</v>
      </c>
      <c r="E53" t="str">
        <v>867162029823242</v>
      </c>
      <c r="F53" t="str">
        <v>TBD</v>
      </c>
      <c r="G53" t="str">
        <v/>
      </c>
      <c r="H53" t="str">
        <v/>
      </c>
      <c r="I53" t="str">
        <v>18/09/2026</v>
      </c>
      <c r="J53" t="str">
        <v>14:00:57</v>
      </c>
      <c r="K53">
        <v>-12.317939</v>
      </c>
      <c r="L53">
        <v>-76.82429</v>
      </c>
      <c r="M53">
        <f>HYPERLINK("https://www.google.com/maps/search/?api=1&amp;query=-12.317939,-76.82429","Punta Hermosa, Lima")</f>
      </c>
      <c r="N53" t="str">
        <v>Vehículo encendido</v>
      </c>
      <c r="O53">
        <v>10488.5</v>
      </c>
      <c r="P53" t="str">
        <v/>
      </c>
      <c r="Q53">
        <v>0</v>
      </c>
      <c r="R53">
        <v>89.83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v>100</v>
      </c>
      <c r="AA53" t="str">
        <v>18/09/2026</v>
      </c>
      <c r="AB53" t="str">
        <v>14:00:54</v>
      </c>
      <c r="AC53">
        <f>IF("ONLINE"="NOGPS","GPS Antiguo","En línea")</f>
      </c>
      <c r="AD53">
        <f>IF(0=0,"Sin atender", IF(0=1,"Atendida","Atendida y Reportada"))</f>
      </c>
      <c r="AE53" t="str">
        <v/>
      </c>
      <c r="AF53" t="str">
        <v/>
      </c>
      <c r="AG53" t="str">
        <v/>
      </c>
      <c r="AH53" t="str">
        <v/>
      </c>
      <c r="AI53" t="str">
        <v>18/09/2026 14:01:13</v>
      </c>
      <c r="AJ53" t="str">
        <v>14:01:13</v>
      </c>
      <c r="AK53" t="str">
        <v/>
      </c>
    </row>
    <row r="54">
      <c r="A54">
        <v>53</v>
      </c>
      <c r="B54" t="str">
        <v>MASS BSF</v>
      </c>
      <c r="C54" t="str">
        <v>CLW-864</v>
      </c>
      <c r="D54" t="str">
        <v>CLW-864</v>
      </c>
      <c r="E54" t="str">
        <v>867162029823242</v>
      </c>
      <c r="F54" t="str">
        <v>TBD</v>
      </c>
      <c r="G54" t="str">
        <v/>
      </c>
      <c r="H54" t="str">
        <v/>
      </c>
      <c r="I54" t="str">
        <v>18/09/2026</v>
      </c>
      <c r="J54" t="str">
        <v>14:03:29</v>
      </c>
      <c r="K54">
        <v>-12.317866</v>
      </c>
      <c r="L54">
        <v>-76.824356</v>
      </c>
      <c r="M54">
        <f>HYPERLINK("https://www.google.com/maps/search/?api=1&amp;query=-12.317866,-76.824356","Punta Hermosa, Lima")</f>
      </c>
      <c r="N54" t="str">
        <v>Vehículo apagado</v>
      </c>
      <c r="O54">
        <v>10488.5</v>
      </c>
      <c r="P54" t="str">
        <v/>
      </c>
      <c r="Q54">
        <v>0</v>
      </c>
      <c r="R54">
        <v>89.83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v>100</v>
      </c>
      <c r="AA54" t="str">
        <v>18/09/2026</v>
      </c>
      <c r="AB54" t="str">
        <v>14:03:32</v>
      </c>
      <c r="AC54">
        <f>IF("ONLINE"="NOGPS","GPS Antiguo","En línea")</f>
      </c>
      <c r="AD54">
        <f>IF(0=0,"Sin atender", IF(0=1,"Atendida","Atendida y Reportada"))</f>
      </c>
      <c r="AE54" t="str">
        <v/>
      </c>
      <c r="AF54" t="str">
        <v/>
      </c>
      <c r="AG54" t="str">
        <v/>
      </c>
      <c r="AH54" t="str">
        <v/>
      </c>
      <c r="AI54" t="str">
        <v>18/09/2026 14:04:02</v>
      </c>
      <c r="AJ54" t="str">
        <v>14:04:02</v>
      </c>
      <c r="AK54" t="str">
        <v/>
      </c>
    </row>
  </sheetData>
  <ignoredErrors>
    <ignoredError numberStoredAsText="1" sqref="A1:AK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