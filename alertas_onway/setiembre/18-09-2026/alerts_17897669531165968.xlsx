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1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F8P-915</v>
      </c>
      <c r="D2" t="str">
        <v>F8P-915</v>
      </c>
      <c r="E2" t="str">
        <v/>
      </c>
      <c r="F2" t="str">
        <v>867806075079972</v>
      </c>
      <c r="G2" t="str">
        <v>TBD</v>
      </c>
      <c r="H2" t="str">
        <v/>
      </c>
      <c r="I2" t="str">
        <v/>
      </c>
      <c r="J2" t="str">
        <v>18/09/2026</v>
      </c>
      <c r="K2" t="str">
        <v>05:22:37</v>
      </c>
      <c r="L2">
        <v>-12.212987</v>
      </c>
      <c r="M2">
        <v>-76.959076</v>
      </c>
      <c r="N2">
        <f>HYPERLINK("https://www.google.com/maps/search/?api=1&amp;query=-12.212987,-76.959076","Avenida Villa del Mar, Villa El Salvador, Lima")</f>
      </c>
      <c r="O2" t="str">
        <v>Inicio de ralentí</v>
      </c>
      <c r="P2">
        <v>240496</v>
      </c>
      <c r="Q2" t="str">
        <v/>
      </c>
      <c r="R2">
        <v>0</v>
      </c>
      <c r="S2">
        <v>0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96</v>
      </c>
      <c r="AB2" t="str">
        <v>18/09/2026</v>
      </c>
      <c r="AC2" t="str">
        <v>05:22:35</v>
      </c>
      <c r="AD2">
        <f>IF("ONLINE"="NOGPS","GPS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18/09/2026 05:22:46</v>
      </c>
      <c r="AK2" t="str">
        <v>05:22:46</v>
      </c>
      <c r="AL2" t="str">
        <v/>
      </c>
    </row>
    <row r="3">
      <c r="A3">
        <v>2</v>
      </c>
      <c r="B3" t="str">
        <v>MASS BSF</v>
      </c>
      <c r="C3" t="str">
        <v>F8P-915</v>
      </c>
      <c r="D3" t="str">
        <v>F8P-915</v>
      </c>
      <c r="E3" t="str">
        <v/>
      </c>
      <c r="F3" t="str">
        <v>867806075079972</v>
      </c>
      <c r="G3" t="str">
        <v>TBD</v>
      </c>
      <c r="H3" t="str">
        <v/>
      </c>
      <c r="I3" t="str">
        <v/>
      </c>
      <c r="J3" t="str">
        <v>18/09/2026</v>
      </c>
      <c r="K3" t="str">
        <v>05:26:05</v>
      </c>
      <c r="L3">
        <v>-12.212987</v>
      </c>
      <c r="M3">
        <v>-76.959076</v>
      </c>
      <c r="N3">
        <f>HYPERLINK("https://www.google.com/maps/search/?api=1&amp;query=-12.212987,-76.959076","Avenida Villa del Mar, Villa El Salvador, Lima")</f>
      </c>
      <c r="O3" t="str">
        <v>Fin de ralentí</v>
      </c>
      <c r="P3">
        <v>240496</v>
      </c>
      <c r="Q3" t="str">
        <v/>
      </c>
      <c r="R3">
        <v>0</v>
      </c>
      <c r="S3">
        <v>0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96</v>
      </c>
      <c r="AB3" t="str">
        <v>18/09/2026</v>
      </c>
      <c r="AC3" t="str">
        <v>05:26:03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18/09/2026 05:26:09</v>
      </c>
      <c r="AK3" t="str">
        <v>05:26:09</v>
      </c>
      <c r="AL3" t="str">
        <v/>
      </c>
    </row>
    <row r="4">
      <c r="A4">
        <v>3</v>
      </c>
      <c r="B4" t="str">
        <v>MASS BSF</v>
      </c>
      <c r="C4" t="str">
        <v>F8P-915</v>
      </c>
      <c r="D4" t="str">
        <v>F8P-915</v>
      </c>
      <c r="E4" t="str">
        <v/>
      </c>
      <c r="F4" t="str">
        <v>867806075079972</v>
      </c>
      <c r="G4" t="str">
        <v>TBD</v>
      </c>
      <c r="H4" t="str">
        <v/>
      </c>
      <c r="I4" t="str">
        <v/>
      </c>
      <c r="J4" t="str">
        <v>18/09/2026</v>
      </c>
      <c r="K4" t="str">
        <v>06:00:34</v>
      </c>
      <c r="L4">
        <v>-12.212803</v>
      </c>
      <c r="M4">
        <v>-76.907845</v>
      </c>
      <c r="N4">
        <f>HYPERLINK("https://www.google.com/maps/search/?api=1&amp;query=-12.212803,-76.907845","Jirón Rímac, Villa María del Triunfo, Lima")</f>
      </c>
      <c r="O4" t="str">
        <v>Inicio de ralentí</v>
      </c>
      <c r="P4">
        <v>240496</v>
      </c>
      <c r="Q4" t="str">
        <v/>
      </c>
      <c r="R4">
        <v>0</v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96</v>
      </c>
      <c r="AB4" t="str">
        <v>18/09/2026</v>
      </c>
      <c r="AC4" t="str">
        <v>06:00:32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18/09/2026 06:01:01</v>
      </c>
      <c r="AK4" t="str">
        <v>06:01:01</v>
      </c>
      <c r="AL4" t="str">
        <v/>
      </c>
    </row>
    <row r="5">
      <c r="A5">
        <v>4</v>
      </c>
      <c r="B5" t="str">
        <v>MASS BSF</v>
      </c>
      <c r="C5" t="str">
        <v>F8P-915</v>
      </c>
      <c r="D5" t="str">
        <v>F8P-915</v>
      </c>
      <c r="E5" t="str">
        <v/>
      </c>
      <c r="F5" t="str">
        <v>867806075079972</v>
      </c>
      <c r="G5" t="str">
        <v>TBD</v>
      </c>
      <c r="H5" t="str">
        <v/>
      </c>
      <c r="I5" t="str">
        <v/>
      </c>
      <c r="J5" t="str">
        <v>18/09/2026</v>
      </c>
      <c r="K5" t="str">
        <v>06:02:36</v>
      </c>
      <c r="L5">
        <v>-12.21279</v>
      </c>
      <c r="M5">
        <v>-76.90786</v>
      </c>
      <c r="N5">
        <f>HYPERLINK("https://www.google.com/maps/search/?api=1&amp;query=-12.21279,-76.90786","Jirón Rímac, Villa María del Triunfo, Lima")</f>
      </c>
      <c r="O5" t="str">
        <v>Fin de ralentí</v>
      </c>
      <c r="P5">
        <v>240496</v>
      </c>
      <c r="Q5" t="str">
        <v/>
      </c>
      <c r="R5">
        <v>5.7</v>
      </c>
      <c r="S5">
        <v>0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96</v>
      </c>
      <c r="AB5" t="str">
        <v>18/09/2026</v>
      </c>
      <c r="AC5" t="str">
        <v>06:02:35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18/09/2026 06:02:51</v>
      </c>
      <c r="AK5" t="str">
        <v>06:02:51</v>
      </c>
      <c r="AL5" t="str">
        <v/>
      </c>
    </row>
    <row r="6">
      <c r="A6">
        <v>5</v>
      </c>
      <c r="B6" t="str">
        <v>MASS BSF</v>
      </c>
      <c r="C6" t="str">
        <v>F8P-915</v>
      </c>
      <c r="D6" t="str">
        <v>F8P-915</v>
      </c>
      <c r="E6" t="str">
        <v/>
      </c>
      <c r="F6" t="str">
        <v>867806075079972</v>
      </c>
      <c r="G6" t="str">
        <v>TBD</v>
      </c>
      <c r="H6" t="str">
        <v/>
      </c>
      <c r="I6" t="str">
        <v/>
      </c>
      <c r="J6" t="str">
        <v>18/09/2026</v>
      </c>
      <c r="K6" t="str">
        <v>06:06:05</v>
      </c>
      <c r="L6">
        <v>-12.212793</v>
      </c>
      <c r="M6">
        <v>-76.90794</v>
      </c>
      <c r="N6">
        <f>HYPERLINK("https://www.google.com/maps/search/?api=1&amp;query=-12.212793,-76.90794","Jirón Rímac, Villa María del Triunfo, Lima")</f>
      </c>
      <c r="O6" t="str">
        <v>Se detuvo</v>
      </c>
      <c r="P6">
        <v>240496</v>
      </c>
      <c r="Q6" t="str">
        <v/>
      </c>
      <c r="R6">
        <v>0</v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96</v>
      </c>
      <c r="AB6" t="str">
        <v>18/09/2026</v>
      </c>
      <c r="AC6" t="str">
        <v>06:06:03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18/09/2026 06:06:16</v>
      </c>
      <c r="AK6" t="str">
        <v>06:06:16</v>
      </c>
      <c r="AL6" t="str">
        <v/>
      </c>
    </row>
    <row r="7">
      <c r="A7">
        <v>6</v>
      </c>
      <c r="B7" t="str">
        <v>MASS BSF</v>
      </c>
      <c r="C7" t="str">
        <v>F8P-915</v>
      </c>
      <c r="D7" t="str">
        <v>F8P-915</v>
      </c>
      <c r="E7" t="str">
        <v/>
      </c>
      <c r="F7" t="str">
        <v>867806075079972</v>
      </c>
      <c r="G7" t="str">
        <v>TBD</v>
      </c>
      <c r="H7" t="str">
        <v/>
      </c>
      <c r="I7" t="str">
        <v/>
      </c>
      <c r="J7" t="str">
        <v>18/09/2026</v>
      </c>
      <c r="K7" t="str">
        <v>06:08:45</v>
      </c>
      <c r="L7">
        <v>-12.212793</v>
      </c>
      <c r="M7">
        <v>-76.90794</v>
      </c>
      <c r="N7">
        <f>HYPERLINK("https://www.google.com/maps/search/?api=1&amp;query=-12.212793,-76.90794","Jirón Rímac, Villa María del Triunfo, Lima")</f>
      </c>
      <c r="O7" t="str">
        <v>Encendido o Entró en cobertura</v>
      </c>
      <c r="P7">
        <v>240496</v>
      </c>
      <c r="Q7" t="str">
        <v/>
      </c>
      <c r="R7">
        <v>0</v>
      </c>
      <c r="S7">
        <v>0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96</v>
      </c>
      <c r="AB7" t="str">
        <v>18/09/2026</v>
      </c>
      <c r="AC7" t="str">
        <v>06:07:10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18/09/2026 06:08:56</v>
      </c>
      <c r="AK7" t="str">
        <v>06:08:56</v>
      </c>
      <c r="AL7" t="str">
        <v/>
      </c>
    </row>
    <row r="8">
      <c r="A8">
        <v>7</v>
      </c>
      <c r="B8" t="str">
        <v>MASS BSF</v>
      </c>
      <c r="C8" t="str">
        <v>F8P-915</v>
      </c>
      <c r="D8" t="str">
        <v>F8P-915</v>
      </c>
      <c r="E8" t="str">
        <v/>
      </c>
      <c r="F8" t="str">
        <v>867806075079972</v>
      </c>
      <c r="G8" t="str">
        <v>TBD</v>
      </c>
      <c r="H8" t="str">
        <v/>
      </c>
      <c r="I8" t="str">
        <v/>
      </c>
      <c r="J8" t="str">
        <v>18/09/2026</v>
      </c>
      <c r="K8" t="str">
        <v>06:17:31</v>
      </c>
      <c r="L8">
        <v>-12.212795</v>
      </c>
      <c r="M8">
        <v>-76.90793</v>
      </c>
      <c r="N8">
        <f>HYPERLINK("https://www.google.com/maps/search/?api=1&amp;query=-12.212795,-76.90793","Jirón Rímac, Villa María del Triunfo, Lima")</f>
      </c>
      <c r="O8" t="str">
        <v>Se detuvo</v>
      </c>
      <c r="P8">
        <v>240496</v>
      </c>
      <c r="Q8" t="str">
        <v/>
      </c>
      <c r="R8">
        <v>0</v>
      </c>
      <c r="S8">
        <v>0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96</v>
      </c>
      <c r="AB8" t="str">
        <v>18/09/2026</v>
      </c>
      <c r="AC8" t="str">
        <v>06:17:29</v>
      </c>
      <c r="AD8">
        <f>IF("ONLINE"="NOGPS","GPS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18/09/2026 06:17:54</v>
      </c>
      <c r="AK8" t="str">
        <v>06:17:54</v>
      </c>
      <c r="AL8" t="str">
        <v/>
      </c>
    </row>
    <row r="9">
      <c r="A9">
        <v>8</v>
      </c>
      <c r="B9" t="str">
        <v>MASS BSF</v>
      </c>
      <c r="C9" t="str">
        <v>F8P-915</v>
      </c>
      <c r="D9" t="str">
        <v>F8P-915</v>
      </c>
      <c r="E9" t="str">
        <v/>
      </c>
      <c r="F9" t="str">
        <v>867806075079972</v>
      </c>
      <c r="G9" t="str">
        <v>TBD</v>
      </c>
      <c r="H9" t="str">
        <v/>
      </c>
      <c r="I9" t="str">
        <v/>
      </c>
      <c r="J9" t="str">
        <v>18/09/2026</v>
      </c>
      <c r="K9" t="str">
        <v>06:33:28</v>
      </c>
      <c r="L9">
        <v>-12.209931</v>
      </c>
      <c r="M9">
        <v>-76.906136</v>
      </c>
      <c r="N9">
        <f>HYPERLINK("https://www.google.com/maps/search/?api=1&amp;query=-12.209931,-76.906136","Avenida Lima, Villa María del Triunfo")</f>
      </c>
      <c r="O9" t="str">
        <v>Inicio de ralentí</v>
      </c>
      <c r="P9">
        <v>240496</v>
      </c>
      <c r="Q9" t="str">
        <v/>
      </c>
      <c r="R9">
        <v>0</v>
      </c>
      <c r="S9">
        <v>0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96</v>
      </c>
      <c r="AB9" t="str">
        <v>18/09/2026</v>
      </c>
      <c r="AC9" t="str">
        <v>06:33:26</v>
      </c>
      <c r="AD9">
        <f>IF("ONLINE"="NOGPS","GPS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18/09/2026 06:33:36</v>
      </c>
      <c r="AK9" t="str">
        <v>06:33:36</v>
      </c>
      <c r="AL9" t="str">
        <v/>
      </c>
    </row>
    <row r="10">
      <c r="A10">
        <v>9</v>
      </c>
      <c r="B10" t="str">
        <v>MASS BSF</v>
      </c>
      <c r="C10" t="str">
        <v>F8P-915</v>
      </c>
      <c r="D10" t="str">
        <v>F8P-915</v>
      </c>
      <c r="E10" t="str">
        <v/>
      </c>
      <c r="F10" t="str">
        <v>867806075079972</v>
      </c>
      <c r="G10" t="str">
        <v>TBD</v>
      </c>
      <c r="H10" t="str">
        <v/>
      </c>
      <c r="I10" t="str">
        <v/>
      </c>
      <c r="J10" t="str">
        <v>18/09/2026</v>
      </c>
      <c r="K10" t="str">
        <v>06:38:39</v>
      </c>
      <c r="L10">
        <v>-12.209933</v>
      </c>
      <c r="M10">
        <v>-76.906136</v>
      </c>
      <c r="N10">
        <f>HYPERLINK("https://www.google.com/maps/search/?api=1&amp;query=-12.209933,-76.906136","Avenida Lima, Villa María del Triunfo")</f>
      </c>
      <c r="O10" t="str">
        <v>Se detuvo</v>
      </c>
      <c r="P10">
        <v>240496</v>
      </c>
      <c r="Q10" t="str">
        <v/>
      </c>
      <c r="R10">
        <v>0</v>
      </c>
      <c r="S10">
        <v>0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96</v>
      </c>
      <c r="AB10" t="str">
        <v>18/09/2026</v>
      </c>
      <c r="AC10" t="str">
        <v>06:38:37</v>
      </c>
      <c r="AD10">
        <f>IF("ONLINE"="NOGPS","GPS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18/09/2026 06:38:59</v>
      </c>
      <c r="AK10" t="str">
        <v>06:38:59</v>
      </c>
      <c r="AL10" t="str">
        <v/>
      </c>
    </row>
    <row r="11">
      <c r="A11">
        <v>10</v>
      </c>
      <c r="B11" t="str">
        <v>MASS BSF</v>
      </c>
      <c r="C11" t="str">
        <v>F8P-915</v>
      </c>
      <c r="D11" t="str">
        <v>F8P-915</v>
      </c>
      <c r="E11" t="str">
        <v/>
      </c>
      <c r="F11" t="str">
        <v>867806075079972</v>
      </c>
      <c r="G11" t="str">
        <v>TBD</v>
      </c>
      <c r="H11" t="str">
        <v/>
      </c>
      <c r="I11" t="str">
        <v/>
      </c>
      <c r="J11" t="str">
        <v>18/09/2026</v>
      </c>
      <c r="K11" t="str">
        <v>06:39:10</v>
      </c>
      <c r="L11">
        <v>-12.209933</v>
      </c>
      <c r="M11">
        <v>-76.906136</v>
      </c>
      <c r="N11">
        <f>HYPERLINK("https://www.google.com/maps/search/?api=1&amp;query=-12.209933,-76.906136","Avenida Lima, Villa María del Triunfo")</f>
      </c>
      <c r="O11" t="str">
        <v>Fin de ralentí</v>
      </c>
      <c r="P11">
        <v>240496</v>
      </c>
      <c r="Q11" t="str">
        <v/>
      </c>
      <c r="R11">
        <v>0</v>
      </c>
      <c r="S11">
        <v>0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96</v>
      </c>
      <c r="AB11" t="str">
        <v>18/09/2026</v>
      </c>
      <c r="AC11" t="str">
        <v>06:39:08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18/09/2026 06:39:17</v>
      </c>
      <c r="AK11" t="str">
        <v>06:39:17</v>
      </c>
      <c r="AL11" t="str">
        <v/>
      </c>
    </row>
    <row r="12">
      <c r="A12">
        <v>11</v>
      </c>
      <c r="B12" t="str">
        <v>MASS BSF</v>
      </c>
      <c r="C12" t="str">
        <v>F8P-915</v>
      </c>
      <c r="D12" t="str">
        <v>F8P-915</v>
      </c>
      <c r="E12" t="str">
        <v/>
      </c>
      <c r="F12" t="str">
        <v>867806075079972</v>
      </c>
      <c r="G12" t="str">
        <v>TBD</v>
      </c>
      <c r="H12" t="str">
        <v/>
      </c>
      <c r="I12" t="str">
        <v/>
      </c>
      <c r="J12" t="str">
        <v>18/09/2026</v>
      </c>
      <c r="K12" t="str">
        <v>06:48:16</v>
      </c>
      <c r="L12">
        <v>-12.209933</v>
      </c>
      <c r="M12">
        <v>-76.906136</v>
      </c>
      <c r="N12">
        <f>HYPERLINK("https://www.google.com/maps/search/?api=1&amp;query=-12.209933,-76.906136","Avenida Lima, Villa María del Triunfo")</f>
      </c>
      <c r="O12" t="str">
        <v>Encendido o Entró en cobertura</v>
      </c>
      <c r="P12">
        <v>240496</v>
      </c>
      <c r="Q12" t="str">
        <v/>
      </c>
      <c r="R12">
        <v>0</v>
      </c>
      <c r="S12">
        <v>0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96</v>
      </c>
      <c r="AB12" t="str">
        <v>18/09/2026</v>
      </c>
      <c r="AC12" t="str">
        <v>06:47:10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18/09/2026 06:48:27</v>
      </c>
      <c r="AK12" t="str">
        <v>06:48:27</v>
      </c>
      <c r="AL12" t="str">
        <v/>
      </c>
    </row>
    <row r="13">
      <c r="A13">
        <v>12</v>
      </c>
      <c r="B13" t="str">
        <v>MASS BSF</v>
      </c>
      <c r="C13" t="str">
        <v>F8P-915</v>
      </c>
      <c r="D13" t="str">
        <v>F8P-915</v>
      </c>
      <c r="E13" t="str">
        <v/>
      </c>
      <c r="F13" t="str">
        <v>867806075079972</v>
      </c>
      <c r="G13" t="str">
        <v>TBD</v>
      </c>
      <c r="H13" t="str">
        <v/>
      </c>
      <c r="I13" t="str">
        <v/>
      </c>
      <c r="J13" t="str">
        <v>18/09/2026</v>
      </c>
      <c r="K13" t="str">
        <v>07:32:09</v>
      </c>
      <c r="L13">
        <v>-12.23804</v>
      </c>
      <c r="M13">
        <v>-76.91268</v>
      </c>
      <c r="N13">
        <f>HYPERLINK("https://www.google.com/maps/search/?api=1&amp;query=-12.23804,-76.91268","Avenida Lima, Villa El Salvador")</f>
      </c>
      <c r="O13" t="str">
        <v>Inicio de ralentí</v>
      </c>
      <c r="P13">
        <v>240496</v>
      </c>
      <c r="Q13" t="str">
        <v/>
      </c>
      <c r="R13">
        <v>0</v>
      </c>
      <c r="S13">
        <v>0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96</v>
      </c>
      <c r="AB13" t="str">
        <v>18/09/2026</v>
      </c>
      <c r="AC13" t="str">
        <v>07:32:07</v>
      </c>
      <c r="AD13">
        <f>IF("ONLINE"="NOGPS","GPS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18/09/2026 07:32:17</v>
      </c>
      <c r="AK13" t="str">
        <v>07:32:17</v>
      </c>
      <c r="AL13" t="str">
        <v/>
      </c>
    </row>
    <row r="14">
      <c r="A14">
        <v>13</v>
      </c>
      <c r="B14" t="str">
        <v>MASS BSF</v>
      </c>
      <c r="C14" t="str">
        <v>F8P-915</v>
      </c>
      <c r="D14" t="str">
        <v>F8P-915</v>
      </c>
      <c r="E14" t="str">
        <v/>
      </c>
      <c r="F14" t="str">
        <v>867806075079972</v>
      </c>
      <c r="G14" t="str">
        <v>TBD</v>
      </c>
      <c r="H14" t="str">
        <v/>
      </c>
      <c r="I14" t="str">
        <v/>
      </c>
      <c r="J14" t="str">
        <v>18/09/2026</v>
      </c>
      <c r="K14" t="str">
        <v>07:33:21</v>
      </c>
      <c r="L14">
        <v>-12.238135</v>
      </c>
      <c r="M14">
        <v>-76.91267</v>
      </c>
      <c r="N14">
        <f>HYPERLINK("https://www.google.com/maps/search/?api=1&amp;query=-12.238135,-76.91267","Avenida Lima, Villa El Salvador")</f>
      </c>
      <c r="O14" t="str">
        <v>Fin de ralentí</v>
      </c>
      <c r="P14">
        <v>240496</v>
      </c>
      <c r="Q14" t="str">
        <v/>
      </c>
      <c r="R14">
        <v>6.4</v>
      </c>
      <c r="S14">
        <v>0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96</v>
      </c>
      <c r="AB14" t="str">
        <v>18/09/2026</v>
      </c>
      <c r="AC14" t="str">
        <v>07:33:20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18/09/2026 07:33:33</v>
      </c>
      <c r="AK14" t="str">
        <v>07:33:33</v>
      </c>
      <c r="AL14" t="str">
        <v/>
      </c>
    </row>
    <row r="15">
      <c r="A15">
        <v>14</v>
      </c>
      <c r="B15" t="str">
        <v>MASS BSF</v>
      </c>
      <c r="C15" t="str">
        <v>F8P-915</v>
      </c>
      <c r="D15" t="str">
        <v>F8P-915</v>
      </c>
      <c r="E15" t="str">
        <v/>
      </c>
      <c r="F15" t="str">
        <v>867806075079972</v>
      </c>
      <c r="G15" t="str">
        <v>TBD</v>
      </c>
      <c r="H15" t="str">
        <v/>
      </c>
      <c r="I15" t="str">
        <v/>
      </c>
      <c r="J15" t="str">
        <v>18/09/2026</v>
      </c>
      <c r="K15" t="str">
        <v>08:13:26</v>
      </c>
      <c r="L15">
        <v>-12.317172</v>
      </c>
      <c r="M15">
        <v>-76.82314</v>
      </c>
      <c r="N15">
        <f>HYPERLINK("https://www.google.com/maps/search/?api=1&amp;query=-12.317172,-76.82314","Punta Hermosa, Lima")</f>
      </c>
      <c r="O15" t="str">
        <v>Se detuvo</v>
      </c>
      <c r="P15">
        <v>240496</v>
      </c>
      <c r="Q15" t="str">
        <v/>
      </c>
      <c r="R15">
        <v>0</v>
      </c>
      <c r="S15">
        <v>0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97</v>
      </c>
      <c r="AB15" t="str">
        <v>18/09/2026</v>
      </c>
      <c r="AC15" t="str">
        <v>08:13:23</v>
      </c>
      <c r="AD15">
        <f>IF("ONLINE"="NOGPS","GPS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18/09/2026 08:13:35</v>
      </c>
      <c r="AK15" t="str">
        <v>08:13:35</v>
      </c>
      <c r="AL15" t="str">
        <v/>
      </c>
    </row>
    <row r="16">
      <c r="A16">
        <v>15</v>
      </c>
      <c r="B16" t="str">
        <v>MASS BSF</v>
      </c>
      <c r="C16" t="str">
        <v>F8P-915</v>
      </c>
      <c r="D16" t="str">
        <v>F8P-915</v>
      </c>
      <c r="E16" t="str">
        <v/>
      </c>
      <c r="F16" t="str">
        <v>867806075079972</v>
      </c>
      <c r="G16" t="str">
        <v>TBD</v>
      </c>
      <c r="H16" t="str">
        <v/>
      </c>
      <c r="I16" t="str">
        <v/>
      </c>
      <c r="J16" t="str">
        <v>18/09/2026</v>
      </c>
      <c r="K16" t="str">
        <v>08:22:50</v>
      </c>
      <c r="L16">
        <v>-12.317328</v>
      </c>
      <c r="M16">
        <v>-76.82291</v>
      </c>
      <c r="N16">
        <f>HYPERLINK("https://www.google.com/maps/search/?api=1&amp;query=-12.317328,-76.82291","Punta Hermosa, Lima")</f>
      </c>
      <c r="O16" t="str">
        <v>Inicio de ralentí</v>
      </c>
      <c r="P16">
        <v>240496</v>
      </c>
      <c r="Q16" t="str">
        <v/>
      </c>
      <c r="R16">
        <v>0</v>
      </c>
      <c r="S16">
        <v>0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94</v>
      </c>
      <c r="AB16" t="str">
        <v>18/09/2026</v>
      </c>
      <c r="AC16" t="str">
        <v>08:22:47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18/09/2026 08:23:11</v>
      </c>
      <c r="AK16" t="str">
        <v>08:23:11</v>
      </c>
      <c r="AL16" t="str">
        <v/>
      </c>
    </row>
    <row r="17">
      <c r="A17">
        <v>16</v>
      </c>
      <c r="B17" t="str">
        <v>MASS BSF</v>
      </c>
      <c r="C17" t="str">
        <v>F8P-915</v>
      </c>
      <c r="D17" t="str">
        <v>F8P-915</v>
      </c>
      <c r="E17" t="str">
        <v/>
      </c>
      <c r="F17" t="str">
        <v>867806075079972</v>
      </c>
      <c r="G17" t="str">
        <v>TBD</v>
      </c>
      <c r="H17" t="str">
        <v/>
      </c>
      <c r="I17" t="str">
        <v/>
      </c>
      <c r="J17" t="str">
        <v>18/09/2026</v>
      </c>
      <c r="K17" t="str">
        <v>08:34:01</v>
      </c>
      <c r="L17">
        <v>-12.317625</v>
      </c>
      <c r="M17">
        <v>-76.82436</v>
      </c>
      <c r="N17">
        <f>HYPERLINK("https://www.google.com/maps/search/?api=1&amp;query=-12.317625,-76.82436","Punta Hermosa, Lima")</f>
      </c>
      <c r="O17" t="str">
        <v>Inicio de ralentí</v>
      </c>
      <c r="P17">
        <v>240496</v>
      </c>
      <c r="Q17" t="str">
        <v/>
      </c>
      <c r="R17">
        <v>0</v>
      </c>
      <c r="S17">
        <v>0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93</v>
      </c>
      <c r="AB17" t="str">
        <v>18/09/2026</v>
      </c>
      <c r="AC17" t="str">
        <v>08:33:58</v>
      </c>
      <c r="AD17">
        <f>IF("ONLINE"="NOGPS","GPS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18/09/2026 08:34:20</v>
      </c>
      <c r="AK17" t="str">
        <v>08:34:20</v>
      </c>
      <c r="AL17" t="str">
        <v/>
      </c>
    </row>
    <row r="18">
      <c r="A18">
        <v>17</v>
      </c>
      <c r="B18" t="str">
        <v>MASS BSF</v>
      </c>
      <c r="C18" t="str">
        <v>F8P-915</v>
      </c>
      <c r="D18" t="str">
        <v>F8P-915</v>
      </c>
      <c r="E18" t="str">
        <v/>
      </c>
      <c r="F18" t="str">
        <v>867806075079972</v>
      </c>
      <c r="G18" t="str">
        <v>TBD</v>
      </c>
      <c r="H18" t="str">
        <v/>
      </c>
      <c r="I18" t="str">
        <v/>
      </c>
      <c r="J18" t="str">
        <v>18/09/2026</v>
      </c>
      <c r="K18" t="str">
        <v>08:35:10</v>
      </c>
      <c r="L18">
        <v>-12.317595</v>
      </c>
      <c r="M18">
        <v>-76.82433</v>
      </c>
      <c r="N18">
        <f>HYPERLINK("https://www.google.com/maps/search/?api=1&amp;query=-12.317595,-76.82433","Punta Hermosa, Lima")</f>
      </c>
      <c r="O18" t="str">
        <v>Fin de ralentí</v>
      </c>
      <c r="P18">
        <v>240496</v>
      </c>
      <c r="Q18" t="str">
        <v/>
      </c>
      <c r="R18">
        <v>6.8</v>
      </c>
      <c r="S18">
        <v>0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93</v>
      </c>
      <c r="AB18" t="str">
        <v>18/09/2026</v>
      </c>
      <c r="AC18" t="str">
        <v>08:35:08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18/09/2026 08:35:26</v>
      </c>
      <c r="AK18" t="str">
        <v>08:35:26</v>
      </c>
      <c r="AL18" t="str">
        <v/>
      </c>
    </row>
    <row r="19">
      <c r="A19">
        <v>18</v>
      </c>
      <c r="B19" t="str">
        <v>MASS BSF</v>
      </c>
      <c r="C19" t="str">
        <v>F8P-915</v>
      </c>
      <c r="D19" t="str">
        <v>F8P-915</v>
      </c>
      <c r="E19" t="str">
        <v/>
      </c>
      <c r="F19" t="str">
        <v>867806075079972</v>
      </c>
      <c r="G19" t="str">
        <v>TBD</v>
      </c>
      <c r="H19" t="str">
        <v/>
      </c>
      <c r="I19" t="str">
        <v/>
      </c>
      <c r="J19" t="str">
        <v>18/09/2026</v>
      </c>
      <c r="K19" t="str">
        <v>08:38:11</v>
      </c>
      <c r="L19">
        <v>-12.317598</v>
      </c>
      <c r="M19">
        <v>-76.82434</v>
      </c>
      <c r="N19">
        <f>HYPERLINK("https://www.google.com/maps/search/?api=1&amp;query=-12.317598,-76.82434","Punta Hermosa, Lima")</f>
      </c>
      <c r="O19" t="str">
        <v>Inicio de ralentí</v>
      </c>
      <c r="P19">
        <v>240496</v>
      </c>
      <c r="Q19" t="str">
        <v/>
      </c>
      <c r="R19">
        <v>0</v>
      </c>
      <c r="S19">
        <v>0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97</v>
      </c>
      <c r="AB19" t="str">
        <v>18/09/2026</v>
      </c>
      <c r="AC19" t="str">
        <v>08:38:08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18/09/2026 08:38:24</v>
      </c>
      <c r="AK19" t="str">
        <v>08:38:24</v>
      </c>
      <c r="AL19" t="str">
        <v/>
      </c>
    </row>
    <row r="20">
      <c r="A20">
        <v>19</v>
      </c>
      <c r="B20" t="str">
        <v>MASS BSF</v>
      </c>
      <c r="C20" t="str">
        <v>F8P-915</v>
      </c>
      <c r="D20" t="str">
        <v>F8P-915</v>
      </c>
      <c r="E20" t="str">
        <v/>
      </c>
      <c r="F20" t="str">
        <v>867806075079972</v>
      </c>
      <c r="G20" t="str">
        <v>TBD</v>
      </c>
      <c r="H20" t="str">
        <v/>
      </c>
      <c r="I20" t="str">
        <v/>
      </c>
      <c r="J20" t="str">
        <v>18/09/2026</v>
      </c>
      <c r="K20" t="str">
        <v>08:38:50</v>
      </c>
      <c r="L20">
        <v>-12.317598</v>
      </c>
      <c r="M20">
        <v>-76.82434</v>
      </c>
      <c r="N20">
        <f>HYPERLINK("https://www.google.com/maps/search/?api=1&amp;query=-12.317598,-76.82434","Punta Hermosa, Lima")</f>
      </c>
      <c r="O20" t="str">
        <v>Fin de ralentí</v>
      </c>
      <c r="P20">
        <v>240496</v>
      </c>
      <c r="Q20" t="str">
        <v/>
      </c>
      <c r="R20">
        <v>0</v>
      </c>
      <c r="S20">
        <v>0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97</v>
      </c>
      <c r="AB20" t="str">
        <v>18/09/2026</v>
      </c>
      <c r="AC20" t="str">
        <v>08:38:47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18/09/2026 08:39:07</v>
      </c>
      <c r="AK20" t="str">
        <v>08:39:07</v>
      </c>
      <c r="AL20" t="str">
        <v/>
      </c>
    </row>
    <row r="21">
      <c r="A21">
        <v>20</v>
      </c>
      <c r="B21" t="str">
        <v>MASS BSF</v>
      </c>
      <c r="C21" t="str">
        <v>F8P-915</v>
      </c>
      <c r="D21" t="str">
        <v>F8P-915</v>
      </c>
      <c r="E21" t="str">
        <v/>
      </c>
      <c r="F21" t="str">
        <v>867806075079972</v>
      </c>
      <c r="G21" t="str">
        <v>TBD</v>
      </c>
      <c r="H21" t="str">
        <v/>
      </c>
      <c r="I21" t="str">
        <v/>
      </c>
      <c r="J21" t="str">
        <v>18/09/2026</v>
      </c>
      <c r="K21" t="str">
        <v>08:44:29</v>
      </c>
      <c r="L21">
        <v>-12.317558</v>
      </c>
      <c r="M21">
        <v>-76.82426</v>
      </c>
      <c r="N21">
        <f>HYPERLINK("https://www.google.com/maps/search/?api=1&amp;query=-12.317558,-76.82426","Punta Hermosa, Lima")</f>
      </c>
      <c r="O21" t="str">
        <v>Se detuvo</v>
      </c>
      <c r="P21">
        <v>240496</v>
      </c>
      <c r="Q21" t="str">
        <v/>
      </c>
      <c r="R21">
        <v>0</v>
      </c>
      <c r="S21">
        <v>0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97</v>
      </c>
      <c r="AB21" t="str">
        <v>18/09/2026</v>
      </c>
      <c r="AC21" t="str">
        <v>08:44:26</v>
      </c>
      <c r="AD21">
        <f>IF("ONLINE"="NOGPS","GPS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18/09/2026 08:44:50</v>
      </c>
      <c r="AK21" t="str">
        <v>08:44:50</v>
      </c>
      <c r="AL21" t="str">
        <v/>
      </c>
    </row>
    <row r="22">
      <c r="A22">
        <v>21</v>
      </c>
      <c r="B22" t="str">
        <v>MASS BSF</v>
      </c>
      <c r="C22" t="str">
        <v>F8P-915</v>
      </c>
      <c r="D22" t="str">
        <v>F8P-915</v>
      </c>
      <c r="E22" t="str">
        <v/>
      </c>
      <c r="F22" t="str">
        <v>867806075079972</v>
      </c>
      <c r="G22" t="str">
        <v>TBD</v>
      </c>
      <c r="H22" t="str">
        <v/>
      </c>
      <c r="I22" t="str">
        <v/>
      </c>
      <c r="J22" t="str">
        <v>18/09/2026</v>
      </c>
      <c r="K22" t="str">
        <v>09:16:11</v>
      </c>
      <c r="L22">
        <v>-12.31605</v>
      </c>
      <c r="M22">
        <v>-76.82556</v>
      </c>
      <c r="N22">
        <f>HYPERLINK("https://www.google.com/maps/search/?api=1&amp;query=-12.31605,-76.82556","Punta Hermosa, Lima")</f>
      </c>
      <c r="O22" t="str">
        <v>Inicio de ralentí</v>
      </c>
      <c r="P22">
        <v>240496</v>
      </c>
      <c r="Q22" t="str">
        <v/>
      </c>
      <c r="R22">
        <v>0</v>
      </c>
      <c r="S22">
        <v>0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97</v>
      </c>
      <c r="AB22" t="str">
        <v>18/09/2026</v>
      </c>
      <c r="AC22" t="str">
        <v>09:16:08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18/09/2026 09:16:30</v>
      </c>
      <c r="AK22" t="str">
        <v>09:16:30</v>
      </c>
      <c r="AL22" t="str">
        <v/>
      </c>
    </row>
    <row r="23">
      <c r="A23">
        <v>22</v>
      </c>
      <c r="B23" t="str">
        <v>MASS BSF</v>
      </c>
      <c r="C23" t="str">
        <v>F8P-915</v>
      </c>
      <c r="D23" t="str">
        <v>F8P-915</v>
      </c>
      <c r="E23" t="str">
        <v/>
      </c>
      <c r="F23" t="str">
        <v>867806075079972</v>
      </c>
      <c r="G23" t="str">
        <v>TBD</v>
      </c>
      <c r="H23" t="str">
        <v/>
      </c>
      <c r="I23" t="str">
        <v/>
      </c>
      <c r="J23" t="str">
        <v>18/09/2026</v>
      </c>
      <c r="K23" t="str">
        <v>09:17:30</v>
      </c>
      <c r="L23">
        <v>-12.31605</v>
      </c>
      <c r="M23">
        <v>-76.82556</v>
      </c>
      <c r="N23">
        <f>HYPERLINK("https://www.google.com/maps/search/?api=1&amp;query=-12.31605,-76.82556","Punta Hermosa, Lima")</f>
      </c>
      <c r="O23" t="str">
        <v>Fin de ralentí</v>
      </c>
      <c r="P23">
        <v>240496</v>
      </c>
      <c r="Q23" t="str">
        <v/>
      </c>
      <c r="R23">
        <v>0</v>
      </c>
      <c r="S23">
        <v>0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97</v>
      </c>
      <c r="AB23" t="str">
        <v>18/09/2026</v>
      </c>
      <c r="AC23" t="str">
        <v>09:17:27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18/09/2026 09:17:52</v>
      </c>
      <c r="AK23" t="str">
        <v>09:17:52</v>
      </c>
      <c r="AL23" t="str">
        <v/>
      </c>
    </row>
    <row r="24">
      <c r="A24">
        <v>23</v>
      </c>
      <c r="B24" t="str">
        <v>MASS BSF</v>
      </c>
      <c r="C24" t="str">
        <v>F8P-915</v>
      </c>
      <c r="D24" t="str">
        <v>F8P-915</v>
      </c>
      <c r="E24" t="str">
        <v/>
      </c>
      <c r="F24" t="str">
        <v>867806075079972</v>
      </c>
      <c r="G24" t="str">
        <v>TBD</v>
      </c>
      <c r="H24" t="str">
        <v/>
      </c>
      <c r="I24" t="str">
        <v/>
      </c>
      <c r="J24" t="str">
        <v>18/09/2026</v>
      </c>
      <c r="K24" t="str">
        <v>10:04:12</v>
      </c>
      <c r="L24">
        <v>-12.159093</v>
      </c>
      <c r="M24">
        <v>-76.988655</v>
      </c>
      <c r="N24">
        <f>HYPERLINK("https://www.google.com/maps/search/?api=1&amp;query=-12.159093,-76.988655","Avenida Los Próceres, Santiago de Surco, Lima")</f>
      </c>
      <c r="O24" t="str">
        <v>Se detuvo</v>
      </c>
      <c r="P24">
        <v>240496</v>
      </c>
      <c r="Q24" t="str">
        <v/>
      </c>
      <c r="R24">
        <v>0</v>
      </c>
      <c r="S24">
        <v>0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94</v>
      </c>
      <c r="AB24" t="str">
        <v>18/09/2026</v>
      </c>
      <c r="AC24" t="str">
        <v>10:04:09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18/09/2026 10:04:28</v>
      </c>
      <c r="AK24" t="str">
        <v>10:04:28</v>
      </c>
      <c r="AL24" t="str">
        <v/>
      </c>
    </row>
    <row r="25">
      <c r="A25">
        <v>24</v>
      </c>
      <c r="B25" t="str">
        <v>MASS BSF</v>
      </c>
      <c r="C25" t="str">
        <v>F8P-915</v>
      </c>
      <c r="D25" t="str">
        <v>F8P-915</v>
      </c>
      <c r="E25" t="str">
        <v/>
      </c>
      <c r="F25" t="str">
        <v>867806075079972</v>
      </c>
      <c r="G25" t="str">
        <v>TBD</v>
      </c>
      <c r="H25" t="str">
        <v/>
      </c>
      <c r="I25" t="str">
        <v/>
      </c>
      <c r="J25" t="str">
        <v>18/09/2026</v>
      </c>
      <c r="K25" t="str">
        <v>10:10:09</v>
      </c>
      <c r="L25">
        <v>-12.159093</v>
      </c>
      <c r="M25">
        <v>-76.988655</v>
      </c>
      <c r="N25">
        <f>HYPERLINK("https://www.google.com/maps/search/?api=1&amp;query=-12.159093,-76.988655","Avenida Los Próceres, Santiago de Surco, Lima")</f>
      </c>
      <c r="O25" t="str">
        <v>Encendido o Entró en cobertura</v>
      </c>
      <c r="P25">
        <v>240496</v>
      </c>
      <c r="Q25" t="str">
        <v/>
      </c>
      <c r="R25">
        <v>0</v>
      </c>
      <c r="S25">
        <v>0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93</v>
      </c>
      <c r="AB25" t="str">
        <v>18/09/2026</v>
      </c>
      <c r="AC25" t="str">
        <v>10:08:38</v>
      </c>
      <c r="AD25">
        <f>IF("ONLINE"="NOGPS","GPS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18/09/2026 10:10:11</v>
      </c>
      <c r="AK25" t="str">
        <v>10:10:11</v>
      </c>
      <c r="AL25" t="str">
        <v/>
      </c>
    </row>
    <row r="26">
      <c r="A26">
        <v>25</v>
      </c>
      <c r="B26" t="str">
        <v>MASS BSF</v>
      </c>
      <c r="C26" t="str">
        <v>F8P-915</v>
      </c>
      <c r="D26" t="str">
        <v>F8P-915</v>
      </c>
      <c r="E26" t="str">
        <v/>
      </c>
      <c r="F26" t="str">
        <v>867806075079972</v>
      </c>
      <c r="G26" t="str">
        <v>TBD</v>
      </c>
      <c r="H26" t="str">
        <v/>
      </c>
      <c r="I26" t="str">
        <v/>
      </c>
      <c r="J26" t="str">
        <v>18/09/2026</v>
      </c>
      <c r="K26" t="str">
        <v>10:49:26</v>
      </c>
      <c r="L26">
        <v>-12.206612</v>
      </c>
      <c r="M26">
        <v>-76.9537</v>
      </c>
      <c r="N26">
        <f>HYPERLINK("https://www.google.com/maps/search/?api=1&amp;query=-12.206612,-76.9537","Calle 5, Villa El Salvador, Lima")</f>
      </c>
      <c r="O26" t="str">
        <v>Inicio de ralentí</v>
      </c>
      <c r="P26">
        <v>240496</v>
      </c>
      <c r="Q26" t="str">
        <v/>
      </c>
      <c r="R26">
        <v>0</v>
      </c>
      <c r="S26">
        <v>0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93</v>
      </c>
      <c r="AB26" t="str">
        <v>18/09/2026</v>
      </c>
      <c r="AC26" t="str">
        <v>10:49:22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18/09/2026 10:49:38</v>
      </c>
      <c r="AK26" t="str">
        <v>10:49:38</v>
      </c>
      <c r="AL26" t="str">
        <v/>
      </c>
    </row>
    <row r="27">
      <c r="A27">
        <v>26</v>
      </c>
      <c r="B27" t="str">
        <v>MASS BSF</v>
      </c>
      <c r="C27" t="str">
        <v>F8P-915</v>
      </c>
      <c r="D27" t="str">
        <v>F8P-915</v>
      </c>
      <c r="E27" t="str">
        <v/>
      </c>
      <c r="F27" t="str">
        <v>867806075079972</v>
      </c>
      <c r="G27" t="str">
        <v>TBD</v>
      </c>
      <c r="H27" t="str">
        <v/>
      </c>
      <c r="I27" t="str">
        <v/>
      </c>
      <c r="J27" t="str">
        <v>18/09/2026</v>
      </c>
      <c r="K27" t="str">
        <v>10:53:59</v>
      </c>
      <c r="L27">
        <v>-12.206612</v>
      </c>
      <c r="M27">
        <v>-76.9537</v>
      </c>
      <c r="N27">
        <f>HYPERLINK("https://www.google.com/maps/search/?api=1&amp;query=-12.206612,-76.9537","Calle 5, Villa El Salvador, Lima")</f>
      </c>
      <c r="O27" t="str">
        <v>Se detuvo</v>
      </c>
      <c r="P27">
        <v>240496</v>
      </c>
      <c r="Q27" t="str">
        <v/>
      </c>
      <c r="R27">
        <v>0</v>
      </c>
      <c r="S27">
        <v>0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93</v>
      </c>
      <c r="AB27" t="str">
        <v>18/09/2026</v>
      </c>
      <c r="AC27" t="str">
        <v>10:53:55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18/09/2026 10:54:05</v>
      </c>
      <c r="AK27" t="str">
        <v>10:54:05</v>
      </c>
      <c r="AL27" t="str">
        <v/>
      </c>
    </row>
    <row r="28">
      <c r="A28">
        <v>27</v>
      </c>
      <c r="B28" t="str">
        <v>MASS BSF</v>
      </c>
      <c r="C28" t="str">
        <v>F8P-915</v>
      </c>
      <c r="D28" t="str">
        <v>F8P-915</v>
      </c>
      <c r="E28" t="str">
        <v/>
      </c>
      <c r="F28" t="str">
        <v>867806075079972</v>
      </c>
      <c r="G28" t="str">
        <v>TBD</v>
      </c>
      <c r="H28" t="str">
        <v/>
      </c>
      <c r="I28" t="str">
        <v/>
      </c>
      <c r="J28" t="str">
        <v>18/09/2026</v>
      </c>
      <c r="K28" t="str">
        <v>12:01:42</v>
      </c>
      <c r="L28">
        <v>-12.206457</v>
      </c>
      <c r="M28">
        <v>-76.95373</v>
      </c>
      <c r="N28">
        <f>HYPERLINK("https://www.google.com/maps/search/?api=1&amp;query=-12.206457,-76.95373","Avenida El Sol, Villa El Salvador, Lima")</f>
      </c>
      <c r="O28" t="str">
        <v>Fin de ralentí</v>
      </c>
      <c r="P28">
        <v>240496</v>
      </c>
      <c r="Q28" t="str">
        <v/>
      </c>
      <c r="R28">
        <v>9.8</v>
      </c>
      <c r="S28">
        <v>0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93</v>
      </c>
      <c r="AB28" t="str">
        <v>18/09/2026</v>
      </c>
      <c r="AC28" t="str">
        <v>12:01:39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18/09/2026 12:01:58</v>
      </c>
      <c r="AK28" t="str">
        <v>12:01:58</v>
      </c>
      <c r="AL28" t="str">
        <v/>
      </c>
    </row>
    <row r="29">
      <c r="A29">
        <v>28</v>
      </c>
      <c r="B29" t="str">
        <v>MASS BSF</v>
      </c>
      <c r="C29" t="str">
        <v>F8P-915</v>
      </c>
      <c r="D29" t="str">
        <v>F8P-915</v>
      </c>
      <c r="E29" t="str">
        <v/>
      </c>
      <c r="F29" t="str">
        <v>867806075079972</v>
      </c>
      <c r="G29" t="str">
        <v>TBD</v>
      </c>
      <c r="H29" t="str">
        <v/>
      </c>
      <c r="I29" t="str">
        <v/>
      </c>
      <c r="J29" t="str">
        <v>18/09/2026</v>
      </c>
      <c r="K29" t="str">
        <v>13:17:33</v>
      </c>
      <c r="L29">
        <v>-12.317417</v>
      </c>
      <c r="M29">
        <v>-76.822914</v>
      </c>
      <c r="N29">
        <f>HYPERLINK("https://www.google.com/maps/search/?api=1&amp;query=-12.317417,-76.822914","Punta Hermosa, Lima")</f>
      </c>
      <c r="O29" t="str">
        <v>Se detuvo</v>
      </c>
      <c r="P29">
        <v>240496</v>
      </c>
      <c r="Q29" t="str">
        <v/>
      </c>
      <c r="R29">
        <v>0</v>
      </c>
      <c r="S29">
        <v>0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93</v>
      </c>
      <c r="AB29" t="str">
        <v>18/09/2026</v>
      </c>
      <c r="AC29" t="str">
        <v>13:17:28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18/09/2026 13:17:44</v>
      </c>
      <c r="AK29" t="str">
        <v>13:17:44</v>
      </c>
      <c r="AL29" t="str">
        <v/>
      </c>
    </row>
    <row r="30">
      <c r="A30">
        <v>29</v>
      </c>
      <c r="B30" t="str">
        <v>MASS BSF</v>
      </c>
      <c r="C30" t="str">
        <v>F8P-915</v>
      </c>
      <c r="D30" t="str">
        <v>F8P-915</v>
      </c>
      <c r="E30" t="str">
        <v/>
      </c>
      <c r="F30" t="str">
        <v>867806075079972</v>
      </c>
      <c r="G30" t="str">
        <v>TBD</v>
      </c>
      <c r="H30" t="str">
        <v/>
      </c>
      <c r="I30" t="str">
        <v/>
      </c>
      <c r="J30" t="str">
        <v>18/09/2026</v>
      </c>
      <c r="K30" t="str">
        <v>13:20:51</v>
      </c>
      <c r="L30">
        <v>-12.31815</v>
      </c>
      <c r="M30">
        <v>-76.8231</v>
      </c>
      <c r="N30">
        <f>HYPERLINK("https://www.google.com/maps/search/?api=1&amp;query=-12.31815,-76.8231","Punta Hermosa, Lima")</f>
      </c>
      <c r="O30" t="str">
        <v>Encendido o Entró en cobertura</v>
      </c>
      <c r="P30">
        <v>240496</v>
      </c>
      <c r="Q30" t="str">
        <v/>
      </c>
      <c r="R30">
        <v>0</v>
      </c>
      <c r="S30">
        <v>0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100</v>
      </c>
      <c r="AB30" t="str">
        <v>18/09/2026</v>
      </c>
      <c r="AC30" t="str">
        <v>13:20:51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18/09/2026 13:20:56</v>
      </c>
      <c r="AK30" t="str">
        <v>13:20:56</v>
      </c>
      <c r="AL30" t="str">
        <v/>
      </c>
    </row>
    <row r="31">
      <c r="A31">
        <v>30</v>
      </c>
      <c r="B31" t="str">
        <v>MASS BSF</v>
      </c>
      <c r="C31" t="str">
        <v>F8P-915</v>
      </c>
      <c r="D31" t="str">
        <v>F8P-915</v>
      </c>
      <c r="E31" t="str">
        <v/>
      </c>
      <c r="F31" t="str">
        <v>867806075079972</v>
      </c>
      <c r="G31" t="str">
        <v>TBD</v>
      </c>
      <c r="H31" t="str">
        <v/>
      </c>
      <c r="I31" t="str">
        <v/>
      </c>
      <c r="J31" t="str">
        <v>18/09/2026</v>
      </c>
      <c r="K31" t="str">
        <v>13:27:23</v>
      </c>
      <c r="L31">
        <v>-12.317866</v>
      </c>
      <c r="M31">
        <v>-76.82449</v>
      </c>
      <c r="N31">
        <f>HYPERLINK("https://www.google.com/maps/search/?api=1&amp;query=-12.317866,-76.82449","Punta Hermosa, Lima")</f>
      </c>
      <c r="O31" t="str">
        <v>Se detuvo</v>
      </c>
      <c r="P31">
        <v>240496</v>
      </c>
      <c r="Q31" t="str">
        <v/>
      </c>
      <c r="R31">
        <v>0</v>
      </c>
      <c r="S31">
        <v>0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100</v>
      </c>
      <c r="AB31" t="str">
        <v>18/09/2026</v>
      </c>
      <c r="AC31" t="str">
        <v>13:27:18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18/09/2026 13:27:31</v>
      </c>
      <c r="AK31" t="str">
        <v>13:27:31</v>
      </c>
      <c r="AL31" t="str">
        <v/>
      </c>
    </row>
    <row r="32">
      <c r="A32">
        <v>31</v>
      </c>
      <c r="B32" t="str">
        <v>MASS BSF</v>
      </c>
      <c r="C32" t="str">
        <v>F8P-915</v>
      </c>
      <c r="D32" t="str">
        <v>F8P-915</v>
      </c>
      <c r="E32" t="str">
        <v/>
      </c>
      <c r="F32" t="str">
        <v>867806075079972</v>
      </c>
      <c r="G32" t="str">
        <v>TBD</v>
      </c>
      <c r="H32" t="str">
        <v/>
      </c>
      <c r="I32" t="str">
        <v/>
      </c>
      <c r="J32" t="str">
        <v>18/09/2026</v>
      </c>
      <c r="K32" t="str">
        <v>14:02:58</v>
      </c>
      <c r="L32">
        <v>-12.317899</v>
      </c>
      <c r="M32">
        <v>-76.82425</v>
      </c>
      <c r="N32">
        <f>HYPERLINK("https://www.google.com/maps/search/?api=1&amp;query=-12.317899,-76.82425","Punta Hermosa, Lima")</f>
      </c>
      <c r="O32" t="str">
        <v>Inicio de ralentí</v>
      </c>
      <c r="P32">
        <v>240496</v>
      </c>
      <c r="Q32" t="str">
        <v/>
      </c>
      <c r="R32">
        <v>0</v>
      </c>
      <c r="S32">
        <v>0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100</v>
      </c>
      <c r="AB32" t="str">
        <v>18/09/2026</v>
      </c>
      <c r="AC32" t="str">
        <v>14:02:53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18/09/2026 14:03:11</v>
      </c>
      <c r="AK32" t="str">
        <v>14:03:11</v>
      </c>
      <c r="AL32" t="str">
        <v/>
      </c>
    </row>
    <row r="33">
      <c r="A33">
        <v>32</v>
      </c>
      <c r="B33" t="str">
        <v>MASS BSF</v>
      </c>
      <c r="C33" t="str">
        <v>F8P-915</v>
      </c>
      <c r="D33" t="str">
        <v>F8P-915</v>
      </c>
      <c r="E33" t="str">
        <v/>
      </c>
      <c r="F33" t="str">
        <v>867806075079972</v>
      </c>
      <c r="G33" t="str">
        <v>TBD</v>
      </c>
      <c r="H33" t="str">
        <v/>
      </c>
      <c r="I33" t="str">
        <v/>
      </c>
      <c r="J33" t="str">
        <v>18/09/2026</v>
      </c>
      <c r="K33" t="str">
        <v>14:04:49</v>
      </c>
      <c r="L33">
        <v>-12.317948</v>
      </c>
      <c r="M33">
        <v>-76.8242</v>
      </c>
      <c r="N33">
        <f>HYPERLINK("https://www.google.com/maps/search/?api=1&amp;query=-12.317948,-76.8242","Punta Hermosa, Lima")</f>
      </c>
      <c r="O33" t="str">
        <v>Fin de ralentí</v>
      </c>
      <c r="P33">
        <v>240496</v>
      </c>
      <c r="Q33" t="str">
        <v/>
      </c>
      <c r="R33">
        <v>5.7</v>
      </c>
      <c r="S33">
        <v>0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100</v>
      </c>
      <c r="AB33" t="str">
        <v>18/09/2026</v>
      </c>
      <c r="AC33" t="str">
        <v>14:04:45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18/09/2026 14:05:07</v>
      </c>
      <c r="AK33" t="str">
        <v>14:05:07</v>
      </c>
      <c r="AL33" t="str">
        <v/>
      </c>
    </row>
    <row r="34">
      <c r="A34">
        <v>33</v>
      </c>
      <c r="B34" t="str">
        <v>MASS BSF</v>
      </c>
      <c r="C34" t="str">
        <v>F8P-915</v>
      </c>
      <c r="D34" t="str">
        <v>F8P-915</v>
      </c>
      <c r="E34" t="str">
        <v/>
      </c>
      <c r="F34" t="str">
        <v>867806075079972</v>
      </c>
      <c r="G34" t="str">
        <v>TBD</v>
      </c>
      <c r="H34" t="str">
        <v/>
      </c>
      <c r="I34" t="str">
        <v/>
      </c>
      <c r="J34" t="str">
        <v>18/09/2026</v>
      </c>
      <c r="K34" t="str">
        <v>14:12:57</v>
      </c>
      <c r="L34">
        <v>-12.317842</v>
      </c>
      <c r="M34">
        <v>-76.824066</v>
      </c>
      <c r="N34">
        <f>HYPERLINK("https://www.google.com/maps/search/?api=1&amp;query=-12.317842,-76.824066","Punta Hermosa, Lima")</f>
      </c>
      <c r="O34" t="str">
        <v>Se detuvo</v>
      </c>
      <c r="P34">
        <v>240496</v>
      </c>
      <c r="Q34" t="str">
        <v/>
      </c>
      <c r="R34">
        <v>0</v>
      </c>
      <c r="S34">
        <v>0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100</v>
      </c>
      <c r="AB34" t="str">
        <v>18/09/2026</v>
      </c>
      <c r="AC34" t="str">
        <v>14:12:52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18/09/2026 14:13:07</v>
      </c>
      <c r="AK34" t="str">
        <v>14:13:07</v>
      </c>
      <c r="AL34" t="str">
        <v/>
      </c>
    </row>
    <row r="35">
      <c r="A35">
        <v>34</v>
      </c>
      <c r="B35" t="str">
        <v>MASS BSF</v>
      </c>
      <c r="C35" t="str">
        <v>F8P-915</v>
      </c>
      <c r="D35" t="str">
        <v>F8P-915</v>
      </c>
      <c r="E35" t="str">
        <v/>
      </c>
      <c r="F35" t="str">
        <v>867806075079972</v>
      </c>
      <c r="G35" t="str">
        <v>TBD</v>
      </c>
      <c r="H35" t="str">
        <v/>
      </c>
      <c r="I35" t="str">
        <v/>
      </c>
      <c r="J35" t="str">
        <v>18/09/2026</v>
      </c>
      <c r="K35" t="str">
        <v>14:18:47</v>
      </c>
      <c r="L35">
        <v>-12.317842</v>
      </c>
      <c r="M35">
        <v>-76.824066</v>
      </c>
      <c r="N35">
        <f>HYPERLINK("https://www.google.com/maps/search/?api=1&amp;query=-12.317842,-76.824066","Punta Hermosa, Lima")</f>
      </c>
      <c r="O35" t="str">
        <v>Encendido o Entró en cobertura</v>
      </c>
      <c r="P35">
        <v>240496</v>
      </c>
      <c r="Q35" t="str">
        <v/>
      </c>
      <c r="R35">
        <v>0</v>
      </c>
      <c r="S35">
        <v>0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100</v>
      </c>
      <c r="AB35" t="str">
        <v>18/09/2026</v>
      </c>
      <c r="AC35" t="str">
        <v>14:17:41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18/09/2026 14:18:57</v>
      </c>
      <c r="AK35" t="str">
        <v>14:18:57</v>
      </c>
      <c r="AL35" t="str">
        <v/>
      </c>
    </row>
    <row r="36">
      <c r="A36">
        <v>35</v>
      </c>
      <c r="B36" t="str">
        <v>MASS BSF</v>
      </c>
      <c r="C36" t="str">
        <v>F8P-915</v>
      </c>
      <c r="D36" t="str">
        <v>F8P-915</v>
      </c>
      <c r="E36" t="str">
        <v/>
      </c>
      <c r="F36" t="str">
        <v>867806075079972</v>
      </c>
      <c r="G36" t="str">
        <v>TBD</v>
      </c>
      <c r="H36" t="str">
        <v/>
      </c>
      <c r="I36" t="str">
        <v/>
      </c>
      <c r="J36" t="str">
        <v>18/09/2026</v>
      </c>
      <c r="K36" t="str">
        <v>14:58:15</v>
      </c>
      <c r="L36">
        <v>-12.317801</v>
      </c>
      <c r="M36">
        <v>-76.82411</v>
      </c>
      <c r="N36">
        <f>HYPERLINK("https://www.google.com/maps/search/?api=1&amp;query=-12.317801,-76.82411","Punta Hermosa, Lima")</f>
      </c>
      <c r="O36" t="str">
        <v>Inicio de ralentí</v>
      </c>
      <c r="P36">
        <v>240496</v>
      </c>
      <c r="Q36" t="str">
        <v/>
      </c>
      <c r="R36">
        <v>0</v>
      </c>
      <c r="S36">
        <v>0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90</v>
      </c>
      <c r="AB36" t="str">
        <v>18/09/2026</v>
      </c>
      <c r="AC36" t="str">
        <v>14:58:10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18/09/2026 14:58:24</v>
      </c>
      <c r="AK36" t="str">
        <v>14:58:24</v>
      </c>
      <c r="AL36" t="str">
        <v/>
      </c>
    </row>
    <row r="37">
      <c r="A37">
        <v>36</v>
      </c>
      <c r="B37" t="str">
        <v>MASS BSF</v>
      </c>
      <c r="C37" t="str">
        <v>F8P-915</v>
      </c>
      <c r="D37" t="str">
        <v>F8P-915</v>
      </c>
      <c r="E37" t="str">
        <v/>
      </c>
      <c r="F37" t="str">
        <v>867806075079972</v>
      </c>
      <c r="G37" t="str">
        <v>TBD</v>
      </c>
      <c r="H37" t="str">
        <v/>
      </c>
      <c r="I37" t="str">
        <v/>
      </c>
      <c r="J37" t="str">
        <v>18/09/2026</v>
      </c>
      <c r="K37" t="str">
        <v>14:59:59</v>
      </c>
      <c r="L37">
        <v>-12.31782</v>
      </c>
      <c r="M37">
        <v>-76.82418</v>
      </c>
      <c r="N37">
        <f>HYPERLINK("https://www.google.com/maps/search/?api=1&amp;query=-12.31782,-76.82418","Punta Hermosa, Lima")</f>
      </c>
      <c r="O37" t="str">
        <v>Fin de ralentí</v>
      </c>
      <c r="P37">
        <v>240496</v>
      </c>
      <c r="Q37" t="str">
        <v/>
      </c>
      <c r="R37">
        <v>9.8</v>
      </c>
      <c r="S37">
        <v>0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90</v>
      </c>
      <c r="AB37" t="str">
        <v>18/09/2026</v>
      </c>
      <c r="AC37" t="str">
        <v>14:59:55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18/09/2026 15:00:20</v>
      </c>
      <c r="AK37" t="str">
        <v>15:00:20</v>
      </c>
      <c r="AL37" t="str">
        <v/>
      </c>
    </row>
    <row r="38">
      <c r="A38">
        <v>37</v>
      </c>
      <c r="B38" t="str">
        <v>MASS BSF</v>
      </c>
      <c r="C38" t="str">
        <v>F8P-915</v>
      </c>
      <c r="D38" t="str">
        <v>F8P-915</v>
      </c>
      <c r="E38" t="str">
        <v/>
      </c>
      <c r="F38" t="str">
        <v>867806075079972</v>
      </c>
      <c r="G38" t="str">
        <v>TBD</v>
      </c>
      <c r="H38" t="str">
        <v/>
      </c>
      <c r="I38" t="str">
        <v/>
      </c>
      <c r="J38" t="str">
        <v>18/09/2026</v>
      </c>
      <c r="K38" t="str">
        <v>15:41:46</v>
      </c>
      <c r="L38">
        <v>-12.213005</v>
      </c>
      <c r="M38">
        <v>-76.959045</v>
      </c>
      <c r="N38">
        <f>HYPERLINK("https://www.google.com/maps/search/?api=1&amp;query=-12.213005,-76.959045","Avenida Villa del Mar, Villa El Salvador, Lima")</f>
      </c>
      <c r="O38" t="str">
        <v>Inicio de ralentí</v>
      </c>
      <c r="P38">
        <v>240496</v>
      </c>
      <c r="Q38" t="str">
        <v/>
      </c>
      <c r="R38">
        <v>0</v>
      </c>
      <c r="S38">
        <v>0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90</v>
      </c>
      <c r="AB38" t="str">
        <v>18/09/2026</v>
      </c>
      <c r="AC38" t="str">
        <v>15:41:45</v>
      </c>
      <c r="AD38">
        <f>IF("ONLINE"="NOGPS","GPS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18/09/2026 15:42:00</v>
      </c>
      <c r="AK38" t="str">
        <v>15:42:00</v>
      </c>
      <c r="AL38" t="str">
        <v/>
      </c>
    </row>
    <row r="39">
      <c r="A39">
        <v>38</v>
      </c>
      <c r="B39" t="str">
        <v>MASS BSF</v>
      </c>
      <c r="C39" t="str">
        <v>F8P-915</v>
      </c>
      <c r="D39" t="str">
        <v>F8P-915</v>
      </c>
      <c r="E39" t="str">
        <v/>
      </c>
      <c r="F39" t="str">
        <v>867806075079972</v>
      </c>
      <c r="G39" t="str">
        <v>TBD</v>
      </c>
      <c r="H39" t="str">
        <v/>
      </c>
      <c r="I39" t="str">
        <v/>
      </c>
      <c r="J39" t="str">
        <v>18/09/2026</v>
      </c>
      <c r="K39" t="str">
        <v>15:42:26</v>
      </c>
      <c r="L39">
        <v>-12.212985</v>
      </c>
      <c r="M39">
        <v>-76.95896</v>
      </c>
      <c r="N39">
        <f>HYPERLINK("https://www.google.com/maps/search/?api=1&amp;query=-12.212985,-76.95896","Avenida Villa del Mar, Villa El Salvador, Lima")</f>
      </c>
      <c r="O39" t="str">
        <v>Fin de ralentí</v>
      </c>
      <c r="P39">
        <v>240496</v>
      </c>
      <c r="Q39" t="str">
        <v/>
      </c>
      <c r="R39">
        <v>6.4</v>
      </c>
      <c r="S39">
        <v>0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90</v>
      </c>
      <c r="AB39" t="str">
        <v>18/09/2026</v>
      </c>
      <c r="AC39" t="str">
        <v>15:42:26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18/09/2026 15:42:37</v>
      </c>
      <c r="AK39" t="str">
        <v>15:42:37</v>
      </c>
      <c r="AL39" t="str">
        <v/>
      </c>
    </row>
    <row r="40">
      <c r="A40">
        <v>39</v>
      </c>
      <c r="B40" t="str">
        <v>MASS BSF</v>
      </c>
      <c r="C40" t="str">
        <v>F8P-915</v>
      </c>
      <c r="D40" t="str">
        <v>F8P-915</v>
      </c>
      <c r="E40" t="str">
        <v/>
      </c>
      <c r="F40" t="str">
        <v>867806075079972</v>
      </c>
      <c r="G40" t="str">
        <v>TBD</v>
      </c>
      <c r="H40" t="str">
        <v/>
      </c>
      <c r="I40" t="str">
        <v/>
      </c>
      <c r="J40" t="str">
        <v>18/09/2026</v>
      </c>
      <c r="K40" t="str">
        <v>15:50:03</v>
      </c>
      <c r="L40">
        <v>-12.21309</v>
      </c>
      <c r="M40">
        <v>-76.958954</v>
      </c>
      <c r="N40">
        <f>HYPERLINK("https://www.google.com/maps/search/?api=1&amp;query=-12.21309,-76.958954","Villa El Salvador, Lima")</f>
      </c>
      <c r="O40" t="str">
        <v>Se detuvo</v>
      </c>
      <c r="P40">
        <v>240496</v>
      </c>
      <c r="Q40" t="str">
        <v/>
      </c>
      <c r="R40">
        <v>0</v>
      </c>
      <c r="S40">
        <v>0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90</v>
      </c>
      <c r="AB40" t="str">
        <v>18/09/2026</v>
      </c>
      <c r="AC40" t="str">
        <v>15:50:02</v>
      </c>
      <c r="AD40">
        <f>IF("ONLINE"="NOGPS","GPS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18/09/2026 15:50:16</v>
      </c>
      <c r="AK40" t="str">
        <v>15:50:16</v>
      </c>
      <c r="AL40" t="str">
        <v/>
      </c>
    </row>
    <row r="41">
      <c r="A41">
        <v>40</v>
      </c>
      <c r="B41" t="str">
        <v>MASS BSF</v>
      </c>
      <c r="C41" t="str">
        <v>F8P-915</v>
      </c>
      <c r="D41" t="str">
        <v>F8P-915</v>
      </c>
      <c r="E41" t="str">
        <v/>
      </c>
      <c r="F41" t="str">
        <v>867806075079972</v>
      </c>
      <c r="G41" t="str">
        <v>TBD</v>
      </c>
      <c r="H41" t="str">
        <v/>
      </c>
      <c r="I41" t="str">
        <v/>
      </c>
      <c r="J41" t="str">
        <v>18/09/2026</v>
      </c>
      <c r="K41" t="str">
        <v>16:03:21</v>
      </c>
      <c r="L41">
        <v>-12.21309</v>
      </c>
      <c r="M41">
        <v>-76.958954</v>
      </c>
      <c r="N41">
        <f>HYPERLINK("https://www.google.com/maps/search/?api=1&amp;query=-12.21309,-76.958954","Villa El Salvador, Lima")</f>
      </c>
      <c r="O41" t="str">
        <v>Encendido o Entró en cobertura</v>
      </c>
      <c r="P41">
        <v>240496</v>
      </c>
      <c r="Q41" t="str">
        <v/>
      </c>
      <c r="R41">
        <v>0</v>
      </c>
      <c r="S41">
        <v>0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90</v>
      </c>
      <c r="AB41" t="str">
        <v>18/09/2026</v>
      </c>
      <c r="AC41" t="str">
        <v>16:01:40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18/09/2026 16:03:26</v>
      </c>
      <c r="AK41" t="str">
        <v>16:03:26</v>
      </c>
      <c r="AL41" t="str">
        <v/>
      </c>
    </row>
  </sheetData>
  <ignoredErrors>
    <ignoredError numberStoredAsText="1" sqref="A1:AL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