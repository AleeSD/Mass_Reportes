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/>
      </c>
      <c r="J2" t="str">
        <v>18/09/2026</v>
      </c>
      <c r="K2" t="str">
        <v>05:42:25</v>
      </c>
      <c r="L2">
        <v>-12.213061</v>
      </c>
      <c r="M2">
        <v>-76.958885</v>
      </c>
      <c r="N2">
        <f>HYPERLINK("https://www.google.com/maps/search/?api=1&amp;query=-12.213061,-76.958885","Villa El Salvador, Lima")</f>
      </c>
      <c r="O2" t="str">
        <v>Vehículo encendido</v>
      </c>
      <c r="P2">
        <v>134126.1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18/09/2026</v>
      </c>
      <c r="AC2" t="str">
        <v>05:42:22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05:42:38</v>
      </c>
      <c r="AK2" t="str">
        <v>05:42:38</v>
      </c>
      <c r="AL2" t="str">
        <v/>
      </c>
    </row>
    <row r="3">
      <c r="A3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/>
      </c>
      <c r="J3" t="str">
        <v>18/09/2026</v>
      </c>
      <c r="K3" t="str">
        <v>05:45:45</v>
      </c>
      <c r="L3">
        <v>-12.213061</v>
      </c>
      <c r="M3">
        <v>-76.958885</v>
      </c>
      <c r="N3">
        <f>HYPERLINK("https://www.google.com/maps/search/?api=1&amp;query=-12.213061,-76.958885","Villa El Salvador, Lima")</f>
      </c>
      <c r="O3" t="str">
        <v>Inicio de ralentí</v>
      </c>
      <c r="P3">
        <v>134126.1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96</v>
      </c>
      <c r="AB3" t="str">
        <v>18/09/2026</v>
      </c>
      <c r="AC3" t="str">
        <v>05:45:41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05:51:37</v>
      </c>
      <c r="AK3" t="str">
        <v>05:51:37</v>
      </c>
      <c r="AL3" t="str">
        <v/>
      </c>
    </row>
    <row r="4">
      <c r="A4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/>
      </c>
      <c r="J4" t="str">
        <v>18/09/2026</v>
      </c>
      <c r="K4" t="str">
        <v>05:50:18</v>
      </c>
      <c r="L4">
        <v>-12.212895</v>
      </c>
      <c r="M4">
        <v>-76.959335</v>
      </c>
      <c r="N4">
        <f>HYPERLINK("https://www.google.com/maps/search/?api=1&amp;query=-12.212895,-76.959335","Avenida Villa del Mar, Villa El Salvador, Lima")</f>
      </c>
      <c r="O4" t="str">
        <v>Fin de ralentí</v>
      </c>
      <c r="P4">
        <v>134126.2</v>
      </c>
      <c r="Q4" t="str">
        <v/>
      </c>
      <c r="R4">
        <v>6.1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96</v>
      </c>
      <c r="AB4" t="str">
        <v>18/09/2026</v>
      </c>
      <c r="AC4" t="str">
        <v>05:50:15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05:51:55</v>
      </c>
      <c r="AK4" t="str">
        <v>05:51:55</v>
      </c>
      <c r="AL4" t="str">
        <v/>
      </c>
    </row>
    <row r="5">
      <c r="A5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/>
      </c>
      <c r="J5" t="str">
        <v>18/09/2026</v>
      </c>
      <c r="K5" t="str">
        <v>05:59:54</v>
      </c>
      <c r="L5">
        <v>-12.20052</v>
      </c>
      <c r="M5">
        <v>-76.95598</v>
      </c>
      <c r="N5">
        <f>HYPERLINK("https://www.google.com/maps/search/?api=1&amp;query=-12.20052,-76.95598","Avenida Mariano Pastor Sevilla, Villa El Salvador, Lima")</f>
      </c>
      <c r="O5" t="str">
        <v>Bache</v>
      </c>
      <c r="P5">
        <v>134128.5</v>
      </c>
      <c r="Q5" t="str">
        <v/>
      </c>
      <c r="R5">
        <v>36.4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18/09/2026</v>
      </c>
      <c r="AC5" t="str">
        <v>05:59:51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06:00:07</v>
      </c>
      <c r="AK5" t="str">
        <v>06:00:07</v>
      </c>
      <c r="AL5" t="str">
        <v/>
      </c>
    </row>
    <row r="6">
      <c r="A6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/>
      </c>
      <c r="J6" t="str">
        <v>18/09/2026</v>
      </c>
      <c r="K6" t="str">
        <v>06:17:20</v>
      </c>
      <c r="L6">
        <v>-12.165717</v>
      </c>
      <c r="M6">
        <v>-76.9746</v>
      </c>
      <c r="N6">
        <f>HYPERLINK("https://www.google.com/maps/search/?api=1&amp;query=-12.165717,-76.9746","Avenida Ramón Vargas Machuca, San Juan de Miraflores, Lima")</f>
      </c>
      <c r="O6" t="str">
        <v>Bache</v>
      </c>
      <c r="P6">
        <v>134133.3</v>
      </c>
      <c r="Q6" t="str">
        <v/>
      </c>
      <c r="R6">
        <v>7.9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18/09/2026</v>
      </c>
      <c r="AC6" t="str">
        <v>06:17:16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06:17:40</v>
      </c>
      <c r="AK6" t="str">
        <v>06:17:40</v>
      </c>
      <c r="AL6" t="str">
        <v/>
      </c>
    </row>
    <row r="7">
      <c r="A7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/>
      </c>
      <c r="J7" t="str">
        <v>18/09/2026</v>
      </c>
      <c r="K7" t="str">
        <v>06:20:29</v>
      </c>
      <c r="L7">
        <v>-12.166512</v>
      </c>
      <c r="M7">
        <v>-76.97447</v>
      </c>
      <c r="N7">
        <f>HYPERLINK("https://www.google.com/maps/search/?api=1&amp;query=-12.166512,-76.97447","Jirón Jesús Morales, San Juan de Miraflores, Lima")</f>
      </c>
      <c r="O7" t="str">
        <v>Vehículo apagado</v>
      </c>
      <c r="P7">
        <v>134133.5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18/09/2026</v>
      </c>
      <c r="AC7" t="str">
        <v>06:20:26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06:20:46</v>
      </c>
      <c r="AK7" t="str">
        <v>06:20:46</v>
      </c>
      <c r="AL7" t="str">
        <v/>
      </c>
    </row>
    <row r="8">
      <c r="A8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/>
      </c>
      <c r="J8" t="str">
        <v>18/09/2026</v>
      </c>
      <c r="K8" t="str">
        <v>06:23:45</v>
      </c>
      <c r="L8">
        <v>-12.166512</v>
      </c>
      <c r="M8">
        <v>-76.97447</v>
      </c>
      <c r="N8">
        <f>HYPERLINK("https://www.google.com/maps/search/?api=1&amp;query=-12.166512,-76.97447","Jirón Jesús Morales, San Juan de Miraflores, Lima")</f>
      </c>
      <c r="O8" t="str">
        <v>Inicio de ralentí</v>
      </c>
      <c r="P8">
        <v>134133.5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18/09/2026</v>
      </c>
      <c r="AC8" t="str">
        <v>06:23:41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06:24:07</v>
      </c>
      <c r="AK8" t="str">
        <v>06:24:07</v>
      </c>
      <c r="AL8" t="str">
        <v/>
      </c>
    </row>
    <row r="9">
      <c r="A9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/>
      </c>
      <c r="J9" t="str">
        <v>18/09/2026</v>
      </c>
      <c r="K9" t="str">
        <v>06:26:19</v>
      </c>
      <c r="L9">
        <v>-12.166512</v>
      </c>
      <c r="M9">
        <v>-76.97447</v>
      </c>
      <c r="N9">
        <f>HYPERLINK("https://www.google.com/maps/search/?api=1&amp;query=-12.166512,-76.97447","Jirón Jesús Morales, San Juan de Miraflores, Lima")</f>
      </c>
      <c r="O9" t="str">
        <v>Se detuvo</v>
      </c>
      <c r="P9">
        <v>134133.5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18/09/2026</v>
      </c>
      <c r="AC9" t="str">
        <v>06:26:15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06:26:34</v>
      </c>
      <c r="AK9" t="str">
        <v>06:26:34</v>
      </c>
      <c r="AL9" t="str">
        <v/>
      </c>
    </row>
    <row r="10">
      <c r="A10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/>
      </c>
      <c r="J10" t="str">
        <v>18/09/2026</v>
      </c>
      <c r="K10" t="str">
        <v>06:30:17</v>
      </c>
      <c r="L10">
        <v>-12.166512</v>
      </c>
      <c r="M10">
        <v>-76.97447</v>
      </c>
      <c r="N10">
        <f>HYPERLINK("https://www.google.com/maps/search/?api=1&amp;query=-12.166512,-76.97447","Jirón Jesús Morales, San Juan de Miraflores, Lima")</f>
      </c>
      <c r="O10" t="str">
        <v>Vehículo encendido</v>
      </c>
      <c r="P10">
        <v>134133.5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18/09/2026</v>
      </c>
      <c r="AC10" t="str">
        <v>06:30:13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06:30:24</v>
      </c>
      <c r="AK10" t="str">
        <v>06:30:24</v>
      </c>
      <c r="AL10" t="str">
        <v/>
      </c>
    </row>
    <row r="11">
      <c r="A11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/>
      </c>
      <c r="J11" t="str">
        <v>18/09/2026</v>
      </c>
      <c r="K11" t="str">
        <v>06:30:20</v>
      </c>
      <c r="L11">
        <v>-12.166512</v>
      </c>
      <c r="M11">
        <v>-76.97447</v>
      </c>
      <c r="N11">
        <f>HYPERLINK("https://www.google.com/maps/search/?api=1&amp;query=-12.166512,-76.97447","Jirón Jesús Morales, San Juan de Miraflores, Lima")</f>
      </c>
      <c r="O11" t="str">
        <v>Fin de ralentí</v>
      </c>
      <c r="P11">
        <v>134133.5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18/09/2026</v>
      </c>
      <c r="AC11" t="str">
        <v>06:30:16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06:30:26</v>
      </c>
      <c r="AK11" t="str">
        <v>06:30:26</v>
      </c>
      <c r="AL11" t="str">
        <v/>
      </c>
    </row>
    <row r="12">
      <c r="A12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/>
      </c>
      <c r="J12" t="str">
        <v>18/09/2026</v>
      </c>
      <c r="K12" t="str">
        <v>06:30:40</v>
      </c>
      <c r="L12">
        <v>-12.166512</v>
      </c>
      <c r="M12">
        <v>-76.97447</v>
      </c>
      <c r="N12">
        <f>HYPERLINK("https://www.google.com/maps/search/?api=1&amp;query=-12.166512,-76.97447","Jirón Jesús Morales, San Juan de Miraflores, Lima")</f>
      </c>
      <c r="O12" t="str">
        <v>Vehículo apagado</v>
      </c>
      <c r="P12">
        <v>134133.5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18/09/2026</v>
      </c>
      <c r="AC12" t="str">
        <v>06:30:36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06:30:48</v>
      </c>
      <c r="AK12" t="str">
        <v>06:30:48</v>
      </c>
      <c r="AL12" t="str">
        <v/>
      </c>
    </row>
    <row r="13">
      <c r="A13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/>
      </c>
      <c r="J13" t="str">
        <v>18/09/2026</v>
      </c>
      <c r="K13" t="str">
        <v>07:23:24</v>
      </c>
      <c r="L13">
        <v>-12.166512</v>
      </c>
      <c r="M13">
        <v>-76.97447</v>
      </c>
      <c r="N13">
        <f>HYPERLINK("https://www.google.com/maps/search/?api=1&amp;query=-12.166512,-76.97447","Jirón Jesús Morales, San Juan de Miraflores, Lima")</f>
      </c>
      <c r="O13" t="str">
        <v>Vehículo encendido</v>
      </c>
      <c r="P13">
        <v>134133.5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96</v>
      </c>
      <c r="AB13" t="str">
        <v>18/09/2026</v>
      </c>
      <c r="AC13" t="str">
        <v>07:23:20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07:23:50</v>
      </c>
      <c r="AK13" t="str">
        <v>07:23:50</v>
      </c>
      <c r="AL13" t="str">
        <v/>
      </c>
    </row>
    <row r="14">
      <c r="A14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/>
      </c>
      <c r="J14" t="str">
        <v>18/09/2026</v>
      </c>
      <c r="K14" t="str">
        <v>07:31:34</v>
      </c>
      <c r="L14">
        <v>-12.166998</v>
      </c>
      <c r="M14">
        <v>-76.96862</v>
      </c>
      <c r="N14">
        <f>HYPERLINK("https://www.google.com/maps/search/?api=1&amp;query=-12.166998,-76.96862","Jirón Pedro Silva, San Juan de Miraflores, Lima")</f>
      </c>
      <c r="O14" t="str">
        <v>Bache</v>
      </c>
      <c r="P14">
        <v>134134.5</v>
      </c>
      <c r="Q14" t="str">
        <v/>
      </c>
      <c r="R14">
        <v>7.5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97</v>
      </c>
      <c r="AB14" t="str">
        <v>18/09/2026</v>
      </c>
      <c r="AC14" t="str">
        <v>07:31:29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07:31:32</v>
      </c>
      <c r="AK14" t="str">
        <v>07:31:32</v>
      </c>
      <c r="AL14" t="str">
        <v/>
      </c>
    </row>
    <row r="15">
      <c r="A15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/>
      </c>
      <c r="J15" t="str">
        <v>18/09/2026</v>
      </c>
      <c r="K15" t="str">
        <v>07:32:58</v>
      </c>
      <c r="L15">
        <v>-12.1672</v>
      </c>
      <c r="M15">
        <v>-76.96477</v>
      </c>
      <c r="N15">
        <f>HYPERLINK("https://www.google.com/maps/search/?api=1&amp;query=-12.1672,-76.96477","Jirón Pedro Silva, San Juan de Miraflores, Lima")</f>
      </c>
      <c r="O15" t="str">
        <v>Bache</v>
      </c>
      <c r="P15">
        <v>134134.9</v>
      </c>
      <c r="Q15" t="str">
        <v/>
      </c>
      <c r="R15">
        <v>4.8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97</v>
      </c>
      <c r="AB15" t="str">
        <v>18/09/2026</v>
      </c>
      <c r="AC15" t="str">
        <v>07:32:54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07:33:15</v>
      </c>
      <c r="AK15" t="str">
        <v>07:33:15</v>
      </c>
      <c r="AL15" t="str">
        <v/>
      </c>
    </row>
    <row r="16">
      <c r="A16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/>
      </c>
      <c r="J16" t="str">
        <v>18/09/2026</v>
      </c>
      <c r="K16" t="str">
        <v>07:33:34</v>
      </c>
      <c r="L16">
        <v>-12.167658</v>
      </c>
      <c r="M16">
        <v>-76.96356</v>
      </c>
      <c r="N16">
        <f>HYPERLINK("https://www.google.com/maps/search/?api=1&amp;query=-12.167658,-76.96356","Jirón Pedro Silva, San Juan de Miraflores, Lima")</f>
      </c>
      <c r="O16" t="str">
        <v>Bache</v>
      </c>
      <c r="P16">
        <v>134135</v>
      </c>
      <c r="Q16" t="str">
        <v/>
      </c>
      <c r="R16">
        <v>5.7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97</v>
      </c>
      <c r="AB16" t="str">
        <v>18/09/2026</v>
      </c>
      <c r="AC16" t="str">
        <v>07:33:29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07:33:53</v>
      </c>
      <c r="AK16" t="str">
        <v>07:33:53</v>
      </c>
      <c r="AL16" t="str">
        <v/>
      </c>
    </row>
    <row r="17">
      <c r="A17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/>
      </c>
      <c r="J17" t="str">
        <v>18/09/2026</v>
      </c>
      <c r="K17" t="str">
        <v>07:34:20</v>
      </c>
      <c r="L17">
        <v>-12.168125</v>
      </c>
      <c r="M17">
        <v>-76.9623</v>
      </c>
      <c r="N17">
        <f>HYPERLINK("https://www.google.com/maps/search/?api=1&amp;query=-12.168125,-76.9623","Jirón Pedro Silva, San Juan de Miraflores, Lima")</f>
      </c>
      <c r="O17" t="str">
        <v>Bache</v>
      </c>
      <c r="P17">
        <v>134135.2</v>
      </c>
      <c r="Q17" t="str">
        <v/>
      </c>
      <c r="R17">
        <v>6.2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97</v>
      </c>
      <c r="AB17" t="str">
        <v>18/09/2026</v>
      </c>
      <c r="AC17" t="str">
        <v>07:34:16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07:34:32</v>
      </c>
      <c r="AK17" t="str">
        <v>07:34:32</v>
      </c>
      <c r="AL17" t="str">
        <v/>
      </c>
    </row>
    <row r="18">
      <c r="A18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/>
      </c>
      <c r="J18" t="str">
        <v>18/09/2026</v>
      </c>
      <c r="K18" t="str">
        <v>07:35:30</v>
      </c>
      <c r="L18">
        <v>-12.16989</v>
      </c>
      <c r="M18">
        <v>-76.96167</v>
      </c>
      <c r="N18">
        <f>HYPERLINK("https://www.google.com/maps/search/?api=1&amp;query=-12.16989,-76.96167","Avenida Miguel Iglesias, San Juan de Miraflores, Lima")</f>
      </c>
      <c r="O18" t="str">
        <v>Aceleración brusca</v>
      </c>
      <c r="P18">
        <v>134135.4</v>
      </c>
      <c r="Q18" t="str">
        <v/>
      </c>
      <c r="R18">
        <v>9.8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99</v>
      </c>
      <c r="AB18" t="str">
        <v>18/09/2026</v>
      </c>
      <c r="AC18" t="str">
        <v>07:35:26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07:35:45</v>
      </c>
      <c r="AK18" t="str">
        <v>07:35:45</v>
      </c>
      <c r="AL18" t="str">
        <v/>
      </c>
    </row>
    <row r="19">
      <c r="A19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/>
      </c>
      <c r="J19" t="str">
        <v>18/09/2026</v>
      </c>
      <c r="K19" t="str">
        <v>07:37:30</v>
      </c>
      <c r="L19">
        <v>-12.170073</v>
      </c>
      <c r="M19">
        <v>-76.96187</v>
      </c>
      <c r="N19">
        <f>HYPERLINK("https://www.google.com/maps/search/?api=1&amp;query=-12.170073,-76.96187","Avenida Victor Castro Iglesias, San Juan de Miraflores, Lima")</f>
      </c>
      <c r="O19" t="str">
        <v>Vehículo apagado</v>
      </c>
      <c r="P19">
        <v>134135.5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98</v>
      </c>
      <c r="AB19" t="str">
        <v>18/09/2026</v>
      </c>
      <c r="AC19" t="str">
        <v>07:37:25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07:37:42</v>
      </c>
      <c r="AK19" t="str">
        <v>07:37:42</v>
      </c>
      <c r="AL19" t="str">
        <v/>
      </c>
    </row>
    <row r="20">
      <c r="A20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/>
      </c>
      <c r="J20" t="str">
        <v>18/09/2026</v>
      </c>
      <c r="K20" t="str">
        <v>07:44:25</v>
      </c>
      <c r="L20">
        <v>-12.170073</v>
      </c>
      <c r="M20">
        <v>-76.96187</v>
      </c>
      <c r="N20">
        <f>HYPERLINK("https://www.google.com/maps/search/?api=1&amp;query=-12.170073,-76.96187","Avenida Victor Castro Iglesias, San Juan de Miraflores, Lima")</f>
      </c>
      <c r="O20" t="str">
        <v>Se detuvo</v>
      </c>
      <c r="P20">
        <v>134135.5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98</v>
      </c>
      <c r="AB20" t="str">
        <v>18/09/2026</v>
      </c>
      <c r="AC20" t="str">
        <v>07:44:20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07:44:31</v>
      </c>
      <c r="AK20" t="str">
        <v>07:44:31</v>
      </c>
      <c r="AL20" t="str">
        <v/>
      </c>
    </row>
    <row r="21">
      <c r="A21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/>
      </c>
      <c r="J21" t="str">
        <v>18/09/2026</v>
      </c>
      <c r="K21" t="str">
        <v>07:50:43</v>
      </c>
      <c r="L21">
        <v>-12.170073</v>
      </c>
      <c r="M21">
        <v>-76.96187</v>
      </c>
      <c r="N21">
        <f>HYPERLINK("https://www.google.com/maps/search/?api=1&amp;query=-12.170073,-76.96187","Avenida Victor Castro Iglesias, San Juan de Miraflores, Lima")</f>
      </c>
      <c r="O21" t="str">
        <v>Vehículo encendido</v>
      </c>
      <c r="P21">
        <v>134135.5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98</v>
      </c>
      <c r="AB21" t="str">
        <v>18/09/2026</v>
      </c>
      <c r="AC21" t="str">
        <v>07:50:39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07:50:51</v>
      </c>
      <c r="AK21" t="str">
        <v>07:50:51</v>
      </c>
      <c r="AL21" t="str">
        <v/>
      </c>
    </row>
    <row r="22">
      <c r="A22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/>
      </c>
      <c r="J22" t="str">
        <v>18/09/2026</v>
      </c>
      <c r="K22" t="str">
        <v>07:57:10</v>
      </c>
      <c r="L22">
        <v>-12.167539</v>
      </c>
      <c r="M22">
        <v>-76.97234</v>
      </c>
      <c r="N22">
        <f>HYPERLINK("https://www.google.com/maps/search/?api=1&amp;query=-12.167539,-76.97234","Avenida San Juan, San Juan de Miraflores, Lima")</f>
      </c>
      <c r="O22" t="str">
        <v>Bache</v>
      </c>
      <c r="P22">
        <v>134136.9</v>
      </c>
      <c r="Q22" t="str">
        <v/>
      </c>
      <c r="R22">
        <v>5.3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98</v>
      </c>
      <c r="AB22" t="str">
        <v>18/09/2026</v>
      </c>
      <c r="AC22" t="str">
        <v>07:57:06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07:57:19</v>
      </c>
      <c r="AK22" t="str">
        <v>07:57:19</v>
      </c>
      <c r="AL22" t="str">
        <v/>
      </c>
    </row>
    <row r="23">
      <c r="A23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/>
      </c>
      <c r="J23" t="str">
        <v>18/09/2026</v>
      </c>
      <c r="K23" t="str">
        <v>07:57:21</v>
      </c>
      <c r="L23">
        <v>-12.167253</v>
      </c>
      <c r="M23">
        <v>-76.97241</v>
      </c>
      <c r="N23">
        <f>HYPERLINK("https://www.google.com/maps/search/?api=1&amp;query=-12.167253,-76.97241","Avenida San Juan, San Juan de Miraflores, Lima")</f>
      </c>
      <c r="O23" t="str">
        <v>Bache</v>
      </c>
      <c r="P23">
        <v>134136.9</v>
      </c>
      <c r="Q23" t="str">
        <v/>
      </c>
      <c r="R23">
        <v>5.5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98</v>
      </c>
      <c r="AB23" t="str">
        <v>18/09/2026</v>
      </c>
      <c r="AC23" t="str">
        <v>07:57:17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07:57:31</v>
      </c>
      <c r="AK23" t="str">
        <v>07:57:31</v>
      </c>
      <c r="AL23" t="str">
        <v/>
      </c>
    </row>
    <row r="24">
      <c r="A24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/>
      </c>
      <c r="J24" t="str">
        <v>18/09/2026</v>
      </c>
      <c r="K24" t="str">
        <v>08:01:49</v>
      </c>
      <c r="L24">
        <v>-12.170243</v>
      </c>
      <c r="M24">
        <v>-76.98022</v>
      </c>
      <c r="N24">
        <f>HYPERLINK("https://www.google.com/maps/search/?api=1&amp;query=-12.170243,-76.98022","Avenida Alipio Ponce, San Juan de Miraflores, Lima")</f>
      </c>
      <c r="O24" t="str">
        <v>Bache</v>
      </c>
      <c r="P24">
        <v>134138.2</v>
      </c>
      <c r="Q24" t="str">
        <v/>
      </c>
      <c r="R24">
        <v>22.5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99</v>
      </c>
      <c r="AB24" t="str">
        <v>18/09/2026</v>
      </c>
      <c r="AC24" t="str">
        <v>08:01:45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08:02:01</v>
      </c>
      <c r="AK24" t="str">
        <v>08:02:01</v>
      </c>
      <c r="AL24" t="str">
        <v/>
      </c>
    </row>
    <row r="25">
      <c r="A25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/>
      </c>
      <c r="J25" t="str">
        <v>18/09/2026</v>
      </c>
      <c r="K25" t="str">
        <v>08:03:40</v>
      </c>
      <c r="L25">
        <v>-12.172053</v>
      </c>
      <c r="M25">
        <v>-76.97916</v>
      </c>
      <c r="N25">
        <f>HYPERLINK("https://www.google.com/maps/search/?api=1&amp;query=-12.172053,-76.97916","Avenida El Triunfo, San Juan de Miraflores, Lima")</f>
      </c>
      <c r="O25" t="str">
        <v>Bache</v>
      </c>
      <c r="P25">
        <v>134138.9</v>
      </c>
      <c r="Q25" t="str">
        <v/>
      </c>
      <c r="R25">
        <v>15.1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97</v>
      </c>
      <c r="AB25" t="str">
        <v>18/09/2026</v>
      </c>
      <c r="AC25" t="str">
        <v>08:03:35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08:03:49</v>
      </c>
      <c r="AK25" t="str">
        <v>08:03:49</v>
      </c>
      <c r="AL25" t="str">
        <v/>
      </c>
    </row>
    <row r="26">
      <c r="A26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/>
      </c>
      <c r="J26" t="str">
        <v>18/09/2026</v>
      </c>
      <c r="K26" t="str">
        <v>08:04:59</v>
      </c>
      <c r="L26">
        <v>-12.177488</v>
      </c>
      <c r="M26">
        <v>-76.977394</v>
      </c>
      <c r="N26">
        <f>HYPERLINK("https://www.google.com/maps/search/?api=1&amp;query=-12.177488,-76.977394","Avenida El Triunfo, San Juan de Miraflores, Lima")</f>
      </c>
      <c r="O26" t="str">
        <v>Ingreso a camino vecinal</v>
      </c>
      <c r="P26">
        <v>134139.5</v>
      </c>
      <c r="Q26" t="str">
        <v/>
      </c>
      <c r="R26">
        <v>28.7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98</v>
      </c>
      <c r="AB26" t="str">
        <v>18/09/2026</v>
      </c>
      <c r="AC26" t="str">
        <v>08:04:55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08:05:09</v>
      </c>
      <c r="AK26" t="str">
        <v>08:05:09</v>
      </c>
      <c r="AL26" t="str">
        <v/>
      </c>
    </row>
    <row r="27">
      <c r="A27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/>
      </c>
      <c r="J27" t="str">
        <v>18/09/2026</v>
      </c>
      <c r="K27" t="str">
        <v>08:05:59</v>
      </c>
      <c r="L27">
        <v>-12.180263</v>
      </c>
      <c r="M27">
        <v>-76.97651</v>
      </c>
      <c r="N27">
        <f>HYPERLINK("https://www.google.com/maps/search/?api=1&amp;query=-12.180263,-76.97651","Avenida El Triunfo, San Juan de Miraflores, Lima")</f>
      </c>
      <c r="O27" t="str">
        <v>Salida de camino vecinal</v>
      </c>
      <c r="P27">
        <v>134139.8</v>
      </c>
      <c r="Q27" t="str">
        <v/>
      </c>
      <c r="R27">
        <v>8.1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98</v>
      </c>
      <c r="AB27" t="str">
        <v>18/09/2026</v>
      </c>
      <c r="AC27" t="str">
        <v>08:05:55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08:06:12</v>
      </c>
      <c r="AK27" t="str">
        <v>08:06:12</v>
      </c>
      <c r="AL27" t="str">
        <v/>
      </c>
    </row>
    <row r="28">
      <c r="A28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/>
      </c>
      <c r="J28" t="str">
        <v>18/09/2026</v>
      </c>
      <c r="K28" t="str">
        <v>08:06:00</v>
      </c>
      <c r="L28">
        <v>-12.180284</v>
      </c>
      <c r="M28">
        <v>-76.9765</v>
      </c>
      <c r="N28">
        <f>HYPERLINK("https://www.google.com/maps/search/?api=1&amp;query=-12.180284,-76.9765","Avenida El Triunfo, San Juan de Miraflores, Lima")</f>
      </c>
      <c r="O28" t="str">
        <v>Bache</v>
      </c>
      <c r="P28">
        <v>134139.8</v>
      </c>
      <c r="Q28" t="str">
        <v/>
      </c>
      <c r="R28">
        <v>8.1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98</v>
      </c>
      <c r="AB28" t="str">
        <v>18/09/2026</v>
      </c>
      <c r="AC28" t="str">
        <v>08:05:56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08:06:18</v>
      </c>
      <c r="AK28" t="str">
        <v>08:06:18</v>
      </c>
      <c r="AL28" t="str">
        <v/>
      </c>
    </row>
    <row r="29">
      <c r="A29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/>
      </c>
      <c r="J29" t="str">
        <v>18/09/2026</v>
      </c>
      <c r="K29" t="str">
        <v>08:06:52</v>
      </c>
      <c r="L29">
        <v>-12.183757</v>
      </c>
      <c r="M29">
        <v>-76.9754</v>
      </c>
      <c r="N29">
        <f>HYPERLINK("https://www.google.com/maps/search/?api=1&amp;query=-12.183757,-76.9754","Avenida El Triunfo, San Juan de Miraflores, Lima")</f>
      </c>
      <c r="O29" t="str">
        <v>Bache</v>
      </c>
      <c r="P29">
        <v>134140.2</v>
      </c>
      <c r="Q29" t="str">
        <v/>
      </c>
      <c r="R29">
        <v>6.8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97</v>
      </c>
      <c r="AB29" t="str">
        <v>18/09/2026</v>
      </c>
      <c r="AC29" t="str">
        <v>08:06:48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08:06:53</v>
      </c>
      <c r="AK29" t="str">
        <v>08:06:53</v>
      </c>
      <c r="AL29" t="str">
        <v/>
      </c>
    </row>
    <row r="30">
      <c r="A30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/>
      </c>
      <c r="J30" t="str">
        <v>18/09/2026</v>
      </c>
      <c r="K30" t="str">
        <v>08:08:45</v>
      </c>
      <c r="L30">
        <v>-12.19339</v>
      </c>
      <c r="M30">
        <v>-76.972694</v>
      </c>
      <c r="N30">
        <f>HYPERLINK("https://www.google.com/maps/search/?api=1&amp;query=-12.19339,-76.972694","Carretera Panamericana Sur, Villa El Salvador, Lima")</f>
      </c>
      <c r="O30" t="str">
        <v>Exceso de velocidad en segmento vial</v>
      </c>
      <c r="P30">
        <v>134141.3</v>
      </c>
      <c r="Q30" t="str">
        <v/>
      </c>
      <c r="R30">
        <v>60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98</v>
      </c>
      <c r="AB30" t="str">
        <v>18/09/2026</v>
      </c>
      <c r="AC30" t="str">
        <v>08:08:41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08:08:47</v>
      </c>
      <c r="AK30" t="str">
        <v>08:08:47</v>
      </c>
      <c r="AL30" t="str">
        <v/>
      </c>
    </row>
    <row r="31">
      <c r="A31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/>
      </c>
      <c r="J31" t="str">
        <v>18/09/2026</v>
      </c>
      <c r="K31" t="str">
        <v>08:12:50</v>
      </c>
      <c r="L31">
        <v>-12.22578</v>
      </c>
      <c r="M31">
        <v>-76.97145</v>
      </c>
      <c r="N31">
        <f>HYPERLINK("https://www.google.com/maps/search/?api=1&amp;query=-12.22578,-76.97145","Carretera Panamericana Sur, Villa El Salvador, Lima")</f>
      </c>
      <c r="O31" t="str">
        <v>Aceleración brusca</v>
      </c>
      <c r="P31">
        <v>134145.2</v>
      </c>
      <c r="Q31" t="str">
        <v/>
      </c>
      <c r="R31">
        <v>35.7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97</v>
      </c>
      <c r="AB31" t="str">
        <v>18/09/2026</v>
      </c>
      <c r="AC31" t="str">
        <v>08:12:46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08:12:53</v>
      </c>
      <c r="AK31" t="str">
        <v>08:12:53</v>
      </c>
      <c r="AL31" t="str">
        <v/>
      </c>
    </row>
    <row r="32">
      <c r="A32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/>
      </c>
      <c r="J32" t="str">
        <v>18/09/2026</v>
      </c>
      <c r="K32" t="str">
        <v>08:13:03</v>
      </c>
      <c r="L32">
        <v>-12.226485</v>
      </c>
      <c r="M32">
        <v>-76.97074</v>
      </c>
      <c r="N32">
        <f>HYPERLINK("https://www.google.com/maps/search/?api=1&amp;query=-12.226485,-76.97074","Carretera Panamericana Sur, Villa El Salvador, Lima")</f>
      </c>
      <c r="O32" t="str">
        <v>Bache</v>
      </c>
      <c r="P32">
        <v>134145.3</v>
      </c>
      <c r="Q32" t="str">
        <v/>
      </c>
      <c r="R32">
        <v>32.2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97</v>
      </c>
      <c r="AB32" t="str">
        <v>18/09/2026</v>
      </c>
      <c r="AC32" t="str">
        <v>08:12:58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08:13:08</v>
      </c>
      <c r="AK32" t="str">
        <v>08:13:08</v>
      </c>
      <c r="AL32" t="str">
        <v/>
      </c>
    </row>
    <row r="33">
      <c r="A33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/>
      </c>
      <c r="J33" t="str">
        <v>18/09/2026</v>
      </c>
      <c r="K33" t="str">
        <v>08:34:55</v>
      </c>
      <c r="L33">
        <v>-12.333696</v>
      </c>
      <c r="M33">
        <v>-76.82047</v>
      </c>
      <c r="N33">
        <f>HYPERLINK("https://www.google.com/maps/search/?api=1&amp;query=-12.333696,-76.82047","Antigua Panamericana Sur, Punta Hermosa, Lima")</f>
      </c>
      <c r="O33" t="str">
        <v>Acelerado y giro brusco</v>
      </c>
      <c r="P33">
        <v>134166.3</v>
      </c>
      <c r="Q33" t="str">
        <v/>
      </c>
      <c r="R33">
        <v>16.6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97</v>
      </c>
      <c r="AB33" t="str">
        <v>18/09/2026</v>
      </c>
      <c r="AC33" t="str">
        <v>08:34:50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08:34:59</v>
      </c>
      <c r="AK33" t="str">
        <v>08:34:59</v>
      </c>
      <c r="AL33" t="str">
        <v/>
      </c>
    </row>
    <row r="34">
      <c r="A34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/>
      </c>
      <c r="J34" t="str">
        <v>18/09/2026</v>
      </c>
      <c r="K34" t="str">
        <v>08:35:23</v>
      </c>
      <c r="L34">
        <v>-12.332659</v>
      </c>
      <c r="M34">
        <v>-76.820114</v>
      </c>
      <c r="N34">
        <f>HYPERLINK("https://www.google.com/maps/search/?api=1&amp;query=-12.332659,-76.820114","Carretera Panamericana Sur, Punta Hermosa, Lima")</f>
      </c>
      <c r="O34" t="str">
        <v>Bache</v>
      </c>
      <c r="P34">
        <v>134166.5</v>
      </c>
      <c r="Q34" t="str">
        <v/>
      </c>
      <c r="R34">
        <v>30.1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97</v>
      </c>
      <c r="AB34" t="str">
        <v>18/09/2026</v>
      </c>
      <c r="AC34" t="str">
        <v>08:35:19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08:35:36</v>
      </c>
      <c r="AK34" t="str">
        <v>08:35:36</v>
      </c>
      <c r="AL34" t="str">
        <v/>
      </c>
    </row>
    <row r="35">
      <c r="A35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 xml:space="preserve"> </v>
      </c>
      <c r="J35" t="str">
        <v>18/09/2026</v>
      </c>
      <c r="K35" t="str">
        <v>08:37:52</v>
      </c>
      <c r="L35">
        <v>-12.317607</v>
      </c>
      <c r="M35">
        <v>-76.829666</v>
      </c>
      <c r="N35">
        <f>HYPERLINK("https://www.google.com/maps/search/?api=1&amp;query=-12.317607,-76.829666","Punta Hermosa, Lima")</f>
      </c>
      <c r="O35" t="str">
        <v>Llegó a la zona</v>
      </c>
      <c r="P35">
        <v>134168.5</v>
      </c>
      <c r="Q35" t="str">
        <v>MASS BSF 1</v>
      </c>
      <c r="R35">
        <v>16.2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98</v>
      </c>
      <c r="AB35" t="str">
        <v>18/09/2026</v>
      </c>
      <c r="AC35" t="str">
        <v>08:37:48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08:37:57</v>
      </c>
      <c r="AK35" t="str">
        <v>08:37:57</v>
      </c>
      <c r="AL35" t="str">
        <v/>
      </c>
    </row>
    <row r="36">
      <c r="A36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/>
      </c>
      <c r="J36" t="str">
        <v>18/09/2026</v>
      </c>
      <c r="K36" t="str">
        <v>08:45:02</v>
      </c>
      <c r="L36">
        <v>-12.317378</v>
      </c>
      <c r="M36">
        <v>-76.82291</v>
      </c>
      <c r="N36">
        <f>HYPERLINK("https://www.google.com/maps/search/?api=1&amp;query=-12.317378,-76.82291","Punta Hermosa, Lima")</f>
      </c>
      <c r="O36" t="str">
        <v>Vehículo apagado</v>
      </c>
      <c r="P36">
        <v>134169.6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96</v>
      </c>
      <c r="AB36" t="str">
        <v>18/09/2026</v>
      </c>
      <c r="AC36" t="str">
        <v>08:44:57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08:45:14</v>
      </c>
      <c r="AK36" t="str">
        <v>08:45:14</v>
      </c>
      <c r="AL36" t="str">
        <v/>
      </c>
    </row>
    <row r="37">
      <c r="A37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/>
      </c>
      <c r="J37" t="str">
        <v>18/09/2026</v>
      </c>
      <c r="K37" t="str">
        <v>08:51:08</v>
      </c>
      <c r="L37">
        <v>-12.317378</v>
      </c>
      <c r="M37">
        <v>-76.82291</v>
      </c>
      <c r="N37">
        <f>HYPERLINK("https://www.google.com/maps/search/?api=1&amp;query=-12.317378,-76.82291","Punta Hermosa, Lima")</f>
      </c>
      <c r="O37" t="str">
        <v>Se detuvo</v>
      </c>
      <c r="P37">
        <v>134169.6</v>
      </c>
      <c r="Q37" t="str">
        <v/>
      </c>
      <c r="R37">
        <v>0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96</v>
      </c>
      <c r="AB37" t="str">
        <v>18/09/2026</v>
      </c>
      <c r="AC37" t="str">
        <v>08:51:03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08:51:13</v>
      </c>
      <c r="AK37" t="str">
        <v>08:51:13</v>
      </c>
      <c r="AL37" t="str">
        <v/>
      </c>
    </row>
    <row r="38">
      <c r="A38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/>
      </c>
      <c r="J38" t="str">
        <v>18/09/2026</v>
      </c>
      <c r="K38" t="str">
        <v>08:54:20</v>
      </c>
      <c r="L38">
        <v>-12.317378</v>
      </c>
      <c r="M38">
        <v>-76.82291</v>
      </c>
      <c r="N38">
        <f>HYPERLINK("https://www.google.com/maps/search/?api=1&amp;query=-12.317378,-76.82291","Punta Hermosa, Lima")</f>
      </c>
      <c r="O38" t="str">
        <v>Vehículo encendido</v>
      </c>
      <c r="P38">
        <v>134169.6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96</v>
      </c>
      <c r="AB38" t="str">
        <v>18/09/2026</v>
      </c>
      <c r="AC38" t="str">
        <v>08:54:15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08:54:25</v>
      </c>
      <c r="AK38" t="str">
        <v>08:54:25</v>
      </c>
      <c r="AL38" t="str">
        <v/>
      </c>
    </row>
    <row r="39">
      <c r="A39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/>
      </c>
      <c r="J39" t="str">
        <v>18/09/2026</v>
      </c>
      <c r="K39" t="str">
        <v>08:56:43</v>
      </c>
      <c r="L39">
        <v>-12.317533</v>
      </c>
      <c r="M39">
        <v>-76.8244</v>
      </c>
      <c r="N39">
        <f>HYPERLINK("https://www.google.com/maps/search/?api=1&amp;query=-12.317533,-76.8244","Punta Hermosa, Lima")</f>
      </c>
      <c r="O39" t="str">
        <v>Vehículo apagado</v>
      </c>
      <c r="P39">
        <v>134169.9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98</v>
      </c>
      <c r="AB39" t="str">
        <v>18/09/2026</v>
      </c>
      <c r="AC39" t="str">
        <v>08:56:39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08:56:52</v>
      </c>
      <c r="AK39" t="str">
        <v>08:56:52</v>
      </c>
      <c r="AL39" t="str">
        <v/>
      </c>
    </row>
    <row r="40">
      <c r="A40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/>
      </c>
      <c r="J40" t="str">
        <v>18/09/2026</v>
      </c>
      <c r="K40" t="str">
        <v>09:03:01</v>
      </c>
      <c r="L40">
        <v>-12.317533</v>
      </c>
      <c r="M40">
        <v>-76.8244</v>
      </c>
      <c r="N40">
        <f>HYPERLINK("https://www.google.com/maps/search/?api=1&amp;query=-12.317533,-76.8244","Punta Hermosa, Lima")</f>
      </c>
      <c r="O40" t="str">
        <v>Se detuvo</v>
      </c>
      <c r="P40">
        <v>134169.9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98</v>
      </c>
      <c r="AB40" t="str">
        <v>18/09/2026</v>
      </c>
      <c r="AC40" t="str">
        <v>09:02:56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09:03:06</v>
      </c>
      <c r="AK40" t="str">
        <v>09:03:06</v>
      </c>
      <c r="AL40" t="str">
        <v/>
      </c>
    </row>
    <row r="41">
      <c r="A41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/>
      </c>
      <c r="J41" t="str">
        <v>18/09/2026</v>
      </c>
      <c r="K41" t="str">
        <v>09:12:01</v>
      </c>
      <c r="L41">
        <v>-12.317533</v>
      </c>
      <c r="M41">
        <v>-76.8244</v>
      </c>
      <c r="N41">
        <f>HYPERLINK("https://www.google.com/maps/search/?api=1&amp;query=-12.317533,-76.8244","Punta Hermosa, Lima")</f>
      </c>
      <c r="O41" t="str">
        <v>Vehículo encendido</v>
      </c>
      <c r="P41">
        <v>134169.9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98</v>
      </c>
      <c r="AB41" t="str">
        <v>18/09/2026</v>
      </c>
      <c r="AC41" t="str">
        <v>09:11:56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09:12:11</v>
      </c>
      <c r="AK41" t="str">
        <v>09:12:11</v>
      </c>
      <c r="AL41" t="str">
        <v/>
      </c>
    </row>
    <row r="42">
      <c r="A42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/>
      </c>
      <c r="J42" t="str">
        <v>18/09/2026</v>
      </c>
      <c r="K42" t="str">
        <v>09:12:04</v>
      </c>
      <c r="L42">
        <v>-12.317533</v>
      </c>
      <c r="M42">
        <v>-76.8244</v>
      </c>
      <c r="N42">
        <f>HYPERLINK("https://www.google.com/maps/search/?api=1&amp;query=-12.317533,-76.8244","Punta Hermosa, Lima")</f>
      </c>
      <c r="O42" t="str">
        <v>Vehículo apagado</v>
      </c>
      <c r="P42">
        <v>134169.9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98</v>
      </c>
      <c r="AB42" t="str">
        <v>18/09/2026</v>
      </c>
      <c r="AC42" t="str">
        <v>09:11:59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09:12:17</v>
      </c>
      <c r="AK42" t="str">
        <v>09:12:17</v>
      </c>
      <c r="AL42" t="str">
        <v/>
      </c>
    </row>
    <row r="43">
      <c r="A43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/>
      </c>
      <c r="J43" t="str">
        <v>18/09/2026</v>
      </c>
      <c r="K43" t="str">
        <v>09:12:07</v>
      </c>
      <c r="L43">
        <v>-12.317533</v>
      </c>
      <c r="M43">
        <v>-76.8244</v>
      </c>
      <c r="N43">
        <f>HYPERLINK("https://www.google.com/maps/search/?api=1&amp;query=-12.317533,-76.8244","Punta Hermosa, Lima")</f>
      </c>
      <c r="O43" t="str">
        <v>Vehículo encendido</v>
      </c>
      <c r="P43">
        <v>134169.9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98</v>
      </c>
      <c r="AB43" t="str">
        <v>18/09/2026</v>
      </c>
      <c r="AC43" t="str">
        <v>09:12:02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09:12:20</v>
      </c>
      <c r="AK43" t="str">
        <v>09:12:20</v>
      </c>
      <c r="AL43" t="str">
        <v/>
      </c>
    </row>
    <row r="44">
      <c r="A44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/>
      </c>
      <c r="J44" t="str">
        <v>18/09/2026</v>
      </c>
      <c r="K44" t="str">
        <v>09:12:52</v>
      </c>
      <c r="L44">
        <v>-12.317533</v>
      </c>
      <c r="M44">
        <v>-76.8244</v>
      </c>
      <c r="N44">
        <f>HYPERLINK("https://www.google.com/maps/search/?api=1&amp;query=-12.317533,-76.8244","Punta Hermosa, Lima")</f>
      </c>
      <c r="O44" t="str">
        <v>Vehículo apagado</v>
      </c>
      <c r="P44">
        <v>134169.9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98</v>
      </c>
      <c r="AB44" t="str">
        <v>18/09/2026</v>
      </c>
      <c r="AC44" t="str">
        <v>09:12:48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09:13:05</v>
      </c>
      <c r="AK44" t="str">
        <v>09:13:05</v>
      </c>
      <c r="AL44" t="str">
        <v/>
      </c>
    </row>
    <row r="45">
      <c r="A45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/>
      </c>
      <c r="J45" t="str">
        <v>18/09/2026</v>
      </c>
      <c r="K45" t="str">
        <v>10:10:14</v>
      </c>
      <c r="L45">
        <v>-12.317578</v>
      </c>
      <c r="M45">
        <v>-76.824486</v>
      </c>
      <c r="N45">
        <f>HYPERLINK("https://www.google.com/maps/search/?api=1&amp;query=-12.317578,-76.824486","Punta Hermosa, Lima")</f>
      </c>
      <c r="O45" t="str">
        <v>Vehículo encendido</v>
      </c>
      <c r="P45">
        <v>134169.9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98</v>
      </c>
      <c r="AB45" t="str">
        <v>18/09/2026</v>
      </c>
      <c r="AC45" t="str">
        <v>10:10:13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10:11:43</v>
      </c>
      <c r="AK45" t="str">
        <v>10:11:43</v>
      </c>
      <c r="AL45" t="str">
        <v/>
      </c>
    </row>
    <row r="46">
      <c r="A46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/>
      </c>
      <c r="J46" t="str">
        <v>18/09/2026</v>
      </c>
      <c r="K46" t="str">
        <v>10:10:14</v>
      </c>
      <c r="L46">
        <v>-12.317578</v>
      </c>
      <c r="M46">
        <v>-76.824486</v>
      </c>
      <c r="N46">
        <f>HYPERLINK("https://www.google.com/maps/search/?api=1&amp;query=-12.317578,-76.824486","Punta Hermosa, Lima")</f>
      </c>
      <c r="O46" t="str">
        <v>Vehículo encendido</v>
      </c>
      <c r="P46">
        <v>134169.9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98</v>
      </c>
      <c r="AB46" t="str">
        <v>18/09/2026</v>
      </c>
      <c r="AC46" t="str">
        <v>10:10:13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10:10:25</v>
      </c>
      <c r="AK46" t="str">
        <v>10:10:25</v>
      </c>
      <c r="AL46" t="str">
        <v/>
      </c>
    </row>
    <row r="47">
      <c r="A47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/>
      </c>
      <c r="J47" t="str">
        <v>18/09/2026</v>
      </c>
      <c r="K47" t="str">
        <v>10:10:28</v>
      </c>
      <c r="L47">
        <v>-12.317602</v>
      </c>
      <c r="M47">
        <v>-76.82449</v>
      </c>
      <c r="N47">
        <f>HYPERLINK("https://www.google.com/maps/search/?api=1&amp;query=-12.317602,-76.82449","Punta Hermosa, Lima")</f>
      </c>
      <c r="O47" t="str">
        <v>Vehículo apagado</v>
      </c>
      <c r="P47">
        <v>134169.9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98</v>
      </c>
      <c r="AB47" t="str">
        <v>18/09/2026</v>
      </c>
      <c r="AC47" t="str">
        <v>10:10:28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10:11:30</v>
      </c>
      <c r="AK47" t="str">
        <v>10:11:30</v>
      </c>
      <c r="AL47" t="str">
        <v/>
      </c>
    </row>
    <row r="48">
      <c r="A48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/>
      </c>
      <c r="J48" t="str">
        <v>18/09/2026</v>
      </c>
      <c r="K48" t="str">
        <v>10:13:06</v>
      </c>
      <c r="L48">
        <v>-12.317603</v>
      </c>
      <c r="M48">
        <v>-76.82449</v>
      </c>
      <c r="N48">
        <f>HYPERLINK("https://www.google.com/maps/search/?api=1&amp;query=-12.317603,-76.82449","Punta Hermosa, Lima")</f>
      </c>
      <c r="O48" t="str">
        <v>Vehículo encendido</v>
      </c>
      <c r="P48">
        <v>134169.9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98</v>
      </c>
      <c r="AB48" t="str">
        <v>18/09/2026</v>
      </c>
      <c r="AC48" t="str">
        <v>10:13:06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10:13:30</v>
      </c>
      <c r="AK48" t="str">
        <v>10:13:30</v>
      </c>
      <c r="AL48" t="str">
        <v/>
      </c>
    </row>
    <row r="49">
      <c r="A49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/>
      </c>
      <c r="J49" t="str">
        <v>18/09/2026</v>
      </c>
      <c r="K49" t="str">
        <v>10:13:06</v>
      </c>
      <c r="L49">
        <v>-12.317603</v>
      </c>
      <c r="M49">
        <v>-76.82449</v>
      </c>
      <c r="N49">
        <f>HYPERLINK("https://www.google.com/maps/search/?api=1&amp;query=-12.317603,-76.82449","Punta Hermosa, Lima")</f>
      </c>
      <c r="O49" t="str">
        <v>Vehículo encendido</v>
      </c>
      <c r="P49">
        <v>134169.9</v>
      </c>
      <c r="Q49" t="str">
        <v/>
      </c>
      <c r="R49">
        <v>0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98</v>
      </c>
      <c r="AB49" t="str">
        <v>18/09/2026</v>
      </c>
      <c r="AC49" t="str">
        <v>10:13:06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10:14:35</v>
      </c>
      <c r="AK49" t="str">
        <v>10:14:35</v>
      </c>
      <c r="AL49" t="str">
        <v/>
      </c>
    </row>
    <row r="50">
      <c r="A50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 xml:space="preserve"> </v>
      </c>
      <c r="J50" t="str">
        <v>18/09/2026</v>
      </c>
      <c r="K50" t="str">
        <v>10:17:54</v>
      </c>
      <c r="L50">
        <v>-12.317572</v>
      </c>
      <c r="M50">
        <v>-76.829895</v>
      </c>
      <c r="N50">
        <f>HYPERLINK("https://www.google.com/maps/search/?api=1&amp;query=-12.317572,-76.829895","Punta Hermosa, Lima")</f>
      </c>
      <c r="O50" t="str">
        <v>Salió de zona</v>
      </c>
      <c r="P50">
        <v>134170.7</v>
      </c>
      <c r="Q50" t="str">
        <v>MASS BSF 1</v>
      </c>
      <c r="R50">
        <v>15.1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97</v>
      </c>
      <c r="AB50" t="str">
        <v>18/09/2026</v>
      </c>
      <c r="AC50" t="str">
        <v>10:17:54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10:18:06</v>
      </c>
      <c r="AK50" t="str">
        <v>10:18:06</v>
      </c>
      <c r="AL50" t="str">
        <v/>
      </c>
    </row>
    <row r="51">
      <c r="A51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/>
      </c>
      <c r="J51" t="str">
        <v>18/09/2026</v>
      </c>
      <c r="K51" t="str">
        <v>10:50:08</v>
      </c>
      <c r="L51">
        <v>-12.238765</v>
      </c>
      <c r="M51">
        <v>-76.92132</v>
      </c>
      <c r="N51">
        <f>HYPERLINK("https://www.google.com/maps/search/?api=1&amp;query=-12.238765,-76.92132","Avenida Revolución, Villa El Salvador, Lima")</f>
      </c>
      <c r="O51" t="str">
        <v>Vehículo apagado</v>
      </c>
      <c r="P51">
        <v>134188.6</v>
      </c>
      <c r="Q51" t="str">
        <v/>
      </c>
      <c r="R51">
        <v>0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97</v>
      </c>
      <c r="AB51" t="str">
        <v>18/09/2026</v>
      </c>
      <c r="AC51" t="str">
        <v>10:50:07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10:50:13</v>
      </c>
      <c r="AK51" t="str">
        <v>10:50:13</v>
      </c>
      <c r="AL51" t="str">
        <v/>
      </c>
    </row>
    <row r="52">
      <c r="A52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/>
      </c>
      <c r="J52" t="str">
        <v>18/09/2026</v>
      </c>
      <c r="K52" t="str">
        <v>10:56:17</v>
      </c>
      <c r="L52">
        <v>-12.238765</v>
      </c>
      <c r="M52">
        <v>-76.92132</v>
      </c>
      <c r="N52">
        <f>HYPERLINK("https://www.google.com/maps/search/?api=1&amp;query=-12.238765,-76.92132","Avenida Revolución, Villa El Salvador, Lima")</f>
      </c>
      <c r="O52" t="str">
        <v>Se detuvo</v>
      </c>
      <c r="P52">
        <v>134188.6</v>
      </c>
      <c r="Q52" t="str">
        <v/>
      </c>
      <c r="R52">
        <v>0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97</v>
      </c>
      <c r="AB52" t="str">
        <v>18/09/2026</v>
      </c>
      <c r="AC52" t="str">
        <v>10:56:16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10:56:34</v>
      </c>
      <c r="AK52" t="str">
        <v>10:56:34</v>
      </c>
      <c r="AL52" t="str">
        <v/>
      </c>
    </row>
    <row r="53">
      <c r="A53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/>
      </c>
      <c r="J53" t="str">
        <v>18/09/2026</v>
      </c>
      <c r="K53" t="str">
        <v>11:02:58</v>
      </c>
      <c r="L53">
        <v>-12.238765</v>
      </c>
      <c r="M53">
        <v>-76.92132</v>
      </c>
      <c r="N53">
        <f>HYPERLINK("https://www.google.com/maps/search/?api=1&amp;query=-12.238765,-76.92132","Avenida Revolución, Villa El Salvador, Lima")</f>
      </c>
      <c r="O53" t="str">
        <v>Vehículo encendido</v>
      </c>
      <c r="P53">
        <v>134188.6</v>
      </c>
      <c r="Q53" t="str">
        <v/>
      </c>
      <c r="R53">
        <v>0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97</v>
      </c>
      <c r="AB53" t="str">
        <v>18/09/2026</v>
      </c>
      <c r="AC53" t="str">
        <v>11:02:57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11:03:10</v>
      </c>
      <c r="AK53" t="str">
        <v>11:03:10</v>
      </c>
      <c r="AL53" t="str">
        <v/>
      </c>
    </row>
    <row r="54">
      <c r="A54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/>
      </c>
      <c r="J54" t="str">
        <v>18/09/2026</v>
      </c>
      <c r="K54" t="str">
        <v>11:09:14</v>
      </c>
      <c r="L54">
        <v>-12.231127</v>
      </c>
      <c r="M54">
        <v>-76.93251</v>
      </c>
      <c r="N54">
        <f>HYPERLINK("https://www.google.com/maps/search/?api=1&amp;query=-12.231127,-76.93251","Avenida 200 Millas, Villa El Salvador, Lima")</f>
      </c>
      <c r="O54" t="str">
        <v>Bache</v>
      </c>
      <c r="P54">
        <v>134190.7</v>
      </c>
      <c r="Q54" t="str">
        <v/>
      </c>
      <c r="R54">
        <v>7.7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99</v>
      </c>
      <c r="AB54" t="str">
        <v>18/09/2026</v>
      </c>
      <c r="AC54" t="str">
        <v>11:09:14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11:09:28</v>
      </c>
      <c r="AK54" t="str">
        <v>11:09:28</v>
      </c>
      <c r="AL54" t="str">
        <v/>
      </c>
    </row>
    <row r="55">
      <c r="A55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/>
      </c>
      <c r="J55" t="str">
        <v>18/09/2026</v>
      </c>
      <c r="K55" t="str">
        <v>11:19:45</v>
      </c>
      <c r="L55">
        <v>-12.201</v>
      </c>
      <c r="M55">
        <v>-76.95071</v>
      </c>
      <c r="N55">
        <f>HYPERLINK("https://www.google.com/maps/search/?api=1&amp;query=-12.201,-76.95071","Avenida Micaela Bastidas, Villa El Salvador, Lima")</f>
      </c>
      <c r="O55" t="str">
        <v>Bache</v>
      </c>
      <c r="P55">
        <v>134194.5</v>
      </c>
      <c r="Q55" t="str">
        <v/>
      </c>
      <c r="R55">
        <v>7.2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99</v>
      </c>
      <c r="AB55" t="str">
        <v>18/09/2026</v>
      </c>
      <c r="AC55" t="str">
        <v>11:19:44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11:20:28</v>
      </c>
      <c r="AK55" t="str">
        <v>11:20:28</v>
      </c>
      <c r="AL55" t="str">
        <v/>
      </c>
    </row>
    <row r="56">
      <c r="A56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/>
      </c>
      <c r="J56" t="str">
        <v>18/09/2026</v>
      </c>
      <c r="K56" t="str">
        <v>11:20:14</v>
      </c>
      <c r="L56">
        <v>-12.19971</v>
      </c>
      <c r="M56">
        <v>-76.95147</v>
      </c>
      <c r="N56">
        <f>HYPERLINK("https://www.google.com/maps/search/?api=1&amp;query=-12.19971,-76.95147","Avenida Micaela Bastidas, Villa El Salvador, Lima")</f>
      </c>
      <c r="O56" t="str">
        <v>Bache</v>
      </c>
      <c r="P56">
        <v>134194.7</v>
      </c>
      <c r="Q56" t="str">
        <v/>
      </c>
      <c r="R56">
        <v>7.4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99</v>
      </c>
      <c r="AB56" t="str">
        <v>18/09/2026</v>
      </c>
      <c r="AC56" t="str">
        <v>11:20:13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11:20:24</v>
      </c>
      <c r="AK56" t="str">
        <v>11:20:24</v>
      </c>
      <c r="AL56" t="str">
        <v/>
      </c>
    </row>
    <row r="57">
      <c r="A57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/>
      </c>
      <c r="J57" t="str">
        <v>18/09/2026</v>
      </c>
      <c r="K57" t="str">
        <v>11:26:17</v>
      </c>
      <c r="L57">
        <v>-12.192628</v>
      </c>
      <c r="M57">
        <v>-76.955696</v>
      </c>
      <c r="N57">
        <f>HYPERLINK("https://www.google.com/maps/search/?api=1&amp;query=-12.192628,-76.955696","Avenida Micaela Bastidas, Villa El Salvador, Lima")</f>
      </c>
      <c r="O57" t="str">
        <v>Vehículo apagado</v>
      </c>
      <c r="P57">
        <v>134195.6</v>
      </c>
      <c r="Q57" t="str">
        <v/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98</v>
      </c>
      <c r="AB57" t="str">
        <v>18/09/2026</v>
      </c>
      <c r="AC57" t="str">
        <v>11:26:16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11:26:32</v>
      </c>
      <c r="AK57" t="str">
        <v>11:26:32</v>
      </c>
      <c r="AL57" t="str">
        <v/>
      </c>
    </row>
    <row r="58">
      <c r="A58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/>
      </c>
      <c r="J58" t="str">
        <v>18/09/2026</v>
      </c>
      <c r="K58" t="str">
        <v>11:31:58</v>
      </c>
      <c r="L58">
        <v>-12.192628</v>
      </c>
      <c r="M58">
        <v>-76.955696</v>
      </c>
      <c r="N58">
        <f>HYPERLINK("https://www.google.com/maps/search/?api=1&amp;query=-12.192628,-76.955696","Avenida Micaela Bastidas, Villa El Salvador, Lima")</f>
      </c>
      <c r="O58" t="str">
        <v>Se detuvo</v>
      </c>
      <c r="P58">
        <v>134195.6</v>
      </c>
      <c r="Q58" t="str">
        <v/>
      </c>
      <c r="R58">
        <v>0</v>
      </c>
      <c r="S58">
        <v>0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98</v>
      </c>
      <c r="AB58" t="str">
        <v>18/09/2026</v>
      </c>
      <c r="AC58" t="str">
        <v>11:31:57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11:32:10</v>
      </c>
      <c r="AK58" t="str">
        <v>11:32:10</v>
      </c>
      <c r="AL58" t="str">
        <v/>
      </c>
    </row>
    <row r="59">
      <c r="A59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/>
      </c>
      <c r="J59" t="str">
        <v>18/09/2026</v>
      </c>
      <c r="K59" t="str">
        <v>11:37:21</v>
      </c>
      <c r="L59">
        <v>-12.192628</v>
      </c>
      <c r="M59">
        <v>-76.955696</v>
      </c>
      <c r="N59">
        <f>HYPERLINK("https://www.google.com/maps/search/?api=1&amp;query=-12.192628,-76.955696","Avenida Micaela Bastidas, Villa El Salvador, Lima")</f>
      </c>
      <c r="O59" t="str">
        <v>Vehículo encendido</v>
      </c>
      <c r="P59">
        <v>134195.6</v>
      </c>
      <c r="Q59" t="str">
        <v/>
      </c>
      <c r="R59">
        <v>0</v>
      </c>
      <c r="S59">
        <v>0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98</v>
      </c>
      <c r="AB59" t="str">
        <v>18/09/2026</v>
      </c>
      <c r="AC59" t="str">
        <v>11:37:20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11:37:30</v>
      </c>
      <c r="AK59" t="str">
        <v>11:37:30</v>
      </c>
      <c r="AL59" t="str">
        <v/>
      </c>
    </row>
    <row r="60">
      <c r="A60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/>
      </c>
      <c r="J60" t="str">
        <v>18/09/2026</v>
      </c>
      <c r="K60" t="str">
        <v>11:41:04</v>
      </c>
      <c r="L60">
        <v>-12.19146</v>
      </c>
      <c r="M60">
        <v>-76.95642</v>
      </c>
      <c r="N60">
        <f>HYPERLINK("https://www.google.com/maps/search/?api=1&amp;query=-12.19146,-76.95642","Avenida Micaela Bastidas, Villa El Salvador, Lima")</f>
      </c>
      <c r="O60" t="str">
        <v>Bache</v>
      </c>
      <c r="P60">
        <v>134195.8</v>
      </c>
      <c r="Q60" t="str">
        <v/>
      </c>
      <c r="R60">
        <v>8.5</v>
      </c>
      <c r="S60">
        <v>0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98</v>
      </c>
      <c r="AB60" t="str">
        <v>18/09/2026</v>
      </c>
      <c r="AC60" t="str">
        <v>11:41:03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11:41:27</v>
      </c>
      <c r="AK60" t="str">
        <v>11:41:27</v>
      </c>
      <c r="AL60" t="str">
        <v/>
      </c>
    </row>
    <row r="61">
      <c r="A61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/>
      </c>
      <c r="J61" t="str">
        <v>18/09/2026</v>
      </c>
      <c r="K61" t="str">
        <v>11:44:13</v>
      </c>
      <c r="L61">
        <v>-12.196832</v>
      </c>
      <c r="M61">
        <v>-76.95573</v>
      </c>
      <c r="N61">
        <f>HYPERLINK("https://www.google.com/maps/search/?api=1&amp;query=-12.196832,-76.95573","Avenida Primero de Mayo, Villa El Salvador, Lima")</f>
      </c>
      <c r="O61" t="str">
        <v>Bache</v>
      </c>
      <c r="P61">
        <v>134196.6</v>
      </c>
      <c r="Q61" t="str">
        <v/>
      </c>
      <c r="R61">
        <v>6.1</v>
      </c>
      <c r="S61">
        <v>0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98</v>
      </c>
      <c r="AB61" t="str">
        <v>18/09/2026</v>
      </c>
      <c r="AC61" t="str">
        <v>11:44:12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11:44:29</v>
      </c>
      <c r="AK61" t="str">
        <v>11:44:29</v>
      </c>
      <c r="AL61" t="str">
        <v/>
      </c>
    </row>
    <row r="62">
      <c r="A62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/>
      </c>
      <c r="J62" t="str">
        <v>18/09/2026</v>
      </c>
      <c r="K62" t="str">
        <v>11:47:49</v>
      </c>
      <c r="L62">
        <v>-12.197723</v>
      </c>
      <c r="M62">
        <v>-76.957306</v>
      </c>
      <c r="N62">
        <f>HYPERLINK("https://www.google.com/maps/search/?api=1&amp;query=-12.197723,-76.957306","Avenida Primero de Mayo, Villa El Salvador, Lima")</f>
      </c>
      <c r="O62" t="str">
        <v>Inicio de ralentí</v>
      </c>
      <c r="P62">
        <v>134196.8</v>
      </c>
      <c r="Q62" t="str">
        <v/>
      </c>
      <c r="R62">
        <v>0</v>
      </c>
      <c r="S62">
        <v>0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98</v>
      </c>
      <c r="AB62" t="str">
        <v>18/09/2026</v>
      </c>
      <c r="AC62" t="str">
        <v>11:47:48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11:48:05</v>
      </c>
      <c r="AK62" t="str">
        <v>11:48:05</v>
      </c>
      <c r="AL62" t="str">
        <v/>
      </c>
    </row>
    <row r="63">
      <c r="A63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/>
      </c>
      <c r="J63" t="str">
        <v>18/09/2026</v>
      </c>
      <c r="K63" t="str">
        <v>11:49:13</v>
      </c>
      <c r="L63">
        <v>-12.197723</v>
      </c>
      <c r="M63">
        <v>-76.957306</v>
      </c>
      <c r="N63">
        <f>HYPERLINK("https://www.google.com/maps/search/?api=1&amp;query=-12.197723,-76.957306","Avenida Primero de Mayo, Villa El Salvador, Lima")</f>
      </c>
      <c r="O63" t="str">
        <v>Vehículo apagado</v>
      </c>
      <c r="P63">
        <v>134196.8</v>
      </c>
      <c r="Q63" t="str">
        <v/>
      </c>
      <c r="R63">
        <v>0</v>
      </c>
      <c r="S63">
        <v>0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98</v>
      </c>
      <c r="AB63" t="str">
        <v>18/09/2026</v>
      </c>
      <c r="AC63" t="str">
        <v>11:49:13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11:49:18</v>
      </c>
      <c r="AK63" t="str">
        <v>11:49:18</v>
      </c>
      <c r="AL63" t="str">
        <v/>
      </c>
    </row>
    <row r="64">
      <c r="A64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/>
      </c>
      <c r="J64" t="str">
        <v>18/09/2026</v>
      </c>
      <c r="K64" t="str">
        <v>11:49:14</v>
      </c>
      <c r="L64">
        <v>-12.197723</v>
      </c>
      <c r="M64">
        <v>-76.957306</v>
      </c>
      <c r="N64">
        <f>HYPERLINK("https://www.google.com/maps/search/?api=1&amp;query=-12.197723,-76.957306","Avenida Primero de Mayo, Villa El Salvador, Lima")</f>
      </c>
      <c r="O64" t="str">
        <v>Fin de ralentí</v>
      </c>
      <c r="P64">
        <v>134196.8</v>
      </c>
      <c r="Q64" t="str">
        <v/>
      </c>
      <c r="R64">
        <v>0</v>
      </c>
      <c r="S64">
        <v>0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98</v>
      </c>
      <c r="AB64" t="str">
        <v>18/09/2026</v>
      </c>
      <c r="AC64" t="str">
        <v>11:49:13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11:49:29</v>
      </c>
      <c r="AK64" t="str">
        <v>11:49:29</v>
      </c>
      <c r="AL64" t="str">
        <v/>
      </c>
    </row>
    <row r="65">
      <c r="A65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/>
      </c>
      <c r="J65" t="str">
        <v>18/09/2026</v>
      </c>
      <c r="K65" t="str">
        <v>11:52:12</v>
      </c>
      <c r="L65">
        <v>-12.197723</v>
      </c>
      <c r="M65">
        <v>-76.957306</v>
      </c>
      <c r="N65">
        <f>HYPERLINK("https://www.google.com/maps/search/?api=1&amp;query=-12.197723,-76.957306","Avenida Primero de Mayo, Villa El Salvador, Lima")</f>
      </c>
      <c r="O65" t="str">
        <v>Se detuvo</v>
      </c>
      <c r="P65">
        <v>134196.8</v>
      </c>
      <c r="Q65" t="str">
        <v/>
      </c>
      <c r="R65">
        <v>0</v>
      </c>
      <c r="S65">
        <v>0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98</v>
      </c>
      <c r="AB65" t="str">
        <v>18/09/2026</v>
      </c>
      <c r="AC65" t="str">
        <v>11:52:11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11:52:16</v>
      </c>
      <c r="AK65" t="str">
        <v>11:52:16</v>
      </c>
      <c r="AL65" t="str">
        <v/>
      </c>
    </row>
    <row r="66">
      <c r="A66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/>
      </c>
      <c r="J66" t="str">
        <v>18/09/2026</v>
      </c>
      <c r="K66" t="str">
        <v>12:18:31</v>
      </c>
      <c r="L66">
        <v>-12.197723</v>
      </c>
      <c r="M66">
        <v>-76.957306</v>
      </c>
      <c r="N66">
        <f>HYPERLINK("https://www.google.com/maps/search/?api=1&amp;query=-12.197723,-76.957306","Avenida Primero de Mayo, Villa El Salvador, Lima")</f>
      </c>
      <c r="O66" t="str">
        <v>Vehículo encendido</v>
      </c>
      <c r="P66">
        <v>134196.8</v>
      </c>
      <c r="Q66" t="str">
        <v/>
      </c>
      <c r="R66">
        <v>0</v>
      </c>
      <c r="S66">
        <v>0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98</v>
      </c>
      <c r="AB66" t="str">
        <v>18/09/2026</v>
      </c>
      <c r="AC66" t="str">
        <v>12:18:30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12:18:48</v>
      </c>
      <c r="AK66" t="str">
        <v>12:18:48</v>
      </c>
      <c r="AL66" t="str">
        <v/>
      </c>
    </row>
    <row r="67">
      <c r="A67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/>
      </c>
      <c r="J67" t="str">
        <v>18/09/2026</v>
      </c>
      <c r="K67" t="str">
        <v>12:20:27</v>
      </c>
      <c r="L67">
        <v>-12.198648</v>
      </c>
      <c r="M67">
        <v>-76.9627</v>
      </c>
      <c r="N67">
        <f>HYPERLINK("https://www.google.com/maps/search/?api=1&amp;query=-12.198648,-76.9627","Avenida Primero de Mayo, Villa El Salvador, Lima")</f>
      </c>
      <c r="O67" t="str">
        <v>Aceleración brusca</v>
      </c>
      <c r="P67">
        <v>134197.4</v>
      </c>
      <c r="Q67" t="str">
        <v/>
      </c>
      <c r="R67">
        <v>24.4</v>
      </c>
      <c r="S67">
        <v>0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18/09/2026</v>
      </c>
      <c r="AC67" t="str">
        <v>12:20:26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12:20:46</v>
      </c>
      <c r="AK67" t="str">
        <v>12:20:46</v>
      </c>
      <c r="AL67" t="str">
        <v/>
      </c>
    </row>
    <row r="68">
      <c r="A68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/>
      </c>
      <c r="J68" t="str">
        <v>18/09/2026</v>
      </c>
      <c r="K68" t="str">
        <v>12:23:26</v>
      </c>
      <c r="L68">
        <v>-12.197828</v>
      </c>
      <c r="M68">
        <v>-76.96648</v>
      </c>
      <c r="N68">
        <f>HYPERLINK("https://www.google.com/maps/search/?api=1&amp;query=-12.197828,-76.96648","Avenida Primero de Mayo, Villa El Salvador, Lima")</f>
      </c>
      <c r="O68" t="str">
        <v>Vehículo apagado</v>
      </c>
      <c r="P68">
        <v>134197.8</v>
      </c>
      <c r="Q68" t="str">
        <v/>
      </c>
      <c r="R68">
        <v>0</v>
      </c>
      <c r="S68">
        <v>0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100</v>
      </c>
      <c r="AB68" t="str">
        <v>18/09/2026</v>
      </c>
      <c r="AC68" t="str">
        <v>12:23:25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12:23:47</v>
      </c>
      <c r="AK68" t="str">
        <v>12:23:47</v>
      </c>
      <c r="AL68" t="str">
        <v/>
      </c>
    </row>
    <row r="69">
      <c r="A69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/>
      </c>
      <c r="J69" t="str">
        <v>18/09/2026</v>
      </c>
      <c r="K69" t="str">
        <v>12:29:18</v>
      </c>
      <c r="L69">
        <v>-12.197828</v>
      </c>
      <c r="M69">
        <v>-76.96648</v>
      </c>
      <c r="N69">
        <f>HYPERLINK("https://www.google.com/maps/search/?api=1&amp;query=-12.197828,-76.96648","Avenida Primero de Mayo, Villa El Salvador, Lima")</f>
      </c>
      <c r="O69" t="str">
        <v>Se detuvo</v>
      </c>
      <c r="P69">
        <v>134197.8</v>
      </c>
      <c r="Q69" t="str">
        <v/>
      </c>
      <c r="R69">
        <v>0</v>
      </c>
      <c r="S69">
        <v>0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18/09/2026</v>
      </c>
      <c r="AC69" t="str">
        <v>12:29:16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12:29:27</v>
      </c>
      <c r="AK69" t="str">
        <v>12:29:27</v>
      </c>
      <c r="AL69" t="str">
        <v/>
      </c>
    </row>
    <row r="70">
      <c r="A70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/>
      </c>
      <c r="J70" t="str">
        <v>18/09/2026</v>
      </c>
      <c r="K70" t="str">
        <v>12:37:00</v>
      </c>
      <c r="L70">
        <v>-12.197828</v>
      </c>
      <c r="M70">
        <v>-76.96648</v>
      </c>
      <c r="N70">
        <f>HYPERLINK("https://www.google.com/maps/search/?api=1&amp;query=-12.197828,-76.96648","Avenida Primero de Mayo, Villa El Salvador, Lima")</f>
      </c>
      <c r="O70" t="str">
        <v>Vehículo encendido</v>
      </c>
      <c r="P70">
        <v>134197.8</v>
      </c>
      <c r="Q70" t="str">
        <v/>
      </c>
      <c r="R70">
        <v>0</v>
      </c>
      <c r="S70">
        <v>0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18/09/2026</v>
      </c>
      <c r="AC70" t="str">
        <v>12:36:59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12:37:14</v>
      </c>
      <c r="AK70" t="str">
        <v>12:37:14</v>
      </c>
      <c r="AL70" t="str">
        <v/>
      </c>
    </row>
    <row r="71">
      <c r="A71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/>
      </c>
      <c r="J71" t="str">
        <v>18/09/2026</v>
      </c>
      <c r="K71" t="str">
        <v>12:41:03</v>
      </c>
      <c r="L71">
        <v>-12.20473</v>
      </c>
      <c r="M71">
        <v>-76.96705</v>
      </c>
      <c r="N71">
        <f>HYPERLINK("https://www.google.com/maps/search/?api=1&amp;query=-12.20473,-76.96705","Avenida Los Algarrobos, Villa El Salvador, Lima")</f>
      </c>
      <c r="O71" t="str">
        <v>Bache</v>
      </c>
      <c r="P71">
        <v>134199.2</v>
      </c>
      <c r="Q71" t="str">
        <v/>
      </c>
      <c r="R71">
        <v>33.8</v>
      </c>
      <c r="S71">
        <v>0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97</v>
      </c>
      <c r="AB71" t="str">
        <v>18/09/2026</v>
      </c>
      <c r="AC71" t="str">
        <v>12:41:01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12:41:11</v>
      </c>
      <c r="AK71" t="str">
        <v>12:41:11</v>
      </c>
      <c r="AL71" t="str">
        <v/>
      </c>
    </row>
    <row r="72">
      <c r="A72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/>
      </c>
      <c r="J72" t="str">
        <v>18/09/2026</v>
      </c>
      <c r="K72" t="str">
        <v>12:41:35</v>
      </c>
      <c r="L72">
        <v>-12.20645</v>
      </c>
      <c r="M72">
        <v>-76.967316</v>
      </c>
      <c r="N72">
        <f>HYPERLINK("https://www.google.com/maps/search/?api=1&amp;query=-12.20645,-76.967316","Avenida Los Algarrobos, Villa El Salvador, Lima")</f>
      </c>
      <c r="O72" t="str">
        <v>Bache</v>
      </c>
      <c r="P72">
        <v>134199.4</v>
      </c>
      <c r="Q72" t="str">
        <v/>
      </c>
      <c r="R72">
        <v>8.3</v>
      </c>
      <c r="S72">
        <v>0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99</v>
      </c>
      <c r="AB72" t="str">
        <v>18/09/2026</v>
      </c>
      <c r="AC72" t="str">
        <v>12:41:34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12:41:49</v>
      </c>
      <c r="AK72" t="str">
        <v>12:41:49</v>
      </c>
      <c r="AL72" t="str">
        <v/>
      </c>
    </row>
    <row r="73">
      <c r="A73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/>
      </c>
      <c r="J73" t="str">
        <v>18/09/2026</v>
      </c>
      <c r="K73" t="str">
        <v>12:42:53</v>
      </c>
      <c r="L73">
        <v>-12.212328</v>
      </c>
      <c r="M73">
        <v>-76.968506</v>
      </c>
      <c r="N73">
        <f>HYPERLINK("https://www.google.com/maps/search/?api=1&amp;query=-12.212328,-76.968506","Avenida Los Algarrobos, Villa El Salvador, Lima")</f>
      </c>
      <c r="O73" t="str">
        <v>Bache</v>
      </c>
      <c r="P73">
        <v>134200</v>
      </c>
      <c r="Q73" t="str">
        <v/>
      </c>
      <c r="R73">
        <v>7.9</v>
      </c>
      <c r="S73">
        <v>0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100</v>
      </c>
      <c r="AB73" t="str">
        <v>18/09/2026</v>
      </c>
      <c r="AC73" t="str">
        <v>12:42:51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12:43:04</v>
      </c>
      <c r="AK73" t="str">
        <v>12:43:04</v>
      </c>
      <c r="AL73" t="str">
        <v/>
      </c>
    </row>
    <row r="74">
      <c r="A74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/>
      </c>
      <c r="J74" t="str">
        <v>18/09/2026</v>
      </c>
      <c r="K74" t="str">
        <v>12:44:57</v>
      </c>
      <c r="L74">
        <v>-12.210274</v>
      </c>
      <c r="M74">
        <v>-76.960396</v>
      </c>
      <c r="N74">
        <f>HYPERLINK("https://www.google.com/maps/search/?api=1&amp;query=-12.210274,-76.960396","Avenida El Sol, Villa El Salvador, Lima")</f>
      </c>
      <c r="O74" t="str">
        <v>Bache</v>
      </c>
      <c r="P74">
        <v>134201</v>
      </c>
      <c r="Q74" t="str">
        <v/>
      </c>
      <c r="R74">
        <v>7.5</v>
      </c>
      <c r="S74">
        <v>0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98</v>
      </c>
      <c r="AB74" t="str">
        <v>18/09/2026</v>
      </c>
      <c r="AC74" t="str">
        <v>12:44:56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12:45:08</v>
      </c>
      <c r="AK74" t="str">
        <v>12:45:08</v>
      </c>
      <c r="AL74" t="str">
        <v/>
      </c>
    </row>
    <row r="75">
      <c r="A75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/>
      </c>
      <c r="J75" t="str">
        <v>18/09/2026</v>
      </c>
      <c r="K75" t="str">
        <v>12:45:15</v>
      </c>
      <c r="L75">
        <v>-12.209885</v>
      </c>
      <c r="M75">
        <v>-76.95972</v>
      </c>
      <c r="N75">
        <f>HYPERLINK("https://www.google.com/maps/search/?api=1&amp;query=-12.209885,-76.95972","Avenida El Sol, Villa El Salvador, Lima")</f>
      </c>
      <c r="O75" t="str">
        <v>Bache</v>
      </c>
      <c r="P75">
        <v>134201.1</v>
      </c>
      <c r="Q75" t="str">
        <v/>
      </c>
      <c r="R75">
        <v>9</v>
      </c>
      <c r="S75">
        <v>0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98</v>
      </c>
      <c r="AB75" t="str">
        <v>18/09/2026</v>
      </c>
      <c r="AC75" t="str">
        <v>12:45:13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12:45:23</v>
      </c>
      <c r="AK75" t="str">
        <v>12:45:23</v>
      </c>
      <c r="AL75" t="str">
        <v/>
      </c>
    </row>
    <row r="76">
      <c r="A76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/>
      </c>
      <c r="J76" t="str">
        <v>18/09/2026</v>
      </c>
      <c r="K76" t="str">
        <v>12:45:20</v>
      </c>
      <c r="L76">
        <v>-12.209788</v>
      </c>
      <c r="M76">
        <v>-76.95956</v>
      </c>
      <c r="N76">
        <f>HYPERLINK("https://www.google.com/maps/search/?api=1&amp;query=-12.209788,-76.95956","Avenida El Sol, Villa El Salvador, Lima")</f>
      </c>
      <c r="O76" t="str">
        <v>Frenado y giro brusco</v>
      </c>
      <c r="P76">
        <v>134201.1</v>
      </c>
      <c r="Q76" t="str">
        <v/>
      </c>
      <c r="R76">
        <v>16.1</v>
      </c>
      <c r="S76">
        <v>0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98</v>
      </c>
      <c r="AB76" t="str">
        <v>18/09/2026</v>
      </c>
      <c r="AC76" t="str">
        <v>12:45:19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12:45:40</v>
      </c>
      <c r="AK76" t="str">
        <v>12:45:40</v>
      </c>
      <c r="AL76" t="str">
        <v/>
      </c>
    </row>
    <row r="77">
      <c r="A77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/>
      </c>
      <c r="J77" t="str">
        <v>18/09/2026</v>
      </c>
      <c r="K77" t="str">
        <v>12:47:33</v>
      </c>
      <c r="L77">
        <v>-12.22099</v>
      </c>
      <c r="M77">
        <v>-76.95273</v>
      </c>
      <c r="N77">
        <f>HYPERLINK("https://www.google.com/maps/search/?api=1&amp;query=-12.22099,-76.95273","Avenida Separadora Agroindustrial, Villa El Salvador, Lima")</f>
      </c>
      <c r="O77" t="str">
        <v>Bache</v>
      </c>
      <c r="P77">
        <v>134202.6</v>
      </c>
      <c r="Q77" t="str">
        <v/>
      </c>
      <c r="R77">
        <v>6.8</v>
      </c>
      <c r="S77">
        <v>0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98</v>
      </c>
      <c r="AB77" t="str">
        <v>18/09/2026</v>
      </c>
      <c r="AC77" t="str">
        <v>12:47:32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12:47:47</v>
      </c>
      <c r="AK77" t="str">
        <v>12:47:47</v>
      </c>
      <c r="AL77" t="str">
        <v/>
      </c>
    </row>
    <row r="78">
      <c r="A78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/>
      </c>
      <c r="J78" t="str">
        <v>18/09/2026</v>
      </c>
      <c r="K78" t="str">
        <v>12:47:54</v>
      </c>
      <c r="L78">
        <v>-12.221788</v>
      </c>
      <c r="M78">
        <v>-76.952255</v>
      </c>
      <c r="N78">
        <f>HYPERLINK("https://www.google.com/maps/search/?api=1&amp;query=-12.221788,-76.952255","Avenida Separadora Agroindustrial, Villa El Salvador, Lima")</f>
      </c>
      <c r="O78" t="str">
        <v>Bache</v>
      </c>
      <c r="P78">
        <v>134202.7</v>
      </c>
      <c r="Q78" t="str">
        <v/>
      </c>
      <c r="R78">
        <v>7.9</v>
      </c>
      <c r="S78">
        <v>0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98</v>
      </c>
      <c r="AB78" t="str">
        <v>18/09/2026</v>
      </c>
      <c r="AC78" t="str">
        <v>12:47:53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12:48:13</v>
      </c>
      <c r="AK78" t="str">
        <v>12:48:13</v>
      </c>
      <c r="AL78" t="str">
        <v/>
      </c>
    </row>
    <row r="79">
      <c r="A79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/>
      </c>
      <c r="J79" t="str">
        <v>18/09/2026</v>
      </c>
      <c r="K79" t="str">
        <v>12:51:49</v>
      </c>
      <c r="L79">
        <v>-12.230802</v>
      </c>
      <c r="M79">
        <v>-76.94341</v>
      </c>
      <c r="N79">
        <f>HYPERLINK("https://www.google.com/maps/search/?api=1&amp;query=-12.230802,-76.94341","Avenida María Elena Moyano, Villa El Salvador, Lima")</f>
      </c>
      <c r="O79" t="str">
        <v>Aceleración brusca</v>
      </c>
      <c r="P79">
        <v>134204.3</v>
      </c>
      <c r="Q79" t="str">
        <v/>
      </c>
      <c r="R79">
        <v>12</v>
      </c>
      <c r="S79">
        <v>0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97</v>
      </c>
      <c r="AB79" t="str">
        <v>18/09/2026</v>
      </c>
      <c r="AC79" t="str">
        <v>12:51:47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12:52:14</v>
      </c>
      <c r="AK79" t="str">
        <v>12:52:14</v>
      </c>
      <c r="AL79" t="str">
        <v/>
      </c>
    </row>
    <row r="80">
      <c r="A80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/>
      </c>
      <c r="J80" t="str">
        <v>18/09/2026</v>
      </c>
      <c r="K80" t="str">
        <v>12:52:55</v>
      </c>
      <c r="L80">
        <v>-12.229198</v>
      </c>
      <c r="M80">
        <v>-76.94024</v>
      </c>
      <c r="N80">
        <f>HYPERLINK("https://www.google.com/maps/search/?api=1&amp;query=-12.229198,-76.94024","Avenida José Olaya, Villa El Salvador, Lima")</f>
      </c>
      <c r="O80" t="str">
        <v>Bache</v>
      </c>
      <c r="P80">
        <v>134204.7</v>
      </c>
      <c r="Q80" t="str">
        <v/>
      </c>
      <c r="R80">
        <v>35.3</v>
      </c>
      <c r="S80">
        <v>0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98</v>
      </c>
      <c r="AB80" t="str">
        <v>18/09/2026</v>
      </c>
      <c r="AC80" t="str">
        <v>12:52:54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12:53:28</v>
      </c>
      <c r="AK80" t="str">
        <v>12:53:28</v>
      </c>
      <c r="AL80" t="str">
        <v/>
      </c>
    </row>
    <row r="81">
      <c r="A81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/>
      </c>
      <c r="J81" t="str">
        <v>18/09/2026</v>
      </c>
      <c r="K81" t="str">
        <v>12:53:51</v>
      </c>
      <c r="L81">
        <v>-12.231477</v>
      </c>
      <c r="M81">
        <v>-76.93783</v>
      </c>
      <c r="N81">
        <f>HYPERLINK("https://www.google.com/maps/search/?api=1&amp;query=-12.231477,-76.93783","Avenida Mariano Pastor Sevilla, Villa El Salvador, Lima")</f>
      </c>
      <c r="O81" t="str">
        <v>Bache</v>
      </c>
      <c r="P81">
        <v>134205.2</v>
      </c>
      <c r="Q81" t="str">
        <v/>
      </c>
      <c r="R81">
        <v>44</v>
      </c>
      <c r="S81">
        <v>0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98</v>
      </c>
      <c r="AB81" t="str">
        <v>18/09/2026</v>
      </c>
      <c r="AC81" t="str">
        <v>12:53:50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12:54:05</v>
      </c>
      <c r="AK81" t="str">
        <v>12:54:05</v>
      </c>
      <c r="AL81" t="str">
        <v/>
      </c>
    </row>
    <row r="82">
      <c r="A82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/>
      </c>
      <c r="J82" t="str">
        <v>18/09/2026</v>
      </c>
      <c r="K82" t="str">
        <v>12:54:29</v>
      </c>
      <c r="L82">
        <v>-12.234158</v>
      </c>
      <c r="M82">
        <v>-76.934975</v>
      </c>
      <c r="N82">
        <f>HYPERLINK("https://www.google.com/maps/search/?api=1&amp;query=-12.234158,-76.934975","Avenida Mariano Pastor Sevilla, Villa El Salvador, Lima")</f>
      </c>
      <c r="O82" t="str">
        <v>Aceleración brusca</v>
      </c>
      <c r="P82">
        <v>134205.6</v>
      </c>
      <c r="Q82" t="str">
        <v/>
      </c>
      <c r="R82">
        <v>14.2</v>
      </c>
      <c r="S82">
        <v>0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98</v>
      </c>
      <c r="AB82" t="str">
        <v>18/09/2026</v>
      </c>
      <c r="AC82" t="str">
        <v>12:54:27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12:54:42</v>
      </c>
      <c r="AK82" t="str">
        <v>12:54:42</v>
      </c>
      <c r="AL82" t="str">
        <v/>
      </c>
    </row>
    <row r="83">
      <c r="A83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/>
      </c>
      <c r="J83" t="str">
        <v>18/09/2026</v>
      </c>
      <c r="K83" t="str">
        <v>12:54:31</v>
      </c>
      <c r="L83">
        <v>-12.234205</v>
      </c>
      <c r="M83">
        <v>-76.93491</v>
      </c>
      <c r="N83">
        <f>HYPERLINK("https://www.google.com/maps/search/?api=1&amp;query=-12.234205,-76.93491","Avenida Mariano Pastor Sevilla, Villa El Salvador, Lima")</f>
      </c>
      <c r="O83" t="str">
        <v>Bache</v>
      </c>
      <c r="P83">
        <v>134205.6</v>
      </c>
      <c r="Q83" t="str">
        <v/>
      </c>
      <c r="R83">
        <v>7.4</v>
      </c>
      <c r="S83">
        <v>0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98</v>
      </c>
      <c r="AB83" t="str">
        <v>18/09/2026</v>
      </c>
      <c r="AC83" t="str">
        <v>12:54:30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12:54:36</v>
      </c>
      <c r="AK83" t="str">
        <v>12:54:36</v>
      </c>
      <c r="AL83" t="str">
        <v/>
      </c>
    </row>
    <row r="84">
      <c r="A84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/>
      </c>
      <c r="J84" t="str">
        <v>18/09/2026</v>
      </c>
      <c r="K84" t="str">
        <v>12:54:54</v>
      </c>
      <c r="L84">
        <v>-12.234881</v>
      </c>
      <c r="M84">
        <v>-76.93399</v>
      </c>
      <c r="N84">
        <f>HYPERLINK("https://www.google.com/maps/search/?api=1&amp;query=-12.234881,-76.93399","Avenida Prolongación Mariano Pastor Sevilla, Villa El Salvador, Lima")</f>
      </c>
      <c r="O84" t="str">
        <v>Ingreso a camino vecinal</v>
      </c>
      <c r="P84">
        <v>134205.7</v>
      </c>
      <c r="Q84" t="str">
        <v/>
      </c>
      <c r="R84">
        <v>27.2</v>
      </c>
      <c r="S84">
        <v>0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98</v>
      </c>
      <c r="AB84" t="str">
        <v>18/09/2026</v>
      </c>
      <c r="AC84" t="str">
        <v>12:54:53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12:55:11</v>
      </c>
      <c r="AK84" t="str">
        <v>12:55:11</v>
      </c>
      <c r="AL84" t="str">
        <v/>
      </c>
    </row>
    <row r="85">
      <c r="A85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/>
      </c>
      <c r="J85" t="str">
        <v>18/09/2026</v>
      </c>
      <c r="K85" t="str">
        <v>12:55:54</v>
      </c>
      <c r="L85">
        <v>-12.23855</v>
      </c>
      <c r="M85">
        <v>-76.928535</v>
      </c>
      <c r="N85">
        <f>HYPERLINK("https://www.google.com/maps/search/?api=1&amp;query=-12.23855,-76.928535","Avenida Prolongación Mariano Pastor Sevilla, Villa El Salvador, Lima")</f>
      </c>
      <c r="O85" t="str">
        <v>Salida de camino vecinal</v>
      </c>
      <c r="P85">
        <v>134206.5</v>
      </c>
      <c r="Q85" t="str">
        <v/>
      </c>
      <c r="R85">
        <v>34.6</v>
      </c>
      <c r="S85">
        <v>0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98</v>
      </c>
      <c r="AB85" t="str">
        <v>18/09/2026</v>
      </c>
      <c r="AC85" t="str">
        <v>12:55:53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12:56:10</v>
      </c>
      <c r="AK85" t="str">
        <v>12:56:10</v>
      </c>
      <c r="AL85" t="str">
        <v/>
      </c>
    </row>
    <row r="86">
      <c r="A86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/>
      </c>
      <c r="J86" t="str">
        <v>18/09/2026</v>
      </c>
      <c r="K86" t="str">
        <v>12:58:22</v>
      </c>
      <c r="L86">
        <v>-12.243368</v>
      </c>
      <c r="M86">
        <v>-76.926</v>
      </c>
      <c r="N86">
        <f>HYPERLINK("https://www.google.com/maps/search/?api=1&amp;query=-12.243368,-76.926","Avenida Prolongación Mariano Pastor Sevilla, Villa El Salvador, Lima")</f>
      </c>
      <c r="O86" t="str">
        <v>Vehículo apagado</v>
      </c>
      <c r="P86">
        <v>134207.1</v>
      </c>
      <c r="Q86" t="str">
        <v/>
      </c>
      <c r="R86">
        <v>0</v>
      </c>
      <c r="S86">
        <v>0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98</v>
      </c>
      <c r="AB86" t="str">
        <v>18/09/2026</v>
      </c>
      <c r="AC86" t="str">
        <v>12:58:21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12:58:40</v>
      </c>
      <c r="AK86" t="str">
        <v>12:58:40</v>
      </c>
      <c r="AL86" t="str">
        <v/>
      </c>
    </row>
    <row r="87">
      <c r="A87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/>
      </c>
      <c r="J87" t="str">
        <v>18/09/2026</v>
      </c>
      <c r="K87" t="str">
        <v>13:05:06</v>
      </c>
      <c r="L87">
        <v>-12.243368</v>
      </c>
      <c r="M87">
        <v>-76.926</v>
      </c>
      <c r="N87">
        <f>HYPERLINK("https://www.google.com/maps/search/?api=1&amp;query=-12.243368,-76.926","Avenida Prolongación Mariano Pastor Sevilla, Villa El Salvador, Lima")</f>
      </c>
      <c r="O87" t="str">
        <v>Se detuvo</v>
      </c>
      <c r="P87">
        <v>134207.1</v>
      </c>
      <c r="Q87" t="str">
        <v/>
      </c>
      <c r="R87">
        <v>0</v>
      </c>
      <c r="S87">
        <v>0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98</v>
      </c>
      <c r="AB87" t="str">
        <v>18/09/2026</v>
      </c>
      <c r="AC87" t="str">
        <v>13:05:04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13:05:12</v>
      </c>
      <c r="AK87" t="str">
        <v>13:05:12</v>
      </c>
      <c r="AL87" t="str">
        <v/>
      </c>
    </row>
    <row r="88">
      <c r="A88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/>
      </c>
      <c r="J88" t="str">
        <v>18/09/2026</v>
      </c>
      <c r="K88" t="str">
        <v>13:22:33</v>
      </c>
      <c r="L88">
        <v>-12.243368</v>
      </c>
      <c r="M88">
        <v>-76.926</v>
      </c>
      <c r="N88">
        <f>HYPERLINK("https://www.google.com/maps/search/?api=1&amp;query=-12.243368,-76.926","Avenida Prolongación Mariano Pastor Sevilla, Villa El Salvador, Lima")</f>
      </c>
      <c r="O88" t="str">
        <v>Vehículo encendido</v>
      </c>
      <c r="P88">
        <v>134207.1</v>
      </c>
      <c r="Q88" t="str">
        <v/>
      </c>
      <c r="R88">
        <v>0</v>
      </c>
      <c r="S88">
        <v>0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98</v>
      </c>
      <c r="AB88" t="str">
        <v>18/09/2026</v>
      </c>
      <c r="AC88" t="str">
        <v>13:22:31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13:22:49</v>
      </c>
      <c r="AK88" t="str">
        <v>13:22:49</v>
      </c>
      <c r="AL88" t="str">
        <v/>
      </c>
    </row>
    <row r="89">
      <c r="A89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/>
      </c>
      <c r="J89" t="str">
        <v>18/09/2026</v>
      </c>
      <c r="K89" t="str">
        <v>13:25:25</v>
      </c>
      <c r="L89">
        <v>-12.247078</v>
      </c>
      <c r="M89">
        <v>-76.928444</v>
      </c>
      <c r="N89">
        <f>HYPERLINK("https://www.google.com/maps/search/?api=1&amp;query=-12.247078,-76.928444","Avenida María Reiche, Villa El Salvador, Lima")</f>
      </c>
      <c r="O89" t="str">
        <v>Bache</v>
      </c>
      <c r="P89">
        <v>134207.9</v>
      </c>
      <c r="Q89" t="str">
        <v/>
      </c>
      <c r="R89">
        <v>8.7</v>
      </c>
      <c r="S89">
        <v>0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98</v>
      </c>
      <c r="AB89" t="str">
        <v>18/09/2026</v>
      </c>
      <c r="AC89" t="str">
        <v>13:25:23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18/09/2026 13:25:44</v>
      </c>
      <c r="AK89" t="str">
        <v>13:25:44</v>
      </c>
      <c r="AL89" t="str">
        <v/>
      </c>
    </row>
    <row r="90">
      <c r="A90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/>
      </c>
      <c r="J90" t="str">
        <v>18/09/2026</v>
      </c>
      <c r="K90" t="str">
        <v>13:26:03</v>
      </c>
      <c r="L90">
        <v>-12.246735</v>
      </c>
      <c r="M90">
        <v>-76.93076</v>
      </c>
      <c r="N90">
        <f>HYPERLINK("https://www.google.com/maps/search/?api=1&amp;query=-12.246735,-76.93076","Avenida María Reiche, Villa El Salvador, Lima")</f>
      </c>
      <c r="O90" t="str">
        <v>Bache</v>
      </c>
      <c r="P90">
        <v>134208.2</v>
      </c>
      <c r="Q90" t="str">
        <v/>
      </c>
      <c r="R90">
        <v>8.3</v>
      </c>
      <c r="S90">
        <v>0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98</v>
      </c>
      <c r="AB90" t="str">
        <v>18/09/2026</v>
      </c>
      <c r="AC90" t="str">
        <v>13:26:02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18/09/2026 13:26:17</v>
      </c>
      <c r="AK90" t="str">
        <v>13:26:17</v>
      </c>
      <c r="AL90" t="str">
        <v/>
      </c>
    </row>
    <row r="91">
      <c r="A91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/>
      </c>
      <c r="J91" t="str">
        <v>18/09/2026</v>
      </c>
      <c r="K91" t="str">
        <v>13:26:42</v>
      </c>
      <c r="L91">
        <v>-12.247372</v>
      </c>
      <c r="M91">
        <v>-76.93253</v>
      </c>
      <c r="N91">
        <f>HYPERLINK("https://www.google.com/maps/search/?api=1&amp;query=-12.247372,-76.93253","Avenida María Reiche, Villa El Salvador, Lima")</f>
      </c>
      <c r="O91" t="str">
        <v>Bache</v>
      </c>
      <c r="P91">
        <v>134208.4</v>
      </c>
      <c r="Q91" t="str">
        <v/>
      </c>
      <c r="R91">
        <v>8.7</v>
      </c>
      <c r="S91">
        <v>0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98</v>
      </c>
      <c r="AB91" t="str">
        <v>18/09/2026</v>
      </c>
      <c r="AC91" t="str">
        <v>13:26:40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18/09/2026 13:26:54</v>
      </c>
      <c r="AK91" t="str">
        <v>13:26:54</v>
      </c>
      <c r="AL91" t="str">
        <v/>
      </c>
    </row>
    <row r="92">
      <c r="A92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/>
      </c>
      <c r="J92" t="str">
        <v>18/09/2026</v>
      </c>
      <c r="K92" t="str">
        <v>13:27:49</v>
      </c>
      <c r="L92">
        <v>-12.250083</v>
      </c>
      <c r="M92">
        <v>-76.93053</v>
      </c>
      <c r="N92">
        <f>HYPERLINK("https://www.google.com/maps/search/?api=1&amp;query=-12.250083,-76.93053","Antigua Panamericana Sur, Villa El Salvador, Lima")</f>
      </c>
      <c r="O92" t="str">
        <v>Bache</v>
      </c>
      <c r="P92">
        <v>134208.9</v>
      </c>
      <c r="Q92" t="str">
        <v/>
      </c>
      <c r="R92">
        <v>14.4</v>
      </c>
      <c r="S92">
        <v>0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99</v>
      </c>
      <c r="AB92" t="str">
        <v>18/09/2026</v>
      </c>
      <c r="AC92" t="str">
        <v>13:27:48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18/09/2026 13:28:10</v>
      </c>
      <c r="AK92" t="str">
        <v>13:28:10</v>
      </c>
      <c r="AL92" t="str">
        <v/>
      </c>
    </row>
    <row r="93">
      <c r="A93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/>
      </c>
      <c r="J93" t="str">
        <v>18/09/2026</v>
      </c>
      <c r="K93" t="str">
        <v>13:29:06</v>
      </c>
      <c r="L93">
        <v>-12.25386</v>
      </c>
      <c r="M93">
        <v>-76.92307</v>
      </c>
      <c r="N93">
        <f>HYPERLINK("https://www.google.com/maps/search/?api=1&amp;query=-12.25386,-76.92307","Antigua Panamericana Sur, Lurín, Lima")</f>
      </c>
      <c r="O93" t="str">
        <v>Bache</v>
      </c>
      <c r="P93">
        <v>134209.8</v>
      </c>
      <c r="Q93" t="str">
        <v/>
      </c>
      <c r="R93">
        <v>14.4</v>
      </c>
      <c r="S93">
        <v>0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97</v>
      </c>
      <c r="AB93" t="str">
        <v>18/09/2026</v>
      </c>
      <c r="AC93" t="str">
        <v>13:29:05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18/09/2026 13:29:31</v>
      </c>
      <c r="AK93" t="str">
        <v>13:29:31</v>
      </c>
      <c r="AL93" t="str">
        <v/>
      </c>
    </row>
    <row r="94">
      <c r="A94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/>
      </c>
      <c r="J94" t="str">
        <v>18/09/2026</v>
      </c>
      <c r="K94" t="str">
        <v>13:29:35</v>
      </c>
      <c r="L94">
        <v>-12.2543</v>
      </c>
      <c r="M94">
        <v>-76.920746</v>
      </c>
      <c r="N94">
        <f>HYPERLINK("https://www.google.com/maps/search/?api=1&amp;query=-12.2543,-76.920746","Antigua Panamericana Sur, Lurín, Lima")</f>
      </c>
      <c r="O94" t="str">
        <v>Acelerado y giro brusco</v>
      </c>
      <c r="P94">
        <v>134210</v>
      </c>
      <c r="Q94" t="str">
        <v/>
      </c>
      <c r="R94">
        <v>24.8</v>
      </c>
      <c r="S94">
        <v>0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97</v>
      </c>
      <c r="AB94" t="str">
        <v>18/09/2026</v>
      </c>
      <c r="AC94" t="str">
        <v>13:29:34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18/09/2026 13:29:42</v>
      </c>
      <c r="AK94" t="str">
        <v>13:29:42</v>
      </c>
      <c r="AL94" t="str">
        <v/>
      </c>
    </row>
    <row r="95">
      <c r="A95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/>
      </c>
      <c r="J95" t="str">
        <v>18/09/2026</v>
      </c>
      <c r="K95" t="str">
        <v>13:29:50</v>
      </c>
      <c r="L95">
        <v>-12.255167</v>
      </c>
      <c r="M95">
        <v>-76.92097</v>
      </c>
      <c r="N95">
        <f>HYPERLINK("https://www.google.com/maps/search/?api=1&amp;query=-12.255167,-76.92097","Lurín, Lima")</f>
      </c>
      <c r="O95" t="str">
        <v>Bache</v>
      </c>
      <c r="P95">
        <v>134210.2</v>
      </c>
      <c r="Q95" t="str">
        <v/>
      </c>
      <c r="R95">
        <v>31.8</v>
      </c>
      <c r="S95">
        <v>0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97</v>
      </c>
      <c r="AB95" t="str">
        <v>18/09/2026</v>
      </c>
      <c r="AC95" t="str">
        <v>13:29:48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18/09/2026 13:30:00</v>
      </c>
      <c r="AK95" t="str">
        <v>13:30:00</v>
      </c>
      <c r="AL95" t="str">
        <v/>
      </c>
    </row>
    <row r="96">
      <c r="A96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/>
      </c>
      <c r="J96" t="str">
        <v>18/09/2026</v>
      </c>
      <c r="K96" t="str">
        <v>13:45:09</v>
      </c>
      <c r="L96">
        <v>-12.335912</v>
      </c>
      <c r="M96">
        <v>-76.81906</v>
      </c>
      <c r="N96">
        <f>HYPERLINK("https://www.google.com/maps/search/?api=1&amp;query=-12.335912,-76.81906","Antigua Panamericana Sur, Punta Hermosa, Lima")</f>
      </c>
      <c r="O96" t="str">
        <v>Acelerado y giro brusco</v>
      </c>
      <c r="P96">
        <v>134225.4</v>
      </c>
      <c r="Q96" t="str">
        <v/>
      </c>
      <c r="R96">
        <v>17.5</v>
      </c>
      <c r="S96">
        <v>0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97</v>
      </c>
      <c r="AB96" t="str">
        <v>18/09/2026</v>
      </c>
      <c r="AC96" t="str">
        <v>13:45:07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18/09/2026 13:45:29</v>
      </c>
      <c r="AK96" t="str">
        <v>13:45:29</v>
      </c>
      <c r="AL96" t="str">
        <v/>
      </c>
    </row>
    <row r="97">
      <c r="A97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/>
      </c>
      <c r="J97" t="str">
        <v>18/09/2026</v>
      </c>
      <c r="K97" t="str">
        <v>13:45:26</v>
      </c>
      <c r="L97">
        <v>-12.334908</v>
      </c>
      <c r="M97">
        <v>-76.81979</v>
      </c>
      <c r="N97">
        <f>HYPERLINK("https://www.google.com/maps/search/?api=1&amp;query=-12.334908,-76.81979","Antigua Panamericana Sur, Punta Hermosa, Lima")</f>
      </c>
      <c r="O97" t="str">
        <v>Bache</v>
      </c>
      <c r="P97">
        <v>134225.5</v>
      </c>
      <c r="Q97" t="str">
        <v/>
      </c>
      <c r="R97">
        <v>21.6</v>
      </c>
      <c r="S97">
        <v>0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97</v>
      </c>
      <c r="AB97" t="str">
        <v>18/09/2026</v>
      </c>
      <c r="AC97" t="str">
        <v>13:45:24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18/09/2026 13:45:45</v>
      </c>
      <c r="AK97" t="str">
        <v>13:45:45</v>
      </c>
      <c r="AL97" t="str">
        <v/>
      </c>
    </row>
    <row r="98">
      <c r="A98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/>
      </c>
      <c r="J98" t="str">
        <v>18/09/2026</v>
      </c>
      <c r="K98" t="str">
        <v>13:46:14</v>
      </c>
      <c r="L98">
        <v>-12.332677</v>
      </c>
      <c r="M98">
        <v>-76.82011</v>
      </c>
      <c r="N98">
        <f>HYPERLINK("https://www.google.com/maps/search/?api=1&amp;query=-12.332677,-76.82011","Carretera Panamericana Sur, Punta Hermosa, Lima")</f>
      </c>
      <c r="O98" t="str">
        <v>Bache</v>
      </c>
      <c r="P98">
        <v>134225.9</v>
      </c>
      <c r="Q98" t="str">
        <v/>
      </c>
      <c r="R98">
        <v>29.6</v>
      </c>
      <c r="S98">
        <v>0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99</v>
      </c>
      <c r="AB98" t="str">
        <v>18/09/2026</v>
      </c>
      <c r="AC98" t="str">
        <v>13:46:12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18/09/2026 13:46:34</v>
      </c>
      <c r="AK98" t="str">
        <v>13:46:34</v>
      </c>
      <c r="AL98" t="str">
        <v/>
      </c>
    </row>
    <row r="99">
      <c r="A99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 xml:space="preserve"> </v>
      </c>
      <c r="J99" t="str">
        <v>18/09/2026</v>
      </c>
      <c r="K99" t="str">
        <v>13:48:35</v>
      </c>
      <c r="L99">
        <v>-12.317542</v>
      </c>
      <c r="M99">
        <v>-76.82958</v>
      </c>
      <c r="N99">
        <f>HYPERLINK("https://www.google.com/maps/search/?api=1&amp;query=-12.317542,-76.82958","Punta Hermosa, Lima")</f>
      </c>
      <c r="O99" t="str">
        <v>Llegó a la zona</v>
      </c>
      <c r="P99">
        <v>134227.9</v>
      </c>
      <c r="Q99" t="str">
        <v>MASS BSF 1</v>
      </c>
      <c r="R99">
        <v>14.6</v>
      </c>
      <c r="S99">
        <v>0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98</v>
      </c>
      <c r="AB99" t="str">
        <v>18/09/2026</v>
      </c>
      <c r="AC99" t="str">
        <v>13:48:34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18/09/2026 13:48:45</v>
      </c>
      <c r="AK99" t="str">
        <v>13:48:45</v>
      </c>
      <c r="AL99" t="str">
        <v/>
      </c>
    </row>
    <row r="100">
      <c r="A100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/>
      </c>
      <c r="J100" t="str">
        <v>18/09/2026</v>
      </c>
      <c r="K100" t="str">
        <v>13:51:14</v>
      </c>
      <c r="L100">
        <v>-12.316955</v>
      </c>
      <c r="M100">
        <v>-76.825516</v>
      </c>
      <c r="N100">
        <f>HYPERLINK("https://www.google.com/maps/search/?api=1&amp;query=-12.316955,-76.825516","Punta Hermosa, Lima")</f>
      </c>
      <c r="O100" t="str">
        <v>Bache</v>
      </c>
      <c r="P100">
        <v>134228.4</v>
      </c>
      <c r="Q100" t="str">
        <v/>
      </c>
      <c r="R100">
        <v>19.2</v>
      </c>
      <c r="S100">
        <v>0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97</v>
      </c>
      <c r="AB100" t="str">
        <v>18/09/2026</v>
      </c>
      <c r="AC100" t="str">
        <v>13:51:12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18/09/2026 13:51:40</v>
      </c>
      <c r="AK100" t="str">
        <v>13:51:40</v>
      </c>
      <c r="AL100" t="str">
        <v/>
      </c>
    </row>
    <row r="101">
      <c r="A101">
        <v>100</v>
      </c>
      <c r="B101" t="str">
        <v>MASS BSF</v>
      </c>
      <c r="C101" t="str">
        <v>F6V-794</v>
      </c>
      <c r="D101" t="str">
        <v>F6V-794</v>
      </c>
      <c r="E101" t="str">
        <v/>
      </c>
      <c r="F101" t="str">
        <v>865235053167082</v>
      </c>
      <c r="G101" t="str">
        <v>TBD</v>
      </c>
      <c r="H101" t="str">
        <v/>
      </c>
      <c r="I101" t="str">
        <v/>
      </c>
      <c r="J101" t="str">
        <v>18/09/2026</v>
      </c>
      <c r="K101" t="str">
        <v>13:55:05</v>
      </c>
      <c r="L101">
        <v>-12.317335</v>
      </c>
      <c r="M101">
        <v>-76.82293</v>
      </c>
      <c r="N101">
        <f>HYPERLINK("https://www.google.com/maps/search/?api=1&amp;query=-12.317335,-76.82293","Punta Hermosa, Lima")</f>
      </c>
      <c r="O101" t="str">
        <v>Vehículo apagado</v>
      </c>
      <c r="P101">
        <v>134228.9</v>
      </c>
      <c r="Q101" t="str">
        <v/>
      </c>
      <c r="R101">
        <v>0</v>
      </c>
      <c r="S101">
        <v>0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97</v>
      </c>
      <c r="AB101" t="str">
        <v>18/09/2026</v>
      </c>
      <c r="AC101" t="str">
        <v>13:55:03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18/09/2026 13:55:15</v>
      </c>
      <c r="AK101" t="str">
        <v>13:55:15</v>
      </c>
      <c r="AL101" t="str">
        <v/>
      </c>
    </row>
    <row r="102">
      <c r="A102">
        <v>101</v>
      </c>
      <c r="B102" t="str">
        <v>MASS BSF</v>
      </c>
      <c r="C102" t="str">
        <v>F6V-794</v>
      </c>
      <c r="D102" t="str">
        <v>F6V-794</v>
      </c>
      <c r="E102" t="str">
        <v/>
      </c>
      <c r="F102" t="str">
        <v>865235053167082</v>
      </c>
      <c r="G102" t="str">
        <v>TBD</v>
      </c>
      <c r="H102" t="str">
        <v/>
      </c>
      <c r="I102" t="str">
        <v/>
      </c>
      <c r="J102" t="str">
        <v>18/09/2026</v>
      </c>
      <c r="K102" t="str">
        <v>14:05:40</v>
      </c>
      <c r="L102">
        <v>-12.317335</v>
      </c>
      <c r="M102">
        <v>-76.82293</v>
      </c>
      <c r="N102">
        <f>HYPERLINK("https://www.google.com/maps/search/?api=1&amp;query=-12.317335,-76.82293","Punta Hermosa, Lima")</f>
      </c>
      <c r="O102" t="str">
        <v>Vehículo encendido</v>
      </c>
      <c r="P102">
        <v>134228.9</v>
      </c>
      <c r="Q102" t="str">
        <v/>
      </c>
      <c r="R102">
        <v>0</v>
      </c>
      <c r="S102">
        <v>0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97</v>
      </c>
      <c r="AB102" t="str">
        <v>18/09/2026</v>
      </c>
      <c r="AC102" t="str">
        <v>14:05:38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18/09/2026 14:05:53</v>
      </c>
      <c r="AK102" t="str">
        <v>14:05:53</v>
      </c>
      <c r="AL102" t="str">
        <v/>
      </c>
    </row>
    <row r="103">
      <c r="A103">
        <v>102</v>
      </c>
      <c r="B103" t="str">
        <v>MASS BSF</v>
      </c>
      <c r="C103" t="str">
        <v>F6V-794</v>
      </c>
      <c r="D103" t="str">
        <v>F6V-794</v>
      </c>
      <c r="E103" t="str">
        <v/>
      </c>
      <c r="F103" t="str">
        <v>865235053167082</v>
      </c>
      <c r="G103" t="str">
        <v>TBD</v>
      </c>
      <c r="H103" t="str">
        <v/>
      </c>
      <c r="I103" t="str">
        <v/>
      </c>
      <c r="J103" t="str">
        <v>18/09/2026</v>
      </c>
      <c r="K103" t="str">
        <v>14:06:51</v>
      </c>
      <c r="L103">
        <v>-12.317391</v>
      </c>
      <c r="M103">
        <v>-76.823</v>
      </c>
      <c r="N103">
        <f>HYPERLINK("https://www.google.com/maps/search/?api=1&amp;query=-12.317391,-76.823","Punta Hermosa, Lima")</f>
      </c>
      <c r="O103" t="str">
        <v>Se detuvo</v>
      </c>
      <c r="P103">
        <v>134228.9</v>
      </c>
      <c r="Q103" t="str">
        <v/>
      </c>
      <c r="R103">
        <v>0</v>
      </c>
      <c r="S103">
        <v>0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97</v>
      </c>
      <c r="AB103" t="str">
        <v>18/09/2026</v>
      </c>
      <c r="AC103" t="str">
        <v>14:06:49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18/09/2026 14:06:58</v>
      </c>
      <c r="AK103" t="str">
        <v>14:06:58</v>
      </c>
      <c r="AL103" t="str">
        <v/>
      </c>
    </row>
    <row r="104">
      <c r="A104">
        <v>103</v>
      </c>
      <c r="B104" t="str">
        <v>MASS BSF</v>
      </c>
      <c r="C104" t="str">
        <v>F6V-794</v>
      </c>
      <c r="D104" t="str">
        <v>F6V-794</v>
      </c>
      <c r="E104" t="str">
        <v/>
      </c>
      <c r="F104" t="str">
        <v>865235053167082</v>
      </c>
      <c r="G104" t="str">
        <v>TBD</v>
      </c>
      <c r="H104" t="str">
        <v/>
      </c>
      <c r="I104" t="str">
        <v/>
      </c>
      <c r="J104" t="str">
        <v>18/09/2026</v>
      </c>
      <c r="K104" t="str">
        <v>14:12:02</v>
      </c>
      <c r="L104">
        <v>-12.317677</v>
      </c>
      <c r="M104">
        <v>-76.824265</v>
      </c>
      <c r="N104">
        <f>HYPERLINK("https://www.google.com/maps/search/?api=1&amp;query=-12.317677,-76.824265","Punta Hermosa, Lima")</f>
      </c>
      <c r="O104" t="str">
        <v>Vehículo apagado</v>
      </c>
      <c r="P104">
        <v>134229.2</v>
      </c>
      <c r="Q104" t="str">
        <v/>
      </c>
      <c r="R104">
        <v>0</v>
      </c>
      <c r="S104">
        <v>0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97</v>
      </c>
      <c r="AB104" t="str">
        <v>18/09/2026</v>
      </c>
      <c r="AC104" t="str">
        <v>14:12:01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18/09/2026 14:12:24</v>
      </c>
      <c r="AK104" t="str">
        <v>14:12:24</v>
      </c>
      <c r="AL104" t="str">
        <v/>
      </c>
    </row>
    <row r="105">
      <c r="A105">
        <v>104</v>
      </c>
      <c r="B105" t="str">
        <v>MASS BSF</v>
      </c>
      <c r="C105" t="str">
        <v>F6V-794</v>
      </c>
      <c r="D105" t="str">
        <v>F6V-794</v>
      </c>
      <c r="E105" t="str">
        <v/>
      </c>
      <c r="F105" t="str">
        <v>865235053167082</v>
      </c>
      <c r="G105" t="str">
        <v>TBD</v>
      </c>
      <c r="H105" t="str">
        <v/>
      </c>
      <c r="I105" t="str">
        <v/>
      </c>
      <c r="J105" t="str">
        <v>18/09/2026</v>
      </c>
      <c r="K105" t="str">
        <v>14:18:43</v>
      </c>
      <c r="L105">
        <v>-12.317677</v>
      </c>
      <c r="M105">
        <v>-76.824265</v>
      </c>
      <c r="N105">
        <f>HYPERLINK("https://www.google.com/maps/search/?api=1&amp;query=-12.317677,-76.824265","Punta Hermosa, Lima")</f>
      </c>
      <c r="O105" t="str">
        <v>Se detuvo</v>
      </c>
      <c r="P105">
        <v>134229.2</v>
      </c>
      <c r="Q105" t="str">
        <v/>
      </c>
      <c r="R105">
        <v>0</v>
      </c>
      <c r="S105">
        <v>0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97</v>
      </c>
      <c r="AB105" t="str">
        <v>18/09/2026</v>
      </c>
      <c r="AC105" t="str">
        <v>14:18:41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18/09/2026 14:18:50</v>
      </c>
      <c r="AK105" t="str">
        <v>14:18:50</v>
      </c>
      <c r="AL105" t="str">
        <v/>
      </c>
    </row>
    <row r="106">
      <c r="A106">
        <v>105</v>
      </c>
      <c r="B106" t="str">
        <v>MASS BSF</v>
      </c>
      <c r="C106" t="str">
        <v>F6V-794</v>
      </c>
      <c r="D106" t="str">
        <v>F6V-794</v>
      </c>
      <c r="E106" t="str">
        <v/>
      </c>
      <c r="F106" t="str">
        <v>865235053167082</v>
      </c>
      <c r="G106" t="str">
        <v>TBD</v>
      </c>
      <c r="H106" t="str">
        <v/>
      </c>
      <c r="I106" t="str">
        <v/>
      </c>
      <c r="J106" t="str">
        <v>18/09/2026</v>
      </c>
      <c r="K106" t="str">
        <v>16:17:36</v>
      </c>
      <c r="L106">
        <v>-12.317635</v>
      </c>
      <c r="M106">
        <v>-76.8242</v>
      </c>
      <c r="N106">
        <f>HYPERLINK("https://www.google.com/maps/search/?api=1&amp;query=-12.317635,-76.8242","Punta Hermosa, Lima")</f>
      </c>
      <c r="O106" t="str">
        <v>Vehículo encendido</v>
      </c>
      <c r="P106">
        <v>134229.2</v>
      </c>
      <c r="Q106" t="str">
        <v/>
      </c>
      <c r="R106">
        <v>0</v>
      </c>
      <c r="S106">
        <v>0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93</v>
      </c>
      <c r="AB106" t="str">
        <v>18/09/2026</v>
      </c>
      <c r="AC106" t="str">
        <v>16:17:34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18/09/2026 16:17:51</v>
      </c>
      <c r="AK106" t="str">
        <v>16:17:51</v>
      </c>
      <c r="AL106" t="str">
        <v/>
      </c>
    </row>
    <row r="107">
      <c r="A107">
        <v>106</v>
      </c>
      <c r="B107" t="str">
        <v>MASS BSF</v>
      </c>
      <c r="C107" t="str">
        <v>F6V-794</v>
      </c>
      <c r="D107" t="str">
        <v>F6V-794</v>
      </c>
      <c r="E107" t="str">
        <v/>
      </c>
      <c r="F107" t="str">
        <v>865235053167082</v>
      </c>
      <c r="G107" t="str">
        <v>TBD</v>
      </c>
      <c r="H107" t="str">
        <v/>
      </c>
      <c r="I107" t="str">
        <v/>
      </c>
      <c r="J107" t="str">
        <v>18/09/2026</v>
      </c>
      <c r="K107" t="str">
        <v>16:18:41</v>
      </c>
      <c r="L107">
        <v>-12.317592</v>
      </c>
      <c r="M107">
        <v>-76.82433</v>
      </c>
      <c r="N107">
        <f>HYPERLINK("https://www.google.com/maps/search/?api=1&amp;query=-12.317592,-76.82433","Punta Hermosa, Lima")</f>
      </c>
      <c r="O107" t="str">
        <v>Vehículo apagado</v>
      </c>
      <c r="P107">
        <v>134229.3</v>
      </c>
      <c r="Q107" t="str">
        <v/>
      </c>
      <c r="R107">
        <v>0</v>
      </c>
      <c r="S107">
        <v>0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93</v>
      </c>
      <c r="AB107" t="str">
        <v>18/09/2026</v>
      </c>
      <c r="AC107" t="str">
        <v>16:18:39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18/09/2026 16:18:57</v>
      </c>
      <c r="AK107" t="str">
        <v>16:18:57</v>
      </c>
      <c r="AL107" t="str">
        <v/>
      </c>
    </row>
    <row r="108">
      <c r="A108">
        <v>107</v>
      </c>
      <c r="B108" t="str">
        <v>MASS BSF</v>
      </c>
      <c r="C108" t="str">
        <v>F6V-794</v>
      </c>
      <c r="D108" t="str">
        <v>F6V-794</v>
      </c>
      <c r="E108" t="str">
        <v/>
      </c>
      <c r="F108" t="str">
        <v>865235053167082</v>
      </c>
      <c r="G108" t="str">
        <v>TBD</v>
      </c>
      <c r="H108" t="str">
        <v/>
      </c>
      <c r="I108" t="str">
        <v/>
      </c>
      <c r="J108" t="str">
        <v>18/09/2026</v>
      </c>
      <c r="K108" t="str">
        <v>16:37:05</v>
      </c>
      <c r="L108">
        <v>-12.317591</v>
      </c>
      <c r="M108">
        <v>-76.824333</v>
      </c>
      <c r="N108">
        <f>HYPERLINK("https://www.google.com/maps/search/?api=1&amp;query=-12.317591,-76.824333","Punta Hermosa, Lima")</f>
      </c>
      <c r="O108" t="str">
        <v>Vehículo apagado</v>
      </c>
      <c r="P108">
        <v>134229.3</v>
      </c>
      <c r="Q108" t="str">
        <v/>
      </c>
      <c r="R108">
        <v>0</v>
      </c>
      <c r="S108">
        <v>0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93</v>
      </c>
      <c r="AB108" t="str">
        <v>18/09/2026</v>
      </c>
      <c r="AC108" t="str">
        <v>16:37:03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18/09/2026 16:37:27</v>
      </c>
      <c r="AK108" t="str">
        <v>16:37:27</v>
      </c>
      <c r="AL108" t="str">
        <v/>
      </c>
    </row>
  </sheetData>
  <ignoredErrors>
    <ignoredError numberStoredAsText="1" sqref="A1:AL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