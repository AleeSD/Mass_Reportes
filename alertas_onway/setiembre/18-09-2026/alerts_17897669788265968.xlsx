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0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IMEI</v>
      </c>
      <c r="F1" t="str">
        <v>Tipo de carrocería</v>
      </c>
      <c r="G1" t="str">
        <v>Empresa</v>
      </c>
      <c r="H1" t="str">
        <v>Conductor</v>
      </c>
      <c r="I1" t="str">
        <v>Fecha</v>
      </c>
      <c r="J1" t="str">
        <v>Hora</v>
      </c>
      <c r="K1" t="str">
        <v>Latitud</v>
      </c>
      <c r="L1" t="str">
        <v>Longitud</v>
      </c>
      <c r="M1" t="str">
        <v>Dirección</v>
      </c>
      <c r="N1" t="str">
        <v>Alerta</v>
      </c>
      <c r="O1" t="str">
        <v>Odómetro (Km)</v>
      </c>
      <c r="P1" t="str">
        <v>Zona</v>
      </c>
      <c r="Q1" t="str">
        <v>Velocidad (Km/h)</v>
      </c>
      <c r="R1" t="str">
        <v>Horómetro (Hrs)</v>
      </c>
      <c r="S1" t="str">
        <v>Velocidad máxima permitida</v>
      </c>
      <c r="T1" t="str">
        <v>Velocidad máxima alcanzada</v>
      </c>
      <c r="U1" t="str">
        <v>Velocidad promedio</v>
      </c>
      <c r="V1" t="str">
        <v>Duración (segundos)</v>
      </c>
      <c r="W1" t="str">
        <v>Severidad de la alerta</v>
      </c>
      <c r="X1" t="str">
        <v>Fecha y hora de inicio del exceso</v>
      </c>
      <c r="Y1" t="str">
        <v>Fecha y hora de fin del exceso</v>
      </c>
      <c r="Z1" t="str">
        <v>% Batería</v>
      </c>
      <c r="AA1" t="str">
        <v>Fecha GPS</v>
      </c>
      <c r="AB1" t="str">
        <v>Hora GPS</v>
      </c>
      <c r="AC1" t="str">
        <v>Estado GPS</v>
      </c>
      <c r="AD1" t="str">
        <v>Atención Alerta</v>
      </c>
      <c r="AE1" t="str">
        <v>Reporte de Alerta</v>
      </c>
      <c r="AF1" t="str">
        <v>Fecha Reporte Al.</v>
      </c>
      <c r="AG1" t="str">
        <v>Hora Reporte Al.</v>
      </c>
      <c r="AH1" t="str">
        <v>Registro de Atención</v>
      </c>
      <c r="AI1" t="str">
        <v>Fecha Registro At.</v>
      </c>
      <c r="AJ1" t="str">
        <v>Hora Registro At.</v>
      </c>
      <c r="AK1" t="str">
        <v>Notas</v>
      </c>
    </row>
    <row r="2">
      <c r="A2">
        <v>1</v>
      </c>
      <c r="B2" t="str">
        <v>MASS BSF</v>
      </c>
      <c r="C2" t="str">
        <v>F6V-792</v>
      </c>
      <c r="D2" t="str">
        <v>F6V-792</v>
      </c>
      <c r="E2" t="str">
        <v>867162026042390</v>
      </c>
      <c r="F2" t="str">
        <v>Minivan</v>
      </c>
      <c r="G2" t="str">
        <v/>
      </c>
      <c r="H2" t="str">
        <v/>
      </c>
      <c r="I2" t="str">
        <v>18/09/2026</v>
      </c>
      <c r="J2" t="str">
        <v>05:45:20</v>
      </c>
      <c r="K2">
        <v>-12.212812</v>
      </c>
      <c r="L2">
        <v>-76.958824</v>
      </c>
      <c r="M2">
        <f>HYPERLINK("https://www.google.com/maps/search/?api=1&amp;query=-12.212812,-76.958824","Avenida Villa del Mar, Villa El Salvador, Lima")</f>
      </c>
      <c r="N2" t="str">
        <v>Vehículo encendido</v>
      </c>
      <c r="O2">
        <v>555107</v>
      </c>
      <c r="P2" t="str">
        <v/>
      </c>
      <c r="Q2">
        <v>0</v>
      </c>
      <c r="R2">
        <v>0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>
        <v>100</v>
      </c>
      <c r="AA2" t="str">
        <v>18/09/2026</v>
      </c>
      <c r="AB2" t="str">
        <v>05:30:36</v>
      </c>
      <c r="AC2">
        <f>IF("NOGPS"="NOGPS","GPS Antiguo","En línea")</f>
      </c>
      <c r="AD2">
        <f>IF(0=0,"Sin atender", IF(0=1,"Atendida","Atendida y Reportada"))</f>
      </c>
      <c r="AE2" t="str">
        <v/>
      </c>
      <c r="AF2" t="str">
        <v/>
      </c>
      <c r="AG2" t="str">
        <v/>
      </c>
      <c r="AH2" t="str">
        <v/>
      </c>
      <c r="AI2" t="str">
        <v>18/09/2026 05:45:42</v>
      </c>
      <c r="AJ2" t="str">
        <v>05:45:42</v>
      </c>
      <c r="AK2" t="str">
        <v/>
      </c>
    </row>
    <row r="3">
      <c r="A3">
        <v>2</v>
      </c>
      <c r="B3" t="str">
        <v>MASS BSF</v>
      </c>
      <c r="C3" t="str">
        <v>F6V-792</v>
      </c>
      <c r="D3" t="str">
        <v>F6V-792</v>
      </c>
      <c r="E3" t="str">
        <v>867162026042390</v>
      </c>
      <c r="F3" t="str">
        <v>Minivan</v>
      </c>
      <c r="G3" t="str">
        <v/>
      </c>
      <c r="H3" t="str">
        <v/>
      </c>
      <c r="I3" t="str">
        <v>18/09/2026</v>
      </c>
      <c r="J3" t="str">
        <v>06:19:07</v>
      </c>
      <c r="K3">
        <v>-12.213301</v>
      </c>
      <c r="L3">
        <v>-76.93351</v>
      </c>
      <c r="M3">
        <f>HYPERLINK("https://www.google.com/maps/search/?api=1&amp;query=-12.213301,-76.93351","Calle 2, Villa El Salvador, Lima")</f>
      </c>
      <c r="N3" t="str">
        <v>Vehículo apagado</v>
      </c>
      <c r="O3">
        <v>555111.8</v>
      </c>
      <c r="P3" t="str">
        <v/>
      </c>
      <c r="Q3">
        <v>0</v>
      </c>
      <c r="R3">
        <v>0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>
        <v>100</v>
      </c>
      <c r="AA3" t="str">
        <v>18/09/2026</v>
      </c>
      <c r="AB3" t="str">
        <v>06:18:20</v>
      </c>
      <c r="AC3">
        <f>IF("ONLINE"="NOGPS","GPS Antiguo","En línea")</f>
      </c>
      <c r="AD3">
        <f>IF(0=0,"Sin atender", IF(0=1,"Atendida","Atendida y Reportada"))</f>
      </c>
      <c r="AE3" t="str">
        <v/>
      </c>
      <c r="AF3" t="str">
        <v/>
      </c>
      <c r="AG3" t="str">
        <v/>
      </c>
      <c r="AH3" t="str">
        <v/>
      </c>
      <c r="AI3" t="str">
        <v>18/09/2026 06:19:23</v>
      </c>
      <c r="AJ3" t="str">
        <v>06:19:23</v>
      </c>
      <c r="AK3" t="str">
        <v/>
      </c>
    </row>
    <row r="4">
      <c r="A4">
        <v>3</v>
      </c>
      <c r="B4" t="str">
        <v>MASS BSF</v>
      </c>
      <c r="C4" t="str">
        <v>F6V-792</v>
      </c>
      <c r="D4" t="str">
        <v>F6V-792</v>
      </c>
      <c r="E4" t="str">
        <v>867162026042390</v>
      </c>
      <c r="F4" t="str">
        <v>Minivan</v>
      </c>
      <c r="G4" t="str">
        <v/>
      </c>
      <c r="H4" t="str">
        <v/>
      </c>
      <c r="I4" t="str">
        <v>18/09/2026</v>
      </c>
      <c r="J4" t="str">
        <v>07:25:53</v>
      </c>
      <c r="K4">
        <v>-12.213304</v>
      </c>
      <c r="L4">
        <v>-76.93352</v>
      </c>
      <c r="M4">
        <f>HYPERLINK("https://www.google.com/maps/search/?api=1&amp;query=-12.213304,-76.93352","Calle 2, Villa El Salvador, Lima")</f>
      </c>
      <c r="N4" t="str">
        <v>Batería externa baja</v>
      </c>
      <c r="O4">
        <v>555111.8</v>
      </c>
      <c r="P4" t="str">
        <v/>
      </c>
      <c r="Q4">
        <v>0</v>
      </c>
      <c r="R4">
        <v>0</v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>
        <v>100</v>
      </c>
      <c r="AA4" t="str">
        <v>18/09/2026</v>
      </c>
      <c r="AB4" t="str">
        <v>07:25:52</v>
      </c>
      <c r="AC4">
        <f>IF("ONLINE"="NOGPS","GPS Antiguo","En línea")</f>
      </c>
      <c r="AD4">
        <f>IF(0=0,"Sin atender", IF(0=1,"Atendida","Atendida y Reportada"))</f>
      </c>
      <c r="AE4" t="str">
        <v/>
      </c>
      <c r="AF4" t="str">
        <v/>
      </c>
      <c r="AG4" t="str">
        <v/>
      </c>
      <c r="AH4" t="str">
        <v/>
      </c>
      <c r="AI4" t="str">
        <v>18/09/2026 07:26:30</v>
      </c>
      <c r="AJ4" t="str">
        <v>07:26:30</v>
      </c>
      <c r="AK4" t="str">
        <v/>
      </c>
    </row>
    <row r="5">
      <c r="A5">
        <v>4</v>
      </c>
      <c r="B5" t="str">
        <v>MASS BSF</v>
      </c>
      <c r="C5" t="str">
        <v>F6V-792</v>
      </c>
      <c r="D5" t="str">
        <v>F6V-792</v>
      </c>
      <c r="E5" t="str">
        <v>867162026042390</v>
      </c>
      <c r="F5" t="str">
        <v>Minivan</v>
      </c>
      <c r="G5" t="str">
        <v/>
      </c>
      <c r="H5" t="str">
        <v/>
      </c>
      <c r="I5" t="str">
        <v>18/09/2026</v>
      </c>
      <c r="J5" t="str">
        <v>07:27:01</v>
      </c>
      <c r="K5">
        <v>-12.213552</v>
      </c>
      <c r="L5">
        <v>-76.933426</v>
      </c>
      <c r="M5">
        <f>HYPERLINK("https://www.google.com/maps/search/?api=1&amp;query=-12.213552,-76.933426","Avenida Central, Villa El Salvador, Lima")</f>
      </c>
      <c r="N5" t="str">
        <v>Vehículo encendido</v>
      </c>
      <c r="O5">
        <v>555111.9</v>
      </c>
      <c r="P5" t="str">
        <v/>
      </c>
      <c r="Q5">
        <v>0</v>
      </c>
      <c r="R5">
        <v>0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>
        <v>100</v>
      </c>
      <c r="AA5" t="str">
        <v>18/09/2026</v>
      </c>
      <c r="AB5" t="str">
        <v>07:27:09</v>
      </c>
      <c r="AC5">
        <f>IF("ONLINE"="NOGPS","GPS Antiguo","En línea")</f>
      </c>
      <c r="AD5">
        <f>IF(0=0,"Sin atender", IF(0=1,"Atendida","Atendida y Reportada"))</f>
      </c>
      <c r="AE5" t="str">
        <v/>
      </c>
      <c r="AF5" t="str">
        <v/>
      </c>
      <c r="AG5" t="str">
        <v/>
      </c>
      <c r="AH5" t="str">
        <v/>
      </c>
      <c r="AI5" t="str">
        <v>18/09/2026 07:27:20</v>
      </c>
      <c r="AJ5" t="str">
        <v>07:27:20</v>
      </c>
      <c r="AK5" t="str">
        <v/>
      </c>
    </row>
    <row r="6">
      <c r="A6">
        <v>5</v>
      </c>
      <c r="B6" t="str">
        <v>MASS BSF</v>
      </c>
      <c r="C6" t="str">
        <v>F6V-792</v>
      </c>
      <c r="D6" t="str">
        <v>F6V-792</v>
      </c>
      <c r="E6" t="str">
        <v>867162026042390</v>
      </c>
      <c r="F6" t="str">
        <v>Minivan</v>
      </c>
      <c r="G6" t="str">
        <v/>
      </c>
      <c r="H6" t="str">
        <v/>
      </c>
      <c r="I6" t="str">
        <v>18/09/2026</v>
      </c>
      <c r="J6" t="str">
        <v>07:28:06</v>
      </c>
      <c r="K6">
        <v>-12.216383</v>
      </c>
      <c r="L6">
        <v>-76.931656</v>
      </c>
      <c r="M6">
        <f>HYPERLINK("https://www.google.com/maps/search/?api=1&amp;query=-12.216383,-76.931656","Avenida Central, Villa El Salvador, Lima")</f>
      </c>
      <c r="N6" t="str">
        <v>Exceso de velocidad en segmento vial</v>
      </c>
      <c r="O6">
        <v>555112.2</v>
      </c>
      <c r="P6" t="str">
        <v/>
      </c>
      <c r="Q6">
        <v>31.8</v>
      </c>
      <c r="R6">
        <v>0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>
        <v>100</v>
      </c>
      <c r="AA6" t="str">
        <v>18/09/2026</v>
      </c>
      <c r="AB6" t="str">
        <v>07:28:03</v>
      </c>
      <c r="AC6">
        <f>IF("ONLINE"="NOGPS","GPS Antiguo","En línea")</f>
      </c>
      <c r="AD6">
        <f>IF(0=0,"Sin atender", IF(0=1,"Atendida","Atendida y Reportada"))</f>
      </c>
      <c r="AE6" t="str">
        <v/>
      </c>
      <c r="AF6" t="str">
        <v/>
      </c>
      <c r="AG6" t="str">
        <v/>
      </c>
      <c r="AH6" t="str">
        <v/>
      </c>
      <c r="AI6" t="str">
        <v>18/09/2026 07:28:28</v>
      </c>
      <c r="AJ6" t="str">
        <v>07:28:28</v>
      </c>
      <c r="AK6" t="str">
        <v/>
      </c>
    </row>
    <row r="7">
      <c r="A7">
        <v>6</v>
      </c>
      <c r="B7" t="str">
        <v>MASS BSF</v>
      </c>
      <c r="C7" t="str">
        <v>F6V-792</v>
      </c>
      <c r="D7" t="str">
        <v>F6V-792</v>
      </c>
      <c r="E7" t="str">
        <v>867162026042390</v>
      </c>
      <c r="F7" t="str">
        <v>Minivan</v>
      </c>
      <c r="G7" t="str">
        <v/>
      </c>
      <c r="H7" t="str">
        <v/>
      </c>
      <c r="I7" t="str">
        <v>18/09/2026</v>
      </c>
      <c r="J7" t="str">
        <v>07:39:03</v>
      </c>
      <c r="K7">
        <v>-12.217351</v>
      </c>
      <c r="L7">
        <v>-76.92705</v>
      </c>
      <c r="M7">
        <f>HYPERLINK("https://www.google.com/maps/search/?api=1&amp;query=-12.217351,-76.92705","Avenida Separadora Industrial, Villa El Salvador, Lima")</f>
      </c>
      <c r="N7" t="str">
        <v>Vehículo apagado</v>
      </c>
      <c r="O7">
        <v>555113.1</v>
      </c>
      <c r="P7" t="str">
        <v/>
      </c>
      <c r="Q7">
        <v>0</v>
      </c>
      <c r="R7">
        <v>0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>
        <v>100</v>
      </c>
      <c r="AA7" t="str">
        <v>18/09/2026</v>
      </c>
      <c r="AB7" t="str">
        <v>07:39:05</v>
      </c>
      <c r="AC7">
        <f>IF("ONLINE"="NOGPS","GPS Antiguo","En línea")</f>
      </c>
      <c r="AD7">
        <f>IF(0=0,"Sin atender", IF(0=1,"Atendida","Atendida y Reportada"))</f>
      </c>
      <c r="AE7" t="str">
        <v/>
      </c>
      <c r="AF7" t="str">
        <v/>
      </c>
      <c r="AG7" t="str">
        <v/>
      </c>
      <c r="AH7" t="str">
        <v/>
      </c>
      <c r="AI7" t="str">
        <v>18/09/2026 07:39:21</v>
      </c>
      <c r="AJ7" t="str">
        <v>07:39:21</v>
      </c>
      <c r="AK7" t="str">
        <v/>
      </c>
    </row>
    <row r="8">
      <c r="A8">
        <v>7</v>
      </c>
      <c r="B8" t="str">
        <v>MASS BSF</v>
      </c>
      <c r="C8" t="str">
        <v>F6V-792</v>
      </c>
      <c r="D8" t="str">
        <v>F6V-792</v>
      </c>
      <c r="E8" t="str">
        <v>867162026042390</v>
      </c>
      <c r="F8" t="str">
        <v>Minivan</v>
      </c>
      <c r="G8" t="str">
        <v/>
      </c>
      <c r="H8" t="str">
        <v/>
      </c>
      <c r="I8" t="str">
        <v>18/09/2026</v>
      </c>
      <c r="J8" t="str">
        <v>07:54:39</v>
      </c>
      <c r="K8">
        <v>-12.217351</v>
      </c>
      <c r="L8">
        <v>-76.92705</v>
      </c>
      <c r="M8">
        <f>HYPERLINK("https://www.google.com/maps/search/?api=1&amp;query=-12.217351,-76.92705","Avenida Separadora Industrial, Villa El Salvador, Lima")</f>
      </c>
      <c r="N8" t="str">
        <v>Vehículo encendido</v>
      </c>
      <c r="O8">
        <v>555113.1</v>
      </c>
      <c r="P8" t="str">
        <v/>
      </c>
      <c r="Q8">
        <v>0</v>
      </c>
      <c r="R8">
        <v>0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>
        <v>100</v>
      </c>
      <c r="AA8" t="str">
        <v>18/09/2026</v>
      </c>
      <c r="AB8" t="str">
        <v>07:54:10</v>
      </c>
      <c r="AC8">
        <f>IF("ONLINE"="NOGPS","GPS Antiguo","En línea")</f>
      </c>
      <c r="AD8">
        <f>IF(0=0,"Sin atender", IF(0=1,"Atendida","Atendida y Reportada"))</f>
      </c>
      <c r="AE8" t="str">
        <v/>
      </c>
      <c r="AF8" t="str">
        <v/>
      </c>
      <c r="AG8" t="str">
        <v/>
      </c>
      <c r="AH8" t="str">
        <v/>
      </c>
      <c r="AI8" t="str">
        <v>18/09/2026 07:54:45</v>
      </c>
      <c r="AJ8" t="str">
        <v>07:54:45</v>
      </c>
      <c r="AK8" t="str">
        <v/>
      </c>
    </row>
    <row r="9">
      <c r="A9">
        <v>8</v>
      </c>
      <c r="B9" t="str">
        <v>MASS BSF</v>
      </c>
      <c r="C9" t="str">
        <v>F6V-792</v>
      </c>
      <c r="D9" t="str">
        <v>F6V-792</v>
      </c>
      <c r="E9" t="str">
        <v>867162026042390</v>
      </c>
      <c r="F9" t="str">
        <v>Minivan</v>
      </c>
      <c r="G9" t="str">
        <v/>
      </c>
      <c r="H9" t="str">
        <v xml:space="preserve"> </v>
      </c>
      <c r="I9" t="str">
        <v>18/09/2026</v>
      </c>
      <c r="J9" t="str">
        <v>08:49:44</v>
      </c>
      <c r="K9">
        <v>-12.317626</v>
      </c>
      <c r="L9">
        <v>-76.829636</v>
      </c>
      <c r="M9">
        <f>HYPERLINK("https://www.google.com/maps/search/?api=1&amp;query=-12.317626,-76.829636","Punta Hermosa, Lima")</f>
      </c>
      <c r="N9" t="str">
        <v>Llegó a la zona</v>
      </c>
      <c r="O9">
        <v>555143.5</v>
      </c>
      <c r="P9" t="str">
        <v>MASS BSF 1</v>
      </c>
      <c r="Q9">
        <v>8.9</v>
      </c>
      <c r="R9">
        <v>0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>
        <v>100</v>
      </c>
      <c r="AA9" t="str">
        <v>18/09/2026</v>
      </c>
      <c r="AB9" t="str">
        <v>08:49:41</v>
      </c>
      <c r="AC9">
        <f>IF("ONLINE"="NOGPS","GPS Antiguo","En línea")</f>
      </c>
      <c r="AD9">
        <f>IF(0=0,"Sin atender", IF(0=1,"Atendida","Atendida y Reportada"))</f>
      </c>
      <c r="AE9" t="str">
        <v/>
      </c>
      <c r="AF9" t="str">
        <v/>
      </c>
      <c r="AG9" t="str">
        <v/>
      </c>
      <c r="AH9" t="str">
        <v/>
      </c>
      <c r="AI9" t="str">
        <v>18/09/2026 08:49:58</v>
      </c>
      <c r="AJ9" t="str">
        <v>08:49:58</v>
      </c>
      <c r="AK9" t="str">
        <v/>
      </c>
    </row>
    <row r="10">
      <c r="A10">
        <v>9</v>
      </c>
      <c r="B10" t="str">
        <v>MASS BSF</v>
      </c>
      <c r="C10" t="str">
        <v>F6V-792</v>
      </c>
      <c r="D10" t="str">
        <v>F6V-792</v>
      </c>
      <c r="E10" t="str">
        <v>867162026042390</v>
      </c>
      <c r="F10" t="str">
        <v>Minivan</v>
      </c>
      <c r="G10" t="str">
        <v/>
      </c>
      <c r="H10" t="str">
        <v/>
      </c>
      <c r="I10" t="str">
        <v>18/09/2026</v>
      </c>
      <c r="J10" t="str">
        <v>09:26:47</v>
      </c>
      <c r="K10">
        <v>-12.317558</v>
      </c>
      <c r="L10">
        <v>-76.82448</v>
      </c>
      <c r="M10">
        <f>HYPERLINK("https://www.google.com/maps/search/?api=1&amp;query=-12.317558,-76.82448","Punta Hermosa, Lima")</f>
      </c>
      <c r="N10" t="str">
        <v>Vehículo apagado</v>
      </c>
      <c r="O10">
        <v>555146.7</v>
      </c>
      <c r="P10" t="str">
        <v/>
      </c>
      <c r="Q10">
        <v>0</v>
      </c>
      <c r="R10">
        <v>0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>
        <v>100</v>
      </c>
      <c r="AA10" t="str">
        <v>18/09/2026</v>
      </c>
      <c r="AB10" t="str">
        <v>09:26:41</v>
      </c>
      <c r="AC10">
        <f>IF("ONLINE"="NOGPS","GPS Antiguo","En línea")</f>
      </c>
      <c r="AD10">
        <f>IF(0=0,"Sin atender", IF(0=1,"Atendida","Atendida y Reportada"))</f>
      </c>
      <c r="AE10" t="str">
        <v/>
      </c>
      <c r="AF10" t="str">
        <v/>
      </c>
      <c r="AG10" t="str">
        <v/>
      </c>
      <c r="AH10" t="str">
        <v/>
      </c>
      <c r="AI10" t="str">
        <v>18/09/2026 09:26:58</v>
      </c>
      <c r="AJ10" t="str">
        <v>09:26:58</v>
      </c>
      <c r="AK10" t="str">
        <v/>
      </c>
    </row>
    <row r="11">
      <c r="A11">
        <v>10</v>
      </c>
      <c r="B11" t="str">
        <v>MASS BSF</v>
      </c>
      <c r="C11" t="str">
        <v>F6V-792</v>
      </c>
      <c r="D11" t="str">
        <v>F6V-792</v>
      </c>
      <c r="E11" t="str">
        <v>867162026042390</v>
      </c>
      <c r="F11" t="str">
        <v>Minivan</v>
      </c>
      <c r="G11" t="str">
        <v/>
      </c>
      <c r="H11" t="str">
        <v/>
      </c>
      <c r="I11" t="str">
        <v>18/09/2026</v>
      </c>
      <c r="J11" t="str">
        <v>09:52:44</v>
      </c>
      <c r="K11">
        <v>-12.317558</v>
      </c>
      <c r="L11">
        <v>-76.82448</v>
      </c>
      <c r="M11">
        <f>HYPERLINK("https://www.google.com/maps/search/?api=1&amp;query=-12.317558,-76.82448","Punta Hermosa, Lima")</f>
      </c>
      <c r="N11" t="str">
        <v>Vehículo encendido</v>
      </c>
      <c r="O11">
        <v>555146.7</v>
      </c>
      <c r="P11" t="str">
        <v/>
      </c>
      <c r="Q11">
        <v>0</v>
      </c>
      <c r="R11">
        <v>0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>
        <v>100</v>
      </c>
      <c r="AA11" t="str">
        <v>18/09/2026</v>
      </c>
      <c r="AB11" t="str">
        <v>09:26:49</v>
      </c>
      <c r="AC11">
        <f>IF("NOGPS"="NOGPS","GPS Antiguo","En línea")</f>
      </c>
      <c r="AD11">
        <f>IF(0=0,"Sin atender", IF(0=1,"Atendida","Atendida y Reportada"))</f>
      </c>
      <c r="AE11" t="str">
        <v/>
      </c>
      <c r="AF11" t="str">
        <v/>
      </c>
      <c r="AG11" t="str">
        <v/>
      </c>
      <c r="AH11" t="str">
        <v/>
      </c>
      <c r="AI11" t="str">
        <v>18/09/2026 09:52:59</v>
      </c>
      <c r="AJ11" t="str">
        <v>09:52:59</v>
      </c>
      <c r="AK11" t="str">
        <v/>
      </c>
    </row>
    <row r="12">
      <c r="A12">
        <v>11</v>
      </c>
      <c r="B12" t="str">
        <v>MASS BSF</v>
      </c>
      <c r="C12" t="str">
        <v>F6V-792</v>
      </c>
      <c r="D12" t="str">
        <v>F6V-792</v>
      </c>
      <c r="E12" t="str">
        <v>867162026042390</v>
      </c>
      <c r="F12" t="str">
        <v>Minivan</v>
      </c>
      <c r="G12" t="str">
        <v/>
      </c>
      <c r="H12" t="str">
        <v xml:space="preserve"> </v>
      </c>
      <c r="I12" t="str">
        <v>18/09/2026</v>
      </c>
      <c r="J12" t="str">
        <v>09:59:18</v>
      </c>
      <c r="K12">
        <v>-12.317523</v>
      </c>
      <c r="L12">
        <v>-76.82994</v>
      </c>
      <c r="M12">
        <f>HYPERLINK("https://www.google.com/maps/search/?api=1&amp;query=-12.317523,-76.82994","Punta Hermosa, Lima")</f>
      </c>
      <c r="N12" t="str">
        <v>Salió de zona</v>
      </c>
      <c r="O12">
        <v>555147.4</v>
      </c>
      <c r="P12" t="str">
        <v>MASS BSF 1</v>
      </c>
      <c r="Q12">
        <v>13.6</v>
      </c>
      <c r="R12">
        <v>0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>
        <v>100</v>
      </c>
      <c r="AA12" t="str">
        <v>18/09/2026</v>
      </c>
      <c r="AB12" t="str">
        <v>09:59:17</v>
      </c>
      <c r="AC12">
        <f>IF("ONLINE"="NOGPS","GPS Antiguo","En línea")</f>
      </c>
      <c r="AD12">
        <f>IF(0=0,"Sin atender", IF(0=1,"Atendida","Atendida y Reportada"))</f>
      </c>
      <c r="AE12" t="str">
        <v/>
      </c>
      <c r="AF12" t="str">
        <v/>
      </c>
      <c r="AG12" t="str">
        <v/>
      </c>
      <c r="AH12" t="str">
        <v/>
      </c>
      <c r="AI12" t="str">
        <v>18/09/2026 09:59:29</v>
      </c>
      <c r="AJ12" t="str">
        <v>09:59:29</v>
      </c>
      <c r="AK12" t="str">
        <v/>
      </c>
    </row>
    <row r="13">
      <c r="A13">
        <v>12</v>
      </c>
      <c r="B13" t="str">
        <v>MASS BSF</v>
      </c>
      <c r="C13" t="str">
        <v>F6V-792</v>
      </c>
      <c r="D13" t="str">
        <v>F6V-792</v>
      </c>
      <c r="E13" t="str">
        <v>867162026042390</v>
      </c>
      <c r="F13" t="str">
        <v>Minivan</v>
      </c>
      <c r="G13" t="str">
        <v/>
      </c>
      <c r="H13" t="str">
        <v/>
      </c>
      <c r="I13" t="str">
        <v>18/09/2026</v>
      </c>
      <c r="J13" t="str">
        <v>10:25:49</v>
      </c>
      <c r="K13">
        <v>-12.386569</v>
      </c>
      <c r="L13">
        <v>-76.771774</v>
      </c>
      <c r="M13">
        <f>HYPERLINK("https://www.google.com/maps/search/?api=1&amp;query=-12.386569,-76.771774","Avenida San José, San Bartolo, Lima")</f>
      </c>
      <c r="N13" t="str">
        <v>Vehículo apagado</v>
      </c>
      <c r="O13">
        <v>555162.7</v>
      </c>
      <c r="P13" t="str">
        <v/>
      </c>
      <c r="Q13">
        <v>0</v>
      </c>
      <c r="R13">
        <v>0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>
        <v>100</v>
      </c>
      <c r="AA13" t="str">
        <v>18/09/2026</v>
      </c>
      <c r="AB13" t="str">
        <v>10:24:41</v>
      </c>
      <c r="AC13">
        <f>IF("ONLINE"="NOGPS","GPS Antiguo","En línea")</f>
      </c>
      <c r="AD13">
        <f>IF(0=0,"Sin atender", IF(0=1,"Atendida","Atendida y Reportada"))</f>
      </c>
      <c r="AE13" t="str">
        <v/>
      </c>
      <c r="AF13" t="str">
        <v/>
      </c>
      <c r="AG13" t="str">
        <v/>
      </c>
      <c r="AH13" t="str">
        <v/>
      </c>
      <c r="AI13" t="str">
        <v>18/09/2026 10:26:00</v>
      </c>
      <c r="AJ13" t="str">
        <v>10:26:00</v>
      </c>
      <c r="AK13" t="str">
        <v/>
      </c>
    </row>
    <row r="14">
      <c r="A14">
        <v>13</v>
      </c>
      <c r="B14" t="str">
        <v>MASS BSF</v>
      </c>
      <c r="C14" t="str">
        <v>F6V-792</v>
      </c>
      <c r="D14" t="str">
        <v>F6V-792</v>
      </c>
      <c r="E14" t="str">
        <v>867162026042390</v>
      </c>
      <c r="F14" t="str">
        <v>Minivan</v>
      </c>
      <c r="G14" t="str">
        <v/>
      </c>
      <c r="H14" t="str">
        <v/>
      </c>
      <c r="I14" t="str">
        <v>18/09/2026</v>
      </c>
      <c r="J14" t="str">
        <v>10:42:20</v>
      </c>
      <c r="K14">
        <v>-12.386569</v>
      </c>
      <c r="L14">
        <v>-76.771774</v>
      </c>
      <c r="M14">
        <f>HYPERLINK("https://www.google.com/maps/search/?api=1&amp;query=-12.386569,-76.771774","Avenida San José, San Bartolo, Lima")</f>
      </c>
      <c r="N14" t="str">
        <v>Vehículo encendido</v>
      </c>
      <c r="O14">
        <v>555162.7</v>
      </c>
      <c r="P14" t="str">
        <v/>
      </c>
      <c r="Q14">
        <v>0</v>
      </c>
      <c r="R14">
        <v>0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>
        <v>100</v>
      </c>
      <c r="AA14" t="str">
        <v>18/09/2026</v>
      </c>
      <c r="AB14" t="str">
        <v>10:25:52</v>
      </c>
      <c r="AC14">
        <f>IF("NOGPS"="NOGPS","GPS Antiguo","En línea")</f>
      </c>
      <c r="AD14">
        <f>IF(0=0,"Sin atender", IF(0=1,"Atendida","Atendida y Reportada"))</f>
      </c>
      <c r="AE14" t="str">
        <v/>
      </c>
      <c r="AF14" t="str">
        <v/>
      </c>
      <c r="AG14" t="str">
        <v/>
      </c>
      <c r="AH14" t="str">
        <v/>
      </c>
      <c r="AI14" t="str">
        <v>18/09/2026 10:42:29</v>
      </c>
      <c r="AJ14" t="str">
        <v>10:42:29</v>
      </c>
      <c r="AK14" t="str">
        <v/>
      </c>
    </row>
    <row r="15">
      <c r="A15">
        <v>14</v>
      </c>
      <c r="B15" t="str">
        <v>MASS BSF</v>
      </c>
      <c r="C15" t="str">
        <v>F6V-792</v>
      </c>
      <c r="D15" t="str">
        <v>F6V-792</v>
      </c>
      <c r="E15" t="str">
        <v>867162026042390</v>
      </c>
      <c r="F15" t="str">
        <v>Minivan</v>
      </c>
      <c r="G15" t="str">
        <v/>
      </c>
      <c r="H15" t="str">
        <v/>
      </c>
      <c r="I15" t="str">
        <v>18/09/2026</v>
      </c>
      <c r="J15" t="str">
        <v>10:53:49</v>
      </c>
      <c r="K15">
        <v>-12.364699</v>
      </c>
      <c r="L15">
        <v>-76.795135</v>
      </c>
      <c r="M15">
        <f>HYPERLINK("https://www.google.com/maps/search/?api=1&amp;query=-12.364699,-76.795135","Guanay Norte, Punta Negra, Lima")</f>
      </c>
      <c r="N15" t="str">
        <v>Batería externa baja</v>
      </c>
      <c r="O15">
        <v>555166.3</v>
      </c>
      <c r="P15" t="str">
        <v/>
      </c>
      <c r="Q15">
        <v>0</v>
      </c>
      <c r="R15">
        <v>0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>
        <v>100</v>
      </c>
      <c r="AA15" t="str">
        <v>18/09/2026</v>
      </c>
      <c r="AB15" t="str">
        <v>10:53:48</v>
      </c>
      <c r="AC15">
        <f>IF("ONLINE"="NOGPS","GPS Antiguo","En línea")</f>
      </c>
      <c r="AD15">
        <f>IF(0=0,"Sin atender", IF(0=1,"Atendida","Atendida y Reportada"))</f>
      </c>
      <c r="AE15" t="str">
        <v/>
      </c>
      <c r="AF15" t="str">
        <v/>
      </c>
      <c r="AG15" t="str">
        <v/>
      </c>
      <c r="AH15" t="str">
        <v/>
      </c>
      <c r="AI15" t="str">
        <v>18/09/2026 10:54:03</v>
      </c>
      <c r="AJ15" t="str">
        <v>10:54:03</v>
      </c>
      <c r="AK15" t="str">
        <v/>
      </c>
    </row>
    <row r="16">
      <c r="A16">
        <v>15</v>
      </c>
      <c r="B16" t="str">
        <v>MASS BSF</v>
      </c>
      <c r="C16" t="str">
        <v>F6V-792</v>
      </c>
      <c r="D16" t="str">
        <v>F6V-792</v>
      </c>
      <c r="E16" t="str">
        <v>867162026042390</v>
      </c>
      <c r="F16" t="str">
        <v>Minivan</v>
      </c>
      <c r="G16" t="str">
        <v/>
      </c>
      <c r="H16" t="str">
        <v/>
      </c>
      <c r="I16" t="str">
        <v>18/09/2026</v>
      </c>
      <c r="J16" t="str">
        <v>10:54:03</v>
      </c>
      <c r="K16">
        <v>-12.364699</v>
      </c>
      <c r="L16">
        <v>-76.795135</v>
      </c>
      <c r="M16">
        <f>HYPERLINK("https://www.google.com/maps/search/?api=1&amp;query=-12.364699,-76.795135","Guanay Norte, Punta Negra, Lima")</f>
      </c>
      <c r="N16" t="str">
        <v>Vehículo apagado</v>
      </c>
      <c r="O16">
        <v>555166.3</v>
      </c>
      <c r="P16" t="str">
        <v/>
      </c>
      <c r="Q16">
        <v>0</v>
      </c>
      <c r="R16">
        <v>0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>
        <v>100</v>
      </c>
      <c r="AA16" t="str">
        <v>18/09/2026</v>
      </c>
      <c r="AB16" t="str">
        <v>10:54:05</v>
      </c>
      <c r="AC16">
        <f>IF("ONLINE"="NOGPS","GPS Antiguo","En línea")</f>
      </c>
      <c r="AD16">
        <f>IF(0=0,"Sin atender", IF(0=1,"Atendida","Atendida y Reportada"))</f>
      </c>
      <c r="AE16" t="str">
        <v/>
      </c>
      <c r="AF16" t="str">
        <v/>
      </c>
      <c r="AG16" t="str">
        <v/>
      </c>
      <c r="AH16" t="str">
        <v/>
      </c>
      <c r="AI16" t="str">
        <v>18/09/2026 10:54:23</v>
      </c>
      <c r="AJ16" t="str">
        <v>10:54:23</v>
      </c>
      <c r="AK16" t="str">
        <v/>
      </c>
    </row>
    <row r="17">
      <c r="A17">
        <v>16</v>
      </c>
      <c r="B17" t="str">
        <v>MASS BSF</v>
      </c>
      <c r="C17" t="str">
        <v>F6V-792</v>
      </c>
      <c r="D17" t="str">
        <v>F6V-792</v>
      </c>
      <c r="E17" t="str">
        <v>867162026042390</v>
      </c>
      <c r="F17" t="str">
        <v>Minivan</v>
      </c>
      <c r="G17" t="str">
        <v/>
      </c>
      <c r="H17" t="str">
        <v/>
      </c>
      <c r="I17" t="str">
        <v>18/09/2026</v>
      </c>
      <c r="J17" t="str">
        <v>10:55:34</v>
      </c>
      <c r="K17">
        <v>-12.364699</v>
      </c>
      <c r="L17">
        <v>-76.795135</v>
      </c>
      <c r="M17">
        <f>HYPERLINK("https://www.google.com/maps/search/?api=1&amp;query=-12.364699,-76.795135","Guanay Norte, Punta Negra, Lima")</f>
      </c>
      <c r="N17" t="str">
        <v>Vehículo encendido</v>
      </c>
      <c r="O17">
        <v>555166.3</v>
      </c>
      <c r="P17" t="str">
        <v/>
      </c>
      <c r="Q17">
        <v>0</v>
      </c>
      <c r="R17">
        <v>0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>
        <v>100</v>
      </c>
      <c r="AA17" t="str">
        <v>18/09/2026</v>
      </c>
      <c r="AB17" t="str">
        <v>10:54:05</v>
      </c>
      <c r="AC17">
        <f>IF("ONLINE"="NOGPS","GPS Antiguo","En línea")</f>
      </c>
      <c r="AD17">
        <f>IF(0=0,"Sin atender", IF(0=1,"Atendida","Atendida y Reportada"))</f>
      </c>
      <c r="AE17" t="str">
        <v/>
      </c>
      <c r="AF17" t="str">
        <v/>
      </c>
      <c r="AG17" t="str">
        <v/>
      </c>
      <c r="AH17" t="str">
        <v/>
      </c>
      <c r="AI17" t="str">
        <v>18/09/2026 10:55:51</v>
      </c>
      <c r="AJ17" t="str">
        <v>10:55:51</v>
      </c>
      <c r="AK17" t="str">
        <v/>
      </c>
    </row>
    <row r="18">
      <c r="A18">
        <v>17</v>
      </c>
      <c r="B18" t="str">
        <v>MASS BSF</v>
      </c>
      <c r="C18" t="str">
        <v>F6V-792</v>
      </c>
      <c r="D18" t="str">
        <v>F6V-792</v>
      </c>
      <c r="E18" t="str">
        <v>867162026042390</v>
      </c>
      <c r="F18" t="str">
        <v>Minivan</v>
      </c>
      <c r="G18" t="str">
        <v/>
      </c>
      <c r="H18" t="str">
        <v/>
      </c>
      <c r="I18" t="str">
        <v>18/09/2026</v>
      </c>
      <c r="J18" t="str">
        <v>10:58:37</v>
      </c>
      <c r="K18">
        <v>-12.364782</v>
      </c>
      <c r="L18">
        <v>-76.79518</v>
      </c>
      <c r="M18">
        <f>HYPERLINK("https://www.google.com/maps/search/?api=1&amp;query=-12.364782,-76.79518","Guanay Norte, Punta Negra, Lima")</f>
      </c>
      <c r="N18" t="str">
        <v>Vehículo apagado</v>
      </c>
      <c r="O18">
        <v>555166.3</v>
      </c>
      <c r="P18" t="str">
        <v/>
      </c>
      <c r="Q18">
        <v>0</v>
      </c>
      <c r="R18">
        <v>0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>
        <v>100</v>
      </c>
      <c r="AA18" t="str">
        <v>18/09/2026</v>
      </c>
      <c r="AB18" t="str">
        <v>10:58:42</v>
      </c>
      <c r="AC18">
        <f>IF("ONLINE"="NOGPS","GPS Antiguo","En línea")</f>
      </c>
      <c r="AD18">
        <f>IF(0=0,"Sin atender", IF(0=1,"Atendida","Atendida y Reportada"))</f>
      </c>
      <c r="AE18" t="str">
        <v/>
      </c>
      <c r="AF18" t="str">
        <v/>
      </c>
      <c r="AG18" t="str">
        <v/>
      </c>
      <c r="AH18" t="str">
        <v/>
      </c>
      <c r="AI18" t="str">
        <v>18/09/2026 10:59:00</v>
      </c>
      <c r="AJ18" t="str">
        <v>10:59:00</v>
      </c>
      <c r="AK18" t="str">
        <v/>
      </c>
    </row>
    <row r="19">
      <c r="A19">
        <v>18</v>
      </c>
      <c r="B19" t="str">
        <v>MASS BSF</v>
      </c>
      <c r="C19" t="str">
        <v>F6V-792</v>
      </c>
      <c r="D19" t="str">
        <v>F6V-792</v>
      </c>
      <c r="E19" t="str">
        <v>867162026042390</v>
      </c>
      <c r="F19" t="str">
        <v>Minivan</v>
      </c>
      <c r="G19" t="str">
        <v/>
      </c>
      <c r="H19" t="str">
        <v/>
      </c>
      <c r="I19" t="str">
        <v>18/09/2026</v>
      </c>
      <c r="J19" t="str">
        <v>11:08:24</v>
      </c>
      <c r="K19">
        <v>-12.364782</v>
      </c>
      <c r="L19">
        <v>-76.79518</v>
      </c>
      <c r="M19">
        <f>HYPERLINK("https://www.google.com/maps/search/?api=1&amp;query=-12.364782,-76.79518","Guanay Norte, Punta Negra, Lima")</f>
      </c>
      <c r="N19" t="str">
        <v>Vehículo encendido</v>
      </c>
      <c r="O19">
        <v>555166.3</v>
      </c>
      <c r="P19" t="str">
        <v/>
      </c>
      <c r="Q19">
        <v>0</v>
      </c>
      <c r="R19">
        <v>0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>
        <v>100</v>
      </c>
      <c r="AA19" t="str">
        <v>18/09/2026</v>
      </c>
      <c r="AB19" t="str">
        <v>11:08:03</v>
      </c>
      <c r="AC19">
        <f>IF("ONLINE"="NOGPS","GPS Antiguo","En línea")</f>
      </c>
      <c r="AD19">
        <f>IF(0=0,"Sin atender", IF(0=1,"Atendida","Atendida y Reportada"))</f>
      </c>
      <c r="AE19" t="str">
        <v/>
      </c>
      <c r="AF19" t="str">
        <v/>
      </c>
      <c r="AG19" t="str">
        <v/>
      </c>
      <c r="AH19" t="str">
        <v/>
      </c>
      <c r="AI19" t="str">
        <v>18/09/2026 11:08:42</v>
      </c>
      <c r="AJ19" t="str">
        <v>11:08:42</v>
      </c>
      <c r="AK19" t="str">
        <v/>
      </c>
    </row>
    <row r="20">
      <c r="A20">
        <v>19</v>
      </c>
      <c r="B20" t="str">
        <v>MASS BSF</v>
      </c>
      <c r="C20" t="str">
        <v>F6V-792</v>
      </c>
      <c r="D20" t="str">
        <v>F6V-792</v>
      </c>
      <c r="E20" t="str">
        <v>867162026042390</v>
      </c>
      <c r="F20" t="str">
        <v>Minivan</v>
      </c>
      <c r="G20" t="str">
        <v/>
      </c>
      <c r="H20" t="str">
        <v xml:space="preserve"> </v>
      </c>
      <c r="I20" t="str">
        <v>18/09/2026</v>
      </c>
      <c r="J20" t="str">
        <v>11:28:05</v>
      </c>
      <c r="K20">
        <v>-12.317614</v>
      </c>
      <c r="L20">
        <v>-76.82963</v>
      </c>
      <c r="M20">
        <f>HYPERLINK("https://www.google.com/maps/search/?api=1&amp;query=-12.317614,-76.82963","Punta Hermosa, Lima")</f>
      </c>
      <c r="N20" t="str">
        <v>Llegó a la zona</v>
      </c>
      <c r="O20">
        <v>555171.8</v>
      </c>
      <c r="P20" t="str">
        <v>MASS BSF 1</v>
      </c>
      <c r="Q20">
        <v>11.6</v>
      </c>
      <c r="R20">
        <v>0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>
        <v>100</v>
      </c>
      <c r="AA20" t="str">
        <v>18/09/2026</v>
      </c>
      <c r="AB20" t="str">
        <v>11:28:04</v>
      </c>
      <c r="AC20">
        <f>IF("ONLINE"="NOGPS","GPS Antiguo","En línea")</f>
      </c>
      <c r="AD20">
        <f>IF(0=0,"Sin atender", IF(0=1,"Atendida","Atendida y Reportada"))</f>
      </c>
      <c r="AE20" t="str">
        <v/>
      </c>
      <c r="AF20" t="str">
        <v/>
      </c>
      <c r="AG20" t="str">
        <v/>
      </c>
      <c r="AH20" t="str">
        <v/>
      </c>
      <c r="AI20" t="str">
        <v>18/09/2026 11:28:10</v>
      </c>
      <c r="AJ20" t="str">
        <v>11:28:10</v>
      </c>
      <c r="AK20" t="str">
        <v/>
      </c>
    </row>
    <row r="21">
      <c r="A21">
        <v>20</v>
      </c>
      <c r="B21" t="str">
        <v>MASS BSF</v>
      </c>
      <c r="C21" t="str">
        <v>F6V-792</v>
      </c>
      <c r="D21" t="str">
        <v>F6V-792</v>
      </c>
      <c r="E21" t="str">
        <v>867162026042390</v>
      </c>
      <c r="F21" t="str">
        <v>Minivan</v>
      </c>
      <c r="G21" t="str">
        <v/>
      </c>
      <c r="H21" t="str">
        <v/>
      </c>
      <c r="I21" t="str">
        <v>18/09/2026</v>
      </c>
      <c r="J21" t="str">
        <v>11:39:39</v>
      </c>
      <c r="K21">
        <v>-12.317333</v>
      </c>
      <c r="L21">
        <v>-76.82286</v>
      </c>
      <c r="M21">
        <f>HYPERLINK("https://www.google.com/maps/search/?api=1&amp;query=-12.317333,-76.82286","Punta Hermosa, Lima")</f>
      </c>
      <c r="N21" t="str">
        <v>Vehículo apagado</v>
      </c>
      <c r="O21">
        <v>555174.2</v>
      </c>
      <c r="P21" t="str">
        <v/>
      </c>
      <c r="Q21">
        <v>0</v>
      </c>
      <c r="R21">
        <v>0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>
        <v>100</v>
      </c>
      <c r="AA21" t="str">
        <v>18/09/2026</v>
      </c>
      <c r="AB21" t="str">
        <v>11:38:22</v>
      </c>
      <c r="AC21">
        <f>IF("ONLINE"="NOGPS","GPS Antiguo","En línea")</f>
      </c>
      <c r="AD21">
        <f>IF(0=0,"Sin atender", IF(0=1,"Atendida","Atendida y Reportada"))</f>
      </c>
      <c r="AE21" t="str">
        <v/>
      </c>
      <c r="AF21" t="str">
        <v/>
      </c>
      <c r="AG21" t="str">
        <v/>
      </c>
      <c r="AH21" t="str">
        <v/>
      </c>
      <c r="AI21" t="str">
        <v>18/09/2026 11:39:51</v>
      </c>
      <c r="AJ21" t="str">
        <v>11:39:51</v>
      </c>
      <c r="AK21" t="str">
        <v/>
      </c>
    </row>
    <row r="22">
      <c r="A22">
        <v>21</v>
      </c>
      <c r="B22" t="str">
        <v>MASS BSF</v>
      </c>
      <c r="C22" t="str">
        <v>F6V-792</v>
      </c>
      <c r="D22" t="str">
        <v>F6V-792</v>
      </c>
      <c r="E22" t="str">
        <v>867162026042390</v>
      </c>
      <c r="F22" t="str">
        <v>Minivan</v>
      </c>
      <c r="G22" t="str">
        <v/>
      </c>
      <c r="H22" t="str">
        <v/>
      </c>
      <c r="I22" t="str">
        <v>18/09/2026</v>
      </c>
      <c r="J22" t="str">
        <v>11:45:26</v>
      </c>
      <c r="K22">
        <v>-12.317333</v>
      </c>
      <c r="L22">
        <v>-76.82286</v>
      </c>
      <c r="M22">
        <f>HYPERLINK("https://www.google.com/maps/search/?api=1&amp;query=-12.317333,-76.82286","Punta Hermosa, Lima")</f>
      </c>
      <c r="N22" t="str">
        <v>Vehículo encendido</v>
      </c>
      <c r="O22">
        <v>555174.2</v>
      </c>
      <c r="P22" t="str">
        <v/>
      </c>
      <c r="Q22">
        <v>0</v>
      </c>
      <c r="R22">
        <v>0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>
        <v>100</v>
      </c>
      <c r="AA22" t="str">
        <v>18/09/2026</v>
      </c>
      <c r="AB22" t="str">
        <v>11:39:42</v>
      </c>
      <c r="AC22">
        <f>IF("NOGPS"="NOGPS","GPS Antiguo","En línea")</f>
      </c>
      <c r="AD22">
        <f>IF(0=0,"Sin atender", IF(0=1,"Atendida","Atendida y Reportada"))</f>
      </c>
      <c r="AE22" t="str">
        <v/>
      </c>
      <c r="AF22" t="str">
        <v/>
      </c>
      <c r="AG22" t="str">
        <v/>
      </c>
      <c r="AH22" t="str">
        <v/>
      </c>
      <c r="AI22" t="str">
        <v>18/09/2026 11:45:42</v>
      </c>
      <c r="AJ22" t="str">
        <v>11:45:42</v>
      </c>
      <c r="AK22" t="str">
        <v/>
      </c>
    </row>
    <row r="23">
      <c r="A23">
        <v>22</v>
      </c>
      <c r="B23" t="str">
        <v>MASS BSF</v>
      </c>
      <c r="C23" t="str">
        <v>F6V-792</v>
      </c>
      <c r="D23" t="str">
        <v>F6V-792</v>
      </c>
      <c r="E23" t="str">
        <v>867162026042390</v>
      </c>
      <c r="F23" t="str">
        <v>Minivan</v>
      </c>
      <c r="G23" t="str">
        <v/>
      </c>
      <c r="H23" t="str">
        <v/>
      </c>
      <c r="I23" t="str">
        <v>18/09/2026</v>
      </c>
      <c r="J23" t="str">
        <v>11:53:28</v>
      </c>
      <c r="K23">
        <v>-12.317758</v>
      </c>
      <c r="L23">
        <v>-76.82427</v>
      </c>
      <c r="M23">
        <f>HYPERLINK("https://www.google.com/maps/search/?api=1&amp;query=-12.317758,-76.82427","Punta Hermosa, Lima")</f>
      </c>
      <c r="N23" t="str">
        <v>Vehículo apagado</v>
      </c>
      <c r="O23">
        <v>555174.5</v>
      </c>
      <c r="P23" t="str">
        <v/>
      </c>
      <c r="Q23">
        <v>0</v>
      </c>
      <c r="R23">
        <v>0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>
        <v>100</v>
      </c>
      <c r="AA23" t="str">
        <v>18/09/2026</v>
      </c>
      <c r="AB23" t="str">
        <v>11:53:29</v>
      </c>
      <c r="AC23">
        <f>IF("ONLINE"="NOGPS","GPS Antiguo","En línea")</f>
      </c>
      <c r="AD23">
        <f>IF(0=0,"Sin atender", IF(0=1,"Atendida","Atendida y Reportada"))</f>
      </c>
      <c r="AE23" t="str">
        <v/>
      </c>
      <c r="AF23" t="str">
        <v/>
      </c>
      <c r="AG23" t="str">
        <v/>
      </c>
      <c r="AH23" t="str">
        <v/>
      </c>
      <c r="AI23" t="str">
        <v>18/09/2026 11:53:46</v>
      </c>
      <c r="AJ23" t="str">
        <v>11:53:46</v>
      </c>
      <c r="AK23" t="str">
        <v/>
      </c>
    </row>
    <row r="24">
      <c r="A24">
        <v>23</v>
      </c>
      <c r="B24" t="str">
        <v>MASS BSF</v>
      </c>
      <c r="C24" t="str">
        <v>F6V-792</v>
      </c>
      <c r="D24" t="str">
        <v>F6V-792</v>
      </c>
      <c r="E24" t="str">
        <v>867162026042390</v>
      </c>
      <c r="F24" t="str">
        <v>Minivan</v>
      </c>
      <c r="G24" t="str">
        <v/>
      </c>
      <c r="H24" t="str">
        <v/>
      </c>
      <c r="I24" t="str">
        <v>18/09/2026</v>
      </c>
      <c r="J24" t="str">
        <v>12:26:03</v>
      </c>
      <c r="K24">
        <v>-12.317758</v>
      </c>
      <c r="L24">
        <v>-76.82427</v>
      </c>
      <c r="M24">
        <f>HYPERLINK("https://www.google.com/maps/search/?api=1&amp;query=-12.317758,-76.82427","Punta Hermosa, Lima")</f>
      </c>
      <c r="N24" t="str">
        <v>Vehículo encendido</v>
      </c>
      <c r="O24">
        <v>555174.5</v>
      </c>
      <c r="P24" t="str">
        <v/>
      </c>
      <c r="Q24">
        <v>0</v>
      </c>
      <c r="R24">
        <v>0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>
        <v>100</v>
      </c>
      <c r="AA24" t="str">
        <v>18/09/2026</v>
      </c>
      <c r="AB24" t="str">
        <v>12:21:22</v>
      </c>
      <c r="AC24">
        <f>IF("ONLINE"="NOGPS","GPS Antiguo","En línea")</f>
      </c>
      <c r="AD24">
        <f>IF(0=0,"Sin atender", IF(0=1,"Atendida","Atendida y Reportada"))</f>
      </c>
      <c r="AE24" t="str">
        <v/>
      </c>
      <c r="AF24" t="str">
        <v/>
      </c>
      <c r="AG24" t="str">
        <v/>
      </c>
      <c r="AH24" t="str">
        <v/>
      </c>
      <c r="AI24" t="str">
        <v>18/09/2026 12:26:24</v>
      </c>
      <c r="AJ24" t="str">
        <v>12:26:24</v>
      </c>
      <c r="AK24" t="str">
        <v/>
      </c>
    </row>
    <row r="25">
      <c r="A25">
        <v>24</v>
      </c>
      <c r="B25" t="str">
        <v>MASS BSF</v>
      </c>
      <c r="C25" t="str">
        <v>F6V-792</v>
      </c>
      <c r="D25" t="str">
        <v>F6V-792</v>
      </c>
      <c r="E25" t="str">
        <v>867162026042390</v>
      </c>
      <c r="F25" t="str">
        <v>Minivan</v>
      </c>
      <c r="G25" t="str">
        <v/>
      </c>
      <c r="H25" t="str">
        <v/>
      </c>
      <c r="I25" t="str">
        <v>18/09/2026</v>
      </c>
      <c r="J25" t="str">
        <v>12:35:04</v>
      </c>
      <c r="K25">
        <v>-12.317925</v>
      </c>
      <c r="L25">
        <v>-76.82406</v>
      </c>
      <c r="M25">
        <f>HYPERLINK("https://www.google.com/maps/search/?api=1&amp;query=-12.317925,-76.82406","Punta Hermosa, Lima")</f>
      </c>
      <c r="N25" t="str">
        <v>Vehículo apagado</v>
      </c>
      <c r="O25">
        <v>555174.5</v>
      </c>
      <c r="P25" t="str">
        <v/>
      </c>
      <c r="Q25">
        <v>0</v>
      </c>
      <c r="R25">
        <v>0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>
        <v>100</v>
      </c>
      <c r="AA25" t="str">
        <v>18/09/2026</v>
      </c>
      <c r="AB25" t="str">
        <v>12:35:06</v>
      </c>
      <c r="AC25">
        <f>IF("ONLINE"="NOGPS","GPS Antiguo","En línea")</f>
      </c>
      <c r="AD25">
        <f>IF(0=0,"Sin atender", IF(0=1,"Atendida","Atendida y Reportada"))</f>
      </c>
      <c r="AE25" t="str">
        <v/>
      </c>
      <c r="AF25" t="str">
        <v/>
      </c>
      <c r="AG25" t="str">
        <v/>
      </c>
      <c r="AH25" t="str">
        <v/>
      </c>
      <c r="AI25" t="str">
        <v>18/09/2026 12:35:32</v>
      </c>
      <c r="AJ25" t="str">
        <v>12:35:32</v>
      </c>
      <c r="AK25" t="str">
        <v/>
      </c>
    </row>
    <row r="26">
      <c r="A26">
        <v>25</v>
      </c>
      <c r="B26" t="str">
        <v>MASS BSF</v>
      </c>
      <c r="C26" t="str">
        <v>F6V-792</v>
      </c>
      <c r="D26" t="str">
        <v>F6V-792</v>
      </c>
      <c r="E26" t="str">
        <v>867162026042390</v>
      </c>
      <c r="F26" t="str">
        <v>Minivan</v>
      </c>
      <c r="G26" t="str">
        <v/>
      </c>
      <c r="H26" t="str">
        <v/>
      </c>
      <c r="I26" t="str">
        <v>18/09/2026</v>
      </c>
      <c r="J26" t="str">
        <v>13:05:16</v>
      </c>
      <c r="K26">
        <v>-12.317925</v>
      </c>
      <c r="L26">
        <v>-76.82406</v>
      </c>
      <c r="M26">
        <f>HYPERLINK("https://www.google.com/maps/search/?api=1&amp;query=-12.317925,-76.82406","Punta Hermosa, Lima")</f>
      </c>
      <c r="N26" t="str">
        <v>Vehículo encendido</v>
      </c>
      <c r="O26">
        <v>555174.5</v>
      </c>
      <c r="P26" t="str">
        <v/>
      </c>
      <c r="Q26">
        <v>0</v>
      </c>
      <c r="R26">
        <v>0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>
        <v>100</v>
      </c>
      <c r="AA26" t="str">
        <v>18/09/2026</v>
      </c>
      <c r="AB26" t="str">
        <v>13:02:47</v>
      </c>
      <c r="AC26">
        <f>IF("ONLINE"="NOGPS","GPS Antiguo","En línea")</f>
      </c>
      <c r="AD26">
        <f>IF(0=0,"Sin atender", IF(0=1,"Atendida","Atendida y Reportada"))</f>
      </c>
      <c r="AE26" t="str">
        <v/>
      </c>
      <c r="AF26" t="str">
        <v/>
      </c>
      <c r="AG26" t="str">
        <v/>
      </c>
      <c r="AH26" t="str">
        <v/>
      </c>
      <c r="AI26" t="str">
        <v>18/09/2026 13:05:40</v>
      </c>
      <c r="AJ26" t="str">
        <v>13:05:40</v>
      </c>
      <c r="AK26" t="str">
        <v/>
      </c>
    </row>
    <row r="27">
      <c r="A27">
        <v>26</v>
      </c>
      <c r="B27" t="str">
        <v>MASS BSF</v>
      </c>
      <c r="C27" t="str">
        <v>F6V-792</v>
      </c>
      <c r="D27" t="str">
        <v>F6V-792</v>
      </c>
      <c r="E27" t="str">
        <v>867162026042390</v>
      </c>
      <c r="F27" t="str">
        <v>Minivan</v>
      </c>
      <c r="G27" t="str">
        <v/>
      </c>
      <c r="H27" t="str">
        <v xml:space="preserve"> </v>
      </c>
      <c r="I27" t="str">
        <v>18/09/2026</v>
      </c>
      <c r="J27" t="str">
        <v>13:15:39</v>
      </c>
      <c r="K27">
        <v>-12.317484</v>
      </c>
      <c r="L27">
        <v>-76.82989</v>
      </c>
      <c r="M27">
        <f>HYPERLINK("https://www.google.com/maps/search/?api=1&amp;query=-12.317484,-76.82989","Punta Hermosa, Lima")</f>
      </c>
      <c r="N27" t="str">
        <v>Salió de zona</v>
      </c>
      <c r="O27">
        <v>555175.3</v>
      </c>
      <c r="P27" t="str">
        <v>MASS BSF 1</v>
      </c>
      <c r="Q27">
        <v>17.1</v>
      </c>
      <c r="R27">
        <v>0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>
        <v>100</v>
      </c>
      <c r="AA27" t="str">
        <v>18/09/2026</v>
      </c>
      <c r="AB27" t="str">
        <v>13:15:38</v>
      </c>
      <c r="AC27">
        <f>IF("ONLINE"="NOGPS","GPS Antiguo","En línea")</f>
      </c>
      <c r="AD27">
        <f>IF(0=0,"Sin atender", IF(0=1,"Atendida","Atendida y Reportada"))</f>
      </c>
      <c r="AE27" t="str">
        <v/>
      </c>
      <c r="AF27" t="str">
        <v/>
      </c>
      <c r="AG27" t="str">
        <v/>
      </c>
      <c r="AH27" t="str">
        <v/>
      </c>
      <c r="AI27" t="str">
        <v>18/09/2026 13:15:53</v>
      </c>
      <c r="AJ27" t="str">
        <v>13:15:53</v>
      </c>
      <c r="AK27" t="str">
        <v/>
      </c>
    </row>
    <row r="28">
      <c r="A28">
        <v>27</v>
      </c>
      <c r="B28" t="str">
        <v>MASS BSF</v>
      </c>
      <c r="C28" t="str">
        <v>F6V-792</v>
      </c>
      <c r="D28" t="str">
        <v>F6V-792</v>
      </c>
      <c r="E28" t="str">
        <v>867162026042390</v>
      </c>
      <c r="F28" t="str">
        <v>Minivan</v>
      </c>
      <c r="G28" t="str">
        <v/>
      </c>
      <c r="H28" t="str">
        <v/>
      </c>
      <c r="I28" t="str">
        <v>18/09/2026</v>
      </c>
      <c r="J28" t="str">
        <v>13:59:17</v>
      </c>
      <c r="K28">
        <v>-12.213106</v>
      </c>
      <c r="L28">
        <v>-76.95907</v>
      </c>
      <c r="M28">
        <f>HYPERLINK("https://www.google.com/maps/search/?api=1&amp;query=-12.213106,-76.95907","Villa El Salvador, Lima")</f>
      </c>
      <c r="N28" t="str">
        <v>Vehículo apagado</v>
      </c>
      <c r="O28">
        <v>555197.1</v>
      </c>
      <c r="P28" t="str">
        <v/>
      </c>
      <c r="Q28">
        <v>0</v>
      </c>
      <c r="R28">
        <v>0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>
        <v>100</v>
      </c>
      <c r="AA28" t="str">
        <v>18/09/2026</v>
      </c>
      <c r="AB28" t="str">
        <v>13:58:14</v>
      </c>
      <c r="AC28">
        <f>IF("ONLINE"="NOGPS","GPS Antiguo","En línea")</f>
      </c>
      <c r="AD28">
        <f>IF(0=0,"Sin atender", IF(0=1,"Atendida","Atendida y Reportada"))</f>
      </c>
      <c r="AE28" t="str">
        <v/>
      </c>
      <c r="AF28" t="str">
        <v/>
      </c>
      <c r="AG28" t="str">
        <v/>
      </c>
      <c r="AH28" t="str">
        <v/>
      </c>
      <c r="AI28" t="str">
        <v>18/09/2026 13:59:34</v>
      </c>
      <c r="AJ28" t="str">
        <v>13:59:34</v>
      </c>
      <c r="AK28" t="str">
        <v/>
      </c>
    </row>
    <row r="29">
      <c r="A29">
        <v>28</v>
      </c>
      <c r="B29" t="str">
        <v>MASS BSF</v>
      </c>
      <c r="C29" t="str">
        <v>F6V-792</v>
      </c>
      <c r="D29" t="str">
        <v>F6V-792</v>
      </c>
      <c r="E29" t="str">
        <v>867162026042390</v>
      </c>
      <c r="F29" t="str">
        <v>Minivan</v>
      </c>
      <c r="G29" t="str">
        <v/>
      </c>
      <c r="H29" t="str">
        <v/>
      </c>
      <c r="I29" t="str">
        <v>18/09/2026</v>
      </c>
      <c r="J29" t="str">
        <v>14:04:31</v>
      </c>
      <c r="K29">
        <v>-12.213106</v>
      </c>
      <c r="L29">
        <v>-76.95907</v>
      </c>
      <c r="M29">
        <f>HYPERLINK("https://www.google.com/maps/search/?api=1&amp;query=-12.213106,-76.95907","Villa El Salvador, Lima")</f>
      </c>
      <c r="N29" t="str">
        <v>Vehículo encendido</v>
      </c>
      <c r="O29">
        <v>555197.1</v>
      </c>
      <c r="P29" t="str">
        <v/>
      </c>
      <c r="Q29">
        <v>0</v>
      </c>
      <c r="R29">
        <v>0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>
        <v>100</v>
      </c>
      <c r="AA29" t="str">
        <v>18/09/2026</v>
      </c>
      <c r="AB29" t="str">
        <v>13:59:19</v>
      </c>
      <c r="AC29">
        <f>IF("NOGPS"="NOGPS","GPS Antiguo","En línea")</f>
      </c>
      <c r="AD29">
        <f>IF(0=0,"Sin atender", IF(0=1,"Atendida","Atendida y Reportada"))</f>
      </c>
      <c r="AE29" t="str">
        <v/>
      </c>
      <c r="AF29" t="str">
        <v/>
      </c>
      <c r="AG29" t="str">
        <v/>
      </c>
      <c r="AH29" t="str">
        <v/>
      </c>
      <c r="AI29" t="str">
        <v>18/09/2026 14:04:42</v>
      </c>
      <c r="AJ29" t="str">
        <v>14:04:42</v>
      </c>
      <c r="AK29" t="str">
        <v/>
      </c>
    </row>
    <row r="30">
      <c r="A30">
        <v>29</v>
      </c>
      <c r="B30" t="str">
        <v>MASS BSF</v>
      </c>
      <c r="C30" t="str">
        <v>F6V-792</v>
      </c>
      <c r="D30" t="str">
        <v>F6V-792</v>
      </c>
      <c r="E30" t="str">
        <v>867162026042390</v>
      </c>
      <c r="F30" t="str">
        <v>Minivan</v>
      </c>
      <c r="G30" t="str">
        <v/>
      </c>
      <c r="H30" t="str">
        <v/>
      </c>
      <c r="I30" t="str">
        <v>18/09/2026</v>
      </c>
      <c r="J30" t="str">
        <v>14:08:12</v>
      </c>
      <c r="K30">
        <v>-12.212837</v>
      </c>
      <c r="L30">
        <v>-76.95881</v>
      </c>
      <c r="M30">
        <f>HYPERLINK("https://www.google.com/maps/search/?api=1&amp;query=-12.212837,-76.95881","Avenida Villa del Mar, Villa El Salvador, Lima")</f>
      </c>
      <c r="N30" t="str">
        <v>Vehículo apagado</v>
      </c>
      <c r="O30">
        <v>555197.1</v>
      </c>
      <c r="P30" t="str">
        <v/>
      </c>
      <c r="Q30">
        <v>0</v>
      </c>
      <c r="R30">
        <v>0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>
        <v>100</v>
      </c>
      <c r="AA30" t="str">
        <v>18/09/2026</v>
      </c>
      <c r="AB30" t="str">
        <v>14:08:15</v>
      </c>
      <c r="AC30">
        <f>IF("ONLINE"="NOGPS","GPS Antiguo","En línea")</f>
      </c>
      <c r="AD30">
        <f>IF(0=0,"Sin atender", IF(0=1,"Atendida","Atendida y Reportada"))</f>
      </c>
      <c r="AE30" t="str">
        <v/>
      </c>
      <c r="AF30" t="str">
        <v/>
      </c>
      <c r="AG30" t="str">
        <v/>
      </c>
      <c r="AH30" t="str">
        <v/>
      </c>
      <c r="AI30" t="str">
        <v>18/09/2026 14:08:42</v>
      </c>
      <c r="AJ30" t="str">
        <v>14:08:42</v>
      </c>
      <c r="AK30" t="str">
        <v/>
      </c>
    </row>
  </sheetData>
  <ignoredErrors>
    <ignoredError numberStoredAsText="1" sqref="A1:AK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