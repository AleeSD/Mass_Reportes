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F3I-769</v>
      </c>
      <c r="D2" t="str">
        <v>F3I-769</v>
      </c>
      <c r="E2" t="str">
        <v/>
      </c>
      <c r="F2" t="str">
        <v>867806075758377</v>
      </c>
      <c r="G2" t="str">
        <v>TBD</v>
      </c>
      <c r="H2" t="str">
        <v/>
      </c>
      <c r="I2" t="str">
        <v/>
      </c>
      <c r="J2" t="str">
        <v>18/09/2026</v>
      </c>
      <c r="K2" t="str">
        <v>05:02:59</v>
      </c>
      <c r="L2">
        <v>-12.213023</v>
      </c>
      <c r="M2">
        <v>-76.95904</v>
      </c>
      <c r="N2">
        <f>HYPERLINK("https://www.google.com/maps/search/?api=1&amp;query=-12.213023,-76.95904","Avenida Villa del Mar, Villa El Salvador, Lima")</f>
      </c>
      <c r="O2" t="str">
        <v>Vehículo encendido</v>
      </c>
      <c r="P2">
        <v>741.8</v>
      </c>
      <c r="Q2" t="str">
        <v/>
      </c>
      <c r="R2">
        <v>0</v>
      </c>
      <c r="S2">
        <v>26.6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18/09/2026</v>
      </c>
      <c r="AC2" t="str">
        <v>05:02:54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05:03:07</v>
      </c>
      <c r="AK2" t="str">
        <v>05:03:07</v>
      </c>
      <c r="AL2" t="str">
        <v/>
      </c>
    </row>
    <row r="3">
      <c r="A3">
        <v>2</v>
      </c>
      <c r="B3" t="str">
        <v>MASS BSF</v>
      </c>
      <c r="C3" t="str">
        <v>F3I-769</v>
      </c>
      <c r="D3" t="str">
        <v>F3I-769</v>
      </c>
      <c r="E3" t="str">
        <v/>
      </c>
      <c r="F3" t="str">
        <v>867806075758377</v>
      </c>
      <c r="G3" t="str">
        <v>TBD</v>
      </c>
      <c r="H3" t="str">
        <v/>
      </c>
      <c r="I3" t="str">
        <v/>
      </c>
      <c r="J3" t="str">
        <v>18/09/2026</v>
      </c>
      <c r="K3" t="str">
        <v>05:31:09</v>
      </c>
      <c r="L3">
        <v>-12.170055</v>
      </c>
      <c r="M3">
        <v>-76.968254</v>
      </c>
      <c r="N3">
        <f>HYPERLINK("https://www.google.com/maps/search/?api=1&amp;query=-12.170055,-76.968254","Avenida César Canevaro, San Juan de Miraflores, Lima")</f>
      </c>
      <c r="O3" t="str">
        <v>Inicio de ralentí</v>
      </c>
      <c r="P3">
        <v>747.8</v>
      </c>
      <c r="Q3" t="str">
        <v/>
      </c>
      <c r="R3">
        <v>0</v>
      </c>
      <c r="S3">
        <v>26.6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91</v>
      </c>
      <c r="AB3" t="str">
        <v>18/09/2026</v>
      </c>
      <c r="AC3" t="str">
        <v>05:31:09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05:31:27</v>
      </c>
      <c r="AK3" t="str">
        <v>05:31:27</v>
      </c>
      <c r="AL3" t="str">
        <v/>
      </c>
    </row>
    <row r="4">
      <c r="A4">
        <v>3</v>
      </c>
      <c r="B4" t="str">
        <v>MASS BSF</v>
      </c>
      <c r="C4" t="str">
        <v>F3I-769</v>
      </c>
      <c r="D4" t="str">
        <v>F3I-769</v>
      </c>
      <c r="E4" t="str">
        <v/>
      </c>
      <c r="F4" t="str">
        <v>867806075758377</v>
      </c>
      <c r="G4" t="str">
        <v>TBD</v>
      </c>
      <c r="H4" t="str">
        <v/>
      </c>
      <c r="I4" t="str">
        <v/>
      </c>
      <c r="J4" t="str">
        <v>18/09/2026</v>
      </c>
      <c r="K4" t="str">
        <v>05:33:01</v>
      </c>
      <c r="L4">
        <v>-12.169951</v>
      </c>
      <c r="M4">
        <v>-76.96826</v>
      </c>
      <c r="N4">
        <f>HYPERLINK("https://www.google.com/maps/search/?api=1&amp;query=-12.169951,-76.96826","Avenida César Canevaro, San Juan de Miraflores, Lima")</f>
      </c>
      <c r="O4" t="str">
        <v>Vehículo apagado</v>
      </c>
      <c r="P4">
        <v>747.8</v>
      </c>
      <c r="Q4" t="str">
        <v/>
      </c>
      <c r="R4">
        <v>0</v>
      </c>
      <c r="S4">
        <v>27.1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83</v>
      </c>
      <c r="AB4" t="str">
        <v>18/09/2026</v>
      </c>
      <c r="AC4" t="str">
        <v>05:33:02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05:33:40</v>
      </c>
      <c r="AK4" t="str">
        <v>05:33:40</v>
      </c>
      <c r="AL4" t="str">
        <v/>
      </c>
    </row>
    <row r="5">
      <c r="A5">
        <v>4</v>
      </c>
      <c r="B5" t="str">
        <v>MASS BSF</v>
      </c>
      <c r="C5" t="str">
        <v>F3I-769</v>
      </c>
      <c r="D5" t="str">
        <v>F3I-769</v>
      </c>
      <c r="E5" t="str">
        <v/>
      </c>
      <c r="F5" t="str">
        <v>867806075758377</v>
      </c>
      <c r="G5" t="str">
        <v>TBD</v>
      </c>
      <c r="H5" t="str">
        <v/>
      </c>
      <c r="I5" t="str">
        <v/>
      </c>
      <c r="J5" t="str">
        <v>18/09/2026</v>
      </c>
      <c r="K5" t="str">
        <v>05:33:01</v>
      </c>
      <c r="L5">
        <v>-12.169951</v>
      </c>
      <c r="M5">
        <v>-76.96826</v>
      </c>
      <c r="N5">
        <f>HYPERLINK("https://www.google.com/maps/search/?api=1&amp;query=-12.169951,-76.96826","Avenida César Canevaro, San Juan de Miraflores, Lima")</f>
      </c>
      <c r="O5" t="str">
        <v>Fin de ralentí</v>
      </c>
      <c r="P5">
        <v>747.8</v>
      </c>
      <c r="Q5" t="str">
        <v/>
      </c>
      <c r="R5">
        <v>0</v>
      </c>
      <c r="S5">
        <v>26.6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83</v>
      </c>
      <c r="AB5" t="str">
        <v>18/09/2026</v>
      </c>
      <c r="AC5" t="str">
        <v>05:33:02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05:33:33</v>
      </c>
      <c r="AK5" t="str">
        <v>05:33:33</v>
      </c>
      <c r="AL5" t="str">
        <v/>
      </c>
    </row>
    <row r="6">
      <c r="A6">
        <v>5</v>
      </c>
      <c r="B6" t="str">
        <v>MASS BSF</v>
      </c>
      <c r="C6" t="str">
        <v>F3I-769</v>
      </c>
      <c r="D6" t="str">
        <v>F3I-769</v>
      </c>
      <c r="E6" t="str">
        <v/>
      </c>
      <c r="F6" t="str">
        <v>867806075758377</v>
      </c>
      <c r="G6" t="str">
        <v>TBD</v>
      </c>
      <c r="H6" t="str">
        <v/>
      </c>
      <c r="I6" t="str">
        <v/>
      </c>
      <c r="J6" t="str">
        <v>18/09/2026</v>
      </c>
      <c r="K6" t="str">
        <v>05:35:01</v>
      </c>
      <c r="L6">
        <v>-12.169951</v>
      </c>
      <c r="M6">
        <v>-76.96826</v>
      </c>
      <c r="N6">
        <f>HYPERLINK("https://www.google.com/maps/search/?api=1&amp;query=-12.169951,-76.96826","Avenida César Canevaro, San Juan de Miraflores, Lima")</f>
      </c>
      <c r="O6" t="str">
        <v>Se detuvo</v>
      </c>
      <c r="P6">
        <v>747.8</v>
      </c>
      <c r="Q6" t="str">
        <v/>
      </c>
      <c r="R6">
        <v>0</v>
      </c>
      <c r="S6">
        <v>27.1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83</v>
      </c>
      <c r="AB6" t="str">
        <v>18/09/2026</v>
      </c>
      <c r="AC6" t="str">
        <v>05:35:01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05:35:29</v>
      </c>
      <c r="AK6" t="str">
        <v>05:35:29</v>
      </c>
      <c r="AL6" t="str">
        <v/>
      </c>
    </row>
    <row r="7">
      <c r="A7">
        <v>6</v>
      </c>
      <c r="B7" t="str">
        <v>MASS BSF</v>
      </c>
      <c r="C7" t="str">
        <v>F3I-769</v>
      </c>
      <c r="D7" t="str">
        <v>F3I-769</v>
      </c>
      <c r="E7" t="str">
        <v/>
      </c>
      <c r="F7" t="str">
        <v>867806075758377</v>
      </c>
      <c r="G7" t="str">
        <v>TBD</v>
      </c>
      <c r="H7" t="str">
        <v/>
      </c>
      <c r="I7" t="str">
        <v/>
      </c>
      <c r="J7" t="str">
        <v>18/09/2026</v>
      </c>
      <c r="K7" t="str">
        <v>06:54:06</v>
      </c>
      <c r="L7">
        <v>-12.169998</v>
      </c>
      <c r="M7">
        <v>-76.96817</v>
      </c>
      <c r="N7">
        <f>HYPERLINK("https://www.google.com/maps/search/?api=1&amp;query=-12.169998,-76.96817","Avenida César Canevaro, San Juan de Miraflores, Lima")</f>
      </c>
      <c r="O7" t="str">
        <v>Vehículo encendido</v>
      </c>
      <c r="P7">
        <v>747.8</v>
      </c>
      <c r="Q7" t="str">
        <v/>
      </c>
      <c r="R7">
        <v>0</v>
      </c>
      <c r="S7">
        <v>27.1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82</v>
      </c>
      <c r="AB7" t="str">
        <v>18/09/2026</v>
      </c>
      <c r="AC7" t="str">
        <v>06:54:07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06:54:17</v>
      </c>
      <c r="AK7" t="str">
        <v>06:54:17</v>
      </c>
      <c r="AL7" t="str">
        <v/>
      </c>
    </row>
    <row r="8">
      <c r="A8">
        <v>7</v>
      </c>
      <c r="B8" t="str">
        <v>MASS BSF</v>
      </c>
      <c r="C8" t="str">
        <v>F3I-769</v>
      </c>
      <c r="D8" t="str">
        <v>F3I-769</v>
      </c>
      <c r="E8" t="str">
        <v/>
      </c>
      <c r="F8" t="str">
        <v>867806075758377</v>
      </c>
      <c r="G8" t="str">
        <v>TBD</v>
      </c>
      <c r="H8" t="str">
        <v/>
      </c>
      <c r="I8" t="str">
        <v/>
      </c>
      <c r="J8" t="str">
        <v>18/09/2026</v>
      </c>
      <c r="K8" t="str">
        <v>06:56:27</v>
      </c>
      <c r="L8">
        <v>-12.169998</v>
      </c>
      <c r="M8">
        <v>-76.96817</v>
      </c>
      <c r="N8">
        <f>HYPERLINK("https://www.google.com/maps/search/?api=1&amp;query=-12.169998,-76.96817","Avenida César Canevaro, San Juan de Miraflores, Lima")</f>
      </c>
      <c r="O8" t="str">
        <v>Vehículo apagado</v>
      </c>
      <c r="P8">
        <v>747.8</v>
      </c>
      <c r="Q8" t="str">
        <v/>
      </c>
      <c r="R8">
        <v>0</v>
      </c>
      <c r="S8">
        <v>27.13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82</v>
      </c>
      <c r="AB8" t="str">
        <v>18/09/2026</v>
      </c>
      <c r="AC8" t="str">
        <v>06:56:28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06:56:49</v>
      </c>
      <c r="AK8" t="str">
        <v>06:56:49</v>
      </c>
      <c r="AL8" t="str">
        <v/>
      </c>
    </row>
    <row r="9">
      <c r="A9">
        <v>8</v>
      </c>
      <c r="B9" t="str">
        <v>MASS BSF</v>
      </c>
      <c r="C9" t="str">
        <v>F3I-769</v>
      </c>
      <c r="D9" t="str">
        <v>F3I-769</v>
      </c>
      <c r="E9" t="str">
        <v/>
      </c>
      <c r="F9" t="str">
        <v>867806075758377</v>
      </c>
      <c r="G9" t="str">
        <v>TBD</v>
      </c>
      <c r="H9" t="str">
        <v/>
      </c>
      <c r="I9" t="str">
        <v/>
      </c>
      <c r="J9" t="str">
        <v>18/09/2026</v>
      </c>
      <c r="K9" t="str">
        <v>07:25:58</v>
      </c>
      <c r="L9">
        <v>-12.16994</v>
      </c>
      <c r="M9">
        <v>-76.96824</v>
      </c>
      <c r="N9">
        <f>HYPERLINK("https://www.google.com/maps/search/?api=1&amp;query=-12.16994,-76.96824","Avenida César Canevaro, San Juan de Miraflores, Lima")</f>
      </c>
      <c r="O9" t="str">
        <v>Vehículo encendido</v>
      </c>
      <c r="P9">
        <v>747.8</v>
      </c>
      <c r="Q9" t="str">
        <v/>
      </c>
      <c r="R9">
        <v>0</v>
      </c>
      <c r="S9">
        <v>27.13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82</v>
      </c>
      <c r="AB9" t="str">
        <v>18/09/2026</v>
      </c>
      <c r="AC9" t="str">
        <v>07:25:58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07:26:28</v>
      </c>
      <c r="AK9" t="str">
        <v>07:26:28</v>
      </c>
      <c r="AL9" t="str">
        <v/>
      </c>
    </row>
    <row r="10">
      <c r="A10">
        <v>9</v>
      </c>
      <c r="B10" t="str">
        <v>MASS BSF</v>
      </c>
      <c r="C10" t="str">
        <v>F3I-769</v>
      </c>
      <c r="D10" t="str">
        <v>F3I-769</v>
      </c>
      <c r="E10" t="str">
        <v/>
      </c>
      <c r="F10" t="str">
        <v>867806075758377</v>
      </c>
      <c r="G10" t="str">
        <v>TBD</v>
      </c>
      <c r="H10" t="str">
        <v/>
      </c>
      <c r="I10" t="str">
        <v/>
      </c>
      <c r="J10" t="str">
        <v>18/09/2026</v>
      </c>
      <c r="K10" t="str">
        <v>07:37:00</v>
      </c>
      <c r="L10">
        <v>-12.160374</v>
      </c>
      <c r="M10">
        <v>-76.975136</v>
      </c>
      <c r="N10">
        <f>HYPERLINK("https://www.google.com/maps/search/?api=1&amp;query=-12.160374,-76.975136","Avenida Belisario Suarez, San Juan de Miraflores, Lima")</f>
      </c>
      <c r="O10" t="str">
        <v>Vehículo apagado</v>
      </c>
      <c r="P10">
        <v>749.9</v>
      </c>
      <c r="Q10" t="str">
        <v/>
      </c>
      <c r="R10">
        <v>0</v>
      </c>
      <c r="S10">
        <v>27.32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91</v>
      </c>
      <c r="AB10" t="str">
        <v>18/09/2026</v>
      </c>
      <c r="AC10" t="str">
        <v>07:37:00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07:37:21</v>
      </c>
      <c r="AK10" t="str">
        <v>07:37:21</v>
      </c>
      <c r="AL10" t="str">
        <v/>
      </c>
    </row>
    <row r="11">
      <c r="A11">
        <v>10</v>
      </c>
      <c r="B11" t="str">
        <v>MASS BSF</v>
      </c>
      <c r="C11" t="str">
        <v>F3I-769</v>
      </c>
      <c r="D11" t="str">
        <v>F3I-769</v>
      </c>
      <c r="E11" t="str">
        <v/>
      </c>
      <c r="F11" t="str">
        <v>867806075758377</v>
      </c>
      <c r="G11" t="str">
        <v>TBD</v>
      </c>
      <c r="H11" t="str">
        <v/>
      </c>
      <c r="I11" t="str">
        <v/>
      </c>
      <c r="J11" t="str">
        <v>18/09/2026</v>
      </c>
      <c r="K11" t="str">
        <v>07:42:44</v>
      </c>
      <c r="L11">
        <v>-12.160374</v>
      </c>
      <c r="M11">
        <v>-76.975136</v>
      </c>
      <c r="N11">
        <f>HYPERLINK("https://www.google.com/maps/search/?api=1&amp;query=-12.160374,-76.975136","Avenida Belisario Suarez, San Juan de Miraflores, Lima")</f>
      </c>
      <c r="O11" t="str">
        <v>Se detuvo</v>
      </c>
      <c r="P11">
        <v>749.9</v>
      </c>
      <c r="Q11" t="str">
        <v/>
      </c>
      <c r="R11">
        <v>0</v>
      </c>
      <c r="S11">
        <v>27.32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91</v>
      </c>
      <c r="AB11" t="str">
        <v>18/09/2026</v>
      </c>
      <c r="AC11" t="str">
        <v>07:42:44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07:43:06</v>
      </c>
      <c r="AK11" t="str">
        <v>07:43:06</v>
      </c>
      <c r="AL11" t="str">
        <v/>
      </c>
    </row>
    <row r="12">
      <c r="A12">
        <v>11</v>
      </c>
      <c r="B12" t="str">
        <v>MASS BSF</v>
      </c>
      <c r="C12" t="str">
        <v>F3I-769</v>
      </c>
      <c r="D12" t="str">
        <v>F3I-769</v>
      </c>
      <c r="E12" t="str">
        <v/>
      </c>
      <c r="F12" t="str">
        <v>867806075758377</v>
      </c>
      <c r="G12" t="str">
        <v>TBD</v>
      </c>
      <c r="H12" t="str">
        <v/>
      </c>
      <c r="I12" t="str">
        <v/>
      </c>
      <c r="J12" t="str">
        <v>18/09/2026</v>
      </c>
      <c r="K12" t="str">
        <v>07:52:35</v>
      </c>
      <c r="L12">
        <v>-12.160374</v>
      </c>
      <c r="M12">
        <v>-76.975136</v>
      </c>
      <c r="N12">
        <f>HYPERLINK("https://www.google.com/maps/search/?api=1&amp;query=-12.160374,-76.975136","Avenida Belisario Suarez, San Juan de Miraflores, Lima")</f>
      </c>
      <c r="O12" t="str">
        <v>Vehículo encendido</v>
      </c>
      <c r="P12">
        <v>749.9</v>
      </c>
      <c r="Q12" t="str">
        <v/>
      </c>
      <c r="R12">
        <v>0</v>
      </c>
      <c r="S12">
        <v>27.32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91</v>
      </c>
      <c r="AB12" t="str">
        <v>18/09/2026</v>
      </c>
      <c r="AC12" t="str">
        <v>07:52:35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07:52:54</v>
      </c>
      <c r="AK12" t="str">
        <v>07:52:54</v>
      </c>
      <c r="AL12" t="str">
        <v/>
      </c>
    </row>
    <row r="13">
      <c r="A13">
        <v>12</v>
      </c>
      <c r="B13" t="str">
        <v>MASS BSF</v>
      </c>
      <c r="C13" t="str">
        <v>F3I-769</v>
      </c>
      <c r="D13" t="str">
        <v>F3I-769</v>
      </c>
      <c r="E13" t="str">
        <v/>
      </c>
      <c r="F13" t="str">
        <v>867806075758377</v>
      </c>
      <c r="G13" t="str">
        <v>TBD</v>
      </c>
      <c r="H13" t="str">
        <v/>
      </c>
      <c r="I13" t="str">
        <v/>
      </c>
      <c r="J13" t="str">
        <v>18/09/2026</v>
      </c>
      <c r="K13" t="str">
        <v>07:52:49</v>
      </c>
      <c r="L13">
        <v>-12.160388</v>
      </c>
      <c r="M13">
        <v>-76.97521</v>
      </c>
      <c r="N13">
        <f>HYPERLINK("https://www.google.com/maps/search/?api=1&amp;query=-12.160388,-76.97521","Avenida Belisario Suarez, San Juan de Miraflores, Lima")</f>
      </c>
      <c r="O13" t="str">
        <v>Vehículo apagado</v>
      </c>
      <c r="P13">
        <v>749.9</v>
      </c>
      <c r="Q13" t="str">
        <v/>
      </c>
      <c r="R13">
        <v>0</v>
      </c>
      <c r="S13">
        <v>27.32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91</v>
      </c>
      <c r="AB13" t="str">
        <v>18/09/2026</v>
      </c>
      <c r="AC13" t="str">
        <v>07:52:49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07:53:14</v>
      </c>
      <c r="AK13" t="str">
        <v>07:53:14</v>
      </c>
      <c r="AL13" t="str">
        <v/>
      </c>
    </row>
    <row r="14">
      <c r="A14">
        <v>13</v>
      </c>
      <c r="B14" t="str">
        <v>MASS BSF</v>
      </c>
      <c r="C14" t="str">
        <v>F3I-769</v>
      </c>
      <c r="D14" t="str">
        <v>F3I-769</v>
      </c>
      <c r="E14" t="str">
        <v/>
      </c>
      <c r="F14" t="str">
        <v>867806075758377</v>
      </c>
      <c r="G14" t="str">
        <v>TBD</v>
      </c>
      <c r="H14" t="str">
        <v/>
      </c>
      <c r="I14" t="str">
        <v/>
      </c>
      <c r="J14" t="str">
        <v>18/09/2026</v>
      </c>
      <c r="K14" t="str">
        <v>08:22:56</v>
      </c>
      <c r="L14">
        <v>-12.160387</v>
      </c>
      <c r="M14">
        <v>-76.975204</v>
      </c>
      <c r="N14">
        <f>HYPERLINK("https://www.google.com/maps/search/?api=1&amp;query=-12.160387,-76.975204","Avenida Belisario Suarez, San Juan de Miraflores, Lima")</f>
      </c>
      <c r="O14" t="str">
        <v>Vehículo encendido</v>
      </c>
      <c r="P14">
        <v>749.9</v>
      </c>
      <c r="Q14" t="str">
        <v/>
      </c>
      <c r="R14">
        <v>0</v>
      </c>
      <c r="S14">
        <v>27.32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83</v>
      </c>
      <c r="AB14" t="str">
        <v>18/09/2026</v>
      </c>
      <c r="AC14" t="str">
        <v>08:22:56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08:23:17</v>
      </c>
      <c r="AK14" t="str">
        <v>08:23:17</v>
      </c>
      <c r="AL14" t="str">
        <v/>
      </c>
    </row>
    <row r="15">
      <c r="A15">
        <v>14</v>
      </c>
      <c r="B15" t="str">
        <v>MASS BSF</v>
      </c>
      <c r="C15" t="str">
        <v>F3I-769</v>
      </c>
      <c r="D15" t="str">
        <v>F3I-769</v>
      </c>
      <c r="E15" t="str">
        <v/>
      </c>
      <c r="F15" t="str">
        <v>867806075758377</v>
      </c>
      <c r="G15" t="str">
        <v>TBD</v>
      </c>
      <c r="H15" t="str">
        <v/>
      </c>
      <c r="I15" t="str">
        <v/>
      </c>
      <c r="J15" t="str">
        <v>18/09/2026</v>
      </c>
      <c r="K15" t="str">
        <v>08:33:02</v>
      </c>
      <c r="L15">
        <v>-12.158129</v>
      </c>
      <c r="M15">
        <v>-76.9733</v>
      </c>
      <c r="N15">
        <f>HYPERLINK("https://www.google.com/maps/search/?api=1&amp;query=-12.158129,-76.9733","Avenida San Juan, San Juan de Miraflores, Lima")</f>
      </c>
      <c r="O15" t="str">
        <v>Vehículo apagado</v>
      </c>
      <c r="P15">
        <v>751.2</v>
      </c>
      <c r="Q15" t="str">
        <v/>
      </c>
      <c r="R15">
        <v>0</v>
      </c>
      <c r="S15">
        <v>27.48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90</v>
      </c>
      <c r="AB15" t="str">
        <v>18/09/2026</v>
      </c>
      <c r="AC15" t="str">
        <v>08:33:02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08:33:19</v>
      </c>
      <c r="AK15" t="str">
        <v>08:33:19</v>
      </c>
      <c r="AL15" t="str">
        <v/>
      </c>
    </row>
    <row r="16">
      <c r="A16">
        <v>15</v>
      </c>
      <c r="B16" t="str">
        <v>MASS BSF</v>
      </c>
      <c r="C16" t="str">
        <v>F3I-769</v>
      </c>
      <c r="D16" t="str">
        <v>F3I-769</v>
      </c>
      <c r="E16" t="str">
        <v/>
      </c>
      <c r="F16" t="str">
        <v>867806075758377</v>
      </c>
      <c r="G16" t="str">
        <v>TBD</v>
      </c>
      <c r="H16" t="str">
        <v/>
      </c>
      <c r="I16" t="str">
        <v/>
      </c>
      <c r="J16" t="str">
        <v>18/09/2026</v>
      </c>
      <c r="K16" t="str">
        <v>08:37:51</v>
      </c>
      <c r="L16">
        <v>-12.158129</v>
      </c>
      <c r="M16">
        <v>-76.9733</v>
      </c>
      <c r="N16">
        <f>HYPERLINK("https://www.google.com/maps/search/?api=1&amp;query=-12.158129,-76.9733","Avenida San Juan, San Juan de Miraflores, Lima")</f>
      </c>
      <c r="O16" t="str">
        <v>Se detuvo</v>
      </c>
      <c r="P16">
        <v>751.2</v>
      </c>
      <c r="Q16" t="str">
        <v/>
      </c>
      <c r="R16">
        <v>0</v>
      </c>
      <c r="S16">
        <v>27.48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90</v>
      </c>
      <c r="AB16" t="str">
        <v>18/09/2026</v>
      </c>
      <c r="AC16" t="str">
        <v>08:37:50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08:38:01</v>
      </c>
      <c r="AK16" t="str">
        <v>08:38:01</v>
      </c>
      <c r="AL16" t="str">
        <v/>
      </c>
    </row>
    <row r="17">
      <c r="A17">
        <v>16</v>
      </c>
      <c r="B17" t="str">
        <v>MASS BSF</v>
      </c>
      <c r="C17" t="str">
        <v>F3I-769</v>
      </c>
      <c r="D17" t="str">
        <v>F3I-769</v>
      </c>
      <c r="E17" t="str">
        <v/>
      </c>
      <c r="F17" t="str">
        <v>867806075758377</v>
      </c>
      <c r="G17" t="str">
        <v>TBD</v>
      </c>
      <c r="H17" t="str">
        <v/>
      </c>
      <c r="I17" t="str">
        <v/>
      </c>
      <c r="J17" t="str">
        <v>18/09/2026</v>
      </c>
      <c r="K17" t="str">
        <v>08:45:06</v>
      </c>
      <c r="L17">
        <v>-12.158129</v>
      </c>
      <c r="M17">
        <v>-76.9733</v>
      </c>
      <c r="N17">
        <f>HYPERLINK("https://www.google.com/maps/search/?api=1&amp;query=-12.158129,-76.9733","Avenida San Juan, San Juan de Miraflores, Lima")</f>
      </c>
      <c r="O17" t="str">
        <v>Vehículo encendido</v>
      </c>
      <c r="P17">
        <v>751.2</v>
      </c>
      <c r="Q17" t="str">
        <v/>
      </c>
      <c r="R17">
        <v>0</v>
      </c>
      <c r="S17">
        <v>27.48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90</v>
      </c>
      <c r="AB17" t="str">
        <v>18/09/2026</v>
      </c>
      <c r="AC17" t="str">
        <v>08:45:06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08:45:11</v>
      </c>
      <c r="AK17" t="str">
        <v>08:45:11</v>
      </c>
      <c r="AL17" t="str">
        <v/>
      </c>
    </row>
    <row r="18">
      <c r="A18">
        <v>17</v>
      </c>
      <c r="B18" t="str">
        <v>MASS BSF</v>
      </c>
      <c r="C18" t="str">
        <v>F3I-769</v>
      </c>
      <c r="D18" t="str">
        <v>F3I-769</v>
      </c>
      <c r="E18" t="str">
        <v/>
      </c>
      <c r="F18" t="str">
        <v>867806075758377</v>
      </c>
      <c r="G18" t="str">
        <v>TBD</v>
      </c>
      <c r="H18" t="str">
        <v/>
      </c>
      <c r="I18" t="str">
        <v/>
      </c>
      <c r="J18" t="str">
        <v>18/09/2026</v>
      </c>
      <c r="K18" t="str">
        <v>08:46:09</v>
      </c>
      <c r="L18">
        <v>-12.158129</v>
      </c>
      <c r="M18">
        <v>-76.9733</v>
      </c>
      <c r="N18">
        <f>HYPERLINK("https://www.google.com/maps/search/?api=1&amp;query=-12.158129,-76.9733","Avenida San Juan, San Juan de Miraflores, Lima")</f>
      </c>
      <c r="O18" t="str">
        <v>Vehículo apagado</v>
      </c>
      <c r="P18">
        <v>751.2</v>
      </c>
      <c r="Q18" t="str">
        <v/>
      </c>
      <c r="R18">
        <v>0</v>
      </c>
      <c r="S18">
        <v>27.5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90</v>
      </c>
      <c r="AB18" t="str">
        <v>18/09/2026</v>
      </c>
      <c r="AC18" t="str">
        <v>08:46:09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08:46:18</v>
      </c>
      <c r="AK18" t="str">
        <v>08:46:18</v>
      </c>
      <c r="AL18" t="str">
        <v/>
      </c>
    </row>
    <row r="19">
      <c r="A19">
        <v>18</v>
      </c>
      <c r="B19" t="str">
        <v>MASS BSF</v>
      </c>
      <c r="C19" t="str">
        <v>F3I-769</v>
      </c>
      <c r="D19" t="str">
        <v>F3I-769</v>
      </c>
      <c r="E19" t="str">
        <v/>
      </c>
      <c r="F19" t="str">
        <v>867806075758377</v>
      </c>
      <c r="G19" t="str">
        <v>TBD</v>
      </c>
      <c r="H19" t="str">
        <v/>
      </c>
      <c r="I19" t="str">
        <v/>
      </c>
      <c r="J19" t="str">
        <v>18/09/2026</v>
      </c>
      <c r="K19" t="str">
        <v>08:53:20</v>
      </c>
      <c r="L19">
        <v>-12.158129</v>
      </c>
      <c r="M19">
        <v>-76.9733</v>
      </c>
      <c r="N19">
        <f>HYPERLINK("https://www.google.com/maps/search/?api=1&amp;query=-12.158129,-76.9733","Avenida San Juan, San Juan de Miraflores, Lima")</f>
      </c>
      <c r="O19" t="str">
        <v>Se detuvo</v>
      </c>
      <c r="P19">
        <v>751.2</v>
      </c>
      <c r="Q19" t="str">
        <v/>
      </c>
      <c r="R19">
        <v>0</v>
      </c>
      <c r="S19">
        <v>27.5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90</v>
      </c>
      <c r="AB19" t="str">
        <v>18/09/2026</v>
      </c>
      <c r="AC19" t="str">
        <v>08:53:19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08:53:28</v>
      </c>
      <c r="AK19" t="str">
        <v>08:53:28</v>
      </c>
      <c r="AL19" t="str">
        <v/>
      </c>
    </row>
    <row r="20">
      <c r="A20">
        <v>19</v>
      </c>
      <c r="B20" t="str">
        <v>MASS BSF</v>
      </c>
      <c r="C20" t="str">
        <v>F3I-769</v>
      </c>
      <c r="D20" t="str">
        <v>F3I-769</v>
      </c>
      <c r="E20" t="str">
        <v/>
      </c>
      <c r="F20" t="str">
        <v>867806075758377</v>
      </c>
      <c r="G20" t="str">
        <v>TBD</v>
      </c>
      <c r="H20" t="str">
        <v/>
      </c>
      <c r="I20" t="str">
        <v/>
      </c>
      <c r="J20" t="str">
        <v>18/09/2026</v>
      </c>
      <c r="K20" t="str">
        <v>09:08:13</v>
      </c>
      <c r="L20">
        <v>-12.15812</v>
      </c>
      <c r="M20">
        <v>-76.97339</v>
      </c>
      <c r="N20">
        <f>HYPERLINK("https://www.google.com/maps/search/?api=1&amp;query=-12.15812,-76.97339","Avenida San Juan, San Juan de Miraflores, Lima")</f>
      </c>
      <c r="O20" t="str">
        <v>Vehículo encendido</v>
      </c>
      <c r="P20">
        <v>751.2</v>
      </c>
      <c r="Q20" t="str">
        <v/>
      </c>
      <c r="R20">
        <v>0</v>
      </c>
      <c r="S20">
        <v>27.5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92</v>
      </c>
      <c r="AB20" t="str">
        <v>18/09/2026</v>
      </c>
      <c r="AC20" t="str">
        <v>09:08:12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09:08:31</v>
      </c>
      <c r="AK20" t="str">
        <v>09:08:31</v>
      </c>
      <c r="AL20" t="str">
        <v/>
      </c>
    </row>
    <row r="21">
      <c r="A21">
        <v>20</v>
      </c>
      <c r="B21" t="str">
        <v>MASS BSF</v>
      </c>
      <c r="C21" t="str">
        <v>F3I-769</v>
      </c>
      <c r="D21" t="str">
        <v>F3I-769</v>
      </c>
      <c r="E21" t="str">
        <v/>
      </c>
      <c r="F21" t="str">
        <v>867806075758377</v>
      </c>
      <c r="G21" t="str">
        <v>TBD</v>
      </c>
      <c r="H21" t="str">
        <v/>
      </c>
      <c r="I21" t="str">
        <v/>
      </c>
      <c r="J21" t="str">
        <v>18/09/2026</v>
      </c>
      <c r="K21" t="str">
        <v>09:08:17</v>
      </c>
      <c r="L21">
        <v>-12.15812</v>
      </c>
      <c r="M21">
        <v>-76.97339</v>
      </c>
      <c r="N21">
        <f>HYPERLINK("https://www.google.com/maps/search/?api=1&amp;query=-12.15812,-76.97339","Avenida San Juan, San Juan de Miraflores, Lima")</f>
      </c>
      <c r="O21" t="str">
        <v>Vehículo apagado</v>
      </c>
      <c r="P21">
        <v>751.2</v>
      </c>
      <c r="Q21" t="str">
        <v/>
      </c>
      <c r="R21">
        <v>0</v>
      </c>
      <c r="S21">
        <v>27.5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92</v>
      </c>
      <c r="AB21" t="str">
        <v>18/09/2026</v>
      </c>
      <c r="AC21" t="str">
        <v>09:08:17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09:08:24</v>
      </c>
      <c r="AK21" t="str">
        <v>09:08:24</v>
      </c>
      <c r="AL21" t="str">
        <v/>
      </c>
    </row>
    <row r="22">
      <c r="A22">
        <v>21</v>
      </c>
      <c r="B22" t="str">
        <v>MASS BSF</v>
      </c>
      <c r="C22" t="str">
        <v>F3I-769</v>
      </c>
      <c r="D22" t="str">
        <v>F3I-769</v>
      </c>
      <c r="E22" t="str">
        <v/>
      </c>
      <c r="F22" t="str">
        <v>867806075758377</v>
      </c>
      <c r="G22" t="str">
        <v>TBD</v>
      </c>
      <c r="H22" t="str">
        <v/>
      </c>
      <c r="I22" t="str">
        <v/>
      </c>
      <c r="J22" t="str">
        <v>18/09/2026</v>
      </c>
      <c r="K22" t="str">
        <v>09:08:35</v>
      </c>
      <c r="L22">
        <v>-12.15812</v>
      </c>
      <c r="M22">
        <v>-76.97339</v>
      </c>
      <c r="N22">
        <f>HYPERLINK("https://www.google.com/maps/search/?api=1&amp;query=-12.15812,-76.97339","Avenida San Juan, San Juan de Miraflores, Lima")</f>
      </c>
      <c r="O22" t="str">
        <v>Vehículo encendido</v>
      </c>
      <c r="P22">
        <v>751.2</v>
      </c>
      <c r="Q22" t="str">
        <v/>
      </c>
      <c r="R22">
        <v>0</v>
      </c>
      <c r="S22">
        <v>27.5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92</v>
      </c>
      <c r="AB22" t="str">
        <v>18/09/2026</v>
      </c>
      <c r="AC22" t="str">
        <v>09:08:35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09:08:51</v>
      </c>
      <c r="AK22" t="str">
        <v>09:08:51</v>
      </c>
      <c r="AL22" t="str">
        <v/>
      </c>
    </row>
    <row r="23">
      <c r="A23">
        <v>22</v>
      </c>
      <c r="B23" t="str">
        <v>MASS BSF</v>
      </c>
      <c r="C23" t="str">
        <v>F3I-769</v>
      </c>
      <c r="D23" t="str">
        <v>F3I-769</v>
      </c>
      <c r="E23" t="str">
        <v/>
      </c>
      <c r="F23" t="str">
        <v>867806075758377</v>
      </c>
      <c r="G23" t="str">
        <v>TBD</v>
      </c>
      <c r="H23" t="str">
        <v/>
      </c>
      <c r="I23" t="str">
        <v/>
      </c>
      <c r="J23" t="str">
        <v>18/09/2026</v>
      </c>
      <c r="K23" t="str">
        <v>09:14:32</v>
      </c>
      <c r="L23">
        <v>-12.157262</v>
      </c>
      <c r="M23">
        <v>-76.97062</v>
      </c>
      <c r="N23">
        <f>HYPERLINK("https://www.google.com/maps/search/?api=1&amp;query=-12.157262,-76.97062","Avenida José María Seguín, San Juan de Miraflores, Lima")</f>
      </c>
      <c r="O23" t="str">
        <v>Bache</v>
      </c>
      <c r="P23">
        <v>751.7</v>
      </c>
      <c r="Q23" t="str">
        <v/>
      </c>
      <c r="R23">
        <v>5.5</v>
      </c>
      <c r="S23">
        <v>27.5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91</v>
      </c>
      <c r="AB23" t="str">
        <v>18/09/2026</v>
      </c>
      <c r="AC23" t="str">
        <v>09:14:32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09:14:48</v>
      </c>
      <c r="AK23" t="str">
        <v>09:14:48</v>
      </c>
      <c r="AL23" t="str">
        <v/>
      </c>
    </row>
    <row r="24">
      <c r="A24">
        <v>23</v>
      </c>
      <c r="B24" t="str">
        <v>MASS BSF</v>
      </c>
      <c r="C24" t="str">
        <v>F3I-769</v>
      </c>
      <c r="D24" t="str">
        <v>F3I-769</v>
      </c>
      <c r="E24" t="str">
        <v/>
      </c>
      <c r="F24" t="str">
        <v>867806075758377</v>
      </c>
      <c r="G24" t="str">
        <v>TBD</v>
      </c>
      <c r="H24" t="str">
        <v/>
      </c>
      <c r="I24" t="str">
        <v/>
      </c>
      <c r="J24" t="str">
        <v>18/09/2026</v>
      </c>
      <c r="K24" t="str">
        <v>09:14:58</v>
      </c>
      <c r="L24">
        <v>-12.156108</v>
      </c>
      <c r="M24">
        <v>-76.97011</v>
      </c>
      <c r="N24">
        <f>HYPERLINK("https://www.google.com/maps/search/?api=1&amp;query=-12.156108,-76.97011","Avenida José María Seguín, San Juan de Miraflores, Lima")</f>
      </c>
      <c r="O24" t="str">
        <v>Bache</v>
      </c>
      <c r="P24">
        <v>751.8</v>
      </c>
      <c r="Q24" t="str">
        <v/>
      </c>
      <c r="R24">
        <v>10.3</v>
      </c>
      <c r="S24">
        <v>27.5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91</v>
      </c>
      <c r="AB24" t="str">
        <v>18/09/2026</v>
      </c>
      <c r="AC24" t="str">
        <v>09:14:57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09:15:13</v>
      </c>
      <c r="AK24" t="str">
        <v>09:15:13</v>
      </c>
      <c r="AL24" t="str">
        <v/>
      </c>
    </row>
    <row r="25">
      <c r="A25">
        <v>24</v>
      </c>
      <c r="B25" t="str">
        <v>MASS BSF</v>
      </c>
      <c r="C25" t="str">
        <v>F3I-769</v>
      </c>
      <c r="D25" t="str">
        <v>F3I-769</v>
      </c>
      <c r="E25" t="str">
        <v/>
      </c>
      <c r="F25" t="str">
        <v>867806075758377</v>
      </c>
      <c r="G25" t="str">
        <v>TBD</v>
      </c>
      <c r="H25" t="str">
        <v/>
      </c>
      <c r="I25" t="str">
        <v/>
      </c>
      <c r="J25" t="str">
        <v>18/09/2026</v>
      </c>
      <c r="K25" t="str">
        <v>09:16:57</v>
      </c>
      <c r="L25">
        <v>-12.158958</v>
      </c>
      <c r="M25">
        <v>-76.959984</v>
      </c>
      <c r="N25">
        <f>HYPERLINK("https://www.google.com/maps/search/?api=1&amp;query=-12.158958,-76.959984","Avenida Los Héroes, San Juan de Miraflores, Lima")</f>
      </c>
      <c r="O25" t="str">
        <v>Bache</v>
      </c>
      <c r="P25">
        <v>753.1</v>
      </c>
      <c r="Q25" t="str">
        <v/>
      </c>
      <c r="R25">
        <v>60</v>
      </c>
      <c r="S25">
        <v>27.5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90</v>
      </c>
      <c r="AB25" t="str">
        <v>18/09/2026</v>
      </c>
      <c r="AC25" t="str">
        <v>09:16:56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09:17:22</v>
      </c>
      <c r="AK25" t="str">
        <v>09:17:22</v>
      </c>
      <c r="AL25" t="str">
        <v/>
      </c>
    </row>
    <row r="26">
      <c r="A26">
        <v>25</v>
      </c>
      <c r="B26" t="str">
        <v>MASS BSF</v>
      </c>
      <c r="C26" t="str">
        <v>F3I-769</v>
      </c>
      <c r="D26" t="str">
        <v>F3I-769</v>
      </c>
      <c r="E26" t="str">
        <v/>
      </c>
      <c r="F26" t="str">
        <v>867806075758377</v>
      </c>
      <c r="G26" t="str">
        <v>TBD</v>
      </c>
      <c r="H26" t="str">
        <v/>
      </c>
      <c r="I26" t="str">
        <v/>
      </c>
      <c r="J26" t="str">
        <v>18/09/2026</v>
      </c>
      <c r="K26" t="str">
        <v>09:17:49</v>
      </c>
      <c r="L26">
        <v>-12.16292</v>
      </c>
      <c r="M26">
        <v>-76.95508</v>
      </c>
      <c r="N26">
        <f>HYPERLINK("https://www.google.com/maps/search/?api=1&amp;query=-12.16292,-76.95508","Avenida Pachacútec, Villa María del Triunfo, Lima")</f>
      </c>
      <c r="O26" t="str">
        <v>Bache</v>
      </c>
      <c r="P26">
        <v>753.8</v>
      </c>
      <c r="Q26" t="str">
        <v/>
      </c>
      <c r="R26">
        <v>52.5</v>
      </c>
      <c r="S26">
        <v>27.5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90</v>
      </c>
      <c r="AB26" t="str">
        <v>18/09/2026</v>
      </c>
      <c r="AC26" t="str">
        <v>09:17:49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09:17:53</v>
      </c>
      <c r="AK26" t="str">
        <v>09:17:53</v>
      </c>
      <c r="AL26" t="str">
        <v/>
      </c>
    </row>
    <row r="27">
      <c r="A27">
        <v>26</v>
      </c>
      <c r="B27" t="str">
        <v>MASS BSF</v>
      </c>
      <c r="C27" t="str">
        <v>F3I-769</v>
      </c>
      <c r="D27" t="str">
        <v>F3I-769</v>
      </c>
      <c r="E27" t="str">
        <v/>
      </c>
      <c r="F27" t="str">
        <v>867806075758377</v>
      </c>
      <c r="G27" t="str">
        <v>TBD</v>
      </c>
      <c r="H27" t="str">
        <v/>
      </c>
      <c r="I27" t="str">
        <v/>
      </c>
      <c r="J27" t="str">
        <v>18/09/2026</v>
      </c>
      <c r="K27" t="str">
        <v>09:18:17</v>
      </c>
      <c r="L27">
        <v>-12.16558</v>
      </c>
      <c r="M27">
        <v>-76.95299</v>
      </c>
      <c r="N27">
        <f>HYPERLINK("https://www.google.com/maps/search/?api=1&amp;query=-12.16558,-76.95299","Avenida Pachacútec, Villa María del Triunfo, Lima")</f>
      </c>
      <c r="O27" t="str">
        <v>Aceleración brusca</v>
      </c>
      <c r="P27">
        <v>754.2</v>
      </c>
      <c r="Q27" t="str">
        <v/>
      </c>
      <c r="R27">
        <v>20.1</v>
      </c>
      <c r="S27">
        <v>27.5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90</v>
      </c>
      <c r="AB27" t="str">
        <v>18/09/2026</v>
      </c>
      <c r="AC27" t="str">
        <v>09:18:17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09:18:23</v>
      </c>
      <c r="AK27" t="str">
        <v>09:18:23</v>
      </c>
      <c r="AL27" t="str">
        <v/>
      </c>
    </row>
    <row r="28">
      <c r="A28">
        <v>27</v>
      </c>
      <c r="B28" t="str">
        <v>MASS BSF</v>
      </c>
      <c r="C28" t="str">
        <v>F3I-769</v>
      </c>
      <c r="D28" t="str">
        <v>F3I-769</v>
      </c>
      <c r="E28" t="str">
        <v/>
      </c>
      <c r="F28" t="str">
        <v>867806075758377</v>
      </c>
      <c r="G28" t="str">
        <v>TBD</v>
      </c>
      <c r="H28" t="str">
        <v/>
      </c>
      <c r="I28" t="str">
        <v/>
      </c>
      <c r="J28" t="str">
        <v>18/09/2026</v>
      </c>
      <c r="K28" t="str">
        <v>09:18:20</v>
      </c>
      <c r="L28">
        <v>-12.16566</v>
      </c>
      <c r="M28">
        <v>-76.95293</v>
      </c>
      <c r="N28">
        <f>HYPERLINK("https://www.google.com/maps/search/?api=1&amp;query=-12.16566,-76.95293","Avenida Pachacútec, Villa María del Triunfo, Lima")</f>
      </c>
      <c r="O28" t="str">
        <v>Bache</v>
      </c>
      <c r="P28">
        <v>754.2</v>
      </c>
      <c r="Q28" t="str">
        <v/>
      </c>
      <c r="R28">
        <v>15</v>
      </c>
      <c r="S28">
        <v>27.5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90</v>
      </c>
      <c r="AB28" t="str">
        <v>18/09/2026</v>
      </c>
      <c r="AC28" t="str">
        <v>09:18:20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09:18:31</v>
      </c>
      <c r="AK28" t="str">
        <v>09:18:31</v>
      </c>
      <c r="AL28" t="str">
        <v/>
      </c>
    </row>
    <row r="29">
      <c r="A29">
        <v>28</v>
      </c>
      <c r="B29" t="str">
        <v>MASS BSF</v>
      </c>
      <c r="C29" t="str">
        <v>F3I-769</v>
      </c>
      <c r="D29" t="str">
        <v>F3I-769</v>
      </c>
      <c r="E29" t="str">
        <v/>
      </c>
      <c r="F29" t="str">
        <v>867806075758377</v>
      </c>
      <c r="G29" t="str">
        <v>TBD</v>
      </c>
      <c r="H29" t="str">
        <v/>
      </c>
      <c r="I29" t="str">
        <v/>
      </c>
      <c r="J29" t="str">
        <v>18/09/2026</v>
      </c>
      <c r="K29" t="str">
        <v>09:19:01</v>
      </c>
      <c r="L29">
        <v>-12.168609</v>
      </c>
      <c r="M29">
        <v>-76.95088</v>
      </c>
      <c r="N29">
        <f>HYPERLINK("https://www.google.com/maps/search/?api=1&amp;query=-12.168609,-76.95088","Avenida Pachacútec, Villa María del Triunfo, Lima")</f>
      </c>
      <c r="O29" t="str">
        <v>Aceleración brusca</v>
      </c>
      <c r="P29">
        <v>754.6</v>
      </c>
      <c r="Q29" t="str">
        <v/>
      </c>
      <c r="R29">
        <v>17.2</v>
      </c>
      <c r="S29">
        <v>27.5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90</v>
      </c>
      <c r="AB29" t="str">
        <v>18/09/2026</v>
      </c>
      <c r="AC29" t="str">
        <v>09:19:00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09:19:09</v>
      </c>
      <c r="AK29" t="str">
        <v>09:19:09</v>
      </c>
      <c r="AL29" t="str">
        <v/>
      </c>
    </row>
    <row r="30">
      <c r="A30">
        <v>29</v>
      </c>
      <c r="B30" t="str">
        <v>MASS BSF</v>
      </c>
      <c r="C30" t="str">
        <v>F3I-769</v>
      </c>
      <c r="D30" t="str">
        <v>F3I-769</v>
      </c>
      <c r="E30" t="str">
        <v/>
      </c>
      <c r="F30" t="str">
        <v>867806075758377</v>
      </c>
      <c r="G30" t="str">
        <v>TBD</v>
      </c>
      <c r="H30" t="str">
        <v/>
      </c>
      <c r="I30" t="str">
        <v/>
      </c>
      <c r="J30" t="str">
        <v>18/09/2026</v>
      </c>
      <c r="K30" t="str">
        <v>09:19:28</v>
      </c>
      <c r="L30">
        <v>-12.170417</v>
      </c>
      <c r="M30">
        <v>-76.949814</v>
      </c>
      <c r="N30">
        <f>HYPERLINK("https://www.google.com/maps/search/?api=1&amp;query=-12.170417,-76.949814","Avenida Pachacútec, Villa María del Triunfo, Lima")</f>
      </c>
      <c r="O30" t="str">
        <v>Bache</v>
      </c>
      <c r="P30">
        <v>754.8</v>
      </c>
      <c r="Q30" t="str">
        <v/>
      </c>
      <c r="R30">
        <v>35.9</v>
      </c>
      <c r="S30">
        <v>27.5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90</v>
      </c>
      <c r="AB30" t="str">
        <v>18/09/2026</v>
      </c>
      <c r="AC30" t="str">
        <v>09:19:27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09:19:35</v>
      </c>
      <c r="AK30" t="str">
        <v>09:19:35</v>
      </c>
      <c r="AL30" t="str">
        <v/>
      </c>
    </row>
    <row r="31">
      <c r="A31">
        <v>30</v>
      </c>
      <c r="B31" t="str">
        <v>MASS BSF</v>
      </c>
      <c r="C31" t="str">
        <v>F3I-769</v>
      </c>
      <c r="D31" t="str">
        <v>F3I-769</v>
      </c>
      <c r="E31" t="str">
        <v/>
      </c>
      <c r="F31" t="str">
        <v>867806075758377</v>
      </c>
      <c r="G31" t="str">
        <v>TBD</v>
      </c>
      <c r="H31" t="str">
        <v/>
      </c>
      <c r="I31" t="str">
        <v/>
      </c>
      <c r="J31" t="str">
        <v>18/09/2026</v>
      </c>
      <c r="K31" t="str">
        <v>09:24:02</v>
      </c>
      <c r="L31">
        <v>-12.180893</v>
      </c>
      <c r="M31">
        <v>-76.943306</v>
      </c>
      <c r="N31">
        <f>HYPERLINK("https://www.google.com/maps/search/?api=1&amp;query=-12.180893,-76.943306","Avenida Pachacútec, Villa María del Triunfo, Lima")</f>
      </c>
      <c r="O31" t="str">
        <v>Aceleración brusca</v>
      </c>
      <c r="P31">
        <v>756.1</v>
      </c>
      <c r="Q31" t="str">
        <v/>
      </c>
      <c r="R31">
        <v>25.9</v>
      </c>
      <c r="S31">
        <v>27.5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91</v>
      </c>
      <c r="AB31" t="str">
        <v>18/09/2026</v>
      </c>
      <c r="AC31" t="str">
        <v>09:24:01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09:24:18</v>
      </c>
      <c r="AK31" t="str">
        <v>09:24:18</v>
      </c>
      <c r="AL31" t="str">
        <v/>
      </c>
    </row>
    <row r="32">
      <c r="A32">
        <v>31</v>
      </c>
      <c r="B32" t="str">
        <v>MASS BSF</v>
      </c>
      <c r="C32" t="str">
        <v>F3I-769</v>
      </c>
      <c r="D32" t="str">
        <v>F3I-769</v>
      </c>
      <c r="E32" t="str">
        <v/>
      </c>
      <c r="F32" t="str">
        <v>867806075758377</v>
      </c>
      <c r="G32" t="str">
        <v>TBD</v>
      </c>
      <c r="H32" t="str">
        <v/>
      </c>
      <c r="I32" t="str">
        <v/>
      </c>
      <c r="J32" t="str">
        <v>18/09/2026</v>
      </c>
      <c r="K32" t="str">
        <v>09:24:31</v>
      </c>
      <c r="L32">
        <v>-12.182682</v>
      </c>
      <c r="M32">
        <v>-76.94231</v>
      </c>
      <c r="N32">
        <f>HYPERLINK("https://www.google.com/maps/search/?api=1&amp;query=-12.182682,-76.94231","Avenida Mateo Pumacahua, Villa El Salvador, Lima")</f>
      </c>
      <c r="O32" t="str">
        <v>Frenado y giro brusco</v>
      </c>
      <c r="P32">
        <v>756.4</v>
      </c>
      <c r="Q32" t="str">
        <v/>
      </c>
      <c r="R32">
        <v>28.7</v>
      </c>
      <c r="S32">
        <v>27.5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91</v>
      </c>
      <c r="AB32" t="str">
        <v>18/09/2026</v>
      </c>
      <c r="AC32" t="str">
        <v>09:24:30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09:24:50</v>
      </c>
      <c r="AK32" t="str">
        <v>09:24:50</v>
      </c>
      <c r="AL32" t="str">
        <v/>
      </c>
    </row>
    <row r="33">
      <c r="A33">
        <v>32</v>
      </c>
      <c r="B33" t="str">
        <v>MASS BSF</v>
      </c>
      <c r="C33" t="str">
        <v>F3I-769</v>
      </c>
      <c r="D33" t="str">
        <v>F3I-769</v>
      </c>
      <c r="E33" t="str">
        <v/>
      </c>
      <c r="F33" t="str">
        <v>867806075758377</v>
      </c>
      <c r="G33" t="str">
        <v>TBD</v>
      </c>
      <c r="H33" t="str">
        <v/>
      </c>
      <c r="I33" t="str">
        <v/>
      </c>
      <c r="J33" t="str">
        <v>18/09/2026</v>
      </c>
      <c r="K33" t="str">
        <v>09:31:29</v>
      </c>
      <c r="L33">
        <v>-12.19122</v>
      </c>
      <c r="M33">
        <v>-76.92715</v>
      </c>
      <c r="N33">
        <f>HYPERLINK("https://www.google.com/maps/search/?api=1&amp;query=-12.19122,-76.92715","Avenida Guillermo Billinghurst, Villa María del Triunfo, Lima")</f>
      </c>
      <c r="O33" t="str">
        <v>Aceleración brusca</v>
      </c>
      <c r="P33">
        <v>758.8</v>
      </c>
      <c r="Q33" t="str">
        <v/>
      </c>
      <c r="R33">
        <v>9.6</v>
      </c>
      <c r="S33">
        <v>27.5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90</v>
      </c>
      <c r="AB33" t="str">
        <v>18/09/2026</v>
      </c>
      <c r="AC33" t="str">
        <v>09:31:28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09:31:41</v>
      </c>
      <c r="AK33" t="str">
        <v>09:31:41</v>
      </c>
      <c r="AL33" t="str">
        <v/>
      </c>
    </row>
    <row r="34">
      <c r="A34">
        <v>33</v>
      </c>
      <c r="B34" t="str">
        <v>MASS BSF</v>
      </c>
      <c r="C34" t="str">
        <v>F3I-769</v>
      </c>
      <c r="D34" t="str">
        <v>F3I-769</v>
      </c>
      <c r="E34" t="str">
        <v/>
      </c>
      <c r="F34" t="str">
        <v>867806075758377</v>
      </c>
      <c r="G34" t="str">
        <v>TBD</v>
      </c>
      <c r="H34" t="str">
        <v/>
      </c>
      <c r="I34" t="str">
        <v/>
      </c>
      <c r="J34" t="str">
        <v>18/09/2026</v>
      </c>
      <c r="K34" t="str">
        <v>09:31:53</v>
      </c>
      <c r="L34">
        <v>-12.192375</v>
      </c>
      <c r="M34">
        <v>-76.9266</v>
      </c>
      <c r="N34">
        <f>HYPERLINK("https://www.google.com/maps/search/?api=1&amp;query=-12.192375,-76.9266","Avenida Guillermo Billinghurst, Villa María del Triunfo, Lima")</f>
      </c>
      <c r="O34" t="str">
        <v>Acelerado y giro brusco</v>
      </c>
      <c r="P34">
        <v>758.9</v>
      </c>
      <c r="Q34" t="str">
        <v/>
      </c>
      <c r="R34">
        <v>21.4</v>
      </c>
      <c r="S34">
        <v>27.5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90</v>
      </c>
      <c r="AB34" t="str">
        <v>18/09/2026</v>
      </c>
      <c r="AC34" t="str">
        <v>09:31:52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09:32:14</v>
      </c>
      <c r="AK34" t="str">
        <v>09:32:14</v>
      </c>
      <c r="AL34" t="str">
        <v/>
      </c>
    </row>
    <row r="35">
      <c r="A35">
        <v>34</v>
      </c>
      <c r="B35" t="str">
        <v>MASS BSF</v>
      </c>
      <c r="C35" t="str">
        <v>F3I-769</v>
      </c>
      <c r="D35" t="str">
        <v>F3I-769</v>
      </c>
      <c r="E35" t="str">
        <v/>
      </c>
      <c r="F35" t="str">
        <v>867806075758377</v>
      </c>
      <c r="G35" t="str">
        <v>TBD</v>
      </c>
      <c r="H35" t="str">
        <v/>
      </c>
      <c r="I35" t="str">
        <v/>
      </c>
      <c r="J35" t="str">
        <v>18/09/2026</v>
      </c>
      <c r="K35" t="str">
        <v>09:32:23</v>
      </c>
      <c r="L35">
        <v>-12.19278</v>
      </c>
      <c r="M35">
        <v>-76.92592</v>
      </c>
      <c r="N35">
        <f>HYPERLINK("https://www.google.com/maps/search/?api=1&amp;query=-12.19278,-76.92592","Jirón Arica, Villa María del Triunfo, Lima")</f>
      </c>
      <c r="O35" t="str">
        <v>Acelerado y giro brusco</v>
      </c>
      <c r="P35">
        <v>759</v>
      </c>
      <c r="Q35" t="str">
        <v/>
      </c>
      <c r="R35">
        <v>11.4</v>
      </c>
      <c r="S35">
        <v>27.5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90</v>
      </c>
      <c r="AB35" t="str">
        <v>18/09/2026</v>
      </c>
      <c r="AC35" t="str">
        <v>09:32:23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09:32:34</v>
      </c>
      <c r="AK35" t="str">
        <v>09:32:34</v>
      </c>
      <c r="AL35" t="str">
        <v/>
      </c>
    </row>
    <row r="36">
      <c r="A36">
        <v>35</v>
      </c>
      <c r="B36" t="str">
        <v>MASS BSF</v>
      </c>
      <c r="C36" t="str">
        <v>F3I-769</v>
      </c>
      <c r="D36" t="str">
        <v>F3I-769</v>
      </c>
      <c r="E36" t="str">
        <v/>
      </c>
      <c r="F36" t="str">
        <v>867806075758377</v>
      </c>
      <c r="G36" t="str">
        <v>TBD</v>
      </c>
      <c r="H36" t="str">
        <v/>
      </c>
      <c r="I36" t="str">
        <v/>
      </c>
      <c r="J36" t="str">
        <v>18/09/2026</v>
      </c>
      <c r="K36" t="str">
        <v>09:37:01</v>
      </c>
      <c r="L36">
        <v>-12.193421</v>
      </c>
      <c r="M36">
        <v>-76.9267</v>
      </c>
      <c r="N36">
        <f>HYPERLINK("https://www.google.com/maps/search/?api=1&amp;query=-12.193421,-76.9267","Avenida La Mariscala, Villa María del Triunfo, Lima")</f>
      </c>
      <c r="O36" t="str">
        <v>Vehículo apagado</v>
      </c>
      <c r="P36">
        <v>759.1</v>
      </c>
      <c r="Q36" t="str">
        <v/>
      </c>
      <c r="R36">
        <v>0</v>
      </c>
      <c r="S36">
        <v>27.97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18/09/2026</v>
      </c>
      <c r="AC36" t="str">
        <v>09:37:00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09:37:12</v>
      </c>
      <c r="AK36" t="str">
        <v>09:37:12</v>
      </c>
      <c r="AL36" t="str">
        <v/>
      </c>
    </row>
    <row r="37">
      <c r="A37">
        <v>36</v>
      </c>
      <c r="B37" t="str">
        <v>MASS BSF</v>
      </c>
      <c r="C37" t="str">
        <v>F3I-769</v>
      </c>
      <c r="D37" t="str">
        <v>F3I-769</v>
      </c>
      <c r="E37" t="str">
        <v/>
      </c>
      <c r="F37" t="str">
        <v>867806075758377</v>
      </c>
      <c r="G37" t="str">
        <v>TBD</v>
      </c>
      <c r="H37" t="str">
        <v/>
      </c>
      <c r="I37" t="str">
        <v/>
      </c>
      <c r="J37" t="str">
        <v>18/09/2026</v>
      </c>
      <c r="K37" t="str">
        <v>09:44:31</v>
      </c>
      <c r="L37">
        <v>-12.193421</v>
      </c>
      <c r="M37">
        <v>-76.9267</v>
      </c>
      <c r="N37">
        <f>HYPERLINK("https://www.google.com/maps/search/?api=1&amp;query=-12.193421,-76.9267","Avenida La Mariscala, Villa María del Triunfo, Lima")</f>
      </c>
      <c r="O37" t="str">
        <v>Se detuvo</v>
      </c>
      <c r="P37">
        <v>759.1</v>
      </c>
      <c r="Q37" t="str">
        <v/>
      </c>
      <c r="R37">
        <v>0</v>
      </c>
      <c r="S37">
        <v>27.97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18/09/2026</v>
      </c>
      <c r="AC37" t="str">
        <v>09:44:30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09:44:38</v>
      </c>
      <c r="AK37" t="str">
        <v>09:44:38</v>
      </c>
      <c r="AL37" t="str">
        <v/>
      </c>
    </row>
    <row r="38">
      <c r="A38">
        <v>37</v>
      </c>
      <c r="B38" t="str">
        <v>MASS BSF</v>
      </c>
      <c r="C38" t="str">
        <v>F3I-769</v>
      </c>
      <c r="D38" t="str">
        <v>F3I-769</v>
      </c>
      <c r="E38" t="str">
        <v/>
      </c>
      <c r="F38" t="str">
        <v>867806075758377</v>
      </c>
      <c r="G38" t="str">
        <v>TBD</v>
      </c>
      <c r="H38" t="str">
        <v/>
      </c>
      <c r="I38" t="str">
        <v/>
      </c>
      <c r="J38" t="str">
        <v>18/09/2026</v>
      </c>
      <c r="K38" t="str">
        <v>09:55:40</v>
      </c>
      <c r="L38">
        <v>-12.193421</v>
      </c>
      <c r="M38">
        <v>-76.9267</v>
      </c>
      <c r="N38">
        <f>HYPERLINK("https://www.google.com/maps/search/?api=1&amp;query=-12.193421,-76.9267","Avenida La Mariscala, Villa María del Triunfo, Lima")</f>
      </c>
      <c r="O38" t="str">
        <v>Vehículo encendido</v>
      </c>
      <c r="P38">
        <v>759.1</v>
      </c>
      <c r="Q38" t="str">
        <v/>
      </c>
      <c r="R38">
        <v>0</v>
      </c>
      <c r="S38">
        <v>27.97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93</v>
      </c>
      <c r="AB38" t="str">
        <v>18/09/2026</v>
      </c>
      <c r="AC38" t="str">
        <v>09:55:39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09:56:06</v>
      </c>
      <c r="AK38" t="str">
        <v>09:56:06</v>
      </c>
      <c r="AL38" t="str">
        <v/>
      </c>
    </row>
    <row r="39">
      <c r="A39">
        <v>38</v>
      </c>
      <c r="B39" t="str">
        <v>MASS BSF</v>
      </c>
      <c r="C39" t="str">
        <v>F3I-769</v>
      </c>
      <c r="D39" t="str">
        <v>F3I-769</v>
      </c>
      <c r="E39" t="str">
        <v/>
      </c>
      <c r="F39" t="str">
        <v>867806075758377</v>
      </c>
      <c r="G39" t="str">
        <v>TBD</v>
      </c>
      <c r="H39" t="str">
        <v/>
      </c>
      <c r="I39" t="str">
        <v/>
      </c>
      <c r="J39" t="str">
        <v>18/09/2026</v>
      </c>
      <c r="K39" t="str">
        <v>09:57:55</v>
      </c>
      <c r="L39">
        <v>-12.192845</v>
      </c>
      <c r="M39">
        <v>-76.9271</v>
      </c>
      <c r="N39">
        <f>HYPERLINK("https://www.google.com/maps/search/?api=1&amp;query=-12.192845,-76.9271","Avenida Flora Tristán, Villa María del Triunfo, Lima")</f>
      </c>
      <c r="O39" t="str">
        <v>Aceleración brusca</v>
      </c>
      <c r="P39">
        <v>759.4</v>
      </c>
      <c r="Q39" t="str">
        <v/>
      </c>
      <c r="R39">
        <v>12.9</v>
      </c>
      <c r="S39">
        <v>27.97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18/09/2026</v>
      </c>
      <c r="AC39" t="str">
        <v>09:57:55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09:58:16</v>
      </c>
      <c r="AK39" t="str">
        <v>09:58:16</v>
      </c>
      <c r="AL39" t="str">
        <v/>
      </c>
    </row>
    <row r="40">
      <c r="A40">
        <v>39</v>
      </c>
      <c r="B40" t="str">
        <v>MASS BSF</v>
      </c>
      <c r="C40" t="str">
        <v>F3I-769</v>
      </c>
      <c r="D40" t="str">
        <v>F3I-769</v>
      </c>
      <c r="E40" t="str">
        <v/>
      </c>
      <c r="F40" t="str">
        <v>867806075758377</v>
      </c>
      <c r="G40" t="str">
        <v>TBD</v>
      </c>
      <c r="H40" t="str">
        <v/>
      </c>
      <c r="I40" t="str">
        <v/>
      </c>
      <c r="J40" t="str">
        <v>18/09/2026</v>
      </c>
      <c r="K40" t="str">
        <v>09:58:29</v>
      </c>
      <c r="L40">
        <v>-12.19399</v>
      </c>
      <c r="M40">
        <v>-76.929054</v>
      </c>
      <c r="N40">
        <f>HYPERLINK("https://www.google.com/maps/search/?api=1&amp;query=-12.19399,-76.929054","Avenida Flora Tristán, Villa María del Triunfo, Lima")</f>
      </c>
      <c r="O40" t="str">
        <v>Bache</v>
      </c>
      <c r="P40">
        <v>759.7</v>
      </c>
      <c r="Q40" t="str">
        <v/>
      </c>
      <c r="R40">
        <v>40.7</v>
      </c>
      <c r="S40">
        <v>27.97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18/09/2026</v>
      </c>
      <c r="AC40" t="str">
        <v>09:58:28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09:58:42</v>
      </c>
      <c r="AK40" t="str">
        <v>09:58:42</v>
      </c>
      <c r="AL40" t="str">
        <v/>
      </c>
    </row>
    <row r="41">
      <c r="A41">
        <v>40</v>
      </c>
      <c r="B41" t="str">
        <v>MASS BSF</v>
      </c>
      <c r="C41" t="str">
        <v>F3I-769</v>
      </c>
      <c r="D41" t="str">
        <v>F3I-769</v>
      </c>
      <c r="E41" t="str">
        <v/>
      </c>
      <c r="F41" t="str">
        <v>867806075758377</v>
      </c>
      <c r="G41" t="str">
        <v>TBD</v>
      </c>
      <c r="H41" t="str">
        <v/>
      </c>
      <c r="I41" t="str">
        <v/>
      </c>
      <c r="J41" t="str">
        <v>18/09/2026</v>
      </c>
      <c r="K41" t="str">
        <v>09:58:42</v>
      </c>
      <c r="L41">
        <v>-12.194645</v>
      </c>
      <c r="M41">
        <v>-76.930145</v>
      </c>
      <c r="N41">
        <f>HYPERLINK("https://www.google.com/maps/search/?api=1&amp;query=-12.194645,-76.930145","Avenida Flora Tristán, Villa María del Triunfo, Lima")</f>
      </c>
      <c r="O41" t="str">
        <v>Aceleración brusca</v>
      </c>
      <c r="P41">
        <v>759.8</v>
      </c>
      <c r="Q41" t="str">
        <v/>
      </c>
      <c r="R41">
        <v>18.1</v>
      </c>
      <c r="S41">
        <v>27.97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18/09/2026</v>
      </c>
      <c r="AC41" t="str">
        <v>09:58:41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09:59:03</v>
      </c>
      <c r="AK41" t="str">
        <v>09:59:03</v>
      </c>
      <c r="AL41" t="str">
        <v/>
      </c>
    </row>
    <row r="42">
      <c r="A42">
        <v>41</v>
      </c>
      <c r="B42" t="str">
        <v>MASS BSF</v>
      </c>
      <c r="C42" t="str">
        <v>F3I-769</v>
      </c>
      <c r="D42" t="str">
        <v>F3I-769</v>
      </c>
      <c r="E42" t="str">
        <v/>
      </c>
      <c r="F42" t="str">
        <v>867806075758377</v>
      </c>
      <c r="G42" t="str">
        <v>TBD</v>
      </c>
      <c r="H42" t="str">
        <v/>
      </c>
      <c r="I42" t="str">
        <v/>
      </c>
      <c r="J42" t="str">
        <v>18/09/2026</v>
      </c>
      <c r="K42" t="str">
        <v>09:59:27</v>
      </c>
      <c r="L42">
        <v>-12.19476</v>
      </c>
      <c r="M42">
        <v>-76.93175</v>
      </c>
      <c r="N42">
        <f>HYPERLINK("https://www.google.com/maps/search/?api=1&amp;query=-12.19476,-76.93175","Jirón Independencia, Villa María del Triunfo, Lima")</f>
      </c>
      <c r="O42" t="str">
        <v>Bache</v>
      </c>
      <c r="P42">
        <v>760</v>
      </c>
      <c r="Q42" t="str">
        <v/>
      </c>
      <c r="R42">
        <v>7.2</v>
      </c>
      <c r="S42">
        <v>27.97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18/09/2026</v>
      </c>
      <c r="AC42" t="str">
        <v>09:59:26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09:59:52</v>
      </c>
      <c r="AK42" t="str">
        <v>09:59:52</v>
      </c>
      <c r="AL42" t="str">
        <v/>
      </c>
    </row>
    <row r="43">
      <c r="A43">
        <v>42</v>
      </c>
      <c r="B43" t="str">
        <v>MASS BSF</v>
      </c>
      <c r="C43" t="str">
        <v>F3I-769</v>
      </c>
      <c r="D43" t="str">
        <v>F3I-769</v>
      </c>
      <c r="E43" t="str">
        <v/>
      </c>
      <c r="F43" t="str">
        <v>867806075758377</v>
      </c>
      <c r="G43" t="str">
        <v>TBD</v>
      </c>
      <c r="H43" t="str">
        <v/>
      </c>
      <c r="I43" t="str">
        <v/>
      </c>
      <c r="J43" t="str">
        <v>18/09/2026</v>
      </c>
      <c r="K43" t="str">
        <v>09:59:34</v>
      </c>
      <c r="L43">
        <v>-12.194865</v>
      </c>
      <c r="M43">
        <v>-76.93194</v>
      </c>
      <c r="N43">
        <f>HYPERLINK("https://www.google.com/maps/search/?api=1&amp;query=-12.194865,-76.93194","Jirón Independencia, Villa María del Triunfo, Lima")</f>
      </c>
      <c r="O43" t="str">
        <v>Acelerado y giro brusco</v>
      </c>
      <c r="P43">
        <v>760.1</v>
      </c>
      <c r="Q43" t="str">
        <v/>
      </c>
      <c r="R43">
        <v>13.5</v>
      </c>
      <c r="S43">
        <v>27.97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91</v>
      </c>
      <c r="AB43" t="str">
        <v>18/09/2026</v>
      </c>
      <c r="AC43" t="str">
        <v>09:59:33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09:59:51</v>
      </c>
      <c r="AK43" t="str">
        <v>09:59:51</v>
      </c>
      <c r="AL43" t="str">
        <v/>
      </c>
    </row>
    <row r="44">
      <c r="A44">
        <v>43</v>
      </c>
      <c r="B44" t="str">
        <v>MASS BSF</v>
      </c>
      <c r="C44" t="str">
        <v>F3I-769</v>
      </c>
      <c r="D44" t="str">
        <v>F3I-769</v>
      </c>
      <c r="E44" t="str">
        <v/>
      </c>
      <c r="F44" t="str">
        <v>867806075758377</v>
      </c>
      <c r="G44" t="str">
        <v>TBD</v>
      </c>
      <c r="H44" t="str">
        <v/>
      </c>
      <c r="I44" t="str">
        <v/>
      </c>
      <c r="J44" t="str">
        <v>18/09/2026</v>
      </c>
      <c r="K44" t="str">
        <v>10:00:24</v>
      </c>
      <c r="L44">
        <v>-12.196301</v>
      </c>
      <c r="M44">
        <v>-76.93369</v>
      </c>
      <c r="N44">
        <f>HYPERLINK("https://www.google.com/maps/search/?api=1&amp;query=-12.196301,-76.93369","Avenida Pachacútec, Villa María del Triunfo, Lima")</f>
      </c>
      <c r="O44" t="str">
        <v>Acelerado y giro brusco</v>
      </c>
      <c r="P44">
        <v>760.3</v>
      </c>
      <c r="Q44" t="str">
        <v/>
      </c>
      <c r="R44">
        <v>14</v>
      </c>
      <c r="S44">
        <v>27.97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91</v>
      </c>
      <c r="AB44" t="str">
        <v>18/09/2026</v>
      </c>
      <c r="AC44" t="str">
        <v>10:00:24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10:00:40</v>
      </c>
      <c r="AK44" t="str">
        <v>10:00:40</v>
      </c>
      <c r="AL44" t="str">
        <v/>
      </c>
    </row>
    <row r="45">
      <c r="A45">
        <v>44</v>
      </c>
      <c r="B45" t="str">
        <v>MASS BSF</v>
      </c>
      <c r="C45" t="str">
        <v>F3I-769</v>
      </c>
      <c r="D45" t="str">
        <v>F3I-769</v>
      </c>
      <c r="E45" t="str">
        <v/>
      </c>
      <c r="F45" t="str">
        <v>867806075758377</v>
      </c>
      <c r="G45" t="str">
        <v>TBD</v>
      </c>
      <c r="H45" t="str">
        <v/>
      </c>
      <c r="I45" t="str">
        <v/>
      </c>
      <c r="J45" t="str">
        <v>18/09/2026</v>
      </c>
      <c r="K45" t="str">
        <v>10:00:39</v>
      </c>
      <c r="L45">
        <v>-12.195745</v>
      </c>
      <c r="M45">
        <v>-76.93401</v>
      </c>
      <c r="N45">
        <f>HYPERLINK("https://www.google.com/maps/search/?api=1&amp;query=-12.195745,-76.93401","Avenida Pachacútec, Villa María del Triunfo, Lima")</f>
      </c>
      <c r="O45" t="str">
        <v>Vehículo apagado</v>
      </c>
      <c r="P45">
        <v>760.4</v>
      </c>
      <c r="Q45" t="str">
        <v/>
      </c>
      <c r="R45">
        <v>0</v>
      </c>
      <c r="S45">
        <v>28.05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91</v>
      </c>
      <c r="AB45" t="str">
        <v>18/09/2026</v>
      </c>
      <c r="AC45" t="str">
        <v>10:00:38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10:00:55</v>
      </c>
      <c r="AK45" t="str">
        <v>10:00:55</v>
      </c>
      <c r="AL45" t="str">
        <v/>
      </c>
    </row>
    <row r="46">
      <c r="A46">
        <v>45</v>
      </c>
      <c r="B46" t="str">
        <v>MASS BSF</v>
      </c>
      <c r="C46" t="str">
        <v>F3I-769</v>
      </c>
      <c r="D46" t="str">
        <v>F3I-769</v>
      </c>
      <c r="E46" t="str">
        <v/>
      </c>
      <c r="F46" t="str">
        <v>867806075758377</v>
      </c>
      <c r="G46" t="str">
        <v>TBD</v>
      </c>
      <c r="H46" t="str">
        <v/>
      </c>
      <c r="I46" t="str">
        <v/>
      </c>
      <c r="J46" t="str">
        <v>18/09/2026</v>
      </c>
      <c r="K46" t="str">
        <v>10:08:04</v>
      </c>
      <c r="L46">
        <v>-12.195745</v>
      </c>
      <c r="M46">
        <v>-76.93401</v>
      </c>
      <c r="N46">
        <f>HYPERLINK("https://www.google.com/maps/search/?api=1&amp;query=-12.195745,-76.93401","Avenida Pachacútec, Villa María del Triunfo, Lima")</f>
      </c>
      <c r="O46" t="str">
        <v>Se detuvo</v>
      </c>
      <c r="P46">
        <v>760.4</v>
      </c>
      <c r="Q46" t="str">
        <v/>
      </c>
      <c r="R46">
        <v>0</v>
      </c>
      <c r="S46">
        <v>28.05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91</v>
      </c>
      <c r="AB46" t="str">
        <v>18/09/2026</v>
      </c>
      <c r="AC46" t="str">
        <v>10:08:03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10:08:10</v>
      </c>
      <c r="AK46" t="str">
        <v>10:08:10</v>
      </c>
      <c r="AL46" t="str">
        <v/>
      </c>
    </row>
    <row r="47">
      <c r="A47">
        <v>46</v>
      </c>
      <c r="B47" t="str">
        <v>MASS BSF</v>
      </c>
      <c r="C47" t="str">
        <v>F3I-769</v>
      </c>
      <c r="D47" t="str">
        <v>F3I-769</v>
      </c>
      <c r="E47" t="str">
        <v/>
      </c>
      <c r="F47" t="str">
        <v>867806075758377</v>
      </c>
      <c r="G47" t="str">
        <v>TBD</v>
      </c>
      <c r="H47" t="str">
        <v/>
      </c>
      <c r="I47" t="str">
        <v/>
      </c>
      <c r="J47" t="str">
        <v>18/09/2026</v>
      </c>
      <c r="K47" t="str">
        <v>10:28:25</v>
      </c>
      <c r="L47">
        <v>-12.195745</v>
      </c>
      <c r="M47">
        <v>-76.93401</v>
      </c>
      <c r="N47">
        <f>HYPERLINK("https://www.google.com/maps/search/?api=1&amp;query=-12.195745,-76.93401","Avenida Pachacútec, Villa María del Triunfo, Lima")</f>
      </c>
      <c r="O47" t="str">
        <v>Vehículo encendido</v>
      </c>
      <c r="P47">
        <v>760.4</v>
      </c>
      <c r="Q47" t="str">
        <v/>
      </c>
      <c r="R47">
        <v>0</v>
      </c>
      <c r="S47">
        <v>28.05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91</v>
      </c>
      <c r="AB47" t="str">
        <v>18/09/2026</v>
      </c>
      <c r="AC47" t="str">
        <v>10:28:24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10:28:32</v>
      </c>
      <c r="AK47" t="str">
        <v>10:28:32</v>
      </c>
      <c r="AL47" t="str">
        <v/>
      </c>
    </row>
    <row r="48">
      <c r="A48">
        <v>47</v>
      </c>
      <c r="B48" t="str">
        <v>MASS BSF</v>
      </c>
      <c r="C48" t="str">
        <v>F3I-769</v>
      </c>
      <c r="D48" t="str">
        <v>F3I-769</v>
      </c>
      <c r="E48" t="str">
        <v/>
      </c>
      <c r="F48" t="str">
        <v>867806075758377</v>
      </c>
      <c r="G48" t="str">
        <v>TBD</v>
      </c>
      <c r="H48" t="str">
        <v/>
      </c>
      <c r="I48" t="str">
        <v/>
      </c>
      <c r="J48" t="str">
        <v>18/09/2026</v>
      </c>
      <c r="K48" t="str">
        <v>10:32:59</v>
      </c>
      <c r="L48">
        <v>-12.206622</v>
      </c>
      <c r="M48">
        <v>-76.92794</v>
      </c>
      <c r="N48">
        <f>HYPERLINK("https://www.google.com/maps/search/?api=1&amp;query=-12.206622,-76.92794","Avenida Pachacútec, Villa María del Triunfo, Lima")</f>
      </c>
      <c r="O48" t="str">
        <v>Bache</v>
      </c>
      <c r="P48">
        <v>762</v>
      </c>
      <c r="Q48" t="str">
        <v/>
      </c>
      <c r="R48">
        <v>39.6</v>
      </c>
      <c r="S48">
        <v>28.05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89</v>
      </c>
      <c r="AB48" t="str">
        <v>18/09/2026</v>
      </c>
      <c r="AC48" t="str">
        <v>10:32:58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10:33:05</v>
      </c>
      <c r="AK48" t="str">
        <v>10:33:05</v>
      </c>
      <c r="AL48" t="str">
        <v/>
      </c>
    </row>
    <row r="49">
      <c r="A49">
        <v>48</v>
      </c>
      <c r="B49" t="str">
        <v>MASS BSF</v>
      </c>
      <c r="C49" t="str">
        <v>F3I-769</v>
      </c>
      <c r="D49" t="str">
        <v>F3I-769</v>
      </c>
      <c r="E49" t="str">
        <v/>
      </c>
      <c r="F49" t="str">
        <v>867806075758377</v>
      </c>
      <c r="G49" t="str">
        <v>TBD</v>
      </c>
      <c r="H49" t="str">
        <v/>
      </c>
      <c r="I49" t="str">
        <v/>
      </c>
      <c r="J49" t="str">
        <v>18/09/2026</v>
      </c>
      <c r="K49" t="str">
        <v>10:33:25</v>
      </c>
      <c r="L49">
        <v>-12.208752</v>
      </c>
      <c r="M49">
        <v>-76.92644</v>
      </c>
      <c r="N49">
        <f>HYPERLINK("https://www.google.com/maps/search/?api=1&amp;query=-12.208752,-76.92644","Avenida Pachacútec, Villa María del Triunfo, Lima")</f>
      </c>
      <c r="O49" t="str">
        <v>Bache</v>
      </c>
      <c r="P49">
        <v>762.3</v>
      </c>
      <c r="Q49" t="str">
        <v/>
      </c>
      <c r="R49">
        <v>45.1</v>
      </c>
      <c r="S49">
        <v>28.05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88</v>
      </c>
      <c r="AB49" t="str">
        <v>18/09/2026</v>
      </c>
      <c r="AC49" t="str">
        <v>10:33:24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10:33:41</v>
      </c>
      <c r="AK49" t="str">
        <v>10:33:41</v>
      </c>
      <c r="AL49" t="str">
        <v/>
      </c>
    </row>
    <row r="50">
      <c r="A50">
        <v>49</v>
      </c>
      <c r="B50" t="str">
        <v>MASS BSF</v>
      </c>
      <c r="C50" t="str">
        <v>F3I-769</v>
      </c>
      <c r="D50" t="str">
        <v>F3I-769</v>
      </c>
      <c r="E50" t="str">
        <v/>
      </c>
      <c r="F50" t="str">
        <v>867806075758377</v>
      </c>
      <c r="G50" t="str">
        <v>TBD</v>
      </c>
      <c r="H50" t="str">
        <v/>
      </c>
      <c r="I50" t="str">
        <v/>
      </c>
      <c r="J50" t="str">
        <v>18/09/2026</v>
      </c>
      <c r="K50" t="str">
        <v>10:33:55</v>
      </c>
      <c r="L50">
        <v>-12.210928</v>
      </c>
      <c r="M50">
        <v>-76.92477</v>
      </c>
      <c r="N50">
        <f>HYPERLINK("https://www.google.com/maps/search/?api=1&amp;query=-12.210928,-76.92477","Avenida Pachacútec, Villa María del Triunfo, Lima")</f>
      </c>
      <c r="O50" t="str">
        <v>Bache</v>
      </c>
      <c r="P50">
        <v>762.6</v>
      </c>
      <c r="Q50" t="str">
        <v/>
      </c>
      <c r="R50">
        <v>10.3</v>
      </c>
      <c r="S50">
        <v>28.05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88</v>
      </c>
      <c r="AB50" t="str">
        <v>18/09/2026</v>
      </c>
      <c r="AC50" t="str">
        <v>10:33:54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10:34:02</v>
      </c>
      <c r="AK50" t="str">
        <v>10:34:02</v>
      </c>
      <c r="AL50" t="str">
        <v/>
      </c>
    </row>
    <row r="51">
      <c r="A51">
        <v>50</v>
      </c>
      <c r="B51" t="str">
        <v>MASS BSF</v>
      </c>
      <c r="C51" t="str">
        <v>F3I-769</v>
      </c>
      <c r="D51" t="str">
        <v>F3I-769</v>
      </c>
      <c r="E51" t="str">
        <v/>
      </c>
      <c r="F51" t="str">
        <v>867806075758377</v>
      </c>
      <c r="G51" t="str">
        <v>TBD</v>
      </c>
      <c r="H51" t="str">
        <v/>
      </c>
      <c r="I51" t="str">
        <v/>
      </c>
      <c r="J51" t="str">
        <v>18/09/2026</v>
      </c>
      <c r="K51" t="str">
        <v>10:33:57</v>
      </c>
      <c r="L51">
        <v>-12.21098</v>
      </c>
      <c r="M51">
        <v>-76.92473</v>
      </c>
      <c r="N51">
        <f>HYPERLINK("https://www.google.com/maps/search/?api=1&amp;query=-12.21098,-76.92473","Avenida Pachacútec, Villa María del Triunfo, Lima")</f>
      </c>
      <c r="O51" t="str">
        <v>Bache</v>
      </c>
      <c r="P51">
        <v>762.6</v>
      </c>
      <c r="Q51" t="str">
        <v/>
      </c>
      <c r="R51">
        <v>16.2</v>
      </c>
      <c r="S51">
        <v>28.05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88</v>
      </c>
      <c r="AB51" t="str">
        <v>18/09/2026</v>
      </c>
      <c r="AC51" t="str">
        <v>10:33:56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10:34:12</v>
      </c>
      <c r="AK51" t="str">
        <v>10:34:12</v>
      </c>
      <c r="AL51" t="str">
        <v/>
      </c>
    </row>
    <row r="52">
      <c r="A52">
        <v>51</v>
      </c>
      <c r="B52" t="str">
        <v>MASS BSF</v>
      </c>
      <c r="C52" t="str">
        <v>F3I-769</v>
      </c>
      <c r="D52" t="str">
        <v>F3I-769</v>
      </c>
      <c r="E52" t="str">
        <v/>
      </c>
      <c r="F52" t="str">
        <v>867806075758377</v>
      </c>
      <c r="G52" t="str">
        <v>TBD</v>
      </c>
      <c r="H52" t="str">
        <v/>
      </c>
      <c r="I52" t="str">
        <v/>
      </c>
      <c r="J52" t="str">
        <v>18/09/2026</v>
      </c>
      <c r="K52" t="str">
        <v>10:34:40</v>
      </c>
      <c r="L52">
        <v>-12.214857</v>
      </c>
      <c r="M52">
        <v>-76.92223</v>
      </c>
      <c r="N52">
        <f>HYPERLINK("https://www.google.com/maps/search/?api=1&amp;query=-12.214857,-76.92223","Avenida Pachacútec, Villa El Salvador, Lima")</f>
      </c>
      <c r="O52" t="str">
        <v>Bache</v>
      </c>
      <c r="P52">
        <v>763.1</v>
      </c>
      <c r="Q52" t="str">
        <v/>
      </c>
      <c r="R52">
        <v>55.5</v>
      </c>
      <c r="S52">
        <v>28.05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90</v>
      </c>
      <c r="AB52" t="str">
        <v>18/09/2026</v>
      </c>
      <c r="AC52" t="str">
        <v>10:34:39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10:35:00</v>
      </c>
      <c r="AK52" t="str">
        <v>10:35:00</v>
      </c>
      <c r="AL52" t="str">
        <v/>
      </c>
    </row>
    <row r="53">
      <c r="A53">
        <v>52</v>
      </c>
      <c r="B53" t="str">
        <v>MASS BSF</v>
      </c>
      <c r="C53" t="str">
        <v>F3I-769</v>
      </c>
      <c r="D53" t="str">
        <v>F3I-769</v>
      </c>
      <c r="E53" t="str">
        <v/>
      </c>
      <c r="F53" t="str">
        <v>867806075758377</v>
      </c>
      <c r="G53" t="str">
        <v>TBD</v>
      </c>
      <c r="H53" t="str">
        <v/>
      </c>
      <c r="I53" t="str">
        <v/>
      </c>
      <c r="J53" t="str">
        <v>18/09/2026</v>
      </c>
      <c r="K53" t="str">
        <v>10:35:22</v>
      </c>
      <c r="L53">
        <v>-12.220696</v>
      </c>
      <c r="M53">
        <v>-76.92081</v>
      </c>
      <c r="N53">
        <f>HYPERLINK("https://www.google.com/maps/search/?api=1&amp;query=-12.220696,-76.92081","Avenida Pachacútec, Villa El Salvador, Lima")</f>
      </c>
      <c r="O53" t="str">
        <v>Bache</v>
      </c>
      <c r="P53">
        <v>763.8</v>
      </c>
      <c r="Q53" t="str">
        <v/>
      </c>
      <c r="R53">
        <v>57.9</v>
      </c>
      <c r="S53">
        <v>28.05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90</v>
      </c>
      <c r="AB53" t="str">
        <v>18/09/2026</v>
      </c>
      <c r="AC53" t="str">
        <v>10:35:21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10:35:27</v>
      </c>
      <c r="AK53" t="str">
        <v>10:35:27</v>
      </c>
      <c r="AL53" t="str">
        <v/>
      </c>
    </row>
    <row r="54">
      <c r="A54">
        <v>53</v>
      </c>
      <c r="B54" t="str">
        <v>MASS BSF</v>
      </c>
      <c r="C54" t="str">
        <v>F3I-769</v>
      </c>
      <c r="D54" t="str">
        <v>F3I-769</v>
      </c>
      <c r="E54" t="str">
        <v/>
      </c>
      <c r="F54" t="str">
        <v>867806075758377</v>
      </c>
      <c r="G54" t="str">
        <v>TBD</v>
      </c>
      <c r="H54" t="str">
        <v/>
      </c>
      <c r="I54" t="str">
        <v/>
      </c>
      <c r="J54" t="str">
        <v>18/09/2026</v>
      </c>
      <c r="K54" t="str">
        <v>10:35:52</v>
      </c>
      <c r="L54">
        <v>-12.22392</v>
      </c>
      <c r="M54">
        <v>-76.91992</v>
      </c>
      <c r="N54">
        <f>HYPERLINK("https://www.google.com/maps/search/?api=1&amp;query=-12.22392,-76.91992","Avenida 200 Millas, Villa El Salvador, Lima")</f>
      </c>
      <c r="O54" t="str">
        <v>Acelerado y giro brusco</v>
      </c>
      <c r="P54">
        <v>764.2</v>
      </c>
      <c r="Q54" t="str">
        <v/>
      </c>
      <c r="R54">
        <v>13.8</v>
      </c>
      <c r="S54">
        <v>28.05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90</v>
      </c>
      <c r="AB54" t="str">
        <v>18/09/2026</v>
      </c>
      <c r="AC54" t="str">
        <v>10:35:51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10:36:14</v>
      </c>
      <c r="AK54" t="str">
        <v>10:36:14</v>
      </c>
      <c r="AL54" t="str">
        <v/>
      </c>
    </row>
    <row r="55">
      <c r="A55">
        <v>54</v>
      </c>
      <c r="B55" t="str">
        <v>MASS BSF</v>
      </c>
      <c r="C55" t="str">
        <v>F3I-769</v>
      </c>
      <c r="D55" t="str">
        <v>F3I-769</v>
      </c>
      <c r="E55" t="str">
        <v/>
      </c>
      <c r="F55" t="str">
        <v>867806075758377</v>
      </c>
      <c r="G55" t="str">
        <v>TBD</v>
      </c>
      <c r="H55" t="str">
        <v/>
      </c>
      <c r="I55" t="str">
        <v/>
      </c>
      <c r="J55" t="str">
        <v>18/09/2026</v>
      </c>
      <c r="K55" t="str">
        <v>10:36:27</v>
      </c>
      <c r="L55">
        <v>-12.225222</v>
      </c>
      <c r="M55">
        <v>-76.92213</v>
      </c>
      <c r="N55">
        <f>HYPERLINK("https://www.google.com/maps/search/?api=1&amp;query=-12.225222,-76.92213","Avenida 200 Millas, Villa El Salvador, Lima")</f>
      </c>
      <c r="O55" t="str">
        <v>Aceleración brusca</v>
      </c>
      <c r="P55">
        <v>764.5</v>
      </c>
      <c r="Q55" t="str">
        <v/>
      </c>
      <c r="R55">
        <v>10.1</v>
      </c>
      <c r="S55">
        <v>28.05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90</v>
      </c>
      <c r="AB55" t="str">
        <v>18/09/2026</v>
      </c>
      <c r="AC55" t="str">
        <v>10:36:26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10:36:43</v>
      </c>
      <c r="AK55" t="str">
        <v>10:36:43</v>
      </c>
      <c r="AL55" t="str">
        <v/>
      </c>
    </row>
    <row r="56">
      <c r="A56">
        <v>55</v>
      </c>
      <c r="B56" t="str">
        <v>MASS BSF</v>
      </c>
      <c r="C56" t="str">
        <v>F3I-769</v>
      </c>
      <c r="D56" t="str">
        <v>F3I-769</v>
      </c>
      <c r="E56" t="str">
        <v/>
      </c>
      <c r="F56" t="str">
        <v>867806075758377</v>
      </c>
      <c r="G56" t="str">
        <v>TBD</v>
      </c>
      <c r="H56" t="str">
        <v/>
      </c>
      <c r="I56" t="str">
        <v/>
      </c>
      <c r="J56" t="str">
        <v>18/09/2026</v>
      </c>
      <c r="K56" t="str">
        <v>10:36:29</v>
      </c>
      <c r="L56">
        <v>-12.22524</v>
      </c>
      <c r="M56">
        <v>-76.92216</v>
      </c>
      <c r="N56">
        <f>HYPERLINK("https://www.google.com/maps/search/?api=1&amp;query=-12.22524,-76.92216","Avenida 200 Millas, Villa El Salvador, Lima")</f>
      </c>
      <c r="O56" t="str">
        <v>Bache</v>
      </c>
      <c r="P56">
        <v>764.5</v>
      </c>
      <c r="Q56" t="str">
        <v/>
      </c>
      <c r="R56">
        <v>7</v>
      </c>
      <c r="S56">
        <v>28.05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90</v>
      </c>
      <c r="AB56" t="str">
        <v>18/09/2026</v>
      </c>
      <c r="AC56" t="str">
        <v>10:36:28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10:36:48</v>
      </c>
      <c r="AK56" t="str">
        <v>10:36:48</v>
      </c>
      <c r="AL56" t="str">
        <v/>
      </c>
    </row>
    <row r="57">
      <c r="A57">
        <v>56</v>
      </c>
      <c r="B57" t="str">
        <v>MASS BSF</v>
      </c>
      <c r="C57" t="str">
        <v>F3I-769</v>
      </c>
      <c r="D57" t="str">
        <v>F3I-769</v>
      </c>
      <c r="E57" t="str">
        <v/>
      </c>
      <c r="F57" t="str">
        <v>867806075758377</v>
      </c>
      <c r="G57" t="str">
        <v>TBD</v>
      </c>
      <c r="H57" t="str">
        <v/>
      </c>
      <c r="I57" t="str">
        <v/>
      </c>
      <c r="J57" t="str">
        <v>18/09/2026</v>
      </c>
      <c r="K57" t="str">
        <v>10:37:45</v>
      </c>
      <c r="L57">
        <v>-12.23146</v>
      </c>
      <c r="M57">
        <v>-76.91911</v>
      </c>
      <c r="N57">
        <f>HYPERLINK("https://www.google.com/maps/search/?api=1&amp;query=-12.23146,-76.91911","Avenida Separadora Industrial, Villa El Salvador, Lima")</f>
      </c>
      <c r="O57" t="str">
        <v>Exceso de velocidad en segmento vial</v>
      </c>
      <c r="P57">
        <v>765.3</v>
      </c>
      <c r="Q57" t="str">
        <v/>
      </c>
      <c r="R57">
        <v>63.3</v>
      </c>
      <c r="S57">
        <v>28.05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90</v>
      </c>
      <c r="AB57" t="str">
        <v>18/09/2026</v>
      </c>
      <c r="AC57" t="str">
        <v>10:37:44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10:37:57</v>
      </c>
      <c r="AK57" t="str">
        <v>10:37:57</v>
      </c>
      <c r="AL57" t="str">
        <v/>
      </c>
    </row>
    <row r="58">
      <c r="A58">
        <v>57</v>
      </c>
      <c r="B58" t="str">
        <v>MASS BSF</v>
      </c>
      <c r="C58" t="str">
        <v>F3I-769</v>
      </c>
      <c r="D58" t="str">
        <v>F3I-769</v>
      </c>
      <c r="E58" t="str">
        <v/>
      </c>
      <c r="F58" t="str">
        <v>867806075758377</v>
      </c>
      <c r="G58" t="str">
        <v>TBD</v>
      </c>
      <c r="H58" t="str">
        <v/>
      </c>
      <c r="I58" t="str">
        <v/>
      </c>
      <c r="J58" t="str">
        <v>18/09/2026</v>
      </c>
      <c r="K58" t="str">
        <v>10:39:07</v>
      </c>
      <c r="L58">
        <v>-12.240349</v>
      </c>
      <c r="M58">
        <v>-76.91378</v>
      </c>
      <c r="N58">
        <f>HYPERLINK("https://www.google.com/maps/search/?api=1&amp;query=-12.240349,-76.91378","Avenida Separadora Industrial, Villa El Salvador, Lima")</f>
      </c>
      <c r="O58" t="str">
        <v>Aceleración brusca</v>
      </c>
      <c r="P58">
        <v>766.4</v>
      </c>
      <c r="Q58" t="str">
        <v/>
      </c>
      <c r="R58">
        <v>4.4</v>
      </c>
      <c r="S58">
        <v>28.05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87</v>
      </c>
      <c r="AB58" t="str">
        <v>18/09/2026</v>
      </c>
      <c r="AC58" t="str">
        <v>10:39:06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10:39:21</v>
      </c>
      <c r="AK58" t="str">
        <v>10:39:21</v>
      </c>
      <c r="AL58" t="str">
        <v/>
      </c>
    </row>
    <row r="59">
      <c r="A59">
        <v>58</v>
      </c>
      <c r="B59" t="str">
        <v>MASS BSF</v>
      </c>
      <c r="C59" t="str">
        <v>F3I-769</v>
      </c>
      <c r="D59" t="str">
        <v>F3I-769</v>
      </c>
      <c r="E59" t="str">
        <v/>
      </c>
      <c r="F59" t="str">
        <v>867806075758377</v>
      </c>
      <c r="G59" t="str">
        <v>TBD</v>
      </c>
      <c r="H59" t="str">
        <v/>
      </c>
      <c r="I59" t="str">
        <v/>
      </c>
      <c r="J59" t="str">
        <v>18/09/2026</v>
      </c>
      <c r="K59" t="str">
        <v>10:40:48</v>
      </c>
      <c r="L59">
        <v>-12.241712</v>
      </c>
      <c r="M59">
        <v>-76.911026</v>
      </c>
      <c r="N59">
        <f>HYPERLINK("https://www.google.com/maps/search/?api=1&amp;query=-12.241712,-76.911026","Avenida Lima, Lurín")</f>
      </c>
      <c r="O59" t="str">
        <v>Bache</v>
      </c>
      <c r="P59">
        <v>766.8</v>
      </c>
      <c r="Q59" t="str">
        <v/>
      </c>
      <c r="R59">
        <v>55.5</v>
      </c>
      <c r="S59">
        <v>28.05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91</v>
      </c>
      <c r="AB59" t="str">
        <v>18/09/2026</v>
      </c>
      <c r="AC59" t="str">
        <v>10:40:47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18/09/2026 10:41:02</v>
      </c>
      <c r="AK59" t="str">
        <v>10:41:02</v>
      </c>
      <c r="AL59" t="str">
        <v/>
      </c>
    </row>
    <row r="60">
      <c r="A60">
        <v>59</v>
      </c>
      <c r="B60" t="str">
        <v>MASS BSF</v>
      </c>
      <c r="C60" t="str">
        <v>F3I-769</v>
      </c>
      <c r="D60" t="str">
        <v>F3I-769</v>
      </c>
      <c r="E60" t="str">
        <v/>
      </c>
      <c r="F60" t="str">
        <v>867806075758377</v>
      </c>
      <c r="G60" t="str">
        <v>TBD</v>
      </c>
      <c r="H60" t="str">
        <v/>
      </c>
      <c r="I60" t="str">
        <v/>
      </c>
      <c r="J60" t="str">
        <v>18/09/2026</v>
      </c>
      <c r="K60" t="str">
        <v>10:45:40</v>
      </c>
      <c r="L60">
        <v>-12.254788</v>
      </c>
      <c r="M60">
        <v>-76.91544</v>
      </c>
      <c r="N60">
        <f>HYPERLINK("https://www.google.com/maps/search/?api=1&amp;query=-12.254788,-76.91544","Antigua Panamericana Sur, Lurín, Lima")</f>
      </c>
      <c r="O60" t="str">
        <v>Aceleración brusca</v>
      </c>
      <c r="P60">
        <v>769.6</v>
      </c>
      <c r="Q60" t="str">
        <v/>
      </c>
      <c r="R60">
        <v>9</v>
      </c>
      <c r="S60">
        <v>28.05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84</v>
      </c>
      <c r="AB60" t="str">
        <v>18/09/2026</v>
      </c>
      <c r="AC60" t="str">
        <v>10:45:39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18/09/2026 10:45:52</v>
      </c>
      <c r="AK60" t="str">
        <v>10:45:52</v>
      </c>
      <c r="AL60" t="str">
        <v/>
      </c>
    </row>
    <row r="61">
      <c r="A61">
        <v>60</v>
      </c>
      <c r="B61" t="str">
        <v>MASS BSF</v>
      </c>
      <c r="C61" t="str">
        <v>F3I-769</v>
      </c>
      <c r="D61" t="str">
        <v>F3I-769</v>
      </c>
      <c r="E61" t="str">
        <v/>
      </c>
      <c r="F61" t="str">
        <v>867806075758377</v>
      </c>
      <c r="G61" t="str">
        <v>TBD</v>
      </c>
      <c r="H61" t="str">
        <v/>
      </c>
      <c r="I61" t="str">
        <v/>
      </c>
      <c r="J61" t="str">
        <v>18/09/2026</v>
      </c>
      <c r="K61" t="str">
        <v>10:46:27</v>
      </c>
      <c r="L61">
        <v>-12.254415</v>
      </c>
      <c r="M61">
        <v>-76.91837</v>
      </c>
      <c r="N61">
        <f>HYPERLINK("https://www.google.com/maps/search/?api=1&amp;query=-12.254415,-76.91837","Antigua Panamericana Sur, Lurín, Lima")</f>
      </c>
      <c r="O61" t="str">
        <v>Aceleración brusca</v>
      </c>
      <c r="P61">
        <v>769.9</v>
      </c>
      <c r="Q61" t="str">
        <v/>
      </c>
      <c r="R61">
        <v>9</v>
      </c>
      <c r="S61">
        <v>28.05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84</v>
      </c>
      <c r="AB61" t="str">
        <v>18/09/2026</v>
      </c>
      <c r="AC61" t="str">
        <v>10:46:26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18/09/2026 10:46:50</v>
      </c>
      <c r="AK61" t="str">
        <v>10:46:50</v>
      </c>
      <c r="AL61" t="str">
        <v/>
      </c>
    </row>
    <row r="62">
      <c r="A62">
        <v>61</v>
      </c>
      <c r="B62" t="str">
        <v>MASS BSF</v>
      </c>
      <c r="C62" t="str">
        <v>F3I-769</v>
      </c>
      <c r="D62" t="str">
        <v>F3I-769</v>
      </c>
      <c r="E62" t="str">
        <v/>
      </c>
      <c r="F62" t="str">
        <v>867806075758377</v>
      </c>
      <c r="G62" t="str">
        <v>TBD</v>
      </c>
      <c r="H62" t="str">
        <v/>
      </c>
      <c r="I62" t="str">
        <v/>
      </c>
      <c r="J62" t="str">
        <v>18/09/2026</v>
      </c>
      <c r="K62" t="str">
        <v>10:47:10</v>
      </c>
      <c r="L62">
        <v>-12.254545</v>
      </c>
      <c r="M62">
        <v>-76.92065</v>
      </c>
      <c r="N62">
        <f>HYPERLINK("https://www.google.com/maps/search/?api=1&amp;query=-12.254545,-76.92065","Lurín, Lima")</f>
      </c>
      <c r="O62" t="str">
        <v>Bache</v>
      </c>
      <c r="P62">
        <v>770.1</v>
      </c>
      <c r="Q62" t="str">
        <v/>
      </c>
      <c r="R62">
        <v>24</v>
      </c>
      <c r="S62">
        <v>28.05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84</v>
      </c>
      <c r="AB62" t="str">
        <v>18/09/2026</v>
      </c>
      <c r="AC62" t="str">
        <v>10:47:09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18/09/2026 10:47:30</v>
      </c>
      <c r="AK62" t="str">
        <v>10:47:30</v>
      </c>
      <c r="AL62" t="str">
        <v/>
      </c>
    </row>
    <row r="63">
      <c r="A63">
        <v>62</v>
      </c>
      <c r="B63" t="str">
        <v>MASS BSF</v>
      </c>
      <c r="C63" t="str">
        <v>F3I-769</v>
      </c>
      <c r="D63" t="str">
        <v>F3I-769</v>
      </c>
      <c r="E63" t="str">
        <v/>
      </c>
      <c r="F63" t="str">
        <v>867806075758377</v>
      </c>
      <c r="G63" t="str">
        <v>TBD</v>
      </c>
      <c r="H63" t="str">
        <v/>
      </c>
      <c r="I63" t="str">
        <v/>
      </c>
      <c r="J63" t="str">
        <v>18/09/2026</v>
      </c>
      <c r="K63" t="str">
        <v>10:59:13</v>
      </c>
      <c r="L63">
        <v>-12.32525</v>
      </c>
      <c r="M63">
        <v>-76.825424</v>
      </c>
      <c r="N63">
        <f>HYPERLINK("https://www.google.com/maps/search/?api=1&amp;query=-12.32525,-76.825424","Carretera Panamericana Sur, Punta Hermosa, Lima")</f>
      </c>
      <c r="O63" t="str">
        <v>Exceso de velocidad en segmento vial</v>
      </c>
      <c r="P63">
        <v>784</v>
      </c>
      <c r="Q63" t="str">
        <v/>
      </c>
      <c r="R63">
        <v>81.8</v>
      </c>
      <c r="S63">
        <v>28.05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87</v>
      </c>
      <c r="AB63" t="str">
        <v>18/09/2026</v>
      </c>
      <c r="AC63" t="str">
        <v>10:59:12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18/09/2026 10:59:30</v>
      </c>
      <c r="AK63" t="str">
        <v>10:59:30</v>
      </c>
      <c r="AL63" t="str">
        <v/>
      </c>
    </row>
    <row r="64">
      <c r="A64">
        <v>63</v>
      </c>
      <c r="B64" t="str">
        <v>MASS BSF</v>
      </c>
      <c r="C64" t="str">
        <v>F3I-769</v>
      </c>
      <c r="D64" t="str">
        <v>F3I-769</v>
      </c>
      <c r="E64" t="str">
        <v/>
      </c>
      <c r="F64" t="str">
        <v>867806075758377</v>
      </c>
      <c r="G64" t="str">
        <v>TBD</v>
      </c>
      <c r="H64" t="str">
        <v/>
      </c>
      <c r="I64" t="str">
        <v/>
      </c>
      <c r="J64" t="str">
        <v>18/09/2026</v>
      </c>
      <c r="K64" t="str">
        <v>10:59:21</v>
      </c>
      <c r="L64">
        <v>-12.326643</v>
      </c>
      <c r="M64">
        <v>-76.82449</v>
      </c>
      <c r="N64">
        <f>HYPERLINK("https://www.google.com/maps/search/?api=1&amp;query=-12.326643,-76.82449","Carretera Panamericana Sur, Punta Hermosa, Lima")</f>
      </c>
      <c r="O64" t="str">
        <v>Bache</v>
      </c>
      <c r="P64">
        <v>784.2</v>
      </c>
      <c r="Q64" t="str">
        <v/>
      </c>
      <c r="R64">
        <v>83.7</v>
      </c>
      <c r="S64">
        <v>28.05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87</v>
      </c>
      <c r="AB64" t="str">
        <v>18/09/2026</v>
      </c>
      <c r="AC64" t="str">
        <v>10:59:20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18/09/2026 10:59:33</v>
      </c>
      <c r="AK64" t="str">
        <v>10:59:33</v>
      </c>
      <c r="AL64" t="str">
        <v/>
      </c>
    </row>
    <row r="65">
      <c r="A65">
        <v>64</v>
      </c>
      <c r="B65" t="str">
        <v>MASS BSF</v>
      </c>
      <c r="C65" t="str">
        <v>F3I-769</v>
      </c>
      <c r="D65" t="str">
        <v>F3I-769</v>
      </c>
      <c r="E65" t="str">
        <v/>
      </c>
      <c r="F65" t="str">
        <v>867806075758377</v>
      </c>
      <c r="G65" t="str">
        <v>TBD</v>
      </c>
      <c r="H65" t="str">
        <v/>
      </c>
      <c r="I65" t="str">
        <v/>
      </c>
      <c r="J65" t="str">
        <v>18/09/2026</v>
      </c>
      <c r="K65" t="str">
        <v>10:59:27</v>
      </c>
      <c r="L65">
        <v>-12.327705</v>
      </c>
      <c r="M65">
        <v>-76.823784</v>
      </c>
      <c r="N65">
        <f>HYPERLINK("https://www.google.com/maps/search/?api=1&amp;query=-12.327705,-76.823784","Carretera Panamericana Sur, Punta Hermosa, Lima")</f>
      </c>
      <c r="O65" t="str">
        <v>Bache</v>
      </c>
      <c r="P65">
        <v>784.4</v>
      </c>
      <c r="Q65" t="str">
        <v/>
      </c>
      <c r="R65">
        <v>84.8</v>
      </c>
      <c r="S65">
        <v>28.05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87</v>
      </c>
      <c r="AB65" t="str">
        <v>18/09/2026</v>
      </c>
      <c r="AC65" t="str">
        <v>10:59:26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18/09/2026 10:59:49</v>
      </c>
      <c r="AK65" t="str">
        <v>10:59:49</v>
      </c>
      <c r="AL65" t="str">
        <v/>
      </c>
    </row>
    <row r="66">
      <c r="A66">
        <v>65</v>
      </c>
      <c r="B66" t="str">
        <v>MASS BSF</v>
      </c>
      <c r="C66" t="str">
        <v>F3I-769</v>
      </c>
      <c r="D66" t="str">
        <v>F3I-769</v>
      </c>
      <c r="E66" t="str">
        <v/>
      </c>
      <c r="F66" t="str">
        <v>867806075758377</v>
      </c>
      <c r="G66" t="str">
        <v>TBD</v>
      </c>
      <c r="H66" t="str">
        <v/>
      </c>
      <c r="I66" t="str">
        <v/>
      </c>
      <c r="J66" t="str">
        <v>18/09/2026</v>
      </c>
      <c r="K66" t="str">
        <v>10:59:46</v>
      </c>
      <c r="L66">
        <v>-12.331007</v>
      </c>
      <c r="M66">
        <v>-76.82157</v>
      </c>
      <c r="N66">
        <f>HYPERLINK("https://www.google.com/maps/search/?api=1&amp;query=-12.331007,-76.82157","Carretera Panamericana Sur, Punta Hermosa, Lima")</f>
      </c>
      <c r="O66" t="str">
        <v>Exceso de velocidad en segmento vial</v>
      </c>
      <c r="P66">
        <v>784.8</v>
      </c>
      <c r="Q66" t="str">
        <v/>
      </c>
      <c r="R66">
        <v>80.9</v>
      </c>
      <c r="S66">
        <v>28.05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87</v>
      </c>
      <c r="AB66" t="str">
        <v>18/09/2026</v>
      </c>
      <c r="AC66" t="str">
        <v>10:59:45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18/09/2026 11:00:00</v>
      </c>
      <c r="AK66" t="str">
        <v>11:00:00</v>
      </c>
      <c r="AL66" t="str">
        <v/>
      </c>
    </row>
    <row r="67">
      <c r="A67">
        <v>66</v>
      </c>
      <c r="B67" t="str">
        <v>MASS BSF</v>
      </c>
      <c r="C67" t="str">
        <v>F3I-769</v>
      </c>
      <c r="D67" t="str">
        <v>F3I-769</v>
      </c>
      <c r="E67" t="str">
        <v/>
      </c>
      <c r="F67" t="str">
        <v>867806075758377</v>
      </c>
      <c r="G67" t="str">
        <v>TBD</v>
      </c>
      <c r="H67" t="str">
        <v/>
      </c>
      <c r="I67" t="str">
        <v/>
      </c>
      <c r="J67" t="str">
        <v>18/09/2026</v>
      </c>
      <c r="K67" t="str">
        <v>10:59:55</v>
      </c>
      <c r="L67">
        <v>-12.33248</v>
      </c>
      <c r="M67">
        <v>-76.82059</v>
      </c>
      <c r="N67">
        <f>HYPERLINK("https://www.google.com/maps/search/?api=1&amp;query=-12.33248,-76.82059","Carretera Panamericana Sur, Punta Hermosa, Lima")</f>
      </c>
      <c r="O67" t="str">
        <v>Aceleración brusca</v>
      </c>
      <c r="P67">
        <v>785</v>
      </c>
      <c r="Q67" t="str">
        <v/>
      </c>
      <c r="R67">
        <v>65</v>
      </c>
      <c r="S67">
        <v>28.05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87</v>
      </c>
      <c r="AB67" t="str">
        <v>18/09/2026</v>
      </c>
      <c r="AC67" t="str">
        <v>10:59:54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18/09/2026 11:00:11</v>
      </c>
      <c r="AK67" t="str">
        <v>11:00:11</v>
      </c>
      <c r="AL67" t="str">
        <v/>
      </c>
    </row>
    <row r="68">
      <c r="A68">
        <v>67</v>
      </c>
      <c r="B68" t="str">
        <v>MASS BSF</v>
      </c>
      <c r="C68" t="str">
        <v>F3I-769</v>
      </c>
      <c r="D68" t="str">
        <v>F3I-769</v>
      </c>
      <c r="E68" t="str">
        <v/>
      </c>
      <c r="F68" t="str">
        <v>867806075758377</v>
      </c>
      <c r="G68" t="str">
        <v>TBD</v>
      </c>
      <c r="H68" t="str">
        <v/>
      </c>
      <c r="I68" t="str">
        <v/>
      </c>
      <c r="J68" t="str">
        <v>18/09/2026</v>
      </c>
      <c r="K68" t="str">
        <v>11:00:13</v>
      </c>
      <c r="L68">
        <v>-12.33494</v>
      </c>
      <c r="M68">
        <v>-76.81908</v>
      </c>
      <c r="N68">
        <f>HYPERLINK("https://www.google.com/maps/search/?api=1&amp;query=-12.33494,-76.81908","Carretera Panamericana Sur, Punta Hermosa, Lima")</f>
      </c>
      <c r="O68" t="str">
        <v>Bache</v>
      </c>
      <c r="P68">
        <v>785.3</v>
      </c>
      <c r="Q68" t="str">
        <v/>
      </c>
      <c r="R68">
        <v>62.4</v>
      </c>
      <c r="S68">
        <v>28.05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87</v>
      </c>
      <c r="AB68" t="str">
        <v>18/09/2026</v>
      </c>
      <c r="AC68" t="str">
        <v>11:00:12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18/09/2026 11:00:25</v>
      </c>
      <c r="AK68" t="str">
        <v>11:00:25</v>
      </c>
      <c r="AL68" t="str">
        <v/>
      </c>
    </row>
    <row r="69">
      <c r="A69">
        <v>68</v>
      </c>
      <c r="B69" t="str">
        <v>MASS BSF</v>
      </c>
      <c r="C69" t="str">
        <v>F3I-769</v>
      </c>
      <c r="D69" t="str">
        <v>F3I-769</v>
      </c>
      <c r="E69" t="str">
        <v/>
      </c>
      <c r="F69" t="str">
        <v>867806075758377</v>
      </c>
      <c r="G69" t="str">
        <v>TBD</v>
      </c>
      <c r="H69" t="str">
        <v/>
      </c>
      <c r="I69" t="str">
        <v/>
      </c>
      <c r="J69" t="str">
        <v>18/09/2026</v>
      </c>
      <c r="K69" t="str">
        <v>11:00:22</v>
      </c>
      <c r="L69">
        <v>-12.33581</v>
      </c>
      <c r="M69">
        <v>-76.81886</v>
      </c>
      <c r="N69">
        <f>HYPERLINK("https://www.google.com/maps/search/?api=1&amp;query=-12.33581,-76.81886","Antigua Panamericana Sur, Punta Hermosa, Lima")</f>
      </c>
      <c r="O69" t="str">
        <v>Acelerado y giro brusco</v>
      </c>
      <c r="P69">
        <v>785.4</v>
      </c>
      <c r="Q69" t="str">
        <v/>
      </c>
      <c r="R69">
        <v>26.1</v>
      </c>
      <c r="S69">
        <v>28.05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90</v>
      </c>
      <c r="AB69" t="str">
        <v>18/09/2026</v>
      </c>
      <c r="AC69" t="str">
        <v>11:00:21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18/09/2026 11:00:46</v>
      </c>
      <c r="AK69" t="str">
        <v>11:00:46</v>
      </c>
      <c r="AL69" t="str">
        <v/>
      </c>
    </row>
    <row r="70">
      <c r="A70">
        <v>69</v>
      </c>
      <c r="B70" t="str">
        <v>MASS BSF</v>
      </c>
      <c r="C70" t="str">
        <v>F3I-769</v>
      </c>
      <c r="D70" t="str">
        <v>F3I-769</v>
      </c>
      <c r="E70" t="str">
        <v/>
      </c>
      <c r="F70" t="str">
        <v>867806075758377</v>
      </c>
      <c r="G70" t="str">
        <v>TBD</v>
      </c>
      <c r="H70" t="str">
        <v/>
      </c>
      <c r="I70" t="str">
        <v/>
      </c>
      <c r="J70" t="str">
        <v>18/09/2026</v>
      </c>
      <c r="K70" t="str">
        <v>11:00:42</v>
      </c>
      <c r="L70">
        <v>-12.33489</v>
      </c>
      <c r="M70">
        <v>-76.819756</v>
      </c>
      <c r="N70">
        <f>HYPERLINK("https://www.google.com/maps/search/?api=1&amp;query=-12.33489,-76.819756","Antigua Panamericana Sur, Punta Hermosa, Lima")</f>
      </c>
      <c r="O70" t="str">
        <v>Bache</v>
      </c>
      <c r="P70">
        <v>785.6</v>
      </c>
      <c r="Q70" t="str">
        <v/>
      </c>
      <c r="R70">
        <v>24.4</v>
      </c>
      <c r="S70">
        <v>28.05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90</v>
      </c>
      <c r="AB70" t="str">
        <v>18/09/2026</v>
      </c>
      <c r="AC70" t="str">
        <v>11:00:41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18/09/2026 11:00:54</v>
      </c>
      <c r="AK70" t="str">
        <v>11:00:54</v>
      </c>
      <c r="AL70" t="str">
        <v/>
      </c>
    </row>
    <row r="71">
      <c r="A71">
        <v>70</v>
      </c>
      <c r="B71" t="str">
        <v>MASS BSF</v>
      </c>
      <c r="C71" t="str">
        <v>F3I-769</v>
      </c>
      <c r="D71" t="str">
        <v>F3I-769</v>
      </c>
      <c r="E71" t="str">
        <v/>
      </c>
      <c r="F71" t="str">
        <v>867806075758377</v>
      </c>
      <c r="G71" t="str">
        <v>TBD</v>
      </c>
      <c r="H71" t="str">
        <v/>
      </c>
      <c r="I71" t="str">
        <v/>
      </c>
      <c r="J71" t="str">
        <v>18/09/2026</v>
      </c>
      <c r="K71" t="str">
        <v>11:01:00</v>
      </c>
      <c r="L71">
        <v>-12.333715</v>
      </c>
      <c r="M71">
        <v>-76.820435</v>
      </c>
      <c r="N71">
        <f>HYPERLINK("https://www.google.com/maps/search/?api=1&amp;query=-12.333715,-76.820435","Antigua Panamericana Sur, Punta Hermosa, Lima")</f>
      </c>
      <c r="O71" t="str">
        <v>Acelerado y giro brusco</v>
      </c>
      <c r="P71">
        <v>785.7</v>
      </c>
      <c r="Q71" t="str">
        <v/>
      </c>
      <c r="R71">
        <v>15.7</v>
      </c>
      <c r="S71">
        <v>28.05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90</v>
      </c>
      <c r="AB71" t="str">
        <v>18/09/2026</v>
      </c>
      <c r="AC71" t="str">
        <v>11:00:59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18/09/2026 11:01:13</v>
      </c>
      <c r="AK71" t="str">
        <v>11:01:13</v>
      </c>
      <c r="AL71" t="str">
        <v/>
      </c>
    </row>
    <row r="72">
      <c r="A72">
        <v>71</v>
      </c>
      <c r="B72" t="str">
        <v>MASS BSF</v>
      </c>
      <c r="C72" t="str">
        <v>F3I-769</v>
      </c>
      <c r="D72" t="str">
        <v>F3I-769</v>
      </c>
      <c r="E72" t="str">
        <v/>
      </c>
      <c r="F72" t="str">
        <v>867806075758377</v>
      </c>
      <c r="G72" t="str">
        <v>TBD</v>
      </c>
      <c r="H72" t="str">
        <v/>
      </c>
      <c r="I72" t="str">
        <v/>
      </c>
      <c r="J72" t="str">
        <v>18/09/2026</v>
      </c>
      <c r="K72" t="str">
        <v>11:01:26</v>
      </c>
      <c r="L72">
        <v>-12.33263</v>
      </c>
      <c r="M72">
        <v>-76.82012</v>
      </c>
      <c r="N72">
        <f>HYPERLINK("https://www.google.com/maps/search/?api=1&amp;query=-12.33263,-76.82012","Carretera Panamericana Sur, Punta Hermosa, Lima")</f>
      </c>
      <c r="O72" t="str">
        <v>Bache</v>
      </c>
      <c r="P72">
        <v>785.9</v>
      </c>
      <c r="Q72" t="str">
        <v/>
      </c>
      <c r="R72">
        <v>30.3</v>
      </c>
      <c r="S72">
        <v>28.05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89</v>
      </c>
      <c r="AB72" t="str">
        <v>18/09/2026</v>
      </c>
      <c r="AC72" t="str">
        <v>11:01:25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18/09/2026 11:01:50</v>
      </c>
      <c r="AK72" t="str">
        <v>11:01:50</v>
      </c>
      <c r="AL72" t="str">
        <v/>
      </c>
    </row>
    <row r="73">
      <c r="A73">
        <v>72</v>
      </c>
      <c r="B73" t="str">
        <v>MASS BSF</v>
      </c>
      <c r="C73" t="str">
        <v>F3I-769</v>
      </c>
      <c r="D73" t="str">
        <v>F3I-769</v>
      </c>
      <c r="E73" t="str">
        <v/>
      </c>
      <c r="F73" t="str">
        <v>867806075758377</v>
      </c>
      <c r="G73" t="str">
        <v>TBD</v>
      </c>
      <c r="H73" t="str">
        <v/>
      </c>
      <c r="I73" t="str">
        <v/>
      </c>
      <c r="J73" t="str">
        <v>18/09/2026</v>
      </c>
      <c r="K73" t="str">
        <v>11:03:16</v>
      </c>
      <c r="L73">
        <v>-12.31883</v>
      </c>
      <c r="M73">
        <v>-76.829445</v>
      </c>
      <c r="N73">
        <f>HYPERLINK("https://www.google.com/maps/search/?api=1&amp;query=-12.31883,-76.829445","Carretera Panamericana Sur, Punta Hermosa, Lima")</f>
      </c>
      <c r="O73" t="str">
        <v>Aceleración brusca</v>
      </c>
      <c r="P73">
        <v>787.8</v>
      </c>
      <c r="Q73" t="str">
        <v/>
      </c>
      <c r="R73">
        <v>53.1</v>
      </c>
      <c r="S73">
        <v>28.05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89</v>
      </c>
      <c r="AB73" t="str">
        <v>18/09/2026</v>
      </c>
      <c r="AC73" t="str">
        <v>11:03:15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18/09/2026 11:03:32</v>
      </c>
      <c r="AK73" t="str">
        <v>11:03:32</v>
      </c>
      <c r="AL73" t="str">
        <v/>
      </c>
    </row>
    <row r="74">
      <c r="A74">
        <v>73</v>
      </c>
      <c r="B74" t="str">
        <v>MASS BSF</v>
      </c>
      <c r="C74" t="str">
        <v>F3I-769</v>
      </c>
      <c r="D74" t="str">
        <v>F3I-769</v>
      </c>
      <c r="E74" t="str">
        <v/>
      </c>
      <c r="F74" t="str">
        <v>867806075758377</v>
      </c>
      <c r="G74" t="str">
        <v>TBD</v>
      </c>
      <c r="H74" t="str">
        <v/>
      </c>
      <c r="I74" t="str">
        <v/>
      </c>
      <c r="J74" t="str">
        <v>18/09/2026</v>
      </c>
      <c r="K74" t="str">
        <v>11:03:17</v>
      </c>
      <c r="L74">
        <v>-12.318711</v>
      </c>
      <c r="M74">
        <v>-76.829506</v>
      </c>
      <c r="N74">
        <f>HYPERLINK("https://www.google.com/maps/search/?api=1&amp;query=-12.318711,-76.829506","Carretera Panamericana Sur, Punta Hermosa, Lima")</f>
      </c>
      <c r="O74" t="str">
        <v>Bache</v>
      </c>
      <c r="P74">
        <v>787.8</v>
      </c>
      <c r="Q74" t="str">
        <v/>
      </c>
      <c r="R74">
        <v>50.7</v>
      </c>
      <c r="S74">
        <v>28.05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89</v>
      </c>
      <c r="AB74" t="str">
        <v>18/09/2026</v>
      </c>
      <c r="AC74" t="str">
        <v>11:03:16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18/09/2026 11:03:31</v>
      </c>
      <c r="AK74" t="str">
        <v>11:03:31</v>
      </c>
      <c r="AL74" t="str">
        <v/>
      </c>
    </row>
    <row r="75">
      <c r="A75">
        <v>74</v>
      </c>
      <c r="B75" t="str">
        <v>MASS BSF</v>
      </c>
      <c r="C75" t="str">
        <v>F3I-769</v>
      </c>
      <c r="D75" t="str">
        <v>F3I-769</v>
      </c>
      <c r="E75" t="str">
        <v/>
      </c>
      <c r="F75" t="str">
        <v>867806075758377</v>
      </c>
      <c r="G75" t="str">
        <v>TBD</v>
      </c>
      <c r="H75" t="str">
        <v/>
      </c>
      <c r="I75" t="str">
        <v/>
      </c>
      <c r="J75" t="str">
        <v>18/09/2026</v>
      </c>
      <c r="K75" t="str">
        <v>11:06:02</v>
      </c>
      <c r="L75">
        <v>-12.315423</v>
      </c>
      <c r="M75">
        <v>-76.826004</v>
      </c>
      <c r="N75">
        <f>HYPERLINK("https://www.google.com/maps/search/?api=1&amp;query=-12.315423,-76.826004","Punta Hermosa, Lima")</f>
      </c>
      <c r="O75" t="str">
        <v>Bache</v>
      </c>
      <c r="P75">
        <v>788.4</v>
      </c>
      <c r="Q75" t="str">
        <v/>
      </c>
      <c r="R75">
        <v>9.6</v>
      </c>
      <c r="S75">
        <v>28.05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88</v>
      </c>
      <c r="AB75" t="str">
        <v>18/09/2026</v>
      </c>
      <c r="AC75" t="str">
        <v>11:06:01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18/09/2026 11:06:23</v>
      </c>
      <c r="AK75" t="str">
        <v>11:06:23</v>
      </c>
      <c r="AL75" t="str">
        <v/>
      </c>
    </row>
    <row r="76">
      <c r="A76">
        <v>75</v>
      </c>
      <c r="B76" t="str">
        <v>MASS BSF</v>
      </c>
      <c r="C76" t="str">
        <v>F3I-769</v>
      </c>
      <c r="D76" t="str">
        <v>F3I-769</v>
      </c>
      <c r="E76" t="str">
        <v/>
      </c>
      <c r="F76" t="str">
        <v>867806075758377</v>
      </c>
      <c r="G76" t="str">
        <v>TBD</v>
      </c>
      <c r="H76" t="str">
        <v/>
      </c>
      <c r="I76" t="str">
        <v/>
      </c>
      <c r="J76" t="str">
        <v>18/09/2026</v>
      </c>
      <c r="K76" t="str">
        <v>11:09:09</v>
      </c>
      <c r="L76">
        <v>-12.317415</v>
      </c>
      <c r="M76">
        <v>-76.82292</v>
      </c>
      <c r="N76">
        <f>HYPERLINK("https://www.google.com/maps/search/?api=1&amp;query=-12.317415,-76.82292","Punta Hermosa, Lima")</f>
      </c>
      <c r="O76" t="str">
        <v>Vehículo apagado</v>
      </c>
      <c r="P76">
        <v>789</v>
      </c>
      <c r="Q76" t="str">
        <v/>
      </c>
      <c r="R76">
        <v>0</v>
      </c>
      <c r="S76">
        <v>28.73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86</v>
      </c>
      <c r="AB76" t="str">
        <v>18/09/2026</v>
      </c>
      <c r="AC76" t="str">
        <v>11:09:08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18/09/2026 11:09:33</v>
      </c>
      <c r="AK76" t="str">
        <v>11:09:33</v>
      </c>
      <c r="AL76" t="str">
        <v/>
      </c>
    </row>
    <row r="77">
      <c r="A77">
        <v>76</v>
      </c>
      <c r="B77" t="str">
        <v>MASS BSF</v>
      </c>
      <c r="C77" t="str">
        <v>F3I-769</v>
      </c>
      <c r="D77" t="str">
        <v>F3I-769</v>
      </c>
      <c r="E77" t="str">
        <v/>
      </c>
      <c r="F77" t="str">
        <v>867806075758377</v>
      </c>
      <c r="G77" t="str">
        <v>TBD</v>
      </c>
      <c r="H77" t="str">
        <v/>
      </c>
      <c r="I77" t="str">
        <v/>
      </c>
      <c r="J77" t="str">
        <v>18/09/2026</v>
      </c>
      <c r="K77" t="str">
        <v>11:16:22</v>
      </c>
      <c r="L77">
        <v>-12.317415</v>
      </c>
      <c r="M77">
        <v>-76.82292</v>
      </c>
      <c r="N77">
        <f>HYPERLINK("https://www.google.com/maps/search/?api=1&amp;query=-12.317415,-76.82292","Punta Hermosa, Lima")</f>
      </c>
      <c r="O77" t="str">
        <v>Se detuvo</v>
      </c>
      <c r="P77">
        <v>789</v>
      </c>
      <c r="Q77" t="str">
        <v/>
      </c>
      <c r="R77">
        <v>0</v>
      </c>
      <c r="S77">
        <v>28.73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86</v>
      </c>
      <c r="AB77" t="str">
        <v>18/09/2026</v>
      </c>
      <c r="AC77" t="str">
        <v>11:16:20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18/09/2026 11:16:46</v>
      </c>
      <c r="AK77" t="str">
        <v>11:16:46</v>
      </c>
      <c r="AL77" t="str">
        <v/>
      </c>
    </row>
    <row r="78">
      <c r="A78">
        <v>77</v>
      </c>
      <c r="B78" t="str">
        <v>MASS BSF</v>
      </c>
      <c r="C78" t="str">
        <v>F3I-769</v>
      </c>
      <c r="D78" t="str">
        <v>F3I-769</v>
      </c>
      <c r="E78" t="str">
        <v/>
      </c>
      <c r="F78" t="str">
        <v>867806075758377</v>
      </c>
      <c r="G78" t="str">
        <v>TBD</v>
      </c>
      <c r="H78" t="str">
        <v/>
      </c>
      <c r="I78" t="str">
        <v/>
      </c>
      <c r="J78" t="str">
        <v>18/09/2026</v>
      </c>
      <c r="K78" t="str">
        <v>11:28:13</v>
      </c>
      <c r="L78">
        <v>-12.317415</v>
      </c>
      <c r="M78">
        <v>-76.82292</v>
      </c>
      <c r="N78">
        <f>HYPERLINK("https://www.google.com/maps/search/?api=1&amp;query=-12.317415,-76.82292","Punta Hermosa, Lima")</f>
      </c>
      <c r="O78" t="str">
        <v>Vehículo encendido</v>
      </c>
      <c r="P78">
        <v>789</v>
      </c>
      <c r="Q78" t="str">
        <v/>
      </c>
      <c r="R78">
        <v>0</v>
      </c>
      <c r="S78">
        <v>28.73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86</v>
      </c>
      <c r="AB78" t="str">
        <v>18/09/2026</v>
      </c>
      <c r="AC78" t="str">
        <v>11:28:12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18/09/2026 11:28:21</v>
      </c>
      <c r="AK78" t="str">
        <v>11:28:21</v>
      </c>
      <c r="AL78" t="str">
        <v/>
      </c>
    </row>
    <row r="79">
      <c r="A79">
        <v>78</v>
      </c>
      <c r="B79" t="str">
        <v>MASS BSF</v>
      </c>
      <c r="C79" t="str">
        <v>F3I-769</v>
      </c>
      <c r="D79" t="str">
        <v>F3I-769</v>
      </c>
      <c r="E79" t="str">
        <v/>
      </c>
      <c r="F79" t="str">
        <v>867806075758377</v>
      </c>
      <c r="G79" t="str">
        <v>TBD</v>
      </c>
      <c r="H79" t="str">
        <v/>
      </c>
      <c r="I79" t="str">
        <v/>
      </c>
      <c r="J79" t="str">
        <v>18/09/2026</v>
      </c>
      <c r="K79" t="str">
        <v>11:33:42</v>
      </c>
      <c r="L79">
        <v>-12.317536</v>
      </c>
      <c r="M79">
        <v>-76.82438</v>
      </c>
      <c r="N79">
        <f>HYPERLINK("https://www.google.com/maps/search/?api=1&amp;query=-12.317536,-76.82438","Punta Hermosa, Lima")</f>
      </c>
      <c r="O79" t="str">
        <v>Vehículo apagado</v>
      </c>
      <c r="P79">
        <v>789.3</v>
      </c>
      <c r="Q79" t="str">
        <v/>
      </c>
      <c r="R79">
        <v>0</v>
      </c>
      <c r="S79">
        <v>28.82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90</v>
      </c>
      <c r="AB79" t="str">
        <v>18/09/2026</v>
      </c>
      <c r="AC79" t="str">
        <v>11:33:41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18/09/2026 11:33:53</v>
      </c>
      <c r="AK79" t="str">
        <v>11:33:53</v>
      </c>
      <c r="AL79" t="str">
        <v/>
      </c>
    </row>
    <row r="80">
      <c r="A80">
        <v>79</v>
      </c>
      <c r="B80" t="str">
        <v>MASS BSF</v>
      </c>
      <c r="C80" t="str">
        <v>F3I-769</v>
      </c>
      <c r="D80" t="str">
        <v>F3I-769</v>
      </c>
      <c r="E80" t="str">
        <v/>
      </c>
      <c r="F80" t="str">
        <v>867806075758377</v>
      </c>
      <c r="G80" t="str">
        <v>TBD</v>
      </c>
      <c r="H80" t="str">
        <v/>
      </c>
      <c r="I80" t="str">
        <v/>
      </c>
      <c r="J80" t="str">
        <v>18/09/2026</v>
      </c>
      <c r="K80" t="str">
        <v>11:38:51</v>
      </c>
      <c r="L80">
        <v>-12.317536</v>
      </c>
      <c r="M80">
        <v>-76.82438</v>
      </c>
      <c r="N80">
        <f>HYPERLINK("https://www.google.com/maps/search/?api=1&amp;query=-12.317536,-76.82438","Punta Hermosa, Lima")</f>
      </c>
      <c r="O80" t="str">
        <v>Se detuvo</v>
      </c>
      <c r="P80">
        <v>789.3</v>
      </c>
      <c r="Q80" t="str">
        <v/>
      </c>
      <c r="R80">
        <v>0</v>
      </c>
      <c r="S80">
        <v>28.82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90</v>
      </c>
      <c r="AB80" t="str">
        <v>18/09/2026</v>
      </c>
      <c r="AC80" t="str">
        <v>11:38:49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18/09/2026 11:39:18</v>
      </c>
      <c r="AK80" t="str">
        <v>11:39:18</v>
      </c>
      <c r="AL80" t="str">
        <v/>
      </c>
    </row>
    <row r="81">
      <c r="A81">
        <v>80</v>
      </c>
      <c r="B81" t="str">
        <v>MASS BSF</v>
      </c>
      <c r="C81" t="str">
        <v>F3I-769</v>
      </c>
      <c r="D81" t="str">
        <v>F3I-769</v>
      </c>
      <c r="E81" t="str">
        <v/>
      </c>
      <c r="F81" t="str">
        <v>867806075758377</v>
      </c>
      <c r="G81" t="str">
        <v>TBD</v>
      </c>
      <c r="H81" t="str">
        <v/>
      </c>
      <c r="I81" t="str">
        <v/>
      </c>
      <c r="J81" t="str">
        <v>18/09/2026</v>
      </c>
      <c r="K81" t="str">
        <v>12:13:15</v>
      </c>
      <c r="L81">
        <v>-12.317496</v>
      </c>
      <c r="M81">
        <v>-76.824196</v>
      </c>
      <c r="N81">
        <f>HYPERLINK("https://www.google.com/maps/search/?api=1&amp;query=-12.317496,-76.824196","Punta Hermosa, Lima")</f>
      </c>
      <c r="O81" t="str">
        <v>Vehículo encendido</v>
      </c>
      <c r="P81">
        <v>789.3</v>
      </c>
      <c r="Q81" t="str">
        <v/>
      </c>
      <c r="R81">
        <v>0</v>
      </c>
      <c r="S81">
        <v>28.82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82</v>
      </c>
      <c r="AB81" t="str">
        <v>18/09/2026</v>
      </c>
      <c r="AC81" t="str">
        <v>12:13:14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18/09/2026 12:13:28</v>
      </c>
      <c r="AK81" t="str">
        <v>12:13:28</v>
      </c>
      <c r="AL81" t="str">
        <v/>
      </c>
    </row>
    <row r="82">
      <c r="A82">
        <v>81</v>
      </c>
      <c r="B82" t="str">
        <v>MASS BSF</v>
      </c>
      <c r="C82" t="str">
        <v>F3I-769</v>
      </c>
      <c r="D82" t="str">
        <v>F3I-769</v>
      </c>
      <c r="E82" t="str">
        <v/>
      </c>
      <c r="F82" t="str">
        <v>867806075758377</v>
      </c>
      <c r="G82" t="str">
        <v>TBD</v>
      </c>
      <c r="H82" t="str">
        <v/>
      </c>
      <c r="I82" t="str">
        <v/>
      </c>
      <c r="J82" t="str">
        <v>18/09/2026</v>
      </c>
      <c r="K82" t="str">
        <v>12:16:25</v>
      </c>
      <c r="L82">
        <v>-12.317496</v>
      </c>
      <c r="M82">
        <v>-76.824196</v>
      </c>
      <c r="N82">
        <f>HYPERLINK("https://www.google.com/maps/search/?api=1&amp;query=-12.317496,-76.824196","Punta Hermosa, Lima")</f>
      </c>
      <c r="O82" t="str">
        <v>Inicio de ralentí</v>
      </c>
      <c r="P82">
        <v>789.3</v>
      </c>
      <c r="Q82" t="str">
        <v/>
      </c>
      <c r="R82">
        <v>0</v>
      </c>
      <c r="S82">
        <v>28.82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82</v>
      </c>
      <c r="AB82" t="str">
        <v>18/09/2026</v>
      </c>
      <c r="AC82" t="str">
        <v>12:16:23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18/09/2026 12:16:38</v>
      </c>
      <c r="AK82" t="str">
        <v>12:16:38</v>
      </c>
      <c r="AL82" t="str">
        <v/>
      </c>
    </row>
    <row r="83">
      <c r="A83">
        <v>82</v>
      </c>
      <c r="B83" t="str">
        <v>MASS BSF</v>
      </c>
      <c r="C83" t="str">
        <v>F3I-769</v>
      </c>
      <c r="D83" t="str">
        <v>F3I-769</v>
      </c>
      <c r="E83" t="str">
        <v/>
      </c>
      <c r="F83" t="str">
        <v>867806075758377</v>
      </c>
      <c r="G83" t="str">
        <v>TBD</v>
      </c>
      <c r="H83" t="str">
        <v/>
      </c>
      <c r="I83" t="str">
        <v/>
      </c>
      <c r="J83" t="str">
        <v>18/09/2026</v>
      </c>
      <c r="K83" t="str">
        <v>12:17:59</v>
      </c>
      <c r="L83">
        <v>-12.317489</v>
      </c>
      <c r="M83">
        <v>-76.82425</v>
      </c>
      <c r="N83">
        <f>HYPERLINK("https://www.google.com/maps/search/?api=1&amp;query=-12.317489,-76.82425","Punta Hermosa, Lima")</f>
      </c>
      <c r="O83" t="str">
        <v>Fin de ralentí</v>
      </c>
      <c r="P83">
        <v>789.3</v>
      </c>
      <c r="Q83" t="str">
        <v/>
      </c>
      <c r="R83">
        <v>6.1</v>
      </c>
      <c r="S83">
        <v>28.82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82</v>
      </c>
      <c r="AB83" t="str">
        <v>18/09/2026</v>
      </c>
      <c r="AC83" t="str">
        <v>12:17:58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18/09/2026 12:18:24</v>
      </c>
      <c r="AK83" t="str">
        <v>12:18:24</v>
      </c>
      <c r="AL83" t="str">
        <v/>
      </c>
    </row>
    <row r="84">
      <c r="A84">
        <v>83</v>
      </c>
      <c r="B84" t="str">
        <v>MASS BSF</v>
      </c>
      <c r="C84" t="str">
        <v>F3I-769</v>
      </c>
      <c r="D84" t="str">
        <v>F3I-769</v>
      </c>
      <c r="E84" t="str">
        <v/>
      </c>
      <c r="F84" t="str">
        <v>867806075758377</v>
      </c>
      <c r="G84" t="str">
        <v>TBD</v>
      </c>
      <c r="H84" t="str">
        <v/>
      </c>
      <c r="I84" t="str">
        <v/>
      </c>
      <c r="J84" t="str">
        <v>18/09/2026</v>
      </c>
      <c r="K84" t="str">
        <v>12:36:52</v>
      </c>
      <c r="L84">
        <v>-12.25513</v>
      </c>
      <c r="M84">
        <v>-76.908165</v>
      </c>
      <c r="N84">
        <f>HYPERLINK("https://www.google.com/maps/search/?api=1&amp;query=-12.25513,-76.908165","Antigua Panamericana Sur, Lurín, Lima")</f>
      </c>
      <c r="O84" t="str">
        <v>Bache</v>
      </c>
      <c r="P84">
        <v>803.7</v>
      </c>
      <c r="Q84" t="str">
        <v/>
      </c>
      <c r="R84">
        <v>42.9</v>
      </c>
      <c r="S84">
        <v>28.82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85</v>
      </c>
      <c r="AB84" t="str">
        <v>18/09/2026</v>
      </c>
      <c r="AC84" t="str">
        <v>12:36:50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18/09/2026 12:36:57</v>
      </c>
      <c r="AK84" t="str">
        <v>12:36:57</v>
      </c>
      <c r="AL84" t="str">
        <v/>
      </c>
    </row>
    <row r="85">
      <c r="A85">
        <v>84</v>
      </c>
      <c r="B85" t="str">
        <v>MASS BSF</v>
      </c>
      <c r="C85" t="str">
        <v>F3I-769</v>
      </c>
      <c r="D85" t="str">
        <v>F3I-769</v>
      </c>
      <c r="E85" t="str">
        <v/>
      </c>
      <c r="F85" t="str">
        <v>867806075758377</v>
      </c>
      <c r="G85" t="str">
        <v>TBD</v>
      </c>
      <c r="H85" t="str">
        <v/>
      </c>
      <c r="I85" t="str">
        <v/>
      </c>
      <c r="J85" t="str">
        <v>18/09/2026</v>
      </c>
      <c r="K85" t="str">
        <v>12:36:55</v>
      </c>
      <c r="L85">
        <v>-12.255055</v>
      </c>
      <c r="M85">
        <v>-76.907845</v>
      </c>
      <c r="N85">
        <f>HYPERLINK("https://www.google.com/maps/search/?api=1&amp;query=-12.255055,-76.907845","Antigua Panamericana Sur, Lurín, Lima")</f>
      </c>
      <c r="O85" t="str">
        <v>Bache</v>
      </c>
      <c r="P85">
        <v>803.7</v>
      </c>
      <c r="Q85" t="str">
        <v/>
      </c>
      <c r="R85">
        <v>41.8</v>
      </c>
      <c r="S85">
        <v>28.82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85</v>
      </c>
      <c r="AB85" t="str">
        <v>18/09/2026</v>
      </c>
      <c r="AC85" t="str">
        <v>12:36:53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18/09/2026 12:37:16</v>
      </c>
      <c r="AK85" t="str">
        <v>12:37:16</v>
      </c>
      <c r="AL85" t="str">
        <v/>
      </c>
    </row>
    <row r="86">
      <c r="A86">
        <v>85</v>
      </c>
      <c r="B86" t="str">
        <v>MASS BSF</v>
      </c>
      <c r="C86" t="str">
        <v>F3I-769</v>
      </c>
      <c r="D86" t="str">
        <v>F3I-769</v>
      </c>
      <c r="E86" t="str">
        <v/>
      </c>
      <c r="F86" t="str">
        <v>867806075758377</v>
      </c>
      <c r="G86" t="str">
        <v>TBD</v>
      </c>
      <c r="H86" t="str">
        <v/>
      </c>
      <c r="I86" t="str">
        <v/>
      </c>
      <c r="J86" t="str">
        <v>18/09/2026</v>
      </c>
      <c r="K86" t="str">
        <v>12:37:09</v>
      </c>
      <c r="L86">
        <v>-12.254742</v>
      </c>
      <c r="M86">
        <v>-76.906525</v>
      </c>
      <c r="N86">
        <f>HYPERLINK("https://www.google.com/maps/search/?api=1&amp;query=-12.254742,-76.906525","Antigua Panamericana Sur, Lurín, Lima")</f>
      </c>
      <c r="O86" t="str">
        <v>Bache</v>
      </c>
      <c r="P86">
        <v>803.9</v>
      </c>
      <c r="Q86" t="str">
        <v/>
      </c>
      <c r="R86">
        <v>34.4</v>
      </c>
      <c r="S86">
        <v>28.82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85</v>
      </c>
      <c r="AB86" t="str">
        <v>18/09/2026</v>
      </c>
      <c r="AC86" t="str">
        <v>12:37:07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18/09/2026 12:37:15</v>
      </c>
      <c r="AK86" t="str">
        <v>12:37:15</v>
      </c>
      <c r="AL86" t="str">
        <v/>
      </c>
    </row>
    <row r="87">
      <c r="A87">
        <v>86</v>
      </c>
      <c r="B87" t="str">
        <v>MASS BSF</v>
      </c>
      <c r="C87" t="str">
        <v>F3I-769</v>
      </c>
      <c r="D87" t="str">
        <v>F3I-769</v>
      </c>
      <c r="E87" t="str">
        <v/>
      </c>
      <c r="F87" t="str">
        <v>867806075758377</v>
      </c>
      <c r="G87" t="str">
        <v>TBD</v>
      </c>
      <c r="H87" t="str">
        <v/>
      </c>
      <c r="I87" t="str">
        <v/>
      </c>
      <c r="J87" t="str">
        <v>18/09/2026</v>
      </c>
      <c r="K87" t="str">
        <v>12:50:34</v>
      </c>
      <c r="L87">
        <v>-12.227012</v>
      </c>
      <c r="M87">
        <v>-76.930855</v>
      </c>
      <c r="N87">
        <f>HYPERLINK("https://www.google.com/maps/search/?api=1&amp;query=-12.227012,-76.930855","Avenida Talara, Villa El Salvador, Lima")</f>
      </c>
      <c r="O87" t="str">
        <v>Vehículo apagado</v>
      </c>
      <c r="P87">
        <v>809.3</v>
      </c>
      <c r="Q87" t="str">
        <v/>
      </c>
      <c r="R87">
        <v>0</v>
      </c>
      <c r="S87">
        <v>29.43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84</v>
      </c>
      <c r="AB87" t="str">
        <v>18/09/2026</v>
      </c>
      <c r="AC87" t="str">
        <v>12:50:32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18/09/2026 12:50:48</v>
      </c>
      <c r="AK87" t="str">
        <v>12:50:48</v>
      </c>
      <c r="AL87" t="str">
        <v/>
      </c>
    </row>
    <row r="88">
      <c r="A88">
        <v>87</v>
      </c>
      <c r="B88" t="str">
        <v>MASS BSF</v>
      </c>
      <c r="C88" t="str">
        <v>F3I-769</v>
      </c>
      <c r="D88" t="str">
        <v>F3I-769</v>
      </c>
      <c r="E88" t="str">
        <v/>
      </c>
      <c r="F88" t="str">
        <v>867806075758377</v>
      </c>
      <c r="G88" t="str">
        <v>TBD</v>
      </c>
      <c r="H88" t="str">
        <v/>
      </c>
      <c r="I88" t="str">
        <v/>
      </c>
      <c r="J88" t="str">
        <v>18/09/2026</v>
      </c>
      <c r="K88" t="str">
        <v>12:57:26</v>
      </c>
      <c r="L88">
        <v>-12.227012</v>
      </c>
      <c r="M88">
        <v>-76.930855</v>
      </c>
      <c r="N88">
        <f>HYPERLINK("https://www.google.com/maps/search/?api=1&amp;query=-12.227012,-76.930855","Avenida Talara, Villa El Salvador, Lima")</f>
      </c>
      <c r="O88" t="str">
        <v>Se detuvo</v>
      </c>
      <c r="P88">
        <v>809.3</v>
      </c>
      <c r="Q88" t="str">
        <v/>
      </c>
      <c r="R88">
        <v>0</v>
      </c>
      <c r="S88">
        <v>29.43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84</v>
      </c>
      <c r="AB88" t="str">
        <v>18/09/2026</v>
      </c>
      <c r="AC88" t="str">
        <v>12:57:24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18/09/2026 12:57:37</v>
      </c>
      <c r="AK88" t="str">
        <v>12:57:37</v>
      </c>
      <c r="AL88" t="str">
        <v/>
      </c>
    </row>
    <row r="89">
      <c r="A89">
        <v>88</v>
      </c>
      <c r="B89" t="str">
        <v>MASS BSF</v>
      </c>
      <c r="C89" t="str">
        <v>F3I-769</v>
      </c>
      <c r="D89" t="str">
        <v>F3I-769</v>
      </c>
      <c r="E89" t="str">
        <v/>
      </c>
      <c r="F89" t="str">
        <v>867806075758377</v>
      </c>
      <c r="G89" t="str">
        <v>TBD</v>
      </c>
      <c r="H89" t="str">
        <v/>
      </c>
      <c r="I89" t="str">
        <v/>
      </c>
      <c r="J89" t="str">
        <v>18/09/2026</v>
      </c>
      <c r="K89" t="str">
        <v>13:08:48</v>
      </c>
      <c r="L89">
        <v>-12.227012</v>
      </c>
      <c r="M89">
        <v>-76.930855</v>
      </c>
      <c r="N89">
        <f>HYPERLINK("https://www.google.com/maps/search/?api=1&amp;query=-12.227012,-76.930855","Avenida Talara, Villa El Salvador, Lima")</f>
      </c>
      <c r="O89" t="str">
        <v>Vehículo encendido</v>
      </c>
      <c r="P89">
        <v>809.3</v>
      </c>
      <c r="Q89" t="str">
        <v/>
      </c>
      <c r="R89">
        <v>0</v>
      </c>
      <c r="S89">
        <v>29.43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84</v>
      </c>
      <c r="AB89" t="str">
        <v>18/09/2026</v>
      </c>
      <c r="AC89" t="str">
        <v>13:08:46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18/09/2026 13:08:55</v>
      </c>
      <c r="AK89" t="str">
        <v>13:08:55</v>
      </c>
      <c r="AL89" t="str">
        <v/>
      </c>
    </row>
    <row r="90">
      <c r="A90">
        <v>89</v>
      </c>
      <c r="B90" t="str">
        <v>MASS BSF</v>
      </c>
      <c r="C90" t="str">
        <v>F3I-769</v>
      </c>
      <c r="D90" t="str">
        <v>F3I-769</v>
      </c>
      <c r="E90" t="str">
        <v/>
      </c>
      <c r="F90" t="str">
        <v>867806075758377</v>
      </c>
      <c r="G90" t="str">
        <v>TBD</v>
      </c>
      <c r="H90" t="str">
        <v/>
      </c>
      <c r="I90" t="str">
        <v/>
      </c>
      <c r="J90" t="str">
        <v>18/09/2026</v>
      </c>
      <c r="K90" t="str">
        <v>13:12:56</v>
      </c>
      <c r="L90">
        <v>-12.22104</v>
      </c>
      <c r="M90">
        <v>-76.93184</v>
      </c>
      <c r="N90">
        <f>HYPERLINK("https://www.google.com/maps/search/?api=1&amp;query=-12.22104,-76.93184","Avenida José Carlos Mariátegui, Villa El Salvador, Lima")</f>
      </c>
      <c r="O90" t="str">
        <v>Vehículo apagado</v>
      </c>
      <c r="P90">
        <v>810.2</v>
      </c>
      <c r="Q90" t="str">
        <v/>
      </c>
      <c r="R90">
        <v>0</v>
      </c>
      <c r="S90">
        <v>29.5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83</v>
      </c>
      <c r="AB90" t="str">
        <v>18/09/2026</v>
      </c>
      <c r="AC90" t="str">
        <v>13:12:54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18/09/2026 13:13:09</v>
      </c>
      <c r="AK90" t="str">
        <v>13:13:09</v>
      </c>
      <c r="AL90" t="str">
        <v/>
      </c>
    </row>
    <row r="91">
      <c r="A91">
        <v>90</v>
      </c>
      <c r="B91" t="str">
        <v>MASS BSF</v>
      </c>
      <c r="C91" t="str">
        <v>F3I-769</v>
      </c>
      <c r="D91" t="str">
        <v>F3I-769</v>
      </c>
      <c r="E91" t="str">
        <v/>
      </c>
      <c r="F91" t="str">
        <v>867806075758377</v>
      </c>
      <c r="G91" t="str">
        <v>TBD</v>
      </c>
      <c r="H91" t="str">
        <v/>
      </c>
      <c r="I91" t="str">
        <v/>
      </c>
      <c r="J91" t="str">
        <v>18/09/2026</v>
      </c>
      <c r="K91" t="str">
        <v>13:19:17</v>
      </c>
      <c r="L91">
        <v>-12.22104</v>
      </c>
      <c r="M91">
        <v>-76.93184</v>
      </c>
      <c r="N91">
        <f>HYPERLINK("https://www.google.com/maps/search/?api=1&amp;query=-12.22104,-76.93184","Avenida José Carlos Mariátegui, Villa El Salvador, Lima")</f>
      </c>
      <c r="O91" t="str">
        <v>Se detuvo</v>
      </c>
      <c r="P91">
        <v>810.2</v>
      </c>
      <c r="Q91" t="str">
        <v/>
      </c>
      <c r="R91">
        <v>0</v>
      </c>
      <c r="S91">
        <v>29.5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83</v>
      </c>
      <c r="AB91" t="str">
        <v>18/09/2026</v>
      </c>
      <c r="AC91" t="str">
        <v>13:19:14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18/09/2026 13:19:36</v>
      </c>
      <c r="AK91" t="str">
        <v>13:19:36</v>
      </c>
      <c r="AL91" t="str">
        <v/>
      </c>
    </row>
    <row r="92">
      <c r="A92">
        <v>91</v>
      </c>
      <c r="B92" t="str">
        <v>MASS BSF</v>
      </c>
      <c r="C92" t="str">
        <v>F3I-769</v>
      </c>
      <c r="D92" t="str">
        <v>F3I-769</v>
      </c>
      <c r="E92" t="str">
        <v/>
      </c>
      <c r="F92" t="str">
        <v>867806075758377</v>
      </c>
      <c r="G92" t="str">
        <v>TBD</v>
      </c>
      <c r="H92" t="str">
        <v/>
      </c>
      <c r="I92" t="str">
        <v/>
      </c>
      <c r="J92" t="str">
        <v>18/09/2026</v>
      </c>
      <c r="K92" t="str">
        <v>14:07:32</v>
      </c>
      <c r="L92">
        <v>-12.22104</v>
      </c>
      <c r="M92">
        <v>-76.93184</v>
      </c>
      <c r="N92">
        <f>HYPERLINK("https://www.google.com/maps/search/?api=1&amp;query=-12.22104,-76.93184","Avenida José Carlos Mariátegui, Villa El Salvador, Lima")</f>
      </c>
      <c r="O92" t="str">
        <v>Vehículo encendido</v>
      </c>
      <c r="P92">
        <v>810.2</v>
      </c>
      <c r="Q92" t="str">
        <v/>
      </c>
      <c r="R92">
        <v>0</v>
      </c>
      <c r="S92">
        <v>29.6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82</v>
      </c>
      <c r="AB92" t="str">
        <v>18/09/2026</v>
      </c>
      <c r="AC92" t="str">
        <v>14:07:29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18/09/2026 14:07:48</v>
      </c>
      <c r="AK92" t="str">
        <v>14:07:48</v>
      </c>
      <c r="AL92" t="str">
        <v/>
      </c>
    </row>
    <row r="93">
      <c r="A93">
        <v>92</v>
      </c>
      <c r="B93" t="str">
        <v>MASS BSF</v>
      </c>
      <c r="C93" t="str">
        <v>F3I-769</v>
      </c>
      <c r="D93" t="str">
        <v>F3I-769</v>
      </c>
      <c r="E93" t="str">
        <v/>
      </c>
      <c r="F93" t="str">
        <v>867806075758377</v>
      </c>
      <c r="G93" t="str">
        <v>TBD</v>
      </c>
      <c r="H93" t="str">
        <v/>
      </c>
      <c r="I93" t="str">
        <v/>
      </c>
      <c r="J93" t="str">
        <v>18/09/2026</v>
      </c>
      <c r="K93" t="str">
        <v>14:07:46</v>
      </c>
      <c r="L93">
        <v>-12.22093</v>
      </c>
      <c r="M93">
        <v>-76.93173</v>
      </c>
      <c r="N93">
        <f>HYPERLINK("https://www.google.com/maps/search/?api=1&amp;query=-12.22093,-76.93173","Avenida José Carlos Mariátegui, Villa El Salvador, Lima")</f>
      </c>
      <c r="O93" t="str">
        <v>Se movio</v>
      </c>
      <c r="P93">
        <v>810.2</v>
      </c>
      <c r="Q93" t="str">
        <v/>
      </c>
      <c r="R93">
        <v>20</v>
      </c>
      <c r="S93">
        <v>29.6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82</v>
      </c>
      <c r="AB93" t="str">
        <v>18/09/2026</v>
      </c>
      <c r="AC93" t="str">
        <v>14:07:43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18/09/2026 14:08:06</v>
      </c>
      <c r="AK93" t="str">
        <v>14:08:06</v>
      </c>
      <c r="AL93" t="str">
        <v/>
      </c>
    </row>
    <row r="94">
      <c r="A94">
        <v>93</v>
      </c>
      <c r="B94" t="str">
        <v>MASS BSF</v>
      </c>
      <c r="C94" t="str">
        <v>F3I-769</v>
      </c>
      <c r="D94" t="str">
        <v>F3I-769</v>
      </c>
      <c r="E94" t="str">
        <v/>
      </c>
      <c r="F94" t="str">
        <v>867806075758377</v>
      </c>
      <c r="G94" t="str">
        <v>TBD</v>
      </c>
      <c r="H94" t="str">
        <v/>
      </c>
      <c r="I94" t="str">
        <v/>
      </c>
      <c r="J94" t="str">
        <v>18/09/2026</v>
      </c>
      <c r="K94" t="str">
        <v>14:08:17</v>
      </c>
      <c r="L94">
        <v>-12.219791</v>
      </c>
      <c r="M94">
        <v>-76.929794</v>
      </c>
      <c r="N94">
        <f>HYPERLINK("https://www.google.com/maps/search/?api=1&amp;query=-12.219791,-76.929794","Avenida José Carlos Mariátegui, Villa El Salvador, Lima")</f>
      </c>
      <c r="O94" t="str">
        <v>Bache</v>
      </c>
      <c r="P94">
        <v>810.4</v>
      </c>
      <c r="Q94" t="str">
        <v/>
      </c>
      <c r="R94">
        <v>8.7</v>
      </c>
      <c r="S94">
        <v>29.6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82</v>
      </c>
      <c r="AB94" t="str">
        <v>18/09/2026</v>
      </c>
      <c r="AC94" t="str">
        <v>14:08:14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18/09/2026 14:08:40</v>
      </c>
      <c r="AK94" t="str">
        <v>14:08:40</v>
      </c>
      <c r="AL94" t="str">
        <v/>
      </c>
    </row>
    <row r="95">
      <c r="A95">
        <v>94</v>
      </c>
      <c r="B95" t="str">
        <v>MASS BSF</v>
      </c>
      <c r="C95" t="str">
        <v>F3I-769</v>
      </c>
      <c r="D95" t="str">
        <v>F3I-769</v>
      </c>
      <c r="E95" t="str">
        <v/>
      </c>
      <c r="F95" t="str">
        <v>867806075758377</v>
      </c>
      <c r="G95" t="str">
        <v>TBD</v>
      </c>
      <c r="H95" t="str">
        <v/>
      </c>
      <c r="I95" t="str">
        <v/>
      </c>
      <c r="J95" t="str">
        <v>18/09/2026</v>
      </c>
      <c r="K95" t="str">
        <v>14:08:20</v>
      </c>
      <c r="L95">
        <v>-12.219762</v>
      </c>
      <c r="M95">
        <v>-76.92974</v>
      </c>
      <c r="N95">
        <f>HYPERLINK("https://www.google.com/maps/search/?api=1&amp;query=-12.219762,-76.92974","Avenida José Carlos Mariátegui, Villa El Salvador, Lima")</f>
      </c>
      <c r="O95" t="str">
        <v>Bache</v>
      </c>
      <c r="P95">
        <v>810.4</v>
      </c>
      <c r="Q95" t="str">
        <v/>
      </c>
      <c r="R95">
        <v>9.6</v>
      </c>
      <c r="S95">
        <v>29.6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82</v>
      </c>
      <c r="AB95" t="str">
        <v>18/09/2026</v>
      </c>
      <c r="AC95" t="str">
        <v>14:08:17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18/09/2026 14:08:31</v>
      </c>
      <c r="AK95" t="str">
        <v>14:08:31</v>
      </c>
      <c r="AL95" t="str">
        <v/>
      </c>
    </row>
    <row r="96">
      <c r="A96">
        <v>95</v>
      </c>
      <c r="B96" t="str">
        <v>MASS BSF</v>
      </c>
      <c r="C96" t="str">
        <v>F3I-769</v>
      </c>
      <c r="D96" t="str">
        <v>F3I-769</v>
      </c>
      <c r="E96" t="str">
        <v/>
      </c>
      <c r="F96" t="str">
        <v>867806075758377</v>
      </c>
      <c r="G96" t="str">
        <v>TBD</v>
      </c>
      <c r="H96" t="str">
        <v/>
      </c>
      <c r="I96" t="str">
        <v/>
      </c>
      <c r="J96" t="str">
        <v>18/09/2026</v>
      </c>
      <c r="K96" t="str">
        <v>14:08:35</v>
      </c>
      <c r="L96">
        <v>-12.21943</v>
      </c>
      <c r="M96">
        <v>-76.92917</v>
      </c>
      <c r="N96">
        <f>HYPERLINK("https://www.google.com/maps/search/?api=1&amp;query=-12.21943,-76.92917","Avenida José Carlos Mariátegui, Villa El Salvador, Lima")</f>
      </c>
      <c r="O96" t="str">
        <v>Bache</v>
      </c>
      <c r="P96">
        <v>810.5</v>
      </c>
      <c r="Q96" t="str">
        <v/>
      </c>
      <c r="R96">
        <v>8.1</v>
      </c>
      <c r="S96">
        <v>29.6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82</v>
      </c>
      <c r="AB96" t="str">
        <v>18/09/2026</v>
      </c>
      <c r="AC96" t="str">
        <v>14:08:33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18/09/2026 14:08:46</v>
      </c>
      <c r="AK96" t="str">
        <v>14:08:46</v>
      </c>
      <c r="AL96" t="str">
        <v/>
      </c>
    </row>
    <row r="97">
      <c r="A97">
        <v>96</v>
      </c>
      <c r="B97" t="str">
        <v>MASS BSF</v>
      </c>
      <c r="C97" t="str">
        <v>F3I-769</v>
      </c>
      <c r="D97" t="str">
        <v>F3I-769</v>
      </c>
      <c r="E97" t="str">
        <v/>
      </c>
      <c r="F97" t="str">
        <v>867806075758377</v>
      </c>
      <c r="G97" t="str">
        <v>TBD</v>
      </c>
      <c r="H97" t="str">
        <v/>
      </c>
      <c r="I97" t="str">
        <v/>
      </c>
      <c r="J97" t="str">
        <v>18/09/2026</v>
      </c>
      <c r="K97" t="str">
        <v>14:09:22</v>
      </c>
      <c r="L97">
        <v>-12.218347</v>
      </c>
      <c r="M97">
        <v>-76.927284</v>
      </c>
      <c r="N97">
        <f>HYPERLINK("https://www.google.com/maps/search/?api=1&amp;query=-12.218347,-76.927284","Avenida José Carlos Mariátegui, Villa El Salvador, Lima")</f>
      </c>
      <c r="O97" t="str">
        <v>Bache</v>
      </c>
      <c r="P97">
        <v>810.7</v>
      </c>
      <c r="Q97" t="str">
        <v/>
      </c>
      <c r="R97">
        <v>9</v>
      </c>
      <c r="S97">
        <v>29.6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85</v>
      </c>
      <c r="AB97" t="str">
        <v>18/09/2026</v>
      </c>
      <c r="AC97" t="str">
        <v>14:09:20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18/09/2026 14:09:40</v>
      </c>
      <c r="AK97" t="str">
        <v>14:09:40</v>
      </c>
      <c r="AL97" t="str">
        <v/>
      </c>
    </row>
    <row r="98">
      <c r="A98">
        <v>97</v>
      </c>
      <c r="B98" t="str">
        <v>MASS BSF</v>
      </c>
      <c r="C98" t="str">
        <v>F3I-769</v>
      </c>
      <c r="D98" t="str">
        <v>F3I-769</v>
      </c>
      <c r="E98" t="str">
        <v/>
      </c>
      <c r="F98" t="str">
        <v>867806075758377</v>
      </c>
      <c r="G98" t="str">
        <v>TBD</v>
      </c>
      <c r="H98" t="str">
        <v/>
      </c>
      <c r="I98" t="str">
        <v/>
      </c>
      <c r="J98" t="str">
        <v>18/09/2026</v>
      </c>
      <c r="K98" t="str">
        <v>14:09:24</v>
      </c>
      <c r="L98">
        <v>-12.218333</v>
      </c>
      <c r="M98">
        <v>-76.92726</v>
      </c>
      <c r="N98">
        <f>HYPERLINK("https://www.google.com/maps/search/?api=1&amp;query=-12.218333,-76.92726","Avenida José Carlos Mariátegui, Villa El Salvador, Lima")</f>
      </c>
      <c r="O98" t="str">
        <v>Bache</v>
      </c>
      <c r="P98">
        <v>810.7</v>
      </c>
      <c r="Q98" t="str">
        <v/>
      </c>
      <c r="R98">
        <v>10.7</v>
      </c>
      <c r="S98">
        <v>29.6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85</v>
      </c>
      <c r="AB98" t="str">
        <v>18/09/2026</v>
      </c>
      <c r="AC98" t="str">
        <v>14:09:21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18/09/2026 14:09:29</v>
      </c>
      <c r="AK98" t="str">
        <v>14:09:29</v>
      </c>
      <c r="AL98" t="str">
        <v/>
      </c>
    </row>
    <row r="99">
      <c r="A99">
        <v>98</v>
      </c>
      <c r="B99" t="str">
        <v>MASS BSF</v>
      </c>
      <c r="C99" t="str">
        <v>F3I-769</v>
      </c>
      <c r="D99" t="str">
        <v>F3I-769</v>
      </c>
      <c r="E99" t="str">
        <v/>
      </c>
      <c r="F99" t="str">
        <v>867806075758377</v>
      </c>
      <c r="G99" t="str">
        <v>TBD</v>
      </c>
      <c r="H99" t="str">
        <v/>
      </c>
      <c r="I99" t="str">
        <v/>
      </c>
      <c r="J99" t="str">
        <v>18/09/2026</v>
      </c>
      <c r="K99" t="str">
        <v>14:12:53</v>
      </c>
      <c r="L99">
        <v>-12.206422</v>
      </c>
      <c r="M99">
        <v>-76.930466</v>
      </c>
      <c r="N99">
        <f>HYPERLINK("https://www.google.com/maps/search/?api=1&amp;query=-12.206422,-76.930466","Calle Los Artesanos, Villa El Salvador, Lima")</f>
      </c>
      <c r="O99" t="str">
        <v>Bache</v>
      </c>
      <c r="P99">
        <v>812.4</v>
      </c>
      <c r="Q99" t="str">
        <v/>
      </c>
      <c r="R99">
        <v>20.1</v>
      </c>
      <c r="S99">
        <v>29.6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91</v>
      </c>
      <c r="AB99" t="str">
        <v>18/09/2026</v>
      </c>
      <c r="AC99" t="str">
        <v>14:12:51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18/09/2026 14:13:19</v>
      </c>
      <c r="AK99" t="str">
        <v>14:13:19</v>
      </c>
      <c r="AL99" t="str">
        <v/>
      </c>
    </row>
    <row r="100">
      <c r="A100">
        <v>99</v>
      </c>
      <c r="B100" t="str">
        <v>MASS BSF</v>
      </c>
      <c r="C100" t="str">
        <v>F3I-769</v>
      </c>
      <c r="D100" t="str">
        <v>F3I-769</v>
      </c>
      <c r="E100" t="str">
        <v/>
      </c>
      <c r="F100" t="str">
        <v>867806075758377</v>
      </c>
      <c r="G100" t="str">
        <v>TBD</v>
      </c>
      <c r="H100" t="str">
        <v/>
      </c>
      <c r="I100" t="str">
        <v/>
      </c>
      <c r="J100" t="str">
        <v>18/09/2026</v>
      </c>
      <c r="K100" t="str">
        <v>14:17:48</v>
      </c>
      <c r="L100">
        <v>-12.197868</v>
      </c>
      <c r="M100">
        <v>-76.93278</v>
      </c>
      <c r="N100">
        <f>HYPERLINK("https://www.google.com/maps/search/?api=1&amp;query=-12.197868,-76.93278","Avenida Pachacútec, Villa María del Triunfo, Lima")</f>
      </c>
      <c r="O100" t="str">
        <v>Acelerado y giro brusco</v>
      </c>
      <c r="P100">
        <v>813.5</v>
      </c>
      <c r="Q100" t="str">
        <v/>
      </c>
      <c r="R100">
        <v>31.4</v>
      </c>
      <c r="S100">
        <v>29.6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85</v>
      </c>
      <c r="AB100" t="str">
        <v>18/09/2026</v>
      </c>
      <c r="AC100" t="str">
        <v>14:17:45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18/09/2026 14:18:06</v>
      </c>
      <c r="AK100" t="str">
        <v>14:18:06</v>
      </c>
      <c r="AL100" t="str">
        <v/>
      </c>
    </row>
    <row r="101">
      <c r="A101">
        <v>100</v>
      </c>
      <c r="B101" t="str">
        <v>MASS BSF</v>
      </c>
      <c r="C101" t="str">
        <v>F3I-769</v>
      </c>
      <c r="D101" t="str">
        <v>F3I-769</v>
      </c>
      <c r="E101" t="str">
        <v/>
      </c>
      <c r="F101" t="str">
        <v>867806075758377</v>
      </c>
      <c r="G101" t="str">
        <v>TBD</v>
      </c>
      <c r="H101" t="str">
        <v/>
      </c>
      <c r="I101" t="str">
        <v/>
      </c>
      <c r="J101" t="str">
        <v>18/09/2026</v>
      </c>
      <c r="K101" t="str">
        <v>14:20:19</v>
      </c>
      <c r="L101">
        <v>-12.195455</v>
      </c>
      <c r="M101">
        <v>-76.93176</v>
      </c>
      <c r="N101">
        <f>HYPERLINK("https://www.google.com/maps/search/?api=1&amp;query=-12.195455,-76.93176","Avenida Jorge Chávez, Villa María del Triunfo, Lima")</f>
      </c>
      <c r="O101" t="str">
        <v>Acelerado y giro brusco</v>
      </c>
      <c r="P101">
        <v>813.9</v>
      </c>
      <c r="Q101" t="str">
        <v/>
      </c>
      <c r="R101">
        <v>17.4</v>
      </c>
      <c r="S101">
        <v>29.6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91</v>
      </c>
      <c r="AB101" t="str">
        <v>18/09/2026</v>
      </c>
      <c r="AC101" t="str">
        <v>14:20:16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18/09/2026 14:20:47</v>
      </c>
      <c r="AK101" t="str">
        <v>14:20:47</v>
      </c>
      <c r="AL101" t="str">
        <v/>
      </c>
    </row>
    <row r="102">
      <c r="A102">
        <v>101</v>
      </c>
      <c r="B102" t="str">
        <v>MASS BSF</v>
      </c>
      <c r="C102" t="str">
        <v>F3I-769</v>
      </c>
      <c r="D102" t="str">
        <v>F3I-769</v>
      </c>
      <c r="E102" t="str">
        <v/>
      </c>
      <c r="F102" t="str">
        <v>867806075758377</v>
      </c>
      <c r="G102" t="str">
        <v>TBD</v>
      </c>
      <c r="H102" t="str">
        <v/>
      </c>
      <c r="I102" t="str">
        <v/>
      </c>
      <c r="J102" t="str">
        <v>18/09/2026</v>
      </c>
      <c r="K102" t="str">
        <v>14:20:56</v>
      </c>
      <c r="L102">
        <v>-12.196132</v>
      </c>
      <c r="M102">
        <v>-76.93124</v>
      </c>
      <c r="N102">
        <f>HYPERLINK("https://www.google.com/maps/search/?api=1&amp;query=-12.196132,-76.93124","Avenida La Mariscala, Villa María del Triunfo, Lima")</f>
      </c>
      <c r="O102" t="str">
        <v>Acelerado y giro brusco</v>
      </c>
      <c r="P102">
        <v>814.2</v>
      </c>
      <c r="Q102" t="str">
        <v/>
      </c>
      <c r="R102">
        <v>15</v>
      </c>
      <c r="S102">
        <v>29.6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91</v>
      </c>
      <c r="AB102" t="str">
        <v>18/09/2026</v>
      </c>
      <c r="AC102" t="str">
        <v>14:20:54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18/09/2026 14:21:00</v>
      </c>
      <c r="AK102" t="str">
        <v>14:21:00</v>
      </c>
      <c r="AL102" t="str">
        <v/>
      </c>
    </row>
    <row r="103">
      <c r="A103">
        <v>102</v>
      </c>
      <c r="B103" t="str">
        <v>MASS BSF</v>
      </c>
      <c r="C103" t="str">
        <v>F3I-769</v>
      </c>
      <c r="D103" t="str">
        <v>F3I-769</v>
      </c>
      <c r="E103" t="str">
        <v/>
      </c>
      <c r="F103" t="str">
        <v>867806075758377</v>
      </c>
      <c r="G103" t="str">
        <v>TBD</v>
      </c>
      <c r="H103" t="str">
        <v/>
      </c>
      <c r="I103" t="str">
        <v/>
      </c>
      <c r="J103" t="str">
        <v>18/09/2026</v>
      </c>
      <c r="K103" t="str">
        <v>14:22:13</v>
      </c>
      <c r="L103">
        <v>-12.194497</v>
      </c>
      <c r="M103">
        <v>-76.92849</v>
      </c>
      <c r="N103">
        <f>HYPERLINK("https://www.google.com/maps/search/?api=1&amp;query=-12.194497,-76.92849","Avenida La Mariscala, Villa María del Triunfo, Lima")</f>
      </c>
      <c r="O103" t="str">
        <v>Bache</v>
      </c>
      <c r="P103">
        <v>814.5</v>
      </c>
      <c r="Q103" t="str">
        <v/>
      </c>
      <c r="R103">
        <v>11.8</v>
      </c>
      <c r="S103">
        <v>29.6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91</v>
      </c>
      <c r="AB103" t="str">
        <v>18/09/2026</v>
      </c>
      <c r="AC103" t="str">
        <v>14:22:11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18/09/2026 14:22:24</v>
      </c>
      <c r="AK103" t="str">
        <v>14:22:24</v>
      </c>
      <c r="AL103" t="str">
        <v/>
      </c>
    </row>
    <row r="104">
      <c r="A104">
        <v>103</v>
      </c>
      <c r="B104" t="str">
        <v>MASS BSF</v>
      </c>
      <c r="C104" t="str">
        <v>F3I-769</v>
      </c>
      <c r="D104" t="str">
        <v>F3I-769</v>
      </c>
      <c r="E104" t="str">
        <v/>
      </c>
      <c r="F104" t="str">
        <v>867806075758377</v>
      </c>
      <c r="G104" t="str">
        <v>TBD</v>
      </c>
      <c r="H104" t="str">
        <v/>
      </c>
      <c r="I104" t="str">
        <v/>
      </c>
      <c r="J104" t="str">
        <v>18/09/2026</v>
      </c>
      <c r="K104" t="str">
        <v>14:22:48</v>
      </c>
      <c r="L104">
        <v>-12.193685</v>
      </c>
      <c r="M104">
        <v>-76.92709</v>
      </c>
      <c r="N104">
        <f>HYPERLINK("https://www.google.com/maps/search/?api=1&amp;query=-12.193685,-76.92709","Avenida La Mariscala, Villa María del Triunfo, Lima")</f>
      </c>
      <c r="O104" t="str">
        <v>Aceleración brusca</v>
      </c>
      <c r="P104">
        <v>814.7</v>
      </c>
      <c r="Q104" t="str">
        <v/>
      </c>
      <c r="R104">
        <v>13.1</v>
      </c>
      <c r="S104">
        <v>29.6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91</v>
      </c>
      <c r="AB104" t="str">
        <v>18/09/2026</v>
      </c>
      <c r="AC104" t="str">
        <v>14:22:45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18/09/2026 14:22:49</v>
      </c>
      <c r="AK104" t="str">
        <v>14:22:49</v>
      </c>
      <c r="AL104" t="str">
        <v/>
      </c>
    </row>
    <row r="105">
      <c r="A105">
        <v>104</v>
      </c>
      <c r="B105" t="str">
        <v>MASS BSF</v>
      </c>
      <c r="C105" t="str">
        <v>F3I-769</v>
      </c>
      <c r="D105" t="str">
        <v>F3I-769</v>
      </c>
      <c r="E105" t="str">
        <v/>
      </c>
      <c r="F105" t="str">
        <v>867806075758377</v>
      </c>
      <c r="G105" t="str">
        <v>TBD</v>
      </c>
      <c r="H105" t="str">
        <v/>
      </c>
      <c r="I105" t="str">
        <v/>
      </c>
      <c r="J105" t="str">
        <v>18/09/2026</v>
      </c>
      <c r="K105" t="str">
        <v>14:22:49</v>
      </c>
      <c r="L105">
        <v>-12.193665</v>
      </c>
      <c r="M105">
        <v>-76.927055</v>
      </c>
      <c r="N105">
        <f>HYPERLINK("https://www.google.com/maps/search/?api=1&amp;query=-12.193665,-76.927055","Avenida La Mariscala, Villa María del Triunfo, Lima")</f>
      </c>
      <c r="O105" t="str">
        <v>Bache</v>
      </c>
      <c r="P105">
        <v>814.7</v>
      </c>
      <c r="Q105" t="str">
        <v/>
      </c>
      <c r="R105">
        <v>6.2</v>
      </c>
      <c r="S105">
        <v>29.6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91</v>
      </c>
      <c r="AB105" t="str">
        <v>18/09/2026</v>
      </c>
      <c r="AC105" t="str">
        <v>14:22:47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18/09/2026 14:23:12</v>
      </c>
      <c r="AK105" t="str">
        <v>14:23:12</v>
      </c>
      <c r="AL105" t="str">
        <v/>
      </c>
    </row>
    <row r="106">
      <c r="A106">
        <v>105</v>
      </c>
      <c r="B106" t="str">
        <v>MASS BSF</v>
      </c>
      <c r="C106" t="str">
        <v>F3I-769</v>
      </c>
      <c r="D106" t="str">
        <v>F3I-769</v>
      </c>
      <c r="E106" t="str">
        <v/>
      </c>
      <c r="F106" t="str">
        <v>867806075758377</v>
      </c>
      <c r="G106" t="str">
        <v>TBD</v>
      </c>
      <c r="H106" t="str">
        <v/>
      </c>
      <c r="I106" t="str">
        <v/>
      </c>
      <c r="J106" t="str">
        <v>18/09/2026</v>
      </c>
      <c r="K106" t="str">
        <v>14:24:27</v>
      </c>
      <c r="L106">
        <v>-12.193235</v>
      </c>
      <c r="M106">
        <v>-76.926254</v>
      </c>
      <c r="N106">
        <f>HYPERLINK("https://www.google.com/maps/search/?api=1&amp;query=-12.193235,-76.926254","Avenida La Mariscala, Villa María del Triunfo, Lima")</f>
      </c>
      <c r="O106" t="str">
        <v>Vehículo apagado</v>
      </c>
      <c r="P106">
        <v>814.8</v>
      </c>
      <c r="Q106" t="str">
        <v/>
      </c>
      <c r="R106">
        <v>0</v>
      </c>
      <c r="S106">
        <v>29.88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85</v>
      </c>
      <c r="AB106" t="str">
        <v>18/09/2026</v>
      </c>
      <c r="AC106" t="str">
        <v>14:24:25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18/09/2026 14:24:37</v>
      </c>
      <c r="AK106" t="str">
        <v>14:24:37</v>
      </c>
      <c r="AL106" t="str">
        <v/>
      </c>
    </row>
    <row r="107">
      <c r="A107">
        <v>106</v>
      </c>
      <c r="B107" t="str">
        <v>MASS BSF</v>
      </c>
      <c r="C107" t="str">
        <v>F3I-769</v>
      </c>
      <c r="D107" t="str">
        <v>F3I-769</v>
      </c>
      <c r="E107" t="str">
        <v/>
      </c>
      <c r="F107" t="str">
        <v>867806075758377</v>
      </c>
      <c r="G107" t="str">
        <v>TBD</v>
      </c>
      <c r="H107" t="str">
        <v/>
      </c>
      <c r="I107" t="str">
        <v/>
      </c>
      <c r="J107" t="str">
        <v>18/09/2026</v>
      </c>
      <c r="K107" t="str">
        <v>14:35:34</v>
      </c>
      <c r="L107">
        <v>-12.193235</v>
      </c>
      <c r="M107">
        <v>-76.926254</v>
      </c>
      <c r="N107">
        <f>HYPERLINK("https://www.google.com/maps/search/?api=1&amp;query=-12.193235,-76.926254","Avenida La Mariscala, Villa María del Triunfo, Lima")</f>
      </c>
      <c r="O107" t="str">
        <v>Vehículo encendido</v>
      </c>
      <c r="P107">
        <v>814.8</v>
      </c>
      <c r="Q107" t="str">
        <v/>
      </c>
      <c r="R107">
        <v>0</v>
      </c>
      <c r="S107">
        <v>29.88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85</v>
      </c>
      <c r="AB107" t="str">
        <v>18/09/2026</v>
      </c>
      <c r="AC107" t="str">
        <v>14:35:31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18/09/2026 14:35:52</v>
      </c>
      <c r="AK107" t="str">
        <v>14:35:52</v>
      </c>
      <c r="AL107" t="str">
        <v/>
      </c>
    </row>
    <row r="108">
      <c r="A108">
        <v>107</v>
      </c>
      <c r="B108" t="str">
        <v>MASS BSF</v>
      </c>
      <c r="C108" t="str">
        <v>F3I-769</v>
      </c>
      <c r="D108" t="str">
        <v>F3I-769</v>
      </c>
      <c r="E108" t="str">
        <v/>
      </c>
      <c r="F108" t="str">
        <v>867806075758377</v>
      </c>
      <c r="G108" t="str">
        <v>TBD</v>
      </c>
      <c r="H108" t="str">
        <v/>
      </c>
      <c r="I108" t="str">
        <v/>
      </c>
      <c r="J108" t="str">
        <v>18/09/2026</v>
      </c>
      <c r="K108" t="str">
        <v>14:35:44</v>
      </c>
      <c r="L108">
        <v>-12.193235</v>
      </c>
      <c r="M108">
        <v>-76.926254</v>
      </c>
      <c r="N108">
        <f>HYPERLINK("https://www.google.com/maps/search/?api=1&amp;query=-12.193235,-76.926254","Avenida La Mariscala, Villa María del Triunfo, Lima")</f>
      </c>
      <c r="O108" t="str">
        <v>Se movio</v>
      </c>
      <c r="P108">
        <v>814.8</v>
      </c>
      <c r="Q108" t="str">
        <v/>
      </c>
      <c r="R108">
        <v>0</v>
      </c>
      <c r="S108">
        <v>29.88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85</v>
      </c>
      <c r="AB108" t="str">
        <v>18/09/2026</v>
      </c>
      <c r="AC108" t="str">
        <v>14:35:41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18/09/2026 14:36:00</v>
      </c>
      <c r="AK108" t="str">
        <v>14:36:00</v>
      </c>
      <c r="AL108" t="str">
        <v/>
      </c>
    </row>
    <row r="109">
      <c r="A109">
        <v>108</v>
      </c>
      <c r="B109" t="str">
        <v>MASS BSF</v>
      </c>
      <c r="C109" t="str">
        <v>F3I-769</v>
      </c>
      <c r="D109" t="str">
        <v>F3I-769</v>
      </c>
      <c r="E109" t="str">
        <v/>
      </c>
      <c r="F109" t="str">
        <v>867806075758377</v>
      </c>
      <c r="G109" t="str">
        <v>TBD</v>
      </c>
      <c r="H109" t="str">
        <v/>
      </c>
      <c r="I109" t="str">
        <v/>
      </c>
      <c r="J109" t="str">
        <v>18/09/2026</v>
      </c>
      <c r="K109" t="str">
        <v>14:36:53</v>
      </c>
      <c r="L109">
        <v>-12.19314</v>
      </c>
      <c r="M109">
        <v>-76.92614</v>
      </c>
      <c r="N109">
        <f>HYPERLINK("https://www.google.com/maps/search/?api=1&amp;query=-12.19314,-76.92614","Avenida La Mariscala, Villa María del Triunfo, Lima")</f>
      </c>
      <c r="O109" t="str">
        <v>Vehículo apagado</v>
      </c>
      <c r="P109">
        <v>814.8</v>
      </c>
      <c r="Q109" t="str">
        <v/>
      </c>
      <c r="R109">
        <v>0</v>
      </c>
      <c r="S109">
        <v>29.9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91</v>
      </c>
      <c r="AB109" t="str">
        <v>18/09/2026</v>
      </c>
      <c r="AC109" t="str">
        <v>14:36:50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18/09/2026 14:37:10</v>
      </c>
      <c r="AK109" t="str">
        <v>14:37:10</v>
      </c>
      <c r="AL109" t="str">
        <v/>
      </c>
    </row>
    <row r="110">
      <c r="A110">
        <v>109</v>
      </c>
      <c r="B110" t="str">
        <v>MASS BSF</v>
      </c>
      <c r="C110" t="str">
        <v>F3I-769</v>
      </c>
      <c r="D110" t="str">
        <v>F3I-769</v>
      </c>
      <c r="E110" t="str">
        <v/>
      </c>
      <c r="F110" t="str">
        <v>867806075758377</v>
      </c>
      <c r="G110" t="str">
        <v>TBD</v>
      </c>
      <c r="H110" t="str">
        <v/>
      </c>
      <c r="I110" t="str">
        <v/>
      </c>
      <c r="J110" t="str">
        <v>18/09/2026</v>
      </c>
      <c r="K110" t="str">
        <v>14:48:15</v>
      </c>
      <c r="L110">
        <v>-12.19314</v>
      </c>
      <c r="M110">
        <v>-76.92614</v>
      </c>
      <c r="N110">
        <f>HYPERLINK("https://www.google.com/maps/search/?api=1&amp;query=-12.19314,-76.92614","Avenida La Mariscala, Villa María del Triunfo, Lima")</f>
      </c>
      <c r="O110" t="str">
        <v>Vehículo encendido</v>
      </c>
      <c r="P110">
        <v>814.8</v>
      </c>
      <c r="Q110" t="str">
        <v/>
      </c>
      <c r="R110">
        <v>0</v>
      </c>
      <c r="S110">
        <v>29.9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91</v>
      </c>
      <c r="AB110" t="str">
        <v>18/09/2026</v>
      </c>
      <c r="AC110" t="str">
        <v>14:48:12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18/09/2026 14:48:30</v>
      </c>
      <c r="AK110" t="str">
        <v>14:48:30</v>
      </c>
      <c r="AL110" t="str">
        <v/>
      </c>
    </row>
    <row r="111">
      <c r="A111">
        <v>110</v>
      </c>
      <c r="B111" t="str">
        <v>MASS BSF</v>
      </c>
      <c r="C111" t="str">
        <v>F3I-769</v>
      </c>
      <c r="D111" t="str">
        <v>F3I-769</v>
      </c>
      <c r="E111" t="str">
        <v/>
      </c>
      <c r="F111" t="str">
        <v>867806075758377</v>
      </c>
      <c r="G111" t="str">
        <v>TBD</v>
      </c>
      <c r="H111" t="str">
        <v/>
      </c>
      <c r="I111" t="str">
        <v/>
      </c>
      <c r="J111" t="str">
        <v>18/09/2026</v>
      </c>
      <c r="K111" t="str">
        <v>14:48:46</v>
      </c>
      <c r="L111">
        <v>-12.193355</v>
      </c>
      <c r="M111">
        <v>-76.925606</v>
      </c>
      <c r="N111">
        <f>HYPERLINK("https://www.google.com/maps/search/?api=1&amp;query=-12.193355,-76.925606","Jirón Arica, Villa María del Triunfo, Lima")</f>
      </c>
      <c r="O111" t="str">
        <v>Se movio</v>
      </c>
      <c r="P111">
        <v>814.9</v>
      </c>
      <c r="Q111" t="str">
        <v/>
      </c>
      <c r="R111">
        <v>14.4</v>
      </c>
      <c r="S111">
        <v>29.9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84</v>
      </c>
      <c r="AB111" t="str">
        <v>18/09/2026</v>
      </c>
      <c r="AC111" t="str">
        <v>14:48:43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18/09/2026 14:48:56</v>
      </c>
      <c r="AK111" t="str">
        <v>14:48:56</v>
      </c>
      <c r="AL111" t="str">
        <v/>
      </c>
    </row>
    <row r="112">
      <c r="A112">
        <v>111</v>
      </c>
      <c r="B112" t="str">
        <v>MASS BSF</v>
      </c>
      <c r="C112" t="str">
        <v>F3I-769</v>
      </c>
      <c r="D112" t="str">
        <v>F3I-769</v>
      </c>
      <c r="E112" t="str">
        <v/>
      </c>
      <c r="F112" t="str">
        <v>867806075758377</v>
      </c>
      <c r="G112" t="str">
        <v>TBD</v>
      </c>
      <c r="H112" t="str">
        <v/>
      </c>
      <c r="I112" t="str">
        <v/>
      </c>
      <c r="J112" t="str">
        <v>18/09/2026</v>
      </c>
      <c r="K112" t="str">
        <v>14:49:56</v>
      </c>
      <c r="L112">
        <v>-12.192687</v>
      </c>
      <c r="M112">
        <v>-76.92276</v>
      </c>
      <c r="N112">
        <f>HYPERLINK("https://www.google.com/maps/search/?api=1&amp;query=-12.192687,-76.92276","Jirón San Francisco, Villa María del Triunfo, Lima")</f>
      </c>
      <c r="O112" t="str">
        <v>Frenado y giro brusco</v>
      </c>
      <c r="P112">
        <v>815.3</v>
      </c>
      <c r="Q112" t="str">
        <v/>
      </c>
      <c r="R112">
        <v>18.5</v>
      </c>
      <c r="S112">
        <v>29.9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91</v>
      </c>
      <c r="AB112" t="str">
        <v>18/09/2026</v>
      </c>
      <c r="AC112" t="str">
        <v>14:49:53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18/09/2026 14:50:12</v>
      </c>
      <c r="AK112" t="str">
        <v>14:50:12</v>
      </c>
      <c r="AL112" t="str">
        <v/>
      </c>
    </row>
    <row r="113">
      <c r="A113">
        <v>112</v>
      </c>
      <c r="B113" t="str">
        <v>MASS BSF</v>
      </c>
      <c r="C113" t="str">
        <v>F3I-769</v>
      </c>
      <c r="D113" t="str">
        <v>F3I-769</v>
      </c>
      <c r="E113" t="str">
        <v/>
      </c>
      <c r="F113" t="str">
        <v>867806075758377</v>
      </c>
      <c r="G113" t="str">
        <v>TBD</v>
      </c>
      <c r="H113" t="str">
        <v/>
      </c>
      <c r="I113" t="str">
        <v/>
      </c>
      <c r="J113" t="str">
        <v>18/09/2026</v>
      </c>
      <c r="K113" t="str">
        <v>14:50:31</v>
      </c>
      <c r="L113">
        <v>-12.193475</v>
      </c>
      <c r="M113">
        <v>-76.92198</v>
      </c>
      <c r="N113">
        <f>HYPERLINK("https://www.google.com/maps/search/?api=1&amp;query=-12.193475,-76.92198","Jirón Cusco, Villa María del Triunfo, Lima")</f>
      </c>
      <c r="O113" t="str">
        <v>Bache</v>
      </c>
      <c r="P113">
        <v>815.4</v>
      </c>
      <c r="Q113" t="str">
        <v/>
      </c>
      <c r="R113">
        <v>8.7</v>
      </c>
      <c r="S113">
        <v>29.9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91</v>
      </c>
      <c r="AB113" t="str">
        <v>18/09/2026</v>
      </c>
      <c r="AC113" t="str">
        <v>14:50:28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18/09/2026 14:50:46</v>
      </c>
      <c r="AK113" t="str">
        <v>14:50:46</v>
      </c>
      <c r="AL113" t="str">
        <v/>
      </c>
    </row>
    <row r="114">
      <c r="A114">
        <v>113</v>
      </c>
      <c r="B114" t="str">
        <v>MASS BSF</v>
      </c>
      <c r="C114" t="str">
        <v>F3I-769</v>
      </c>
      <c r="D114" t="str">
        <v>F3I-769</v>
      </c>
      <c r="E114" t="str">
        <v/>
      </c>
      <c r="F114" t="str">
        <v>867806075758377</v>
      </c>
      <c r="G114" t="str">
        <v>TBD</v>
      </c>
      <c r="H114" t="str">
        <v/>
      </c>
      <c r="I114" t="str">
        <v/>
      </c>
      <c r="J114" t="str">
        <v>18/09/2026</v>
      </c>
      <c r="K114" t="str">
        <v>14:51:07</v>
      </c>
      <c r="L114">
        <v>-12.194747</v>
      </c>
      <c r="M114">
        <v>-76.92119</v>
      </c>
      <c r="N114">
        <f>HYPERLINK("https://www.google.com/maps/search/?api=1&amp;query=-12.194747,-76.92119","Jirón Cusco, Villa María del Triunfo, Lima")</f>
      </c>
      <c r="O114" t="str">
        <v>Bache</v>
      </c>
      <c r="P114">
        <v>815.6</v>
      </c>
      <c r="Q114" t="str">
        <v/>
      </c>
      <c r="R114">
        <v>9</v>
      </c>
      <c r="S114">
        <v>29.9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91</v>
      </c>
      <c r="AB114" t="str">
        <v>18/09/2026</v>
      </c>
      <c r="AC114" t="str">
        <v>14:51:05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18/09/2026 14:51:12</v>
      </c>
      <c r="AK114" t="str">
        <v>14:51:12</v>
      </c>
      <c r="AL114" t="str">
        <v/>
      </c>
    </row>
    <row r="115">
      <c r="A115">
        <v>114</v>
      </c>
      <c r="B115" t="str">
        <v>MASS BSF</v>
      </c>
      <c r="C115" t="str">
        <v>F3I-769</v>
      </c>
      <c r="D115" t="str">
        <v>F3I-769</v>
      </c>
      <c r="E115" t="str">
        <v/>
      </c>
      <c r="F115" t="str">
        <v>867806075758377</v>
      </c>
      <c r="G115" t="str">
        <v>TBD</v>
      </c>
      <c r="H115" t="str">
        <v/>
      </c>
      <c r="I115" t="str">
        <v/>
      </c>
      <c r="J115" t="str">
        <v>18/09/2026</v>
      </c>
      <c r="K115" t="str">
        <v>14:51:09</v>
      </c>
      <c r="L115">
        <v>-12.19479</v>
      </c>
      <c r="M115">
        <v>-76.92115</v>
      </c>
      <c r="N115">
        <f>HYPERLINK("https://www.google.com/maps/search/?api=1&amp;query=-12.19479,-76.92115","Jirón Cusco, Villa María del Triunfo, Lima")</f>
      </c>
      <c r="O115" t="str">
        <v>Bache</v>
      </c>
      <c r="P115">
        <v>815.6</v>
      </c>
      <c r="Q115" t="str">
        <v/>
      </c>
      <c r="R115">
        <v>11.8</v>
      </c>
      <c r="S115">
        <v>29.9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91</v>
      </c>
      <c r="AB115" t="str">
        <v>18/09/2026</v>
      </c>
      <c r="AC115" t="str">
        <v>14:51:07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18/09/2026 14:51:35</v>
      </c>
      <c r="AK115" t="str">
        <v>14:51:35</v>
      </c>
      <c r="AL115" t="str">
        <v/>
      </c>
    </row>
    <row r="116">
      <c r="A116">
        <v>115</v>
      </c>
      <c r="B116" t="str">
        <v>MASS BSF</v>
      </c>
      <c r="C116" t="str">
        <v>F3I-769</v>
      </c>
      <c r="D116" t="str">
        <v>F3I-769</v>
      </c>
      <c r="E116" t="str">
        <v/>
      </c>
      <c r="F116" t="str">
        <v>867806075758377</v>
      </c>
      <c r="G116" t="str">
        <v>TBD</v>
      </c>
      <c r="H116" t="str">
        <v/>
      </c>
      <c r="I116" t="str">
        <v/>
      </c>
      <c r="J116" t="str">
        <v>18/09/2026</v>
      </c>
      <c r="K116" t="str">
        <v>14:56:14</v>
      </c>
      <c r="L116">
        <v>-12.198597</v>
      </c>
      <c r="M116">
        <v>-76.925934</v>
      </c>
      <c r="N116">
        <f>HYPERLINK("https://www.google.com/maps/search/?api=1&amp;query=-12.198597,-76.925934","Avenida San Martín, Villa María del Triunfo, Lima")</f>
      </c>
      <c r="O116" t="str">
        <v>Aceleración brusca</v>
      </c>
      <c r="P116">
        <v>816.3</v>
      </c>
      <c r="Q116" t="str">
        <v/>
      </c>
      <c r="R116">
        <v>9.4</v>
      </c>
      <c r="S116">
        <v>29.9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91</v>
      </c>
      <c r="AB116" t="str">
        <v>18/09/2026</v>
      </c>
      <c r="AC116" t="str">
        <v>14:56:12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18/09/2026 14:56:43</v>
      </c>
      <c r="AK116" t="str">
        <v>14:56:43</v>
      </c>
      <c r="AL116" t="str">
        <v/>
      </c>
    </row>
    <row r="117">
      <c r="A117">
        <v>116</v>
      </c>
      <c r="B117" t="str">
        <v>MASS BSF</v>
      </c>
      <c r="C117" t="str">
        <v>F3I-769</v>
      </c>
      <c r="D117" t="str">
        <v>F3I-769</v>
      </c>
      <c r="E117" t="str">
        <v/>
      </c>
      <c r="F117" t="str">
        <v>867806075758377</v>
      </c>
      <c r="G117" t="str">
        <v>TBD</v>
      </c>
      <c r="H117" t="str">
        <v/>
      </c>
      <c r="I117" t="str">
        <v/>
      </c>
      <c r="J117" t="str">
        <v>18/09/2026</v>
      </c>
      <c r="K117" t="str">
        <v>14:56:16</v>
      </c>
      <c r="L117">
        <v>-12.198608</v>
      </c>
      <c r="M117">
        <v>-76.92595</v>
      </c>
      <c r="N117">
        <f>HYPERLINK("https://www.google.com/maps/search/?api=1&amp;query=-12.198608,-76.92595","Avenida San Martín, Villa María del Triunfo, Lima")</f>
      </c>
      <c r="O117" t="str">
        <v>Bache</v>
      </c>
      <c r="P117">
        <v>816.3</v>
      </c>
      <c r="Q117" t="str">
        <v/>
      </c>
      <c r="R117">
        <v>8.3</v>
      </c>
      <c r="S117">
        <v>29.9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91</v>
      </c>
      <c r="AB117" t="str">
        <v>18/09/2026</v>
      </c>
      <c r="AC117" t="str">
        <v>14:56:13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18/09/2026 14:56:41</v>
      </c>
      <c r="AK117" t="str">
        <v>14:56:41</v>
      </c>
      <c r="AL117" t="str">
        <v/>
      </c>
    </row>
    <row r="118">
      <c r="A118">
        <v>117</v>
      </c>
      <c r="B118" t="str">
        <v>MASS BSF</v>
      </c>
      <c r="C118" t="str">
        <v>F3I-769</v>
      </c>
      <c r="D118" t="str">
        <v>F3I-769</v>
      </c>
      <c r="E118" t="str">
        <v/>
      </c>
      <c r="F118" t="str">
        <v>867806075758377</v>
      </c>
      <c r="G118" t="str">
        <v>TBD</v>
      </c>
      <c r="H118" t="str">
        <v/>
      </c>
      <c r="I118" t="str">
        <v/>
      </c>
      <c r="J118" t="str">
        <v>18/09/2026</v>
      </c>
      <c r="K118" t="str">
        <v>14:56:18</v>
      </c>
      <c r="L118">
        <v>-12.198633</v>
      </c>
      <c r="M118">
        <v>-76.925995</v>
      </c>
      <c r="N118">
        <f>HYPERLINK("https://www.google.com/maps/search/?api=1&amp;query=-12.198633,-76.925995","Avenida San Martín, Villa María del Triunfo, Lima")</f>
      </c>
      <c r="O118" t="str">
        <v>Bache</v>
      </c>
      <c r="P118">
        <v>816.3</v>
      </c>
      <c r="Q118" t="str">
        <v/>
      </c>
      <c r="R118">
        <v>11.4</v>
      </c>
      <c r="S118">
        <v>29.9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91</v>
      </c>
      <c r="AB118" t="str">
        <v>18/09/2026</v>
      </c>
      <c r="AC118" t="str">
        <v>14:56:15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18/09/2026 14:56:41</v>
      </c>
      <c r="AK118" t="str">
        <v>14:56:41</v>
      </c>
      <c r="AL118" t="str">
        <v/>
      </c>
    </row>
    <row r="119">
      <c r="A119">
        <v>118</v>
      </c>
      <c r="B119" t="str">
        <v>MASS BSF</v>
      </c>
      <c r="C119" t="str">
        <v>F3I-769</v>
      </c>
      <c r="D119" t="str">
        <v>F3I-769</v>
      </c>
      <c r="E119" t="str">
        <v/>
      </c>
      <c r="F119" t="str">
        <v>867806075758377</v>
      </c>
      <c r="G119" t="str">
        <v>TBD</v>
      </c>
      <c r="H119" t="str">
        <v/>
      </c>
      <c r="I119" t="str">
        <v/>
      </c>
      <c r="J119" t="str">
        <v>18/09/2026</v>
      </c>
      <c r="K119" t="str">
        <v>14:56:27</v>
      </c>
      <c r="L119">
        <v>-12.198818</v>
      </c>
      <c r="M119">
        <v>-76.92629</v>
      </c>
      <c r="N119">
        <f>HYPERLINK("https://www.google.com/maps/search/?api=1&amp;query=-12.198818,-76.92629","Avenida San Martín, Villa María del Triunfo, Lima")</f>
      </c>
      <c r="O119" t="str">
        <v>Bache</v>
      </c>
      <c r="P119">
        <v>816.4</v>
      </c>
      <c r="Q119" t="str">
        <v/>
      </c>
      <c r="R119">
        <v>8.7</v>
      </c>
      <c r="S119">
        <v>29.9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91</v>
      </c>
      <c r="AB119" t="str">
        <v>18/09/2026</v>
      </c>
      <c r="AC119" t="str">
        <v>14:56:24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18/09/2026 14:56:38</v>
      </c>
      <c r="AK119" t="str">
        <v>14:56:38</v>
      </c>
      <c r="AL119" t="str">
        <v/>
      </c>
    </row>
    <row r="120">
      <c r="A120">
        <v>119</v>
      </c>
      <c r="B120" t="str">
        <v>MASS BSF</v>
      </c>
      <c r="C120" t="str">
        <v>F3I-769</v>
      </c>
      <c r="D120" t="str">
        <v>F3I-769</v>
      </c>
      <c r="E120" t="str">
        <v/>
      </c>
      <c r="F120" t="str">
        <v>867806075758377</v>
      </c>
      <c r="G120" t="str">
        <v>TBD</v>
      </c>
      <c r="H120" t="str">
        <v/>
      </c>
      <c r="I120" t="str">
        <v/>
      </c>
      <c r="J120" t="str">
        <v>18/09/2026</v>
      </c>
      <c r="K120" t="str">
        <v>14:56:29</v>
      </c>
      <c r="L120">
        <v>-12.198845</v>
      </c>
      <c r="M120">
        <v>-76.92633</v>
      </c>
      <c r="N120">
        <f>HYPERLINK("https://www.google.com/maps/search/?api=1&amp;query=-12.198845,-76.92633","Avenida San Martín, Villa María del Triunfo, Lima")</f>
      </c>
      <c r="O120" t="str">
        <v>Bache</v>
      </c>
      <c r="P120">
        <v>816.4</v>
      </c>
      <c r="Q120" t="str">
        <v/>
      </c>
      <c r="R120">
        <v>10.9</v>
      </c>
      <c r="S120">
        <v>29.9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91</v>
      </c>
      <c r="AB120" t="str">
        <v>18/09/2026</v>
      </c>
      <c r="AC120" t="str">
        <v>14:56:26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18/09/2026 14:56:55</v>
      </c>
      <c r="AK120" t="str">
        <v>14:56:55</v>
      </c>
      <c r="AL120" t="str">
        <v/>
      </c>
    </row>
    <row r="121">
      <c r="A121">
        <v>120</v>
      </c>
      <c r="B121" t="str">
        <v>MASS BSF</v>
      </c>
      <c r="C121" t="str">
        <v>F3I-769</v>
      </c>
      <c r="D121" t="str">
        <v>F3I-769</v>
      </c>
      <c r="E121" t="str">
        <v/>
      </c>
      <c r="F121" t="str">
        <v>867806075758377</v>
      </c>
      <c r="G121" t="str">
        <v>TBD</v>
      </c>
      <c r="H121" t="str">
        <v/>
      </c>
      <c r="I121" t="str">
        <v/>
      </c>
      <c r="J121" t="str">
        <v>18/09/2026</v>
      </c>
      <c r="K121" t="str">
        <v>14:59:59</v>
      </c>
      <c r="L121">
        <v>-12.20665</v>
      </c>
      <c r="M121">
        <v>-76.92793</v>
      </c>
      <c r="N121">
        <f>HYPERLINK("https://www.google.com/maps/search/?api=1&amp;query=-12.20665,-76.92793","Avenida Pachacútec, Villa María del Triunfo, Lima")</f>
      </c>
      <c r="O121" t="str">
        <v>Bache</v>
      </c>
      <c r="P121">
        <v>817.6</v>
      </c>
      <c r="Q121" t="str">
        <v/>
      </c>
      <c r="R121">
        <v>39.8</v>
      </c>
      <c r="S121">
        <v>29.9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92</v>
      </c>
      <c r="AB121" t="str">
        <v>18/09/2026</v>
      </c>
      <c r="AC121" t="str">
        <v>14:59:57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18/09/2026 15:00:10</v>
      </c>
      <c r="AK121" t="str">
        <v>15:00:10</v>
      </c>
      <c r="AL121" t="str">
        <v/>
      </c>
    </row>
    <row r="122">
      <c r="A122">
        <v>121</v>
      </c>
      <c r="B122" t="str">
        <v>MASS BSF</v>
      </c>
      <c r="C122" t="str">
        <v>F3I-769</v>
      </c>
      <c r="D122" t="str">
        <v>F3I-769</v>
      </c>
      <c r="E122" t="str">
        <v/>
      </c>
      <c r="F122" t="str">
        <v>867806075758377</v>
      </c>
      <c r="G122" t="str">
        <v>TBD</v>
      </c>
      <c r="H122" t="str">
        <v/>
      </c>
      <c r="I122" t="str">
        <v/>
      </c>
      <c r="J122" t="str">
        <v>18/09/2026</v>
      </c>
      <c r="K122" t="str">
        <v>15:01:34</v>
      </c>
      <c r="L122">
        <v>-12.214887</v>
      </c>
      <c r="M122">
        <v>-76.92226</v>
      </c>
      <c r="N122">
        <f>HYPERLINK("https://www.google.com/maps/search/?api=1&amp;query=-12.214887,-76.92226","Avenida Pachacútec, Villa El Salvador, Lima")</f>
      </c>
      <c r="O122" t="str">
        <v>Bache</v>
      </c>
      <c r="P122">
        <v>818.7</v>
      </c>
      <c r="Q122" t="str">
        <v/>
      </c>
      <c r="R122">
        <v>50.7</v>
      </c>
      <c r="S122">
        <v>29.9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92</v>
      </c>
      <c r="AB122" t="str">
        <v>18/09/2026</v>
      </c>
      <c r="AC122" t="str">
        <v>15:01:32</v>
      </c>
      <c r="AD122">
        <f>IF("ONLINE"="NOGPS","GPS Antiguo","En línea")</f>
      </c>
      <c r="AE122">
        <f>IF(0=0,"Sin atender", IF(0=1,"Atendida","Atendida y Reportada"))</f>
      </c>
      <c r="AF122" t="str">
        <v/>
      </c>
      <c r="AG122" t="str">
        <v/>
      </c>
      <c r="AH122" t="str">
        <v/>
      </c>
      <c r="AI122" t="str">
        <v/>
      </c>
      <c r="AJ122" t="str">
        <v>18/09/2026 15:01:53</v>
      </c>
      <c r="AK122" t="str">
        <v>15:01:53</v>
      </c>
      <c r="AL122" t="str">
        <v/>
      </c>
    </row>
    <row r="123">
      <c r="A123">
        <v>122</v>
      </c>
      <c r="B123" t="str">
        <v>MASS BSF</v>
      </c>
      <c r="C123" t="str">
        <v>F3I-769</v>
      </c>
      <c r="D123" t="str">
        <v>F3I-769</v>
      </c>
      <c r="E123" t="str">
        <v/>
      </c>
      <c r="F123" t="str">
        <v>867806075758377</v>
      </c>
      <c r="G123" t="str">
        <v>TBD</v>
      </c>
      <c r="H123" t="str">
        <v/>
      </c>
      <c r="I123" t="str">
        <v/>
      </c>
      <c r="J123" t="str">
        <v>18/09/2026</v>
      </c>
      <c r="K123" t="str">
        <v>15:01:57</v>
      </c>
      <c r="L123">
        <v>-12.217703</v>
      </c>
      <c r="M123">
        <v>-76.921616</v>
      </c>
      <c r="N123">
        <f>HYPERLINK("https://www.google.com/maps/search/?api=1&amp;query=-12.217703,-76.921616","Avenida Pachacútec, Villa El Salvador, Lima")</f>
      </c>
      <c r="O123" t="str">
        <v>Aceleración brusca</v>
      </c>
      <c r="P123">
        <v>819</v>
      </c>
      <c r="Q123" t="str">
        <v/>
      </c>
      <c r="R123">
        <v>18.5</v>
      </c>
      <c r="S123">
        <v>29.9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92</v>
      </c>
      <c r="AB123" t="str">
        <v>18/09/2026</v>
      </c>
      <c r="AC123" t="str">
        <v>15:01:55</v>
      </c>
      <c r="AD123">
        <f>IF("ONLINE"="NOGPS","GPS Antiguo","En línea")</f>
      </c>
      <c r="AE123">
        <f>IF(0=0,"Sin atender", IF(0=1,"Atendida","Atendida y Reportada"))</f>
      </c>
      <c r="AF123" t="str">
        <v/>
      </c>
      <c r="AG123" t="str">
        <v/>
      </c>
      <c r="AH123" t="str">
        <v/>
      </c>
      <c r="AI123" t="str">
        <v/>
      </c>
      <c r="AJ123" t="str">
        <v>18/09/2026 15:02:10</v>
      </c>
      <c r="AK123" t="str">
        <v>15:02:10</v>
      </c>
      <c r="AL123" t="str">
        <v/>
      </c>
    </row>
    <row r="124">
      <c r="A124">
        <v>123</v>
      </c>
      <c r="B124" t="str">
        <v>MASS BSF</v>
      </c>
      <c r="C124" t="str">
        <v>F3I-769</v>
      </c>
      <c r="D124" t="str">
        <v>F3I-769</v>
      </c>
      <c r="E124" t="str">
        <v/>
      </c>
      <c r="F124" t="str">
        <v>867806075758377</v>
      </c>
      <c r="G124" t="str">
        <v>TBD</v>
      </c>
      <c r="H124" t="str">
        <v/>
      </c>
      <c r="I124" t="str">
        <v/>
      </c>
      <c r="J124" t="str">
        <v>18/09/2026</v>
      </c>
      <c r="K124" t="str">
        <v>15:02:01</v>
      </c>
      <c r="L124">
        <v>-12.217763</v>
      </c>
      <c r="M124">
        <v>-76.9216</v>
      </c>
      <c r="N124">
        <f>HYPERLINK("https://www.google.com/maps/search/?api=1&amp;query=-12.217763,-76.9216","Avenida Pachacútec, Villa El Salvador, Lima")</f>
      </c>
      <c r="O124" t="str">
        <v>Bache</v>
      </c>
      <c r="P124">
        <v>819</v>
      </c>
      <c r="Q124" t="str">
        <v/>
      </c>
      <c r="R124">
        <v>10.9</v>
      </c>
      <c r="S124">
        <v>29.9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92</v>
      </c>
      <c r="AB124" t="str">
        <v>18/09/2026</v>
      </c>
      <c r="AC124" t="str">
        <v>15:01:58</v>
      </c>
      <c r="AD124">
        <f>IF("ONLINE"="NOGPS","GPS Antiguo","En línea")</f>
      </c>
      <c r="AE124">
        <f>IF(0=0,"Sin atender", IF(0=1,"Atendida","Atendida y Reportada"))</f>
      </c>
      <c r="AF124" t="str">
        <v/>
      </c>
      <c r="AG124" t="str">
        <v/>
      </c>
      <c r="AH124" t="str">
        <v/>
      </c>
      <c r="AI124" t="str">
        <v/>
      </c>
      <c r="AJ124" t="str">
        <v>18/09/2026 15:02:20</v>
      </c>
      <c r="AK124" t="str">
        <v>15:02:20</v>
      </c>
      <c r="AL124" t="str">
        <v/>
      </c>
    </row>
    <row r="125">
      <c r="A125">
        <v>124</v>
      </c>
      <c r="B125" t="str">
        <v>MASS BSF</v>
      </c>
      <c r="C125" t="str">
        <v>F3I-769</v>
      </c>
      <c r="D125" t="str">
        <v>F3I-769</v>
      </c>
      <c r="E125" t="str">
        <v/>
      </c>
      <c r="F125" t="str">
        <v>867806075758377</v>
      </c>
      <c r="G125" t="str">
        <v>TBD</v>
      </c>
      <c r="H125" t="str">
        <v/>
      </c>
      <c r="I125" t="str">
        <v/>
      </c>
      <c r="J125" t="str">
        <v>18/09/2026</v>
      </c>
      <c r="K125" t="str">
        <v>15:02:22</v>
      </c>
      <c r="L125">
        <v>-12.219873</v>
      </c>
      <c r="M125">
        <v>-76.92106</v>
      </c>
      <c r="N125">
        <f>HYPERLINK("https://www.google.com/maps/search/?api=1&amp;query=-12.219873,-76.92106","Avenida Pachacútec, Villa El Salvador, Lima")</f>
      </c>
      <c r="O125" t="str">
        <v>Ingreso a camino vecinal</v>
      </c>
      <c r="P125">
        <v>819.2</v>
      </c>
      <c r="Q125" t="str">
        <v/>
      </c>
      <c r="R125">
        <v>53.5</v>
      </c>
      <c r="S125">
        <v>29.9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92</v>
      </c>
      <c r="AB125" t="str">
        <v>18/09/2026</v>
      </c>
      <c r="AC125" t="str">
        <v>15:02:19</v>
      </c>
      <c r="AD125">
        <f>IF("ONLINE"="NOGPS","GPS Antiguo","En línea")</f>
      </c>
      <c r="AE125">
        <f>IF(0=0,"Sin atender", IF(0=1,"Atendida","Atendida y Reportada"))</f>
      </c>
      <c r="AF125" t="str">
        <v/>
      </c>
      <c r="AG125" t="str">
        <v/>
      </c>
      <c r="AH125" t="str">
        <v/>
      </c>
      <c r="AI125" t="str">
        <v/>
      </c>
      <c r="AJ125" t="str">
        <v>18/09/2026 15:02:38</v>
      </c>
      <c r="AK125" t="str">
        <v>15:02:38</v>
      </c>
      <c r="AL125" t="str">
        <v/>
      </c>
    </row>
    <row r="126">
      <c r="A126">
        <v>125</v>
      </c>
      <c r="B126" t="str">
        <v>MASS BSF</v>
      </c>
      <c r="C126" t="str">
        <v>F3I-769</v>
      </c>
      <c r="D126" t="str">
        <v>F3I-769</v>
      </c>
      <c r="E126" t="str">
        <v/>
      </c>
      <c r="F126" t="str">
        <v>867806075758377</v>
      </c>
      <c r="G126" t="str">
        <v>TBD</v>
      </c>
      <c r="H126" t="str">
        <v/>
      </c>
      <c r="I126" t="str">
        <v/>
      </c>
      <c r="J126" t="str">
        <v>18/09/2026</v>
      </c>
      <c r="K126" t="str">
        <v>15:03:22</v>
      </c>
      <c r="L126">
        <v>-12.224792</v>
      </c>
      <c r="M126">
        <v>-76.92141</v>
      </c>
      <c r="N126">
        <f>HYPERLINK("https://www.google.com/maps/search/?api=1&amp;query=-12.224792,-76.92141","Avenida 200 Millas, Villa El Salvador, Lima")</f>
      </c>
      <c r="O126" t="str">
        <v>Salida de camino vecinal</v>
      </c>
      <c r="P126">
        <v>819.9</v>
      </c>
      <c r="Q126" t="str">
        <v/>
      </c>
      <c r="R126">
        <v>49.4</v>
      </c>
      <c r="S126">
        <v>29.9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90</v>
      </c>
      <c r="AB126" t="str">
        <v>18/09/2026</v>
      </c>
      <c r="AC126" t="str">
        <v>15:03:19</v>
      </c>
      <c r="AD126">
        <f>IF("ONLINE"="NOGPS","GPS Antiguo","En línea")</f>
      </c>
      <c r="AE126">
        <f>IF(0=0,"Sin atender", IF(0=1,"Atendida","Atendida y Reportada"))</f>
      </c>
      <c r="AF126" t="str">
        <v/>
      </c>
      <c r="AG126" t="str">
        <v/>
      </c>
      <c r="AH126" t="str">
        <v/>
      </c>
      <c r="AI126" t="str">
        <v/>
      </c>
      <c r="AJ126" t="str">
        <v>18/09/2026 15:03:39</v>
      </c>
      <c r="AK126" t="str">
        <v>15:03:39</v>
      </c>
      <c r="AL126" t="str">
        <v/>
      </c>
    </row>
    <row r="127">
      <c r="A127">
        <v>126</v>
      </c>
      <c r="B127" t="str">
        <v>MASS BSF</v>
      </c>
      <c r="C127" t="str">
        <v>F3I-769</v>
      </c>
      <c r="D127" t="str">
        <v>F3I-769</v>
      </c>
      <c r="E127" t="str">
        <v/>
      </c>
      <c r="F127" t="str">
        <v>867806075758377</v>
      </c>
      <c r="G127" t="str">
        <v>TBD</v>
      </c>
      <c r="H127" t="str">
        <v/>
      </c>
      <c r="I127" t="str">
        <v/>
      </c>
      <c r="J127" t="str">
        <v>18/09/2026</v>
      </c>
      <c r="K127" t="str">
        <v>15:04:20</v>
      </c>
      <c r="L127">
        <v>-12.228728</v>
      </c>
      <c r="M127">
        <v>-76.92079</v>
      </c>
      <c r="N127">
        <f>HYPERLINK("https://www.google.com/maps/search/?api=1&amp;query=-12.228728,-76.92079","Avenida Separadora Industrial, Villa El Salvador, Lima")</f>
      </c>
      <c r="O127" t="str">
        <v>Bache</v>
      </c>
      <c r="P127">
        <v>820.4</v>
      </c>
      <c r="Q127" t="str">
        <v/>
      </c>
      <c r="R127">
        <v>60.3</v>
      </c>
      <c r="S127">
        <v>29.9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90</v>
      </c>
      <c r="AB127" t="str">
        <v>18/09/2026</v>
      </c>
      <c r="AC127" t="str">
        <v>15:04:17</v>
      </c>
      <c r="AD127">
        <f>IF("ONLINE"="NOGPS","GPS Antiguo","En línea")</f>
      </c>
      <c r="AE127">
        <f>IF(0=0,"Sin atender", IF(0=1,"Atendida","Atendida y Reportada"))</f>
      </c>
      <c r="AF127" t="str">
        <v/>
      </c>
      <c r="AG127" t="str">
        <v/>
      </c>
      <c r="AH127" t="str">
        <v/>
      </c>
      <c r="AI127" t="str">
        <v/>
      </c>
      <c r="AJ127" t="str">
        <v>18/09/2026 15:04:38</v>
      </c>
      <c r="AK127" t="str">
        <v>15:04:38</v>
      </c>
      <c r="AL127" t="str">
        <v/>
      </c>
    </row>
    <row r="128">
      <c r="A128">
        <v>127</v>
      </c>
      <c r="B128" t="str">
        <v>MASS BSF</v>
      </c>
      <c r="C128" t="str">
        <v>F3I-769</v>
      </c>
      <c r="D128" t="str">
        <v>F3I-769</v>
      </c>
      <c r="E128" t="str">
        <v/>
      </c>
      <c r="F128" t="str">
        <v>867806075758377</v>
      </c>
      <c r="G128" t="str">
        <v>TBD</v>
      </c>
      <c r="H128" t="str">
        <v/>
      </c>
      <c r="I128" t="str">
        <v/>
      </c>
      <c r="J128" t="str">
        <v>18/09/2026</v>
      </c>
      <c r="K128" t="str">
        <v>15:04:36</v>
      </c>
      <c r="L128">
        <v>-12.230855</v>
      </c>
      <c r="M128">
        <v>-76.91953</v>
      </c>
      <c r="N128">
        <f>HYPERLINK("https://www.google.com/maps/search/?api=1&amp;query=-12.230855,-76.91953","Avenida Separadora Industrial, Villa El Salvador, Lima")</f>
      </c>
      <c r="O128" t="str">
        <v>Bache</v>
      </c>
      <c r="P128">
        <v>820.7</v>
      </c>
      <c r="Q128" t="str">
        <v/>
      </c>
      <c r="R128">
        <v>60.7</v>
      </c>
      <c r="S128">
        <v>29.9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90</v>
      </c>
      <c r="AB128" t="str">
        <v>18/09/2026</v>
      </c>
      <c r="AC128" t="str">
        <v>15:04:33</v>
      </c>
      <c r="AD128">
        <f>IF("ONLINE"="NOGPS","GPS Antiguo","En línea")</f>
      </c>
      <c r="AE128">
        <f>IF(0=0,"Sin atender", IF(0=1,"Atendida","Atendida y Reportada"))</f>
      </c>
      <c r="AF128" t="str">
        <v/>
      </c>
      <c r="AG128" t="str">
        <v/>
      </c>
      <c r="AH128" t="str">
        <v/>
      </c>
      <c r="AI128" t="str">
        <v/>
      </c>
      <c r="AJ128" t="str">
        <v>18/09/2026 15:05:00</v>
      </c>
      <c r="AK128" t="str">
        <v>15:05:00</v>
      </c>
      <c r="AL128" t="str">
        <v/>
      </c>
    </row>
    <row r="129">
      <c r="A129">
        <v>128</v>
      </c>
      <c r="B129" t="str">
        <v>MASS BSF</v>
      </c>
      <c r="C129" t="str">
        <v>F3I-769</v>
      </c>
      <c r="D129" t="str">
        <v>F3I-769</v>
      </c>
      <c r="E129" t="str">
        <v/>
      </c>
      <c r="F129" t="str">
        <v>867806075758377</v>
      </c>
      <c r="G129" t="str">
        <v>TBD</v>
      </c>
      <c r="H129" t="str">
        <v/>
      </c>
      <c r="I129" t="str">
        <v/>
      </c>
      <c r="J129" t="str">
        <v>18/09/2026</v>
      </c>
      <c r="K129" t="str">
        <v>15:04:40</v>
      </c>
      <c r="L129">
        <v>-12.231517</v>
      </c>
      <c r="M129">
        <v>-76.919136</v>
      </c>
      <c r="N129">
        <f>HYPERLINK("https://www.google.com/maps/search/?api=1&amp;query=-12.231517,-76.919136","Avenida Separadora Industrial, Villa El Salvador, Lima")</f>
      </c>
      <c r="O129" t="str">
        <v>Exceso de velocidad en segmento vial</v>
      </c>
      <c r="P129">
        <v>820.8</v>
      </c>
      <c r="Q129" t="str">
        <v/>
      </c>
      <c r="R129">
        <v>61.8</v>
      </c>
      <c r="S129">
        <v>29.9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90</v>
      </c>
      <c r="AB129" t="str">
        <v>18/09/2026</v>
      </c>
      <c r="AC129" t="str">
        <v>15:04:38</v>
      </c>
      <c r="AD129">
        <f>IF("ONLINE"="NOGPS","GPS Antiguo","En línea")</f>
      </c>
      <c r="AE129">
        <f>IF(0=0,"Sin atender", IF(0=1,"Atendida","Atendida y Reportada"))</f>
      </c>
      <c r="AF129" t="str">
        <v/>
      </c>
      <c r="AG129" t="str">
        <v/>
      </c>
      <c r="AH129" t="str">
        <v/>
      </c>
      <c r="AI129" t="str">
        <v/>
      </c>
      <c r="AJ129" t="str">
        <v>18/09/2026 15:04:57</v>
      </c>
      <c r="AK129" t="str">
        <v>15:04:57</v>
      </c>
      <c r="AL129" t="str">
        <v/>
      </c>
    </row>
    <row r="130">
      <c r="A130">
        <v>129</v>
      </c>
      <c r="B130" t="str">
        <v>MASS BSF</v>
      </c>
      <c r="C130" t="str">
        <v>F3I-769</v>
      </c>
      <c r="D130" t="str">
        <v>F3I-769</v>
      </c>
      <c r="E130" t="str">
        <v/>
      </c>
      <c r="F130" t="str">
        <v>867806075758377</v>
      </c>
      <c r="G130" t="str">
        <v>TBD</v>
      </c>
      <c r="H130" t="str">
        <v/>
      </c>
      <c r="I130" t="str">
        <v/>
      </c>
      <c r="J130" t="str">
        <v>18/09/2026</v>
      </c>
      <c r="K130" t="str">
        <v>15:04:57</v>
      </c>
      <c r="L130">
        <v>-12.233252</v>
      </c>
      <c r="M130">
        <v>-76.91814</v>
      </c>
      <c r="N130">
        <f>HYPERLINK("https://www.google.com/maps/search/?api=1&amp;query=-12.233252,-76.91814","Ovalo Chama, Villa El Salvador, Lima")</f>
      </c>
      <c r="O130" t="str">
        <v>Bache</v>
      </c>
      <c r="P130">
        <v>821</v>
      </c>
      <c r="Q130" t="str">
        <v/>
      </c>
      <c r="R130">
        <v>37.2</v>
      </c>
      <c r="S130">
        <v>29.9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87</v>
      </c>
      <c r="AB130" t="str">
        <v>18/09/2026</v>
      </c>
      <c r="AC130" t="str">
        <v>15:04:54</v>
      </c>
      <c r="AD130">
        <f>IF("ONLINE"="NOGPS","GPS Antiguo","En línea")</f>
      </c>
      <c r="AE130">
        <f>IF(0=0,"Sin atender", IF(0=1,"Atendida","Atendida y Reportada"))</f>
      </c>
      <c r="AF130" t="str">
        <v/>
      </c>
      <c r="AG130" t="str">
        <v/>
      </c>
      <c r="AH130" t="str">
        <v/>
      </c>
      <c r="AI130" t="str">
        <v/>
      </c>
      <c r="AJ130" t="str">
        <v>18/09/2026 15:05:10</v>
      </c>
      <c r="AK130" t="str">
        <v>15:05:10</v>
      </c>
      <c r="AL130" t="str">
        <v/>
      </c>
    </row>
    <row r="131">
      <c r="A131">
        <v>130</v>
      </c>
      <c r="B131" t="str">
        <v>MASS BSF</v>
      </c>
      <c r="C131" t="str">
        <v>F3I-769</v>
      </c>
      <c r="D131" t="str">
        <v>F3I-769</v>
      </c>
      <c r="E131" t="str">
        <v/>
      </c>
      <c r="F131" t="str">
        <v>867806075758377</v>
      </c>
      <c r="G131" t="str">
        <v>TBD</v>
      </c>
      <c r="H131" t="str">
        <v/>
      </c>
      <c r="I131" t="str">
        <v/>
      </c>
      <c r="J131" t="str">
        <v>18/09/2026</v>
      </c>
      <c r="K131" t="str">
        <v>15:04:59</v>
      </c>
      <c r="L131">
        <v>-12.23349</v>
      </c>
      <c r="M131">
        <v>-76.91795</v>
      </c>
      <c r="N131">
        <f>HYPERLINK("https://www.google.com/maps/search/?api=1&amp;query=-12.23349,-76.91795","Avenida Separadora Industrial, Villa El Salvador, Lima")</f>
      </c>
      <c r="O131" t="str">
        <v>Bache</v>
      </c>
      <c r="P131">
        <v>821</v>
      </c>
      <c r="Q131" t="str">
        <v/>
      </c>
      <c r="R131">
        <v>41.6</v>
      </c>
      <c r="S131">
        <v>29.9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87</v>
      </c>
      <c r="AB131" t="str">
        <v>18/09/2026</v>
      </c>
      <c r="AC131" t="str">
        <v>15:04:57</v>
      </c>
      <c r="AD131">
        <f>IF("ONLINE"="NOGPS","GPS Antiguo","En línea")</f>
      </c>
      <c r="AE131">
        <f>IF(0=0,"Sin atender", IF(0=1,"Atendida","Atendida y Reportada"))</f>
      </c>
      <c r="AF131" t="str">
        <v/>
      </c>
      <c r="AG131" t="str">
        <v/>
      </c>
      <c r="AH131" t="str">
        <v/>
      </c>
      <c r="AI131" t="str">
        <v/>
      </c>
      <c r="AJ131" t="str">
        <v>18/09/2026 15:05:10</v>
      </c>
      <c r="AK131" t="str">
        <v>15:05:10</v>
      </c>
      <c r="AL131" t="str">
        <v/>
      </c>
    </row>
    <row r="132">
      <c r="A132">
        <v>131</v>
      </c>
      <c r="B132" t="str">
        <v>MASS BSF</v>
      </c>
      <c r="C132" t="str">
        <v>F3I-769</v>
      </c>
      <c r="D132" t="str">
        <v>F3I-769</v>
      </c>
      <c r="E132" t="str">
        <v/>
      </c>
      <c r="F132" t="str">
        <v>867806075758377</v>
      </c>
      <c r="G132" t="str">
        <v>TBD</v>
      </c>
      <c r="H132" t="str">
        <v/>
      </c>
      <c r="I132" t="str">
        <v/>
      </c>
      <c r="J132" t="str">
        <v>18/09/2026</v>
      </c>
      <c r="K132" t="str">
        <v>15:06:07</v>
      </c>
      <c r="L132">
        <v>-12.240545</v>
      </c>
      <c r="M132">
        <v>-76.913536</v>
      </c>
      <c r="N132">
        <f>HYPERLINK("https://www.google.com/maps/search/?api=1&amp;query=-12.240545,-76.913536","Avenida María Reiche, Villa El Salvador, Lima")</f>
      </c>
      <c r="O132" t="str">
        <v>Frenado y giro brusco</v>
      </c>
      <c r="P132">
        <v>822</v>
      </c>
      <c r="Q132" t="str">
        <v/>
      </c>
      <c r="R132">
        <v>20.1</v>
      </c>
      <c r="S132">
        <v>29.9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87</v>
      </c>
      <c r="AB132" t="str">
        <v>18/09/2026</v>
      </c>
      <c r="AC132" t="str">
        <v>15:06:05</v>
      </c>
      <c r="AD132">
        <f>IF("ONLINE"="NOGPS","GPS Antiguo","En línea")</f>
      </c>
      <c r="AE132">
        <f>IF(0=0,"Sin atender", IF(0=1,"Atendida","Atendida y Reportada"))</f>
      </c>
      <c r="AF132" t="str">
        <v/>
      </c>
      <c r="AG132" t="str">
        <v/>
      </c>
      <c r="AH132" t="str">
        <v/>
      </c>
      <c r="AI132" t="str">
        <v/>
      </c>
      <c r="AJ132" t="str">
        <v>18/09/2026 15:06:26</v>
      </c>
      <c r="AK132" t="str">
        <v>15:06:26</v>
      </c>
      <c r="AL132" t="str">
        <v/>
      </c>
    </row>
    <row r="133">
      <c r="A133">
        <v>132</v>
      </c>
      <c r="B133" t="str">
        <v>MASS BSF</v>
      </c>
      <c r="C133" t="str">
        <v>F3I-769</v>
      </c>
      <c r="D133" t="str">
        <v>F3I-769</v>
      </c>
      <c r="E133" t="str">
        <v/>
      </c>
      <c r="F133" t="str">
        <v>867806075758377</v>
      </c>
      <c r="G133" t="str">
        <v>TBD</v>
      </c>
      <c r="H133" t="str">
        <v/>
      </c>
      <c r="I133" t="str">
        <v/>
      </c>
      <c r="J133" t="str">
        <v>18/09/2026</v>
      </c>
      <c r="K133" t="str">
        <v>15:12:24</v>
      </c>
      <c r="L133">
        <v>-12.255127</v>
      </c>
      <c r="M133">
        <v>-76.9125</v>
      </c>
      <c r="N133">
        <f>HYPERLINK("https://www.google.com/maps/search/?api=1&amp;query=-12.255127,-76.9125","Antigua Panamericana Sur, Lurín, Lima")</f>
      </c>
      <c r="O133" t="str">
        <v>Bache</v>
      </c>
      <c r="P133">
        <v>824.7</v>
      </c>
      <c r="Q133" t="str">
        <v/>
      </c>
      <c r="R133">
        <v>9.4</v>
      </c>
      <c r="S133">
        <v>29.9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85</v>
      </c>
      <c r="AB133" t="str">
        <v>18/09/2026</v>
      </c>
      <c r="AC133" t="str">
        <v>15:12:22</v>
      </c>
      <c r="AD133">
        <f>IF("ONLINE"="NOGPS","GPS Antiguo","En línea")</f>
      </c>
      <c r="AE133">
        <f>IF(0=0,"Sin atender", IF(0=1,"Atendida","Atendida y Reportada"))</f>
      </c>
      <c r="AF133" t="str">
        <v/>
      </c>
      <c r="AG133" t="str">
        <v/>
      </c>
      <c r="AH133" t="str">
        <v/>
      </c>
      <c r="AI133" t="str">
        <v/>
      </c>
      <c r="AJ133" t="str">
        <v>18/09/2026 15:12:38</v>
      </c>
      <c r="AK133" t="str">
        <v>15:12:38</v>
      </c>
      <c r="AL133" t="str">
        <v/>
      </c>
    </row>
    <row r="134">
      <c r="A134">
        <v>133</v>
      </c>
      <c r="B134" t="str">
        <v>MASS BSF</v>
      </c>
      <c r="C134" t="str">
        <v>F3I-769</v>
      </c>
      <c r="D134" t="str">
        <v>F3I-769</v>
      </c>
      <c r="E134" t="str">
        <v/>
      </c>
      <c r="F134" t="str">
        <v>867806075758377</v>
      </c>
      <c r="G134" t="str">
        <v>TBD</v>
      </c>
      <c r="H134" t="str">
        <v/>
      </c>
      <c r="I134" t="str">
        <v/>
      </c>
      <c r="J134" t="str">
        <v>18/09/2026</v>
      </c>
      <c r="K134" t="str">
        <v>15:14:02</v>
      </c>
      <c r="L134">
        <v>-12.254835</v>
      </c>
      <c r="M134">
        <v>-76.90696</v>
      </c>
      <c r="N134">
        <f>HYPERLINK("https://www.google.com/maps/search/?api=1&amp;query=-12.254835,-76.90696","Antigua Panamericana Sur, Lurín, Lima")</f>
      </c>
      <c r="O134" t="str">
        <v>Bache</v>
      </c>
      <c r="P134">
        <v>825.4</v>
      </c>
      <c r="Q134" t="str">
        <v/>
      </c>
      <c r="R134">
        <v>56.8</v>
      </c>
      <c r="S134">
        <v>29.9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89</v>
      </c>
      <c r="AB134" t="str">
        <v>18/09/2026</v>
      </c>
      <c r="AC134" t="str">
        <v>15:13:59</v>
      </c>
      <c r="AD134">
        <f>IF("ONLINE"="NOGPS","GPS Antiguo","En línea")</f>
      </c>
      <c r="AE134">
        <f>IF(0=0,"Sin atender", IF(0=1,"Atendida","Atendida y Reportada"))</f>
      </c>
      <c r="AF134" t="str">
        <v/>
      </c>
      <c r="AG134" t="str">
        <v/>
      </c>
      <c r="AH134" t="str">
        <v/>
      </c>
      <c r="AI134" t="str">
        <v/>
      </c>
      <c r="AJ134" t="str">
        <v>18/09/2026 15:14:25</v>
      </c>
      <c r="AK134" t="str">
        <v>15:14:25</v>
      </c>
      <c r="AL134" t="str">
        <v/>
      </c>
    </row>
    <row r="135">
      <c r="A135">
        <v>134</v>
      </c>
      <c r="B135" t="str">
        <v>MASS BSF</v>
      </c>
      <c r="C135" t="str">
        <v>F3I-769</v>
      </c>
      <c r="D135" t="str">
        <v>F3I-769</v>
      </c>
      <c r="E135" t="str">
        <v/>
      </c>
      <c r="F135" t="str">
        <v>867806075758377</v>
      </c>
      <c r="G135" t="str">
        <v>TBD</v>
      </c>
      <c r="H135" t="str">
        <v/>
      </c>
      <c r="I135" t="str">
        <v/>
      </c>
      <c r="J135" t="str">
        <v>18/09/2026</v>
      </c>
      <c r="K135" t="str">
        <v>15:14:07</v>
      </c>
      <c r="L135">
        <v>-12.254672</v>
      </c>
      <c r="M135">
        <v>-76.90628</v>
      </c>
      <c r="N135">
        <f>HYPERLINK("https://www.google.com/maps/search/?api=1&amp;query=-12.254672,-76.90628","Antigua Panamericana Sur, Lurín, Lima")</f>
      </c>
      <c r="O135" t="str">
        <v>Bache</v>
      </c>
      <c r="P135">
        <v>825.5</v>
      </c>
      <c r="Q135" t="str">
        <v/>
      </c>
      <c r="R135">
        <v>51.1</v>
      </c>
      <c r="S135">
        <v>29.9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89</v>
      </c>
      <c r="AB135" t="str">
        <v>18/09/2026</v>
      </c>
      <c r="AC135" t="str">
        <v>15:14:04</v>
      </c>
      <c r="AD135">
        <f>IF("ONLINE"="NOGPS","GPS Antiguo","En línea")</f>
      </c>
      <c r="AE135">
        <f>IF(0=0,"Sin atender", IF(0=1,"Atendida","Atendida y Reportada"))</f>
      </c>
      <c r="AF135" t="str">
        <v/>
      </c>
      <c r="AG135" t="str">
        <v/>
      </c>
      <c r="AH135" t="str">
        <v/>
      </c>
      <c r="AI135" t="str">
        <v/>
      </c>
      <c r="AJ135" t="str">
        <v>18/09/2026 15:14:19</v>
      </c>
      <c r="AK135" t="str">
        <v>15:14:19</v>
      </c>
      <c r="AL135" t="str">
        <v/>
      </c>
    </row>
    <row r="136">
      <c r="A136">
        <v>135</v>
      </c>
      <c r="B136" t="str">
        <v>MASS BSF</v>
      </c>
      <c r="C136" t="str">
        <v>F3I-769</v>
      </c>
      <c r="D136" t="str">
        <v>F3I-769</v>
      </c>
      <c r="E136" t="str">
        <v/>
      </c>
      <c r="F136" t="str">
        <v>867806075758377</v>
      </c>
      <c r="G136" t="str">
        <v>TBD</v>
      </c>
      <c r="H136" t="str">
        <v/>
      </c>
      <c r="I136" t="str">
        <v/>
      </c>
      <c r="J136" t="str">
        <v>18/09/2026</v>
      </c>
      <c r="K136" t="str">
        <v>15:14:22</v>
      </c>
      <c r="L136">
        <v>-12.254271</v>
      </c>
      <c r="M136">
        <v>-76.90467</v>
      </c>
      <c r="N136">
        <f>HYPERLINK("https://www.google.com/maps/search/?api=1&amp;query=-12.254271,-76.90467","Antigua Panamericana Sur, Lurín, Lima")</f>
      </c>
      <c r="O136" t="str">
        <v>Ingreso a camino vecinal</v>
      </c>
      <c r="P136">
        <v>825.6</v>
      </c>
      <c r="Q136" t="str">
        <v/>
      </c>
      <c r="R136">
        <v>27.4</v>
      </c>
      <c r="S136">
        <v>29.9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89</v>
      </c>
      <c r="AB136" t="str">
        <v>18/09/2026</v>
      </c>
      <c r="AC136" t="str">
        <v>15:14:19</v>
      </c>
      <c r="AD136">
        <f>IF("ONLINE"="NOGPS","GPS Antiguo","En línea")</f>
      </c>
      <c r="AE136">
        <f>IF(0=0,"Sin atender", IF(0=1,"Atendida","Atendida y Reportada"))</f>
      </c>
      <c r="AF136" t="str">
        <v/>
      </c>
      <c r="AG136" t="str">
        <v/>
      </c>
      <c r="AH136" t="str">
        <v/>
      </c>
      <c r="AI136" t="str">
        <v/>
      </c>
      <c r="AJ136" t="str">
        <v>18/09/2026 15:14:50</v>
      </c>
      <c r="AK136" t="str">
        <v>15:14:50</v>
      </c>
      <c r="AL136" t="str">
        <v/>
      </c>
    </row>
    <row r="137">
      <c r="A137">
        <v>136</v>
      </c>
      <c r="B137" t="str">
        <v>MASS BSF</v>
      </c>
      <c r="C137" t="str">
        <v>F3I-769</v>
      </c>
      <c r="D137" t="str">
        <v>F3I-769</v>
      </c>
      <c r="E137" t="str">
        <v/>
      </c>
      <c r="F137" t="str">
        <v>867806075758377</v>
      </c>
      <c r="G137" t="str">
        <v>TBD</v>
      </c>
      <c r="H137" t="str">
        <v/>
      </c>
      <c r="I137" t="str">
        <v/>
      </c>
      <c r="J137" t="str">
        <v>18/09/2026</v>
      </c>
      <c r="K137" t="str">
        <v>15:15:22</v>
      </c>
      <c r="L137">
        <v>-12.249842</v>
      </c>
      <c r="M137">
        <v>-76.90622</v>
      </c>
      <c r="N137">
        <f>HYPERLINK("https://www.google.com/maps/search/?api=1&amp;query=-12.249842,-76.90622","Avenida Lima, Lurín")</f>
      </c>
      <c r="O137" t="str">
        <v>Salida de camino vecinal</v>
      </c>
      <c r="P137">
        <v>826.2</v>
      </c>
      <c r="Q137" t="str">
        <v/>
      </c>
      <c r="R137">
        <v>52.4</v>
      </c>
      <c r="S137">
        <v>29.9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89</v>
      </c>
      <c r="AB137" t="str">
        <v>18/09/2026</v>
      </c>
      <c r="AC137" t="str">
        <v>15:15:19</v>
      </c>
      <c r="AD137">
        <f>IF("ONLINE"="NOGPS","GPS Antiguo","En línea")</f>
      </c>
      <c r="AE137">
        <f>IF(0=0,"Sin atender", IF(0=1,"Atendida","Atendida y Reportada"))</f>
      </c>
      <c r="AF137" t="str">
        <v/>
      </c>
      <c r="AG137" t="str">
        <v/>
      </c>
      <c r="AH137" t="str">
        <v/>
      </c>
      <c r="AI137" t="str">
        <v/>
      </c>
      <c r="AJ137" t="str">
        <v>18/09/2026 15:15:38</v>
      </c>
      <c r="AK137" t="str">
        <v>15:15:38</v>
      </c>
      <c r="AL137" t="str">
        <v/>
      </c>
    </row>
    <row r="138">
      <c r="A138">
        <v>137</v>
      </c>
      <c r="B138" t="str">
        <v>MASS BSF</v>
      </c>
      <c r="C138" t="str">
        <v>F3I-769</v>
      </c>
      <c r="D138" t="str">
        <v>F3I-769</v>
      </c>
      <c r="E138" t="str">
        <v/>
      </c>
      <c r="F138" t="str">
        <v>867806075758377</v>
      </c>
      <c r="G138" t="str">
        <v>TBD</v>
      </c>
      <c r="H138" t="str">
        <v/>
      </c>
      <c r="I138" t="str">
        <v/>
      </c>
      <c r="J138" t="str">
        <v>18/09/2026</v>
      </c>
      <c r="K138" t="str">
        <v>15:19:43</v>
      </c>
      <c r="L138">
        <v>-12.240085</v>
      </c>
      <c r="M138">
        <v>-76.91301</v>
      </c>
      <c r="N138">
        <f>HYPERLINK("https://www.google.com/maps/search/?api=1&amp;query=-12.240085,-76.91301","Avenida María Reiche, Villa El Salvador, Lima")</f>
      </c>
      <c r="O138" t="str">
        <v>Aceleración brusca</v>
      </c>
      <c r="P138">
        <v>827.6</v>
      </c>
      <c r="Q138" t="str">
        <v/>
      </c>
      <c r="R138">
        <v>16.1</v>
      </c>
      <c r="S138">
        <v>29.9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85</v>
      </c>
      <c r="AB138" t="str">
        <v>18/09/2026</v>
      </c>
      <c r="AC138" t="str">
        <v>15:19:40</v>
      </c>
      <c r="AD138">
        <f>IF("ONLINE"="NOGPS","GPS Antiguo","En línea")</f>
      </c>
      <c r="AE138">
        <f>IF(0=0,"Sin atender", IF(0=1,"Atendida","Atendida y Reportada"))</f>
      </c>
      <c r="AF138" t="str">
        <v/>
      </c>
      <c r="AG138" t="str">
        <v/>
      </c>
      <c r="AH138" t="str">
        <v/>
      </c>
      <c r="AI138" t="str">
        <v/>
      </c>
      <c r="AJ138" t="str">
        <v>18/09/2026 15:19:51</v>
      </c>
      <c r="AK138" t="str">
        <v>15:19:51</v>
      </c>
      <c r="AL138" t="str">
        <v/>
      </c>
    </row>
    <row r="139">
      <c r="A139">
        <v>138</v>
      </c>
      <c r="B139" t="str">
        <v>MASS BSF</v>
      </c>
      <c r="C139" t="str">
        <v>F3I-769</v>
      </c>
      <c r="D139" t="str">
        <v>F3I-769</v>
      </c>
      <c r="E139" t="str">
        <v/>
      </c>
      <c r="F139" t="str">
        <v>867806075758377</v>
      </c>
      <c r="G139" t="str">
        <v>TBD</v>
      </c>
      <c r="H139" t="str">
        <v/>
      </c>
      <c r="I139" t="str">
        <v/>
      </c>
      <c r="J139" t="str">
        <v>18/09/2026</v>
      </c>
      <c r="K139" t="str">
        <v>15:22:45</v>
      </c>
      <c r="L139">
        <v>-12.225832</v>
      </c>
      <c r="M139">
        <v>-76.92218</v>
      </c>
      <c r="N139">
        <f>HYPERLINK("https://www.google.com/maps/search/?api=1&amp;query=-12.225832,-76.92218","Avenida Separadora Industrial, Villa El Salvador, Lima")</f>
      </c>
      <c r="O139" t="str">
        <v>Aceleración brusca</v>
      </c>
      <c r="P139">
        <v>829.5</v>
      </c>
      <c r="Q139" t="str">
        <v/>
      </c>
      <c r="R139">
        <v>15.9</v>
      </c>
      <c r="S139">
        <v>29.9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86</v>
      </c>
      <c r="AB139" t="str">
        <v>18/09/2026</v>
      </c>
      <c r="AC139" t="str">
        <v>15:22:42</v>
      </c>
      <c r="AD139">
        <f>IF("ONLINE"="NOGPS","GPS Antiguo","En línea")</f>
      </c>
      <c r="AE139">
        <f>IF(0=0,"Sin atender", IF(0=1,"Atendida","Atendida y Reportada"))</f>
      </c>
      <c r="AF139" t="str">
        <v/>
      </c>
      <c r="AG139" t="str">
        <v/>
      </c>
      <c r="AH139" t="str">
        <v/>
      </c>
      <c r="AI139" t="str">
        <v/>
      </c>
      <c r="AJ139" t="str">
        <v>18/09/2026 15:23:00</v>
      </c>
      <c r="AK139" t="str">
        <v>15:23:00</v>
      </c>
      <c r="AL139" t="str">
        <v/>
      </c>
    </row>
    <row r="140">
      <c r="A140">
        <v>139</v>
      </c>
      <c r="B140" t="str">
        <v>MASS BSF</v>
      </c>
      <c r="C140" t="str">
        <v>F3I-769</v>
      </c>
      <c r="D140" t="str">
        <v>F3I-769</v>
      </c>
      <c r="E140" t="str">
        <v/>
      </c>
      <c r="F140" t="str">
        <v>867806075758377</v>
      </c>
      <c r="G140" t="str">
        <v>TBD</v>
      </c>
      <c r="H140" t="str">
        <v/>
      </c>
      <c r="I140" t="str">
        <v/>
      </c>
      <c r="J140" t="str">
        <v>18/09/2026</v>
      </c>
      <c r="K140" t="str">
        <v>15:23:16</v>
      </c>
      <c r="L140">
        <v>-12.224983</v>
      </c>
      <c r="M140">
        <v>-76.92118</v>
      </c>
      <c r="N140">
        <f>HYPERLINK("https://www.google.com/maps/search/?api=1&amp;query=-12.224983,-76.92118","Avenida 200 Millas, Villa El Salvador, Lima")</f>
      </c>
      <c r="O140" t="str">
        <v>Aceleración brusca</v>
      </c>
      <c r="P140">
        <v>829.6</v>
      </c>
      <c r="Q140" t="str">
        <v/>
      </c>
      <c r="R140">
        <v>12.2</v>
      </c>
      <c r="S140">
        <v>29.9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86</v>
      </c>
      <c r="AB140" t="str">
        <v>18/09/2026</v>
      </c>
      <c r="AC140" t="str">
        <v>15:23:13</v>
      </c>
      <c r="AD140">
        <f>IF("ONLINE"="NOGPS","GPS Antiguo","En línea")</f>
      </c>
      <c r="AE140">
        <f>IF(0=0,"Sin atender", IF(0=1,"Atendida","Atendida y Reportada"))</f>
      </c>
      <c r="AF140" t="str">
        <v/>
      </c>
      <c r="AG140" t="str">
        <v/>
      </c>
      <c r="AH140" t="str">
        <v/>
      </c>
      <c r="AI140" t="str">
        <v/>
      </c>
      <c r="AJ140" t="str">
        <v>18/09/2026 15:23:24</v>
      </c>
      <c r="AK140" t="str">
        <v>15:23:24</v>
      </c>
      <c r="AL140" t="str">
        <v/>
      </c>
    </row>
    <row r="141">
      <c r="A141">
        <v>140</v>
      </c>
      <c r="B141" t="str">
        <v>MASS BSF</v>
      </c>
      <c r="C141" t="str">
        <v>F3I-769</v>
      </c>
      <c r="D141" t="str">
        <v>F3I-769</v>
      </c>
      <c r="E141" t="str">
        <v/>
      </c>
      <c r="F141" t="str">
        <v>867806075758377</v>
      </c>
      <c r="G141" t="str">
        <v>TBD</v>
      </c>
      <c r="H141" t="str">
        <v/>
      </c>
      <c r="I141" t="str">
        <v/>
      </c>
      <c r="J141" t="str">
        <v>18/09/2026</v>
      </c>
      <c r="K141" t="str">
        <v>15:27:39</v>
      </c>
      <c r="L141">
        <v>-12.210881</v>
      </c>
      <c r="M141">
        <v>-76.92469</v>
      </c>
      <c r="N141">
        <f>HYPERLINK("https://www.google.com/maps/search/?api=1&amp;query=-12.210881,-76.92469","Avenida Pachacútec, Villa María del Triunfo, Lima")</f>
      </c>
      <c r="O141" t="str">
        <v>Aceleración brusca</v>
      </c>
      <c r="P141">
        <v>831.4</v>
      </c>
      <c r="Q141" t="str">
        <v/>
      </c>
      <c r="R141">
        <v>16.6</v>
      </c>
      <c r="S141">
        <v>29.9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84</v>
      </c>
      <c r="AB141" t="str">
        <v>18/09/2026</v>
      </c>
      <c r="AC141" t="str">
        <v>15:27:36</v>
      </c>
      <c r="AD141">
        <f>IF("ONLINE"="NOGPS","GPS Antiguo","En línea")</f>
      </c>
      <c r="AE141">
        <f>IF(0=0,"Sin atender", IF(0=1,"Atendida","Atendida y Reportada"))</f>
      </c>
      <c r="AF141" t="str">
        <v/>
      </c>
      <c r="AG141" t="str">
        <v/>
      </c>
      <c r="AH141" t="str">
        <v/>
      </c>
      <c r="AI141" t="str">
        <v/>
      </c>
      <c r="AJ141" t="str">
        <v>18/09/2026 15:27:48</v>
      </c>
      <c r="AK141" t="str">
        <v>15:27:48</v>
      </c>
      <c r="AL141" t="str">
        <v/>
      </c>
    </row>
    <row r="142">
      <c r="A142">
        <v>141</v>
      </c>
      <c r="B142" t="str">
        <v>MASS BSF</v>
      </c>
      <c r="C142" t="str">
        <v>F3I-769</v>
      </c>
      <c r="D142" t="str">
        <v>F3I-769</v>
      </c>
      <c r="E142" t="str">
        <v/>
      </c>
      <c r="F142" t="str">
        <v>867806075758377</v>
      </c>
      <c r="G142" t="str">
        <v>TBD</v>
      </c>
      <c r="H142" t="str">
        <v/>
      </c>
      <c r="I142" t="str">
        <v/>
      </c>
      <c r="J142" t="str">
        <v>18/09/2026</v>
      </c>
      <c r="K142" t="str">
        <v>15:27:42</v>
      </c>
      <c r="L142">
        <v>-12.21081</v>
      </c>
      <c r="M142">
        <v>-76.92474</v>
      </c>
      <c r="N142">
        <f>HYPERLINK("https://www.google.com/maps/search/?api=1&amp;query=-12.21081,-76.92474","Avenida Pachacútec, Villa María del Triunfo, Lima")</f>
      </c>
      <c r="O142" t="str">
        <v>Bache</v>
      </c>
      <c r="P142">
        <v>831.4</v>
      </c>
      <c r="Q142" t="str">
        <v/>
      </c>
      <c r="R142">
        <v>10.5</v>
      </c>
      <c r="S142">
        <v>29.9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84</v>
      </c>
      <c r="AB142" t="str">
        <v>18/09/2026</v>
      </c>
      <c r="AC142" t="str">
        <v>15:27:39</v>
      </c>
      <c r="AD142">
        <f>IF("ONLINE"="NOGPS","GPS Antiguo","En línea")</f>
      </c>
      <c r="AE142">
        <f>IF(0=0,"Sin atender", IF(0=1,"Atendida","Atendida y Reportada"))</f>
      </c>
      <c r="AF142" t="str">
        <v/>
      </c>
      <c r="AG142" t="str">
        <v/>
      </c>
      <c r="AH142" t="str">
        <v/>
      </c>
      <c r="AI142" t="str">
        <v/>
      </c>
      <c r="AJ142" t="str">
        <v>18/09/2026 15:27:56</v>
      </c>
      <c r="AK142" t="str">
        <v>15:27:56</v>
      </c>
      <c r="AL142" t="str">
        <v/>
      </c>
    </row>
    <row r="143">
      <c r="A143">
        <v>142</v>
      </c>
      <c r="B143" t="str">
        <v>MASS BSF</v>
      </c>
      <c r="C143" t="str">
        <v>F3I-769</v>
      </c>
      <c r="D143" t="str">
        <v>F3I-769</v>
      </c>
      <c r="E143" t="str">
        <v/>
      </c>
      <c r="F143" t="str">
        <v>867806075758377</v>
      </c>
      <c r="G143" t="str">
        <v>TBD</v>
      </c>
      <c r="H143" t="str">
        <v/>
      </c>
      <c r="I143" t="str">
        <v/>
      </c>
      <c r="J143" t="str">
        <v>18/09/2026</v>
      </c>
      <c r="K143" t="str">
        <v>15:27:44</v>
      </c>
      <c r="L143">
        <v>-12.210756</v>
      </c>
      <c r="M143">
        <v>-76.92479</v>
      </c>
      <c r="N143">
        <f>HYPERLINK("https://www.google.com/maps/search/?api=1&amp;query=-12.210756,-76.92479","Avenida Pachacútec, Villa María del Triunfo, Lima")</f>
      </c>
      <c r="O143" t="str">
        <v>Bache</v>
      </c>
      <c r="P143">
        <v>831.4</v>
      </c>
      <c r="Q143" t="str">
        <v/>
      </c>
      <c r="R143">
        <v>15.7</v>
      </c>
      <c r="S143">
        <v>29.9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84</v>
      </c>
      <c r="AB143" t="str">
        <v>18/09/2026</v>
      </c>
      <c r="AC143" t="str">
        <v>15:27:41</v>
      </c>
      <c r="AD143">
        <f>IF("ONLINE"="NOGPS","GPS Antiguo","En línea")</f>
      </c>
      <c r="AE143">
        <f>IF(0=0,"Sin atender", IF(0=1,"Atendida","Atendida y Reportada"))</f>
      </c>
      <c r="AF143" t="str">
        <v/>
      </c>
      <c r="AG143" t="str">
        <v/>
      </c>
      <c r="AH143" t="str">
        <v/>
      </c>
      <c r="AI143" t="str">
        <v/>
      </c>
      <c r="AJ143" t="str">
        <v>18/09/2026 15:28:04</v>
      </c>
      <c r="AK143" t="str">
        <v>15:28:04</v>
      </c>
      <c r="AL143" t="str">
        <v/>
      </c>
    </row>
    <row r="144">
      <c r="A144">
        <v>143</v>
      </c>
      <c r="B144" t="str">
        <v>MASS BSF</v>
      </c>
      <c r="C144" t="str">
        <v>F3I-769</v>
      </c>
      <c r="D144" t="str">
        <v>F3I-769</v>
      </c>
      <c r="E144" t="str">
        <v/>
      </c>
      <c r="F144" t="str">
        <v>867806075758377</v>
      </c>
      <c r="G144" t="str">
        <v>TBD</v>
      </c>
      <c r="H144" t="str">
        <v/>
      </c>
      <c r="I144" t="str">
        <v/>
      </c>
      <c r="J144" t="str">
        <v>18/09/2026</v>
      </c>
      <c r="K144" t="str">
        <v>15:30:24</v>
      </c>
      <c r="L144">
        <v>-12.201696</v>
      </c>
      <c r="M144">
        <v>-76.9258</v>
      </c>
      <c r="N144">
        <f>HYPERLINK("https://www.google.com/maps/search/?api=1&amp;query=-12.201696,-76.9258","Avenida Unión, Villa María del Triunfo, Lima")</f>
      </c>
      <c r="O144" t="str">
        <v>Frenado y giro brusco</v>
      </c>
      <c r="P144">
        <v>832.7</v>
      </c>
      <c r="Q144" t="str">
        <v/>
      </c>
      <c r="R144">
        <v>17.5</v>
      </c>
      <c r="S144">
        <v>29.9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84</v>
      </c>
      <c r="AB144" t="str">
        <v>18/09/2026</v>
      </c>
      <c r="AC144" t="str">
        <v>15:30:21</v>
      </c>
      <c r="AD144">
        <f>IF("ONLINE"="NOGPS","GPS Antiguo","En línea")</f>
      </c>
      <c r="AE144">
        <f>IF(0=0,"Sin atender", IF(0=1,"Atendida","Atendida y Reportada"))</f>
      </c>
      <c r="AF144" t="str">
        <v/>
      </c>
      <c r="AG144" t="str">
        <v/>
      </c>
      <c r="AH144" t="str">
        <v/>
      </c>
      <c r="AI144" t="str">
        <v/>
      </c>
      <c r="AJ144" t="str">
        <v>18/09/2026 15:30:33</v>
      </c>
      <c r="AK144" t="str">
        <v>15:30:33</v>
      </c>
      <c r="AL144" t="str">
        <v/>
      </c>
    </row>
    <row r="145">
      <c r="A145">
        <v>144</v>
      </c>
      <c r="B145" t="str">
        <v>MASS BSF</v>
      </c>
      <c r="C145" t="str">
        <v>F3I-769</v>
      </c>
      <c r="D145" t="str">
        <v>F3I-769</v>
      </c>
      <c r="E145" t="str">
        <v/>
      </c>
      <c r="F145" t="str">
        <v>867806075758377</v>
      </c>
      <c r="G145" t="str">
        <v>TBD</v>
      </c>
      <c r="H145" t="str">
        <v/>
      </c>
      <c r="I145" t="str">
        <v/>
      </c>
      <c r="J145" t="str">
        <v>18/09/2026</v>
      </c>
      <c r="K145" t="str">
        <v>15:30:46</v>
      </c>
      <c r="L145">
        <v>-12.200599</v>
      </c>
      <c r="M145">
        <v>-76.92644</v>
      </c>
      <c r="N145">
        <f>HYPERLINK("https://www.google.com/maps/search/?api=1&amp;query=-12.200599,-76.92644","Avenida General Mariano Necochea, Villa María del Triunfo, Lima")</f>
      </c>
      <c r="O145" t="str">
        <v>Bache</v>
      </c>
      <c r="P145">
        <v>832.9</v>
      </c>
      <c r="Q145" t="str">
        <v/>
      </c>
      <c r="R145">
        <v>10.3</v>
      </c>
      <c r="S145">
        <v>29.9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84</v>
      </c>
      <c r="AB145" t="str">
        <v>18/09/2026</v>
      </c>
      <c r="AC145" t="str">
        <v>15:30:43</v>
      </c>
      <c r="AD145">
        <f>IF("ONLINE"="NOGPS","GPS Antiguo","En línea")</f>
      </c>
      <c r="AE145">
        <f>IF(0=0,"Sin atender", IF(0=1,"Atendida","Atendida y Reportada"))</f>
      </c>
      <c r="AF145" t="str">
        <v/>
      </c>
      <c r="AG145" t="str">
        <v/>
      </c>
      <c r="AH145" t="str">
        <v/>
      </c>
      <c r="AI145" t="str">
        <v/>
      </c>
      <c r="AJ145" t="str">
        <v>18/09/2026 15:31:09</v>
      </c>
      <c r="AK145" t="str">
        <v>15:31:09</v>
      </c>
      <c r="AL145" t="str">
        <v/>
      </c>
    </row>
    <row r="146">
      <c r="A146">
        <v>145</v>
      </c>
      <c r="B146" t="str">
        <v>MASS BSF</v>
      </c>
      <c r="C146" t="str">
        <v>F3I-769</v>
      </c>
      <c r="D146" t="str">
        <v>F3I-769</v>
      </c>
      <c r="E146" t="str">
        <v/>
      </c>
      <c r="F146" t="str">
        <v>867806075758377</v>
      </c>
      <c r="G146" t="str">
        <v>TBD</v>
      </c>
      <c r="H146" t="str">
        <v/>
      </c>
      <c r="I146" t="str">
        <v/>
      </c>
      <c r="J146" t="str">
        <v>18/09/2026</v>
      </c>
      <c r="K146" t="str">
        <v>15:31:27</v>
      </c>
      <c r="L146">
        <v>-12.199422</v>
      </c>
      <c r="M146">
        <v>-76.92563</v>
      </c>
      <c r="N146">
        <f>HYPERLINK("https://www.google.com/maps/search/?api=1&amp;query=-12.199422,-76.92563","Jirón José Olaya, Villa María del Triunfo, Lima")</f>
      </c>
      <c r="O146" t="str">
        <v>Bache</v>
      </c>
      <c r="P146">
        <v>833.1</v>
      </c>
      <c r="Q146" t="str">
        <v/>
      </c>
      <c r="R146">
        <v>7.7</v>
      </c>
      <c r="S146">
        <v>29.9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91</v>
      </c>
      <c r="AB146" t="str">
        <v>18/09/2026</v>
      </c>
      <c r="AC146" t="str">
        <v>15:31:24</v>
      </c>
      <c r="AD146">
        <f>IF("ONLINE"="NOGPS","GPS Antiguo","En línea")</f>
      </c>
      <c r="AE146">
        <f>IF(0=0,"Sin atender", IF(0=1,"Atendida","Atendida y Reportada"))</f>
      </c>
      <c r="AF146" t="str">
        <v/>
      </c>
      <c r="AG146" t="str">
        <v/>
      </c>
      <c r="AH146" t="str">
        <v/>
      </c>
      <c r="AI146" t="str">
        <v/>
      </c>
      <c r="AJ146" t="str">
        <v>18/09/2026 15:31:44</v>
      </c>
      <c r="AK146" t="str">
        <v>15:31:44</v>
      </c>
      <c r="AL146" t="str">
        <v/>
      </c>
    </row>
    <row r="147">
      <c r="A147">
        <v>146</v>
      </c>
      <c r="B147" t="str">
        <v>MASS BSF</v>
      </c>
      <c r="C147" t="str">
        <v>F3I-769</v>
      </c>
      <c r="D147" t="str">
        <v>F3I-769</v>
      </c>
      <c r="E147" t="str">
        <v/>
      </c>
      <c r="F147" t="str">
        <v>867806075758377</v>
      </c>
      <c r="G147" t="str">
        <v>TBD</v>
      </c>
      <c r="H147" t="str">
        <v/>
      </c>
      <c r="I147" t="str">
        <v/>
      </c>
      <c r="J147" t="str">
        <v>18/09/2026</v>
      </c>
      <c r="K147" t="str">
        <v>15:31:32</v>
      </c>
      <c r="L147">
        <v>-12.199291</v>
      </c>
      <c r="M147">
        <v>-76.92567</v>
      </c>
      <c r="N147">
        <f>HYPERLINK("https://www.google.com/maps/search/?api=1&amp;query=-12.199291,-76.92567","Avenida General Vidal, Villa María del Triunfo, Lima")</f>
      </c>
      <c r="O147" t="str">
        <v>Frenado y giro brusco</v>
      </c>
      <c r="P147">
        <v>833.1</v>
      </c>
      <c r="Q147" t="str">
        <v/>
      </c>
      <c r="R147">
        <v>13.1</v>
      </c>
      <c r="S147">
        <v>29.9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91</v>
      </c>
      <c r="AB147" t="str">
        <v>18/09/2026</v>
      </c>
      <c r="AC147" t="str">
        <v>15:31:29</v>
      </c>
      <c r="AD147">
        <f>IF("ONLINE"="NOGPS","GPS Antiguo","En línea")</f>
      </c>
      <c r="AE147">
        <f>IF(0=0,"Sin atender", IF(0=1,"Atendida","Atendida y Reportada"))</f>
      </c>
      <c r="AF147" t="str">
        <v/>
      </c>
      <c r="AG147" t="str">
        <v/>
      </c>
      <c r="AH147" t="str">
        <v/>
      </c>
      <c r="AI147" t="str">
        <v/>
      </c>
      <c r="AJ147" t="str">
        <v>18/09/2026 15:31:40</v>
      </c>
      <c r="AK147" t="str">
        <v>15:31:40</v>
      </c>
      <c r="AL147" t="str">
        <v/>
      </c>
    </row>
    <row r="148">
      <c r="A148">
        <v>147</v>
      </c>
      <c r="B148" t="str">
        <v>MASS BSF</v>
      </c>
      <c r="C148" t="str">
        <v>F3I-769</v>
      </c>
      <c r="D148" t="str">
        <v>F3I-769</v>
      </c>
      <c r="E148" t="str">
        <v/>
      </c>
      <c r="F148" t="str">
        <v>867806075758377</v>
      </c>
      <c r="G148" t="str">
        <v>TBD</v>
      </c>
      <c r="H148" t="str">
        <v/>
      </c>
      <c r="I148" t="str">
        <v/>
      </c>
      <c r="J148" t="str">
        <v>18/09/2026</v>
      </c>
      <c r="K148" t="str">
        <v>15:32:42</v>
      </c>
      <c r="L148">
        <v>-12.197402</v>
      </c>
      <c r="M148">
        <v>-76.92257</v>
      </c>
      <c r="N148">
        <f>HYPERLINK("https://www.google.com/maps/search/?api=1&amp;query=-12.197402,-76.92257","Avenida General Vidal, Villa María del Triunfo, Lima")</f>
      </c>
      <c r="O148" t="str">
        <v>Bache</v>
      </c>
      <c r="P148">
        <v>833.5</v>
      </c>
      <c r="Q148" t="str">
        <v/>
      </c>
      <c r="R148">
        <v>10.1</v>
      </c>
      <c r="S148">
        <v>29.9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91</v>
      </c>
      <c r="AB148" t="str">
        <v>18/09/2026</v>
      </c>
      <c r="AC148" t="str">
        <v>15:32:39</v>
      </c>
      <c r="AD148">
        <f>IF("ONLINE"="NOGPS","GPS Antiguo","En línea")</f>
      </c>
      <c r="AE148">
        <f>IF(0=0,"Sin atender", IF(0=1,"Atendida","Atendida y Reportada"))</f>
      </c>
      <c r="AF148" t="str">
        <v/>
      </c>
      <c r="AG148" t="str">
        <v/>
      </c>
      <c r="AH148" t="str">
        <v/>
      </c>
      <c r="AI148" t="str">
        <v/>
      </c>
      <c r="AJ148" t="str">
        <v>18/09/2026 15:32:55</v>
      </c>
      <c r="AK148" t="str">
        <v>15:32:55</v>
      </c>
      <c r="AL148" t="str">
        <v/>
      </c>
    </row>
    <row r="149">
      <c r="A149">
        <v>148</v>
      </c>
      <c r="B149" t="str">
        <v>MASS BSF</v>
      </c>
      <c r="C149" t="str">
        <v>F3I-769</v>
      </c>
      <c r="D149" t="str">
        <v>F3I-769</v>
      </c>
      <c r="E149" t="str">
        <v/>
      </c>
      <c r="F149" t="str">
        <v>867806075758377</v>
      </c>
      <c r="G149" t="str">
        <v>TBD</v>
      </c>
      <c r="H149" t="str">
        <v/>
      </c>
      <c r="I149" t="str">
        <v/>
      </c>
      <c r="J149" t="str">
        <v>18/09/2026</v>
      </c>
      <c r="K149" t="str">
        <v>15:34:16</v>
      </c>
      <c r="L149">
        <v>-12.195917</v>
      </c>
      <c r="M149">
        <v>-76.921486</v>
      </c>
      <c r="N149">
        <f>HYPERLINK("https://www.google.com/maps/search/?api=1&amp;query=-12.195917,-76.921486","Avenida San Martín, Villa María del Triunfo, Lima")</f>
      </c>
      <c r="O149" t="str">
        <v>Vehículo apagado</v>
      </c>
      <c r="P149">
        <v>833.9</v>
      </c>
      <c r="Q149" t="str">
        <v/>
      </c>
      <c r="R149">
        <v>0</v>
      </c>
      <c r="S149">
        <v>30.67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88</v>
      </c>
      <c r="AB149" t="str">
        <v>18/09/2026</v>
      </c>
      <c r="AC149" t="str">
        <v>15:34:13</v>
      </c>
      <c r="AD149">
        <f>IF("ONLINE"="NOGPS","GPS Antiguo","En línea")</f>
      </c>
      <c r="AE149">
        <f>IF(0=0,"Sin atender", IF(0=1,"Atendida","Atendida y Reportada"))</f>
      </c>
      <c r="AF149" t="str">
        <v/>
      </c>
      <c r="AG149" t="str">
        <v/>
      </c>
      <c r="AH149" t="str">
        <v/>
      </c>
      <c r="AI149" t="str">
        <v/>
      </c>
      <c r="AJ149" t="str">
        <v>18/09/2026 15:34:18</v>
      </c>
      <c r="AK149" t="str">
        <v>15:34:18</v>
      </c>
      <c r="AL149" t="str">
        <v/>
      </c>
    </row>
    <row r="150">
      <c r="A150">
        <v>149</v>
      </c>
      <c r="B150" t="str">
        <v>MASS BSF</v>
      </c>
      <c r="C150" t="str">
        <v>F3I-769</v>
      </c>
      <c r="D150" t="str">
        <v>F3I-769</v>
      </c>
      <c r="E150" t="str">
        <v/>
      </c>
      <c r="F150" t="str">
        <v>867806075758377</v>
      </c>
      <c r="G150" t="str">
        <v>TBD</v>
      </c>
      <c r="H150" t="str">
        <v/>
      </c>
      <c r="I150" t="str">
        <v/>
      </c>
      <c r="J150" t="str">
        <v>18/09/2026</v>
      </c>
      <c r="K150" t="str">
        <v>15:36:56</v>
      </c>
      <c r="L150">
        <v>-12.195917</v>
      </c>
      <c r="M150">
        <v>-76.921486</v>
      </c>
      <c r="N150">
        <f>HYPERLINK("https://www.google.com/maps/search/?api=1&amp;query=-12.195917,-76.921486","Avenida San Martín, Villa María del Triunfo, Lima")</f>
      </c>
      <c r="O150" t="str">
        <v>Vehículo encendido</v>
      </c>
      <c r="P150">
        <v>833.9</v>
      </c>
      <c r="Q150" t="str">
        <v/>
      </c>
      <c r="R150">
        <v>0</v>
      </c>
      <c r="S150">
        <v>30.67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88</v>
      </c>
      <c r="AB150" t="str">
        <v>18/09/2026</v>
      </c>
      <c r="AC150" t="str">
        <v>15:36:53</v>
      </c>
      <c r="AD150">
        <f>IF("ONLINE"="NOGPS","GPS Antiguo","En línea")</f>
      </c>
      <c r="AE150">
        <f>IF(0=0,"Sin atender", IF(0=1,"Atendida","Atendida y Reportada"))</f>
      </c>
      <c r="AF150" t="str">
        <v/>
      </c>
      <c r="AG150" t="str">
        <v/>
      </c>
      <c r="AH150" t="str">
        <v/>
      </c>
      <c r="AI150" t="str">
        <v/>
      </c>
      <c r="AJ150" t="str">
        <v>18/09/2026 15:37:07</v>
      </c>
      <c r="AK150" t="str">
        <v>15:37:07</v>
      </c>
      <c r="AL150" t="str">
        <v/>
      </c>
    </row>
    <row r="151">
      <c r="A151">
        <v>150</v>
      </c>
      <c r="B151" t="str">
        <v>MASS BSF</v>
      </c>
      <c r="C151" t="str">
        <v>F3I-769</v>
      </c>
      <c r="D151" t="str">
        <v>F3I-769</v>
      </c>
      <c r="E151" t="str">
        <v/>
      </c>
      <c r="F151" t="str">
        <v>867806075758377</v>
      </c>
      <c r="G151" t="str">
        <v>TBD</v>
      </c>
      <c r="H151" t="str">
        <v/>
      </c>
      <c r="I151" t="str">
        <v/>
      </c>
      <c r="J151" t="str">
        <v>18/09/2026</v>
      </c>
      <c r="K151" t="str">
        <v>15:40:08</v>
      </c>
      <c r="L151">
        <v>-12.198274</v>
      </c>
      <c r="M151">
        <v>-76.9243</v>
      </c>
      <c r="N151">
        <f>HYPERLINK("https://www.google.com/maps/search/?api=1&amp;query=-12.198274,-76.9243","Avenida Tacna, Villa María del Triunfo, Lima")</f>
      </c>
      <c r="O151" t="str">
        <v>Vehículo apagado</v>
      </c>
      <c r="P151">
        <v>834.4</v>
      </c>
      <c r="Q151" t="str">
        <v/>
      </c>
      <c r="R151">
        <v>0</v>
      </c>
      <c r="S151">
        <v>30.72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89</v>
      </c>
      <c r="AB151" t="str">
        <v>18/09/2026</v>
      </c>
      <c r="AC151" t="str">
        <v>15:40:05</v>
      </c>
      <c r="AD151">
        <f>IF("ONLINE"="NOGPS","GPS Antiguo","En línea")</f>
      </c>
      <c r="AE151">
        <f>IF(0=0,"Sin atender", IF(0=1,"Atendida","Atendida y Reportada"))</f>
      </c>
      <c r="AF151" t="str">
        <v/>
      </c>
      <c r="AG151" t="str">
        <v/>
      </c>
      <c r="AH151" t="str">
        <v/>
      </c>
      <c r="AI151" t="str">
        <v/>
      </c>
      <c r="AJ151" t="str">
        <v>18/09/2026 15:40:19</v>
      </c>
      <c r="AK151" t="str">
        <v>15:40:19</v>
      </c>
      <c r="AL151" t="str">
        <v/>
      </c>
    </row>
  </sheetData>
  <ignoredErrors>
    <ignoredError numberStoredAsText="1" sqref="A1:AL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