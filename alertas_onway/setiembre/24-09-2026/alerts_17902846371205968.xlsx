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2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ARY-825</v>
      </c>
      <c r="D2" t="str">
        <v>ARY-825</v>
      </c>
      <c r="E2" t="str">
        <v/>
      </c>
      <c r="F2" t="str">
        <v>867162029858180</v>
      </c>
      <c r="G2" t="str">
        <v/>
      </c>
      <c r="H2" t="str">
        <v/>
      </c>
      <c r="I2" t="str">
        <v/>
      </c>
      <c r="J2" t="str">
        <v>24/09/2026</v>
      </c>
      <c r="K2" t="str">
        <v>05:14:43</v>
      </c>
      <c r="L2">
        <v>-12.213152</v>
      </c>
      <c r="M2">
        <v>-76.958984</v>
      </c>
      <c r="N2">
        <f>HYPERLINK("https://www.google.com/maps/search/?api=1&amp;query=-12.213152,-76.958984","Villa El Salvador, Lima")</f>
      </c>
      <c r="O2" t="str">
        <v>Vehículo encendido</v>
      </c>
      <c r="P2">
        <v>270167.2</v>
      </c>
      <c r="Q2" t="str">
        <v/>
      </c>
      <c r="R2">
        <v>0</v>
      </c>
      <c r="S2">
        <v>97.92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100</v>
      </c>
      <c r="AB2" t="str">
        <v>24/09/2026</v>
      </c>
      <c r="AC2" t="str">
        <v>05:00:29</v>
      </c>
      <c r="AD2">
        <f>IF("NOGPS"="NOGPS","GPS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24/09/2026 05:15:07</v>
      </c>
      <c r="AK2" t="str">
        <v>05:15:07</v>
      </c>
      <c r="AL2" t="str">
        <v/>
      </c>
    </row>
    <row r="3">
      <c r="A3">
        <v>2</v>
      </c>
      <c r="B3" t="str">
        <v>MASS BSF</v>
      </c>
      <c r="C3" t="str">
        <v>ARY-825</v>
      </c>
      <c r="D3" t="str">
        <v>ARY-825</v>
      </c>
      <c r="E3" t="str">
        <v/>
      </c>
      <c r="F3" t="str">
        <v>867162029858180</v>
      </c>
      <c r="G3" t="str">
        <v/>
      </c>
      <c r="H3" t="str">
        <v/>
      </c>
      <c r="I3" t="str">
        <v/>
      </c>
      <c r="J3" t="str">
        <v>24/09/2026</v>
      </c>
      <c r="K3" t="str">
        <v>05:49:19</v>
      </c>
      <c r="L3">
        <v>-12.154107</v>
      </c>
      <c r="M3">
        <v>-76.97092</v>
      </c>
      <c r="N3">
        <f>HYPERLINK("https://www.google.com/maps/search/?api=1&amp;query=-12.154107,-76.97092","Avenida Los Héroes, San Juan de Miraflores, Lima")</f>
      </c>
      <c r="O3" t="str">
        <v>Vehículo apagado</v>
      </c>
      <c r="P3">
        <v>270176.1</v>
      </c>
      <c r="Q3" t="str">
        <v/>
      </c>
      <c r="R3">
        <v>9.1</v>
      </c>
      <c r="S3">
        <v>98.5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100</v>
      </c>
      <c r="AB3" t="str">
        <v>24/09/2026</v>
      </c>
      <c r="AC3" t="str">
        <v>05:47:41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24/09/2026 05:49:32</v>
      </c>
      <c r="AK3" t="str">
        <v>05:49:32</v>
      </c>
      <c r="AL3" t="str">
        <v/>
      </c>
    </row>
    <row r="4">
      <c r="A4">
        <v>3</v>
      </c>
      <c r="B4" t="str">
        <v>MASS BSF</v>
      </c>
      <c r="C4" t="str">
        <v>ARY-825</v>
      </c>
      <c r="D4" t="str">
        <v>ARY-825</v>
      </c>
      <c r="E4" t="str">
        <v/>
      </c>
      <c r="F4" t="str">
        <v>867162029858180</v>
      </c>
      <c r="G4" t="str">
        <v/>
      </c>
      <c r="H4" t="str">
        <v/>
      </c>
      <c r="I4" t="str">
        <v/>
      </c>
      <c r="J4" t="str">
        <v>24/09/2026</v>
      </c>
      <c r="K4" t="str">
        <v>05:53:20</v>
      </c>
      <c r="L4">
        <v>-12.153004</v>
      </c>
      <c r="M4">
        <v>-76.97057</v>
      </c>
      <c r="N4">
        <f>HYPERLINK("https://www.google.com/maps/search/?api=1&amp;query=-12.153004,-76.97057","Avenida Hernando de La Valle, San Juan de Miraflores, Lima")</f>
      </c>
      <c r="O4" t="str">
        <v>Vehículo encendido</v>
      </c>
      <c r="P4">
        <v>270176.2</v>
      </c>
      <c r="Q4" t="str">
        <v/>
      </c>
      <c r="R4">
        <v>0</v>
      </c>
      <c r="S4">
        <v>98.5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100</v>
      </c>
      <c r="AB4" t="str">
        <v>24/09/2026</v>
      </c>
      <c r="AC4" t="str">
        <v>05:49:22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24/09/2026 05:53:24</v>
      </c>
      <c r="AK4" t="str">
        <v>05:53:24</v>
      </c>
      <c r="AL4" t="str">
        <v/>
      </c>
    </row>
    <row r="5">
      <c r="A5">
        <v>4</v>
      </c>
      <c r="B5" t="str">
        <v>MASS BSF</v>
      </c>
      <c r="C5" t="str">
        <v>ARY-825</v>
      </c>
      <c r="D5" t="str">
        <v>ARY-825</v>
      </c>
      <c r="E5" t="str">
        <v/>
      </c>
      <c r="F5" t="str">
        <v>867162029858180</v>
      </c>
      <c r="G5" t="str">
        <v/>
      </c>
      <c r="H5" t="str">
        <v/>
      </c>
      <c r="I5" t="str">
        <v/>
      </c>
      <c r="J5" t="str">
        <v>24/09/2026</v>
      </c>
      <c r="K5" t="str">
        <v>05:56:02</v>
      </c>
      <c r="L5">
        <v>-12.152955</v>
      </c>
      <c r="M5">
        <v>-76.97059</v>
      </c>
      <c r="N5">
        <f>HYPERLINK("https://www.google.com/maps/search/?api=1&amp;query=-12.152955,-76.97059","Avenida Hernando de La Valle, San Juan de Miraflores, Lima")</f>
      </c>
      <c r="O5" t="str">
        <v>Vehículo apagado</v>
      </c>
      <c r="P5">
        <v>270176.2</v>
      </c>
      <c r="Q5" t="str">
        <v/>
      </c>
      <c r="R5">
        <v>0</v>
      </c>
      <c r="S5">
        <v>98.55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100</v>
      </c>
      <c r="AB5" t="str">
        <v>24/09/2026</v>
      </c>
      <c r="AC5" t="str">
        <v>05:56:06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24/09/2026 05:56:17</v>
      </c>
      <c r="AK5" t="str">
        <v>05:56:17</v>
      </c>
      <c r="AL5" t="str">
        <v/>
      </c>
    </row>
    <row r="6">
      <c r="A6">
        <v>5</v>
      </c>
      <c r="B6" t="str">
        <v>MASS BSF</v>
      </c>
      <c r="C6" t="str">
        <v>ARY-825</v>
      </c>
      <c r="D6" t="str">
        <v>ARY-825</v>
      </c>
      <c r="E6" t="str">
        <v/>
      </c>
      <c r="F6" t="str">
        <v>867162029858180</v>
      </c>
      <c r="G6" t="str">
        <v/>
      </c>
      <c r="H6" t="str">
        <v/>
      </c>
      <c r="I6" t="str">
        <v/>
      </c>
      <c r="J6" t="str">
        <v>24/09/2026</v>
      </c>
      <c r="K6" t="str">
        <v>07:14:45</v>
      </c>
      <c r="L6">
        <v>-12.152955</v>
      </c>
      <c r="M6">
        <v>-76.97059</v>
      </c>
      <c r="N6">
        <f>HYPERLINK("https://www.google.com/maps/search/?api=1&amp;query=-12.152955,-76.97059","Avenida Hernando de La Valle, San Juan de Miraflores, Lima")</f>
      </c>
      <c r="O6" t="str">
        <v>Vehículo encendido</v>
      </c>
      <c r="P6">
        <v>270176.2</v>
      </c>
      <c r="Q6" t="str">
        <v/>
      </c>
      <c r="R6">
        <v>0</v>
      </c>
      <c r="S6">
        <v>98.55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100</v>
      </c>
      <c r="AB6" t="str">
        <v>24/09/2026</v>
      </c>
      <c r="AC6" t="str">
        <v>06:53:39</v>
      </c>
      <c r="AD6">
        <f>IF("NOGPS"="NOGPS","GPS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24/09/2026 07:15:08</v>
      </c>
      <c r="AK6" t="str">
        <v>07:15:08</v>
      </c>
      <c r="AL6" t="str">
        <v/>
      </c>
    </row>
    <row r="7">
      <c r="A7">
        <v>6</v>
      </c>
      <c r="B7" t="str">
        <v>MASS BSF</v>
      </c>
      <c r="C7" t="str">
        <v>ARY-825</v>
      </c>
      <c r="D7" t="str">
        <v>ARY-825</v>
      </c>
      <c r="E7" t="str">
        <v/>
      </c>
      <c r="F7" t="str">
        <v>867162029858180</v>
      </c>
      <c r="G7" t="str">
        <v/>
      </c>
      <c r="H7" t="str">
        <v/>
      </c>
      <c r="I7" t="str">
        <v/>
      </c>
      <c r="J7" t="str">
        <v>24/09/2026</v>
      </c>
      <c r="K7" t="str">
        <v>07:23:12</v>
      </c>
      <c r="L7">
        <v>-12.151514</v>
      </c>
      <c r="M7">
        <v>-76.969696</v>
      </c>
      <c r="N7">
        <f>HYPERLINK("https://www.google.com/maps/search/?api=1&amp;query=-12.151514,-76.969696","Jirón Samuel Luis Villarán, San Juan de Miraflores, Lima")</f>
      </c>
      <c r="O7" t="str">
        <v>Vehículo apagado</v>
      </c>
      <c r="P7">
        <v>270176.6</v>
      </c>
      <c r="Q7" t="str">
        <v/>
      </c>
      <c r="R7">
        <v>0</v>
      </c>
      <c r="S7">
        <v>98.68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100</v>
      </c>
      <c r="AB7" t="str">
        <v>24/09/2026</v>
      </c>
      <c r="AC7" t="str">
        <v>07:23:15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24/09/2026 07:23:25</v>
      </c>
      <c r="AK7" t="str">
        <v>07:23:25</v>
      </c>
      <c r="AL7" t="str">
        <v/>
      </c>
    </row>
    <row r="8">
      <c r="A8">
        <v>7</v>
      </c>
      <c r="B8" t="str">
        <v>MASS BSF</v>
      </c>
      <c r="C8" t="str">
        <v>ARY-825</v>
      </c>
      <c r="D8" t="str">
        <v>ARY-825</v>
      </c>
      <c r="E8" t="str">
        <v/>
      </c>
      <c r="F8" t="str">
        <v>867162029858180</v>
      </c>
      <c r="G8" t="str">
        <v/>
      </c>
      <c r="H8" t="str">
        <v/>
      </c>
      <c r="I8" t="str">
        <v/>
      </c>
      <c r="J8" t="str">
        <v>24/09/2026</v>
      </c>
      <c r="K8" t="str">
        <v>07:37:11</v>
      </c>
      <c r="L8">
        <v>-12.151514</v>
      </c>
      <c r="M8">
        <v>-76.969696</v>
      </c>
      <c r="N8">
        <f>HYPERLINK("https://www.google.com/maps/search/?api=1&amp;query=-12.151514,-76.969696","Jirón Samuel Luis Villarán, San Juan de Miraflores, Lima")</f>
      </c>
      <c r="O8" t="str">
        <v>Vehículo encendido</v>
      </c>
      <c r="P8">
        <v>270176.6</v>
      </c>
      <c r="Q8" t="str">
        <v/>
      </c>
      <c r="R8">
        <v>0</v>
      </c>
      <c r="S8">
        <v>98.68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100</v>
      </c>
      <c r="AB8" t="str">
        <v>24/09/2026</v>
      </c>
      <c r="AC8" t="str">
        <v>07:23:15</v>
      </c>
      <c r="AD8">
        <f>IF("NOGPS"="NOGPS","GPS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24/09/2026 07:37:20</v>
      </c>
      <c r="AK8" t="str">
        <v>07:37:20</v>
      </c>
      <c r="AL8" t="str">
        <v/>
      </c>
    </row>
    <row r="9">
      <c r="A9">
        <v>8</v>
      </c>
      <c r="B9" t="str">
        <v>MASS BSF</v>
      </c>
      <c r="C9" t="str">
        <v>ARY-825</v>
      </c>
      <c r="D9" t="str">
        <v>ARY-825</v>
      </c>
      <c r="E9" t="str">
        <v/>
      </c>
      <c r="F9" t="str">
        <v>867162029858180</v>
      </c>
      <c r="G9" t="str">
        <v/>
      </c>
      <c r="H9" t="str">
        <v/>
      </c>
      <c r="I9" t="str">
        <v/>
      </c>
      <c r="J9" t="str">
        <v>24/09/2026</v>
      </c>
      <c r="K9" t="str">
        <v>07:51:10</v>
      </c>
      <c r="L9">
        <v>-12.154191</v>
      </c>
      <c r="M9">
        <v>-76.971954</v>
      </c>
      <c r="N9">
        <f>HYPERLINK("https://www.google.com/maps/search/?api=1&amp;query=-12.154191,-76.971954","Avenida San Juan, San Juan de Miraflores, Lima")</f>
      </c>
      <c r="O9" t="str">
        <v>Inicio de ralentí</v>
      </c>
      <c r="P9">
        <v>270177.5</v>
      </c>
      <c r="Q9" t="str">
        <v/>
      </c>
      <c r="R9">
        <v>0</v>
      </c>
      <c r="S9">
        <v>98.68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100</v>
      </c>
      <c r="AB9" t="str">
        <v>24/09/2026</v>
      </c>
      <c r="AC9" t="str">
        <v>07:51:11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24/09/2026 07:51:25</v>
      </c>
      <c r="AK9" t="str">
        <v>07:51:25</v>
      </c>
      <c r="AL9" t="str">
        <v/>
      </c>
    </row>
    <row r="10">
      <c r="A10">
        <v>9</v>
      </c>
      <c r="B10" t="str">
        <v>MASS BSF</v>
      </c>
      <c r="C10" t="str">
        <v>ARY-825</v>
      </c>
      <c r="D10" t="str">
        <v>ARY-825</v>
      </c>
      <c r="E10" t="str">
        <v/>
      </c>
      <c r="F10" t="str">
        <v>867162029858180</v>
      </c>
      <c r="G10" t="str">
        <v/>
      </c>
      <c r="H10" t="str">
        <v/>
      </c>
      <c r="I10" t="str">
        <v/>
      </c>
      <c r="J10" t="str">
        <v>24/09/2026</v>
      </c>
      <c r="K10" t="str">
        <v>07:54:08</v>
      </c>
      <c r="L10">
        <v>-12.155747</v>
      </c>
      <c r="M10">
        <v>-76.97257</v>
      </c>
      <c r="N10">
        <f>HYPERLINK("https://www.google.com/maps/search/?api=1&amp;query=-12.155747,-76.97257","Avenida San Juan, San Juan de Miraflores, Lima")</f>
      </c>
      <c r="O10" t="str">
        <v>Fin de ralentí</v>
      </c>
      <c r="P10">
        <v>270177.7</v>
      </c>
      <c r="Q10" t="str">
        <v/>
      </c>
      <c r="R10">
        <v>0</v>
      </c>
      <c r="S10">
        <v>98.68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100</v>
      </c>
      <c r="AB10" t="str">
        <v>24/09/2026</v>
      </c>
      <c r="AC10" t="str">
        <v>07:54:11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24/09/2026 07:54:24</v>
      </c>
      <c r="AK10" t="str">
        <v>07:54:24</v>
      </c>
      <c r="AL10" t="str">
        <v/>
      </c>
    </row>
    <row r="11">
      <c r="A11">
        <v>10</v>
      </c>
      <c r="B11" t="str">
        <v>MASS BSF</v>
      </c>
      <c r="C11" t="str">
        <v>ARY-825</v>
      </c>
      <c r="D11" t="str">
        <v>ARY-825</v>
      </c>
      <c r="E11" t="str">
        <v/>
      </c>
      <c r="F11" t="str">
        <v>867162029858180</v>
      </c>
      <c r="G11" t="str">
        <v/>
      </c>
      <c r="H11" t="str">
        <v/>
      </c>
      <c r="I11" t="str">
        <v/>
      </c>
      <c r="J11" t="str">
        <v>24/09/2026</v>
      </c>
      <c r="K11" t="str">
        <v>07:59:13</v>
      </c>
      <c r="L11">
        <v>-12.156365</v>
      </c>
      <c r="M11">
        <v>-76.971504</v>
      </c>
      <c r="N11">
        <f>HYPERLINK("https://www.google.com/maps/search/?api=1&amp;query=-12.156365,-76.971504","Jirón Maximiliano Carranza, San Juan de Miraflores, Lima")</f>
      </c>
      <c r="O11" t="str">
        <v>Vehículo apagado</v>
      </c>
      <c r="P11">
        <v>270178.6</v>
      </c>
      <c r="Q11" t="str">
        <v/>
      </c>
      <c r="R11">
        <v>6.9</v>
      </c>
      <c r="S11">
        <v>99.05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100</v>
      </c>
      <c r="AB11" t="str">
        <v>24/09/2026</v>
      </c>
      <c r="AC11" t="str">
        <v>07:58:53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24/09/2026 07:59:21</v>
      </c>
      <c r="AK11" t="str">
        <v>07:59:21</v>
      </c>
      <c r="AL11" t="str">
        <v/>
      </c>
    </row>
    <row r="12">
      <c r="A12">
        <v>11</v>
      </c>
      <c r="B12" t="str">
        <v>MASS BSF</v>
      </c>
      <c r="C12" t="str">
        <v>ARY-825</v>
      </c>
      <c r="D12" t="str">
        <v>ARY-825</v>
      </c>
      <c r="E12" t="str">
        <v/>
      </c>
      <c r="F12" t="str">
        <v>867162029858180</v>
      </c>
      <c r="G12" t="str">
        <v/>
      </c>
      <c r="H12" t="str">
        <v/>
      </c>
      <c r="I12" t="str">
        <v/>
      </c>
      <c r="J12" t="str">
        <v>24/09/2026</v>
      </c>
      <c r="K12" t="str">
        <v>08:15:49</v>
      </c>
      <c r="L12">
        <v>-12.156271</v>
      </c>
      <c r="M12">
        <v>-76.97149</v>
      </c>
      <c r="N12">
        <f>HYPERLINK("https://www.google.com/maps/search/?api=1&amp;query=-12.156271,-76.97149","Manuel Montero Rosas, San Juan de Miraflores, Lima")</f>
      </c>
      <c r="O12" t="str">
        <v>Vehículo encendido</v>
      </c>
      <c r="P12">
        <v>270178.6</v>
      </c>
      <c r="Q12" t="str">
        <v/>
      </c>
      <c r="R12">
        <v>0</v>
      </c>
      <c r="S12">
        <v>99.05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100</v>
      </c>
      <c r="AB12" t="str">
        <v>24/09/2026</v>
      </c>
      <c r="AC12" t="str">
        <v>07:59:16</v>
      </c>
      <c r="AD12">
        <f>IF("NOGPS"="NOGPS","GPS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24/09/2026 08:15:58</v>
      </c>
      <c r="AK12" t="str">
        <v>08:15:58</v>
      </c>
      <c r="AL12" t="str">
        <v/>
      </c>
    </row>
    <row r="13">
      <c r="A13">
        <v>12</v>
      </c>
      <c r="B13" t="str">
        <v>MASS BSF</v>
      </c>
      <c r="C13" t="str">
        <v>ARY-825</v>
      </c>
      <c r="D13" t="str">
        <v>ARY-825</v>
      </c>
      <c r="E13" t="str">
        <v/>
      </c>
      <c r="F13" t="str">
        <v>867162029858180</v>
      </c>
      <c r="G13" t="str">
        <v/>
      </c>
      <c r="H13" t="str">
        <v/>
      </c>
      <c r="I13" t="str">
        <v/>
      </c>
      <c r="J13" t="str">
        <v>24/09/2026</v>
      </c>
      <c r="K13" t="str">
        <v>08:27:10</v>
      </c>
      <c r="L13">
        <v>-12.154875</v>
      </c>
      <c r="M13">
        <v>-76.97734</v>
      </c>
      <c r="N13">
        <f>HYPERLINK("https://www.google.com/maps/search/?api=1&amp;query=-12.154875,-76.97734","Joaquín Bernal, San Juan de Miraflores, Lima")</f>
      </c>
      <c r="O13" t="str">
        <v>Vehículo apagado</v>
      </c>
      <c r="P13">
        <v>270180.3</v>
      </c>
      <c r="Q13" t="str">
        <v/>
      </c>
      <c r="R13">
        <v>4.1</v>
      </c>
      <c r="S13">
        <v>99.23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98</v>
      </c>
      <c r="AB13" t="str">
        <v>24/09/2026</v>
      </c>
      <c r="AC13" t="str">
        <v>08:26:45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24/09/2026 08:27:20</v>
      </c>
      <c r="AK13" t="str">
        <v>08:27:20</v>
      </c>
      <c r="AL13" t="str">
        <v/>
      </c>
    </row>
    <row r="14">
      <c r="A14">
        <v>13</v>
      </c>
      <c r="B14" t="str">
        <v>MASS BSF</v>
      </c>
      <c r="C14" t="str">
        <v>ARY-825</v>
      </c>
      <c r="D14" t="str">
        <v>ARY-825</v>
      </c>
      <c r="E14" t="str">
        <v/>
      </c>
      <c r="F14" t="str">
        <v>867162029858180</v>
      </c>
      <c r="G14" t="str">
        <v/>
      </c>
      <c r="H14" t="str">
        <v/>
      </c>
      <c r="I14" t="str">
        <v/>
      </c>
      <c r="J14" t="str">
        <v>24/09/2026</v>
      </c>
      <c r="K14" t="str">
        <v>08:52:56</v>
      </c>
      <c r="L14">
        <v>-12.154901</v>
      </c>
      <c r="M14">
        <v>-76.97732</v>
      </c>
      <c r="N14">
        <f>HYPERLINK("https://www.google.com/maps/search/?api=1&amp;query=-12.154901,-76.97732","Joaquín Bernal, San Juan de Miraflores, Lima")</f>
      </c>
      <c r="O14" t="str">
        <v>Vehículo encendido</v>
      </c>
      <c r="P14">
        <v>270180.3</v>
      </c>
      <c r="Q14" t="str">
        <v/>
      </c>
      <c r="R14">
        <v>0</v>
      </c>
      <c r="S14">
        <v>99.23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98</v>
      </c>
      <c r="AB14" t="str">
        <v>24/09/2026</v>
      </c>
      <c r="AC14" t="str">
        <v>08:27:14</v>
      </c>
      <c r="AD14">
        <f>IF("NOGPS"="NOGPS","GPS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24/09/2026 08:53:01</v>
      </c>
      <c r="AK14" t="str">
        <v>08:53:01</v>
      </c>
      <c r="AL14" t="str">
        <v/>
      </c>
    </row>
    <row r="15">
      <c r="A15">
        <v>14</v>
      </c>
      <c r="B15" t="str">
        <v>MASS BSF</v>
      </c>
      <c r="C15" t="str">
        <v>ARY-825</v>
      </c>
      <c r="D15" t="str">
        <v>ARY-825</v>
      </c>
      <c r="E15" t="str">
        <v/>
      </c>
      <c r="F15" t="str">
        <v>867162029858180</v>
      </c>
      <c r="G15" t="str">
        <v/>
      </c>
      <c r="H15" t="str">
        <v/>
      </c>
      <c r="I15" t="str">
        <v/>
      </c>
      <c r="J15" t="str">
        <v>24/09/2026</v>
      </c>
      <c r="K15" t="str">
        <v>09:03:01</v>
      </c>
      <c r="L15">
        <v>-12.175621</v>
      </c>
      <c r="M15">
        <v>-76.97601</v>
      </c>
      <c r="N15">
        <f>HYPERLINK("https://www.google.com/maps/search/?api=1&amp;query=-12.175621,-76.97601","Avenida Prolongación Pedro Miotta, San Juan de Miraflores, Lima")</f>
      </c>
      <c r="O15" t="str">
        <v>Exceso de velocidad en segmento vial</v>
      </c>
      <c r="P15">
        <v>270183.4</v>
      </c>
      <c r="Q15" t="str">
        <v/>
      </c>
      <c r="R15">
        <v>41</v>
      </c>
      <c r="S15">
        <v>99.23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98</v>
      </c>
      <c r="AB15" t="str">
        <v>24/09/2026</v>
      </c>
      <c r="AC15" t="str">
        <v>09:02:57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24/09/2026 09:03:16</v>
      </c>
      <c r="AK15" t="str">
        <v>09:03:16</v>
      </c>
      <c r="AL15" t="str">
        <v/>
      </c>
    </row>
    <row r="16">
      <c r="A16">
        <v>15</v>
      </c>
      <c r="B16" t="str">
        <v>MASS BSF</v>
      </c>
      <c r="C16" t="str">
        <v>ARY-825</v>
      </c>
      <c r="D16" t="str">
        <v>ARY-825</v>
      </c>
      <c r="E16" t="str">
        <v/>
      </c>
      <c r="F16" t="str">
        <v>867162029858180</v>
      </c>
      <c r="G16" t="str">
        <v/>
      </c>
      <c r="H16" t="str">
        <v/>
      </c>
      <c r="I16" t="str">
        <v/>
      </c>
      <c r="J16" t="str">
        <v>24/09/2026</v>
      </c>
      <c r="K16" t="str">
        <v>09:05:01</v>
      </c>
      <c r="L16">
        <v>-12.184693</v>
      </c>
      <c r="M16">
        <v>-76.97361</v>
      </c>
      <c r="N16">
        <f>HYPERLINK("https://www.google.com/maps/search/?api=1&amp;query=-12.184693,-76.97361","Avenida Prolongación Pedro Miotta, San Juan de Miraflores, Lima")</f>
      </c>
      <c r="O16" t="str">
        <v>Exceso de velocidad en segmento vial</v>
      </c>
      <c r="P16">
        <v>270184.4</v>
      </c>
      <c r="Q16" t="str">
        <v/>
      </c>
      <c r="R16">
        <v>46.6</v>
      </c>
      <c r="S16">
        <v>99.23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98</v>
      </c>
      <c r="AB16" t="str">
        <v>24/09/2026</v>
      </c>
      <c r="AC16" t="str">
        <v>09:04:57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24/09/2026 09:05:26</v>
      </c>
      <c r="AK16" t="str">
        <v>09:05:26</v>
      </c>
      <c r="AL16" t="str">
        <v/>
      </c>
    </row>
    <row r="17">
      <c r="A17">
        <v>16</v>
      </c>
      <c r="B17" t="str">
        <v>MASS BSF</v>
      </c>
      <c r="C17" t="str">
        <v>ARY-825</v>
      </c>
      <c r="D17" t="str">
        <v>ARY-825</v>
      </c>
      <c r="E17" t="str">
        <v/>
      </c>
      <c r="F17" t="str">
        <v>867162029858180</v>
      </c>
      <c r="G17" t="str">
        <v/>
      </c>
      <c r="H17" t="str">
        <v/>
      </c>
      <c r="I17" t="str">
        <v/>
      </c>
      <c r="J17" t="str">
        <v>24/09/2026</v>
      </c>
      <c r="K17" t="str">
        <v>09:15:01</v>
      </c>
      <c r="L17">
        <v>-12.194071</v>
      </c>
      <c r="M17">
        <v>-76.95649</v>
      </c>
      <c r="N17">
        <f>HYPERLINK("https://www.google.com/maps/search/?api=1&amp;query=-12.194071,-76.95649","Avenida Modelo, Villa El Salvador, Lima")</f>
      </c>
      <c r="O17" t="str">
        <v>Exceso de velocidad en segmento vial</v>
      </c>
      <c r="P17">
        <v>270187.2</v>
      </c>
      <c r="Q17" t="str">
        <v/>
      </c>
      <c r="R17">
        <v>40.2</v>
      </c>
      <c r="S17">
        <v>99.23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98</v>
      </c>
      <c r="AB17" t="str">
        <v>24/09/2026</v>
      </c>
      <c r="AC17" t="str">
        <v>09:14:57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24/09/2026 09:15:14</v>
      </c>
      <c r="AK17" t="str">
        <v>09:15:14</v>
      </c>
      <c r="AL17" t="str">
        <v/>
      </c>
    </row>
    <row r="18">
      <c r="A18">
        <v>17</v>
      </c>
      <c r="B18" t="str">
        <v>MASS BSF</v>
      </c>
      <c r="C18" t="str">
        <v>ARY-825</v>
      </c>
      <c r="D18" t="str">
        <v>ARY-825</v>
      </c>
      <c r="E18" t="str">
        <v/>
      </c>
      <c r="F18" t="str">
        <v>867162029858180</v>
      </c>
      <c r="G18" t="str">
        <v/>
      </c>
      <c r="H18" t="str">
        <v/>
      </c>
      <c r="I18" t="str">
        <v/>
      </c>
      <c r="J18" t="str">
        <v>24/09/2026</v>
      </c>
      <c r="K18" t="str">
        <v>09:29:15</v>
      </c>
      <c r="L18">
        <v>-12.193368</v>
      </c>
      <c r="M18">
        <v>-76.926636</v>
      </c>
      <c r="N18">
        <f>HYPERLINK("https://www.google.com/maps/search/?api=1&amp;query=-12.193368,-76.926636","Avenida La Mariscala, Villa María del Triunfo, Lima")</f>
      </c>
      <c r="O18" t="str">
        <v>Vehículo apagado</v>
      </c>
      <c r="P18">
        <v>270192.2</v>
      </c>
      <c r="Q18" t="str">
        <v/>
      </c>
      <c r="R18">
        <v>0</v>
      </c>
      <c r="S18">
        <v>99.83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98</v>
      </c>
      <c r="AB18" t="str">
        <v>24/09/2026</v>
      </c>
      <c r="AC18" t="str">
        <v>09:29:17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24/09/2026 09:29:29</v>
      </c>
      <c r="AK18" t="str">
        <v>09:29:29</v>
      </c>
      <c r="AL18" t="str">
        <v/>
      </c>
    </row>
    <row r="19">
      <c r="A19">
        <v>18</v>
      </c>
      <c r="B19" t="str">
        <v>MASS BSF</v>
      </c>
      <c r="C19" t="str">
        <v>ARY-825</v>
      </c>
      <c r="D19" t="str">
        <v>ARY-825</v>
      </c>
      <c r="E19" t="str">
        <v/>
      </c>
      <c r="F19" t="str">
        <v>867162029858180</v>
      </c>
      <c r="G19" t="str">
        <v/>
      </c>
      <c r="H19" t="str">
        <v/>
      </c>
      <c r="I19" t="str">
        <v/>
      </c>
      <c r="J19" t="str">
        <v>24/09/2026</v>
      </c>
      <c r="K19" t="str">
        <v>09:33:20</v>
      </c>
      <c r="L19">
        <v>-12.193368</v>
      </c>
      <c r="M19">
        <v>-76.926636</v>
      </c>
      <c r="N19">
        <f>HYPERLINK("https://www.google.com/maps/search/?api=1&amp;query=-12.193368,-76.926636","Avenida La Mariscala, Villa María del Triunfo, Lima")</f>
      </c>
      <c r="O19" t="str">
        <v>Vehículo encendido</v>
      </c>
      <c r="P19">
        <v>270192.2</v>
      </c>
      <c r="Q19" t="str">
        <v/>
      </c>
      <c r="R19">
        <v>0</v>
      </c>
      <c r="S19">
        <v>99.83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98</v>
      </c>
      <c r="AB19" t="str">
        <v>24/09/2026</v>
      </c>
      <c r="AC19" t="str">
        <v>09:29:17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24/09/2026 09:33:32</v>
      </c>
      <c r="AK19" t="str">
        <v>09:33:32</v>
      </c>
      <c r="AL19" t="str">
        <v/>
      </c>
    </row>
    <row r="20">
      <c r="A20">
        <v>19</v>
      </c>
      <c r="B20" t="str">
        <v>MASS BSF</v>
      </c>
      <c r="C20" t="str">
        <v>ARY-825</v>
      </c>
      <c r="D20" t="str">
        <v>ARY-825</v>
      </c>
      <c r="E20" t="str">
        <v/>
      </c>
      <c r="F20" t="str">
        <v>867162029858180</v>
      </c>
      <c r="G20" t="str">
        <v/>
      </c>
      <c r="H20" t="str">
        <v/>
      </c>
      <c r="I20" t="str">
        <v/>
      </c>
      <c r="J20" t="str">
        <v>24/09/2026</v>
      </c>
      <c r="K20" t="str">
        <v>09:33:24</v>
      </c>
      <c r="L20">
        <v>-12.193368</v>
      </c>
      <c r="M20">
        <v>-76.926636</v>
      </c>
      <c r="N20">
        <f>HYPERLINK("https://www.google.com/maps/search/?api=1&amp;query=-12.193368,-76.926636","Avenida La Mariscala, Villa María del Triunfo, Lima")</f>
      </c>
      <c r="O20" t="str">
        <v>Vehículo apagado</v>
      </c>
      <c r="P20">
        <v>270192.2</v>
      </c>
      <c r="Q20" t="str">
        <v/>
      </c>
      <c r="R20">
        <v>0</v>
      </c>
      <c r="S20">
        <v>99.83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98</v>
      </c>
      <c r="AB20" t="str">
        <v>24/09/2026</v>
      </c>
      <c r="AC20" t="str">
        <v>09:29:17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24/09/2026 09:33:34</v>
      </c>
      <c r="AK20" t="str">
        <v>09:33:34</v>
      </c>
      <c r="AL20" t="str">
        <v/>
      </c>
    </row>
    <row r="21">
      <c r="A21">
        <v>20</v>
      </c>
      <c r="B21" t="str">
        <v>MASS BSF</v>
      </c>
      <c r="C21" t="str">
        <v>ARY-825</v>
      </c>
      <c r="D21" t="str">
        <v>ARY-825</v>
      </c>
      <c r="E21" t="str">
        <v/>
      </c>
      <c r="F21" t="str">
        <v>867162029858180</v>
      </c>
      <c r="G21" t="str">
        <v/>
      </c>
      <c r="H21" t="str">
        <v/>
      </c>
      <c r="I21" t="str">
        <v/>
      </c>
      <c r="J21" t="str">
        <v>24/09/2026</v>
      </c>
      <c r="K21" t="str">
        <v>09:45:35</v>
      </c>
      <c r="L21">
        <v>-12.193383</v>
      </c>
      <c r="M21">
        <v>-76.92667</v>
      </c>
      <c r="N21">
        <f>HYPERLINK("https://www.google.com/maps/search/?api=1&amp;query=-12.193383,-76.92667","Avenida La Mariscala, Villa María del Triunfo, Lima")</f>
      </c>
      <c r="O21" t="str">
        <v>Vehículo encendido</v>
      </c>
      <c r="P21">
        <v>270192.2</v>
      </c>
      <c r="Q21" t="str">
        <v/>
      </c>
      <c r="R21">
        <v>0</v>
      </c>
      <c r="S21">
        <v>99.83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98</v>
      </c>
      <c r="AB21" t="str">
        <v>24/09/2026</v>
      </c>
      <c r="AC21" t="str">
        <v>09:33:26</v>
      </c>
      <c r="AD21">
        <f>IF("NOGPS"="NOGPS","GPS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24/09/2026 09:45:45</v>
      </c>
      <c r="AK21" t="str">
        <v>09:45:45</v>
      </c>
      <c r="AL21" t="str">
        <v/>
      </c>
    </row>
    <row r="22">
      <c r="A22">
        <v>21</v>
      </c>
      <c r="B22" t="str">
        <v>MASS BSF</v>
      </c>
      <c r="C22" t="str">
        <v>ARY-825</v>
      </c>
      <c r="D22" t="str">
        <v>ARY-825</v>
      </c>
      <c r="E22" t="str">
        <v/>
      </c>
      <c r="F22" t="str">
        <v>867162029858180</v>
      </c>
      <c r="G22" t="str">
        <v/>
      </c>
      <c r="H22" t="str">
        <v/>
      </c>
      <c r="I22" t="str">
        <v/>
      </c>
      <c r="J22" t="str">
        <v>24/09/2026</v>
      </c>
      <c r="K22" t="str">
        <v>09:45:39</v>
      </c>
      <c r="L22">
        <v>-12.193383</v>
      </c>
      <c r="M22">
        <v>-76.92667</v>
      </c>
      <c r="N22">
        <f>HYPERLINK("https://www.google.com/maps/search/?api=1&amp;query=-12.193383,-76.92667","Avenida La Mariscala, Villa María del Triunfo, Lima")</f>
      </c>
      <c r="O22" t="str">
        <v>Vehículo apagado</v>
      </c>
      <c r="P22">
        <v>270192.2</v>
      </c>
      <c r="Q22" t="str">
        <v/>
      </c>
      <c r="R22">
        <v>0</v>
      </c>
      <c r="S22">
        <v>99.83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98</v>
      </c>
      <c r="AB22" t="str">
        <v>24/09/2026</v>
      </c>
      <c r="AC22" t="str">
        <v>09:33:26</v>
      </c>
      <c r="AD22">
        <f>IF("NOGPS"="NOGPS","GPS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24/09/2026 09:45:47</v>
      </c>
      <c r="AK22" t="str">
        <v>09:45:47</v>
      </c>
      <c r="AL22" t="str">
        <v/>
      </c>
    </row>
    <row r="23">
      <c r="A23">
        <v>22</v>
      </c>
      <c r="B23" t="str">
        <v>MASS BSF</v>
      </c>
      <c r="C23" t="str">
        <v>ARY-825</v>
      </c>
      <c r="D23" t="str">
        <v>ARY-825</v>
      </c>
      <c r="E23" t="str">
        <v/>
      </c>
      <c r="F23" t="str">
        <v>867162029858180</v>
      </c>
      <c r="G23" t="str">
        <v/>
      </c>
      <c r="H23" t="str">
        <v/>
      </c>
      <c r="I23" t="str">
        <v/>
      </c>
      <c r="J23" t="str">
        <v>24/09/2026</v>
      </c>
      <c r="K23" t="str">
        <v>09:45:41</v>
      </c>
      <c r="L23">
        <v>-12.193383</v>
      </c>
      <c r="M23">
        <v>-76.92667</v>
      </c>
      <c r="N23">
        <f>HYPERLINK("https://www.google.com/maps/search/?api=1&amp;query=-12.193383,-76.92667","Avenida La Mariscala, Villa María del Triunfo, Lima")</f>
      </c>
      <c r="O23" t="str">
        <v>Vehículo encendido</v>
      </c>
      <c r="P23">
        <v>270192.2</v>
      </c>
      <c r="Q23" t="str">
        <v/>
      </c>
      <c r="R23">
        <v>0</v>
      </c>
      <c r="S23">
        <v>99.83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98</v>
      </c>
      <c r="AB23" t="str">
        <v>24/09/2026</v>
      </c>
      <c r="AC23" t="str">
        <v>09:33:26</v>
      </c>
      <c r="AD23">
        <f>IF("NOGPS"="NOGPS","GPS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24/09/2026 09:45:54</v>
      </c>
      <c r="AK23" t="str">
        <v>09:45:54</v>
      </c>
      <c r="AL23" t="str">
        <v/>
      </c>
    </row>
    <row r="24">
      <c r="A24">
        <v>23</v>
      </c>
      <c r="B24" t="str">
        <v>MASS BSF</v>
      </c>
      <c r="C24" t="str">
        <v>ARY-825</v>
      </c>
      <c r="D24" t="str">
        <v>ARY-825</v>
      </c>
      <c r="E24" t="str">
        <v/>
      </c>
      <c r="F24" t="str">
        <v>867162029858180</v>
      </c>
      <c r="G24" t="str">
        <v/>
      </c>
      <c r="H24" t="str">
        <v/>
      </c>
      <c r="I24" t="str">
        <v/>
      </c>
      <c r="J24" t="str">
        <v>24/09/2026</v>
      </c>
      <c r="K24" t="str">
        <v>09:50:28</v>
      </c>
      <c r="L24">
        <v>-12.197646</v>
      </c>
      <c r="M24">
        <v>-76.93258</v>
      </c>
      <c r="N24">
        <f>HYPERLINK("https://www.google.com/maps/search/?api=1&amp;query=-12.197646,-76.93258","Avenida Mariscal José La Mar, Villa María del Triunfo, Lima")</f>
      </c>
      <c r="O24" t="str">
        <v>Vehículo apagado</v>
      </c>
      <c r="P24">
        <v>270193.1</v>
      </c>
      <c r="Q24" t="str">
        <v/>
      </c>
      <c r="R24">
        <v>0</v>
      </c>
      <c r="S24">
        <v>99.92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98</v>
      </c>
      <c r="AB24" t="str">
        <v>24/09/2026</v>
      </c>
      <c r="AC24" t="str">
        <v>09:50:31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24/09/2026 09:50:40</v>
      </c>
      <c r="AK24" t="str">
        <v>09:50:40</v>
      </c>
      <c r="AL24" t="str">
        <v/>
      </c>
    </row>
    <row r="25">
      <c r="A25">
        <v>24</v>
      </c>
      <c r="B25" t="str">
        <v>MASS BSF</v>
      </c>
      <c r="C25" t="str">
        <v>ARY-825</v>
      </c>
      <c r="D25" t="str">
        <v>ARY-825</v>
      </c>
      <c r="E25" t="str">
        <v/>
      </c>
      <c r="F25" t="str">
        <v>867162029858180</v>
      </c>
      <c r="G25" t="str">
        <v/>
      </c>
      <c r="H25" t="str">
        <v/>
      </c>
      <c r="I25" t="str">
        <v/>
      </c>
      <c r="J25" t="str">
        <v>24/09/2026</v>
      </c>
      <c r="K25" t="str">
        <v>09:51:28</v>
      </c>
      <c r="L25">
        <v>-12.197684</v>
      </c>
      <c r="M25">
        <v>-76.93258</v>
      </c>
      <c r="N25">
        <f>HYPERLINK("https://www.google.com/maps/search/?api=1&amp;query=-12.197684,-76.93258","Avenida Mariscal José La Mar, Villa María del Triunfo, Lima")</f>
      </c>
      <c r="O25" t="str">
        <v>Vehículo encendido</v>
      </c>
      <c r="P25">
        <v>270193.1</v>
      </c>
      <c r="Q25" t="str">
        <v/>
      </c>
      <c r="R25">
        <v>0</v>
      </c>
      <c r="S25">
        <v>99.92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98</v>
      </c>
      <c r="AB25" t="str">
        <v>24/09/2026</v>
      </c>
      <c r="AC25" t="str">
        <v>09:51:32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24/09/2026 09:51:41</v>
      </c>
      <c r="AK25" t="str">
        <v>09:51:41</v>
      </c>
      <c r="AL25" t="str">
        <v/>
      </c>
    </row>
    <row r="26">
      <c r="A26">
        <v>25</v>
      </c>
      <c r="B26" t="str">
        <v>MASS BSF</v>
      </c>
      <c r="C26" t="str">
        <v>ARY-825</v>
      </c>
      <c r="D26" t="str">
        <v>ARY-825</v>
      </c>
      <c r="E26" t="str">
        <v/>
      </c>
      <c r="F26" t="str">
        <v>867162029858180</v>
      </c>
      <c r="G26" t="str">
        <v/>
      </c>
      <c r="H26" t="str">
        <v/>
      </c>
      <c r="I26" t="str">
        <v/>
      </c>
      <c r="J26" t="str">
        <v>24/09/2026</v>
      </c>
      <c r="K26" t="str">
        <v>09:51:34</v>
      </c>
      <c r="L26">
        <v>-12.197699</v>
      </c>
      <c r="M26">
        <v>-76.93257</v>
      </c>
      <c r="N26">
        <f>HYPERLINK("https://www.google.com/maps/search/?api=1&amp;query=-12.197699,-76.93257","Avenida Mariscal José La Mar, Villa María del Triunfo, Lima")</f>
      </c>
      <c r="O26" t="str">
        <v>Vehículo apagado</v>
      </c>
      <c r="P26">
        <v>270193.1</v>
      </c>
      <c r="Q26" t="str">
        <v/>
      </c>
      <c r="R26">
        <v>0</v>
      </c>
      <c r="S26">
        <v>99.92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98</v>
      </c>
      <c r="AB26" t="str">
        <v>24/09/2026</v>
      </c>
      <c r="AC26" t="str">
        <v>09:51:37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24/09/2026 09:52:00</v>
      </c>
      <c r="AK26" t="str">
        <v>09:52:00</v>
      </c>
      <c r="AL26" t="str">
        <v/>
      </c>
    </row>
    <row r="27">
      <c r="A27">
        <v>26</v>
      </c>
      <c r="B27" t="str">
        <v>MASS BSF</v>
      </c>
      <c r="C27" t="str">
        <v>ARY-825</v>
      </c>
      <c r="D27" t="str">
        <v>ARY-825</v>
      </c>
      <c r="E27" t="str">
        <v/>
      </c>
      <c r="F27" t="str">
        <v>867162029858180</v>
      </c>
      <c r="G27" t="str">
        <v/>
      </c>
      <c r="H27" t="str">
        <v/>
      </c>
      <c r="I27" t="str">
        <v/>
      </c>
      <c r="J27" t="str">
        <v>24/09/2026</v>
      </c>
      <c r="K27" t="str">
        <v>09:55:21</v>
      </c>
      <c r="L27">
        <v>-12.197699</v>
      </c>
      <c r="M27">
        <v>-76.93257</v>
      </c>
      <c r="N27">
        <f>HYPERLINK("https://www.google.com/maps/search/?api=1&amp;query=-12.197699,-76.93257","Avenida Mariscal José La Mar, Villa María del Triunfo, Lima")</f>
      </c>
      <c r="O27" t="str">
        <v>Vehículo encendido</v>
      </c>
      <c r="P27">
        <v>270193.1</v>
      </c>
      <c r="Q27" t="str">
        <v/>
      </c>
      <c r="R27">
        <v>0</v>
      </c>
      <c r="S27">
        <v>99.92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98</v>
      </c>
      <c r="AB27" t="str">
        <v>24/09/2026</v>
      </c>
      <c r="AC27" t="str">
        <v>09:51:37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24/09/2026 09:55:47</v>
      </c>
      <c r="AK27" t="str">
        <v>09:55:47</v>
      </c>
      <c r="AL27" t="str">
        <v/>
      </c>
    </row>
    <row r="28">
      <c r="A28">
        <v>27</v>
      </c>
      <c r="B28" t="str">
        <v>MASS BSF</v>
      </c>
      <c r="C28" t="str">
        <v>ARY-825</v>
      </c>
      <c r="D28" t="str">
        <v>ARY-825</v>
      </c>
      <c r="E28" t="str">
        <v/>
      </c>
      <c r="F28" t="str">
        <v>867162029858180</v>
      </c>
      <c r="G28" t="str">
        <v/>
      </c>
      <c r="H28" t="str">
        <v/>
      </c>
      <c r="I28" t="str">
        <v/>
      </c>
      <c r="J28" t="str">
        <v>24/09/2026</v>
      </c>
      <c r="K28" t="str">
        <v>09:55:45</v>
      </c>
      <c r="L28">
        <v>-12.197695</v>
      </c>
      <c r="M28">
        <v>-76.9326</v>
      </c>
      <c r="N28">
        <f>HYPERLINK("https://www.google.com/maps/search/?api=1&amp;query=-12.197695,-76.9326","Avenida Mariscal José La Mar, Villa María del Triunfo, Lima")</f>
      </c>
      <c r="O28" t="str">
        <v>Vehículo apagado</v>
      </c>
      <c r="P28">
        <v>270193.1</v>
      </c>
      <c r="Q28" t="str">
        <v/>
      </c>
      <c r="R28">
        <v>0</v>
      </c>
      <c r="S28">
        <v>99.92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98</v>
      </c>
      <c r="AB28" t="str">
        <v>24/09/2026</v>
      </c>
      <c r="AC28" t="str">
        <v>09:55:47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24/09/2026 09:56:10</v>
      </c>
      <c r="AK28" t="str">
        <v>09:56:10</v>
      </c>
      <c r="AL28" t="str">
        <v/>
      </c>
    </row>
    <row r="29">
      <c r="A29">
        <v>28</v>
      </c>
      <c r="B29" t="str">
        <v>MASS BSF</v>
      </c>
      <c r="C29" t="str">
        <v>ARY-825</v>
      </c>
      <c r="D29" t="str">
        <v>ARY-825</v>
      </c>
      <c r="E29" t="str">
        <v/>
      </c>
      <c r="F29" t="str">
        <v>867162029858180</v>
      </c>
      <c r="G29" t="str">
        <v/>
      </c>
      <c r="H29" t="str">
        <v/>
      </c>
      <c r="I29" t="str">
        <v/>
      </c>
      <c r="J29" t="str">
        <v>24/09/2026</v>
      </c>
      <c r="K29" t="str">
        <v>11:40:33</v>
      </c>
      <c r="L29">
        <v>-12.197695</v>
      </c>
      <c r="M29">
        <v>-76.9326</v>
      </c>
      <c r="N29">
        <f>HYPERLINK("https://www.google.com/maps/search/?api=1&amp;query=-12.197695,-76.9326","Avenida Mariscal José La Mar, Villa María del Triunfo, Lima")</f>
      </c>
      <c r="O29" t="str">
        <v>Vehículo encendido</v>
      </c>
      <c r="P29">
        <v>270193.1</v>
      </c>
      <c r="Q29" t="str">
        <v/>
      </c>
      <c r="R29">
        <v>0</v>
      </c>
      <c r="S29">
        <v>99.92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98</v>
      </c>
      <c r="AB29" t="str">
        <v>24/09/2026</v>
      </c>
      <c r="AC29" t="str">
        <v>11:23:14</v>
      </c>
      <c r="AD29">
        <f>IF("NOGPS"="NOGPS","GPS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24/09/2026 11:40:50</v>
      </c>
      <c r="AK29" t="str">
        <v>11:40:50</v>
      </c>
      <c r="AL29" t="str">
        <v/>
      </c>
    </row>
    <row r="30">
      <c r="A30">
        <v>29</v>
      </c>
      <c r="B30" t="str">
        <v>MASS BSF</v>
      </c>
      <c r="C30" t="str">
        <v>ARY-825</v>
      </c>
      <c r="D30" t="str">
        <v>ARY-825</v>
      </c>
      <c r="E30" t="str">
        <v/>
      </c>
      <c r="F30" t="str">
        <v>867162029858180</v>
      </c>
      <c r="G30" t="str">
        <v/>
      </c>
      <c r="H30" t="str">
        <v/>
      </c>
      <c r="I30" t="str">
        <v/>
      </c>
      <c r="J30" t="str">
        <v>24/09/2026</v>
      </c>
      <c r="K30" t="str">
        <v>11:49:08</v>
      </c>
      <c r="L30">
        <v>-12.193642</v>
      </c>
      <c r="M30">
        <v>-76.923065</v>
      </c>
      <c r="N30">
        <f>HYPERLINK("https://www.google.com/maps/search/?api=1&amp;query=-12.193642,-76.923065","Jirón La Concordia, Villa María del Triunfo, Lima")</f>
      </c>
      <c r="O30" t="str">
        <v>Vehículo apagado</v>
      </c>
      <c r="P30">
        <v>270194.8</v>
      </c>
      <c r="Q30" t="str">
        <v/>
      </c>
      <c r="R30">
        <v>0</v>
      </c>
      <c r="S30">
        <v>100.07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98</v>
      </c>
      <c r="AB30" t="str">
        <v>24/09/2026</v>
      </c>
      <c r="AC30" t="str">
        <v>11:49:12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24/09/2026 11:49:26</v>
      </c>
      <c r="AK30" t="str">
        <v>11:49:26</v>
      </c>
      <c r="AL30" t="str">
        <v/>
      </c>
    </row>
    <row r="31">
      <c r="A31">
        <v>30</v>
      </c>
      <c r="B31" t="str">
        <v>MASS BSF</v>
      </c>
      <c r="C31" t="str">
        <v>ARY-825</v>
      </c>
      <c r="D31" t="str">
        <v>ARY-825</v>
      </c>
      <c r="E31" t="str">
        <v/>
      </c>
      <c r="F31" t="str">
        <v>867162029858180</v>
      </c>
      <c r="G31" t="str">
        <v/>
      </c>
      <c r="H31" t="str">
        <v/>
      </c>
      <c r="I31" t="str">
        <v/>
      </c>
      <c r="J31" t="str">
        <v>24/09/2026</v>
      </c>
      <c r="K31" t="str">
        <v>11:52:36</v>
      </c>
      <c r="L31">
        <v>-12.193642</v>
      </c>
      <c r="M31">
        <v>-76.923065</v>
      </c>
      <c r="N31">
        <f>HYPERLINK("https://www.google.com/maps/search/?api=1&amp;query=-12.193642,-76.923065","Jirón La Concordia, Villa María del Triunfo, Lima")</f>
      </c>
      <c r="O31" t="str">
        <v>Vehículo encendido</v>
      </c>
      <c r="P31">
        <v>270194.8</v>
      </c>
      <c r="Q31" t="str">
        <v/>
      </c>
      <c r="R31">
        <v>0</v>
      </c>
      <c r="S31">
        <v>100.07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98</v>
      </c>
      <c r="AB31" t="str">
        <v>24/09/2026</v>
      </c>
      <c r="AC31" t="str">
        <v>11:49:12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24/09/2026 11:52:53</v>
      </c>
      <c r="AK31" t="str">
        <v>11:52:53</v>
      </c>
      <c r="AL31" t="str">
        <v/>
      </c>
    </row>
    <row r="32">
      <c r="A32">
        <v>31</v>
      </c>
      <c r="B32" t="str">
        <v>MASS BSF</v>
      </c>
      <c r="C32" t="str">
        <v>ARY-825</v>
      </c>
      <c r="D32" t="str">
        <v>ARY-825</v>
      </c>
      <c r="E32" t="str">
        <v/>
      </c>
      <c r="F32" t="str">
        <v>867162029858180</v>
      </c>
      <c r="G32" t="str">
        <v/>
      </c>
      <c r="H32" t="str">
        <v/>
      </c>
      <c r="I32" t="str">
        <v/>
      </c>
      <c r="J32" t="str">
        <v>24/09/2026</v>
      </c>
      <c r="K32" t="str">
        <v>11:56:23</v>
      </c>
      <c r="L32">
        <v>-12.195484</v>
      </c>
      <c r="M32">
        <v>-76.92081</v>
      </c>
      <c r="N32">
        <f>HYPERLINK("https://www.google.com/maps/search/?api=1&amp;query=-12.195484,-76.92081","Avenida San Martín, Villa María del Triunfo, Lima")</f>
      </c>
      <c r="O32" t="str">
        <v>Vehículo apagado</v>
      </c>
      <c r="P32">
        <v>270195.2</v>
      </c>
      <c r="Q32" t="str">
        <v/>
      </c>
      <c r="R32">
        <v>10.8</v>
      </c>
      <c r="S32">
        <v>100.13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98</v>
      </c>
      <c r="AB32" t="str">
        <v>24/09/2026</v>
      </c>
      <c r="AC32" t="str">
        <v>11:55:38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24/09/2026 11:56:32</v>
      </c>
      <c r="AK32" t="str">
        <v>11:56:32</v>
      </c>
      <c r="AL32" t="str">
        <v/>
      </c>
    </row>
    <row r="33">
      <c r="A33">
        <v>32</v>
      </c>
      <c r="B33" t="str">
        <v>MASS BSF</v>
      </c>
      <c r="C33" t="str">
        <v>ARY-825</v>
      </c>
      <c r="D33" t="str">
        <v>ARY-825</v>
      </c>
      <c r="E33" t="str">
        <v/>
      </c>
      <c r="F33" t="str">
        <v>867162029858180</v>
      </c>
      <c r="G33" t="str">
        <v/>
      </c>
      <c r="H33" t="str">
        <v/>
      </c>
      <c r="I33" t="str">
        <v/>
      </c>
      <c r="J33" t="str">
        <v>24/09/2026</v>
      </c>
      <c r="K33" t="str">
        <v>12:09:23</v>
      </c>
      <c r="L33">
        <v>-12.195944</v>
      </c>
      <c r="M33">
        <v>-76.92153</v>
      </c>
      <c r="N33">
        <f>HYPERLINK("https://www.google.com/maps/search/?api=1&amp;query=-12.195944,-76.92153","Avenida San Martín, Villa María del Triunfo, Lima")</f>
      </c>
      <c r="O33" t="str">
        <v>Vehículo encendido</v>
      </c>
      <c r="P33">
        <v>270195.3</v>
      </c>
      <c r="Q33" t="str">
        <v/>
      </c>
      <c r="R33">
        <v>0</v>
      </c>
      <c r="S33">
        <v>100.13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98</v>
      </c>
      <c r="AB33" t="str">
        <v>24/09/2026</v>
      </c>
      <c r="AC33" t="str">
        <v>11:56:25</v>
      </c>
      <c r="AD33">
        <f>IF("NOGPS"="NOGPS","GPS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24/09/2026 12:09:37</v>
      </c>
      <c r="AK33" t="str">
        <v>12:09:37</v>
      </c>
      <c r="AL33" t="str">
        <v/>
      </c>
    </row>
    <row r="34">
      <c r="A34">
        <v>33</v>
      </c>
      <c r="B34" t="str">
        <v>MASS BSF</v>
      </c>
      <c r="C34" t="str">
        <v>ARY-825</v>
      </c>
      <c r="D34" t="str">
        <v>ARY-825</v>
      </c>
      <c r="E34" t="str">
        <v/>
      </c>
      <c r="F34" t="str">
        <v>867162029858180</v>
      </c>
      <c r="G34" t="str">
        <v/>
      </c>
      <c r="H34" t="str">
        <v/>
      </c>
      <c r="I34" t="str">
        <v/>
      </c>
      <c r="J34" t="str">
        <v>24/09/2026</v>
      </c>
      <c r="K34" t="str">
        <v>12:10:27</v>
      </c>
      <c r="L34">
        <v>-12.195952</v>
      </c>
      <c r="M34">
        <v>-76.92157</v>
      </c>
      <c r="N34">
        <f>HYPERLINK("https://www.google.com/maps/search/?api=1&amp;query=-12.195952,-76.92157","Avenida San Martín, Villa María del Triunfo, Lima")</f>
      </c>
      <c r="O34" t="str">
        <v>Vehículo apagado</v>
      </c>
      <c r="P34">
        <v>270195.3</v>
      </c>
      <c r="Q34" t="str">
        <v/>
      </c>
      <c r="R34">
        <v>5.2</v>
      </c>
      <c r="S34">
        <v>100.15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98</v>
      </c>
      <c r="AB34" t="str">
        <v>24/09/2026</v>
      </c>
      <c r="AC34" t="str">
        <v>12:10:10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24/09/2026 12:10:40</v>
      </c>
      <c r="AK34" t="str">
        <v>12:10:40</v>
      </c>
      <c r="AL34" t="str">
        <v/>
      </c>
    </row>
    <row r="35">
      <c r="A35">
        <v>34</v>
      </c>
      <c r="B35" t="str">
        <v>MASS BSF</v>
      </c>
      <c r="C35" t="str">
        <v>ARY-825</v>
      </c>
      <c r="D35" t="str">
        <v>ARY-825</v>
      </c>
      <c r="E35" t="str">
        <v/>
      </c>
      <c r="F35" t="str">
        <v>867162029858180</v>
      </c>
      <c r="G35" t="str">
        <v/>
      </c>
      <c r="H35" t="str">
        <v/>
      </c>
      <c r="I35" t="str">
        <v/>
      </c>
      <c r="J35" t="str">
        <v>24/09/2026</v>
      </c>
      <c r="K35" t="str">
        <v>12:30:44</v>
      </c>
      <c r="L35">
        <v>-12.195913</v>
      </c>
      <c r="M35">
        <v>-76.92157</v>
      </c>
      <c r="N35">
        <f>HYPERLINK("https://www.google.com/maps/search/?api=1&amp;query=-12.195913,-76.92157","Avenida San Martín, Villa María del Triunfo, Lima")</f>
      </c>
      <c r="O35" t="str">
        <v>Vehículo encendido</v>
      </c>
      <c r="P35">
        <v>270195.3</v>
      </c>
      <c r="Q35" t="str">
        <v/>
      </c>
      <c r="R35">
        <v>0</v>
      </c>
      <c r="S35">
        <v>100.15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98</v>
      </c>
      <c r="AB35" t="str">
        <v>24/09/2026</v>
      </c>
      <c r="AC35" t="str">
        <v>12:10:30</v>
      </c>
      <c r="AD35">
        <f>IF("NOGPS"="NOGPS","GPS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24/09/2026 12:30:56</v>
      </c>
      <c r="AK35" t="str">
        <v>12:30:56</v>
      </c>
      <c r="AL35" t="str">
        <v/>
      </c>
    </row>
    <row r="36">
      <c r="A36">
        <v>35</v>
      </c>
      <c r="B36" t="str">
        <v>MASS BSF</v>
      </c>
      <c r="C36" t="str">
        <v>ARY-825</v>
      </c>
      <c r="D36" t="str">
        <v>ARY-825</v>
      </c>
      <c r="E36" t="str">
        <v/>
      </c>
      <c r="F36" t="str">
        <v>867162029858180</v>
      </c>
      <c r="G36" t="str">
        <v/>
      </c>
      <c r="H36" t="str">
        <v/>
      </c>
      <c r="I36" t="str">
        <v/>
      </c>
      <c r="J36" t="str">
        <v>24/09/2026</v>
      </c>
      <c r="K36" t="str">
        <v>12:39:05</v>
      </c>
      <c r="L36">
        <v>-12.195934</v>
      </c>
      <c r="M36">
        <v>-76.92156</v>
      </c>
      <c r="N36">
        <f>HYPERLINK("https://www.google.com/maps/search/?api=1&amp;query=-12.195934,-76.92156","Avenida San Martín, Villa María del Triunfo, Lima")</f>
      </c>
      <c r="O36" t="str">
        <v>Vehículo apagado</v>
      </c>
      <c r="P36">
        <v>270195.3</v>
      </c>
      <c r="Q36" t="str">
        <v/>
      </c>
      <c r="R36">
        <v>0</v>
      </c>
      <c r="S36">
        <v>100.28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98</v>
      </c>
      <c r="AB36" t="str">
        <v>24/09/2026</v>
      </c>
      <c r="AC36" t="str">
        <v>12:39:07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24/09/2026 12:39:26</v>
      </c>
      <c r="AK36" t="str">
        <v>12:39:26</v>
      </c>
      <c r="AL36" t="str">
        <v/>
      </c>
    </row>
    <row r="37">
      <c r="A37">
        <v>36</v>
      </c>
      <c r="B37" t="str">
        <v>MASS BSF</v>
      </c>
      <c r="C37" t="str">
        <v>ARY-825</v>
      </c>
      <c r="D37" t="str">
        <v>ARY-825</v>
      </c>
      <c r="E37" t="str">
        <v/>
      </c>
      <c r="F37" t="str">
        <v>867162029858180</v>
      </c>
      <c r="G37" t="str">
        <v/>
      </c>
      <c r="H37" t="str">
        <v/>
      </c>
      <c r="I37" t="str">
        <v/>
      </c>
      <c r="J37" t="str">
        <v>24/09/2026</v>
      </c>
      <c r="K37" t="str">
        <v>13:45:39</v>
      </c>
      <c r="L37">
        <v>-12.195934</v>
      </c>
      <c r="M37">
        <v>-76.92156</v>
      </c>
      <c r="N37">
        <f>HYPERLINK("https://www.google.com/maps/search/?api=1&amp;query=-12.195934,-76.92156","Avenida San Martín, Villa María del Triunfo, Lima")</f>
      </c>
      <c r="O37" t="str">
        <v>Vehículo encendido</v>
      </c>
      <c r="P37">
        <v>270195.3</v>
      </c>
      <c r="Q37" t="str">
        <v/>
      </c>
      <c r="R37">
        <v>0</v>
      </c>
      <c r="S37">
        <v>100.28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98</v>
      </c>
      <c r="AB37" t="str">
        <v>24/09/2026</v>
      </c>
      <c r="AC37" t="str">
        <v>13:36:39</v>
      </c>
      <c r="AD37">
        <f>IF("NOGPS"="NOGPS","GPS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24/09/2026 13:46:01</v>
      </c>
      <c r="AK37" t="str">
        <v>13:46:01</v>
      </c>
      <c r="AL37" t="str">
        <v/>
      </c>
    </row>
    <row r="38">
      <c r="A38">
        <v>37</v>
      </c>
      <c r="B38" t="str">
        <v>MASS BSF</v>
      </c>
      <c r="C38" t="str">
        <v>ARY-825</v>
      </c>
      <c r="D38" t="str">
        <v>ARY-825</v>
      </c>
      <c r="E38" t="str">
        <v/>
      </c>
      <c r="F38" t="str">
        <v>867162029858180</v>
      </c>
      <c r="G38" t="str">
        <v/>
      </c>
      <c r="H38" t="str">
        <v/>
      </c>
      <c r="I38" t="str">
        <v/>
      </c>
      <c r="J38" t="str">
        <v>24/09/2026</v>
      </c>
      <c r="K38" t="str">
        <v>13:56:37</v>
      </c>
      <c r="L38">
        <v>-12.184763</v>
      </c>
      <c r="M38">
        <v>-76.93911</v>
      </c>
      <c r="N38">
        <f>HYPERLINK("https://www.google.com/maps/search/?api=1&amp;query=-12.184763,-76.93911","Calle Mercaderes, Villa María del Triunfo, Lima")</f>
      </c>
      <c r="O38" t="str">
        <v>Vehículo apagado</v>
      </c>
      <c r="P38">
        <v>270198.4</v>
      </c>
      <c r="Q38" t="str">
        <v/>
      </c>
      <c r="R38">
        <v>7.4</v>
      </c>
      <c r="S38">
        <v>100.47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98</v>
      </c>
      <c r="AB38" t="str">
        <v>24/09/2026</v>
      </c>
      <c r="AC38" t="str">
        <v>13:55:44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24/09/2026 13:56:46</v>
      </c>
      <c r="AK38" t="str">
        <v>13:56:46</v>
      </c>
      <c r="AL38" t="str">
        <v/>
      </c>
    </row>
    <row r="39">
      <c r="A39">
        <v>38</v>
      </c>
      <c r="B39" t="str">
        <v>MASS BSF</v>
      </c>
      <c r="C39" t="str">
        <v>ARY-825</v>
      </c>
      <c r="D39" t="str">
        <v>ARY-825</v>
      </c>
      <c r="E39" t="str">
        <v/>
      </c>
      <c r="F39" t="str">
        <v>867162029858180</v>
      </c>
      <c r="G39" t="str">
        <v/>
      </c>
      <c r="H39" t="str">
        <v/>
      </c>
      <c r="I39" t="str">
        <v/>
      </c>
      <c r="J39" t="str">
        <v>24/09/2026</v>
      </c>
      <c r="K39" t="str">
        <v>15:21:21</v>
      </c>
      <c r="L39">
        <v>-12.185276</v>
      </c>
      <c r="M39">
        <v>-76.94004</v>
      </c>
      <c r="N39">
        <f>HYPERLINK("https://www.google.com/maps/search/?api=1&amp;query=-12.185276,-76.94004","Calle Mercaderes, Villa María del Triunfo, Lima")</f>
      </c>
      <c r="O39" t="str">
        <v>Vehículo encendido</v>
      </c>
      <c r="P39">
        <v>270198.5</v>
      </c>
      <c r="Q39" t="str">
        <v/>
      </c>
      <c r="R39">
        <v>0</v>
      </c>
      <c r="S39">
        <v>100.53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98</v>
      </c>
      <c r="AB39" t="str">
        <v>24/09/2026</v>
      </c>
      <c r="AC39" t="str">
        <v>14:54:09</v>
      </c>
      <c r="AD39">
        <f>IF("NOGPS"="NOGPS","GPS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24/09/2026 15:21:32</v>
      </c>
      <c r="AK39" t="str">
        <v>15:21:32</v>
      </c>
      <c r="AL39" t="str">
        <v/>
      </c>
    </row>
    <row r="40">
      <c r="A40">
        <v>39</v>
      </c>
      <c r="B40" t="str">
        <v>MASS BSF</v>
      </c>
      <c r="C40" t="str">
        <v>ARY-825</v>
      </c>
      <c r="D40" t="str">
        <v>ARY-825</v>
      </c>
      <c r="E40" t="str">
        <v/>
      </c>
      <c r="F40" t="str">
        <v>867162029858180</v>
      </c>
      <c r="G40" t="str">
        <v/>
      </c>
      <c r="H40" t="str">
        <v/>
      </c>
      <c r="I40" t="str">
        <v/>
      </c>
      <c r="J40" t="str">
        <v>24/09/2026</v>
      </c>
      <c r="K40" t="str">
        <v>15:22:58</v>
      </c>
      <c r="L40">
        <v>-12.185302</v>
      </c>
      <c r="M40">
        <v>-76.94009</v>
      </c>
      <c r="N40">
        <f>HYPERLINK("https://www.google.com/maps/search/?api=1&amp;query=-12.185302,-76.94009","Calle Mercaderes, Villa María del Triunfo, Lima")</f>
      </c>
      <c r="O40" t="str">
        <v>Vehículo apagado</v>
      </c>
      <c r="P40">
        <v>270198.5</v>
      </c>
      <c r="Q40" t="str">
        <v/>
      </c>
      <c r="R40">
        <v>0</v>
      </c>
      <c r="S40">
        <v>100.57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98</v>
      </c>
      <c r="AB40" t="str">
        <v>24/09/2026</v>
      </c>
      <c r="AC40" t="str">
        <v>15:22:18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24/09/2026 15:23:14</v>
      </c>
      <c r="AK40" t="str">
        <v>15:23:14</v>
      </c>
      <c r="AL40" t="str">
        <v/>
      </c>
    </row>
    <row r="41">
      <c r="A41">
        <v>40</v>
      </c>
      <c r="B41" t="str">
        <v>MASS BSF</v>
      </c>
      <c r="C41" t="str">
        <v>ARY-825</v>
      </c>
      <c r="D41" t="str">
        <v>ARY-825</v>
      </c>
      <c r="E41" t="str">
        <v/>
      </c>
      <c r="F41" t="str">
        <v>867162029858180</v>
      </c>
      <c r="G41" t="str">
        <v/>
      </c>
      <c r="H41" t="str">
        <v/>
      </c>
      <c r="I41" t="str">
        <v/>
      </c>
      <c r="J41" t="str">
        <v>24/09/2026</v>
      </c>
      <c r="K41" t="str">
        <v>15:25:15</v>
      </c>
      <c r="L41">
        <v>-12.185283</v>
      </c>
      <c r="M41">
        <v>-76.94008</v>
      </c>
      <c r="N41">
        <f>HYPERLINK("https://www.google.com/maps/search/?api=1&amp;query=-12.185283,-76.94008","Calle Mercaderes, Villa María del Triunfo, Lima")</f>
      </c>
      <c r="O41" t="str">
        <v>Fuente principal desconectada</v>
      </c>
      <c r="P41">
        <v>270198.5</v>
      </c>
      <c r="Q41" t="str">
        <v/>
      </c>
      <c r="R41">
        <v>0</v>
      </c>
      <c r="S41">
        <v>100.57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98</v>
      </c>
      <c r="AB41" t="str">
        <v>24/09/2026</v>
      </c>
      <c r="AC41" t="str">
        <v>15:23:04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24/09/2026 15:25:29</v>
      </c>
      <c r="AK41" t="str">
        <v>15:25:29</v>
      </c>
      <c r="AL41" t="str">
        <v/>
      </c>
    </row>
    <row r="42">
      <c r="A42">
        <v>41</v>
      </c>
      <c r="B42" t="str">
        <v>MASS BSF</v>
      </c>
      <c r="C42" t="str">
        <v>ARY-825</v>
      </c>
      <c r="D42" t="str">
        <v>ARY-825</v>
      </c>
      <c r="E42" t="str">
        <v/>
      </c>
      <c r="F42" t="str">
        <v>867162029858180</v>
      </c>
      <c r="G42" t="str">
        <v/>
      </c>
      <c r="H42" t="str">
        <v/>
      </c>
      <c r="I42" t="str">
        <v/>
      </c>
      <c r="J42" t="str">
        <v>24/09/2026</v>
      </c>
      <c r="K42" t="str">
        <v>15:25:31</v>
      </c>
      <c r="L42">
        <v>-12.185283</v>
      </c>
      <c r="M42">
        <v>-76.94008</v>
      </c>
      <c r="N42">
        <f>HYPERLINK("https://www.google.com/maps/search/?api=1&amp;query=-12.185283,-76.94008","Calle Mercaderes, Villa María del Triunfo, Lima")</f>
      </c>
      <c r="O42" t="str">
        <v>Batería externa baja</v>
      </c>
      <c r="P42">
        <v>270198.5</v>
      </c>
      <c r="Q42" t="str">
        <v/>
      </c>
      <c r="R42">
        <v>0</v>
      </c>
      <c r="S42">
        <v>100.57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98</v>
      </c>
      <c r="AB42" t="str">
        <v>24/09/2026</v>
      </c>
      <c r="AC42" t="str">
        <v>15:25:30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24/09/2026 15:25:44</v>
      </c>
      <c r="AK42" t="str">
        <v>15:25:44</v>
      </c>
      <c r="AL42" t="str">
        <v/>
      </c>
    </row>
  </sheetData>
  <ignoredErrors>
    <ignoredError numberStoredAsText="1" sqref="A1:AL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