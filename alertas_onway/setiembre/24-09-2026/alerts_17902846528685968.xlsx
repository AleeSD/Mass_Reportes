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/>
      </c>
      <c r="J2" t="str">
        <v>24/09/2026</v>
      </c>
      <c r="K2" t="str">
        <v>05:40:33</v>
      </c>
      <c r="L2">
        <v>-12.212942</v>
      </c>
      <c r="M2">
        <v>-76.95893</v>
      </c>
      <c r="N2">
        <f>HYPERLINK("https://www.google.com/maps/search/?api=1&amp;query=-12.212942,-76.95893","Avenida Villa del Mar, Villa El Salvador, Lima")</f>
      </c>
      <c r="O2" t="str">
        <v>Vehículo encendido</v>
      </c>
      <c r="P2">
        <v>561527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24/09/2026</v>
      </c>
      <c r="AC2" t="str">
        <v>05:29:48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05:40:59</v>
      </c>
      <c r="AK2" t="str">
        <v>05:40:59</v>
      </c>
      <c r="AL2" t="str">
        <v/>
      </c>
    </row>
    <row r="3">
      <c r="A3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/>
      </c>
      <c r="J3" t="str">
        <v>24/09/2026</v>
      </c>
      <c r="K3" t="str">
        <v>05:55:34</v>
      </c>
      <c r="L3">
        <v>-12.23072</v>
      </c>
      <c r="M3">
        <v>-76.96591</v>
      </c>
      <c r="N3">
        <f>HYPERLINK("https://www.google.com/maps/search/?api=1&amp;query=-12.23072,-76.96591","Antigua Panamericana Sur, Villa El Salvador, Lima")</f>
      </c>
      <c r="O3" t="str">
        <v>Exceso de velocidad en segmento vial</v>
      </c>
      <c r="P3">
        <v>561531</v>
      </c>
      <c r="Q3" t="str">
        <v/>
      </c>
      <c r="R3">
        <v>63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24/09/2026</v>
      </c>
      <c r="AC3" t="str">
        <v>05:55:31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05:55:59</v>
      </c>
      <c r="AK3" t="str">
        <v>05:55:59</v>
      </c>
      <c r="AL3" t="str">
        <v/>
      </c>
    </row>
    <row r="4">
      <c r="A4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/>
      </c>
      <c r="J4" t="str">
        <v>24/09/2026</v>
      </c>
      <c r="K4" t="str">
        <v>05:58:34</v>
      </c>
      <c r="L4">
        <v>-12.241164</v>
      </c>
      <c r="M4">
        <v>-76.945755</v>
      </c>
      <c r="N4">
        <f>HYPERLINK("https://www.google.com/maps/search/?api=1&amp;query=-12.241164,-76.945755","Antigua Panamericana Sur, Villa El Salvador, Lima")</f>
      </c>
      <c r="O4" t="str">
        <v>Exceso de velocidad en segmento vial</v>
      </c>
      <c r="P4">
        <v>561533.4</v>
      </c>
      <c r="Q4" t="str">
        <v/>
      </c>
      <c r="R4">
        <v>62.3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98</v>
      </c>
      <c r="AB4" t="str">
        <v>24/09/2026</v>
      </c>
      <c r="AC4" t="str">
        <v>05:58:31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05:58:43</v>
      </c>
      <c r="AK4" t="str">
        <v>05:58:43</v>
      </c>
      <c r="AL4" t="str">
        <v/>
      </c>
    </row>
    <row r="5">
      <c r="A5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/>
      </c>
      <c r="J5" t="str">
        <v>24/09/2026</v>
      </c>
      <c r="K5" t="str">
        <v>06:21:53</v>
      </c>
      <c r="L5">
        <v>-12.276308</v>
      </c>
      <c r="M5">
        <v>-76.86908</v>
      </c>
      <c r="N5">
        <f>HYPERLINK("https://www.google.com/maps/search/?api=1&amp;query=-12.276308,-76.86908","Jirón Ramón Castilla, Lurín, Lima")</f>
      </c>
      <c r="O5" t="str">
        <v>Vehículo apagado</v>
      </c>
      <c r="P5">
        <v>561545.7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98</v>
      </c>
      <c r="AB5" t="str">
        <v>24/09/2026</v>
      </c>
      <c r="AC5" t="str">
        <v>06:21:31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06:22:02</v>
      </c>
      <c r="AK5" t="str">
        <v>06:22:02</v>
      </c>
      <c r="AL5" t="str">
        <v/>
      </c>
    </row>
    <row r="6">
      <c r="A6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/>
      </c>
      <c r="J6" t="str">
        <v>24/09/2026</v>
      </c>
      <c r="K6" t="str">
        <v>06:28:58</v>
      </c>
      <c r="L6">
        <v>-12.276308</v>
      </c>
      <c r="M6">
        <v>-76.86908</v>
      </c>
      <c r="N6">
        <f>HYPERLINK("https://www.google.com/maps/search/?api=1&amp;query=-12.276308,-76.86908","Jirón Ramón Castilla, Lurín, Lima")</f>
      </c>
      <c r="O6" t="str">
        <v>Vehículo encendido</v>
      </c>
      <c r="P6">
        <v>561545.7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24/09/2026</v>
      </c>
      <c r="AC6" t="str">
        <v>06:21:57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06:29:26</v>
      </c>
      <c r="AK6" t="str">
        <v>06:29:26</v>
      </c>
      <c r="AL6" t="str">
        <v/>
      </c>
    </row>
    <row r="7">
      <c r="A7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/>
      </c>
      <c r="J7" t="str">
        <v>24/09/2026</v>
      </c>
      <c r="K7" t="str">
        <v>06:50:47</v>
      </c>
      <c r="L7">
        <v>-12.315804</v>
      </c>
      <c r="M7">
        <v>-76.83294</v>
      </c>
      <c r="N7">
        <f>HYPERLINK("https://www.google.com/maps/search/?api=1&amp;query=-12.315804,-76.83294","Antigua Panamericana Sur, Punta Hermosa, Lima")</f>
      </c>
      <c r="O7" t="str">
        <v>Vehículo apagado</v>
      </c>
      <c r="P7">
        <v>561554.6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96</v>
      </c>
      <c r="AB7" t="str">
        <v>24/09/2026</v>
      </c>
      <c r="AC7" t="str">
        <v>06:50:51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06:51:08</v>
      </c>
      <c r="AK7" t="str">
        <v>06:51:08</v>
      </c>
      <c r="AL7" t="str">
        <v/>
      </c>
    </row>
    <row r="8">
      <c r="A8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/>
      </c>
      <c r="J8" t="str">
        <v>24/09/2026</v>
      </c>
      <c r="K8" t="str">
        <v>06:57:02</v>
      </c>
      <c r="L8">
        <v>-12.315804</v>
      </c>
      <c r="M8">
        <v>-76.83294</v>
      </c>
      <c r="N8">
        <f>HYPERLINK("https://www.google.com/maps/search/?api=1&amp;query=-12.315804,-76.83294","Antigua Panamericana Sur, Punta Hermosa, Lima")</f>
      </c>
      <c r="O8" t="str">
        <v>Vehículo encendido</v>
      </c>
      <c r="P8">
        <v>561554.6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96</v>
      </c>
      <c r="AB8" t="str">
        <v>24/09/2026</v>
      </c>
      <c r="AC8" t="str">
        <v>06:50:51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06:57:21</v>
      </c>
      <c r="AK8" t="str">
        <v>06:57:21</v>
      </c>
      <c r="AL8" t="str">
        <v/>
      </c>
    </row>
    <row r="9">
      <c r="A9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/>
      </c>
      <c r="J9" t="str">
        <v>24/09/2026</v>
      </c>
      <c r="K9" t="str">
        <v>07:09:58</v>
      </c>
      <c r="L9">
        <v>-12.333732</v>
      </c>
      <c r="M9">
        <v>-76.824974</v>
      </c>
      <c r="N9">
        <f>HYPERLINK("https://www.google.com/maps/search/?api=1&amp;query=-12.333732,-76.824974","Avenida Gaston Garcia Rada, Punta Hermosa, Lima")</f>
      </c>
      <c r="O9" t="str">
        <v>Vehículo apagado</v>
      </c>
      <c r="P9">
        <v>561557.9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96</v>
      </c>
      <c r="AB9" t="str">
        <v>24/09/2026</v>
      </c>
      <c r="AC9" t="str">
        <v>07:09:03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07:10:07</v>
      </c>
      <c r="AK9" t="str">
        <v>07:10:07</v>
      </c>
      <c r="AL9" t="str">
        <v/>
      </c>
    </row>
    <row r="10">
      <c r="A10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/>
      </c>
      <c r="J10" t="str">
        <v>24/09/2026</v>
      </c>
      <c r="K10" t="str">
        <v>07:51:48</v>
      </c>
      <c r="L10">
        <v>-12.333732</v>
      </c>
      <c r="M10">
        <v>-76.824974</v>
      </c>
      <c r="N10">
        <f>HYPERLINK("https://www.google.com/maps/search/?api=1&amp;query=-12.333732,-76.824974","Avenida Gaston Garcia Rada, Punta Hermosa, Lima")</f>
      </c>
      <c r="O10" t="str">
        <v>Vehículo encendido</v>
      </c>
      <c r="P10">
        <v>561557.9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96</v>
      </c>
      <c r="AB10" t="str">
        <v>24/09/2026</v>
      </c>
      <c r="AC10" t="str">
        <v>07:37:34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07:52:10</v>
      </c>
      <c r="AK10" t="str">
        <v>07:52:10</v>
      </c>
      <c r="AL10" t="str">
        <v/>
      </c>
    </row>
    <row r="11">
      <c r="A11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 xml:space="preserve"> </v>
      </c>
      <c r="J11" t="str">
        <v>24/09/2026</v>
      </c>
      <c r="K11" t="str">
        <v>07:59:08</v>
      </c>
      <c r="L11">
        <v>-12.317426</v>
      </c>
      <c r="M11">
        <v>-76.82951</v>
      </c>
      <c r="N11">
        <f>HYPERLINK("https://www.google.com/maps/search/?api=1&amp;query=-12.317426,-76.82951","Punta Hermosa, Lima")</f>
      </c>
      <c r="O11" t="str">
        <v>Llegó a la zona</v>
      </c>
      <c r="P11">
        <v>561560.6</v>
      </c>
      <c r="Q11" t="str">
        <v>MASS BSF 1</v>
      </c>
      <c r="R11">
        <v>3.7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95</v>
      </c>
      <c r="AB11" t="str">
        <v>24/09/2026</v>
      </c>
      <c r="AC11" t="str">
        <v>07:59:08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07:59:25</v>
      </c>
      <c r="AK11" t="str">
        <v>07:59:25</v>
      </c>
      <c r="AL11" t="str">
        <v/>
      </c>
    </row>
    <row r="12">
      <c r="A12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/>
      </c>
      <c r="J12" t="str">
        <v>24/09/2026</v>
      </c>
      <c r="K12" t="str">
        <v>08:05:30</v>
      </c>
      <c r="L12">
        <v>-12.317268</v>
      </c>
      <c r="M12">
        <v>-76.822975</v>
      </c>
      <c r="N12">
        <f>HYPERLINK("https://www.google.com/maps/search/?api=1&amp;query=-12.317268,-76.822975","Punta Hermosa, Lima")</f>
      </c>
      <c r="O12" t="str">
        <v>Vehículo apagado</v>
      </c>
      <c r="P12">
        <v>561561.9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96</v>
      </c>
      <c r="AB12" t="str">
        <v>24/09/2026</v>
      </c>
      <c r="AC12" t="str">
        <v>08:04:44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08:05:41</v>
      </c>
      <c r="AK12" t="str">
        <v>08:05:41</v>
      </c>
      <c r="AL12" t="str">
        <v/>
      </c>
    </row>
    <row r="13">
      <c r="A13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/>
      </c>
      <c r="J13" t="str">
        <v>24/09/2026</v>
      </c>
      <c r="K13" t="str">
        <v>08:18:12</v>
      </c>
      <c r="L13">
        <v>-12.317268</v>
      </c>
      <c r="M13">
        <v>-76.822975</v>
      </c>
      <c r="N13">
        <f>HYPERLINK("https://www.google.com/maps/search/?api=1&amp;query=-12.317268,-76.822975","Punta Hermosa, Lima")</f>
      </c>
      <c r="O13" t="str">
        <v>Vehículo encendido</v>
      </c>
      <c r="P13">
        <v>561561.9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96</v>
      </c>
      <c r="AB13" t="str">
        <v>24/09/2026</v>
      </c>
      <c r="AC13" t="str">
        <v>08:05:34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08:18:33</v>
      </c>
      <c r="AK13" t="str">
        <v>08:18:33</v>
      </c>
      <c r="AL13" t="str">
        <v/>
      </c>
    </row>
    <row r="14">
      <c r="A14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/>
      </c>
      <c r="J14" t="str">
        <v>24/09/2026</v>
      </c>
      <c r="K14" t="str">
        <v>08:23:33</v>
      </c>
      <c r="L14">
        <v>-12.317854</v>
      </c>
      <c r="M14">
        <v>-76.82424</v>
      </c>
      <c r="N14">
        <f>HYPERLINK("https://www.google.com/maps/search/?api=1&amp;query=-12.317854,-76.82424","Punta Hermosa, Lima")</f>
      </c>
      <c r="O14" t="str">
        <v>Vehículo apagado</v>
      </c>
      <c r="P14">
        <v>561562.1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96</v>
      </c>
      <c r="AB14" t="str">
        <v>24/09/2026</v>
      </c>
      <c r="AC14" t="str">
        <v>08:23:11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08:23:42</v>
      </c>
      <c r="AK14" t="str">
        <v>08:23:42</v>
      </c>
      <c r="AL14" t="str">
        <v/>
      </c>
    </row>
    <row r="15">
      <c r="A15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/>
      </c>
      <c r="J15" t="str">
        <v>24/09/2026</v>
      </c>
      <c r="K15" t="str">
        <v>08:23:51</v>
      </c>
      <c r="L15">
        <v>-12.317896</v>
      </c>
      <c r="M15">
        <v>-76.82426</v>
      </c>
      <c r="N15">
        <f>HYPERLINK("https://www.google.com/maps/search/?api=1&amp;query=-12.317896,-76.82426","Punta Hermosa, Lima")</f>
      </c>
      <c r="O15" t="str">
        <v>Vehículo encendido</v>
      </c>
      <c r="P15">
        <v>561562.1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96</v>
      </c>
      <c r="AB15" t="str">
        <v>24/09/2026</v>
      </c>
      <c r="AC15" t="str">
        <v>08:23:55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08:24:07</v>
      </c>
      <c r="AK15" t="str">
        <v>08:24:07</v>
      </c>
      <c r="AL15" t="str">
        <v/>
      </c>
    </row>
    <row r="16">
      <c r="A16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/>
      </c>
      <c r="J16" t="str">
        <v>24/09/2026</v>
      </c>
      <c r="K16" t="str">
        <v>08:24:03</v>
      </c>
      <c r="L16">
        <v>-12.317896</v>
      </c>
      <c r="M16">
        <v>-76.82426</v>
      </c>
      <c r="N16">
        <f>HYPERLINK("https://www.google.com/maps/search/?api=1&amp;query=-12.317896,-76.82426","Punta Hermosa, Lima")</f>
      </c>
      <c r="O16" t="str">
        <v>Vehículo apagado</v>
      </c>
      <c r="P16">
        <v>561562.1</v>
      </c>
      <c r="Q16" t="str">
        <v/>
      </c>
      <c r="R16">
        <v>0.1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96</v>
      </c>
      <c r="AB16" t="str">
        <v>24/09/2026</v>
      </c>
      <c r="AC16" t="str">
        <v>08:23:55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08:24:13</v>
      </c>
      <c r="AK16" t="str">
        <v>08:24:13</v>
      </c>
      <c r="AL16" t="str">
        <v/>
      </c>
    </row>
    <row r="17">
      <c r="A17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/>
      </c>
      <c r="J17" t="str">
        <v>24/09/2026</v>
      </c>
      <c r="K17" t="str">
        <v>09:07:37</v>
      </c>
      <c r="L17">
        <v>-12.317896</v>
      </c>
      <c r="M17">
        <v>-76.82426</v>
      </c>
      <c r="N17">
        <f>HYPERLINK("https://www.google.com/maps/search/?api=1&amp;query=-12.317896,-76.82426","Punta Hermosa, Lima")</f>
      </c>
      <c r="O17" t="str">
        <v>Vehículo encendido</v>
      </c>
      <c r="P17">
        <v>561562.1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95</v>
      </c>
      <c r="AB17" t="str">
        <v>24/09/2026</v>
      </c>
      <c r="AC17" t="str">
        <v>08:51:32</v>
      </c>
      <c r="AD17">
        <f>IF("NOGPS"="NOGPS","GPS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09:07:56</v>
      </c>
      <c r="AK17" t="str">
        <v>09:07:56</v>
      </c>
      <c r="AL17" t="str">
        <v/>
      </c>
    </row>
    <row r="18">
      <c r="A18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 xml:space="preserve"> </v>
      </c>
      <c r="J18" t="str">
        <v>24/09/2026</v>
      </c>
      <c r="K18" t="str">
        <v>09:15:06</v>
      </c>
      <c r="L18">
        <v>-12.317512</v>
      </c>
      <c r="M18">
        <v>-76.83</v>
      </c>
      <c r="N18">
        <f>HYPERLINK("https://www.google.com/maps/search/?api=1&amp;query=-12.317512,-76.83","Punta Hermosa, Lima")</f>
      </c>
      <c r="O18" t="str">
        <v>Salió de zona</v>
      </c>
      <c r="P18">
        <v>561563</v>
      </c>
      <c r="Q18" t="str">
        <v>MASS BSF 1</v>
      </c>
      <c r="R18">
        <v>13.7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95</v>
      </c>
      <c r="AB18" t="str">
        <v>24/09/2026</v>
      </c>
      <c r="AC18" t="str">
        <v>09:15:05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09:15:22</v>
      </c>
      <c r="AK18" t="str">
        <v>09:15:22</v>
      </c>
      <c r="AL18" t="str">
        <v/>
      </c>
    </row>
    <row r="19">
      <c r="A19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/>
      </c>
      <c r="J19" t="str">
        <v>24/09/2026</v>
      </c>
      <c r="K19" t="str">
        <v>09:25:33</v>
      </c>
      <c r="L19">
        <v>-12.257557</v>
      </c>
      <c r="M19">
        <v>-76.9192</v>
      </c>
      <c r="N19">
        <f>HYPERLINK("https://www.google.com/maps/search/?api=1&amp;query=-12.257557,-76.9192","Carretera Panamericana Sur, Lurín, Lima")</f>
      </c>
      <c r="O19" t="str">
        <v>Excedió el límite de velocidad</v>
      </c>
      <c r="P19">
        <v>561574.9</v>
      </c>
      <c r="Q19" t="str">
        <v/>
      </c>
      <c r="R19">
        <v>80.1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95</v>
      </c>
      <c r="AB19" t="str">
        <v>24/09/2026</v>
      </c>
      <c r="AC19" t="str">
        <v>09:25:32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09:26:07</v>
      </c>
      <c r="AK19" t="str">
        <v>09:26:07</v>
      </c>
      <c r="AL19" t="str">
        <v/>
      </c>
    </row>
    <row r="20">
      <c r="A20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/>
      </c>
      <c r="J20" t="str">
        <v>24/09/2026</v>
      </c>
      <c r="K20" t="str">
        <v>09:28:24</v>
      </c>
      <c r="L20">
        <v>-12.24208</v>
      </c>
      <c r="M20">
        <v>-76.944496</v>
      </c>
      <c r="N20">
        <f>HYPERLINK("https://www.google.com/maps/search/?api=1&amp;query=-12.24208,-76.944496","Carretera Panamericana Sur, Villa El Salvador, Lima")</f>
      </c>
      <c r="O20" t="str">
        <v>Excedió el límite de velocidad</v>
      </c>
      <c r="P20">
        <v>561578.1</v>
      </c>
      <c r="Q20" t="str">
        <v/>
      </c>
      <c r="R20">
        <v>80.5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93</v>
      </c>
      <c r="AB20" t="str">
        <v>24/09/2026</v>
      </c>
      <c r="AC20" t="str">
        <v>09:28:23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09:28:37</v>
      </c>
      <c r="AK20" t="str">
        <v>09:28:37</v>
      </c>
      <c r="AL20" t="str">
        <v/>
      </c>
    </row>
    <row r="21">
      <c r="A21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/>
      </c>
      <c r="J21" t="str">
        <v>24/09/2026</v>
      </c>
      <c r="K21" t="str">
        <v>09:30:03</v>
      </c>
      <c r="L21">
        <v>-12.232588</v>
      </c>
      <c r="M21">
        <v>-76.96274</v>
      </c>
      <c r="N21">
        <f>HYPERLINK("https://www.google.com/maps/search/?api=1&amp;query=-12.232588,-76.96274","Carretera Panamericana Sur, Villa El Salvador, Lima")</f>
      </c>
      <c r="O21" t="str">
        <v>Excedió el límite de velocidad</v>
      </c>
      <c r="P21">
        <v>561580.4</v>
      </c>
      <c r="Q21" t="str">
        <v/>
      </c>
      <c r="R21">
        <v>82.2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93</v>
      </c>
      <c r="AB21" t="str">
        <v>24/09/2026</v>
      </c>
      <c r="AC21" t="str">
        <v>09:30:02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09:30:15</v>
      </c>
      <c r="AK21" t="str">
        <v>09:30:15</v>
      </c>
      <c r="AL21" t="str">
        <v/>
      </c>
    </row>
    <row r="22">
      <c r="A22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/>
      </c>
      <c r="J22" t="str">
        <v>24/09/2026</v>
      </c>
      <c r="K22" t="str">
        <v>09:49:48</v>
      </c>
      <c r="L22">
        <v>-12.170065</v>
      </c>
      <c r="M22">
        <v>-76.96824</v>
      </c>
      <c r="N22">
        <f>HYPERLINK("https://www.google.com/maps/search/?api=1&amp;query=-12.170065,-76.96824","Avenida César Canevaro, San Juan de Miraflores, Lima")</f>
      </c>
      <c r="O22" t="str">
        <v>Vehículo apagado</v>
      </c>
      <c r="P22">
        <v>561590.3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93</v>
      </c>
      <c r="AB22" t="str">
        <v>24/09/2026</v>
      </c>
      <c r="AC22" t="str">
        <v>09:49:35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09:50:03</v>
      </c>
      <c r="AK22" t="str">
        <v>09:50:03</v>
      </c>
      <c r="AL22" t="str">
        <v/>
      </c>
    </row>
    <row r="23">
      <c r="A23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/>
      </c>
      <c r="J23" t="str">
        <v>24/09/2026</v>
      </c>
      <c r="K23" t="str">
        <v>10:12:40</v>
      </c>
      <c r="L23">
        <v>-12.169937</v>
      </c>
      <c r="M23">
        <v>-76.96825</v>
      </c>
      <c r="N23">
        <f>HYPERLINK("https://www.google.com/maps/search/?api=1&amp;query=-12.169937,-76.96825","Avenida César Canevaro, San Juan de Miraflores, Lima")</f>
      </c>
      <c r="O23" t="str">
        <v>Vehículo encendido</v>
      </c>
      <c r="P23">
        <v>561590.3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93</v>
      </c>
      <c r="AB23" t="str">
        <v>24/09/2026</v>
      </c>
      <c r="AC23" t="str">
        <v>09:49:54</v>
      </c>
      <c r="AD23">
        <f>IF("NOGPS"="NOGPS","GPS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10:12:59</v>
      </c>
      <c r="AK23" t="str">
        <v>10:12:59</v>
      </c>
      <c r="AL23" t="str">
        <v/>
      </c>
    </row>
    <row r="24">
      <c r="A24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/>
      </c>
      <c r="J24" t="str">
        <v>24/09/2026</v>
      </c>
      <c r="K24" t="str">
        <v>10:15:17</v>
      </c>
      <c r="L24">
        <v>-12.164013</v>
      </c>
      <c r="M24">
        <v>-76.96906</v>
      </c>
      <c r="N24">
        <f>HYPERLINK("https://www.google.com/maps/search/?api=1&amp;query=-12.164013,-76.96906","Avenida César Canevaro, San Juan de Miraflores, Lima")</f>
      </c>
      <c r="O24" t="str">
        <v>Vehículo apagado</v>
      </c>
      <c r="P24">
        <v>561591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93</v>
      </c>
      <c r="AB24" t="str">
        <v>24/09/2026</v>
      </c>
      <c r="AC24" t="str">
        <v>10:15:20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10:15:42</v>
      </c>
      <c r="AK24" t="str">
        <v>10:15:42</v>
      </c>
      <c r="AL24" t="str">
        <v/>
      </c>
    </row>
    <row r="25">
      <c r="A25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/>
      </c>
      <c r="J25" t="str">
        <v>24/09/2026</v>
      </c>
      <c r="K25" t="str">
        <v>10:25:57</v>
      </c>
      <c r="L25">
        <v>-12.164013</v>
      </c>
      <c r="M25">
        <v>-76.96906</v>
      </c>
      <c r="N25">
        <f>HYPERLINK("https://www.google.com/maps/search/?api=1&amp;query=-12.164013,-76.96906","Avenida César Canevaro, San Juan de Miraflores, Lima")</f>
      </c>
      <c r="O25" t="str">
        <v>Vehículo encendido</v>
      </c>
      <c r="P25">
        <v>561591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93</v>
      </c>
      <c r="AB25" t="str">
        <v>24/09/2026</v>
      </c>
      <c r="AC25" t="str">
        <v>10:15:20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10:26:06</v>
      </c>
      <c r="AK25" t="str">
        <v>10:26:06</v>
      </c>
      <c r="AL25" t="str">
        <v/>
      </c>
    </row>
    <row r="26">
      <c r="A26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/>
      </c>
      <c r="J26" t="str">
        <v>24/09/2026</v>
      </c>
      <c r="K26" t="str">
        <v>10:44:52</v>
      </c>
      <c r="L26">
        <v>-12.13948</v>
      </c>
      <c r="M26">
        <v>-76.95969</v>
      </c>
      <c r="N26">
        <f>HYPERLINK("https://www.google.com/maps/search/?api=1&amp;query=-12.13948,-76.95969","Jirón Trujillo, San Juan de Miraflores, Lima")</f>
      </c>
      <c r="O26" t="str">
        <v>Vehículo apagado</v>
      </c>
      <c r="P26">
        <v>561594.8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93</v>
      </c>
      <c r="AB26" t="str">
        <v>24/09/2026</v>
      </c>
      <c r="AC26" t="str">
        <v>10:43:52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10:45:00</v>
      </c>
      <c r="AK26" t="str">
        <v>10:45:00</v>
      </c>
      <c r="AL26" t="str">
        <v/>
      </c>
    </row>
    <row r="27">
      <c r="A27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/>
      </c>
      <c r="J27" t="str">
        <v>24/09/2026</v>
      </c>
      <c r="K27" t="str">
        <v>11:25:11</v>
      </c>
      <c r="L27">
        <v>-12.13948</v>
      </c>
      <c r="M27">
        <v>-76.95969</v>
      </c>
      <c r="N27">
        <f>HYPERLINK("https://www.google.com/maps/search/?api=1&amp;query=-12.13948,-76.95969","Jirón Trujillo, San Juan de Miraflores, Lima")</f>
      </c>
      <c r="O27" t="str">
        <v>Vehículo encendido</v>
      </c>
      <c r="P27">
        <v>561594.8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93</v>
      </c>
      <c r="AB27" t="str">
        <v>24/09/2026</v>
      </c>
      <c r="AC27" t="str">
        <v>11:12:31</v>
      </c>
      <c r="AD27">
        <f>IF("NOGPS"="NOGPS","GPS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11:25:32</v>
      </c>
      <c r="AK27" t="str">
        <v>11:25:32</v>
      </c>
      <c r="AL27" t="str">
        <v/>
      </c>
    </row>
    <row r="28">
      <c r="A28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/>
      </c>
      <c r="J28" t="str">
        <v>24/09/2026</v>
      </c>
      <c r="K28" t="str">
        <v>12:15:03</v>
      </c>
      <c r="L28">
        <v>-12.261757</v>
      </c>
      <c r="M28">
        <v>-76.91275</v>
      </c>
      <c r="N28">
        <f>HYPERLINK("https://www.google.com/maps/search/?api=1&amp;query=-12.261757,-76.91275","Carretera Panamericana Sur, Lurín, Lima")</f>
      </c>
      <c r="O28" t="str">
        <v>Excedió el límite de velocidad</v>
      </c>
      <c r="P28">
        <v>561618.2</v>
      </c>
      <c r="Q28" t="str">
        <v/>
      </c>
      <c r="R28">
        <v>82.2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92</v>
      </c>
      <c r="AB28" t="str">
        <v>24/09/2026</v>
      </c>
      <c r="AC28" t="str">
        <v>12:15:02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12:15:13</v>
      </c>
      <c r="AK28" t="str">
        <v>12:15:13</v>
      </c>
      <c r="AL28" t="str">
        <v/>
      </c>
    </row>
    <row r="29">
      <c r="A29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/>
      </c>
      <c r="J29" t="str">
        <v>24/09/2026</v>
      </c>
      <c r="K29" t="str">
        <v>12:15:57</v>
      </c>
      <c r="L29">
        <v>-12.26769</v>
      </c>
      <c r="M29">
        <v>-76.90325</v>
      </c>
      <c r="N29">
        <f>HYPERLINK("https://www.google.com/maps/search/?api=1&amp;query=-12.26769,-76.90325","Carretera Panamericana Sur, Lurín, Lima")</f>
      </c>
      <c r="O29" t="str">
        <v>Excedió el límite de velocidad</v>
      </c>
      <c r="P29">
        <v>561619.5</v>
      </c>
      <c r="Q29" t="str">
        <v/>
      </c>
      <c r="R29">
        <v>80.2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92</v>
      </c>
      <c r="AB29" t="str">
        <v>24/09/2026</v>
      </c>
      <c r="AC29" t="str">
        <v>12:15:56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12:16:11</v>
      </c>
      <c r="AK29" t="str">
        <v>12:16:11</v>
      </c>
      <c r="AL29" t="str">
        <v/>
      </c>
    </row>
    <row r="30">
      <c r="A30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/>
      </c>
      <c r="J30" t="str">
        <v>24/09/2026</v>
      </c>
      <c r="K30" t="str">
        <v>12:19:15</v>
      </c>
      <c r="L30">
        <v>-12.288492</v>
      </c>
      <c r="M30">
        <v>-76.870186</v>
      </c>
      <c r="N30">
        <f>HYPERLINK("https://www.google.com/maps/search/?api=1&amp;query=-12.288492,-76.870186","Carretera Panamericana Sur, Lurín, Lima")</f>
      </c>
      <c r="O30" t="str">
        <v>Excedió el límite de velocidad</v>
      </c>
      <c r="P30">
        <v>561623.7</v>
      </c>
      <c r="Q30" t="str">
        <v/>
      </c>
      <c r="R30">
        <v>82.2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92</v>
      </c>
      <c r="AB30" t="str">
        <v>24/09/2026</v>
      </c>
      <c r="AC30" t="str">
        <v>12:19:14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12:19:33</v>
      </c>
      <c r="AK30" t="str">
        <v>12:19:33</v>
      </c>
      <c r="AL30" t="str">
        <v/>
      </c>
    </row>
    <row r="31">
      <c r="A31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 xml:space="preserve"> </v>
      </c>
      <c r="J31" t="str">
        <v>24/09/2026</v>
      </c>
      <c r="K31" t="str">
        <v>12:28:51</v>
      </c>
      <c r="L31">
        <v>-12.317594</v>
      </c>
      <c r="M31">
        <v>-76.82967</v>
      </c>
      <c r="N31">
        <f>HYPERLINK("https://www.google.com/maps/search/?api=1&amp;query=-12.317594,-76.82967","Punta Hermosa, Lima")</f>
      </c>
      <c r="O31" t="str">
        <v>Llegó a la zona</v>
      </c>
      <c r="P31">
        <v>561632.5</v>
      </c>
      <c r="Q31" t="str">
        <v>MASS BSF 1</v>
      </c>
      <c r="R31">
        <v>15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92</v>
      </c>
      <c r="AB31" t="str">
        <v>24/09/2026</v>
      </c>
      <c r="AC31" t="str">
        <v>12:28:50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12:29:08</v>
      </c>
      <c r="AK31" t="str">
        <v>12:29:08</v>
      </c>
      <c r="AL31" t="str">
        <v/>
      </c>
    </row>
    <row r="32">
      <c r="A32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/>
      </c>
      <c r="J32" t="str">
        <v>24/09/2026</v>
      </c>
      <c r="K32" t="str">
        <v>12:39:52</v>
      </c>
      <c r="L32">
        <v>-12.317324</v>
      </c>
      <c r="M32">
        <v>-76.82299</v>
      </c>
      <c r="N32">
        <f>HYPERLINK("https://www.google.com/maps/search/?api=1&amp;query=-12.317324,-76.82299","Punta Hermosa, Lima")</f>
      </c>
      <c r="O32" t="str">
        <v>Inicio de ralentí</v>
      </c>
      <c r="P32">
        <v>561635.3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92</v>
      </c>
      <c r="AB32" t="str">
        <v>24/09/2026</v>
      </c>
      <c r="AC32" t="str">
        <v>12:38:10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12:40:02</v>
      </c>
      <c r="AK32" t="str">
        <v>12:40:02</v>
      </c>
      <c r="AL32" t="str">
        <v/>
      </c>
    </row>
    <row r="33">
      <c r="A33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/>
      </c>
      <c r="J33" t="str">
        <v>24/09/2026</v>
      </c>
      <c r="K33" t="str">
        <v>12:48:15</v>
      </c>
      <c r="L33">
        <v>-12.317324</v>
      </c>
      <c r="M33">
        <v>-76.82299</v>
      </c>
      <c r="N33">
        <f>HYPERLINK("https://www.google.com/maps/search/?api=1&amp;query=-12.317324,-76.82299","Punta Hermosa, Lima")</f>
      </c>
      <c r="O33" t="str">
        <v>Vehículo apagado</v>
      </c>
      <c r="P33">
        <v>561635.3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92</v>
      </c>
      <c r="AB33" t="str">
        <v>24/09/2026</v>
      </c>
      <c r="AC33" t="str">
        <v>12:47:10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12:48:26</v>
      </c>
      <c r="AK33" t="str">
        <v>12:48:26</v>
      </c>
      <c r="AL33" t="str">
        <v/>
      </c>
    </row>
    <row r="34">
      <c r="A34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/>
      </c>
      <c r="J34" t="str">
        <v>24/09/2026</v>
      </c>
      <c r="K34" t="str">
        <v>12:49:15</v>
      </c>
      <c r="L34">
        <v>-12.317334</v>
      </c>
      <c r="M34">
        <v>-76.82289</v>
      </c>
      <c r="N34">
        <f>HYPERLINK("https://www.google.com/maps/search/?api=1&amp;query=-12.317334,-76.82289","Punta Hermosa, Lima")</f>
      </c>
      <c r="O34" t="str">
        <v>Fin de ralentí</v>
      </c>
      <c r="P34">
        <v>561635.3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92</v>
      </c>
      <c r="AB34" t="str">
        <v>24/09/2026</v>
      </c>
      <c r="AC34" t="str">
        <v>12:48:18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12:49:28</v>
      </c>
      <c r="AK34" t="str">
        <v>12:49:28</v>
      </c>
      <c r="AL34" t="str">
        <v/>
      </c>
    </row>
    <row r="35">
      <c r="A35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/>
      </c>
      <c r="J35" t="str">
        <v>24/09/2026</v>
      </c>
      <c r="K35" t="str">
        <v>12:55:04</v>
      </c>
      <c r="L35">
        <v>-12.317334</v>
      </c>
      <c r="M35">
        <v>-76.82289</v>
      </c>
      <c r="N35">
        <f>HYPERLINK("https://www.google.com/maps/search/?api=1&amp;query=-12.317334,-76.82289","Punta Hermosa, Lima")</f>
      </c>
      <c r="O35" t="str">
        <v>Vehículo encendido</v>
      </c>
      <c r="P35">
        <v>561635.3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92</v>
      </c>
      <c r="AB35" t="str">
        <v>24/09/2026</v>
      </c>
      <c r="AC35" t="str">
        <v>12:48:18</v>
      </c>
      <c r="AD35">
        <f>IF("NOGPS"="NOGPS","GPS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12:55:19</v>
      </c>
      <c r="AK35" t="str">
        <v>12:55:19</v>
      </c>
      <c r="AL35" t="str">
        <v/>
      </c>
    </row>
    <row r="36">
      <c r="A36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/>
      </c>
      <c r="J36" t="str">
        <v>24/09/2026</v>
      </c>
      <c r="K36" t="str">
        <v>12:58:18</v>
      </c>
      <c r="L36">
        <v>-12.317885</v>
      </c>
      <c r="M36">
        <v>-76.82419</v>
      </c>
      <c r="N36">
        <f>HYPERLINK("https://www.google.com/maps/search/?api=1&amp;query=-12.317885,-76.82419","Punta Hermosa, Lima")</f>
      </c>
      <c r="O36" t="str">
        <v>Vehículo apagado</v>
      </c>
      <c r="P36">
        <v>561635.5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92</v>
      </c>
      <c r="AB36" t="str">
        <v>24/09/2026</v>
      </c>
      <c r="AC36" t="str">
        <v>12:58:03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12:58:24</v>
      </c>
      <c r="AK36" t="str">
        <v>12:58:24</v>
      </c>
      <c r="AL36" t="str">
        <v/>
      </c>
    </row>
    <row r="37">
      <c r="A37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/>
      </c>
      <c r="J37" t="str">
        <v>24/09/2026</v>
      </c>
      <c r="K37" t="str">
        <v>14:16:31</v>
      </c>
      <c r="L37">
        <v>-12.317885</v>
      </c>
      <c r="M37">
        <v>-76.82419</v>
      </c>
      <c r="N37">
        <f>HYPERLINK("https://www.google.com/maps/search/?api=1&amp;query=-12.317885,-76.82419","Punta Hermosa, Lima")</f>
      </c>
      <c r="O37" t="str">
        <v>Vehículo encendido</v>
      </c>
      <c r="P37">
        <v>561635.5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92</v>
      </c>
      <c r="AB37" t="str">
        <v>24/09/2026</v>
      </c>
      <c r="AC37" t="str">
        <v>13:55:52</v>
      </c>
      <c r="AD37">
        <f>IF("NOGPS"="NOGPS","GPS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14:16:46</v>
      </c>
      <c r="AK37" t="str">
        <v>14:16:46</v>
      </c>
      <c r="AL37" t="str">
        <v/>
      </c>
    </row>
    <row r="38">
      <c r="A38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/>
      </c>
      <c r="J38" t="str">
        <v>24/09/2026</v>
      </c>
      <c r="K38" t="str">
        <v>14:21:51</v>
      </c>
      <c r="L38">
        <v>-12.317663</v>
      </c>
      <c r="M38">
        <v>-76.82444</v>
      </c>
      <c r="N38">
        <f>HYPERLINK("https://www.google.com/maps/search/?api=1&amp;query=-12.317663,-76.82444","Punta Hermosa, Lima")</f>
      </c>
      <c r="O38" t="str">
        <v>Vehículo apagado</v>
      </c>
      <c r="P38">
        <v>561635.5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24/09/2026</v>
      </c>
      <c r="AC38" t="str">
        <v>14:21:53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14:22:16</v>
      </c>
      <c r="AK38" t="str">
        <v>14:22:16</v>
      </c>
      <c r="AL38" t="str">
        <v/>
      </c>
    </row>
    <row r="39">
      <c r="A39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/>
      </c>
      <c r="J39" t="str">
        <v>24/09/2026</v>
      </c>
      <c r="K39" t="str">
        <v>14:51:55</v>
      </c>
      <c r="L39">
        <v>-12.317663</v>
      </c>
      <c r="M39">
        <v>-76.82444</v>
      </c>
      <c r="N39">
        <f>HYPERLINK("https://www.google.com/maps/search/?api=1&amp;query=-12.317663,-76.82444","Punta Hermosa, Lima")</f>
      </c>
      <c r="O39" t="str">
        <v>Vehículo encendido</v>
      </c>
      <c r="P39">
        <v>561635.6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24/09/2026</v>
      </c>
      <c r="AC39" t="str">
        <v>14:49:19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14:52:08</v>
      </c>
      <c r="AK39" t="str">
        <v>14:52:08</v>
      </c>
      <c r="AL39" t="str">
        <v/>
      </c>
    </row>
    <row r="40">
      <c r="A40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 xml:space="preserve"> </v>
      </c>
      <c r="J40" t="str">
        <v>24/09/2026</v>
      </c>
      <c r="K40" t="str">
        <v>15:03:22</v>
      </c>
      <c r="L40">
        <v>-12.317506</v>
      </c>
      <c r="M40">
        <v>-76.82996</v>
      </c>
      <c r="N40">
        <f>HYPERLINK("https://www.google.com/maps/search/?api=1&amp;query=-12.317506,-76.82996","Punta Hermosa, Lima")</f>
      </c>
      <c r="O40" t="str">
        <v>Salió de zona</v>
      </c>
      <c r="P40">
        <v>561636.4</v>
      </c>
      <c r="Q40" t="str">
        <v>MASS BSF 1</v>
      </c>
      <c r="R40">
        <v>14.1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90</v>
      </c>
      <c r="AB40" t="str">
        <v>24/09/2026</v>
      </c>
      <c r="AC40" t="str">
        <v>15:03:21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15:03:35</v>
      </c>
      <c r="AK40" t="str">
        <v>15:03:35</v>
      </c>
      <c r="AL40" t="str">
        <v/>
      </c>
    </row>
    <row r="41">
      <c r="A41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/>
      </c>
      <c r="J41" t="str">
        <v>24/09/2026</v>
      </c>
      <c r="K41" t="str">
        <v>15:40:23</v>
      </c>
      <c r="L41">
        <v>-12.21294</v>
      </c>
      <c r="M41">
        <v>-76.95912</v>
      </c>
      <c r="N41">
        <f>HYPERLINK("https://www.google.com/maps/search/?api=1&amp;query=-12.21294,-76.95912","Avenida Villa del Mar, Villa El Salvador, Lima")</f>
      </c>
      <c r="O41" t="str">
        <v>Vehículo apagado</v>
      </c>
      <c r="P41">
        <v>561658.1</v>
      </c>
      <c r="Q41" t="str">
        <v/>
      </c>
      <c r="R41">
        <v>5.6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24/09/2026</v>
      </c>
      <c r="AC41" t="str">
        <v>15:39:57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15:40:32</v>
      </c>
      <c r="AK41" t="str">
        <v>15:40:32</v>
      </c>
      <c r="AL41" t="str">
        <v/>
      </c>
    </row>
    <row r="42">
      <c r="A42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/>
      </c>
      <c r="J42" t="str">
        <v>24/09/2026</v>
      </c>
      <c r="K42" t="str">
        <v>15:45:41</v>
      </c>
      <c r="L42">
        <v>-12.212854</v>
      </c>
      <c r="M42">
        <v>-76.958984</v>
      </c>
      <c r="N42">
        <f>HYPERLINK("https://www.google.com/maps/search/?api=1&amp;query=-12.212854,-76.958984","Avenida Villa del Mar, Villa El Salvador, Lima")</f>
      </c>
      <c r="O42" t="str">
        <v>Vehículo encendido</v>
      </c>
      <c r="P42">
        <v>561658.1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24/09/2026</v>
      </c>
      <c r="AC42" t="str">
        <v>15:40:26</v>
      </c>
      <c r="AD42">
        <f>IF("NOGPS"="NOGPS","GPS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15:46:01</v>
      </c>
      <c r="AK42" t="str">
        <v>15:46:01</v>
      </c>
      <c r="AL42" t="str">
        <v/>
      </c>
    </row>
    <row r="43">
      <c r="A43">
        <v>42</v>
      </c>
      <c r="B43" t="str">
        <v>MASS BSF</v>
      </c>
      <c r="C43" t="str">
        <v>AKO-712</v>
      </c>
      <c r="D43" t="str">
        <v>AKO-712</v>
      </c>
      <c r="E43" t="str">
        <v/>
      </c>
      <c r="F43" t="str">
        <v>867162027717156</v>
      </c>
      <c r="G43" t="str">
        <v>TBD</v>
      </c>
      <c r="H43" t="str">
        <v/>
      </c>
      <c r="I43" t="str">
        <v/>
      </c>
      <c r="J43" t="str">
        <v>24/09/2026</v>
      </c>
      <c r="K43" t="str">
        <v>15:48:55</v>
      </c>
      <c r="L43">
        <v>-12.212933</v>
      </c>
      <c r="M43">
        <v>-76.958984</v>
      </c>
      <c r="N43">
        <f>HYPERLINK("https://www.google.com/maps/search/?api=1&amp;query=-12.212933,-76.958984","Avenida Villa del Mar, Villa El Salvador, Lima")</f>
      </c>
      <c r="O43" t="str">
        <v>Vehículo apagado</v>
      </c>
      <c r="P43">
        <v>561658.1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90</v>
      </c>
      <c r="AB43" t="str">
        <v>24/09/2026</v>
      </c>
      <c r="AC43" t="str">
        <v>15:49:00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15:49:17</v>
      </c>
      <c r="AK43" t="str">
        <v>15:49:17</v>
      </c>
      <c r="AL43" t="str">
        <v/>
      </c>
    </row>
  </sheetData>
  <ignoredErrors>
    <ignoredError numberStoredAsText="1" sqref="A1:A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