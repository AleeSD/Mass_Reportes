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CLW-864</v>
      </c>
      <c r="D2" t="str">
        <v>CLW-864</v>
      </c>
      <c r="E2" t="str">
        <v/>
      </c>
      <c r="F2" t="str">
        <v>867162029823242</v>
      </c>
      <c r="G2" t="str">
        <v>TBD</v>
      </c>
      <c r="H2" t="str">
        <v/>
      </c>
      <c r="I2" t="str">
        <v/>
      </c>
      <c r="J2" t="str">
        <v>24/09/2026</v>
      </c>
      <c r="K2" t="str">
        <v>07:21:47</v>
      </c>
      <c r="L2">
        <v>-12.213206</v>
      </c>
      <c r="M2">
        <v>-76.95874</v>
      </c>
      <c r="N2">
        <f>HYPERLINK("https://www.google.com/maps/search/?api=1&amp;query=-12.213206,-76.95874","Villa El Salvador, Lima")</f>
      </c>
      <c r="O2" t="str">
        <v>Vehículo encendido</v>
      </c>
      <c r="P2">
        <v>10919.3</v>
      </c>
      <c r="Q2" t="str">
        <v/>
      </c>
      <c r="R2">
        <v>0</v>
      </c>
      <c r="S2">
        <v>110.53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24/09/2026</v>
      </c>
      <c r="AC2" t="str">
        <v>07:00:21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24/09/2026 07:22:16</v>
      </c>
      <c r="AK2" t="str">
        <v>07:22:16</v>
      </c>
      <c r="AL2" t="str">
        <v/>
      </c>
    </row>
    <row r="3">
      <c r="A3">
        <v>2</v>
      </c>
      <c r="B3" t="str">
        <v>MASS BSF</v>
      </c>
      <c r="C3" t="str">
        <v>CLW-864</v>
      </c>
      <c r="D3" t="str">
        <v>CLW-864</v>
      </c>
      <c r="E3" t="str">
        <v/>
      </c>
      <c r="F3" t="str">
        <v>867162029823242</v>
      </c>
      <c r="G3" t="str">
        <v>TBD</v>
      </c>
      <c r="H3" t="str">
        <v/>
      </c>
      <c r="I3" t="str">
        <v/>
      </c>
      <c r="J3" t="str">
        <v>24/09/2026</v>
      </c>
      <c r="K3" t="str">
        <v>07:21:55</v>
      </c>
      <c r="L3">
        <v>-12.213206</v>
      </c>
      <c r="M3">
        <v>-76.95874</v>
      </c>
      <c r="N3">
        <f>HYPERLINK("https://www.google.com/maps/search/?api=1&amp;query=-12.213206,-76.95874","Villa El Salvador, Lima")</f>
      </c>
      <c r="O3" t="str">
        <v>Vehículo apagado</v>
      </c>
      <c r="P3">
        <v>10919.3</v>
      </c>
      <c r="Q3" t="str">
        <v/>
      </c>
      <c r="R3">
        <v>0</v>
      </c>
      <c r="S3">
        <v>110.53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24/09/2026</v>
      </c>
      <c r="AC3" t="str">
        <v>07:00:21</v>
      </c>
      <c r="AD3">
        <f>IF("NOGPS"="NOGPS","GPS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24/09/2026 07:22:04</v>
      </c>
      <c r="AK3" t="str">
        <v>07:22:04</v>
      </c>
      <c r="AL3" t="str">
        <v/>
      </c>
    </row>
    <row r="4">
      <c r="A4">
        <v>3</v>
      </c>
      <c r="B4" t="str">
        <v>MASS BSF</v>
      </c>
      <c r="C4" t="str">
        <v>CLW-864</v>
      </c>
      <c r="D4" t="str">
        <v>CLW-864</v>
      </c>
      <c r="E4" t="str">
        <v/>
      </c>
      <c r="F4" t="str">
        <v>867162029823242</v>
      </c>
      <c r="G4" t="str">
        <v>TBD</v>
      </c>
      <c r="H4" t="str">
        <v/>
      </c>
      <c r="I4" t="str">
        <v/>
      </c>
      <c r="J4" t="str">
        <v>24/09/2026</v>
      </c>
      <c r="K4" t="str">
        <v>07:21:57</v>
      </c>
      <c r="L4">
        <v>-12.213206</v>
      </c>
      <c r="M4">
        <v>-76.95874</v>
      </c>
      <c r="N4">
        <f>HYPERLINK("https://www.google.com/maps/search/?api=1&amp;query=-12.213206,-76.95874","Villa El Salvador, Lima")</f>
      </c>
      <c r="O4" t="str">
        <v>Vehículo encendido</v>
      </c>
      <c r="P4">
        <v>10919.3</v>
      </c>
      <c r="Q4" t="str">
        <v/>
      </c>
      <c r="R4">
        <v>0</v>
      </c>
      <c r="S4">
        <v>110.53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24/09/2026</v>
      </c>
      <c r="AC4" t="str">
        <v>07:00:21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24/09/2026 07:22:10</v>
      </c>
      <c r="AK4" t="str">
        <v>07:22:10</v>
      </c>
      <c r="AL4" t="str">
        <v/>
      </c>
    </row>
    <row r="5">
      <c r="A5">
        <v>4</v>
      </c>
      <c r="B5" t="str">
        <v>MASS BSF</v>
      </c>
      <c r="C5" t="str">
        <v>CLW-864</v>
      </c>
      <c r="D5" t="str">
        <v>CLW-864</v>
      </c>
      <c r="E5" t="str">
        <v/>
      </c>
      <c r="F5" t="str">
        <v>867162029823242</v>
      </c>
      <c r="G5" t="str">
        <v>TBD</v>
      </c>
      <c r="H5" t="str">
        <v/>
      </c>
      <c r="I5" t="str">
        <v/>
      </c>
      <c r="J5" t="str">
        <v>24/09/2026</v>
      </c>
      <c r="K5" t="str">
        <v>07:45:56</v>
      </c>
      <c r="L5">
        <v>-12.182792</v>
      </c>
      <c r="M5">
        <v>-76.94239</v>
      </c>
      <c r="N5">
        <f>HYPERLINK("https://www.google.com/maps/search/?api=1&amp;query=-12.182792,-76.94239","Avenida Mateo Pumacahua, Villa El Salvador, Lima")</f>
      </c>
      <c r="O5" t="str">
        <v>Vehículo apagado</v>
      </c>
      <c r="P5">
        <v>10924.8</v>
      </c>
      <c r="Q5" t="str">
        <v/>
      </c>
      <c r="R5">
        <v>0.1</v>
      </c>
      <c r="S5">
        <v>110.93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24/09/2026</v>
      </c>
      <c r="AC5" t="str">
        <v>07:44:56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24/09/2026 07:46:11</v>
      </c>
      <c r="AK5" t="str">
        <v>07:46:11</v>
      </c>
      <c r="AL5" t="str">
        <v/>
      </c>
    </row>
    <row r="6">
      <c r="A6">
        <v>5</v>
      </c>
      <c r="B6" t="str">
        <v>MASS BSF</v>
      </c>
      <c r="C6" t="str">
        <v>CLW-864</v>
      </c>
      <c r="D6" t="str">
        <v>CLW-864</v>
      </c>
      <c r="E6" t="str">
        <v/>
      </c>
      <c r="F6" t="str">
        <v>867162029823242</v>
      </c>
      <c r="G6" t="str">
        <v>TBD</v>
      </c>
      <c r="H6" t="str">
        <v/>
      </c>
      <c r="I6" t="str">
        <v/>
      </c>
      <c r="J6" t="str">
        <v>24/09/2026</v>
      </c>
      <c r="K6" t="str">
        <v>07:45:58</v>
      </c>
      <c r="L6">
        <v>-12.182792</v>
      </c>
      <c r="M6">
        <v>-76.94239</v>
      </c>
      <c r="N6">
        <f>HYPERLINK("https://www.google.com/maps/search/?api=1&amp;query=-12.182792,-76.94239","Avenida Mateo Pumacahua, Villa El Salvador, Lima")</f>
      </c>
      <c r="O6" t="str">
        <v>Vehículo encendido</v>
      </c>
      <c r="P6">
        <v>10924.8</v>
      </c>
      <c r="Q6" t="str">
        <v/>
      </c>
      <c r="R6">
        <v>0</v>
      </c>
      <c r="S6">
        <v>110.53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24/09/2026</v>
      </c>
      <c r="AC6" t="str">
        <v>07:44:56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24/09/2026 07:46:15</v>
      </c>
      <c r="AK6" t="str">
        <v>07:46:15</v>
      </c>
      <c r="AL6" t="str">
        <v/>
      </c>
    </row>
    <row r="7">
      <c r="A7">
        <v>6</v>
      </c>
      <c r="B7" t="str">
        <v>MASS BSF</v>
      </c>
      <c r="C7" t="str">
        <v>CLW-864</v>
      </c>
      <c r="D7" t="str">
        <v>CLW-864</v>
      </c>
      <c r="E7" t="str">
        <v/>
      </c>
      <c r="F7" t="str">
        <v>867162029823242</v>
      </c>
      <c r="G7" t="str">
        <v>TBD</v>
      </c>
      <c r="H7" t="str">
        <v/>
      </c>
      <c r="I7" t="str">
        <v/>
      </c>
      <c r="J7" t="str">
        <v>24/09/2026</v>
      </c>
      <c r="K7" t="str">
        <v>08:02:46</v>
      </c>
      <c r="L7">
        <v>-12.159559</v>
      </c>
      <c r="M7">
        <v>-76.95585</v>
      </c>
      <c r="N7">
        <f>HYPERLINK("https://www.google.com/maps/search/?api=1&amp;query=-12.159559,-76.95585","Avenida Nicolás de Piérola, Villa María del Triunfo, Lima")</f>
      </c>
      <c r="O7" t="str">
        <v>Vehículo apagado</v>
      </c>
      <c r="P7">
        <v>10927.9</v>
      </c>
      <c r="Q7" t="str">
        <v/>
      </c>
      <c r="R7">
        <v>0</v>
      </c>
      <c r="S7">
        <v>110.82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24/09/2026</v>
      </c>
      <c r="AC7" t="str">
        <v>08:02:52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24/09/2026 08:03:01</v>
      </c>
      <c r="AK7" t="str">
        <v>08:03:01</v>
      </c>
      <c r="AL7" t="str">
        <v/>
      </c>
    </row>
    <row r="8">
      <c r="A8">
        <v>7</v>
      </c>
      <c r="B8" t="str">
        <v>MASS BSF</v>
      </c>
      <c r="C8" t="str">
        <v>CLW-864</v>
      </c>
      <c r="D8" t="str">
        <v>CLW-864</v>
      </c>
      <c r="E8" t="str">
        <v/>
      </c>
      <c r="F8" t="str">
        <v>867162029823242</v>
      </c>
      <c r="G8" t="str">
        <v>TBD</v>
      </c>
      <c r="H8" t="str">
        <v/>
      </c>
      <c r="I8" t="str">
        <v/>
      </c>
      <c r="J8" t="str">
        <v>24/09/2026</v>
      </c>
      <c r="K8" t="str">
        <v>08:24:48</v>
      </c>
      <c r="L8">
        <v>-12.159559</v>
      </c>
      <c r="M8">
        <v>-76.95585</v>
      </c>
      <c r="N8">
        <f>HYPERLINK("https://www.google.com/maps/search/?api=1&amp;query=-12.159559,-76.95585","Avenida Nicolás de Piérola, Villa María del Triunfo, Lima")</f>
      </c>
      <c r="O8" t="str">
        <v>Vehículo encendido</v>
      </c>
      <c r="P8">
        <v>10927.9</v>
      </c>
      <c r="Q8" t="str">
        <v/>
      </c>
      <c r="R8">
        <v>0</v>
      </c>
      <c r="S8">
        <v>110.82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24/09/2026</v>
      </c>
      <c r="AC8" t="str">
        <v>08:02:52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24/09/2026 08:25:04</v>
      </c>
      <c r="AK8" t="str">
        <v>08:25:04</v>
      </c>
      <c r="AL8" t="str">
        <v/>
      </c>
    </row>
    <row r="9">
      <c r="A9">
        <v>8</v>
      </c>
      <c r="B9" t="str">
        <v>MASS BSF</v>
      </c>
      <c r="C9" t="str">
        <v>CLW-864</v>
      </c>
      <c r="D9" t="str">
        <v>CLW-864</v>
      </c>
      <c r="E9" t="str">
        <v/>
      </c>
      <c r="F9" t="str">
        <v>867162029823242</v>
      </c>
      <c r="G9" t="str">
        <v>TBD</v>
      </c>
      <c r="H9" t="str">
        <v/>
      </c>
      <c r="I9" t="str">
        <v/>
      </c>
      <c r="J9" t="str">
        <v>24/09/2026</v>
      </c>
      <c r="K9" t="str">
        <v>08:24:52</v>
      </c>
      <c r="L9">
        <v>-12.159559</v>
      </c>
      <c r="M9">
        <v>-76.95585</v>
      </c>
      <c r="N9">
        <f>HYPERLINK("https://www.google.com/maps/search/?api=1&amp;query=-12.159559,-76.95585","Avenida Nicolás de Piérola, Villa María del Triunfo, Lima")</f>
      </c>
      <c r="O9" t="str">
        <v>Vehículo apagado</v>
      </c>
      <c r="P9">
        <v>10927.9</v>
      </c>
      <c r="Q9" t="str">
        <v/>
      </c>
      <c r="R9">
        <v>0</v>
      </c>
      <c r="S9">
        <v>110.82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24/09/2026</v>
      </c>
      <c r="AC9" t="str">
        <v>08:02:52</v>
      </c>
      <c r="AD9">
        <f>IF("NOGPS"="NOGPS","GPS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24/09/2026 08:25:17</v>
      </c>
      <c r="AK9" t="str">
        <v>08:25:17</v>
      </c>
      <c r="AL9" t="str">
        <v/>
      </c>
    </row>
    <row r="10">
      <c r="A10">
        <v>9</v>
      </c>
      <c r="B10" t="str">
        <v>MASS BSF</v>
      </c>
      <c r="C10" t="str">
        <v>CLW-864</v>
      </c>
      <c r="D10" t="str">
        <v>CLW-864</v>
      </c>
      <c r="E10" t="str">
        <v/>
      </c>
      <c r="F10" t="str">
        <v>867162029823242</v>
      </c>
      <c r="G10" t="str">
        <v>TBD</v>
      </c>
      <c r="H10" t="str">
        <v/>
      </c>
      <c r="I10" t="str">
        <v/>
      </c>
      <c r="J10" t="str">
        <v>24/09/2026</v>
      </c>
      <c r="K10" t="str">
        <v>08:24:54</v>
      </c>
      <c r="L10">
        <v>-12.159559</v>
      </c>
      <c r="M10">
        <v>-76.95585</v>
      </c>
      <c r="N10">
        <f>HYPERLINK("https://www.google.com/maps/search/?api=1&amp;query=-12.159559,-76.95585","Avenida Nicolás de Piérola, Villa María del Triunfo, Lima")</f>
      </c>
      <c r="O10" t="str">
        <v>Vehículo encendido</v>
      </c>
      <c r="P10">
        <v>10927.9</v>
      </c>
      <c r="Q10" t="str">
        <v/>
      </c>
      <c r="R10">
        <v>0</v>
      </c>
      <c r="S10">
        <v>110.82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24/09/2026</v>
      </c>
      <c r="AC10" t="str">
        <v>08:02:52</v>
      </c>
      <c r="AD10">
        <f>IF("NOGPS"="NOGPS","GPS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24/09/2026 08:25:03</v>
      </c>
      <c r="AK10" t="str">
        <v>08:25:03</v>
      </c>
      <c r="AL10" t="str">
        <v/>
      </c>
    </row>
    <row r="11">
      <c r="A11">
        <v>10</v>
      </c>
      <c r="B11" t="str">
        <v>MASS BSF</v>
      </c>
      <c r="C11" t="str">
        <v>CLW-864</v>
      </c>
      <c r="D11" t="str">
        <v>CLW-864</v>
      </c>
      <c r="E11" t="str">
        <v/>
      </c>
      <c r="F11" t="str">
        <v>867162029823242</v>
      </c>
      <c r="G11" t="str">
        <v>TBD</v>
      </c>
      <c r="H11" t="str">
        <v/>
      </c>
      <c r="I11" t="str">
        <v/>
      </c>
      <c r="J11" t="str">
        <v>24/09/2026</v>
      </c>
      <c r="K11" t="str">
        <v>08:34:29</v>
      </c>
      <c r="L11">
        <v>-12.155869</v>
      </c>
      <c r="M11">
        <v>-76.9555</v>
      </c>
      <c r="N11">
        <f>HYPERLINK("https://www.google.com/maps/search/?api=1&amp;query=-12.155869,-76.9555","Avenida Pando Egusquiza, Villa María del Triunfo, Lima")</f>
      </c>
      <c r="O11" t="str">
        <v>Vehículo apagado</v>
      </c>
      <c r="P11">
        <v>10928.4</v>
      </c>
      <c r="Q11" t="str">
        <v/>
      </c>
      <c r="R11">
        <v>0</v>
      </c>
      <c r="S11">
        <v>110.93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24/09/2026</v>
      </c>
      <c r="AC11" t="str">
        <v>08:33:51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24/09/2026 08:34:36</v>
      </c>
      <c r="AK11" t="str">
        <v>08:34:36</v>
      </c>
      <c r="AL11" t="str">
        <v/>
      </c>
    </row>
    <row r="12">
      <c r="A12">
        <v>11</v>
      </c>
      <c r="B12" t="str">
        <v>MASS BSF</v>
      </c>
      <c r="C12" t="str">
        <v>CLW-864</v>
      </c>
      <c r="D12" t="str">
        <v>CLW-864</v>
      </c>
      <c r="E12" t="str">
        <v/>
      </c>
      <c r="F12" t="str">
        <v>867162029823242</v>
      </c>
      <c r="G12" t="str">
        <v>TBD</v>
      </c>
      <c r="H12" t="str">
        <v/>
      </c>
      <c r="I12" t="str">
        <v/>
      </c>
      <c r="J12" t="str">
        <v>24/09/2026</v>
      </c>
      <c r="K12" t="str">
        <v>08:56:36</v>
      </c>
      <c r="L12">
        <v>-12.155869</v>
      </c>
      <c r="M12">
        <v>-76.9555</v>
      </c>
      <c r="N12">
        <f>HYPERLINK("https://www.google.com/maps/search/?api=1&amp;query=-12.155869,-76.9555","Avenida Pando Egusquiza, Villa María del Triunfo, Lima")</f>
      </c>
      <c r="O12" t="str">
        <v>Vehículo encendido</v>
      </c>
      <c r="P12">
        <v>10928.4</v>
      </c>
      <c r="Q12" t="str">
        <v/>
      </c>
      <c r="R12">
        <v>0</v>
      </c>
      <c r="S12">
        <v>110.93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24/09/2026</v>
      </c>
      <c r="AC12" t="str">
        <v>08:34:32</v>
      </c>
      <c r="AD12">
        <f>IF("NOGPS"="NOGPS","GPS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24/09/2026 08:56:56</v>
      </c>
      <c r="AK12" t="str">
        <v>08:56:56</v>
      </c>
      <c r="AL12" t="str">
        <v/>
      </c>
    </row>
    <row r="13">
      <c r="A13">
        <v>12</v>
      </c>
      <c r="B13" t="str">
        <v>MASS BSF</v>
      </c>
      <c r="C13" t="str">
        <v>CLW-864</v>
      </c>
      <c r="D13" t="str">
        <v>CLW-864</v>
      </c>
      <c r="E13" t="str">
        <v/>
      </c>
      <c r="F13" t="str">
        <v>867162029823242</v>
      </c>
      <c r="G13" t="str">
        <v>TBD</v>
      </c>
      <c r="H13" t="str">
        <v/>
      </c>
      <c r="I13" t="str">
        <v/>
      </c>
      <c r="J13" t="str">
        <v>24/09/2026</v>
      </c>
      <c r="K13" t="str">
        <v>08:56:44</v>
      </c>
      <c r="L13">
        <v>-12.155869</v>
      </c>
      <c r="M13">
        <v>-76.9555</v>
      </c>
      <c r="N13">
        <f>HYPERLINK("https://www.google.com/maps/search/?api=1&amp;query=-12.155869,-76.9555","Avenida Pando Egusquiza, Villa María del Triunfo, Lima")</f>
      </c>
      <c r="O13" t="str">
        <v>Vehículo apagado</v>
      </c>
      <c r="P13">
        <v>10928.4</v>
      </c>
      <c r="Q13" t="str">
        <v/>
      </c>
      <c r="R13">
        <v>0</v>
      </c>
      <c r="S13">
        <v>110.93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24/09/2026</v>
      </c>
      <c r="AC13" t="str">
        <v>08:34:32</v>
      </c>
      <c r="AD13">
        <f>IF("NOGPS"="NOGPS","GPS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24/09/2026 08:56:57</v>
      </c>
      <c r="AK13" t="str">
        <v>08:56:57</v>
      </c>
      <c r="AL13" t="str">
        <v/>
      </c>
    </row>
    <row r="14">
      <c r="A14">
        <v>13</v>
      </c>
      <c r="B14" t="str">
        <v>MASS BSF</v>
      </c>
      <c r="C14" t="str">
        <v>CLW-864</v>
      </c>
      <c r="D14" t="str">
        <v>CLW-864</v>
      </c>
      <c r="E14" t="str">
        <v/>
      </c>
      <c r="F14" t="str">
        <v>867162029823242</v>
      </c>
      <c r="G14" t="str">
        <v>TBD</v>
      </c>
      <c r="H14" t="str">
        <v/>
      </c>
      <c r="I14" t="str">
        <v/>
      </c>
      <c r="J14" t="str">
        <v>24/09/2026</v>
      </c>
      <c r="K14" t="str">
        <v>08:56:46</v>
      </c>
      <c r="L14">
        <v>-12.155869</v>
      </c>
      <c r="M14">
        <v>-76.9555</v>
      </c>
      <c r="N14">
        <f>HYPERLINK("https://www.google.com/maps/search/?api=1&amp;query=-12.155869,-76.9555","Avenida Pando Egusquiza, Villa María del Triunfo, Lima")</f>
      </c>
      <c r="O14" t="str">
        <v>Vehículo encendido</v>
      </c>
      <c r="P14">
        <v>10928.4</v>
      </c>
      <c r="Q14" t="str">
        <v/>
      </c>
      <c r="R14">
        <v>0</v>
      </c>
      <c r="S14">
        <v>110.93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24/09/2026</v>
      </c>
      <c r="AC14" t="str">
        <v>08:34:32</v>
      </c>
      <c r="AD14">
        <f>IF("NOGPS"="NOGPS","GPS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24/09/2026 08:56:59</v>
      </c>
      <c r="AK14" t="str">
        <v>08:56:59</v>
      </c>
      <c r="AL14" t="str">
        <v/>
      </c>
    </row>
    <row r="15">
      <c r="A15">
        <v>14</v>
      </c>
      <c r="B15" t="str">
        <v>MASS BSF</v>
      </c>
      <c r="C15" t="str">
        <v>CLW-864</v>
      </c>
      <c r="D15" t="str">
        <v>CLW-864</v>
      </c>
      <c r="E15" t="str">
        <v/>
      </c>
      <c r="F15" t="str">
        <v>867162029823242</v>
      </c>
      <c r="G15" t="str">
        <v>TBD</v>
      </c>
      <c r="H15" t="str">
        <v/>
      </c>
      <c r="I15" t="str">
        <v/>
      </c>
      <c r="J15" t="str">
        <v>24/09/2026</v>
      </c>
      <c r="K15" t="str">
        <v>09:00:59</v>
      </c>
      <c r="L15">
        <v>-12.155694</v>
      </c>
      <c r="M15">
        <v>-76.95537</v>
      </c>
      <c r="N15">
        <f>HYPERLINK("https://www.google.com/maps/search/?api=1&amp;query=-12.155694,-76.95537","Avenida Pando Egusquiza, Villa María del Triunfo, Lima")</f>
      </c>
      <c r="O15" t="str">
        <v>Inicio de ralentí</v>
      </c>
      <c r="P15">
        <v>10928.4</v>
      </c>
      <c r="Q15" t="str">
        <v/>
      </c>
      <c r="R15">
        <v>0</v>
      </c>
      <c r="S15">
        <v>110.93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24/09/2026</v>
      </c>
      <c r="AC15" t="str">
        <v>09:00:46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24/09/2026 09:01:22</v>
      </c>
      <c r="AK15" t="str">
        <v>09:01:22</v>
      </c>
      <c r="AL15" t="str">
        <v/>
      </c>
    </row>
    <row r="16">
      <c r="A16">
        <v>15</v>
      </c>
      <c r="B16" t="str">
        <v>MASS BSF</v>
      </c>
      <c r="C16" t="str">
        <v>CLW-864</v>
      </c>
      <c r="D16" t="str">
        <v>CLW-864</v>
      </c>
      <c r="E16" t="str">
        <v/>
      </c>
      <c r="F16" t="str">
        <v>867162029823242</v>
      </c>
      <c r="G16" t="str">
        <v>TBD</v>
      </c>
      <c r="H16" t="str">
        <v/>
      </c>
      <c r="I16" t="str">
        <v/>
      </c>
      <c r="J16" t="str">
        <v>24/09/2026</v>
      </c>
      <c r="K16" t="str">
        <v>09:03:09</v>
      </c>
      <c r="L16">
        <v>-12.15545</v>
      </c>
      <c r="M16">
        <v>-76.95536</v>
      </c>
      <c r="N16">
        <f>HYPERLINK("https://www.google.com/maps/search/?api=1&amp;query=-12.15545,-76.95536","Avenida Pando Egusquiza, Villa María del Triunfo, Lima")</f>
      </c>
      <c r="O16" t="str">
        <v>Fin de ralentí</v>
      </c>
      <c r="P16">
        <v>10928.4</v>
      </c>
      <c r="Q16" t="str">
        <v/>
      </c>
      <c r="R16">
        <v>5.9</v>
      </c>
      <c r="S16">
        <v>110.93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24/09/2026</v>
      </c>
      <c r="AC16" t="str">
        <v>09:02:46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24/09/2026 09:03:25</v>
      </c>
      <c r="AK16" t="str">
        <v>09:03:25</v>
      </c>
      <c r="AL16" t="str">
        <v/>
      </c>
    </row>
    <row r="17">
      <c r="A17">
        <v>16</v>
      </c>
      <c r="B17" t="str">
        <v>MASS BSF</v>
      </c>
      <c r="C17" t="str">
        <v>CLW-864</v>
      </c>
      <c r="D17" t="str">
        <v>CLW-864</v>
      </c>
      <c r="E17" t="str">
        <v/>
      </c>
      <c r="F17" t="str">
        <v>867162029823242</v>
      </c>
      <c r="G17" t="str">
        <v>TBD</v>
      </c>
      <c r="H17" t="str">
        <v/>
      </c>
      <c r="I17" t="str">
        <v/>
      </c>
      <c r="J17" t="str">
        <v>24/09/2026</v>
      </c>
      <c r="K17" t="str">
        <v>09:23:49</v>
      </c>
      <c r="L17">
        <v>-12.182726</v>
      </c>
      <c r="M17">
        <v>-76.97573</v>
      </c>
      <c r="N17">
        <f>HYPERLINK("https://www.google.com/maps/search/?api=1&amp;query=-12.182726,-76.97573","Avenida El Triunfo, San Juan de Miraflores, Lima")</f>
      </c>
      <c r="O17" t="str">
        <v>Exceso de velocidad en segmento vial</v>
      </c>
      <c r="P17">
        <v>10934.3</v>
      </c>
      <c r="Q17" t="str">
        <v/>
      </c>
      <c r="R17">
        <v>41</v>
      </c>
      <c r="S17">
        <v>110.93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24/09/2026</v>
      </c>
      <c r="AC17" t="str">
        <v>09:23:46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24/09/2026 09:24:13</v>
      </c>
      <c r="AK17" t="str">
        <v>09:24:13</v>
      </c>
      <c r="AL17" t="str">
        <v/>
      </c>
    </row>
    <row r="18">
      <c r="A18">
        <v>17</v>
      </c>
      <c r="B18" t="str">
        <v>MASS BSF</v>
      </c>
      <c r="C18" t="str">
        <v>CLW-864</v>
      </c>
      <c r="D18" t="str">
        <v>CLW-864</v>
      </c>
      <c r="E18" t="str">
        <v/>
      </c>
      <c r="F18" t="str">
        <v>867162029823242</v>
      </c>
      <c r="G18" t="str">
        <v>TBD</v>
      </c>
      <c r="H18" t="str">
        <v/>
      </c>
      <c r="I18" t="str">
        <v/>
      </c>
      <c r="J18" t="str">
        <v>24/09/2026</v>
      </c>
      <c r="K18" t="str">
        <v>09:30:05</v>
      </c>
      <c r="L18">
        <v>-12.222866</v>
      </c>
      <c r="M18">
        <v>-76.97491</v>
      </c>
      <c r="N18">
        <f>HYPERLINK("https://www.google.com/maps/search/?api=1&amp;query=-12.222866,-76.97491","Prolongación Huaylas, Chorrillos, Lima")</f>
      </c>
      <c r="O18" t="str">
        <v>Vehículo apagado</v>
      </c>
      <c r="P18">
        <v>10938.9</v>
      </c>
      <c r="Q18" t="str">
        <v/>
      </c>
      <c r="R18">
        <v>0</v>
      </c>
      <c r="S18">
        <v>111.48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24/09/2026</v>
      </c>
      <c r="AC18" t="str">
        <v>09:29:46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24/09/2026 09:30:13</v>
      </c>
      <c r="AK18" t="str">
        <v>09:30:13</v>
      </c>
      <c r="AL18" t="str">
        <v/>
      </c>
    </row>
    <row r="19">
      <c r="A19">
        <v>18</v>
      </c>
      <c r="B19" t="str">
        <v>MASS BSF</v>
      </c>
      <c r="C19" t="str">
        <v>CLW-864</v>
      </c>
      <c r="D19" t="str">
        <v>CLW-864</v>
      </c>
      <c r="E19" t="str">
        <v/>
      </c>
      <c r="F19" t="str">
        <v>867162029823242</v>
      </c>
      <c r="G19" t="str">
        <v>TBD</v>
      </c>
      <c r="H19" t="str">
        <v/>
      </c>
      <c r="I19" t="str">
        <v/>
      </c>
      <c r="J19" t="str">
        <v>24/09/2026</v>
      </c>
      <c r="K19" t="str">
        <v>09:34:41</v>
      </c>
      <c r="L19">
        <v>-12.222866</v>
      </c>
      <c r="M19">
        <v>-76.97491</v>
      </c>
      <c r="N19">
        <f>HYPERLINK("https://www.google.com/maps/search/?api=1&amp;query=-12.222866,-76.97491","Prolongación Huaylas, Chorrillos, Lima")</f>
      </c>
      <c r="O19" t="str">
        <v>Vehículo encendido</v>
      </c>
      <c r="P19">
        <v>10938.9</v>
      </c>
      <c r="Q19" t="str">
        <v/>
      </c>
      <c r="R19">
        <v>0</v>
      </c>
      <c r="S19">
        <v>111.48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24/09/2026</v>
      </c>
      <c r="AC19" t="str">
        <v>09:30:09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24/09/2026 09:34:58</v>
      </c>
      <c r="AK19" t="str">
        <v>09:34:58</v>
      </c>
      <c r="AL19" t="str">
        <v/>
      </c>
    </row>
    <row r="20">
      <c r="A20">
        <v>19</v>
      </c>
      <c r="B20" t="str">
        <v>MASS BSF</v>
      </c>
      <c r="C20" t="str">
        <v>CLW-864</v>
      </c>
      <c r="D20" t="str">
        <v>CLW-864</v>
      </c>
      <c r="E20" t="str">
        <v/>
      </c>
      <c r="F20" t="str">
        <v>867162029823242</v>
      </c>
      <c r="G20" t="str">
        <v>TBD</v>
      </c>
      <c r="H20" t="str">
        <v/>
      </c>
      <c r="I20" t="str">
        <v/>
      </c>
      <c r="J20" t="str">
        <v>24/09/2026</v>
      </c>
      <c r="K20" t="str">
        <v>09:34:47</v>
      </c>
      <c r="L20">
        <v>-12.222866</v>
      </c>
      <c r="M20">
        <v>-76.97491</v>
      </c>
      <c r="N20">
        <f>HYPERLINK("https://www.google.com/maps/search/?api=1&amp;query=-12.222866,-76.97491","Prolongación Huaylas, Chorrillos, Lima")</f>
      </c>
      <c r="O20" t="str">
        <v>Vehículo apagado</v>
      </c>
      <c r="P20">
        <v>10938.9</v>
      </c>
      <c r="Q20" t="str">
        <v/>
      </c>
      <c r="R20">
        <v>0</v>
      </c>
      <c r="S20">
        <v>111.48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24/09/2026</v>
      </c>
      <c r="AC20" t="str">
        <v>09:30:09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24/09/2026 09:35:12</v>
      </c>
      <c r="AK20" t="str">
        <v>09:35:12</v>
      </c>
      <c r="AL20" t="str">
        <v/>
      </c>
    </row>
    <row r="21">
      <c r="A21">
        <v>20</v>
      </c>
      <c r="B21" t="str">
        <v>MASS BSF</v>
      </c>
      <c r="C21" t="str">
        <v>CLW-864</v>
      </c>
      <c r="D21" t="str">
        <v>CLW-864</v>
      </c>
      <c r="E21" t="str">
        <v/>
      </c>
      <c r="F21" t="str">
        <v>867162029823242</v>
      </c>
      <c r="G21" t="str">
        <v>TBD</v>
      </c>
      <c r="H21" t="str">
        <v/>
      </c>
      <c r="I21" t="str">
        <v/>
      </c>
      <c r="J21" t="str">
        <v>24/09/2026</v>
      </c>
      <c r="K21" t="str">
        <v>09:34:49</v>
      </c>
      <c r="L21">
        <v>-12.222866</v>
      </c>
      <c r="M21">
        <v>-76.97491</v>
      </c>
      <c r="N21">
        <f>HYPERLINK("https://www.google.com/maps/search/?api=1&amp;query=-12.222866,-76.97491","Prolongación Huaylas, Chorrillos, Lima")</f>
      </c>
      <c r="O21" t="str">
        <v>Vehículo encendido</v>
      </c>
      <c r="P21">
        <v>10938.9</v>
      </c>
      <c r="Q21" t="str">
        <v/>
      </c>
      <c r="R21">
        <v>0</v>
      </c>
      <c r="S21">
        <v>111.48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24/09/2026</v>
      </c>
      <c r="AC21" t="str">
        <v>09:30:09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24/09/2026 09:35:12</v>
      </c>
      <c r="AK21" t="str">
        <v>09:35:12</v>
      </c>
      <c r="AL21" t="str">
        <v/>
      </c>
    </row>
    <row r="22">
      <c r="A22">
        <v>21</v>
      </c>
      <c r="B22" t="str">
        <v>MASS BSF</v>
      </c>
      <c r="C22" t="str">
        <v>CLW-864</v>
      </c>
      <c r="D22" t="str">
        <v>CLW-864</v>
      </c>
      <c r="E22" t="str">
        <v/>
      </c>
      <c r="F22" t="str">
        <v>867162029823242</v>
      </c>
      <c r="G22" t="str">
        <v>TBD</v>
      </c>
      <c r="H22" t="str">
        <v/>
      </c>
      <c r="I22" t="str">
        <v/>
      </c>
      <c r="J22" t="str">
        <v>24/09/2026</v>
      </c>
      <c r="K22" t="str">
        <v>09:47:05</v>
      </c>
      <c r="L22">
        <v>-12.283544</v>
      </c>
      <c r="M22">
        <v>-76.87804</v>
      </c>
      <c r="N22">
        <f>HYPERLINK("https://www.google.com/maps/search/?api=1&amp;query=-12.283544,-76.87804","Carretera Panamericana Sur, Lurín, Lima")</f>
      </c>
      <c r="O22" t="str">
        <v>Excedió el límite de velocidad</v>
      </c>
      <c r="P22">
        <v>10951.5</v>
      </c>
      <c r="Q22" t="str">
        <v/>
      </c>
      <c r="R22">
        <v>81.6</v>
      </c>
      <c r="S22">
        <v>111.48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24/09/2026</v>
      </c>
      <c r="AC22" t="str">
        <v>09:47:04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24/09/2026 09:47:12</v>
      </c>
      <c r="AK22" t="str">
        <v>09:47:12</v>
      </c>
      <c r="AL22" t="str">
        <v/>
      </c>
    </row>
    <row r="23">
      <c r="A23">
        <v>22</v>
      </c>
      <c r="B23" t="str">
        <v>MASS BSF</v>
      </c>
      <c r="C23" t="str">
        <v>CLW-864</v>
      </c>
      <c r="D23" t="str">
        <v>CLW-864</v>
      </c>
      <c r="E23" t="str">
        <v/>
      </c>
      <c r="F23" t="str">
        <v>867162029823242</v>
      </c>
      <c r="G23" t="str">
        <v>TBD</v>
      </c>
      <c r="H23" t="str">
        <v/>
      </c>
      <c r="I23" t="str">
        <v/>
      </c>
      <c r="J23" t="str">
        <v>24/09/2026</v>
      </c>
      <c r="K23" t="str">
        <v>10:08:18</v>
      </c>
      <c r="L23">
        <v>-12.317264</v>
      </c>
      <c r="M23">
        <v>-76.822975</v>
      </c>
      <c r="N23">
        <f>HYPERLINK("https://www.google.com/maps/search/?api=1&amp;query=-12.317264,-76.822975","Punta Hermosa, Lima")</f>
      </c>
      <c r="O23" t="str">
        <v>Vehículo apagado</v>
      </c>
      <c r="P23">
        <v>10964.1</v>
      </c>
      <c r="Q23" t="str">
        <v/>
      </c>
      <c r="R23">
        <v>0</v>
      </c>
      <c r="S23">
        <v>112.03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24/09/2026</v>
      </c>
      <c r="AC23" t="str">
        <v>10:08:21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24/09/2026 10:08:35</v>
      </c>
      <c r="AK23" t="str">
        <v>10:08:35</v>
      </c>
      <c r="AL23" t="str">
        <v/>
      </c>
    </row>
    <row r="24">
      <c r="A24">
        <v>23</v>
      </c>
      <c r="B24" t="str">
        <v>MASS BSF</v>
      </c>
      <c r="C24" t="str">
        <v>CLW-864</v>
      </c>
      <c r="D24" t="str">
        <v>CLW-864</v>
      </c>
      <c r="E24" t="str">
        <v/>
      </c>
      <c r="F24" t="str">
        <v>867162029823242</v>
      </c>
      <c r="G24" t="str">
        <v>TBD</v>
      </c>
      <c r="H24" t="str">
        <v/>
      </c>
      <c r="I24" t="str">
        <v/>
      </c>
      <c r="J24" t="str">
        <v>24/09/2026</v>
      </c>
      <c r="K24" t="str">
        <v>10:19:14</v>
      </c>
      <c r="L24">
        <v>-12.317264</v>
      </c>
      <c r="M24">
        <v>-76.822975</v>
      </c>
      <c r="N24">
        <f>HYPERLINK("https://www.google.com/maps/search/?api=1&amp;query=-12.317264,-76.822975","Punta Hermosa, Lima")</f>
      </c>
      <c r="O24" t="str">
        <v>Vehículo encendido</v>
      </c>
      <c r="P24">
        <v>10964.1</v>
      </c>
      <c r="Q24" t="str">
        <v/>
      </c>
      <c r="R24">
        <v>0</v>
      </c>
      <c r="S24">
        <v>112.03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24/09/2026</v>
      </c>
      <c r="AC24" t="str">
        <v>10:08:21</v>
      </c>
      <c r="AD24">
        <f>IF("NOGPS"="NOGPS","GPS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24/09/2026 10:19:28</v>
      </c>
      <c r="AK24" t="str">
        <v>10:19:28</v>
      </c>
      <c r="AL24" t="str">
        <v/>
      </c>
    </row>
    <row r="25">
      <c r="A25">
        <v>24</v>
      </c>
      <c r="B25" t="str">
        <v>MASS BSF</v>
      </c>
      <c r="C25" t="str">
        <v>CLW-864</v>
      </c>
      <c r="D25" t="str">
        <v>CLW-864</v>
      </c>
      <c r="E25" t="str">
        <v/>
      </c>
      <c r="F25" t="str">
        <v>867162029823242</v>
      </c>
      <c r="G25" t="str">
        <v>TBD</v>
      </c>
      <c r="H25" t="str">
        <v/>
      </c>
      <c r="I25" t="str">
        <v/>
      </c>
      <c r="J25" t="str">
        <v>24/09/2026</v>
      </c>
      <c r="K25" t="str">
        <v>10:23:30</v>
      </c>
      <c r="L25">
        <v>-12.317611</v>
      </c>
      <c r="M25">
        <v>-76.82446</v>
      </c>
      <c r="N25">
        <f>HYPERLINK("https://www.google.com/maps/search/?api=1&amp;query=-12.317611,-76.82446","Punta Hermosa, Lima")</f>
      </c>
      <c r="O25" t="str">
        <v>Vehículo apagado</v>
      </c>
      <c r="P25">
        <v>10964.4</v>
      </c>
      <c r="Q25" t="str">
        <v/>
      </c>
      <c r="R25">
        <v>0</v>
      </c>
      <c r="S25">
        <v>112.1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24/09/2026</v>
      </c>
      <c r="AC25" t="str">
        <v>10:23:13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24/09/2026 10:23:35</v>
      </c>
      <c r="AK25" t="str">
        <v>10:23:35</v>
      </c>
      <c r="AL25" t="str">
        <v/>
      </c>
    </row>
    <row r="26">
      <c r="A26">
        <v>25</v>
      </c>
      <c r="B26" t="str">
        <v>MASS BSF</v>
      </c>
      <c r="C26" t="str">
        <v>CLW-864</v>
      </c>
      <c r="D26" t="str">
        <v>CLW-864</v>
      </c>
      <c r="E26" t="str">
        <v/>
      </c>
      <c r="F26" t="str">
        <v>867162029823242</v>
      </c>
      <c r="G26" t="str">
        <v>TBD</v>
      </c>
      <c r="H26" t="str">
        <v/>
      </c>
      <c r="I26" t="str">
        <v/>
      </c>
      <c r="J26" t="str">
        <v>24/09/2026</v>
      </c>
      <c r="K26" t="str">
        <v>12:00:02</v>
      </c>
      <c r="L26">
        <v>-12.317611</v>
      </c>
      <c r="M26">
        <v>-76.82446</v>
      </c>
      <c r="N26">
        <f>HYPERLINK("https://www.google.com/maps/search/?api=1&amp;query=-12.317611,-76.82446","Punta Hermosa, Lima")</f>
      </c>
      <c r="O26" t="str">
        <v>Vehículo encendido</v>
      </c>
      <c r="P26">
        <v>10964.4</v>
      </c>
      <c r="Q26" t="str">
        <v/>
      </c>
      <c r="R26">
        <v>0</v>
      </c>
      <c r="S26">
        <v>112.1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24/09/2026</v>
      </c>
      <c r="AC26" t="str">
        <v>11:51:06</v>
      </c>
      <c r="AD26">
        <f>IF("NOGPS"="NOGPS","GPS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24/09/2026 12:00:20</v>
      </c>
      <c r="AK26" t="str">
        <v>12:00:20</v>
      </c>
      <c r="AL26" t="str">
        <v/>
      </c>
    </row>
    <row r="27">
      <c r="A27">
        <v>26</v>
      </c>
      <c r="B27" t="str">
        <v>MASS BSF</v>
      </c>
      <c r="C27" t="str">
        <v>CLW-864</v>
      </c>
      <c r="D27" t="str">
        <v>CLW-864</v>
      </c>
      <c r="E27" t="str">
        <v/>
      </c>
      <c r="F27" t="str">
        <v>867162029823242</v>
      </c>
      <c r="G27" t="str">
        <v>TBD</v>
      </c>
      <c r="H27" t="str">
        <v/>
      </c>
      <c r="I27" t="str">
        <v/>
      </c>
      <c r="J27" t="str">
        <v>24/09/2026</v>
      </c>
      <c r="K27" t="str">
        <v>12:06:31</v>
      </c>
      <c r="L27">
        <v>-12.317503</v>
      </c>
      <c r="M27">
        <v>-76.824234</v>
      </c>
      <c r="N27">
        <f>HYPERLINK("https://www.google.com/maps/search/?api=1&amp;query=-12.317503,-76.824234","Punta Hermosa, Lima")</f>
      </c>
      <c r="O27" t="str">
        <v>Vehículo apagado</v>
      </c>
      <c r="P27">
        <v>10964.4</v>
      </c>
      <c r="Q27" t="str">
        <v/>
      </c>
      <c r="R27">
        <v>0</v>
      </c>
      <c r="S27">
        <v>112.2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24/09/2026</v>
      </c>
      <c r="AC27" t="str">
        <v>12:06:03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24/09/2026 12:06:39</v>
      </c>
      <c r="AK27" t="str">
        <v>12:06:39</v>
      </c>
      <c r="AL27" t="str">
        <v/>
      </c>
    </row>
    <row r="28">
      <c r="A28">
        <v>27</v>
      </c>
      <c r="B28" t="str">
        <v>MASS BSF</v>
      </c>
      <c r="C28" t="str">
        <v>CLW-864</v>
      </c>
      <c r="D28" t="str">
        <v>CLW-864</v>
      </c>
      <c r="E28" t="str">
        <v/>
      </c>
      <c r="F28" t="str">
        <v>867162029823242</v>
      </c>
      <c r="G28" t="str">
        <v>TBD</v>
      </c>
      <c r="H28" t="str">
        <v/>
      </c>
      <c r="I28" t="str">
        <v/>
      </c>
      <c r="J28" t="str">
        <v>24/09/2026</v>
      </c>
      <c r="K28" t="str">
        <v>12:46:21</v>
      </c>
      <c r="L28">
        <v>-12.317503</v>
      </c>
      <c r="M28">
        <v>-76.824234</v>
      </c>
      <c r="N28">
        <f>HYPERLINK("https://www.google.com/maps/search/?api=1&amp;query=-12.317503,-76.824234","Punta Hermosa, Lima")</f>
      </c>
      <c r="O28" t="str">
        <v>Vehículo encendido</v>
      </c>
      <c r="P28">
        <v>10964.4</v>
      </c>
      <c r="Q28" t="str">
        <v/>
      </c>
      <c r="R28">
        <v>0</v>
      </c>
      <c r="S28">
        <v>112.2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24/09/2026</v>
      </c>
      <c r="AC28" t="str">
        <v>12:33:58</v>
      </c>
      <c r="AD28">
        <f>IF("NOGPS"="NOGPS","GPS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24/09/2026 12:46:38</v>
      </c>
      <c r="AK28" t="str">
        <v>12:46:38</v>
      </c>
      <c r="AL28" t="str">
        <v/>
      </c>
    </row>
    <row r="29">
      <c r="A29">
        <v>28</v>
      </c>
      <c r="B29" t="str">
        <v>MASS BSF</v>
      </c>
      <c r="C29" t="str">
        <v>CLW-864</v>
      </c>
      <c r="D29" t="str">
        <v>CLW-864</v>
      </c>
      <c r="E29" t="str">
        <v/>
      </c>
      <c r="F29" t="str">
        <v>867162029823242</v>
      </c>
      <c r="G29" t="str">
        <v>TBD</v>
      </c>
      <c r="H29" t="str">
        <v/>
      </c>
      <c r="I29" t="str">
        <v/>
      </c>
      <c r="J29" t="str">
        <v>24/09/2026</v>
      </c>
      <c r="K29" t="str">
        <v>12:46:39</v>
      </c>
      <c r="L29">
        <v>-12.317884</v>
      </c>
      <c r="M29">
        <v>-76.82413</v>
      </c>
      <c r="N29">
        <f>HYPERLINK("https://www.google.com/maps/search/?api=1&amp;query=-12.317884,-76.82413","Punta Hermosa, Lima")</f>
      </c>
      <c r="O29" t="str">
        <v>Vehículo apagado</v>
      </c>
      <c r="P29">
        <v>10964.4</v>
      </c>
      <c r="Q29" t="str">
        <v/>
      </c>
      <c r="R29">
        <v>0</v>
      </c>
      <c r="S29">
        <v>112.2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24/09/2026</v>
      </c>
      <c r="AC29" t="str">
        <v>12:46:41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24/09/2026 12:46:52</v>
      </c>
      <c r="AK29" t="str">
        <v>12:46:52</v>
      </c>
      <c r="AL29" t="str">
        <v/>
      </c>
    </row>
    <row r="30">
      <c r="A30">
        <v>29</v>
      </c>
      <c r="B30" t="str">
        <v>MASS BSF</v>
      </c>
      <c r="C30" t="str">
        <v>CLW-864</v>
      </c>
      <c r="D30" t="str">
        <v>CLW-864</v>
      </c>
      <c r="E30" t="str">
        <v/>
      </c>
      <c r="F30" t="str">
        <v>867162029823242</v>
      </c>
      <c r="G30" t="str">
        <v>TBD</v>
      </c>
      <c r="H30" t="str">
        <v/>
      </c>
      <c r="I30" t="str">
        <v/>
      </c>
      <c r="J30" t="str">
        <v>24/09/2026</v>
      </c>
      <c r="K30" t="str">
        <v>12:46:41</v>
      </c>
      <c r="L30">
        <v>-12.317884</v>
      </c>
      <c r="M30">
        <v>-76.82413</v>
      </c>
      <c r="N30">
        <f>HYPERLINK("https://www.google.com/maps/search/?api=1&amp;query=-12.317884,-76.82413","Punta Hermosa, Lima")</f>
      </c>
      <c r="O30" t="str">
        <v>Vehículo encendido</v>
      </c>
      <c r="P30">
        <v>10964.4</v>
      </c>
      <c r="Q30" t="str">
        <v/>
      </c>
      <c r="R30">
        <v>0</v>
      </c>
      <c r="S30">
        <v>112.2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24/09/2026</v>
      </c>
      <c r="AC30" t="str">
        <v>12:46:26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24/09/2026 12:46:51</v>
      </c>
      <c r="AK30" t="str">
        <v>12:46:51</v>
      </c>
      <c r="AL30" t="str">
        <v/>
      </c>
    </row>
    <row r="31">
      <c r="A31">
        <v>30</v>
      </c>
      <c r="B31" t="str">
        <v>MASS BSF</v>
      </c>
      <c r="C31" t="str">
        <v>CLW-864</v>
      </c>
      <c r="D31" t="str">
        <v>CLW-864</v>
      </c>
      <c r="E31" t="str">
        <v/>
      </c>
      <c r="F31" t="str">
        <v>867162029823242</v>
      </c>
      <c r="G31" t="str">
        <v>TBD</v>
      </c>
      <c r="H31" t="str">
        <v/>
      </c>
      <c r="I31" t="str">
        <v/>
      </c>
      <c r="J31" t="str">
        <v>24/09/2026</v>
      </c>
      <c r="K31" t="str">
        <v>12:57:54</v>
      </c>
      <c r="L31">
        <v>-12.297339</v>
      </c>
      <c r="M31">
        <v>-76.854965</v>
      </c>
      <c r="N31">
        <f>HYPERLINK("https://www.google.com/maps/search/?api=1&amp;query=-12.297339,-76.854965","Carretera Panamericana Sur, Lurín, Lima")</f>
      </c>
      <c r="O31" t="str">
        <v>Excedió el límite de velocidad</v>
      </c>
      <c r="P31">
        <v>10968.9</v>
      </c>
      <c r="Q31" t="str">
        <v/>
      </c>
      <c r="R31">
        <v>83.4</v>
      </c>
      <c r="S31">
        <v>112.2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24/09/2026</v>
      </c>
      <c r="AC31" t="str">
        <v>12:57:53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24/09/2026 12:58:00</v>
      </c>
      <c r="AK31" t="str">
        <v>12:58:00</v>
      </c>
      <c r="AL31" t="str">
        <v/>
      </c>
    </row>
    <row r="32">
      <c r="A32">
        <v>31</v>
      </c>
      <c r="B32" t="str">
        <v>MASS BSF</v>
      </c>
      <c r="C32" t="str">
        <v>CLW-864</v>
      </c>
      <c r="D32" t="str">
        <v>CLW-864</v>
      </c>
      <c r="E32" t="str">
        <v/>
      </c>
      <c r="F32" t="str">
        <v>867162029823242</v>
      </c>
      <c r="G32" t="str">
        <v>TBD</v>
      </c>
      <c r="H32" t="str">
        <v/>
      </c>
      <c r="I32" t="str">
        <v/>
      </c>
      <c r="J32" t="str">
        <v>24/09/2026</v>
      </c>
      <c r="K32" t="str">
        <v>13:33:37</v>
      </c>
      <c r="L32">
        <v>-12.212845</v>
      </c>
      <c r="M32">
        <v>-76.95918</v>
      </c>
      <c r="N32">
        <f>HYPERLINK("https://www.google.com/maps/search/?api=1&amp;query=-12.212845,-76.95918","Avenida Villa del Mar, Villa El Salvador, Lima")</f>
      </c>
      <c r="O32" t="str">
        <v>Vehículo apagado</v>
      </c>
      <c r="P32">
        <v>10987</v>
      </c>
      <c r="Q32" t="str">
        <v/>
      </c>
      <c r="R32">
        <v>0</v>
      </c>
      <c r="S32">
        <v>112.2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24/09/2026</v>
      </c>
      <c r="AC32" t="str">
        <v>13:33:40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24/09/2026 13:33:51</v>
      </c>
      <c r="AK32" t="str">
        <v>13:33:51</v>
      </c>
      <c r="AL32" t="str">
        <v/>
      </c>
    </row>
  </sheetData>
  <ignoredErrors>
    <ignoredError numberStoredAsText="1" sqref="A1:AL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