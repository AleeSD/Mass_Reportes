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9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CKL-718</v>
      </c>
      <c r="D2" t="str">
        <v>CKL-718</v>
      </c>
      <c r="E2" t="str">
        <v/>
      </c>
      <c r="F2" t="str">
        <v>867162029820636</v>
      </c>
      <c r="G2" t="str">
        <v>TBD</v>
      </c>
      <c r="H2" t="str">
        <v/>
      </c>
      <c r="I2" t="str">
        <v/>
      </c>
      <c r="J2" t="str">
        <v>24/09/2026</v>
      </c>
      <c r="K2" t="str">
        <v>05:46:57</v>
      </c>
      <c r="L2">
        <v>-12.230013</v>
      </c>
      <c r="M2">
        <v>-76.90235</v>
      </c>
      <c r="N2">
        <f>HYPERLINK("https://www.google.com/maps/search/?api=1&amp;query=-12.230013,-76.90235","Lurín, Lima")</f>
      </c>
      <c r="O2" t="str">
        <v>Vehículo encendido</v>
      </c>
      <c r="P2">
        <v>22141.4</v>
      </c>
      <c r="Q2" t="str">
        <v/>
      </c>
      <c r="R2">
        <v>0</v>
      </c>
      <c r="S2">
        <v>106.83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24/09/2026</v>
      </c>
      <c r="AC2" t="str">
        <v>05:30:10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05:47:17</v>
      </c>
      <c r="AK2" t="str">
        <v>05:47:17</v>
      </c>
      <c r="AL2" t="str">
        <v/>
      </c>
    </row>
    <row r="3">
      <c r="A3">
        <v>2</v>
      </c>
      <c r="B3" t="str">
        <v>MASS BSF</v>
      </c>
      <c r="C3" t="str">
        <v>CKL-718</v>
      </c>
      <c r="D3" t="str">
        <v>CKL-718</v>
      </c>
      <c r="E3" t="str">
        <v/>
      </c>
      <c r="F3" t="str">
        <v>867162029820636</v>
      </c>
      <c r="G3" t="str">
        <v>TBD</v>
      </c>
      <c r="H3" t="str">
        <v/>
      </c>
      <c r="I3" t="str">
        <v/>
      </c>
      <c r="J3" t="str">
        <v>24/09/2026</v>
      </c>
      <c r="K3" t="str">
        <v>06:12:17</v>
      </c>
      <c r="L3">
        <v>-12.273808</v>
      </c>
      <c r="M3">
        <v>-76.89357</v>
      </c>
      <c r="N3">
        <f>HYPERLINK("https://www.google.com/maps/search/?api=1&amp;query=-12.273808,-76.89357","Carretera Panamericana Sur, Lurín, Lima")</f>
      </c>
      <c r="O3" t="str">
        <v>Excedió el límite de velocidad</v>
      </c>
      <c r="P3">
        <v>22151.8</v>
      </c>
      <c r="Q3" t="str">
        <v/>
      </c>
      <c r="R3">
        <v>94.5</v>
      </c>
      <c r="S3">
        <v>106.83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24/09/2026</v>
      </c>
      <c r="AC3" t="str">
        <v>06:12:16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06:12:46</v>
      </c>
      <c r="AK3" t="str">
        <v>06:12:46</v>
      </c>
      <c r="AL3" t="str">
        <v/>
      </c>
    </row>
    <row r="4">
      <c r="A4">
        <v>3</v>
      </c>
      <c r="B4" t="str">
        <v>MASS BSF</v>
      </c>
      <c r="C4" t="str">
        <v>CKL-718</v>
      </c>
      <c r="D4" t="str">
        <v>CKL-718</v>
      </c>
      <c r="E4" t="str">
        <v/>
      </c>
      <c r="F4" t="str">
        <v>867162029820636</v>
      </c>
      <c r="G4" t="str">
        <v>TBD</v>
      </c>
      <c r="H4" t="str">
        <v/>
      </c>
      <c r="I4" t="str">
        <v/>
      </c>
      <c r="J4" t="str">
        <v>24/09/2026</v>
      </c>
      <c r="K4" t="str">
        <v>06:16:02</v>
      </c>
      <c r="L4">
        <v>-12.300965</v>
      </c>
      <c r="M4">
        <v>-76.847</v>
      </c>
      <c r="N4">
        <f>HYPERLINK("https://www.google.com/maps/search/?api=1&amp;query=-12.300965,-76.847","Carretera Panamericana Sur, Lurín, Lima")</f>
      </c>
      <c r="O4" t="str">
        <v>Excedió el límite de velocidad</v>
      </c>
      <c r="P4">
        <v>22157.7</v>
      </c>
      <c r="Q4" t="str">
        <v/>
      </c>
      <c r="R4">
        <v>88.7</v>
      </c>
      <c r="S4">
        <v>106.83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24/09/2026</v>
      </c>
      <c r="AC4" t="str">
        <v>06:16:01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06:16:24</v>
      </c>
      <c r="AK4" t="str">
        <v>06:16:24</v>
      </c>
      <c r="AL4" t="str">
        <v/>
      </c>
    </row>
    <row r="5">
      <c r="A5">
        <v>4</v>
      </c>
      <c r="B5" t="str">
        <v>MASS BSF</v>
      </c>
      <c r="C5" t="str">
        <v>CKL-718</v>
      </c>
      <c r="D5" t="str">
        <v>CKL-718</v>
      </c>
      <c r="E5" t="str">
        <v/>
      </c>
      <c r="F5" t="str">
        <v>867162029820636</v>
      </c>
      <c r="G5" t="str">
        <v>TBD</v>
      </c>
      <c r="H5" t="str">
        <v/>
      </c>
      <c r="I5" t="str">
        <v/>
      </c>
      <c r="J5" t="str">
        <v>24/09/2026</v>
      </c>
      <c r="K5" t="str">
        <v>06:16:10</v>
      </c>
      <c r="L5">
        <v>-12.300402</v>
      </c>
      <c r="M5">
        <v>-76.84818</v>
      </c>
      <c r="N5">
        <f>HYPERLINK("https://www.google.com/maps/search/?api=1&amp;query=-12.300402,-76.84818","Carretera Panamericana Sur, Lurín, Lima")</f>
      </c>
      <c r="O5" t="str">
        <v>Exceso de velocidad en segmento vial</v>
      </c>
      <c r="P5">
        <v>22157.9</v>
      </c>
      <c r="Q5" t="str">
        <v/>
      </c>
      <c r="R5">
        <v>81.2</v>
      </c>
      <c r="S5">
        <v>106.83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24/09/2026</v>
      </c>
      <c r="AC5" t="str">
        <v>06:15:55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06:16:31</v>
      </c>
      <c r="AK5" t="str">
        <v>06:16:31</v>
      </c>
      <c r="AL5" t="str">
        <v/>
      </c>
    </row>
    <row r="6">
      <c r="A6">
        <v>5</v>
      </c>
      <c r="B6" t="str">
        <v>MASS BSF</v>
      </c>
      <c r="C6" t="str">
        <v>CKL-718</v>
      </c>
      <c r="D6" t="str">
        <v>CKL-718</v>
      </c>
      <c r="E6" t="str">
        <v/>
      </c>
      <c r="F6" t="str">
        <v>867162029820636</v>
      </c>
      <c r="G6" t="str">
        <v>TBD</v>
      </c>
      <c r="H6" t="str">
        <v/>
      </c>
      <c r="I6" t="str">
        <v/>
      </c>
      <c r="J6" t="str">
        <v>24/09/2026</v>
      </c>
      <c r="K6" t="str">
        <v>06:17:29</v>
      </c>
      <c r="L6">
        <v>-12.312079</v>
      </c>
      <c r="M6">
        <v>-76.83421</v>
      </c>
      <c r="N6">
        <f>HYPERLINK("https://www.google.com/maps/search/?api=1&amp;query=-12.312079,-76.83421","Carretera Panamericana Sur, Punta Hermosa, Lima")</f>
      </c>
      <c r="O6" t="str">
        <v>Excedió el límite de velocidad</v>
      </c>
      <c r="P6">
        <v>22159.6</v>
      </c>
      <c r="Q6" t="str">
        <v/>
      </c>
      <c r="R6">
        <v>88.8</v>
      </c>
      <c r="S6">
        <v>106.83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24/09/2026</v>
      </c>
      <c r="AC6" t="str">
        <v>06:17:28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06:17:48</v>
      </c>
      <c r="AK6" t="str">
        <v>06:17:48</v>
      </c>
      <c r="AL6" t="str">
        <v/>
      </c>
    </row>
    <row r="7">
      <c r="A7">
        <v>6</v>
      </c>
      <c r="B7" t="str">
        <v>MASS BSF</v>
      </c>
      <c r="C7" t="str">
        <v>CKL-718</v>
      </c>
      <c r="D7" t="str">
        <v>CKL-718</v>
      </c>
      <c r="E7" t="str">
        <v/>
      </c>
      <c r="F7" t="str">
        <v>867162029820636</v>
      </c>
      <c r="G7" t="str">
        <v>TBD</v>
      </c>
      <c r="H7" t="str">
        <v/>
      </c>
      <c r="I7" t="str">
        <v/>
      </c>
      <c r="J7" t="str">
        <v>24/09/2026</v>
      </c>
      <c r="K7" t="str">
        <v>06:18:10</v>
      </c>
      <c r="L7">
        <v>-12.317387</v>
      </c>
      <c r="M7">
        <v>-76.830696</v>
      </c>
      <c r="N7">
        <f>HYPERLINK("https://www.google.com/maps/search/?api=1&amp;query=-12.317387,-76.830696","Carretera Panamericana Sur, Punta Hermosa, Lima")</f>
      </c>
      <c r="O7" t="str">
        <v>Exceso de velocidad en segmento vial</v>
      </c>
      <c r="P7">
        <v>22160.6</v>
      </c>
      <c r="Q7" t="str">
        <v/>
      </c>
      <c r="R7">
        <v>86.2</v>
      </c>
      <c r="S7">
        <v>106.83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24/09/2026</v>
      </c>
      <c r="AC7" t="str">
        <v>06:17:55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06:18:26</v>
      </c>
      <c r="AK7" t="str">
        <v>06:18:26</v>
      </c>
      <c r="AL7" t="str">
        <v/>
      </c>
    </row>
    <row r="8">
      <c r="A8">
        <v>7</v>
      </c>
      <c r="B8" t="str">
        <v>MASS BSF</v>
      </c>
      <c r="C8" t="str">
        <v>CKL-718</v>
      </c>
      <c r="D8" t="str">
        <v>CKL-718</v>
      </c>
      <c r="E8" t="str">
        <v/>
      </c>
      <c r="F8" t="str">
        <v>867162029820636</v>
      </c>
      <c r="G8" t="str">
        <v>TBD</v>
      </c>
      <c r="H8" t="str">
        <v/>
      </c>
      <c r="I8" t="str">
        <v/>
      </c>
      <c r="J8" t="str">
        <v>24/09/2026</v>
      </c>
      <c r="K8" t="str">
        <v>06:18:44</v>
      </c>
      <c r="L8">
        <v>-12.325127</v>
      </c>
      <c r="M8">
        <v>-76.82552</v>
      </c>
      <c r="N8">
        <f>HYPERLINK("https://www.google.com/maps/search/?api=1&amp;query=-12.325127,-76.82552","Carretera Panamericana Sur, Punta Hermosa, Lima")</f>
      </c>
      <c r="O8" t="str">
        <v>Excedió el límite de velocidad</v>
      </c>
      <c r="P8">
        <v>22161.4</v>
      </c>
      <c r="Q8" t="str">
        <v/>
      </c>
      <c r="R8">
        <v>85.3</v>
      </c>
      <c r="S8">
        <v>106.83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24/09/2026</v>
      </c>
      <c r="AC8" t="str">
        <v>06:18:43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06:18:59</v>
      </c>
      <c r="AK8" t="str">
        <v>06:18:59</v>
      </c>
      <c r="AL8" t="str">
        <v/>
      </c>
    </row>
    <row r="9">
      <c r="A9">
        <v>8</v>
      </c>
      <c r="B9" t="str">
        <v>MASS BSF</v>
      </c>
      <c r="C9" t="str">
        <v>CKL-718</v>
      </c>
      <c r="D9" t="str">
        <v>CKL-718</v>
      </c>
      <c r="E9" t="str">
        <v/>
      </c>
      <c r="F9" t="str">
        <v>867162029820636</v>
      </c>
      <c r="G9" t="str">
        <v>TBD</v>
      </c>
      <c r="H9" t="str">
        <v/>
      </c>
      <c r="I9" t="str">
        <v/>
      </c>
      <c r="J9" t="str">
        <v>24/09/2026</v>
      </c>
      <c r="K9" t="str">
        <v>06:19:10</v>
      </c>
      <c r="L9">
        <v>-12.327272</v>
      </c>
      <c r="M9">
        <v>-76.82409</v>
      </c>
      <c r="N9">
        <f>HYPERLINK("https://www.google.com/maps/search/?api=1&amp;query=-12.327272,-76.82409","Carretera Panamericana Sur, Punta Hermosa, Lima")</f>
      </c>
      <c r="O9" t="str">
        <v>Exceso de velocidad en segmento vial</v>
      </c>
      <c r="P9">
        <v>22162</v>
      </c>
      <c r="Q9" t="str">
        <v/>
      </c>
      <c r="R9">
        <v>84.8</v>
      </c>
      <c r="S9">
        <v>106.83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24/09/2026</v>
      </c>
      <c r="AC9" t="str">
        <v>06:18:55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06:19:24</v>
      </c>
      <c r="AK9" t="str">
        <v>06:19:24</v>
      </c>
      <c r="AL9" t="str">
        <v/>
      </c>
    </row>
    <row r="10">
      <c r="A10">
        <v>9</v>
      </c>
      <c r="B10" t="str">
        <v>MASS BSF</v>
      </c>
      <c r="C10" t="str">
        <v>CKL-718</v>
      </c>
      <c r="D10" t="str">
        <v>CKL-718</v>
      </c>
      <c r="E10" t="str">
        <v/>
      </c>
      <c r="F10" t="str">
        <v>867162029820636</v>
      </c>
      <c r="G10" t="str">
        <v>TBD</v>
      </c>
      <c r="H10" t="str">
        <v/>
      </c>
      <c r="I10" t="str">
        <v/>
      </c>
      <c r="J10" t="str">
        <v>24/09/2026</v>
      </c>
      <c r="K10" t="str">
        <v>06:23:01</v>
      </c>
      <c r="L10">
        <v>-12.32085</v>
      </c>
      <c r="M10">
        <v>-76.82819</v>
      </c>
      <c r="N10">
        <f>HYPERLINK("https://www.google.com/maps/search/?api=1&amp;query=-12.32085,-76.82819","Carretera Panamericana Sur, Punta Hermosa, Lima")</f>
      </c>
      <c r="O10" t="str">
        <v>Excedió el límite de velocidad</v>
      </c>
      <c r="P10">
        <v>22164.9</v>
      </c>
      <c r="Q10" t="str">
        <v/>
      </c>
      <c r="R10">
        <v>83</v>
      </c>
      <c r="S10">
        <v>106.83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24/09/2026</v>
      </c>
      <c r="AC10" t="str">
        <v>06:23:01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06:23:13</v>
      </c>
      <c r="AK10" t="str">
        <v>06:23:13</v>
      </c>
      <c r="AL10" t="str">
        <v/>
      </c>
    </row>
    <row r="11">
      <c r="A11">
        <v>10</v>
      </c>
      <c r="B11" t="str">
        <v>MASS BSF</v>
      </c>
      <c r="C11" t="str">
        <v>CKL-718</v>
      </c>
      <c r="D11" t="str">
        <v>CKL-718</v>
      </c>
      <c r="E11" t="str">
        <v/>
      </c>
      <c r="F11" t="str">
        <v>867162029820636</v>
      </c>
      <c r="G11" t="str">
        <v>TBD</v>
      </c>
      <c r="H11" t="str">
        <v/>
      </c>
      <c r="I11" t="str">
        <v/>
      </c>
      <c r="J11" t="str">
        <v>24/09/2026</v>
      </c>
      <c r="K11" t="str">
        <v>06:30:51</v>
      </c>
      <c r="L11">
        <v>-12.317259</v>
      </c>
      <c r="M11">
        <v>-76.8229</v>
      </c>
      <c r="N11">
        <f>HYPERLINK("https://www.google.com/maps/search/?api=1&amp;query=-12.317259,-76.8229","Punta Hermosa, Lima")</f>
      </c>
      <c r="O11" t="str">
        <v>Vehículo apagado</v>
      </c>
      <c r="P11">
        <v>22166.4</v>
      </c>
      <c r="Q11" t="str">
        <v/>
      </c>
      <c r="R11">
        <v>3.3</v>
      </c>
      <c r="S11">
        <v>107.57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</v>
      </c>
      <c r="AB11" t="str">
        <v>24/09/2026</v>
      </c>
      <c r="AC11" t="str">
        <v>06:29:52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06:31:04</v>
      </c>
      <c r="AK11" t="str">
        <v>06:31:04</v>
      </c>
      <c r="AL11" t="str">
        <v/>
      </c>
    </row>
    <row r="12">
      <c r="A12">
        <v>11</v>
      </c>
      <c r="B12" t="str">
        <v>MASS BSF</v>
      </c>
      <c r="C12" t="str">
        <v>CKL-718</v>
      </c>
      <c r="D12" t="str">
        <v>CKL-718</v>
      </c>
      <c r="E12" t="str">
        <v/>
      </c>
      <c r="F12" t="str">
        <v>867162029820636</v>
      </c>
      <c r="G12" t="str">
        <v>TBD</v>
      </c>
      <c r="H12" t="str">
        <v/>
      </c>
      <c r="I12" t="str">
        <v/>
      </c>
      <c r="J12" t="str">
        <v>24/09/2026</v>
      </c>
      <c r="K12" t="str">
        <v>06:37:00</v>
      </c>
      <c r="L12">
        <v>-12.317281</v>
      </c>
      <c r="M12">
        <v>-76.82291</v>
      </c>
      <c r="N12">
        <f>HYPERLINK("https://www.google.com/maps/search/?api=1&amp;query=-12.317281,-76.82291","Punta Hermosa, Lima")</f>
      </c>
      <c r="O12" t="str">
        <v>Vehículo encendido</v>
      </c>
      <c r="P12">
        <v>22166.4</v>
      </c>
      <c r="Q12" t="str">
        <v/>
      </c>
      <c r="R12">
        <v>0</v>
      </c>
      <c r="S12">
        <v>107.57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100</v>
      </c>
      <c r="AB12" t="str">
        <v>24/09/2026</v>
      </c>
      <c r="AC12" t="str">
        <v>06:30:54</v>
      </c>
      <c r="AD12">
        <f>IF("NOGPS"="NOGPS","GPS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06:37:15</v>
      </c>
      <c r="AK12" t="str">
        <v>06:37:15</v>
      </c>
      <c r="AL12" t="str">
        <v/>
      </c>
    </row>
    <row r="13">
      <c r="A13">
        <v>12</v>
      </c>
      <c r="B13" t="str">
        <v>MASS BSF</v>
      </c>
      <c r="C13" t="str">
        <v>CKL-718</v>
      </c>
      <c r="D13" t="str">
        <v>CKL-718</v>
      </c>
      <c r="E13" t="str">
        <v/>
      </c>
      <c r="F13" t="str">
        <v>867162029820636</v>
      </c>
      <c r="G13" t="str">
        <v>TBD</v>
      </c>
      <c r="H13" t="str">
        <v/>
      </c>
      <c r="I13" t="str">
        <v/>
      </c>
      <c r="J13" t="str">
        <v>24/09/2026</v>
      </c>
      <c r="K13" t="str">
        <v>06:40:18</v>
      </c>
      <c r="L13">
        <v>-12.317818</v>
      </c>
      <c r="M13">
        <v>-76.824165</v>
      </c>
      <c r="N13">
        <f>HYPERLINK("https://www.google.com/maps/search/?api=1&amp;query=-12.317818,-76.824165","Punta Hermosa, Lima")</f>
      </c>
      <c r="O13" t="str">
        <v>Vehículo apagado</v>
      </c>
      <c r="P13">
        <v>22166.7</v>
      </c>
      <c r="Q13" t="str">
        <v/>
      </c>
      <c r="R13">
        <v>3.8</v>
      </c>
      <c r="S13">
        <v>107.62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100</v>
      </c>
      <c r="AB13" t="str">
        <v>24/09/2026</v>
      </c>
      <c r="AC13" t="str">
        <v>06:39:59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06:40:31</v>
      </c>
      <c r="AK13" t="str">
        <v>06:40:31</v>
      </c>
      <c r="AL13" t="str">
        <v/>
      </c>
    </row>
    <row r="14">
      <c r="A14">
        <v>13</v>
      </c>
      <c r="B14" t="str">
        <v>MASS BSF</v>
      </c>
      <c r="C14" t="str">
        <v>CKL-718</v>
      </c>
      <c r="D14" t="str">
        <v>CKL-718</v>
      </c>
      <c r="E14" t="str">
        <v/>
      </c>
      <c r="F14" t="str">
        <v>867162029820636</v>
      </c>
      <c r="G14" t="str">
        <v>TBD</v>
      </c>
      <c r="H14" t="str">
        <v/>
      </c>
      <c r="I14" t="str">
        <v/>
      </c>
      <c r="J14" t="str">
        <v>24/09/2026</v>
      </c>
      <c r="K14" t="str">
        <v>06:45:49</v>
      </c>
      <c r="L14">
        <v>-12.317812</v>
      </c>
      <c r="M14">
        <v>-76.82415</v>
      </c>
      <c r="N14">
        <f>HYPERLINK("https://www.google.com/maps/search/?api=1&amp;query=-12.317812,-76.82415","Punta Hermosa, Lima")</f>
      </c>
      <c r="O14" t="str">
        <v>Vehículo encendido</v>
      </c>
      <c r="P14">
        <v>22166.7</v>
      </c>
      <c r="Q14" t="str">
        <v/>
      </c>
      <c r="R14">
        <v>0</v>
      </c>
      <c r="S14">
        <v>107.62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100</v>
      </c>
      <c r="AB14" t="str">
        <v>24/09/2026</v>
      </c>
      <c r="AC14" t="str">
        <v>06:40:22</v>
      </c>
      <c r="AD14">
        <f>IF("NOGPS"="NOGPS","GPS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06:46:00</v>
      </c>
      <c r="AK14" t="str">
        <v>06:46:00</v>
      </c>
      <c r="AL14" t="str">
        <v/>
      </c>
    </row>
    <row r="15">
      <c r="A15">
        <v>14</v>
      </c>
      <c r="B15" t="str">
        <v>MASS BSF</v>
      </c>
      <c r="C15" t="str">
        <v>CKL-718</v>
      </c>
      <c r="D15" t="str">
        <v>CKL-718</v>
      </c>
      <c r="E15" t="str">
        <v/>
      </c>
      <c r="F15" t="str">
        <v>867162029820636</v>
      </c>
      <c r="G15" t="str">
        <v>TBD</v>
      </c>
      <c r="H15" t="str">
        <v/>
      </c>
      <c r="I15" t="str">
        <v/>
      </c>
      <c r="J15" t="str">
        <v>24/09/2026</v>
      </c>
      <c r="K15" t="str">
        <v>06:48:49</v>
      </c>
      <c r="L15">
        <v>-12.317822</v>
      </c>
      <c r="M15">
        <v>-76.82416</v>
      </c>
      <c r="N15">
        <f>HYPERLINK("https://www.google.com/maps/search/?api=1&amp;query=-12.317822,-76.82416","Punta Hermosa, Lima")</f>
      </c>
      <c r="O15" t="str">
        <v>Inicio de ralentí</v>
      </c>
      <c r="P15">
        <v>22166.7</v>
      </c>
      <c r="Q15" t="str">
        <v/>
      </c>
      <c r="R15">
        <v>0</v>
      </c>
      <c r="S15">
        <v>107.62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100</v>
      </c>
      <c r="AB15" t="str">
        <v>24/09/2026</v>
      </c>
      <c r="AC15" t="str">
        <v>06:47:47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06:49:01</v>
      </c>
      <c r="AK15" t="str">
        <v>06:49:01</v>
      </c>
      <c r="AL15" t="str">
        <v/>
      </c>
    </row>
    <row r="16">
      <c r="A16">
        <v>15</v>
      </c>
      <c r="B16" t="str">
        <v>MASS BSF</v>
      </c>
      <c r="C16" t="str">
        <v>CKL-718</v>
      </c>
      <c r="D16" t="str">
        <v>CKL-718</v>
      </c>
      <c r="E16" t="str">
        <v/>
      </c>
      <c r="F16" t="str">
        <v>867162029820636</v>
      </c>
      <c r="G16" t="str">
        <v>TBD</v>
      </c>
      <c r="H16" t="str">
        <v/>
      </c>
      <c r="I16" t="str">
        <v/>
      </c>
      <c r="J16" t="str">
        <v>24/09/2026</v>
      </c>
      <c r="K16" t="str">
        <v>06:53:56</v>
      </c>
      <c r="L16">
        <v>-12.317822</v>
      </c>
      <c r="M16">
        <v>-76.82416</v>
      </c>
      <c r="N16">
        <f>HYPERLINK("https://www.google.com/maps/search/?api=1&amp;query=-12.317822,-76.82416","Punta Hermosa, Lima")</f>
      </c>
      <c r="O16" t="str">
        <v>Vehículo apagado</v>
      </c>
      <c r="P16">
        <v>22166.7</v>
      </c>
      <c r="Q16" t="str">
        <v/>
      </c>
      <c r="R16">
        <v>0</v>
      </c>
      <c r="S16">
        <v>107.75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100</v>
      </c>
      <c r="AB16" t="str">
        <v>24/09/2026</v>
      </c>
      <c r="AC16" t="str">
        <v>06:53:58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06:54:09</v>
      </c>
      <c r="AK16" t="str">
        <v>06:54:09</v>
      </c>
      <c r="AL16" t="str">
        <v/>
      </c>
    </row>
    <row r="17">
      <c r="A17">
        <v>16</v>
      </c>
      <c r="B17" t="str">
        <v>MASS BSF</v>
      </c>
      <c r="C17" t="str">
        <v>CKL-718</v>
      </c>
      <c r="D17" t="str">
        <v>CKL-718</v>
      </c>
      <c r="E17" t="str">
        <v/>
      </c>
      <c r="F17" t="str">
        <v>867162029820636</v>
      </c>
      <c r="G17" t="str">
        <v>TBD</v>
      </c>
      <c r="H17" t="str">
        <v/>
      </c>
      <c r="I17" t="str">
        <v/>
      </c>
      <c r="J17" t="str">
        <v>24/09/2026</v>
      </c>
      <c r="K17" t="str">
        <v>06:54:56</v>
      </c>
      <c r="L17">
        <v>-12.317822</v>
      </c>
      <c r="M17">
        <v>-76.82416</v>
      </c>
      <c r="N17">
        <f>HYPERLINK("https://www.google.com/maps/search/?api=1&amp;query=-12.317822,-76.82416","Punta Hermosa, Lima")</f>
      </c>
      <c r="O17" t="str">
        <v>Fin de ralentí</v>
      </c>
      <c r="P17">
        <v>22166.7</v>
      </c>
      <c r="Q17" t="str">
        <v/>
      </c>
      <c r="R17">
        <v>0</v>
      </c>
      <c r="S17">
        <v>107.75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100</v>
      </c>
      <c r="AB17" t="str">
        <v>24/09/2026</v>
      </c>
      <c r="AC17" t="str">
        <v>06:53:58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06:55:13</v>
      </c>
      <c r="AK17" t="str">
        <v>06:55:13</v>
      </c>
      <c r="AL17" t="str">
        <v/>
      </c>
    </row>
    <row r="18">
      <c r="A18">
        <v>17</v>
      </c>
      <c r="B18" t="str">
        <v>MASS BSF</v>
      </c>
      <c r="C18" t="str">
        <v>CKL-718</v>
      </c>
      <c r="D18" t="str">
        <v>CKL-718</v>
      </c>
      <c r="E18" t="str">
        <v/>
      </c>
      <c r="F18" t="str">
        <v>867162029820636</v>
      </c>
      <c r="G18" t="str">
        <v>TBD</v>
      </c>
      <c r="H18" t="str">
        <v/>
      </c>
      <c r="I18" t="str">
        <v/>
      </c>
      <c r="J18" t="str">
        <v>24/09/2026</v>
      </c>
      <c r="K18" t="str">
        <v>06:56:06</v>
      </c>
      <c r="L18">
        <v>-12.317822</v>
      </c>
      <c r="M18">
        <v>-76.82416</v>
      </c>
      <c r="N18">
        <f>HYPERLINK("https://www.google.com/maps/search/?api=1&amp;query=-12.317822,-76.82416","Punta Hermosa, Lima")</f>
      </c>
      <c r="O18" t="str">
        <v>Vehículo encendido</v>
      </c>
      <c r="P18">
        <v>22166.7</v>
      </c>
      <c r="Q18" t="str">
        <v/>
      </c>
      <c r="R18">
        <v>0</v>
      </c>
      <c r="S18">
        <v>107.75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100</v>
      </c>
      <c r="AB18" t="str">
        <v>24/09/2026</v>
      </c>
      <c r="AC18" t="str">
        <v>06:53:58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06:56:20</v>
      </c>
      <c r="AK18" t="str">
        <v>06:56:20</v>
      </c>
      <c r="AL18" t="str">
        <v/>
      </c>
    </row>
    <row r="19">
      <c r="A19">
        <v>18</v>
      </c>
      <c r="B19" t="str">
        <v>MASS BSF</v>
      </c>
      <c r="C19" t="str">
        <v>CKL-718</v>
      </c>
      <c r="D19" t="str">
        <v>CKL-718</v>
      </c>
      <c r="E19" t="str">
        <v/>
      </c>
      <c r="F19" t="str">
        <v>867162029820636</v>
      </c>
      <c r="G19" t="str">
        <v>TBD</v>
      </c>
      <c r="H19" t="str">
        <v/>
      </c>
      <c r="I19" t="str">
        <v/>
      </c>
      <c r="J19" t="str">
        <v>24/09/2026</v>
      </c>
      <c r="K19" t="str">
        <v>06:57:56</v>
      </c>
      <c r="L19">
        <v>-12.31777</v>
      </c>
      <c r="M19">
        <v>-76.82417</v>
      </c>
      <c r="N19">
        <f>HYPERLINK("https://www.google.com/maps/search/?api=1&amp;query=-12.31777,-76.82417","Punta Hermosa, Lima")</f>
      </c>
      <c r="O19" t="str">
        <v>Vehículo apagado</v>
      </c>
      <c r="P19">
        <v>22166.7</v>
      </c>
      <c r="Q19" t="str">
        <v/>
      </c>
      <c r="R19">
        <v>0</v>
      </c>
      <c r="S19">
        <v>107.78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100</v>
      </c>
      <c r="AB19" t="str">
        <v>24/09/2026</v>
      </c>
      <c r="AC19" t="str">
        <v>06:57:01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06:58:04</v>
      </c>
      <c r="AK19" t="str">
        <v>06:58:04</v>
      </c>
      <c r="AL19" t="str">
        <v/>
      </c>
    </row>
    <row r="20">
      <c r="A20">
        <v>19</v>
      </c>
      <c r="B20" t="str">
        <v>MASS BSF</v>
      </c>
      <c r="C20" t="str">
        <v>CKL-718</v>
      </c>
      <c r="D20" t="str">
        <v>CKL-718</v>
      </c>
      <c r="E20" t="str">
        <v/>
      </c>
      <c r="F20" t="str">
        <v>867162029820636</v>
      </c>
      <c r="G20" t="str">
        <v>TBD</v>
      </c>
      <c r="H20" t="str">
        <v/>
      </c>
      <c r="I20" t="str">
        <v/>
      </c>
      <c r="J20" t="str">
        <v>24/09/2026</v>
      </c>
      <c r="K20" t="str">
        <v>07:16:12</v>
      </c>
      <c r="L20">
        <v>-12.31777</v>
      </c>
      <c r="M20">
        <v>-76.82417</v>
      </c>
      <c r="N20">
        <f>HYPERLINK("https://www.google.com/maps/search/?api=1&amp;query=-12.31777,-76.82417","Punta Hermosa, Lima")</f>
      </c>
      <c r="O20" t="str">
        <v>Vehículo encendido</v>
      </c>
      <c r="P20">
        <v>22166.7</v>
      </c>
      <c r="Q20" t="str">
        <v/>
      </c>
      <c r="R20">
        <v>0</v>
      </c>
      <c r="S20">
        <v>107.78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100</v>
      </c>
      <c r="AB20" t="str">
        <v>24/09/2026</v>
      </c>
      <c r="AC20" t="str">
        <v>06:58:00</v>
      </c>
      <c r="AD20">
        <f>IF("NOGPS"="NOGPS","GPS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07:16:31</v>
      </c>
      <c r="AK20" t="str">
        <v>07:16:31</v>
      </c>
      <c r="AL20" t="str">
        <v/>
      </c>
    </row>
    <row r="21">
      <c r="A21">
        <v>20</v>
      </c>
      <c r="B21" t="str">
        <v>MASS BSF</v>
      </c>
      <c r="C21" t="str">
        <v>CKL-718</v>
      </c>
      <c r="D21" t="str">
        <v>CKL-718</v>
      </c>
      <c r="E21" t="str">
        <v/>
      </c>
      <c r="F21" t="str">
        <v>867162029820636</v>
      </c>
      <c r="G21" t="str">
        <v>TBD</v>
      </c>
      <c r="H21" t="str">
        <v/>
      </c>
      <c r="I21" t="str">
        <v/>
      </c>
      <c r="J21" t="str">
        <v>24/09/2026</v>
      </c>
      <c r="K21" t="str">
        <v>07:18:35</v>
      </c>
      <c r="L21">
        <v>-12.317654</v>
      </c>
      <c r="M21">
        <v>-76.82442</v>
      </c>
      <c r="N21">
        <f>HYPERLINK("https://www.google.com/maps/search/?api=1&amp;query=-12.317654,-76.82442","Punta Hermosa, Lima")</f>
      </c>
      <c r="O21" t="str">
        <v>Vehículo apagado</v>
      </c>
      <c r="P21">
        <v>22166.7</v>
      </c>
      <c r="Q21" t="str">
        <v/>
      </c>
      <c r="R21">
        <v>0</v>
      </c>
      <c r="S21">
        <v>107.82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100</v>
      </c>
      <c r="AB21" t="str">
        <v>24/09/2026</v>
      </c>
      <c r="AC21" t="str">
        <v>07:18:37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07:18:42</v>
      </c>
      <c r="AK21" t="str">
        <v>07:18:42</v>
      </c>
      <c r="AL21" t="str">
        <v/>
      </c>
    </row>
    <row r="22">
      <c r="A22">
        <v>21</v>
      </c>
      <c r="B22" t="str">
        <v>MASS BSF</v>
      </c>
      <c r="C22" t="str">
        <v>CKL-718</v>
      </c>
      <c r="D22" t="str">
        <v>CKL-718</v>
      </c>
      <c r="E22" t="str">
        <v/>
      </c>
      <c r="F22" t="str">
        <v>867162029820636</v>
      </c>
      <c r="G22" t="str">
        <v>TBD</v>
      </c>
      <c r="H22" t="str">
        <v/>
      </c>
      <c r="I22" t="str">
        <v/>
      </c>
      <c r="J22" t="str">
        <v>24/09/2026</v>
      </c>
      <c r="K22" t="str">
        <v>07:19:16</v>
      </c>
      <c r="L22">
        <v>-12.317654</v>
      </c>
      <c r="M22">
        <v>-76.82442</v>
      </c>
      <c r="N22">
        <f>HYPERLINK("https://www.google.com/maps/search/?api=1&amp;query=-12.317654,-76.82442","Punta Hermosa, Lima")</f>
      </c>
      <c r="O22" t="str">
        <v>Vehículo encendido</v>
      </c>
      <c r="P22">
        <v>22166.7</v>
      </c>
      <c r="Q22" t="str">
        <v/>
      </c>
      <c r="R22">
        <v>0</v>
      </c>
      <c r="S22">
        <v>107.82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100</v>
      </c>
      <c r="AB22" t="str">
        <v>24/09/2026</v>
      </c>
      <c r="AC22" t="str">
        <v>07:18:37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07:19:30</v>
      </c>
      <c r="AK22" t="str">
        <v>07:19:30</v>
      </c>
      <c r="AL22" t="str">
        <v/>
      </c>
    </row>
    <row r="23">
      <c r="A23">
        <v>22</v>
      </c>
      <c r="B23" t="str">
        <v>MASS BSF</v>
      </c>
      <c r="C23" t="str">
        <v>CKL-718</v>
      </c>
      <c r="D23" t="str">
        <v>CKL-718</v>
      </c>
      <c r="E23" t="str">
        <v/>
      </c>
      <c r="F23" t="str">
        <v>867162029820636</v>
      </c>
      <c r="G23" t="str">
        <v>TBD</v>
      </c>
      <c r="H23" t="str">
        <v/>
      </c>
      <c r="I23" t="str">
        <v/>
      </c>
      <c r="J23" t="str">
        <v>24/09/2026</v>
      </c>
      <c r="K23" t="str">
        <v>07:19:24</v>
      </c>
      <c r="L23">
        <v>-12.317654</v>
      </c>
      <c r="M23">
        <v>-76.82442</v>
      </c>
      <c r="N23">
        <f>HYPERLINK("https://www.google.com/maps/search/?api=1&amp;query=-12.317654,-76.82442","Punta Hermosa, Lima")</f>
      </c>
      <c r="O23" t="str">
        <v>Vehículo apagado</v>
      </c>
      <c r="P23">
        <v>22166.7</v>
      </c>
      <c r="Q23" t="str">
        <v/>
      </c>
      <c r="R23">
        <v>0</v>
      </c>
      <c r="S23">
        <v>107.82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100</v>
      </c>
      <c r="AB23" t="str">
        <v>24/09/2026</v>
      </c>
      <c r="AC23" t="str">
        <v>07:18:37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07:19:32</v>
      </c>
      <c r="AK23" t="str">
        <v>07:19:32</v>
      </c>
      <c r="AL23" t="str">
        <v/>
      </c>
    </row>
    <row r="24">
      <c r="A24">
        <v>23</v>
      </c>
      <c r="B24" t="str">
        <v>MASS BSF</v>
      </c>
      <c r="C24" t="str">
        <v>CKL-718</v>
      </c>
      <c r="D24" t="str">
        <v>CKL-718</v>
      </c>
      <c r="E24" t="str">
        <v/>
      </c>
      <c r="F24" t="str">
        <v>867162029820636</v>
      </c>
      <c r="G24" t="str">
        <v>TBD</v>
      </c>
      <c r="H24" t="str">
        <v/>
      </c>
      <c r="I24" t="str">
        <v/>
      </c>
      <c r="J24" t="str">
        <v>24/09/2026</v>
      </c>
      <c r="K24" t="str">
        <v>07:50:22</v>
      </c>
      <c r="L24">
        <v>-12.317668</v>
      </c>
      <c r="M24">
        <v>-76.82432</v>
      </c>
      <c r="N24">
        <f>HYPERLINK("https://www.google.com/maps/search/?api=1&amp;query=-12.317668,-76.82432","Punta Hermosa, Lima")</f>
      </c>
      <c r="O24" t="str">
        <v>Vehículo encendido</v>
      </c>
      <c r="P24">
        <v>22166.7</v>
      </c>
      <c r="Q24" t="str">
        <v/>
      </c>
      <c r="R24">
        <v>0</v>
      </c>
      <c r="S24">
        <v>107.82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100</v>
      </c>
      <c r="AB24" t="str">
        <v>24/09/2026</v>
      </c>
      <c r="AC24" t="str">
        <v>07:46:57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07:50:35</v>
      </c>
      <c r="AK24" t="str">
        <v>07:50:35</v>
      </c>
      <c r="AL24" t="str">
        <v/>
      </c>
    </row>
    <row r="25">
      <c r="A25">
        <v>24</v>
      </c>
      <c r="B25" t="str">
        <v>MASS BSF</v>
      </c>
      <c r="C25" t="str">
        <v>CKL-718</v>
      </c>
      <c r="D25" t="str">
        <v>CKL-718</v>
      </c>
      <c r="E25" t="str">
        <v/>
      </c>
      <c r="F25" t="str">
        <v>867162029820636</v>
      </c>
      <c r="G25" t="str">
        <v>TBD</v>
      </c>
      <c r="H25" t="str">
        <v/>
      </c>
      <c r="I25" t="str">
        <v/>
      </c>
      <c r="J25" t="str">
        <v>24/09/2026</v>
      </c>
      <c r="K25" t="str">
        <v>07:50:34</v>
      </c>
      <c r="L25">
        <v>-12.317614</v>
      </c>
      <c r="M25">
        <v>-76.82439</v>
      </c>
      <c r="N25">
        <f>HYPERLINK("https://www.google.com/maps/search/?api=1&amp;query=-12.317614,-76.82439","Punta Hermosa, Lima")</f>
      </c>
      <c r="O25" t="str">
        <v>Vehículo apagado</v>
      </c>
      <c r="P25">
        <v>22166.7</v>
      </c>
      <c r="Q25" t="str">
        <v/>
      </c>
      <c r="R25">
        <v>0</v>
      </c>
      <c r="S25">
        <v>107.82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100</v>
      </c>
      <c r="AB25" t="str">
        <v>24/09/2026</v>
      </c>
      <c r="AC25" t="str">
        <v>07:50:36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07:50:52</v>
      </c>
      <c r="AK25" t="str">
        <v>07:50:52</v>
      </c>
      <c r="AL25" t="str">
        <v/>
      </c>
    </row>
    <row r="26">
      <c r="A26">
        <v>25</v>
      </c>
      <c r="B26" t="str">
        <v>MASS BSF</v>
      </c>
      <c r="C26" t="str">
        <v>CKL-718</v>
      </c>
      <c r="D26" t="str">
        <v>CKL-718</v>
      </c>
      <c r="E26" t="str">
        <v/>
      </c>
      <c r="F26" t="str">
        <v>867162029820636</v>
      </c>
      <c r="G26" t="str">
        <v>TBD</v>
      </c>
      <c r="H26" t="str">
        <v/>
      </c>
      <c r="I26" t="str">
        <v/>
      </c>
      <c r="J26" t="str">
        <v>24/09/2026</v>
      </c>
      <c r="K26" t="str">
        <v>07:54:47</v>
      </c>
      <c r="L26">
        <v>-12.317614</v>
      </c>
      <c r="M26">
        <v>-76.82439</v>
      </c>
      <c r="N26">
        <f>HYPERLINK("https://www.google.com/maps/search/?api=1&amp;query=-12.317614,-76.82439","Punta Hermosa, Lima")</f>
      </c>
      <c r="O26" t="str">
        <v>Vehículo encendido</v>
      </c>
      <c r="P26">
        <v>22166.7</v>
      </c>
      <c r="Q26" t="str">
        <v/>
      </c>
      <c r="R26">
        <v>0</v>
      </c>
      <c r="S26">
        <v>107.82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100</v>
      </c>
      <c r="AB26" t="str">
        <v>24/09/2026</v>
      </c>
      <c r="AC26" t="str">
        <v>07:50:36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07:55:04</v>
      </c>
      <c r="AK26" t="str">
        <v>07:55:04</v>
      </c>
      <c r="AL26" t="str">
        <v/>
      </c>
    </row>
    <row r="27">
      <c r="A27">
        <v>26</v>
      </c>
      <c r="B27" t="str">
        <v>MASS BSF</v>
      </c>
      <c r="C27" t="str">
        <v>CKL-718</v>
      </c>
      <c r="D27" t="str">
        <v>CKL-718</v>
      </c>
      <c r="E27" t="str">
        <v/>
      </c>
      <c r="F27" t="str">
        <v>867162029820636</v>
      </c>
      <c r="G27" t="str">
        <v>TBD</v>
      </c>
      <c r="H27" t="str">
        <v/>
      </c>
      <c r="I27" t="str">
        <v/>
      </c>
      <c r="J27" t="str">
        <v>24/09/2026</v>
      </c>
      <c r="K27" t="str">
        <v>07:59:39</v>
      </c>
      <c r="L27">
        <v>-12.310467</v>
      </c>
      <c r="M27">
        <v>-76.83518</v>
      </c>
      <c r="N27">
        <f>HYPERLINK("https://www.google.com/maps/search/?api=1&amp;query=-12.310467,-76.83518","Carretera Panamericana Sur, Punta Hermosa, Lima")</f>
      </c>
      <c r="O27" t="str">
        <v>Excedió el límite de velocidad</v>
      </c>
      <c r="P27">
        <v>22168.5</v>
      </c>
      <c r="Q27" t="str">
        <v/>
      </c>
      <c r="R27">
        <v>86</v>
      </c>
      <c r="S27">
        <v>107.82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100</v>
      </c>
      <c r="AB27" t="str">
        <v>24/09/2026</v>
      </c>
      <c r="AC27" t="str">
        <v>07:59:38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07:59:47</v>
      </c>
      <c r="AK27" t="str">
        <v>07:59:47</v>
      </c>
      <c r="AL27" t="str">
        <v/>
      </c>
    </row>
    <row r="28">
      <c r="A28">
        <v>27</v>
      </c>
      <c r="B28" t="str">
        <v>MASS BSF</v>
      </c>
      <c r="C28" t="str">
        <v>CKL-718</v>
      </c>
      <c r="D28" t="str">
        <v>CKL-718</v>
      </c>
      <c r="E28" t="str">
        <v/>
      </c>
      <c r="F28" t="str">
        <v>867162029820636</v>
      </c>
      <c r="G28" t="str">
        <v>TBD</v>
      </c>
      <c r="H28" t="str">
        <v/>
      </c>
      <c r="I28" t="str">
        <v/>
      </c>
      <c r="J28" t="str">
        <v>24/09/2026</v>
      </c>
      <c r="K28" t="str">
        <v>08:01:09</v>
      </c>
      <c r="L28">
        <v>-12.298744</v>
      </c>
      <c r="M28">
        <v>-76.85175</v>
      </c>
      <c r="N28">
        <f>HYPERLINK("https://www.google.com/maps/search/?api=1&amp;query=-12.298744,-76.85175","Carretera Panamericana Sur, Lurín, Lima")</f>
      </c>
      <c r="O28" t="str">
        <v>Excedió el límite de velocidad</v>
      </c>
      <c r="P28">
        <v>22170.8</v>
      </c>
      <c r="Q28" t="str">
        <v/>
      </c>
      <c r="R28">
        <v>85.5</v>
      </c>
      <c r="S28">
        <v>107.82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100</v>
      </c>
      <c r="AB28" t="str">
        <v>24/09/2026</v>
      </c>
      <c r="AC28" t="str">
        <v>08:01:08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08:01:23</v>
      </c>
      <c r="AK28" t="str">
        <v>08:01:23</v>
      </c>
      <c r="AL28" t="str">
        <v/>
      </c>
    </row>
    <row r="29">
      <c r="A29">
        <v>28</v>
      </c>
      <c r="B29" t="str">
        <v>MASS BSF</v>
      </c>
      <c r="C29" t="str">
        <v>CKL-718</v>
      </c>
      <c r="D29" t="str">
        <v>CKL-718</v>
      </c>
      <c r="E29" t="str">
        <v/>
      </c>
      <c r="F29" t="str">
        <v>867162029820636</v>
      </c>
      <c r="G29" t="str">
        <v>TBD</v>
      </c>
      <c r="H29" t="str">
        <v/>
      </c>
      <c r="I29" t="str">
        <v/>
      </c>
      <c r="J29" t="str">
        <v>24/09/2026</v>
      </c>
      <c r="K29" t="str">
        <v>08:05:36</v>
      </c>
      <c r="L29">
        <v>-12.271657</v>
      </c>
      <c r="M29">
        <v>-76.89676</v>
      </c>
      <c r="N29">
        <f>HYPERLINK("https://www.google.com/maps/search/?api=1&amp;query=-12.271657,-76.89676","Carretera Panamericana Sur, Lurín, Lima")</f>
      </c>
      <c r="O29" t="str">
        <v>Excedió el límite de velocidad</v>
      </c>
      <c r="P29">
        <v>22176.5</v>
      </c>
      <c r="Q29" t="str">
        <v/>
      </c>
      <c r="R29">
        <v>88.1</v>
      </c>
      <c r="S29">
        <v>107.82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100</v>
      </c>
      <c r="AB29" t="str">
        <v>24/09/2026</v>
      </c>
      <c r="AC29" t="str">
        <v>08:05:35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08:05:54</v>
      </c>
      <c r="AK29" t="str">
        <v>08:05:54</v>
      </c>
      <c r="AL29" t="str">
        <v/>
      </c>
    </row>
    <row r="30">
      <c r="A30">
        <v>29</v>
      </c>
      <c r="B30" t="str">
        <v>MASS BSF</v>
      </c>
      <c r="C30" t="str">
        <v>CKL-718</v>
      </c>
      <c r="D30" t="str">
        <v>CKL-718</v>
      </c>
      <c r="E30" t="str">
        <v/>
      </c>
      <c r="F30" t="str">
        <v>867162029820636</v>
      </c>
      <c r="G30" t="str">
        <v>TBD</v>
      </c>
      <c r="H30" t="str">
        <v/>
      </c>
      <c r="I30" t="str">
        <v/>
      </c>
      <c r="J30" t="str">
        <v>24/09/2026</v>
      </c>
      <c r="K30" t="str">
        <v>08:36:14</v>
      </c>
      <c r="L30">
        <v>-12.222916</v>
      </c>
      <c r="M30">
        <v>-76.935074</v>
      </c>
      <c r="N30">
        <f>HYPERLINK("https://www.google.com/maps/search/?api=1&amp;query=-12.222916,-76.935074","Avenida José Carlos Mariátegui, Villa El Salvador, Lima")</f>
      </c>
      <c r="O30" t="str">
        <v>Vehículo apagado</v>
      </c>
      <c r="P30">
        <v>22192.7</v>
      </c>
      <c r="Q30" t="str">
        <v/>
      </c>
      <c r="R30">
        <v>0</v>
      </c>
      <c r="S30">
        <v>108.5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100</v>
      </c>
      <c r="AB30" t="str">
        <v>24/09/2026</v>
      </c>
      <c r="AC30" t="str">
        <v>08:36:16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08:36:27</v>
      </c>
      <c r="AK30" t="str">
        <v>08:36:27</v>
      </c>
      <c r="AL30" t="str">
        <v/>
      </c>
    </row>
    <row r="31">
      <c r="A31">
        <v>30</v>
      </c>
      <c r="B31" t="str">
        <v>MASS BSF</v>
      </c>
      <c r="C31" t="str">
        <v>CKL-718</v>
      </c>
      <c r="D31" t="str">
        <v>CKL-718</v>
      </c>
      <c r="E31" t="str">
        <v/>
      </c>
      <c r="F31" t="str">
        <v>867162029820636</v>
      </c>
      <c r="G31" t="str">
        <v>TBD</v>
      </c>
      <c r="H31" t="str">
        <v/>
      </c>
      <c r="I31" t="str">
        <v/>
      </c>
      <c r="J31" t="str">
        <v>24/09/2026</v>
      </c>
      <c r="K31" t="str">
        <v>09:02:47</v>
      </c>
      <c r="L31">
        <v>-12.222916</v>
      </c>
      <c r="M31">
        <v>-76.935074</v>
      </c>
      <c r="N31">
        <f>HYPERLINK("https://www.google.com/maps/search/?api=1&amp;query=-12.222916,-76.935074","Avenida José Carlos Mariátegui, Villa El Salvador, Lima")</f>
      </c>
      <c r="O31" t="str">
        <v>Vehículo encendido</v>
      </c>
      <c r="P31">
        <v>22192.7</v>
      </c>
      <c r="Q31" t="str">
        <v/>
      </c>
      <c r="R31">
        <v>0</v>
      </c>
      <c r="S31">
        <v>108.5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100</v>
      </c>
      <c r="AB31" t="str">
        <v>24/09/2026</v>
      </c>
      <c r="AC31" t="str">
        <v>08:36:16</v>
      </c>
      <c r="AD31">
        <f>IF("NOGPS"="NOGPS","GPS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09:03:09</v>
      </c>
      <c r="AK31" t="str">
        <v>09:03:09</v>
      </c>
      <c r="AL31" t="str">
        <v/>
      </c>
    </row>
    <row r="32">
      <c r="A32">
        <v>31</v>
      </c>
      <c r="B32" t="str">
        <v>MASS BSF</v>
      </c>
      <c r="C32" t="str">
        <v>CKL-718</v>
      </c>
      <c r="D32" t="str">
        <v>CKL-718</v>
      </c>
      <c r="E32" t="str">
        <v/>
      </c>
      <c r="F32" t="str">
        <v>867162029820636</v>
      </c>
      <c r="G32" t="str">
        <v>TBD</v>
      </c>
      <c r="H32" t="str">
        <v/>
      </c>
      <c r="I32" t="str">
        <v/>
      </c>
      <c r="J32" t="str">
        <v>24/09/2026</v>
      </c>
      <c r="K32" t="str">
        <v>09:05:32</v>
      </c>
      <c r="L32">
        <v>-12.22098</v>
      </c>
      <c r="M32">
        <v>-76.93186</v>
      </c>
      <c r="N32">
        <f>HYPERLINK("https://www.google.com/maps/search/?api=1&amp;query=-12.22098,-76.93186","Avenida José Carlos Mariátegui, Villa El Salvador, Lima")</f>
      </c>
      <c r="O32" t="str">
        <v>Vehículo apagado</v>
      </c>
      <c r="P32">
        <v>22193.2</v>
      </c>
      <c r="Q32" t="str">
        <v/>
      </c>
      <c r="R32">
        <v>6.8</v>
      </c>
      <c r="S32">
        <v>108.55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100</v>
      </c>
      <c r="AB32" t="str">
        <v>24/09/2026</v>
      </c>
      <c r="AC32" t="str">
        <v>09:05:03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09:05:45</v>
      </c>
      <c r="AK32" t="str">
        <v>09:05:45</v>
      </c>
      <c r="AL32" t="str">
        <v/>
      </c>
    </row>
    <row r="33">
      <c r="A33">
        <v>32</v>
      </c>
      <c r="B33" t="str">
        <v>MASS BSF</v>
      </c>
      <c r="C33" t="str">
        <v>CKL-718</v>
      </c>
      <c r="D33" t="str">
        <v>CKL-718</v>
      </c>
      <c r="E33" t="str">
        <v/>
      </c>
      <c r="F33" t="str">
        <v>867162029820636</v>
      </c>
      <c r="G33" t="str">
        <v>TBD</v>
      </c>
      <c r="H33" t="str">
        <v/>
      </c>
      <c r="I33" t="str">
        <v/>
      </c>
      <c r="J33" t="str">
        <v>24/09/2026</v>
      </c>
      <c r="K33" t="str">
        <v>09:06:04</v>
      </c>
      <c r="L33">
        <v>-12.221025</v>
      </c>
      <c r="M33">
        <v>-76.931885</v>
      </c>
      <c r="N33">
        <f>HYPERLINK("https://www.google.com/maps/search/?api=1&amp;query=-12.221025,-76.931885","Avenida José Carlos Mariátegui, Villa El Salvador, Lima")</f>
      </c>
      <c r="O33" t="str">
        <v>Vehículo encendido</v>
      </c>
      <c r="P33">
        <v>22193.2</v>
      </c>
      <c r="Q33" t="str">
        <v/>
      </c>
      <c r="R33">
        <v>0</v>
      </c>
      <c r="S33">
        <v>108.55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100</v>
      </c>
      <c r="AB33" t="str">
        <v>24/09/2026</v>
      </c>
      <c r="AC33" t="str">
        <v>09:05:35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09:06:12</v>
      </c>
      <c r="AK33" t="str">
        <v>09:06:12</v>
      </c>
      <c r="AL33" t="str">
        <v/>
      </c>
    </row>
    <row r="34">
      <c r="A34">
        <v>33</v>
      </c>
      <c r="B34" t="str">
        <v>MASS BSF</v>
      </c>
      <c r="C34" t="str">
        <v>CKL-718</v>
      </c>
      <c r="D34" t="str">
        <v>CKL-718</v>
      </c>
      <c r="E34" t="str">
        <v/>
      </c>
      <c r="F34" t="str">
        <v>867162029820636</v>
      </c>
      <c r="G34" t="str">
        <v>TBD</v>
      </c>
      <c r="H34" t="str">
        <v/>
      </c>
      <c r="I34" t="str">
        <v/>
      </c>
      <c r="J34" t="str">
        <v>24/09/2026</v>
      </c>
      <c r="K34" t="str">
        <v>09:06:28</v>
      </c>
      <c r="L34">
        <v>-12.221028</v>
      </c>
      <c r="M34">
        <v>-76.93177</v>
      </c>
      <c r="N34">
        <f>HYPERLINK("https://www.google.com/maps/search/?api=1&amp;query=-12.221028,-76.93177","Avenida José Carlos Mariátegui, Villa El Salvador, Lima")</f>
      </c>
      <c r="O34" t="str">
        <v>Vehículo apagado</v>
      </c>
      <c r="P34">
        <v>22193.2</v>
      </c>
      <c r="Q34" t="str">
        <v/>
      </c>
      <c r="R34">
        <v>0.1</v>
      </c>
      <c r="S34">
        <v>108.55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100</v>
      </c>
      <c r="AB34" t="str">
        <v>24/09/2026</v>
      </c>
      <c r="AC34" t="str">
        <v>09:06:09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09:06:45</v>
      </c>
      <c r="AK34" t="str">
        <v>09:06:45</v>
      </c>
      <c r="AL34" t="str">
        <v/>
      </c>
    </row>
    <row r="35">
      <c r="A35">
        <v>34</v>
      </c>
      <c r="B35" t="str">
        <v>MASS BSF</v>
      </c>
      <c r="C35" t="str">
        <v>CKL-718</v>
      </c>
      <c r="D35" t="str">
        <v>CKL-718</v>
      </c>
      <c r="E35" t="str">
        <v/>
      </c>
      <c r="F35" t="str">
        <v>867162029820636</v>
      </c>
      <c r="G35" t="str">
        <v>TBD</v>
      </c>
      <c r="H35" t="str">
        <v/>
      </c>
      <c r="I35" t="str">
        <v/>
      </c>
      <c r="J35" t="str">
        <v>24/09/2026</v>
      </c>
      <c r="K35" t="str">
        <v>09:18:02</v>
      </c>
      <c r="L35">
        <v>-12.221024</v>
      </c>
      <c r="M35">
        <v>-76.93183</v>
      </c>
      <c r="N35">
        <f>HYPERLINK("https://www.google.com/maps/search/?api=1&amp;query=-12.221024,-76.93183","Avenida José Carlos Mariátegui, Villa El Salvador, Lima")</f>
      </c>
      <c r="O35" t="str">
        <v>Vehículo encendido</v>
      </c>
      <c r="P35">
        <v>22193.2</v>
      </c>
      <c r="Q35" t="str">
        <v/>
      </c>
      <c r="R35">
        <v>0</v>
      </c>
      <c r="S35">
        <v>108.55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100</v>
      </c>
      <c r="AB35" t="str">
        <v>24/09/2026</v>
      </c>
      <c r="AC35" t="str">
        <v>09:06:32</v>
      </c>
      <c r="AD35">
        <f>IF("NOGPS"="NOGPS","GPS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09:18:11</v>
      </c>
      <c r="AK35" t="str">
        <v>09:18:11</v>
      </c>
      <c r="AL35" t="str">
        <v/>
      </c>
    </row>
    <row r="36">
      <c r="A36">
        <v>35</v>
      </c>
      <c r="B36" t="str">
        <v>MASS BSF</v>
      </c>
      <c r="C36" t="str">
        <v>CKL-718</v>
      </c>
      <c r="D36" t="str">
        <v>CKL-718</v>
      </c>
      <c r="E36" t="str">
        <v/>
      </c>
      <c r="F36" t="str">
        <v>867162029820636</v>
      </c>
      <c r="G36" t="str">
        <v>TBD</v>
      </c>
      <c r="H36" t="str">
        <v/>
      </c>
      <c r="I36" t="str">
        <v/>
      </c>
      <c r="J36" t="str">
        <v>24/09/2026</v>
      </c>
      <c r="K36" t="str">
        <v>09:22:45</v>
      </c>
      <c r="L36">
        <v>-12.215389</v>
      </c>
      <c r="M36">
        <v>-76.93868</v>
      </c>
      <c r="N36">
        <f>HYPERLINK("https://www.google.com/maps/search/?api=1&amp;query=-12.215389,-76.93868","Avenida Los Alamos, Villa El Salvador, Lima")</f>
      </c>
      <c r="O36" t="str">
        <v>Vehículo apagado</v>
      </c>
      <c r="P36">
        <v>22194.4</v>
      </c>
      <c r="Q36" t="str">
        <v/>
      </c>
      <c r="R36">
        <v>0</v>
      </c>
      <c r="S36">
        <v>108.63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100</v>
      </c>
      <c r="AB36" t="str">
        <v>24/09/2026</v>
      </c>
      <c r="AC36" t="str">
        <v>09:22:02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24/09/2026 09:22:53</v>
      </c>
      <c r="AK36" t="str">
        <v>09:22:53</v>
      </c>
      <c r="AL36" t="str">
        <v/>
      </c>
    </row>
    <row r="37">
      <c r="A37">
        <v>36</v>
      </c>
      <c r="B37" t="str">
        <v>MASS BSF</v>
      </c>
      <c r="C37" t="str">
        <v>CKL-718</v>
      </c>
      <c r="D37" t="str">
        <v>CKL-718</v>
      </c>
      <c r="E37" t="str">
        <v/>
      </c>
      <c r="F37" t="str">
        <v>867162029820636</v>
      </c>
      <c r="G37" t="str">
        <v>TBD</v>
      </c>
      <c r="H37" t="str">
        <v/>
      </c>
      <c r="I37" t="str">
        <v/>
      </c>
      <c r="J37" t="str">
        <v>24/09/2026</v>
      </c>
      <c r="K37" t="str">
        <v>09:37:50</v>
      </c>
      <c r="L37">
        <v>-12.215389</v>
      </c>
      <c r="M37">
        <v>-76.93868</v>
      </c>
      <c r="N37">
        <f>HYPERLINK("https://www.google.com/maps/search/?api=1&amp;query=-12.215389,-76.93868","Avenida Los Alamos, Villa El Salvador, Lima")</f>
      </c>
      <c r="O37" t="str">
        <v>Vehículo encendido</v>
      </c>
      <c r="P37">
        <v>22194.4</v>
      </c>
      <c r="Q37" t="str">
        <v/>
      </c>
      <c r="R37">
        <v>0</v>
      </c>
      <c r="S37">
        <v>108.63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100</v>
      </c>
      <c r="AB37" t="str">
        <v>24/09/2026</v>
      </c>
      <c r="AC37" t="str">
        <v>09:22:49</v>
      </c>
      <c r="AD37">
        <f>IF("NOGPS"="NOGPS","GPS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24/09/2026 09:38:06</v>
      </c>
      <c r="AK37" t="str">
        <v>09:38:06</v>
      </c>
      <c r="AL37" t="str">
        <v/>
      </c>
    </row>
    <row r="38">
      <c r="A38">
        <v>37</v>
      </c>
      <c r="B38" t="str">
        <v>MASS BSF</v>
      </c>
      <c r="C38" t="str">
        <v>CKL-718</v>
      </c>
      <c r="D38" t="str">
        <v>CKL-718</v>
      </c>
      <c r="E38" t="str">
        <v/>
      </c>
      <c r="F38" t="str">
        <v>867162029820636</v>
      </c>
      <c r="G38" t="str">
        <v>TBD</v>
      </c>
      <c r="H38" t="str">
        <v/>
      </c>
      <c r="I38" t="str">
        <v/>
      </c>
      <c r="J38" t="str">
        <v>24/09/2026</v>
      </c>
      <c r="K38" t="str">
        <v>09:41:50</v>
      </c>
      <c r="L38">
        <v>-12.2095</v>
      </c>
      <c r="M38">
        <v>-76.9423</v>
      </c>
      <c r="N38">
        <f>HYPERLINK("https://www.google.com/maps/search/?api=1&amp;query=-12.2095,-76.9423","Avenida Los Alamos, Villa El Salvador, Lima")</f>
      </c>
      <c r="O38" t="str">
        <v>Vehículo apagado</v>
      </c>
      <c r="P38">
        <v>22195.1</v>
      </c>
      <c r="Q38" t="str">
        <v/>
      </c>
      <c r="R38">
        <v>5.4</v>
      </c>
      <c r="S38">
        <v>108.7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100</v>
      </c>
      <c r="AB38" t="str">
        <v>24/09/2026</v>
      </c>
      <c r="AC38" t="str">
        <v>09:41:08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24/09/2026 09:42:00</v>
      </c>
      <c r="AK38" t="str">
        <v>09:42:00</v>
      </c>
      <c r="AL38" t="str">
        <v/>
      </c>
    </row>
    <row r="39">
      <c r="A39">
        <v>38</v>
      </c>
      <c r="B39" t="str">
        <v>MASS BSF</v>
      </c>
      <c r="C39" t="str">
        <v>CKL-718</v>
      </c>
      <c r="D39" t="str">
        <v>CKL-718</v>
      </c>
      <c r="E39" t="str">
        <v/>
      </c>
      <c r="F39" t="str">
        <v>867162029820636</v>
      </c>
      <c r="G39" t="str">
        <v>TBD</v>
      </c>
      <c r="H39" t="str">
        <v/>
      </c>
      <c r="I39" t="str">
        <v/>
      </c>
      <c r="J39" t="str">
        <v>24/09/2026</v>
      </c>
      <c r="K39" t="str">
        <v>09:41:54</v>
      </c>
      <c r="L39">
        <v>-12.2095</v>
      </c>
      <c r="M39">
        <v>-76.9423</v>
      </c>
      <c r="N39">
        <f>HYPERLINK("https://www.google.com/maps/search/?api=1&amp;query=-12.2095,-76.9423","Avenida Los Alamos, Villa El Salvador, Lima")</f>
      </c>
      <c r="O39" t="str">
        <v>Vehículo encendido</v>
      </c>
      <c r="P39">
        <v>22195.1</v>
      </c>
      <c r="Q39" t="str">
        <v/>
      </c>
      <c r="R39">
        <v>0</v>
      </c>
      <c r="S39">
        <v>108.63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100</v>
      </c>
      <c r="AB39" t="str">
        <v>24/09/2026</v>
      </c>
      <c r="AC39" t="str">
        <v>09:41:08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24/09/2026 09:41:58</v>
      </c>
      <c r="AK39" t="str">
        <v>09:41:58</v>
      </c>
      <c r="AL39" t="str">
        <v/>
      </c>
    </row>
    <row r="40">
      <c r="A40">
        <v>39</v>
      </c>
      <c r="B40" t="str">
        <v>MASS BSF</v>
      </c>
      <c r="C40" t="str">
        <v>CKL-718</v>
      </c>
      <c r="D40" t="str">
        <v>CKL-718</v>
      </c>
      <c r="E40" t="str">
        <v/>
      </c>
      <c r="F40" t="str">
        <v>867162029820636</v>
      </c>
      <c r="G40" t="str">
        <v>TBD</v>
      </c>
      <c r="H40" t="str">
        <v/>
      </c>
      <c r="I40" t="str">
        <v/>
      </c>
      <c r="J40" t="str">
        <v>24/09/2026</v>
      </c>
      <c r="K40" t="str">
        <v>09:41:56</v>
      </c>
      <c r="L40">
        <v>-12.209592</v>
      </c>
      <c r="M40">
        <v>-76.942535</v>
      </c>
      <c r="N40">
        <f>HYPERLINK("https://www.google.com/maps/search/?api=1&amp;query=-12.209592,-76.942535","Avenida Juan Velasco Alvarado, Villa El Salvador, Lima")</f>
      </c>
      <c r="O40" t="str">
        <v>Vehículo apagado</v>
      </c>
      <c r="P40">
        <v>22195.1</v>
      </c>
      <c r="Q40" t="str">
        <v/>
      </c>
      <c r="R40">
        <v>0</v>
      </c>
      <c r="S40">
        <v>108.63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100</v>
      </c>
      <c r="AB40" t="str">
        <v>24/09/2026</v>
      </c>
      <c r="AC40" t="str">
        <v>09:42:01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24/09/2026 09:42:13</v>
      </c>
      <c r="AK40" t="str">
        <v>09:42:13</v>
      </c>
      <c r="AL40" t="str">
        <v/>
      </c>
    </row>
    <row r="41">
      <c r="A41">
        <v>40</v>
      </c>
      <c r="B41" t="str">
        <v>MASS BSF</v>
      </c>
      <c r="C41" t="str">
        <v>CKL-718</v>
      </c>
      <c r="D41" t="str">
        <v>CKL-718</v>
      </c>
      <c r="E41" t="str">
        <v/>
      </c>
      <c r="F41" t="str">
        <v>867162029820636</v>
      </c>
      <c r="G41" t="str">
        <v>TBD</v>
      </c>
      <c r="H41" t="str">
        <v/>
      </c>
      <c r="I41" t="str">
        <v/>
      </c>
      <c r="J41" t="str">
        <v>24/09/2026</v>
      </c>
      <c r="K41" t="str">
        <v>09:55:26</v>
      </c>
      <c r="L41">
        <v>-12.209592</v>
      </c>
      <c r="M41">
        <v>-76.942535</v>
      </c>
      <c r="N41">
        <f>HYPERLINK("https://www.google.com/maps/search/?api=1&amp;query=-12.209592,-76.942535","Avenida Juan Velasco Alvarado, Villa El Salvador, Lima")</f>
      </c>
      <c r="O41" t="str">
        <v>Vehículo encendido</v>
      </c>
      <c r="P41">
        <v>22195.1</v>
      </c>
      <c r="Q41" t="str">
        <v/>
      </c>
      <c r="R41">
        <v>0</v>
      </c>
      <c r="S41">
        <v>108.63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100</v>
      </c>
      <c r="AB41" t="str">
        <v>24/09/2026</v>
      </c>
      <c r="AC41" t="str">
        <v>09:42:01</v>
      </c>
      <c r="AD41">
        <f>IF("NOGPS"="NOGPS","GPS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24/09/2026 09:55:38</v>
      </c>
      <c r="AK41" t="str">
        <v>09:55:38</v>
      </c>
      <c r="AL41" t="str">
        <v/>
      </c>
    </row>
    <row r="42">
      <c r="A42">
        <v>41</v>
      </c>
      <c r="B42" t="str">
        <v>MASS BSF</v>
      </c>
      <c r="C42" t="str">
        <v>CKL-718</v>
      </c>
      <c r="D42" t="str">
        <v>CKL-718</v>
      </c>
      <c r="E42" t="str">
        <v/>
      </c>
      <c r="F42" t="str">
        <v>867162029820636</v>
      </c>
      <c r="G42" t="str">
        <v>TBD</v>
      </c>
      <c r="H42" t="str">
        <v/>
      </c>
      <c r="I42" t="str">
        <v/>
      </c>
      <c r="J42" t="str">
        <v>24/09/2026</v>
      </c>
      <c r="K42" t="str">
        <v>10:07:20</v>
      </c>
      <c r="L42">
        <v>-12.192772</v>
      </c>
      <c r="M42">
        <v>-76.96105</v>
      </c>
      <c r="N42">
        <f>HYPERLINK("https://www.google.com/maps/search/?api=1&amp;query=-12.192772,-76.96105","Ovalo Cocharcas, Villa El Salvador, Lima")</f>
      </c>
      <c r="O42" t="str">
        <v>Vehículo apagado</v>
      </c>
      <c r="P42">
        <v>22198.9</v>
      </c>
      <c r="Q42" t="str">
        <v/>
      </c>
      <c r="R42">
        <v>17.2</v>
      </c>
      <c r="S42">
        <v>108.83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100</v>
      </c>
      <c r="AB42" t="str">
        <v>24/09/2026</v>
      </c>
      <c r="AC42" t="str">
        <v>10:06:24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24/09/2026 10:07:31</v>
      </c>
      <c r="AK42" t="str">
        <v>10:07:31</v>
      </c>
      <c r="AL42" t="str">
        <v/>
      </c>
    </row>
    <row r="43">
      <c r="A43">
        <v>42</v>
      </c>
      <c r="B43" t="str">
        <v>MASS BSF</v>
      </c>
      <c r="C43" t="str">
        <v>CKL-718</v>
      </c>
      <c r="D43" t="str">
        <v>CKL-718</v>
      </c>
      <c r="E43" t="str">
        <v/>
      </c>
      <c r="F43" t="str">
        <v>867162029820636</v>
      </c>
      <c r="G43" t="str">
        <v>TBD</v>
      </c>
      <c r="H43" t="str">
        <v/>
      </c>
      <c r="I43" t="str">
        <v/>
      </c>
      <c r="J43" t="str">
        <v>24/09/2026</v>
      </c>
      <c r="K43" t="str">
        <v>10:09:17</v>
      </c>
      <c r="L43">
        <v>-12.194974</v>
      </c>
      <c r="M43">
        <v>-76.9599</v>
      </c>
      <c r="N43">
        <f>HYPERLINK("https://www.google.com/maps/search/?api=1&amp;query=-12.194974,-76.9599","Avenida Mariano Pastor Sevilla, Villa El Salvador, Lima")</f>
      </c>
      <c r="O43" t="str">
        <v>Vehículo encendido</v>
      </c>
      <c r="P43">
        <v>22198.9</v>
      </c>
      <c r="Q43" t="str">
        <v/>
      </c>
      <c r="R43">
        <v>0</v>
      </c>
      <c r="S43">
        <v>108.83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100</v>
      </c>
      <c r="AB43" t="str">
        <v>24/09/2026</v>
      </c>
      <c r="AC43" t="str">
        <v>10:09:22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24/09/2026 10:09:31</v>
      </c>
      <c r="AK43" t="str">
        <v>10:09:31</v>
      </c>
      <c r="AL43" t="str">
        <v/>
      </c>
    </row>
    <row r="44">
      <c r="A44">
        <v>43</v>
      </c>
      <c r="B44" t="str">
        <v>MASS BSF</v>
      </c>
      <c r="C44" t="str">
        <v>CKL-718</v>
      </c>
      <c r="D44" t="str">
        <v>CKL-718</v>
      </c>
      <c r="E44" t="str">
        <v/>
      </c>
      <c r="F44" t="str">
        <v>867162029820636</v>
      </c>
      <c r="G44" t="str">
        <v>TBD</v>
      </c>
      <c r="H44" t="str">
        <v/>
      </c>
      <c r="I44" t="str">
        <v/>
      </c>
      <c r="J44" t="str">
        <v>24/09/2026</v>
      </c>
      <c r="K44" t="str">
        <v>10:20:19</v>
      </c>
      <c r="L44">
        <v>-12.216903</v>
      </c>
      <c r="M44">
        <v>-76.94885</v>
      </c>
      <c r="N44">
        <f>HYPERLINK("https://www.google.com/maps/search/?api=1&amp;query=-12.216903,-76.94885","Avenida Jorge Chávez, Villa El Salvador, Lima")</f>
      </c>
      <c r="O44" t="str">
        <v>Exceso de velocidad en segmento vial</v>
      </c>
      <c r="P44">
        <v>22201.8</v>
      </c>
      <c r="Q44" t="str">
        <v/>
      </c>
      <c r="R44">
        <v>45.1</v>
      </c>
      <c r="S44">
        <v>108.83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100</v>
      </c>
      <c r="AB44" t="str">
        <v>24/09/2026</v>
      </c>
      <c r="AC44" t="str">
        <v>10:20:16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24/09/2026 10:20:40</v>
      </c>
      <c r="AK44" t="str">
        <v>10:20:40</v>
      </c>
      <c r="AL44" t="str">
        <v/>
      </c>
    </row>
    <row r="45">
      <c r="A45">
        <v>44</v>
      </c>
      <c r="B45" t="str">
        <v>MASS BSF</v>
      </c>
      <c r="C45" t="str">
        <v>CKL-718</v>
      </c>
      <c r="D45" t="str">
        <v>CKL-718</v>
      </c>
      <c r="E45" t="str">
        <v/>
      </c>
      <c r="F45" t="str">
        <v>867162029820636</v>
      </c>
      <c r="G45" t="str">
        <v>TBD</v>
      </c>
      <c r="H45" t="str">
        <v/>
      </c>
      <c r="I45" t="str">
        <v/>
      </c>
      <c r="J45" t="str">
        <v>24/09/2026</v>
      </c>
      <c r="K45" t="str">
        <v>10:21:25</v>
      </c>
      <c r="L45">
        <v>-12.217919</v>
      </c>
      <c r="M45">
        <v>-76.95089</v>
      </c>
      <c r="N45">
        <f>HYPERLINK("https://www.google.com/maps/search/?api=1&amp;query=-12.217919,-76.95089","Avenida María Elena Moyano, Villa El Salvador, Lima")</f>
      </c>
      <c r="O45" t="str">
        <v>Vehículo apagado</v>
      </c>
      <c r="P45">
        <v>22202</v>
      </c>
      <c r="Q45" t="str">
        <v/>
      </c>
      <c r="R45">
        <v>0</v>
      </c>
      <c r="S45">
        <v>109.03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100</v>
      </c>
      <c r="AB45" t="str">
        <v>24/09/2026</v>
      </c>
      <c r="AC45" t="str">
        <v>10:21:16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24/09/2026 10:21:29</v>
      </c>
      <c r="AK45" t="str">
        <v>10:21:29</v>
      </c>
      <c r="AL45" t="str">
        <v/>
      </c>
    </row>
    <row r="46">
      <c r="A46">
        <v>45</v>
      </c>
      <c r="B46" t="str">
        <v>MASS BSF</v>
      </c>
      <c r="C46" t="str">
        <v>CKL-718</v>
      </c>
      <c r="D46" t="str">
        <v>CKL-718</v>
      </c>
      <c r="E46" t="str">
        <v/>
      </c>
      <c r="F46" t="str">
        <v>867162029820636</v>
      </c>
      <c r="G46" t="str">
        <v>TBD</v>
      </c>
      <c r="H46" t="str">
        <v/>
      </c>
      <c r="I46" t="str">
        <v/>
      </c>
      <c r="J46" t="str">
        <v>24/09/2026</v>
      </c>
      <c r="K46" t="str">
        <v>10:35:45</v>
      </c>
      <c r="L46">
        <v>-12.217919</v>
      </c>
      <c r="M46">
        <v>-76.95089</v>
      </c>
      <c r="N46">
        <f>HYPERLINK("https://www.google.com/maps/search/?api=1&amp;query=-12.217919,-76.95089","Avenida María Elena Moyano, Villa El Salvador, Lima")</f>
      </c>
      <c r="O46" t="str">
        <v>Vehículo encendido</v>
      </c>
      <c r="P46">
        <v>22202.1</v>
      </c>
      <c r="Q46" t="str">
        <v/>
      </c>
      <c r="R46">
        <v>0</v>
      </c>
      <c r="S46">
        <v>109.03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100</v>
      </c>
      <c r="AB46" t="str">
        <v>24/09/2026</v>
      </c>
      <c r="AC46" t="str">
        <v>10:21:27</v>
      </c>
      <c r="AD46">
        <f>IF("NOGPS"="NOGPS","GPS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24/09/2026 10:36:08</v>
      </c>
      <c r="AK46" t="str">
        <v>10:36:08</v>
      </c>
      <c r="AL46" t="str">
        <v/>
      </c>
    </row>
    <row r="47">
      <c r="A47">
        <v>46</v>
      </c>
      <c r="B47" t="str">
        <v>MASS BSF</v>
      </c>
      <c r="C47" t="str">
        <v>CKL-718</v>
      </c>
      <c r="D47" t="str">
        <v>CKL-718</v>
      </c>
      <c r="E47" t="str">
        <v/>
      </c>
      <c r="F47" t="str">
        <v>867162029820636</v>
      </c>
      <c r="G47" t="str">
        <v>TBD</v>
      </c>
      <c r="H47" t="str">
        <v/>
      </c>
      <c r="I47" t="str">
        <v/>
      </c>
      <c r="J47" t="str">
        <v>24/09/2026</v>
      </c>
      <c r="K47" t="str">
        <v>10:42:30</v>
      </c>
      <c r="L47">
        <v>-12.211568</v>
      </c>
      <c r="M47">
        <v>-76.95128</v>
      </c>
      <c r="N47">
        <f>HYPERLINK("https://www.google.com/maps/search/?api=1&amp;query=-12.211568,-76.95128","Avenida Arriba Perú, Villa El Salvador, Lima")</f>
      </c>
      <c r="O47" t="str">
        <v>Vehículo apagado</v>
      </c>
      <c r="P47">
        <v>22203.6</v>
      </c>
      <c r="Q47" t="str">
        <v/>
      </c>
      <c r="R47">
        <v>0</v>
      </c>
      <c r="S47">
        <v>109.15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100</v>
      </c>
      <c r="AB47" t="str">
        <v>24/09/2026</v>
      </c>
      <c r="AC47" t="str">
        <v>10:41:46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24/09/2026 10:42:39</v>
      </c>
      <c r="AK47" t="str">
        <v>10:42:39</v>
      </c>
      <c r="AL47" t="str">
        <v/>
      </c>
    </row>
    <row r="48">
      <c r="A48">
        <v>47</v>
      </c>
      <c r="B48" t="str">
        <v>MASS BSF</v>
      </c>
      <c r="C48" t="str">
        <v>CKL-718</v>
      </c>
      <c r="D48" t="str">
        <v>CKL-718</v>
      </c>
      <c r="E48" t="str">
        <v/>
      </c>
      <c r="F48" t="str">
        <v>867162029820636</v>
      </c>
      <c r="G48" t="str">
        <v>TBD</v>
      </c>
      <c r="H48" t="str">
        <v/>
      </c>
      <c r="I48" t="str">
        <v/>
      </c>
      <c r="J48" t="str">
        <v>24/09/2026</v>
      </c>
      <c r="K48" t="str">
        <v>10:51:12</v>
      </c>
      <c r="L48">
        <v>-12.211568</v>
      </c>
      <c r="M48">
        <v>-76.95128</v>
      </c>
      <c r="N48">
        <f>HYPERLINK("https://www.google.com/maps/search/?api=1&amp;query=-12.211568,-76.95128","Avenida Arriba Perú, Villa El Salvador, Lima")</f>
      </c>
      <c r="O48" t="str">
        <v>Vehículo encendido</v>
      </c>
      <c r="P48">
        <v>22203.6</v>
      </c>
      <c r="Q48" t="str">
        <v/>
      </c>
      <c r="R48">
        <v>0</v>
      </c>
      <c r="S48">
        <v>109.15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100</v>
      </c>
      <c r="AB48" t="str">
        <v>24/09/2026</v>
      </c>
      <c r="AC48" t="str">
        <v>10:42:33</v>
      </c>
      <c r="AD48">
        <f>IF("NOGPS"="NOGPS","GPS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24/09/2026 10:51:35</v>
      </c>
      <c r="AK48" t="str">
        <v>10:51:35</v>
      </c>
      <c r="AL48" t="str">
        <v/>
      </c>
    </row>
    <row r="49">
      <c r="A49">
        <v>48</v>
      </c>
      <c r="B49" t="str">
        <v>MASS BSF</v>
      </c>
      <c r="C49" t="str">
        <v>CKL-718</v>
      </c>
      <c r="D49" t="str">
        <v>CKL-718</v>
      </c>
      <c r="E49" t="str">
        <v/>
      </c>
      <c r="F49" t="str">
        <v>867162029820636</v>
      </c>
      <c r="G49" t="str">
        <v>TBD</v>
      </c>
      <c r="H49" t="str">
        <v/>
      </c>
      <c r="I49" t="str">
        <v/>
      </c>
      <c r="J49" t="str">
        <v>24/09/2026</v>
      </c>
      <c r="K49" t="str">
        <v>10:55:54</v>
      </c>
      <c r="L49">
        <v>-12.219771</v>
      </c>
      <c r="M49">
        <v>-76.94489</v>
      </c>
      <c r="N49">
        <f>HYPERLINK("https://www.google.com/maps/search/?api=1&amp;query=-12.219771,-76.94489","Avenida Mariano Pastor Sevilla, Villa El Salvador, Lima")</f>
      </c>
      <c r="O49" t="str">
        <v>Vehículo apagado</v>
      </c>
      <c r="P49">
        <v>22205.1</v>
      </c>
      <c r="Q49" t="str">
        <v/>
      </c>
      <c r="R49">
        <v>45.8</v>
      </c>
      <c r="S49">
        <v>109.23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100</v>
      </c>
      <c r="AB49" t="str">
        <v>24/09/2026</v>
      </c>
      <c r="AC49" t="str">
        <v>10:55:12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24/09/2026 10:56:08</v>
      </c>
      <c r="AK49" t="str">
        <v>10:56:08</v>
      </c>
      <c r="AL49" t="str">
        <v/>
      </c>
    </row>
    <row r="50">
      <c r="A50">
        <v>49</v>
      </c>
      <c r="B50" t="str">
        <v>MASS BSF</v>
      </c>
      <c r="C50" t="str">
        <v>CKL-718</v>
      </c>
      <c r="D50" t="str">
        <v>CKL-718</v>
      </c>
      <c r="E50" t="str">
        <v/>
      </c>
      <c r="F50" t="str">
        <v>867162029820636</v>
      </c>
      <c r="G50" t="str">
        <v>TBD</v>
      </c>
      <c r="H50" t="str">
        <v/>
      </c>
      <c r="I50" t="str">
        <v/>
      </c>
      <c r="J50" t="str">
        <v>24/09/2026</v>
      </c>
      <c r="K50" t="str">
        <v>11:02:44</v>
      </c>
      <c r="L50">
        <v>-12.221277</v>
      </c>
      <c r="M50">
        <v>-76.944046</v>
      </c>
      <c r="N50">
        <f>HYPERLINK("https://www.google.com/maps/search/?api=1&amp;query=-12.221277,-76.944046","Avenida Mariano Pastor Sevilla, Villa El Salvador, Lima")</f>
      </c>
      <c r="O50" t="str">
        <v>Vehículo encendido</v>
      </c>
      <c r="P50">
        <v>22205.1</v>
      </c>
      <c r="Q50" t="str">
        <v/>
      </c>
      <c r="R50">
        <v>0</v>
      </c>
      <c r="S50">
        <v>109.23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100</v>
      </c>
      <c r="AB50" t="str">
        <v>24/09/2026</v>
      </c>
      <c r="AC50" t="str">
        <v>10:55:56</v>
      </c>
      <c r="AD50">
        <f>IF("NOGPS"="NOGPS","GPS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24/09/2026 11:03:00</v>
      </c>
      <c r="AK50" t="str">
        <v>11:03:00</v>
      </c>
      <c r="AL50" t="str">
        <v/>
      </c>
    </row>
    <row r="51">
      <c r="A51">
        <v>50</v>
      </c>
      <c r="B51" t="str">
        <v>MASS BSF</v>
      </c>
      <c r="C51" t="str">
        <v>CKL-718</v>
      </c>
      <c r="D51" t="str">
        <v>CKL-718</v>
      </c>
      <c r="E51" t="str">
        <v/>
      </c>
      <c r="F51" t="str">
        <v>867162029820636</v>
      </c>
      <c r="G51" t="str">
        <v>TBD</v>
      </c>
      <c r="H51" t="str">
        <v/>
      </c>
      <c r="I51" t="str">
        <v/>
      </c>
      <c r="J51" t="str">
        <v>24/09/2026</v>
      </c>
      <c r="K51" t="str">
        <v>11:05:08</v>
      </c>
      <c r="L51">
        <v>-12.22129</v>
      </c>
      <c r="M51">
        <v>-76.9441</v>
      </c>
      <c r="N51">
        <f>HYPERLINK("https://www.google.com/maps/search/?api=1&amp;query=-12.22129,-76.9441","Avenida Mariano Pastor Sevilla, Villa El Salvador, Lima")</f>
      </c>
      <c r="O51" t="str">
        <v>Vehículo apagado</v>
      </c>
      <c r="P51">
        <v>22205.1</v>
      </c>
      <c r="Q51" t="str">
        <v/>
      </c>
      <c r="R51">
        <v>0</v>
      </c>
      <c r="S51">
        <v>109.27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100</v>
      </c>
      <c r="AB51" t="str">
        <v>24/09/2026</v>
      </c>
      <c r="AC51" t="str">
        <v>11:04:42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24/09/2026 11:05:25</v>
      </c>
      <c r="AK51" t="str">
        <v>11:05:25</v>
      </c>
      <c r="AL51" t="str">
        <v/>
      </c>
    </row>
    <row r="52">
      <c r="A52">
        <v>51</v>
      </c>
      <c r="B52" t="str">
        <v>MASS BSF</v>
      </c>
      <c r="C52" t="str">
        <v>CKL-718</v>
      </c>
      <c r="D52" t="str">
        <v>CKL-718</v>
      </c>
      <c r="E52" t="str">
        <v/>
      </c>
      <c r="F52" t="str">
        <v>867162029820636</v>
      </c>
      <c r="G52" t="str">
        <v>TBD</v>
      </c>
      <c r="H52" t="str">
        <v/>
      </c>
      <c r="I52" t="str">
        <v/>
      </c>
      <c r="J52" t="str">
        <v>24/09/2026</v>
      </c>
      <c r="K52" t="str">
        <v>11:10:16</v>
      </c>
      <c r="L52">
        <v>-12.22129</v>
      </c>
      <c r="M52">
        <v>-76.9441</v>
      </c>
      <c r="N52">
        <f>HYPERLINK("https://www.google.com/maps/search/?api=1&amp;query=-12.22129,-76.9441","Avenida Mariano Pastor Sevilla, Villa El Salvador, Lima")</f>
      </c>
      <c r="O52" t="str">
        <v>Vehículo encendido</v>
      </c>
      <c r="P52">
        <v>22205.1</v>
      </c>
      <c r="Q52" t="str">
        <v/>
      </c>
      <c r="R52">
        <v>0</v>
      </c>
      <c r="S52">
        <v>109.27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100</v>
      </c>
      <c r="AB52" t="str">
        <v>24/09/2026</v>
      </c>
      <c r="AC52" t="str">
        <v>11:05:11</v>
      </c>
      <c r="AD52">
        <f>IF("NOGPS"="NOGPS","GPS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24/09/2026 11:10:27</v>
      </c>
      <c r="AK52" t="str">
        <v>11:10:27</v>
      </c>
      <c r="AL52" t="str">
        <v/>
      </c>
    </row>
    <row r="53">
      <c r="A53">
        <v>52</v>
      </c>
      <c r="B53" t="str">
        <v>MASS BSF</v>
      </c>
      <c r="C53" t="str">
        <v>CKL-718</v>
      </c>
      <c r="D53" t="str">
        <v>CKL-718</v>
      </c>
      <c r="E53" t="str">
        <v/>
      </c>
      <c r="F53" t="str">
        <v>867162029820636</v>
      </c>
      <c r="G53" t="str">
        <v>TBD</v>
      </c>
      <c r="H53" t="str">
        <v/>
      </c>
      <c r="I53" t="str">
        <v/>
      </c>
      <c r="J53" t="str">
        <v>24/09/2026</v>
      </c>
      <c r="K53" t="str">
        <v>11:14:18</v>
      </c>
      <c r="L53">
        <v>-12.235812</v>
      </c>
      <c r="M53">
        <v>-76.93598</v>
      </c>
      <c r="N53">
        <f>HYPERLINK("https://www.google.com/maps/search/?api=1&amp;query=-12.235812,-76.93598","Avenida 200 Millas, Villa El Salvador, Lima")</f>
      </c>
      <c r="O53" t="str">
        <v>Exceso de velocidad en segmento vial</v>
      </c>
      <c r="P53">
        <v>22207.1</v>
      </c>
      <c r="Q53" t="str">
        <v/>
      </c>
      <c r="R53">
        <v>40.5</v>
      </c>
      <c r="S53">
        <v>109.27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100</v>
      </c>
      <c r="AB53" t="str">
        <v>24/09/2026</v>
      </c>
      <c r="AC53" t="str">
        <v>11:14:13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24/09/2026 11:14:42</v>
      </c>
      <c r="AK53" t="str">
        <v>11:14:42</v>
      </c>
      <c r="AL53" t="str">
        <v/>
      </c>
    </row>
    <row r="54">
      <c r="A54">
        <v>53</v>
      </c>
      <c r="B54" t="str">
        <v>MASS BSF</v>
      </c>
      <c r="C54" t="str">
        <v>CKL-718</v>
      </c>
      <c r="D54" t="str">
        <v>CKL-718</v>
      </c>
      <c r="E54" t="str">
        <v/>
      </c>
      <c r="F54" t="str">
        <v>867162029820636</v>
      </c>
      <c r="G54" t="str">
        <v>TBD</v>
      </c>
      <c r="H54" t="str">
        <v/>
      </c>
      <c r="I54" t="str">
        <v/>
      </c>
      <c r="J54" t="str">
        <v>24/09/2026</v>
      </c>
      <c r="K54" t="str">
        <v>11:32:27</v>
      </c>
      <c r="L54">
        <v>-12.237773</v>
      </c>
      <c r="M54">
        <v>-76.936844</v>
      </c>
      <c r="N54">
        <f>HYPERLINK("https://www.google.com/maps/search/?api=1&amp;query=-12.237773,-76.936844","Avenida 200 Millas, Villa El Salvador, Lima")</f>
      </c>
      <c r="O54" t="str">
        <v>Vehículo apagado</v>
      </c>
      <c r="P54">
        <v>22212.1</v>
      </c>
      <c r="Q54" t="str">
        <v/>
      </c>
      <c r="R54">
        <v>6.5</v>
      </c>
      <c r="S54">
        <v>109.63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100</v>
      </c>
      <c r="AB54" t="str">
        <v>24/09/2026</v>
      </c>
      <c r="AC54" t="str">
        <v>11:32:01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24/09/2026 11:32:43</v>
      </c>
      <c r="AK54" t="str">
        <v>11:32:43</v>
      </c>
      <c r="AL54" t="str">
        <v/>
      </c>
    </row>
    <row r="55">
      <c r="A55">
        <v>54</v>
      </c>
      <c r="B55" t="str">
        <v>MASS BSF</v>
      </c>
      <c r="C55" t="str">
        <v>CKL-718</v>
      </c>
      <c r="D55" t="str">
        <v>CKL-718</v>
      </c>
      <c r="E55" t="str">
        <v/>
      </c>
      <c r="F55" t="str">
        <v>867162029820636</v>
      </c>
      <c r="G55" t="str">
        <v>TBD</v>
      </c>
      <c r="H55" t="str">
        <v/>
      </c>
      <c r="I55" t="str">
        <v/>
      </c>
      <c r="J55" t="str">
        <v>24/09/2026</v>
      </c>
      <c r="K55" t="str">
        <v>11:39:43</v>
      </c>
      <c r="L55">
        <v>-12.237788</v>
      </c>
      <c r="M55">
        <v>-76.93683</v>
      </c>
      <c r="N55">
        <f>HYPERLINK("https://www.google.com/maps/search/?api=1&amp;query=-12.237788,-76.93683","Avenida 200 Millas, Villa El Salvador, Lima")</f>
      </c>
      <c r="O55" t="str">
        <v>Vehículo encendido</v>
      </c>
      <c r="P55">
        <v>22212.1</v>
      </c>
      <c r="Q55" t="str">
        <v/>
      </c>
      <c r="R55">
        <v>0</v>
      </c>
      <c r="S55">
        <v>109.63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100</v>
      </c>
      <c r="AB55" t="str">
        <v>24/09/2026</v>
      </c>
      <c r="AC55" t="str">
        <v>11:32:30</v>
      </c>
      <c r="AD55">
        <f>IF("NOGPS"="NOGPS","GPS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24/09/2026 11:40:06</v>
      </c>
      <c r="AK55" t="str">
        <v>11:40:06</v>
      </c>
      <c r="AL55" t="str">
        <v/>
      </c>
    </row>
    <row r="56">
      <c r="A56">
        <v>55</v>
      </c>
      <c r="B56" t="str">
        <v>MASS BSF</v>
      </c>
      <c r="C56" t="str">
        <v>CKL-718</v>
      </c>
      <c r="D56" t="str">
        <v>CKL-718</v>
      </c>
      <c r="E56" t="str">
        <v/>
      </c>
      <c r="F56" t="str">
        <v>867162029820636</v>
      </c>
      <c r="G56" t="str">
        <v>TBD</v>
      </c>
      <c r="H56" t="str">
        <v/>
      </c>
      <c r="I56" t="str">
        <v/>
      </c>
      <c r="J56" t="str">
        <v>24/09/2026</v>
      </c>
      <c r="K56" t="str">
        <v>11:44:54</v>
      </c>
      <c r="L56">
        <v>-12.225518</v>
      </c>
      <c r="M56">
        <v>-76.94989</v>
      </c>
      <c r="N56">
        <f>HYPERLINK("https://www.google.com/maps/search/?api=1&amp;query=-12.225518,-76.94989","Avenida Separadora Agroindustrial, Villa El Salvador, Lima")</f>
      </c>
      <c r="O56" t="str">
        <v>Exceso de velocidad en segmento vial</v>
      </c>
      <c r="P56">
        <v>22214.6</v>
      </c>
      <c r="Q56" t="str">
        <v/>
      </c>
      <c r="R56">
        <v>62.6</v>
      </c>
      <c r="S56">
        <v>109.63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100</v>
      </c>
      <c r="AB56" t="str">
        <v>24/09/2026</v>
      </c>
      <c r="AC56" t="str">
        <v>11:44:41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24/09/2026 11:45:14</v>
      </c>
      <c r="AK56" t="str">
        <v>11:45:14</v>
      </c>
      <c r="AL56" t="str">
        <v/>
      </c>
    </row>
    <row r="57">
      <c r="A57">
        <v>56</v>
      </c>
      <c r="B57" t="str">
        <v>MASS BSF</v>
      </c>
      <c r="C57" t="str">
        <v>CKL-718</v>
      </c>
      <c r="D57" t="str">
        <v>CKL-718</v>
      </c>
      <c r="E57" t="str">
        <v/>
      </c>
      <c r="F57" t="str">
        <v>867162029820636</v>
      </c>
      <c r="G57" t="str">
        <v>TBD</v>
      </c>
      <c r="H57" t="str">
        <v/>
      </c>
      <c r="I57" t="str">
        <v/>
      </c>
      <c r="J57" t="str">
        <v>24/09/2026</v>
      </c>
      <c r="K57" t="str">
        <v>11:56:53</v>
      </c>
      <c r="L57">
        <v>-12.222911</v>
      </c>
      <c r="M57">
        <v>-76.97493</v>
      </c>
      <c r="N57">
        <f>HYPERLINK("https://www.google.com/maps/search/?api=1&amp;query=-12.222911,-76.97493","Prolongación Huaylas, Chorrillos, Lima")</f>
      </c>
      <c r="O57" t="str">
        <v>Vehículo apagado</v>
      </c>
      <c r="P57">
        <v>22220.4</v>
      </c>
      <c r="Q57" t="str">
        <v/>
      </c>
      <c r="R57">
        <v>0</v>
      </c>
      <c r="S57">
        <v>109.92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100</v>
      </c>
      <c r="AB57" t="str">
        <v>24/09/2026</v>
      </c>
      <c r="AC57" t="str">
        <v>11:56:55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24/09/2026 11:57:14</v>
      </c>
      <c r="AK57" t="str">
        <v>11:57:14</v>
      </c>
      <c r="AL57" t="str">
        <v/>
      </c>
    </row>
    <row r="58">
      <c r="A58">
        <v>57</v>
      </c>
      <c r="B58" t="str">
        <v>MASS BSF</v>
      </c>
      <c r="C58" t="str">
        <v>CKL-718</v>
      </c>
      <c r="D58" t="str">
        <v>CKL-718</v>
      </c>
      <c r="E58" t="str">
        <v/>
      </c>
      <c r="F58" t="str">
        <v>867162029820636</v>
      </c>
      <c r="G58" t="str">
        <v>TBD</v>
      </c>
      <c r="H58" t="str">
        <v/>
      </c>
      <c r="I58" t="str">
        <v/>
      </c>
      <c r="J58" t="str">
        <v>24/09/2026</v>
      </c>
      <c r="K58" t="str">
        <v>12:04:04</v>
      </c>
      <c r="L58">
        <v>-12.222911</v>
      </c>
      <c r="M58">
        <v>-76.97493</v>
      </c>
      <c r="N58">
        <f>HYPERLINK("https://www.google.com/maps/search/?api=1&amp;query=-12.222911,-76.97493","Prolongación Huaylas, Chorrillos, Lima")</f>
      </c>
      <c r="O58" t="str">
        <v>Vehículo encendido</v>
      </c>
      <c r="P58">
        <v>22220.4</v>
      </c>
      <c r="Q58" t="str">
        <v/>
      </c>
      <c r="R58">
        <v>0</v>
      </c>
      <c r="S58">
        <v>109.92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100</v>
      </c>
      <c r="AB58" t="str">
        <v>24/09/2026</v>
      </c>
      <c r="AC58" t="str">
        <v>11:56:55</v>
      </c>
      <c r="AD58">
        <f>IF("NOGPS"="NOGPS","GPS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24/09/2026 12:04:21</v>
      </c>
      <c r="AK58" t="str">
        <v>12:04:21</v>
      </c>
      <c r="AL58" t="str">
        <v/>
      </c>
    </row>
    <row r="59">
      <c r="A59">
        <v>58</v>
      </c>
      <c r="B59" t="str">
        <v>MASS BSF</v>
      </c>
      <c r="C59" t="str">
        <v>CKL-718</v>
      </c>
      <c r="D59" t="str">
        <v>CKL-718</v>
      </c>
      <c r="E59" t="str">
        <v/>
      </c>
      <c r="F59" t="str">
        <v>867162029820636</v>
      </c>
      <c r="G59" t="str">
        <v>TBD</v>
      </c>
      <c r="H59" t="str">
        <v/>
      </c>
      <c r="I59" t="str">
        <v/>
      </c>
      <c r="J59" t="str">
        <v>24/09/2026</v>
      </c>
      <c r="K59" t="str">
        <v>12:09:21</v>
      </c>
      <c r="L59">
        <v>-12.23263</v>
      </c>
      <c r="M59">
        <v>-76.963</v>
      </c>
      <c r="N59">
        <f>HYPERLINK("https://www.google.com/maps/search/?api=1&amp;query=-12.23263,-76.963","Carretera Panamericana Sur, Villa El Salvador, Lima")</f>
      </c>
      <c r="O59" t="str">
        <v>Excedió el límite de velocidad</v>
      </c>
      <c r="P59">
        <v>22222.1</v>
      </c>
      <c r="Q59" t="str">
        <v/>
      </c>
      <c r="R59">
        <v>88.7</v>
      </c>
      <c r="S59">
        <v>109.92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100</v>
      </c>
      <c r="AB59" t="str">
        <v>24/09/2026</v>
      </c>
      <c r="AC59" t="str">
        <v>12:09:20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24/09/2026 12:09:32</v>
      </c>
      <c r="AK59" t="str">
        <v>12:09:32</v>
      </c>
      <c r="AL59" t="str">
        <v/>
      </c>
    </row>
    <row r="60">
      <c r="A60">
        <v>59</v>
      </c>
      <c r="B60" t="str">
        <v>MASS BSF</v>
      </c>
      <c r="C60" t="str">
        <v>CKL-718</v>
      </c>
      <c r="D60" t="str">
        <v>CKL-718</v>
      </c>
      <c r="E60" t="str">
        <v/>
      </c>
      <c r="F60" t="str">
        <v>867162029820636</v>
      </c>
      <c r="G60" t="str">
        <v>TBD</v>
      </c>
      <c r="H60" t="str">
        <v/>
      </c>
      <c r="I60" t="str">
        <v/>
      </c>
      <c r="J60" t="str">
        <v>24/09/2026</v>
      </c>
      <c r="K60" t="str">
        <v>12:10:42</v>
      </c>
      <c r="L60">
        <v>-12.239864</v>
      </c>
      <c r="M60">
        <v>-76.94906</v>
      </c>
      <c r="N60">
        <f>HYPERLINK("https://www.google.com/maps/search/?api=1&amp;query=-12.239864,-76.94906","Carretera Panamericana Sur, Villa El Salvador, Lima")</f>
      </c>
      <c r="O60" t="str">
        <v>Excedió el límite de velocidad</v>
      </c>
      <c r="P60">
        <v>22223.8</v>
      </c>
      <c r="Q60" t="str">
        <v/>
      </c>
      <c r="R60">
        <v>86.2</v>
      </c>
      <c r="S60">
        <v>109.92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100</v>
      </c>
      <c r="AB60" t="str">
        <v>24/09/2026</v>
      </c>
      <c r="AC60" t="str">
        <v>12:10:41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24/09/2026 12:10:56</v>
      </c>
      <c r="AK60" t="str">
        <v>12:10:56</v>
      </c>
      <c r="AL60" t="str">
        <v/>
      </c>
    </row>
    <row r="61">
      <c r="A61">
        <v>60</v>
      </c>
      <c r="B61" t="str">
        <v>MASS BSF</v>
      </c>
      <c r="C61" t="str">
        <v>CKL-718</v>
      </c>
      <c r="D61" t="str">
        <v>CKL-718</v>
      </c>
      <c r="E61" t="str">
        <v/>
      </c>
      <c r="F61" t="str">
        <v>867162029820636</v>
      </c>
      <c r="G61" t="str">
        <v>TBD</v>
      </c>
      <c r="H61" t="str">
        <v/>
      </c>
      <c r="I61" t="str">
        <v/>
      </c>
      <c r="J61" t="str">
        <v>24/09/2026</v>
      </c>
      <c r="K61" t="str">
        <v>12:11:36</v>
      </c>
      <c r="L61">
        <v>-12.244913</v>
      </c>
      <c r="M61">
        <v>-76.93924</v>
      </c>
      <c r="N61">
        <f>HYPERLINK("https://www.google.com/maps/search/?api=1&amp;query=-12.244913,-76.93924","Carretera Panamericana Sur, Villa El Salvador, Lima")</f>
      </c>
      <c r="O61" t="str">
        <v>Excedió el límite de velocidad</v>
      </c>
      <c r="P61">
        <v>22225</v>
      </c>
      <c r="Q61" t="str">
        <v/>
      </c>
      <c r="R61">
        <v>80.4</v>
      </c>
      <c r="S61">
        <v>109.92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100</v>
      </c>
      <c r="AB61" t="str">
        <v>24/09/2026</v>
      </c>
      <c r="AC61" t="str">
        <v>12:11:35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24/09/2026 12:11:52</v>
      </c>
      <c r="AK61" t="str">
        <v>12:11:52</v>
      </c>
      <c r="AL61" t="str">
        <v/>
      </c>
    </row>
    <row r="62">
      <c r="A62">
        <v>61</v>
      </c>
      <c r="B62" t="str">
        <v>MASS BSF</v>
      </c>
      <c r="C62" t="str">
        <v>CKL-718</v>
      </c>
      <c r="D62" t="str">
        <v>CKL-718</v>
      </c>
      <c r="E62" t="str">
        <v/>
      </c>
      <c r="F62" t="str">
        <v>867162029820636</v>
      </c>
      <c r="G62" t="str">
        <v>TBD</v>
      </c>
      <c r="H62" t="str">
        <v/>
      </c>
      <c r="I62" t="str">
        <v/>
      </c>
      <c r="J62" t="str">
        <v>24/09/2026</v>
      </c>
      <c r="K62" t="str">
        <v>12:12:12</v>
      </c>
      <c r="L62">
        <v>-12.248485</v>
      </c>
      <c r="M62">
        <v>-76.933105</v>
      </c>
      <c r="N62">
        <f>HYPERLINK("https://www.google.com/maps/search/?api=1&amp;query=-12.248485,-76.933105","Carretera Panamericana Sur, Lurín, Lima")</f>
      </c>
      <c r="O62" t="str">
        <v>Excedió el límite de velocidad</v>
      </c>
      <c r="P62">
        <v>22225.8</v>
      </c>
      <c r="Q62" t="str">
        <v/>
      </c>
      <c r="R62">
        <v>85.7</v>
      </c>
      <c r="S62">
        <v>109.92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100</v>
      </c>
      <c r="AB62" t="str">
        <v>24/09/2026</v>
      </c>
      <c r="AC62" t="str">
        <v>12:12:11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24/09/2026 12:12:29</v>
      </c>
      <c r="AK62" t="str">
        <v>12:12:29</v>
      </c>
      <c r="AL62" t="str">
        <v/>
      </c>
    </row>
    <row r="63">
      <c r="A63">
        <v>62</v>
      </c>
      <c r="B63" t="str">
        <v>MASS BSF</v>
      </c>
      <c r="C63" t="str">
        <v>CKL-718</v>
      </c>
      <c r="D63" t="str">
        <v>CKL-718</v>
      </c>
      <c r="E63" t="str">
        <v/>
      </c>
      <c r="F63" t="str">
        <v>867162029820636</v>
      </c>
      <c r="G63" t="str">
        <v>TBD</v>
      </c>
      <c r="H63" t="str">
        <v/>
      </c>
      <c r="I63" t="str">
        <v/>
      </c>
      <c r="J63" t="str">
        <v>24/09/2026</v>
      </c>
      <c r="K63" t="str">
        <v>12:13:03</v>
      </c>
      <c r="L63">
        <v>-12.254461</v>
      </c>
      <c r="M63">
        <v>-76.92458</v>
      </c>
      <c r="N63">
        <f>HYPERLINK("https://www.google.com/maps/search/?api=1&amp;query=-12.254461,-76.92458","Carretera Panamericana Sur, Lurín, Lima")</f>
      </c>
      <c r="O63" t="str">
        <v>Excedió el límite de velocidad</v>
      </c>
      <c r="P63">
        <v>22226.9</v>
      </c>
      <c r="Q63" t="str">
        <v/>
      </c>
      <c r="R63">
        <v>87.5</v>
      </c>
      <c r="S63">
        <v>109.92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100</v>
      </c>
      <c r="AB63" t="str">
        <v>24/09/2026</v>
      </c>
      <c r="AC63" t="str">
        <v>12:13:02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24/09/2026 12:13:21</v>
      </c>
      <c r="AK63" t="str">
        <v>12:13:21</v>
      </c>
      <c r="AL63" t="str">
        <v/>
      </c>
    </row>
    <row r="64">
      <c r="A64">
        <v>63</v>
      </c>
      <c r="B64" t="str">
        <v>MASS BSF</v>
      </c>
      <c r="C64" t="str">
        <v>CKL-718</v>
      </c>
      <c r="D64" t="str">
        <v>CKL-718</v>
      </c>
      <c r="E64" t="str">
        <v/>
      </c>
      <c r="F64" t="str">
        <v>867162029820636</v>
      </c>
      <c r="G64" t="str">
        <v>TBD</v>
      </c>
      <c r="H64" t="str">
        <v/>
      </c>
      <c r="I64" t="str">
        <v/>
      </c>
      <c r="J64" t="str">
        <v>24/09/2026</v>
      </c>
      <c r="K64" t="str">
        <v>12:15:03</v>
      </c>
      <c r="L64">
        <v>-12.26961</v>
      </c>
      <c r="M64">
        <v>-76.90029</v>
      </c>
      <c r="N64">
        <f>HYPERLINK("https://www.google.com/maps/search/?api=1&amp;query=-12.26961,-76.90029","Carretera Panamericana Sur, Lurín, Lima")</f>
      </c>
      <c r="O64" t="str">
        <v>Excedió el límite de velocidad</v>
      </c>
      <c r="P64">
        <v>22230.1</v>
      </c>
      <c r="Q64" t="str">
        <v/>
      </c>
      <c r="R64">
        <v>90.5</v>
      </c>
      <c r="S64">
        <v>109.92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100</v>
      </c>
      <c r="AB64" t="str">
        <v>24/09/2026</v>
      </c>
      <c r="AC64" t="str">
        <v>12:15:02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24/09/2026 12:15:11</v>
      </c>
      <c r="AK64" t="str">
        <v>12:15:11</v>
      </c>
      <c r="AL64" t="str">
        <v/>
      </c>
    </row>
    <row r="65">
      <c r="A65">
        <v>64</v>
      </c>
      <c r="B65" t="str">
        <v>MASS BSF</v>
      </c>
      <c r="C65" t="str">
        <v>CKL-718</v>
      </c>
      <c r="D65" t="str">
        <v>CKL-718</v>
      </c>
      <c r="E65" t="str">
        <v/>
      </c>
      <c r="F65" t="str">
        <v>867162029820636</v>
      </c>
      <c r="G65" t="str">
        <v>TBD</v>
      </c>
      <c r="H65" t="str">
        <v/>
      </c>
      <c r="I65" t="str">
        <v/>
      </c>
      <c r="J65" t="str">
        <v>24/09/2026</v>
      </c>
      <c r="K65" t="str">
        <v>12:16:12</v>
      </c>
      <c r="L65">
        <v>-12.278042</v>
      </c>
      <c r="M65">
        <v>-76.88686</v>
      </c>
      <c r="N65">
        <f>HYPERLINK("https://www.google.com/maps/search/?api=1&amp;query=-12.278042,-76.88686","Carretera Panamericana Sur, Lurín, Lima")</f>
      </c>
      <c r="O65" t="str">
        <v>Excedió el límite de velocidad</v>
      </c>
      <c r="P65">
        <v>22231.8</v>
      </c>
      <c r="Q65" t="str">
        <v/>
      </c>
      <c r="R65">
        <v>86.7</v>
      </c>
      <c r="S65">
        <v>109.92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100</v>
      </c>
      <c r="AB65" t="str">
        <v>24/09/2026</v>
      </c>
      <c r="AC65" t="str">
        <v>12:16:11</v>
      </c>
      <c r="AD65">
        <f>IF("ONLINE"="NOGPS","GPS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24/09/2026 12:16:31</v>
      </c>
      <c r="AK65" t="str">
        <v>12:16:31</v>
      </c>
      <c r="AL65" t="str">
        <v/>
      </c>
    </row>
    <row r="66">
      <c r="A66">
        <v>65</v>
      </c>
      <c r="B66" t="str">
        <v>MASS BSF</v>
      </c>
      <c r="C66" t="str">
        <v>CKL-718</v>
      </c>
      <c r="D66" t="str">
        <v>CKL-718</v>
      </c>
      <c r="E66" t="str">
        <v/>
      </c>
      <c r="F66" t="str">
        <v>867162029820636</v>
      </c>
      <c r="G66" t="str">
        <v>TBD</v>
      </c>
      <c r="H66" t="str">
        <v/>
      </c>
      <c r="I66" t="str">
        <v/>
      </c>
      <c r="J66" t="str">
        <v>24/09/2026</v>
      </c>
      <c r="K66" t="str">
        <v>12:16:39</v>
      </c>
      <c r="L66">
        <v>-12.281023</v>
      </c>
      <c r="M66">
        <v>-76.882065</v>
      </c>
      <c r="N66">
        <f>HYPERLINK("https://www.google.com/maps/search/?api=1&amp;query=-12.281023,-76.882065","Carretera Panamericana Sur, Lurín, Lima")</f>
      </c>
      <c r="O66" t="str">
        <v>Excedió el límite de velocidad</v>
      </c>
      <c r="P66">
        <v>22232.4</v>
      </c>
      <c r="Q66" t="str">
        <v/>
      </c>
      <c r="R66">
        <v>85.4</v>
      </c>
      <c r="S66">
        <v>109.92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100</v>
      </c>
      <c r="AB66" t="str">
        <v>24/09/2026</v>
      </c>
      <c r="AC66" t="str">
        <v>12:16:38</v>
      </c>
      <c r="AD66">
        <f>IF("ONLINE"="NOGPS","GPS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24/09/2026 12:16:47</v>
      </c>
      <c r="AK66" t="str">
        <v>12:16:47</v>
      </c>
      <c r="AL66" t="str">
        <v/>
      </c>
    </row>
    <row r="67">
      <c r="A67">
        <v>66</v>
      </c>
      <c r="B67" t="str">
        <v>MASS BSF</v>
      </c>
      <c r="C67" t="str">
        <v>CKL-718</v>
      </c>
      <c r="D67" t="str">
        <v>CKL-718</v>
      </c>
      <c r="E67" t="str">
        <v/>
      </c>
      <c r="F67" t="str">
        <v>867162029820636</v>
      </c>
      <c r="G67" t="str">
        <v>TBD</v>
      </c>
      <c r="H67" t="str">
        <v/>
      </c>
      <c r="I67" t="str">
        <v/>
      </c>
      <c r="J67" t="str">
        <v>24/09/2026</v>
      </c>
      <c r="K67" t="str">
        <v>12:17:42</v>
      </c>
      <c r="L67">
        <v>-12.288599</v>
      </c>
      <c r="M67">
        <v>-76.86997</v>
      </c>
      <c r="N67">
        <f>HYPERLINK("https://www.google.com/maps/search/?api=1&amp;query=-12.288599,-76.86997","Carretera Panamericana Sur, Lurín, Lima")</f>
      </c>
      <c r="O67" t="str">
        <v>Excedió el límite de velocidad</v>
      </c>
      <c r="P67">
        <v>22234</v>
      </c>
      <c r="Q67" t="str">
        <v/>
      </c>
      <c r="R67">
        <v>89</v>
      </c>
      <c r="S67">
        <v>110.05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100</v>
      </c>
      <c r="AB67" t="str">
        <v>24/09/2026</v>
      </c>
      <c r="AC67" t="str">
        <v>12:17:41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24/09/2026 12:17:57</v>
      </c>
      <c r="AK67" t="str">
        <v>12:17:57</v>
      </c>
      <c r="AL67" t="str">
        <v/>
      </c>
    </row>
    <row r="68">
      <c r="A68">
        <v>67</v>
      </c>
      <c r="B68" t="str">
        <v>MASS BSF</v>
      </c>
      <c r="C68" t="str">
        <v>CKL-718</v>
      </c>
      <c r="D68" t="str">
        <v>CKL-718</v>
      </c>
      <c r="E68" t="str">
        <v/>
      </c>
      <c r="F68" t="str">
        <v>867162029820636</v>
      </c>
      <c r="G68" t="str">
        <v>TBD</v>
      </c>
      <c r="H68" t="str">
        <v/>
      </c>
      <c r="I68" t="str">
        <v/>
      </c>
      <c r="J68" t="str">
        <v>24/09/2026</v>
      </c>
      <c r="K68" t="str">
        <v>12:19:03</v>
      </c>
      <c r="L68">
        <v>-12.298149</v>
      </c>
      <c r="M68">
        <v>-76.85334</v>
      </c>
      <c r="N68">
        <f>HYPERLINK("https://www.google.com/maps/search/?api=1&amp;query=-12.298149,-76.85334","Carretera Panamericana Sur, Lurín, Lima")</f>
      </c>
      <c r="O68" t="str">
        <v>Excedió el límite de velocidad</v>
      </c>
      <c r="P68">
        <v>22236.1</v>
      </c>
      <c r="Q68" t="str">
        <v/>
      </c>
      <c r="R68">
        <v>87.5</v>
      </c>
      <c r="S68">
        <v>110.05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100</v>
      </c>
      <c r="AB68" t="str">
        <v>24/09/2026</v>
      </c>
      <c r="AC68" t="str">
        <v>12:19:02</v>
      </c>
      <c r="AD68">
        <f>IF("ONLINE"="NOGPS","GPS Antiguo","En línea")</f>
      </c>
      <c r="AE68">
        <f>IF(0=0,"Sin atender", IF(0=1,"Atendida","Atendida y Reportada"))</f>
      </c>
      <c r="AF68" t="str">
        <v/>
      </c>
      <c r="AG68" t="str">
        <v/>
      </c>
      <c r="AH68" t="str">
        <v/>
      </c>
      <c r="AI68" t="str">
        <v/>
      </c>
      <c r="AJ68" t="str">
        <v>24/09/2026 12:19:20</v>
      </c>
      <c r="AK68" t="str">
        <v>12:19:20</v>
      </c>
      <c r="AL68" t="str">
        <v/>
      </c>
    </row>
    <row r="69">
      <c r="A69">
        <v>68</v>
      </c>
      <c r="B69" t="str">
        <v>MASS BSF</v>
      </c>
      <c r="C69" t="str">
        <v>CKL-718</v>
      </c>
      <c r="D69" t="str">
        <v>CKL-718</v>
      </c>
      <c r="E69" t="str">
        <v/>
      </c>
      <c r="F69" t="str">
        <v>867162029820636</v>
      </c>
      <c r="G69" t="str">
        <v>TBD</v>
      </c>
      <c r="H69" t="str">
        <v/>
      </c>
      <c r="I69" t="str">
        <v/>
      </c>
      <c r="J69" t="str">
        <v>24/09/2026</v>
      </c>
      <c r="K69" t="str">
        <v>12:20:27</v>
      </c>
      <c r="L69">
        <v>-12.307295</v>
      </c>
      <c r="M69">
        <v>-76.83752</v>
      </c>
      <c r="N69">
        <f>HYPERLINK("https://www.google.com/maps/search/?api=1&amp;query=-12.307295,-76.83752","Carretera Panamericana Sur, Punta Hermosa, Lima")</f>
      </c>
      <c r="O69" t="str">
        <v>Excedió el límite de velocidad</v>
      </c>
      <c r="P69">
        <v>22238.1</v>
      </c>
      <c r="Q69" t="str">
        <v/>
      </c>
      <c r="R69">
        <v>83.2</v>
      </c>
      <c r="S69">
        <v>110.05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100</v>
      </c>
      <c r="AB69" t="str">
        <v>24/09/2026</v>
      </c>
      <c r="AC69" t="str">
        <v>12:20:26</v>
      </c>
      <c r="AD69">
        <f>IF("ONLINE"="NOGPS","GPS Antiguo","En línea")</f>
      </c>
      <c r="AE69">
        <f>IF(0=0,"Sin atender", IF(0=1,"Atendida","Atendida y Reportada"))</f>
      </c>
      <c r="AF69" t="str">
        <v/>
      </c>
      <c r="AG69" t="str">
        <v/>
      </c>
      <c r="AH69" t="str">
        <v/>
      </c>
      <c r="AI69" t="str">
        <v/>
      </c>
      <c r="AJ69" t="str">
        <v>24/09/2026 12:20:39</v>
      </c>
      <c r="AK69" t="str">
        <v>12:20:39</v>
      </c>
      <c r="AL69" t="str">
        <v/>
      </c>
    </row>
    <row r="70">
      <c r="A70">
        <v>69</v>
      </c>
      <c r="B70" t="str">
        <v>MASS BSF</v>
      </c>
      <c r="C70" t="str">
        <v>CKL-718</v>
      </c>
      <c r="D70" t="str">
        <v>CKL-718</v>
      </c>
      <c r="E70" t="str">
        <v/>
      </c>
      <c r="F70" t="str">
        <v>867162029820636</v>
      </c>
      <c r="G70" t="str">
        <v>TBD</v>
      </c>
      <c r="H70" t="str">
        <v/>
      </c>
      <c r="I70" t="str">
        <v/>
      </c>
      <c r="J70" t="str">
        <v>24/09/2026</v>
      </c>
      <c r="K70" t="str">
        <v>12:21:18</v>
      </c>
      <c r="L70">
        <v>-12.315701</v>
      </c>
      <c r="M70">
        <v>-76.83182</v>
      </c>
      <c r="N70">
        <f>HYPERLINK("https://www.google.com/maps/search/?api=1&amp;query=-12.315701,-76.83182","Carretera Panamericana Sur, Punta Hermosa, Lima")</f>
      </c>
      <c r="O70" t="str">
        <v>Excedió el límite de velocidad</v>
      </c>
      <c r="P70">
        <v>22239.2</v>
      </c>
      <c r="Q70" t="str">
        <v/>
      </c>
      <c r="R70">
        <v>84.5</v>
      </c>
      <c r="S70">
        <v>110.05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100</v>
      </c>
      <c r="AB70" t="str">
        <v>24/09/2026</v>
      </c>
      <c r="AC70" t="str">
        <v>12:21:17</v>
      </c>
      <c r="AD70">
        <f>IF("ONLINE"="NOGPS","GPS Antiguo","En línea")</f>
      </c>
      <c r="AE70">
        <f>IF(0=0,"Sin atender", IF(0=1,"Atendida","Atendida y Reportada"))</f>
      </c>
      <c r="AF70" t="str">
        <v/>
      </c>
      <c r="AG70" t="str">
        <v/>
      </c>
      <c r="AH70" t="str">
        <v/>
      </c>
      <c r="AI70" t="str">
        <v/>
      </c>
      <c r="AJ70" t="str">
        <v>24/09/2026 12:21:35</v>
      </c>
      <c r="AK70" t="str">
        <v>12:21:35</v>
      </c>
      <c r="AL70" t="str">
        <v/>
      </c>
    </row>
    <row r="71">
      <c r="A71">
        <v>70</v>
      </c>
      <c r="B71" t="str">
        <v>MASS BSF</v>
      </c>
      <c r="C71" t="str">
        <v>CKL-718</v>
      </c>
      <c r="D71" t="str">
        <v>CKL-718</v>
      </c>
      <c r="E71" t="str">
        <v/>
      </c>
      <c r="F71" t="str">
        <v>867162029820636</v>
      </c>
      <c r="G71" t="str">
        <v>TBD</v>
      </c>
      <c r="H71" t="str">
        <v/>
      </c>
      <c r="I71" t="str">
        <v/>
      </c>
      <c r="J71" t="str">
        <v>24/09/2026</v>
      </c>
      <c r="K71" t="str">
        <v>12:22:42</v>
      </c>
      <c r="L71">
        <v>-12.330287</v>
      </c>
      <c r="M71">
        <v>-76.82208</v>
      </c>
      <c r="N71">
        <f>HYPERLINK("https://www.google.com/maps/search/?api=1&amp;query=-12.330287,-76.82208","Carretera Panamericana Sur, Punta Hermosa, Lima")</f>
      </c>
      <c r="O71" t="str">
        <v>Excedió el límite de velocidad</v>
      </c>
      <c r="P71">
        <v>22241.2</v>
      </c>
      <c r="Q71" t="str">
        <v/>
      </c>
      <c r="R71">
        <v>90.7</v>
      </c>
      <c r="S71">
        <v>110.05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100</v>
      </c>
      <c r="AB71" t="str">
        <v>24/09/2026</v>
      </c>
      <c r="AC71" t="str">
        <v>12:22:41</v>
      </c>
      <c r="AD71">
        <f>IF("ONLINE"="NOGPS","GPS Antiguo","En línea")</f>
      </c>
      <c r="AE71">
        <f>IF(0=0,"Sin atender", IF(0=1,"Atendida","Atendida y Reportada"))</f>
      </c>
      <c r="AF71" t="str">
        <v/>
      </c>
      <c r="AG71" t="str">
        <v/>
      </c>
      <c r="AH71" t="str">
        <v/>
      </c>
      <c r="AI71" t="str">
        <v/>
      </c>
      <c r="AJ71" t="str">
        <v>24/09/2026 12:22:54</v>
      </c>
      <c r="AK71" t="str">
        <v>12:22:54</v>
      </c>
      <c r="AL71" t="str">
        <v/>
      </c>
    </row>
    <row r="72">
      <c r="A72">
        <v>71</v>
      </c>
      <c r="B72" t="str">
        <v>MASS BSF</v>
      </c>
      <c r="C72" t="str">
        <v>CKL-718</v>
      </c>
      <c r="D72" t="str">
        <v>CKL-718</v>
      </c>
      <c r="E72" t="str">
        <v/>
      </c>
      <c r="F72" t="str">
        <v>867162029820636</v>
      </c>
      <c r="G72" t="str">
        <v>TBD</v>
      </c>
      <c r="H72" t="str">
        <v/>
      </c>
      <c r="I72" t="str">
        <v/>
      </c>
      <c r="J72" t="str">
        <v>24/09/2026</v>
      </c>
      <c r="K72" t="str">
        <v>12:25:27</v>
      </c>
      <c r="L72">
        <v>-12.326773</v>
      </c>
      <c r="M72">
        <v>-76.82433</v>
      </c>
      <c r="N72">
        <f>HYPERLINK("https://www.google.com/maps/search/?api=1&amp;query=-12.326773,-76.82433","Carretera Panamericana Sur, Punta Hermosa, Lima")</f>
      </c>
      <c r="O72" t="str">
        <v>Excedió el límite de velocidad</v>
      </c>
      <c r="P72">
        <v>22243.2</v>
      </c>
      <c r="Q72" t="str">
        <v/>
      </c>
      <c r="R72">
        <v>87.2</v>
      </c>
      <c r="S72">
        <v>110.05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100</v>
      </c>
      <c r="AB72" t="str">
        <v>24/09/2026</v>
      </c>
      <c r="AC72" t="str">
        <v>12:25:26</v>
      </c>
      <c r="AD72">
        <f>IF("ONLINE"="NOGPS","GPS Antiguo","En línea")</f>
      </c>
      <c r="AE72">
        <f>IF(0=0,"Sin atender", IF(0=1,"Atendida","Atendida y Reportada"))</f>
      </c>
      <c r="AF72" t="str">
        <v/>
      </c>
      <c r="AG72" t="str">
        <v/>
      </c>
      <c r="AH72" t="str">
        <v/>
      </c>
      <c r="AI72" t="str">
        <v/>
      </c>
      <c r="AJ72" t="str">
        <v>24/09/2026 12:25:39</v>
      </c>
      <c r="AK72" t="str">
        <v>12:25:39</v>
      </c>
      <c r="AL72" t="str">
        <v/>
      </c>
    </row>
    <row r="73">
      <c r="A73">
        <v>72</v>
      </c>
      <c r="B73" t="str">
        <v>MASS BSF</v>
      </c>
      <c r="C73" t="str">
        <v>CKL-718</v>
      </c>
      <c r="D73" t="str">
        <v>CKL-718</v>
      </c>
      <c r="E73" t="str">
        <v/>
      </c>
      <c r="F73" t="str">
        <v>867162029820636</v>
      </c>
      <c r="G73" t="str">
        <v>TBD</v>
      </c>
      <c r="H73" t="str">
        <v/>
      </c>
      <c r="I73" t="str">
        <v/>
      </c>
      <c r="J73" t="str">
        <v>24/09/2026</v>
      </c>
      <c r="K73" t="str">
        <v>12:34:40</v>
      </c>
      <c r="L73">
        <v>-12.3173</v>
      </c>
      <c r="M73">
        <v>-76.82292</v>
      </c>
      <c r="N73">
        <f>HYPERLINK("https://www.google.com/maps/search/?api=1&amp;query=-12.3173,-76.82292","Punta Hermosa, Lima")</f>
      </c>
      <c r="O73" t="str">
        <v>Vehículo apagado</v>
      </c>
      <c r="P73">
        <v>22245.5</v>
      </c>
      <c r="Q73" t="str">
        <v/>
      </c>
      <c r="R73">
        <v>0</v>
      </c>
      <c r="S73">
        <v>110.57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100</v>
      </c>
      <c r="AB73" t="str">
        <v>24/09/2026</v>
      </c>
      <c r="AC73" t="str">
        <v>12:34:43</v>
      </c>
      <c r="AD73">
        <f>IF("ONLINE"="NOGPS","GPS Antiguo","En línea")</f>
      </c>
      <c r="AE73">
        <f>IF(0=0,"Sin atender", IF(0=1,"Atendida","Atendida y Reportada"))</f>
      </c>
      <c r="AF73" t="str">
        <v/>
      </c>
      <c r="AG73" t="str">
        <v/>
      </c>
      <c r="AH73" t="str">
        <v/>
      </c>
      <c r="AI73" t="str">
        <v/>
      </c>
      <c r="AJ73" t="str">
        <v>24/09/2026 12:34:58</v>
      </c>
      <c r="AK73" t="str">
        <v>12:34:58</v>
      </c>
      <c r="AL73" t="str">
        <v/>
      </c>
    </row>
    <row r="74">
      <c r="A74">
        <v>73</v>
      </c>
      <c r="B74" t="str">
        <v>MASS BSF</v>
      </c>
      <c r="C74" t="str">
        <v>CKL-718</v>
      </c>
      <c r="D74" t="str">
        <v>CKL-718</v>
      </c>
      <c r="E74" t="str">
        <v/>
      </c>
      <c r="F74" t="str">
        <v>867162029820636</v>
      </c>
      <c r="G74" t="str">
        <v>TBD</v>
      </c>
      <c r="H74" t="str">
        <v/>
      </c>
      <c r="I74" t="str">
        <v/>
      </c>
      <c r="J74" t="str">
        <v>24/09/2026</v>
      </c>
      <c r="K74" t="str">
        <v>12:46:58</v>
      </c>
      <c r="L74">
        <v>-12.3173</v>
      </c>
      <c r="M74">
        <v>-76.82292</v>
      </c>
      <c r="N74">
        <f>HYPERLINK("https://www.google.com/maps/search/?api=1&amp;query=-12.3173,-76.82292","Punta Hermosa, Lima")</f>
      </c>
      <c r="O74" t="str">
        <v>Vehículo encendido</v>
      </c>
      <c r="P74">
        <v>22245.5</v>
      </c>
      <c r="Q74" t="str">
        <v/>
      </c>
      <c r="R74">
        <v>0</v>
      </c>
      <c r="S74">
        <v>110.57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100</v>
      </c>
      <c r="AB74" t="str">
        <v>24/09/2026</v>
      </c>
      <c r="AC74" t="str">
        <v>12:34:43</v>
      </c>
      <c r="AD74">
        <f>IF("NOGPS"="NOGPS","GPS Antiguo","En línea")</f>
      </c>
      <c r="AE74">
        <f>IF(0=0,"Sin atender", IF(0=1,"Atendida","Atendida y Reportada"))</f>
      </c>
      <c r="AF74" t="str">
        <v/>
      </c>
      <c r="AG74" t="str">
        <v/>
      </c>
      <c r="AH74" t="str">
        <v/>
      </c>
      <c r="AI74" t="str">
        <v/>
      </c>
      <c r="AJ74" t="str">
        <v>24/09/2026 12:47:16</v>
      </c>
      <c r="AK74" t="str">
        <v>12:47:16</v>
      </c>
      <c r="AL74" t="str">
        <v/>
      </c>
    </row>
    <row r="75">
      <c r="A75">
        <v>74</v>
      </c>
      <c r="B75" t="str">
        <v>MASS BSF</v>
      </c>
      <c r="C75" t="str">
        <v>CKL-718</v>
      </c>
      <c r="D75" t="str">
        <v>CKL-718</v>
      </c>
      <c r="E75" t="str">
        <v/>
      </c>
      <c r="F75" t="str">
        <v>867162029820636</v>
      </c>
      <c r="G75" t="str">
        <v>TBD</v>
      </c>
      <c r="H75" t="str">
        <v/>
      </c>
      <c r="I75" t="str">
        <v/>
      </c>
      <c r="J75" t="str">
        <v>24/09/2026</v>
      </c>
      <c r="K75" t="str">
        <v>12:47:56</v>
      </c>
      <c r="L75">
        <v>-12.317254</v>
      </c>
      <c r="M75">
        <v>-76.82307</v>
      </c>
      <c r="N75">
        <f>HYPERLINK("https://www.google.com/maps/search/?api=1&amp;query=-12.317254,-76.82307","Punta Hermosa, Lima")</f>
      </c>
      <c r="O75" t="str">
        <v>Vehículo apagado</v>
      </c>
      <c r="P75">
        <v>22245.5</v>
      </c>
      <c r="Q75" t="str">
        <v/>
      </c>
      <c r="R75">
        <v>3.4</v>
      </c>
      <c r="S75">
        <v>110.58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100</v>
      </c>
      <c r="AB75" t="str">
        <v>24/09/2026</v>
      </c>
      <c r="AC75" t="str">
        <v>12:47:42</v>
      </c>
      <c r="AD75">
        <f>IF("ONLINE"="NOGPS","GPS Antiguo","En línea")</f>
      </c>
      <c r="AE75">
        <f>IF(0=0,"Sin atender", IF(0=1,"Atendida","Atendida y Reportada"))</f>
      </c>
      <c r="AF75" t="str">
        <v/>
      </c>
      <c r="AG75" t="str">
        <v/>
      </c>
      <c r="AH75" t="str">
        <v/>
      </c>
      <c r="AI75" t="str">
        <v/>
      </c>
      <c r="AJ75" t="str">
        <v>24/09/2026 12:48:10</v>
      </c>
      <c r="AK75" t="str">
        <v>12:48:10</v>
      </c>
      <c r="AL75" t="str">
        <v/>
      </c>
    </row>
    <row r="76">
      <c r="A76">
        <v>75</v>
      </c>
      <c r="B76" t="str">
        <v>MASS BSF</v>
      </c>
      <c r="C76" t="str">
        <v>CKL-718</v>
      </c>
      <c r="D76" t="str">
        <v>CKL-718</v>
      </c>
      <c r="E76" t="str">
        <v/>
      </c>
      <c r="F76" t="str">
        <v>867162029820636</v>
      </c>
      <c r="G76" t="str">
        <v>TBD</v>
      </c>
      <c r="H76" t="str">
        <v/>
      </c>
      <c r="I76" t="str">
        <v/>
      </c>
      <c r="J76" t="str">
        <v>24/09/2026</v>
      </c>
      <c r="K76" t="str">
        <v>12:53:25</v>
      </c>
      <c r="L76">
        <v>-12.317263</v>
      </c>
      <c r="M76">
        <v>-76.82306</v>
      </c>
      <c r="N76">
        <f>HYPERLINK("https://www.google.com/maps/search/?api=1&amp;query=-12.317263,-76.82306","Punta Hermosa, Lima")</f>
      </c>
      <c r="O76" t="str">
        <v>Vehículo encendido</v>
      </c>
      <c r="P76">
        <v>22245.5</v>
      </c>
      <c r="Q76" t="str">
        <v/>
      </c>
      <c r="R76">
        <v>0</v>
      </c>
      <c r="S76">
        <v>110.58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100</v>
      </c>
      <c r="AB76" t="str">
        <v>24/09/2026</v>
      </c>
      <c r="AC76" t="str">
        <v>12:47:59</v>
      </c>
      <c r="AD76">
        <f>IF("NOGPS"="NOGPS","GPS Antiguo","En línea")</f>
      </c>
      <c r="AE76">
        <f>IF(0=0,"Sin atender", IF(0=1,"Atendida","Atendida y Reportada"))</f>
      </c>
      <c r="AF76" t="str">
        <v/>
      </c>
      <c r="AG76" t="str">
        <v/>
      </c>
      <c r="AH76" t="str">
        <v/>
      </c>
      <c r="AI76" t="str">
        <v/>
      </c>
      <c r="AJ76" t="str">
        <v>24/09/2026 12:53:42</v>
      </c>
      <c r="AK76" t="str">
        <v>12:53:42</v>
      </c>
      <c r="AL76" t="str">
        <v/>
      </c>
    </row>
    <row r="77">
      <c r="A77">
        <v>76</v>
      </c>
      <c r="B77" t="str">
        <v>MASS BSF</v>
      </c>
      <c r="C77" t="str">
        <v>CKL-718</v>
      </c>
      <c r="D77" t="str">
        <v>CKL-718</v>
      </c>
      <c r="E77" t="str">
        <v/>
      </c>
      <c r="F77" t="str">
        <v>867162029820636</v>
      </c>
      <c r="G77" t="str">
        <v>TBD</v>
      </c>
      <c r="H77" t="str">
        <v/>
      </c>
      <c r="I77" t="str">
        <v/>
      </c>
      <c r="J77" t="str">
        <v>24/09/2026</v>
      </c>
      <c r="K77" t="str">
        <v>12:55:23</v>
      </c>
      <c r="L77">
        <v>-12.31853</v>
      </c>
      <c r="M77">
        <v>-76.82388</v>
      </c>
      <c r="N77">
        <f>HYPERLINK("https://www.google.com/maps/search/?api=1&amp;query=-12.31853,-76.82388","Punta Hermosa, Lima")</f>
      </c>
      <c r="O77" t="str">
        <v>Vehículo apagado</v>
      </c>
      <c r="P77">
        <v>22245.7</v>
      </c>
      <c r="Q77" t="str">
        <v/>
      </c>
      <c r="R77">
        <v>8.6</v>
      </c>
      <c r="S77">
        <v>110.62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100</v>
      </c>
      <c r="AB77" t="str">
        <v>24/09/2026</v>
      </c>
      <c r="AC77" t="str">
        <v>12:54:38</v>
      </c>
      <c r="AD77">
        <f>IF("ONLINE"="NOGPS","GPS Antiguo","En línea")</f>
      </c>
      <c r="AE77">
        <f>IF(0=0,"Sin atender", IF(0=1,"Atendida","Atendida y Reportada"))</f>
      </c>
      <c r="AF77" t="str">
        <v/>
      </c>
      <c r="AG77" t="str">
        <v/>
      </c>
      <c r="AH77" t="str">
        <v/>
      </c>
      <c r="AI77" t="str">
        <v/>
      </c>
      <c r="AJ77" t="str">
        <v>24/09/2026 12:55:41</v>
      </c>
      <c r="AK77" t="str">
        <v>12:55:41</v>
      </c>
      <c r="AL77" t="str">
        <v/>
      </c>
    </row>
    <row r="78">
      <c r="A78">
        <v>77</v>
      </c>
      <c r="B78" t="str">
        <v>MASS BSF</v>
      </c>
      <c r="C78" t="str">
        <v>CKL-718</v>
      </c>
      <c r="D78" t="str">
        <v>CKL-718</v>
      </c>
      <c r="E78" t="str">
        <v/>
      </c>
      <c r="F78" t="str">
        <v>867162029820636</v>
      </c>
      <c r="G78" t="str">
        <v>TBD</v>
      </c>
      <c r="H78" t="str">
        <v/>
      </c>
      <c r="I78" t="str">
        <v/>
      </c>
      <c r="J78" t="str">
        <v>24/09/2026</v>
      </c>
      <c r="K78" t="str">
        <v>13:12:16</v>
      </c>
      <c r="L78">
        <v>-12.317998</v>
      </c>
      <c r="M78">
        <v>-76.82435</v>
      </c>
      <c r="N78">
        <f>HYPERLINK("https://www.google.com/maps/search/?api=1&amp;query=-12.317998,-76.82435","Punta Hermosa, Lima")</f>
      </c>
      <c r="O78" t="str">
        <v>Vehículo encendido</v>
      </c>
      <c r="P78">
        <v>22245.7</v>
      </c>
      <c r="Q78" t="str">
        <v/>
      </c>
      <c r="R78">
        <v>0</v>
      </c>
      <c r="S78">
        <v>110.62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100</v>
      </c>
      <c r="AB78" t="str">
        <v>24/09/2026</v>
      </c>
      <c r="AC78" t="str">
        <v>12:55:25</v>
      </c>
      <c r="AD78">
        <f>IF("NOGPS"="NOGPS","GPS Antiguo","En línea")</f>
      </c>
      <c r="AE78">
        <f>IF(0=0,"Sin atender", IF(0=1,"Atendida","Atendida y Reportada"))</f>
      </c>
      <c r="AF78" t="str">
        <v/>
      </c>
      <c r="AG78" t="str">
        <v/>
      </c>
      <c r="AH78" t="str">
        <v/>
      </c>
      <c r="AI78" t="str">
        <v/>
      </c>
      <c r="AJ78" t="str">
        <v>24/09/2026 13:12:33</v>
      </c>
      <c r="AK78" t="str">
        <v>13:12:33</v>
      </c>
      <c r="AL78" t="str">
        <v/>
      </c>
    </row>
    <row r="79">
      <c r="A79">
        <v>78</v>
      </c>
      <c r="B79" t="str">
        <v>MASS BSF</v>
      </c>
      <c r="C79" t="str">
        <v>CKL-718</v>
      </c>
      <c r="D79" t="str">
        <v>CKL-718</v>
      </c>
      <c r="E79" t="str">
        <v/>
      </c>
      <c r="F79" t="str">
        <v>867162029820636</v>
      </c>
      <c r="G79" t="str">
        <v>TBD</v>
      </c>
      <c r="H79" t="str">
        <v/>
      </c>
      <c r="I79" t="str">
        <v/>
      </c>
      <c r="J79" t="str">
        <v>24/09/2026</v>
      </c>
      <c r="K79" t="str">
        <v>13:12:46</v>
      </c>
      <c r="L79">
        <v>-12.317839</v>
      </c>
      <c r="M79">
        <v>-76.82433</v>
      </c>
      <c r="N79">
        <f>HYPERLINK("https://www.google.com/maps/search/?api=1&amp;query=-12.317839,-76.82433","Punta Hermosa, Lima")</f>
      </c>
      <c r="O79" t="str">
        <v>Vehículo apagado</v>
      </c>
      <c r="P79">
        <v>22245.8</v>
      </c>
      <c r="Q79" t="str">
        <v/>
      </c>
      <c r="R79">
        <v>0</v>
      </c>
      <c r="S79">
        <v>110.63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100</v>
      </c>
      <c r="AB79" t="str">
        <v>24/09/2026</v>
      </c>
      <c r="AC79" t="str">
        <v>13:12:51</v>
      </c>
      <c r="AD79">
        <f>IF("ONLINE"="NOGPS","GPS Antiguo","En línea")</f>
      </c>
      <c r="AE79">
        <f>IF(0=0,"Sin atender", IF(0=1,"Atendida","Atendida y Reportada"))</f>
      </c>
      <c r="AF79" t="str">
        <v/>
      </c>
      <c r="AG79" t="str">
        <v/>
      </c>
      <c r="AH79" t="str">
        <v/>
      </c>
      <c r="AI79" t="str">
        <v/>
      </c>
      <c r="AJ79" t="str">
        <v>24/09/2026 13:12:58</v>
      </c>
      <c r="AK79" t="str">
        <v>13:12:58</v>
      </c>
      <c r="AL79" t="str">
        <v/>
      </c>
    </row>
    <row r="80">
      <c r="A80">
        <v>79</v>
      </c>
      <c r="B80" t="str">
        <v>MASS BSF</v>
      </c>
      <c r="C80" t="str">
        <v>CKL-718</v>
      </c>
      <c r="D80" t="str">
        <v>CKL-718</v>
      </c>
      <c r="E80" t="str">
        <v/>
      </c>
      <c r="F80" t="str">
        <v>867162029820636</v>
      </c>
      <c r="G80" t="str">
        <v>TBD</v>
      </c>
      <c r="H80" t="str">
        <v/>
      </c>
      <c r="I80" t="str">
        <v/>
      </c>
      <c r="J80" t="str">
        <v>24/09/2026</v>
      </c>
      <c r="K80" t="str">
        <v>14:11:04</v>
      </c>
      <c r="L80">
        <v>-12.317839</v>
      </c>
      <c r="M80">
        <v>-76.82433</v>
      </c>
      <c r="N80">
        <f>HYPERLINK("https://www.google.com/maps/search/?api=1&amp;query=-12.317839,-76.82433","Punta Hermosa, Lima")</f>
      </c>
      <c r="O80" t="str">
        <v>Vehículo encendido</v>
      </c>
      <c r="P80">
        <v>22245.8</v>
      </c>
      <c r="Q80" t="str">
        <v/>
      </c>
      <c r="R80">
        <v>0</v>
      </c>
      <c r="S80">
        <v>110.63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100</v>
      </c>
      <c r="AB80" t="str">
        <v>24/09/2026</v>
      </c>
      <c r="AC80" t="str">
        <v>14:10:32</v>
      </c>
      <c r="AD80">
        <f>IF("ONLINE"="NOGPS","GPS Antiguo","En línea")</f>
      </c>
      <c r="AE80">
        <f>IF(0=0,"Sin atender", IF(0=1,"Atendida","Atendida y Reportada"))</f>
      </c>
      <c r="AF80" t="str">
        <v/>
      </c>
      <c r="AG80" t="str">
        <v/>
      </c>
      <c r="AH80" t="str">
        <v/>
      </c>
      <c r="AI80" t="str">
        <v/>
      </c>
      <c r="AJ80" t="str">
        <v>24/09/2026 14:11:17</v>
      </c>
      <c r="AK80" t="str">
        <v>14:11:17</v>
      </c>
      <c r="AL80" t="str">
        <v/>
      </c>
    </row>
    <row r="81">
      <c r="A81">
        <v>80</v>
      </c>
      <c r="B81" t="str">
        <v>MASS BSF</v>
      </c>
      <c r="C81" t="str">
        <v>CKL-718</v>
      </c>
      <c r="D81" t="str">
        <v>CKL-718</v>
      </c>
      <c r="E81" t="str">
        <v/>
      </c>
      <c r="F81" t="str">
        <v>867162029820636</v>
      </c>
      <c r="G81" t="str">
        <v>TBD</v>
      </c>
      <c r="H81" t="str">
        <v/>
      </c>
      <c r="I81" t="str">
        <v/>
      </c>
      <c r="J81" t="str">
        <v>24/09/2026</v>
      </c>
      <c r="K81" t="str">
        <v>14:13:26</v>
      </c>
      <c r="L81">
        <v>-12.317738</v>
      </c>
      <c r="M81">
        <v>-76.82437</v>
      </c>
      <c r="N81">
        <f>HYPERLINK("https://www.google.com/maps/search/?api=1&amp;query=-12.317738,-76.82437","Punta Hermosa, Lima")</f>
      </c>
      <c r="O81" t="str">
        <v>Vehículo apagado</v>
      </c>
      <c r="P81">
        <v>22245.8</v>
      </c>
      <c r="Q81" t="str">
        <v/>
      </c>
      <c r="R81">
        <v>0</v>
      </c>
      <c r="S81">
        <v>110.67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100</v>
      </c>
      <c r="AB81" t="str">
        <v>24/09/2026</v>
      </c>
      <c r="AC81" t="str">
        <v>14:13:28</v>
      </c>
      <c r="AD81">
        <f>IF("ONLINE"="NOGPS","GPS Antiguo","En línea")</f>
      </c>
      <c r="AE81">
        <f>IF(0=0,"Sin atender", IF(0=1,"Atendida","Atendida y Reportada"))</f>
      </c>
      <c r="AF81" t="str">
        <v/>
      </c>
      <c r="AG81" t="str">
        <v/>
      </c>
      <c r="AH81" t="str">
        <v/>
      </c>
      <c r="AI81" t="str">
        <v/>
      </c>
      <c r="AJ81" t="str">
        <v>24/09/2026 14:13:34</v>
      </c>
      <c r="AK81" t="str">
        <v>14:13:34</v>
      </c>
      <c r="AL81" t="str">
        <v/>
      </c>
    </row>
    <row r="82">
      <c r="A82">
        <v>81</v>
      </c>
      <c r="B82" t="str">
        <v>MASS BSF</v>
      </c>
      <c r="C82" t="str">
        <v>CKL-718</v>
      </c>
      <c r="D82" t="str">
        <v>CKL-718</v>
      </c>
      <c r="E82" t="str">
        <v/>
      </c>
      <c r="F82" t="str">
        <v>867162029820636</v>
      </c>
      <c r="G82" t="str">
        <v>TBD</v>
      </c>
      <c r="H82" t="str">
        <v/>
      </c>
      <c r="I82" t="str">
        <v/>
      </c>
      <c r="J82" t="str">
        <v>24/09/2026</v>
      </c>
      <c r="K82" t="str">
        <v>14:13:28</v>
      </c>
      <c r="L82">
        <v>-12.317738</v>
      </c>
      <c r="M82">
        <v>-76.82437</v>
      </c>
      <c r="N82">
        <f>HYPERLINK("https://www.google.com/maps/search/?api=1&amp;query=-12.317738,-76.82437","Punta Hermosa, Lima")</f>
      </c>
      <c r="O82" t="str">
        <v>Vehículo encendido</v>
      </c>
      <c r="P82">
        <v>22245.8</v>
      </c>
      <c r="Q82" t="str">
        <v/>
      </c>
      <c r="R82">
        <v>0</v>
      </c>
      <c r="S82">
        <v>110.63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100</v>
      </c>
      <c r="AB82" t="str">
        <v>24/09/2026</v>
      </c>
      <c r="AC82" t="str">
        <v>14:13:28</v>
      </c>
      <c r="AD82">
        <f>IF("ONLINE"="NOGPS","GPS Antiguo","En línea")</f>
      </c>
      <c r="AE82">
        <f>IF(0=0,"Sin atender", IF(0=1,"Atendida","Atendida y Reportada"))</f>
      </c>
      <c r="AF82" t="str">
        <v/>
      </c>
      <c r="AG82" t="str">
        <v/>
      </c>
      <c r="AH82" t="str">
        <v/>
      </c>
      <c r="AI82" t="str">
        <v/>
      </c>
      <c r="AJ82" t="str">
        <v>24/09/2026 14:13:39</v>
      </c>
      <c r="AK82" t="str">
        <v>14:13:39</v>
      </c>
      <c r="AL82" t="str">
        <v/>
      </c>
    </row>
    <row r="83">
      <c r="A83">
        <v>82</v>
      </c>
      <c r="B83" t="str">
        <v>MASS BSF</v>
      </c>
      <c r="C83" t="str">
        <v>CKL-718</v>
      </c>
      <c r="D83" t="str">
        <v>CKL-718</v>
      </c>
      <c r="E83" t="str">
        <v/>
      </c>
      <c r="F83" t="str">
        <v>867162029820636</v>
      </c>
      <c r="G83" t="str">
        <v>TBD</v>
      </c>
      <c r="H83" t="str">
        <v/>
      </c>
      <c r="I83" t="str">
        <v/>
      </c>
      <c r="J83" t="str">
        <v>24/09/2026</v>
      </c>
      <c r="K83" t="str">
        <v>14:13:32</v>
      </c>
      <c r="L83">
        <v>-12.317738</v>
      </c>
      <c r="M83">
        <v>-76.82437</v>
      </c>
      <c r="N83">
        <f>HYPERLINK("https://www.google.com/maps/search/?api=1&amp;query=-12.317738,-76.82437","Punta Hermosa, Lima")</f>
      </c>
      <c r="O83" t="str">
        <v>Vehículo apagado</v>
      </c>
      <c r="P83">
        <v>22245.8</v>
      </c>
      <c r="Q83" t="str">
        <v/>
      </c>
      <c r="R83">
        <v>0</v>
      </c>
      <c r="S83">
        <v>110.63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100</v>
      </c>
      <c r="AB83" t="str">
        <v>24/09/2026</v>
      </c>
      <c r="AC83" t="str">
        <v>14:13:28</v>
      </c>
      <c r="AD83">
        <f>IF("ONLINE"="NOGPS","GPS Antiguo","En línea")</f>
      </c>
      <c r="AE83">
        <f>IF(0=0,"Sin atender", IF(0=1,"Atendida","Atendida y Reportada"))</f>
      </c>
      <c r="AF83" t="str">
        <v/>
      </c>
      <c r="AG83" t="str">
        <v/>
      </c>
      <c r="AH83" t="str">
        <v/>
      </c>
      <c r="AI83" t="str">
        <v/>
      </c>
      <c r="AJ83" t="str">
        <v>24/09/2026 14:13:39</v>
      </c>
      <c r="AK83" t="str">
        <v>14:13:39</v>
      </c>
      <c r="AL83" t="str">
        <v/>
      </c>
    </row>
    <row r="84">
      <c r="A84">
        <v>83</v>
      </c>
      <c r="B84" t="str">
        <v>MASS BSF</v>
      </c>
      <c r="C84" t="str">
        <v>CKL-718</v>
      </c>
      <c r="D84" t="str">
        <v>CKL-718</v>
      </c>
      <c r="E84" t="str">
        <v/>
      </c>
      <c r="F84" t="str">
        <v>867162029820636</v>
      </c>
      <c r="G84" t="str">
        <v>TBD</v>
      </c>
      <c r="H84" t="str">
        <v/>
      </c>
      <c r="I84" t="str">
        <v/>
      </c>
      <c r="J84" t="str">
        <v>24/09/2026</v>
      </c>
      <c r="K84" t="str">
        <v>14:14:07</v>
      </c>
      <c r="L84">
        <v>-12.317738</v>
      </c>
      <c r="M84">
        <v>-76.82437</v>
      </c>
      <c r="N84">
        <f>HYPERLINK("https://www.google.com/maps/search/?api=1&amp;query=-12.317738,-76.82437","Punta Hermosa, Lima")</f>
      </c>
      <c r="O84" t="str">
        <v>Vehículo encendido</v>
      </c>
      <c r="P84">
        <v>22245.8</v>
      </c>
      <c r="Q84" t="str">
        <v/>
      </c>
      <c r="R84">
        <v>0</v>
      </c>
      <c r="S84">
        <v>110.63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100</v>
      </c>
      <c r="AB84" t="str">
        <v>24/09/2026</v>
      </c>
      <c r="AC84" t="str">
        <v>14:13:36</v>
      </c>
      <c r="AD84">
        <f>IF("ONLINE"="NOGPS","GPS Antiguo","En línea")</f>
      </c>
      <c r="AE84">
        <f>IF(0=0,"Sin atender", IF(0=1,"Atendida","Atendida y Reportada"))</f>
      </c>
      <c r="AF84" t="str">
        <v/>
      </c>
      <c r="AG84" t="str">
        <v/>
      </c>
      <c r="AH84" t="str">
        <v/>
      </c>
      <c r="AI84" t="str">
        <v/>
      </c>
      <c r="AJ84" t="str">
        <v>24/09/2026 14:14:19</v>
      </c>
      <c r="AK84" t="str">
        <v>14:14:19</v>
      </c>
      <c r="AL84" t="str">
        <v/>
      </c>
    </row>
    <row r="85">
      <c r="A85">
        <v>84</v>
      </c>
      <c r="B85" t="str">
        <v>MASS BSF</v>
      </c>
      <c r="C85" t="str">
        <v>CKL-718</v>
      </c>
      <c r="D85" t="str">
        <v>CKL-718</v>
      </c>
      <c r="E85" t="str">
        <v/>
      </c>
      <c r="F85" t="str">
        <v>867162029820636</v>
      </c>
      <c r="G85" t="str">
        <v>TBD</v>
      </c>
      <c r="H85" t="str">
        <v/>
      </c>
      <c r="I85" t="str">
        <v/>
      </c>
      <c r="J85" t="str">
        <v>24/09/2026</v>
      </c>
      <c r="K85" t="str">
        <v>14:14:39</v>
      </c>
      <c r="L85">
        <v>-12.317622</v>
      </c>
      <c r="M85">
        <v>-76.82426</v>
      </c>
      <c r="N85">
        <f>HYPERLINK("https://www.google.com/maps/search/?api=1&amp;query=-12.317622,-76.82426","Punta Hermosa, Lima")</f>
      </c>
      <c r="O85" t="str">
        <v>Vehículo apagado</v>
      </c>
      <c r="P85">
        <v>22245.8</v>
      </c>
      <c r="Q85" t="str">
        <v/>
      </c>
      <c r="R85">
        <v>0.2</v>
      </c>
      <c r="S85">
        <v>110.65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100</v>
      </c>
      <c r="AB85" t="str">
        <v>24/09/2026</v>
      </c>
      <c r="AC85" t="str">
        <v>14:14:12</v>
      </c>
      <c r="AD85">
        <f>IF("ONLINE"="NOGPS","GPS Antiguo","En línea")</f>
      </c>
      <c r="AE85">
        <f>IF(0=0,"Sin atender", IF(0=1,"Atendida","Atendida y Reportada"))</f>
      </c>
      <c r="AF85" t="str">
        <v/>
      </c>
      <c r="AG85" t="str">
        <v/>
      </c>
      <c r="AH85" t="str">
        <v/>
      </c>
      <c r="AI85" t="str">
        <v/>
      </c>
      <c r="AJ85" t="str">
        <v>24/09/2026 14:15:00</v>
      </c>
      <c r="AK85" t="str">
        <v>14:15:00</v>
      </c>
      <c r="AL85" t="str">
        <v/>
      </c>
    </row>
    <row r="86">
      <c r="A86">
        <v>85</v>
      </c>
      <c r="B86" t="str">
        <v>MASS BSF</v>
      </c>
      <c r="C86" t="str">
        <v>CKL-718</v>
      </c>
      <c r="D86" t="str">
        <v>CKL-718</v>
      </c>
      <c r="E86" t="str">
        <v/>
      </c>
      <c r="F86" t="str">
        <v>867162029820636</v>
      </c>
      <c r="G86" t="str">
        <v>TBD</v>
      </c>
      <c r="H86" t="str">
        <v/>
      </c>
      <c r="I86" t="str">
        <v/>
      </c>
      <c r="J86" t="str">
        <v>24/09/2026</v>
      </c>
      <c r="K86" t="str">
        <v>14:40:03</v>
      </c>
      <c r="L86">
        <v>-12.317622</v>
      </c>
      <c r="M86">
        <v>-76.82426</v>
      </c>
      <c r="N86">
        <f>HYPERLINK("https://www.google.com/maps/search/?api=1&amp;query=-12.317622,-76.82426","Punta Hermosa, Lima")</f>
      </c>
      <c r="O86" t="str">
        <v>Vehículo encendido</v>
      </c>
      <c r="P86">
        <v>22245.8</v>
      </c>
      <c r="Q86" t="str">
        <v/>
      </c>
      <c r="R86">
        <v>0</v>
      </c>
      <c r="S86">
        <v>110.65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100</v>
      </c>
      <c r="AB86" t="str">
        <v>24/09/2026</v>
      </c>
      <c r="AC86" t="str">
        <v>14:14:41</v>
      </c>
      <c r="AD86">
        <f>IF("NOGPS"="NOGPS","GPS Antiguo","En línea")</f>
      </c>
      <c r="AE86">
        <f>IF(0=0,"Sin atender", IF(0=1,"Atendida","Atendida y Reportada"))</f>
      </c>
      <c r="AF86" t="str">
        <v/>
      </c>
      <c r="AG86" t="str">
        <v/>
      </c>
      <c r="AH86" t="str">
        <v/>
      </c>
      <c r="AI86" t="str">
        <v/>
      </c>
      <c r="AJ86" t="str">
        <v>24/09/2026 14:40:18</v>
      </c>
      <c r="AK86" t="str">
        <v>14:40:18</v>
      </c>
      <c r="AL86" t="str">
        <v/>
      </c>
    </row>
    <row r="87">
      <c r="A87">
        <v>86</v>
      </c>
      <c r="B87" t="str">
        <v>MASS BSF</v>
      </c>
      <c r="C87" t="str">
        <v>CKL-718</v>
      </c>
      <c r="D87" t="str">
        <v>CKL-718</v>
      </c>
      <c r="E87" t="str">
        <v/>
      </c>
      <c r="F87" t="str">
        <v>867162029820636</v>
      </c>
      <c r="G87" t="str">
        <v>TBD</v>
      </c>
      <c r="H87" t="str">
        <v/>
      </c>
      <c r="I87" t="str">
        <v/>
      </c>
      <c r="J87" t="str">
        <v>24/09/2026</v>
      </c>
      <c r="K87" t="str">
        <v>14:48:11</v>
      </c>
      <c r="L87">
        <v>-12.311034</v>
      </c>
      <c r="M87">
        <v>-76.8348</v>
      </c>
      <c r="N87">
        <f>HYPERLINK("https://www.google.com/maps/search/?api=1&amp;query=-12.311034,-76.8348","Carretera Panamericana Sur, Punta Hermosa, Lima")</f>
      </c>
      <c r="O87" t="str">
        <v>Excedió el límite de velocidad</v>
      </c>
      <c r="P87">
        <v>22247.6</v>
      </c>
      <c r="Q87" t="str">
        <v/>
      </c>
      <c r="R87">
        <v>90</v>
      </c>
      <c r="S87">
        <v>110.65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100</v>
      </c>
      <c r="AB87" t="str">
        <v>24/09/2026</v>
      </c>
      <c r="AC87" t="str">
        <v>14:48:10</v>
      </c>
      <c r="AD87">
        <f>IF("ONLINE"="NOGPS","GPS Antiguo","En línea")</f>
      </c>
      <c r="AE87">
        <f>IF(0=0,"Sin atender", IF(0=1,"Atendida","Atendida y Reportada"))</f>
      </c>
      <c r="AF87" t="str">
        <v/>
      </c>
      <c r="AG87" t="str">
        <v/>
      </c>
      <c r="AH87" t="str">
        <v/>
      </c>
      <c r="AI87" t="str">
        <v/>
      </c>
      <c r="AJ87" t="str">
        <v>24/09/2026 14:48:21</v>
      </c>
      <c r="AK87" t="str">
        <v>14:48:21</v>
      </c>
      <c r="AL87" t="str">
        <v/>
      </c>
    </row>
    <row r="88">
      <c r="A88">
        <v>87</v>
      </c>
      <c r="B88" t="str">
        <v>MASS BSF</v>
      </c>
      <c r="C88" t="str">
        <v>CKL-718</v>
      </c>
      <c r="D88" t="str">
        <v>CKL-718</v>
      </c>
      <c r="E88" t="str">
        <v/>
      </c>
      <c r="F88" t="str">
        <v>867162029820636</v>
      </c>
      <c r="G88" t="str">
        <v>TBD</v>
      </c>
      <c r="H88" t="str">
        <v/>
      </c>
      <c r="I88" t="str">
        <v/>
      </c>
      <c r="J88" t="str">
        <v>24/09/2026</v>
      </c>
      <c r="K88" t="str">
        <v>14:48:50</v>
      </c>
      <c r="L88">
        <v>-12.304315</v>
      </c>
      <c r="M88">
        <v>-76.840485</v>
      </c>
      <c r="N88">
        <f>HYPERLINK("https://www.google.com/maps/search/?api=1&amp;query=-12.304315,-76.840485","Carretera Panamericana Sur, Lurín, Lima")</f>
      </c>
      <c r="O88" t="str">
        <v>Excedió el límite de velocidad</v>
      </c>
      <c r="P88">
        <v>22248.5</v>
      </c>
      <c r="Q88" t="str">
        <v/>
      </c>
      <c r="R88">
        <v>90.3</v>
      </c>
      <c r="S88">
        <v>110.65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100</v>
      </c>
      <c r="AB88" t="str">
        <v>24/09/2026</v>
      </c>
      <c r="AC88" t="str">
        <v>14:48:49</v>
      </c>
      <c r="AD88">
        <f>IF("ONLINE"="NOGPS","GPS Antiguo","En línea")</f>
      </c>
      <c r="AE88">
        <f>IF(0=0,"Sin atender", IF(0=1,"Atendida","Atendida y Reportada"))</f>
      </c>
      <c r="AF88" t="str">
        <v/>
      </c>
      <c r="AG88" t="str">
        <v/>
      </c>
      <c r="AH88" t="str">
        <v/>
      </c>
      <c r="AI88" t="str">
        <v/>
      </c>
      <c r="AJ88" t="str">
        <v>24/09/2026 14:49:06</v>
      </c>
      <c r="AK88" t="str">
        <v>14:49:06</v>
      </c>
      <c r="AL88" t="str">
        <v/>
      </c>
    </row>
    <row r="89">
      <c r="A89">
        <v>88</v>
      </c>
      <c r="B89" t="str">
        <v>MASS BSF</v>
      </c>
      <c r="C89" t="str">
        <v>CKL-718</v>
      </c>
      <c r="D89" t="str">
        <v>CKL-718</v>
      </c>
      <c r="E89" t="str">
        <v/>
      </c>
      <c r="F89" t="str">
        <v>867162029820636</v>
      </c>
      <c r="G89" t="str">
        <v>TBD</v>
      </c>
      <c r="H89" t="str">
        <v/>
      </c>
      <c r="I89" t="str">
        <v/>
      </c>
      <c r="J89" t="str">
        <v>24/09/2026</v>
      </c>
      <c r="K89" t="str">
        <v>14:49:23</v>
      </c>
      <c r="L89">
        <v>-12.301043</v>
      </c>
      <c r="M89">
        <v>-76.846504</v>
      </c>
      <c r="N89">
        <f>HYPERLINK("https://www.google.com/maps/search/?api=1&amp;query=-12.301043,-76.846504","Carretera Panamericana Sur, Lurín, Lima")</f>
      </c>
      <c r="O89" t="str">
        <v>Excedió el límite de velocidad</v>
      </c>
      <c r="P89">
        <v>22249.3</v>
      </c>
      <c r="Q89" t="str">
        <v/>
      </c>
      <c r="R89">
        <v>83.6</v>
      </c>
      <c r="S89">
        <v>110.65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100</v>
      </c>
      <c r="AB89" t="str">
        <v>24/09/2026</v>
      </c>
      <c r="AC89" t="str">
        <v>14:49:22</v>
      </c>
      <c r="AD89">
        <f>IF("ONLINE"="NOGPS","GPS Antiguo","En línea")</f>
      </c>
      <c r="AE89">
        <f>IF(0=0,"Sin atender", IF(0=1,"Atendida","Atendida y Reportada"))</f>
      </c>
      <c r="AF89" t="str">
        <v/>
      </c>
      <c r="AG89" t="str">
        <v/>
      </c>
      <c r="AH89" t="str">
        <v/>
      </c>
      <c r="AI89" t="str">
        <v/>
      </c>
      <c r="AJ89" t="str">
        <v>24/09/2026 14:49:34</v>
      </c>
      <c r="AK89" t="str">
        <v>14:49:34</v>
      </c>
      <c r="AL89" t="str">
        <v/>
      </c>
    </row>
    <row r="90">
      <c r="A90">
        <v>89</v>
      </c>
      <c r="B90" t="str">
        <v>MASS BSF</v>
      </c>
      <c r="C90" t="str">
        <v>CKL-718</v>
      </c>
      <c r="D90" t="str">
        <v>CKL-718</v>
      </c>
      <c r="E90" t="str">
        <v/>
      </c>
      <c r="F90" t="str">
        <v>867162029820636</v>
      </c>
      <c r="G90" t="str">
        <v>TBD</v>
      </c>
      <c r="H90" t="str">
        <v/>
      </c>
      <c r="I90" t="str">
        <v/>
      </c>
      <c r="J90" t="str">
        <v>24/09/2026</v>
      </c>
      <c r="K90" t="str">
        <v>14:50:17</v>
      </c>
      <c r="L90">
        <v>-12.297093</v>
      </c>
      <c r="M90">
        <v>-76.85532</v>
      </c>
      <c r="N90">
        <f>HYPERLINK("https://www.google.com/maps/search/?api=1&amp;query=-12.297093,-76.85532","Carretera Panamericana Sur, Lurín, Lima")</f>
      </c>
      <c r="O90" t="str">
        <v>Excedió el límite de velocidad</v>
      </c>
      <c r="P90">
        <v>22250.4</v>
      </c>
      <c r="Q90" t="str">
        <v/>
      </c>
      <c r="R90">
        <v>91.5</v>
      </c>
      <c r="S90">
        <v>110.65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100</v>
      </c>
      <c r="AB90" t="str">
        <v>24/09/2026</v>
      </c>
      <c r="AC90" t="str">
        <v>14:50:16</v>
      </c>
      <c r="AD90">
        <f>IF("ONLINE"="NOGPS","GPS Antiguo","En línea")</f>
      </c>
      <c r="AE90">
        <f>IF(0=0,"Sin atender", IF(0=1,"Atendida","Atendida y Reportada"))</f>
      </c>
      <c r="AF90" t="str">
        <v/>
      </c>
      <c r="AG90" t="str">
        <v/>
      </c>
      <c r="AH90" t="str">
        <v/>
      </c>
      <c r="AI90" t="str">
        <v/>
      </c>
      <c r="AJ90" t="str">
        <v>24/09/2026 14:50:34</v>
      </c>
      <c r="AK90" t="str">
        <v>14:50:34</v>
      </c>
      <c r="AL90" t="str">
        <v/>
      </c>
    </row>
    <row r="91">
      <c r="A91">
        <v>90</v>
      </c>
      <c r="B91" t="str">
        <v>MASS BSF</v>
      </c>
      <c r="C91" t="str">
        <v>CKL-718</v>
      </c>
      <c r="D91" t="str">
        <v>CKL-718</v>
      </c>
      <c r="E91" t="str">
        <v/>
      </c>
      <c r="F91" t="str">
        <v>867162029820636</v>
      </c>
      <c r="G91" t="str">
        <v>TBD</v>
      </c>
      <c r="H91" t="str">
        <v/>
      </c>
      <c r="I91" t="str">
        <v/>
      </c>
      <c r="J91" t="str">
        <v>24/09/2026</v>
      </c>
      <c r="K91" t="str">
        <v>14:54:23</v>
      </c>
      <c r="L91">
        <v>-12.266385</v>
      </c>
      <c r="M91">
        <v>-76.905106</v>
      </c>
      <c r="N91">
        <f>HYPERLINK("https://www.google.com/maps/search/?api=1&amp;query=-12.266385,-76.905106","Carretera Panamericana Sur, Lurín, Lima")</f>
      </c>
      <c r="O91" t="str">
        <v>Excedió el límite de velocidad</v>
      </c>
      <c r="P91">
        <v>22256.8</v>
      </c>
      <c r="Q91" t="str">
        <v/>
      </c>
      <c r="R91">
        <v>88.1</v>
      </c>
      <c r="S91">
        <v>110.65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100</v>
      </c>
      <c r="AB91" t="str">
        <v>24/09/2026</v>
      </c>
      <c r="AC91" t="str">
        <v>14:54:22</v>
      </c>
      <c r="AD91">
        <f>IF("ONLINE"="NOGPS","GPS Antiguo","En línea")</f>
      </c>
      <c r="AE91">
        <f>IF(0=0,"Sin atender", IF(0=1,"Atendida","Atendida y Reportada"))</f>
      </c>
      <c r="AF91" t="str">
        <v/>
      </c>
      <c r="AG91" t="str">
        <v/>
      </c>
      <c r="AH91" t="str">
        <v/>
      </c>
      <c r="AI91" t="str">
        <v/>
      </c>
      <c r="AJ91" t="str">
        <v>24/09/2026 14:54:46</v>
      </c>
      <c r="AK91" t="str">
        <v>14:54:46</v>
      </c>
      <c r="AL91" t="str">
        <v/>
      </c>
    </row>
    <row r="92">
      <c r="A92">
        <v>91</v>
      </c>
      <c r="B92" t="str">
        <v>MASS BSF</v>
      </c>
      <c r="C92" t="str">
        <v>CKL-718</v>
      </c>
      <c r="D92" t="str">
        <v>CKL-718</v>
      </c>
      <c r="E92" t="str">
        <v/>
      </c>
      <c r="F92" t="str">
        <v>867162029820636</v>
      </c>
      <c r="G92" t="str">
        <v>TBD</v>
      </c>
      <c r="H92" t="str">
        <v/>
      </c>
      <c r="I92" t="str">
        <v/>
      </c>
      <c r="J92" t="str">
        <v>24/09/2026</v>
      </c>
      <c r="K92" t="str">
        <v>15:01:04</v>
      </c>
      <c r="L92">
        <v>-12.243839</v>
      </c>
      <c r="M92">
        <v>-76.9406</v>
      </c>
      <c r="N92">
        <f>HYPERLINK("https://www.google.com/maps/search/?api=1&amp;query=-12.243839,-76.9406","Antigua Panamericana Sur, Villa El Salvador, Lima")</f>
      </c>
      <c r="O92" t="str">
        <v>Exceso de velocidad en segmento vial</v>
      </c>
      <c r="P92">
        <v>22262.1</v>
      </c>
      <c r="Q92" t="str">
        <v/>
      </c>
      <c r="R92">
        <v>71.4</v>
      </c>
      <c r="S92">
        <v>110.65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100</v>
      </c>
      <c r="AB92" t="str">
        <v>24/09/2026</v>
      </c>
      <c r="AC92" t="str">
        <v>15:00:04</v>
      </c>
      <c r="AD92">
        <f>IF("ONLINE"="NOGPS","GPS Antiguo","En línea")</f>
      </c>
      <c r="AE92">
        <f>IF(0=0,"Sin atender", IF(0=1,"Atendida","Atendida y Reportada"))</f>
      </c>
      <c r="AF92" t="str">
        <v/>
      </c>
      <c r="AG92" t="str">
        <v/>
      </c>
      <c r="AH92" t="str">
        <v/>
      </c>
      <c r="AI92" t="str">
        <v/>
      </c>
      <c r="AJ92" t="str">
        <v>24/09/2026 15:01:18</v>
      </c>
      <c r="AK92" t="str">
        <v>15:01:18</v>
      </c>
      <c r="AL92" t="str">
        <v/>
      </c>
    </row>
    <row r="93">
      <c r="A93">
        <v>92</v>
      </c>
      <c r="B93" t="str">
        <v>MASS BSF</v>
      </c>
      <c r="C93" t="str">
        <v>CKL-718</v>
      </c>
      <c r="D93" t="str">
        <v>CKL-718</v>
      </c>
      <c r="E93" t="str">
        <v/>
      </c>
      <c r="F93" t="str">
        <v>867162029820636</v>
      </c>
      <c r="G93" t="str">
        <v>TBD</v>
      </c>
      <c r="H93" t="str">
        <v/>
      </c>
      <c r="I93" t="str">
        <v/>
      </c>
      <c r="J93" t="str">
        <v>24/09/2026</v>
      </c>
      <c r="K93" t="str">
        <v>15:04:04</v>
      </c>
      <c r="L93">
        <v>-12.234809</v>
      </c>
      <c r="M93">
        <v>-76.95811</v>
      </c>
      <c r="N93">
        <f>HYPERLINK("https://www.google.com/maps/search/?api=1&amp;query=-12.234809,-76.95811","Antigua Panamericana Sur, Villa El Salvador, Lima")</f>
      </c>
      <c r="O93" t="str">
        <v>Exceso de velocidad en segmento vial</v>
      </c>
      <c r="P93">
        <v>22264.6</v>
      </c>
      <c r="Q93" t="str">
        <v/>
      </c>
      <c r="R93">
        <v>68.7</v>
      </c>
      <c r="S93">
        <v>110.65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100</v>
      </c>
      <c r="AB93" t="str">
        <v>24/09/2026</v>
      </c>
      <c r="AC93" t="str">
        <v>15:03:04</v>
      </c>
      <c r="AD93">
        <f>IF("ONLINE"="NOGPS","GPS Antiguo","En línea")</f>
      </c>
      <c r="AE93">
        <f>IF(0=0,"Sin atender", IF(0=1,"Atendida","Atendida y Reportada"))</f>
      </c>
      <c r="AF93" t="str">
        <v/>
      </c>
      <c r="AG93" t="str">
        <v/>
      </c>
      <c r="AH93" t="str">
        <v/>
      </c>
      <c r="AI93" t="str">
        <v/>
      </c>
      <c r="AJ93" t="str">
        <v>24/09/2026 15:04:29</v>
      </c>
      <c r="AK93" t="str">
        <v>15:04:29</v>
      </c>
      <c r="AL93" t="str">
        <v/>
      </c>
    </row>
    <row r="94">
      <c r="A94">
        <v>93</v>
      </c>
      <c r="B94" t="str">
        <v>MASS BSF</v>
      </c>
      <c r="C94" t="str">
        <v>CKL-718</v>
      </c>
      <c r="D94" t="str">
        <v>CKL-718</v>
      </c>
      <c r="E94" t="str">
        <v/>
      </c>
      <c r="F94" t="str">
        <v>867162029820636</v>
      </c>
      <c r="G94" t="str">
        <v>TBD</v>
      </c>
      <c r="H94" t="str">
        <v/>
      </c>
      <c r="I94" t="str">
        <v/>
      </c>
      <c r="J94" t="str">
        <v>24/09/2026</v>
      </c>
      <c r="K94" t="str">
        <v>15:04:11</v>
      </c>
      <c r="L94">
        <v>-12.230188</v>
      </c>
      <c r="M94">
        <v>-76.96659</v>
      </c>
      <c r="N94">
        <f>HYPERLINK("https://www.google.com/maps/search/?api=1&amp;query=-12.230188,-76.96659","Antigua Panamericana Sur, Villa El Salvador, Lima")</f>
      </c>
      <c r="O94" t="str">
        <v>Excedió el límite de velocidad</v>
      </c>
      <c r="P94">
        <v>22264.8</v>
      </c>
      <c r="Q94" t="str">
        <v/>
      </c>
      <c r="R94">
        <v>81.8</v>
      </c>
      <c r="S94">
        <v>110.65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100</v>
      </c>
      <c r="AB94" t="str">
        <v>24/09/2026</v>
      </c>
      <c r="AC94" t="str">
        <v>15:04:10</v>
      </c>
      <c r="AD94">
        <f>IF("ONLINE"="NOGPS","GPS Antiguo","En línea")</f>
      </c>
      <c r="AE94">
        <f>IF(0=0,"Sin atender", IF(0=1,"Atendida","Atendida y Reportada"))</f>
      </c>
      <c r="AF94" t="str">
        <v/>
      </c>
      <c r="AG94" t="str">
        <v/>
      </c>
      <c r="AH94" t="str">
        <v/>
      </c>
      <c r="AI94" t="str">
        <v/>
      </c>
      <c r="AJ94" t="str">
        <v>24/09/2026 15:04:32</v>
      </c>
      <c r="AK94" t="str">
        <v>15:04:32</v>
      </c>
      <c r="AL94" t="str">
        <v/>
      </c>
    </row>
    <row r="95">
      <c r="A95">
        <v>94</v>
      </c>
      <c r="B95" t="str">
        <v>MASS BSF</v>
      </c>
      <c r="C95" t="str">
        <v>CKL-718</v>
      </c>
      <c r="D95" t="str">
        <v>CKL-718</v>
      </c>
      <c r="E95" t="str">
        <v/>
      </c>
      <c r="F95" t="str">
        <v>867162029820636</v>
      </c>
      <c r="G95" t="str">
        <v>TBD</v>
      </c>
      <c r="H95" t="str">
        <v/>
      </c>
      <c r="I95" t="str">
        <v/>
      </c>
      <c r="J95" t="str">
        <v>24/09/2026</v>
      </c>
      <c r="K95" t="str">
        <v>15:04:17</v>
      </c>
      <c r="L95">
        <v>-12.230922</v>
      </c>
      <c r="M95">
        <v>-76.96556</v>
      </c>
      <c r="N95">
        <f>HYPERLINK("https://www.google.com/maps/search/?api=1&amp;query=-12.230922,-76.96556","Antigua Panamericana Sur, Villa El Salvador, Lima")</f>
      </c>
      <c r="O95" t="str">
        <v>Exceso de velocidad en segmento vial</v>
      </c>
      <c r="P95">
        <v>22264.9</v>
      </c>
      <c r="Q95" t="str">
        <v/>
      </c>
      <c r="R95">
        <v>82.2</v>
      </c>
      <c r="S95">
        <v>110.65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100</v>
      </c>
      <c r="AB95" t="str">
        <v>24/09/2026</v>
      </c>
      <c r="AC95" t="str">
        <v>15:04:04</v>
      </c>
      <c r="AD95">
        <f>IF("ONLINE"="NOGPS","GPS Antiguo","En línea")</f>
      </c>
      <c r="AE95">
        <f>IF(0=0,"Sin atender", IF(0=1,"Atendida","Atendida y Reportada"))</f>
      </c>
      <c r="AF95" t="str">
        <v/>
      </c>
      <c r="AG95" t="str">
        <v/>
      </c>
      <c r="AH95" t="str">
        <v/>
      </c>
      <c r="AI95" t="str">
        <v/>
      </c>
      <c r="AJ95" t="str">
        <v>24/09/2026 15:04:33</v>
      </c>
      <c r="AK95" t="str">
        <v>15:04:33</v>
      </c>
      <c r="AL95" t="str">
        <v/>
      </c>
    </row>
    <row r="96">
      <c r="A96">
        <v>95</v>
      </c>
      <c r="B96" t="str">
        <v>MASS BSF</v>
      </c>
      <c r="C96" t="str">
        <v>CKL-718</v>
      </c>
      <c r="D96" t="str">
        <v>CKL-718</v>
      </c>
      <c r="E96" t="str">
        <v/>
      </c>
      <c r="F96" t="str">
        <v>867162029820636</v>
      </c>
      <c r="G96" t="str">
        <v>TBD</v>
      </c>
      <c r="H96" t="str">
        <v/>
      </c>
      <c r="I96" t="str">
        <v/>
      </c>
      <c r="J96" t="str">
        <v>24/09/2026</v>
      </c>
      <c r="K96" t="str">
        <v>15:04:17</v>
      </c>
      <c r="L96">
        <v>-12.229398</v>
      </c>
      <c r="M96">
        <v>-76.96745</v>
      </c>
      <c r="N96">
        <f>HYPERLINK("https://www.google.com/maps/search/?api=1&amp;query=-12.229398,-76.96745","Antigua Panamericana Sur, Villa El Salvador, Lima")</f>
      </c>
      <c r="O96" t="str">
        <v>Exceso de velocidad en segmento vial</v>
      </c>
      <c r="P96">
        <v>22264.9</v>
      </c>
      <c r="Q96" t="str">
        <v/>
      </c>
      <c r="R96">
        <v>68.1</v>
      </c>
      <c r="S96">
        <v>110.65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100</v>
      </c>
      <c r="AB96" t="str">
        <v>24/09/2026</v>
      </c>
      <c r="AC96" t="str">
        <v>15:04:16</v>
      </c>
      <c r="AD96">
        <f>IF("ONLINE"="NOGPS","GPS Antiguo","En línea")</f>
      </c>
      <c r="AE96">
        <f>IF(0=0,"Sin atender", IF(0=1,"Atendida","Atendida y Reportada"))</f>
      </c>
      <c r="AF96" t="str">
        <v/>
      </c>
      <c r="AG96" t="str">
        <v/>
      </c>
      <c r="AH96" t="str">
        <v/>
      </c>
      <c r="AI96" t="str">
        <v/>
      </c>
      <c r="AJ96" t="str">
        <v>24/09/2026 15:04:37</v>
      </c>
      <c r="AK96" t="str">
        <v>15:04:37</v>
      </c>
      <c r="AL96" t="str">
        <v/>
      </c>
    </row>
    <row r="97">
      <c r="A97">
        <v>96</v>
      </c>
      <c r="B97" t="str">
        <v>MASS BSF</v>
      </c>
      <c r="C97" t="str">
        <v>CKL-718</v>
      </c>
      <c r="D97" t="str">
        <v>CKL-718</v>
      </c>
      <c r="E97" t="str">
        <v/>
      </c>
      <c r="F97" t="str">
        <v>867162029820636</v>
      </c>
      <c r="G97" t="str">
        <v>TBD</v>
      </c>
      <c r="H97" t="str">
        <v/>
      </c>
      <c r="I97" t="str">
        <v/>
      </c>
      <c r="J97" t="str">
        <v>24/09/2026</v>
      </c>
      <c r="K97" t="str">
        <v>15:16:16</v>
      </c>
      <c r="L97">
        <v>-12.212926</v>
      </c>
      <c r="M97">
        <v>-76.959076</v>
      </c>
      <c r="N97">
        <f>HYPERLINK("https://www.google.com/maps/search/?api=1&amp;query=-12.212926,-76.959076","Avenida Villa del Mar, Villa El Salvador, Lima")</f>
      </c>
      <c r="O97" t="str">
        <v>Vehículo apagado</v>
      </c>
      <c r="P97">
        <v>22268.3</v>
      </c>
      <c r="Q97" t="str">
        <v/>
      </c>
      <c r="R97">
        <v>0</v>
      </c>
      <c r="S97">
        <v>111.25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100</v>
      </c>
      <c r="AB97" t="str">
        <v>24/09/2026</v>
      </c>
      <c r="AC97" t="str">
        <v>15:16:18</v>
      </c>
      <c r="AD97">
        <f>IF("ONLINE"="NOGPS","GPS Antiguo","En línea")</f>
      </c>
      <c r="AE97">
        <f>IF(0=0,"Sin atender", IF(0=1,"Atendida","Atendida y Reportada"))</f>
      </c>
      <c r="AF97" t="str">
        <v/>
      </c>
      <c r="AG97" t="str">
        <v/>
      </c>
      <c r="AH97" t="str">
        <v/>
      </c>
      <c r="AI97" t="str">
        <v/>
      </c>
      <c r="AJ97" t="str">
        <v>24/09/2026 15:16:38</v>
      </c>
      <c r="AK97" t="str">
        <v>15:16:38</v>
      </c>
      <c r="AL97" t="str">
        <v/>
      </c>
    </row>
    <row r="98">
      <c r="A98">
        <v>97</v>
      </c>
      <c r="B98" t="str">
        <v>MASS BSF</v>
      </c>
      <c r="C98" t="str">
        <v>CKL-718</v>
      </c>
      <c r="D98" t="str">
        <v>CKL-718</v>
      </c>
      <c r="E98" t="str">
        <v/>
      </c>
      <c r="F98" t="str">
        <v>867162029820636</v>
      </c>
      <c r="G98" t="str">
        <v>TBD</v>
      </c>
      <c r="H98" t="str">
        <v/>
      </c>
      <c r="I98" t="str">
        <v/>
      </c>
      <c r="J98" t="str">
        <v>24/09/2026</v>
      </c>
      <c r="K98" t="str">
        <v>15:17:40</v>
      </c>
      <c r="L98">
        <v>-12.212926</v>
      </c>
      <c r="M98">
        <v>-76.959076</v>
      </c>
      <c r="N98">
        <f>HYPERLINK("https://www.google.com/maps/search/?api=1&amp;query=-12.212926,-76.959076","Avenida Villa del Mar, Villa El Salvador, Lima")</f>
      </c>
      <c r="O98" t="str">
        <v>Vehículo encendido</v>
      </c>
      <c r="P98">
        <v>22268.3</v>
      </c>
      <c r="Q98" t="str">
        <v/>
      </c>
      <c r="R98">
        <v>0</v>
      </c>
      <c r="S98">
        <v>111.25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100</v>
      </c>
      <c r="AB98" t="str">
        <v>24/09/2026</v>
      </c>
      <c r="AC98" t="str">
        <v>15:16:18</v>
      </c>
      <c r="AD98">
        <f>IF("ONLINE"="NOGPS","GPS Antiguo","En línea")</f>
      </c>
      <c r="AE98">
        <f>IF(0=0,"Sin atender", IF(0=1,"Atendida","Atendida y Reportada"))</f>
      </c>
      <c r="AF98" t="str">
        <v/>
      </c>
      <c r="AG98" t="str">
        <v/>
      </c>
      <c r="AH98" t="str">
        <v/>
      </c>
      <c r="AI98" t="str">
        <v/>
      </c>
      <c r="AJ98" t="str">
        <v>24/09/2026 15:17:57</v>
      </c>
      <c r="AK98" t="str">
        <v>15:17:57</v>
      </c>
      <c r="AL98" t="str">
        <v/>
      </c>
    </row>
    <row r="99">
      <c r="A99">
        <v>98</v>
      </c>
      <c r="B99" t="str">
        <v>MASS BSF</v>
      </c>
      <c r="C99" t="str">
        <v>CKL-718</v>
      </c>
      <c r="D99" t="str">
        <v>CKL-718</v>
      </c>
      <c r="E99" t="str">
        <v/>
      </c>
      <c r="F99" t="str">
        <v>867162029820636</v>
      </c>
      <c r="G99" t="str">
        <v>TBD</v>
      </c>
      <c r="H99" t="str">
        <v/>
      </c>
      <c r="I99" t="str">
        <v/>
      </c>
      <c r="J99" t="str">
        <v>24/09/2026</v>
      </c>
      <c r="K99" t="str">
        <v>15:17:48</v>
      </c>
      <c r="L99">
        <v>-12.21313</v>
      </c>
      <c r="M99">
        <v>-76.95911</v>
      </c>
      <c r="N99">
        <f>HYPERLINK("https://www.google.com/maps/search/?api=1&amp;query=-12.21313,-76.95911","Villa El Salvador, Lima")</f>
      </c>
      <c r="O99" t="str">
        <v>Vehículo apagado</v>
      </c>
      <c r="P99">
        <v>22268.3</v>
      </c>
      <c r="Q99" t="str">
        <v/>
      </c>
      <c r="R99">
        <v>0</v>
      </c>
      <c r="S99">
        <v>111.25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100</v>
      </c>
      <c r="AB99" t="str">
        <v>24/09/2026</v>
      </c>
      <c r="AC99" t="str">
        <v>15:17:52</v>
      </c>
      <c r="AD99">
        <f>IF("ONLINE"="NOGPS","GPS Antiguo","En línea")</f>
      </c>
      <c r="AE99">
        <f>IF(0=0,"Sin atender", IF(0=1,"Atendida","Atendida y Reportada"))</f>
      </c>
      <c r="AF99" t="str">
        <v/>
      </c>
      <c r="AG99" t="str">
        <v/>
      </c>
      <c r="AH99" t="str">
        <v/>
      </c>
      <c r="AI99" t="str">
        <v/>
      </c>
      <c r="AJ99" t="str">
        <v>24/09/2026 15:18:06</v>
      </c>
      <c r="AK99" t="str">
        <v>15:18:06</v>
      </c>
      <c r="AL99" t="str">
        <v/>
      </c>
    </row>
  </sheetData>
  <ignoredErrors>
    <ignoredError numberStoredAsText="1" sqref="A1:AL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