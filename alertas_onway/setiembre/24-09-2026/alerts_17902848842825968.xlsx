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/>
      </c>
      <c r="J2" t="str">
        <v>24/09/2026</v>
      </c>
      <c r="K2" t="str">
        <v>06:12:15</v>
      </c>
      <c r="L2">
        <v>-12.21315</v>
      </c>
      <c r="M2">
        <v>-76.95895</v>
      </c>
      <c r="N2">
        <f>HYPERLINK("https://www.google.com/maps/search/?api=1&amp;query=-12.21315,-76.95895","Villa El Salvador, Lima")</f>
      </c>
      <c r="O2" t="str">
        <v>Vehículo encendido</v>
      </c>
      <c r="P2">
        <v>295093.8</v>
      </c>
      <c r="Q2" t="str">
        <v/>
      </c>
      <c r="R2">
        <v>0</v>
      </c>
      <c r="S2">
        <v>111.5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81</v>
      </c>
      <c r="AB2" t="str">
        <v>24/09/2026</v>
      </c>
      <c r="AC2" t="str">
        <v>06:12:10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06:12:36</v>
      </c>
      <c r="AK2" t="str">
        <v>06:12:36</v>
      </c>
      <c r="AL2" t="str">
        <v/>
      </c>
    </row>
    <row r="3">
      <c r="A3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/>
      </c>
      <c r="J3" t="str">
        <v>24/09/2026</v>
      </c>
      <c r="K3" t="str">
        <v>06:16:20</v>
      </c>
      <c r="L3">
        <v>-12.2129</v>
      </c>
      <c r="M3">
        <v>-76.9592</v>
      </c>
      <c r="N3">
        <f>HYPERLINK("https://www.google.com/maps/search/?api=1&amp;query=-12.2129,-76.9592","Avenida Villa del Mar, Villa El Salvador, Lima")</f>
      </c>
      <c r="O3" t="str">
        <v>Se movio</v>
      </c>
      <c r="P3">
        <v>295093.9</v>
      </c>
      <c r="Q3" t="str">
        <v/>
      </c>
      <c r="R3">
        <v>2.9</v>
      </c>
      <c r="S3">
        <v>111.5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85</v>
      </c>
      <c r="AB3" t="str">
        <v>24/09/2026</v>
      </c>
      <c r="AC3" t="str">
        <v>06:16:16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06:16:28</v>
      </c>
      <c r="AK3" t="str">
        <v>06:16:28</v>
      </c>
      <c r="AL3" t="str">
        <v/>
      </c>
    </row>
    <row r="4">
      <c r="A4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/>
      </c>
      <c r="J4" t="str">
        <v>24/09/2026</v>
      </c>
      <c r="K4" t="str">
        <v>06:18:07</v>
      </c>
      <c r="L4">
        <v>-12.21337</v>
      </c>
      <c r="M4">
        <v>-76.96015</v>
      </c>
      <c r="N4">
        <f>HYPERLINK("https://www.google.com/maps/search/?api=1&amp;query=-12.21337,-76.96015","Avenida Villa del Mar, Villa El Salvador, Lima")</f>
      </c>
      <c r="O4" t="str">
        <v>Inicio de ralentí</v>
      </c>
      <c r="P4">
        <v>295094</v>
      </c>
      <c r="Q4" t="str">
        <v/>
      </c>
      <c r="R4">
        <v>4.2</v>
      </c>
      <c r="S4">
        <v>111.5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85</v>
      </c>
      <c r="AB4" t="str">
        <v>24/09/2026</v>
      </c>
      <c r="AC4" t="str">
        <v>06:18:02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06:18:17</v>
      </c>
      <c r="AK4" t="str">
        <v>06:18:17</v>
      </c>
      <c r="AL4" t="str">
        <v/>
      </c>
    </row>
    <row r="5">
      <c r="A5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/>
      </c>
      <c r="J5" t="str">
        <v>24/09/2026</v>
      </c>
      <c r="K5" t="str">
        <v>06:19:19</v>
      </c>
      <c r="L5">
        <v>-12.213292</v>
      </c>
      <c r="M5">
        <v>-76.96069</v>
      </c>
      <c r="N5">
        <f>HYPERLINK("https://www.google.com/maps/search/?api=1&amp;query=-12.213292,-76.96069","Calle 1, Villa El Salvador, Lima")</f>
      </c>
      <c r="O5" t="str">
        <v>Fin de ralentí</v>
      </c>
      <c r="P5">
        <v>295094.1</v>
      </c>
      <c r="Q5" t="str">
        <v/>
      </c>
      <c r="R5">
        <v>5.5</v>
      </c>
      <c r="S5">
        <v>111.5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85</v>
      </c>
      <c r="AB5" t="str">
        <v>24/09/2026</v>
      </c>
      <c r="AC5" t="str">
        <v>06:19:15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06:19:32</v>
      </c>
      <c r="AK5" t="str">
        <v>06:19:32</v>
      </c>
      <c r="AL5" t="str">
        <v/>
      </c>
    </row>
    <row r="6">
      <c r="A6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/>
      </c>
      <c r="J6" t="str">
        <v>24/09/2026</v>
      </c>
      <c r="K6" t="str">
        <v>06:23:07</v>
      </c>
      <c r="L6">
        <v>-12.211166</v>
      </c>
      <c r="M6">
        <v>-76.96198</v>
      </c>
      <c r="N6">
        <f>HYPERLINK("https://www.google.com/maps/search/?api=1&amp;query=-12.211166,-76.96198","Avenida El Sol, Villa El Salvador, Lima")</f>
      </c>
      <c r="O6" t="str">
        <v>Inicio de ralentí</v>
      </c>
      <c r="P6">
        <v>295094.3</v>
      </c>
      <c r="Q6" t="str">
        <v/>
      </c>
      <c r="R6">
        <v>4</v>
      </c>
      <c r="S6">
        <v>111.5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85</v>
      </c>
      <c r="AB6" t="str">
        <v>24/09/2026</v>
      </c>
      <c r="AC6" t="str">
        <v>06:23:02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06:23:16</v>
      </c>
      <c r="AK6" t="str">
        <v>06:23:16</v>
      </c>
      <c r="AL6" t="str">
        <v/>
      </c>
    </row>
    <row r="7">
      <c r="A7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/>
      </c>
      <c r="J7" t="str">
        <v>24/09/2026</v>
      </c>
      <c r="K7" t="str">
        <v>06:23:07</v>
      </c>
      <c r="L7">
        <v>-12.211155</v>
      </c>
      <c r="M7">
        <v>-76.961975</v>
      </c>
      <c r="N7">
        <f>HYPERLINK("https://www.google.com/maps/search/?api=1&amp;query=-12.211155,-76.961975","Avenida El Sol, Villa El Salvador, Lima")</f>
      </c>
      <c r="O7" t="str">
        <v>Fin de ralentí</v>
      </c>
      <c r="P7">
        <v>295094.3</v>
      </c>
      <c r="Q7" t="str">
        <v/>
      </c>
      <c r="R7">
        <v>6.4</v>
      </c>
      <c r="S7">
        <v>111.5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85</v>
      </c>
      <c r="AB7" t="str">
        <v>24/09/2026</v>
      </c>
      <c r="AC7" t="str">
        <v>06:23:03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06:23:10</v>
      </c>
      <c r="AK7" t="str">
        <v>06:23:10</v>
      </c>
      <c r="AL7" t="str">
        <v/>
      </c>
    </row>
    <row r="8">
      <c r="A8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/>
      </c>
      <c r="J8" t="str">
        <v>24/09/2026</v>
      </c>
      <c r="K8" t="str">
        <v>06:36:09</v>
      </c>
      <c r="L8">
        <v>-12.20662</v>
      </c>
      <c r="M8">
        <v>-76.9375</v>
      </c>
      <c r="N8">
        <f>HYPERLINK("https://www.google.com/maps/search/?api=1&amp;query=-12.20662,-76.9375","Avenida Central, Villa El Salvador, Lima")</f>
      </c>
      <c r="O8" t="str">
        <v>Bache</v>
      </c>
      <c r="P8">
        <v>295097.8</v>
      </c>
      <c r="Q8" t="str">
        <v/>
      </c>
      <c r="R8">
        <v>5.7</v>
      </c>
      <c r="S8">
        <v>111.5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87</v>
      </c>
      <c r="AB8" t="str">
        <v>24/09/2026</v>
      </c>
      <c r="AC8" t="str">
        <v>06:36:04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06:36:27</v>
      </c>
      <c r="AK8" t="str">
        <v>06:36:27</v>
      </c>
      <c r="AL8" t="str">
        <v/>
      </c>
    </row>
    <row r="9">
      <c r="A9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/>
      </c>
      <c r="J9" t="str">
        <v>24/09/2026</v>
      </c>
      <c r="K9" t="str">
        <v>06:42:35</v>
      </c>
      <c r="L9">
        <v>-12.207287</v>
      </c>
      <c r="M9">
        <v>-76.93383</v>
      </c>
      <c r="N9">
        <f>HYPERLINK("https://www.google.com/maps/search/?api=1&amp;query=-12.207287,-76.93383","Avenida Separadora Industrial, Villa El Salvador, Lima")</f>
      </c>
      <c r="O9" t="str">
        <v>Inicio de ralentí</v>
      </c>
      <c r="P9">
        <v>295098.3</v>
      </c>
      <c r="Q9" t="str">
        <v/>
      </c>
      <c r="R9">
        <v>0</v>
      </c>
      <c r="S9">
        <v>111.5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83</v>
      </c>
      <c r="AB9" t="str">
        <v>24/09/2026</v>
      </c>
      <c r="AC9" t="str">
        <v>06:42:30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06:42:50</v>
      </c>
      <c r="AK9" t="str">
        <v>06:42:50</v>
      </c>
      <c r="AL9" t="str">
        <v/>
      </c>
    </row>
    <row r="10">
      <c r="A10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/>
      </c>
      <c r="J10" t="str">
        <v>24/09/2026</v>
      </c>
      <c r="K10" t="str">
        <v>06:42:47</v>
      </c>
      <c r="L10">
        <v>-12.207287</v>
      </c>
      <c r="M10">
        <v>-76.93383</v>
      </c>
      <c r="N10">
        <f>HYPERLINK("https://www.google.com/maps/search/?api=1&amp;query=-12.207287,-76.93383","Avenida Separadora Industrial, Villa El Salvador, Lima")</f>
      </c>
      <c r="O10" t="str">
        <v>Vehículo apagado</v>
      </c>
      <c r="P10">
        <v>295098.3</v>
      </c>
      <c r="Q10" t="str">
        <v/>
      </c>
      <c r="R10">
        <v>0</v>
      </c>
      <c r="S10">
        <v>112.02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83</v>
      </c>
      <c r="AB10" t="str">
        <v>24/09/2026</v>
      </c>
      <c r="AC10" t="str">
        <v>06:42:43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06:42:55</v>
      </c>
      <c r="AK10" t="str">
        <v>06:42:55</v>
      </c>
      <c r="AL10" t="str">
        <v/>
      </c>
    </row>
    <row r="11">
      <c r="A11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/>
      </c>
      <c r="J11" t="str">
        <v>24/09/2026</v>
      </c>
      <c r="K11" t="str">
        <v>06:42:47</v>
      </c>
      <c r="L11">
        <v>-12.207287</v>
      </c>
      <c r="M11">
        <v>-76.93383</v>
      </c>
      <c r="N11">
        <f>HYPERLINK("https://www.google.com/maps/search/?api=1&amp;query=-12.207287,-76.93383","Avenida Separadora Industrial, Villa El Salvador, Lima")</f>
      </c>
      <c r="O11" t="str">
        <v>Fin de ralentí</v>
      </c>
      <c r="P11">
        <v>295098.3</v>
      </c>
      <c r="Q11" t="str">
        <v/>
      </c>
      <c r="R11">
        <v>0</v>
      </c>
      <c r="S11">
        <v>111.5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83</v>
      </c>
      <c r="AB11" t="str">
        <v>24/09/2026</v>
      </c>
      <c r="AC11" t="str">
        <v>06:42:43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06:43:02</v>
      </c>
      <c r="AK11" t="str">
        <v>06:43:02</v>
      </c>
      <c r="AL11" t="str">
        <v/>
      </c>
    </row>
    <row r="12">
      <c r="A12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/>
      </c>
      <c r="J12" t="str">
        <v>24/09/2026</v>
      </c>
      <c r="K12" t="str">
        <v>07:21:03</v>
      </c>
      <c r="L12">
        <v>-12.207273</v>
      </c>
      <c r="M12">
        <v>-76.9338</v>
      </c>
      <c r="N12">
        <f>HYPERLINK("https://www.google.com/maps/search/?api=1&amp;query=-12.207273,-76.9338","Avenida Separadora Industrial, Villa El Salvador, Lima")</f>
      </c>
      <c r="O12" t="str">
        <v>Vehículo encendido</v>
      </c>
      <c r="P12">
        <v>295098.3</v>
      </c>
      <c r="Q12" t="str">
        <v/>
      </c>
      <c r="R12">
        <v>0</v>
      </c>
      <c r="S12">
        <v>112.02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83</v>
      </c>
      <c r="AB12" t="str">
        <v>24/09/2026</v>
      </c>
      <c r="AC12" t="str">
        <v>07:20:59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07:21:22</v>
      </c>
      <c r="AK12" t="str">
        <v>07:21:22</v>
      </c>
      <c r="AL12" t="str">
        <v/>
      </c>
    </row>
    <row r="13">
      <c r="A13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/>
      </c>
      <c r="J13" t="str">
        <v>24/09/2026</v>
      </c>
      <c r="K13" t="str">
        <v>07:23:34</v>
      </c>
      <c r="L13">
        <v>-12.208</v>
      </c>
      <c r="M13">
        <v>-76.93345</v>
      </c>
      <c r="N13">
        <f>HYPERLINK("https://www.google.com/maps/search/?api=1&amp;query=-12.208,-76.93345","Avenida Jorge Chávez, Villa El Salvador, Lima")</f>
      </c>
      <c r="O13" t="str">
        <v>Se movio</v>
      </c>
      <c r="P13">
        <v>295098.4</v>
      </c>
      <c r="Q13" t="str">
        <v/>
      </c>
      <c r="R13">
        <v>0</v>
      </c>
      <c r="S13">
        <v>112.02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83</v>
      </c>
      <c r="AB13" t="str">
        <v>24/09/2026</v>
      </c>
      <c r="AC13" t="str">
        <v>07:23:35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07:23:52</v>
      </c>
      <c r="AK13" t="str">
        <v>07:23:52</v>
      </c>
      <c r="AL13" t="str">
        <v/>
      </c>
    </row>
    <row r="14">
      <c r="A14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/>
      </c>
      <c r="J14" t="str">
        <v>24/09/2026</v>
      </c>
      <c r="K14" t="str">
        <v>07:25:42</v>
      </c>
      <c r="L14">
        <v>-12.206985</v>
      </c>
      <c r="M14">
        <v>-76.93718</v>
      </c>
      <c r="N14">
        <f>HYPERLINK("https://www.google.com/maps/search/?api=1&amp;query=-12.206985,-76.93718","Avenida Central, Villa El Salvador, Lima")</f>
      </c>
      <c r="O14" t="str">
        <v>Bache</v>
      </c>
      <c r="P14">
        <v>295099</v>
      </c>
      <c r="Q14" t="str">
        <v/>
      </c>
      <c r="R14">
        <v>13.1</v>
      </c>
      <c r="S14">
        <v>112.02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93</v>
      </c>
      <c r="AB14" t="str">
        <v>24/09/2026</v>
      </c>
      <c r="AC14" t="str">
        <v>07:25:43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07:25:57</v>
      </c>
      <c r="AK14" t="str">
        <v>07:25:57</v>
      </c>
      <c r="AL14" t="str">
        <v/>
      </c>
    </row>
    <row r="15">
      <c r="A15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/>
      </c>
      <c r="J15" t="str">
        <v>24/09/2026</v>
      </c>
      <c r="K15" t="str">
        <v>07:34:31</v>
      </c>
      <c r="L15">
        <v>-12.198537</v>
      </c>
      <c r="M15">
        <v>-76.952095</v>
      </c>
      <c r="N15">
        <f>HYPERLINK("https://www.google.com/maps/search/?api=1&amp;query=-12.198537,-76.952095","Avenida Micaela Bastidas, Villa El Salvador, Lima")</f>
      </c>
      <c r="O15" t="str">
        <v>Inicio de ralentí</v>
      </c>
      <c r="P15">
        <v>295101.5</v>
      </c>
      <c r="Q15" t="str">
        <v/>
      </c>
      <c r="R15">
        <v>0</v>
      </c>
      <c r="S15">
        <v>112.02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83</v>
      </c>
      <c r="AB15" t="str">
        <v>24/09/2026</v>
      </c>
      <c r="AC15" t="str">
        <v>07:34:31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07:34:42</v>
      </c>
      <c r="AK15" t="str">
        <v>07:34:42</v>
      </c>
      <c r="AL15" t="str">
        <v/>
      </c>
    </row>
    <row r="16">
      <c r="A16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/>
      </c>
      <c r="J16" t="str">
        <v>24/09/2026</v>
      </c>
      <c r="K16" t="str">
        <v>07:34:43</v>
      </c>
      <c r="L16">
        <v>-12.198537</v>
      </c>
      <c r="M16">
        <v>-76.952095</v>
      </c>
      <c r="N16">
        <f>HYPERLINK("https://www.google.com/maps/search/?api=1&amp;query=-12.198537,-76.952095","Avenida Micaela Bastidas, Villa El Salvador, Lima")</f>
      </c>
      <c r="O16" t="str">
        <v>Fin de ralentí</v>
      </c>
      <c r="P16">
        <v>295101.5</v>
      </c>
      <c r="Q16" t="str">
        <v/>
      </c>
      <c r="R16">
        <v>0</v>
      </c>
      <c r="S16">
        <v>112.02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83</v>
      </c>
      <c r="AB16" t="str">
        <v>24/09/2026</v>
      </c>
      <c r="AC16" t="str">
        <v>07:34:44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07:34:57</v>
      </c>
      <c r="AK16" t="str">
        <v>07:34:57</v>
      </c>
      <c r="AL16" t="str">
        <v/>
      </c>
    </row>
    <row r="17">
      <c r="A17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/>
      </c>
      <c r="J17" t="str">
        <v>24/09/2026</v>
      </c>
      <c r="K17" t="str">
        <v>07:34:43</v>
      </c>
      <c r="L17">
        <v>-12.198537</v>
      </c>
      <c r="M17">
        <v>-76.952095</v>
      </c>
      <c r="N17">
        <f>HYPERLINK("https://www.google.com/maps/search/?api=1&amp;query=-12.198537,-76.952095","Avenida Micaela Bastidas, Villa El Salvador, Lima")</f>
      </c>
      <c r="O17" t="str">
        <v>Vehículo apagado</v>
      </c>
      <c r="P17">
        <v>295101.5</v>
      </c>
      <c r="Q17" t="str">
        <v/>
      </c>
      <c r="R17">
        <v>0</v>
      </c>
      <c r="S17">
        <v>112.25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83</v>
      </c>
      <c r="AB17" t="str">
        <v>24/09/2026</v>
      </c>
      <c r="AC17" t="str">
        <v>07:34:44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07:34:54</v>
      </c>
      <c r="AK17" t="str">
        <v>07:34:54</v>
      </c>
      <c r="AL17" t="str">
        <v/>
      </c>
    </row>
    <row r="18">
      <c r="A18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/>
      </c>
      <c r="J18" t="str">
        <v>24/09/2026</v>
      </c>
      <c r="K18" t="str">
        <v>08:00:41</v>
      </c>
      <c r="L18">
        <v>-12.198537</v>
      </c>
      <c r="M18">
        <v>-76.952095</v>
      </c>
      <c r="N18">
        <f>HYPERLINK("https://www.google.com/maps/search/?api=1&amp;query=-12.198537,-76.952095","Avenida Micaela Bastidas, Villa El Salvador, Lima")</f>
      </c>
      <c r="O18" t="str">
        <v>Vehículo encendido</v>
      </c>
      <c r="P18">
        <v>295101.5</v>
      </c>
      <c r="Q18" t="str">
        <v/>
      </c>
      <c r="R18">
        <v>0</v>
      </c>
      <c r="S18">
        <v>112.25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83</v>
      </c>
      <c r="AB18" t="str">
        <v>24/09/2026</v>
      </c>
      <c r="AC18" t="str">
        <v>08:00:41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08:00:55</v>
      </c>
      <c r="AK18" t="str">
        <v>08:00:55</v>
      </c>
      <c r="AL18" t="str">
        <v/>
      </c>
    </row>
    <row r="19">
      <c r="A19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/>
      </c>
      <c r="J19" t="str">
        <v>24/09/2026</v>
      </c>
      <c r="K19" t="str">
        <v>08:02:15</v>
      </c>
      <c r="L19">
        <v>-12.198778</v>
      </c>
      <c r="M19">
        <v>-76.95206</v>
      </c>
      <c r="N19">
        <f>HYPERLINK("https://www.google.com/maps/search/?api=1&amp;query=-12.198778,-76.95206","Avenida Micaela Bastidas, Villa El Salvador, Lima")</f>
      </c>
      <c r="O19" t="str">
        <v>Se movio</v>
      </c>
      <c r="P19">
        <v>295101.6</v>
      </c>
      <c r="Q19" t="str">
        <v/>
      </c>
      <c r="R19">
        <v>12.4</v>
      </c>
      <c r="S19">
        <v>112.25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83</v>
      </c>
      <c r="AB19" t="str">
        <v>24/09/2026</v>
      </c>
      <c r="AC19" t="str">
        <v>08:02:16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08:02:32</v>
      </c>
      <c r="AK19" t="str">
        <v>08:02:32</v>
      </c>
      <c r="AL19" t="str">
        <v/>
      </c>
    </row>
    <row r="20">
      <c r="A20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/>
      </c>
      <c r="J20" t="str">
        <v>24/09/2026</v>
      </c>
      <c r="K20" t="str">
        <v>08:05:47</v>
      </c>
      <c r="L20">
        <v>-12.203067</v>
      </c>
      <c r="M20">
        <v>-76.9495</v>
      </c>
      <c r="N20">
        <f>HYPERLINK("https://www.google.com/maps/search/?api=1&amp;query=-12.203067,-76.9495","Avenida Micaela Bastidas, Villa El Salvador, Lima")</f>
      </c>
      <c r="O20" t="str">
        <v>Vehículo apagado</v>
      </c>
      <c r="P20">
        <v>295102.1</v>
      </c>
      <c r="Q20" t="str">
        <v/>
      </c>
      <c r="R20">
        <v>0</v>
      </c>
      <c r="S20">
        <v>112.33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83</v>
      </c>
      <c r="AB20" t="str">
        <v>24/09/2026</v>
      </c>
      <c r="AC20" t="str">
        <v>08:05:48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08:05:58</v>
      </c>
      <c r="AK20" t="str">
        <v>08:05:58</v>
      </c>
      <c r="AL20" t="str">
        <v/>
      </c>
    </row>
    <row r="21">
      <c r="A21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/>
      </c>
      <c r="J21" t="str">
        <v>24/09/2026</v>
      </c>
      <c r="K21" t="str">
        <v>08:36:31</v>
      </c>
      <c r="L21">
        <v>-12.203067</v>
      </c>
      <c r="M21">
        <v>-76.9495</v>
      </c>
      <c r="N21">
        <f>HYPERLINK("https://www.google.com/maps/search/?api=1&amp;query=-12.203067,-76.9495","Avenida Micaela Bastidas, Villa El Salvador, Lima")</f>
      </c>
      <c r="O21" t="str">
        <v>Vehículo encendido</v>
      </c>
      <c r="P21">
        <v>295102.1</v>
      </c>
      <c r="Q21" t="str">
        <v/>
      </c>
      <c r="R21">
        <v>0</v>
      </c>
      <c r="S21">
        <v>112.33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84</v>
      </c>
      <c r="AB21" t="str">
        <v>24/09/2026</v>
      </c>
      <c r="AC21" t="str">
        <v>08:36:32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08:36:53</v>
      </c>
      <c r="AK21" t="str">
        <v>08:36:53</v>
      </c>
      <c r="AL21" t="str">
        <v/>
      </c>
    </row>
    <row r="22">
      <c r="A22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/>
      </c>
      <c r="J22" t="str">
        <v>24/09/2026</v>
      </c>
      <c r="K22" t="str">
        <v>08:37:40</v>
      </c>
      <c r="L22">
        <v>-12.203161</v>
      </c>
      <c r="M22">
        <v>-76.949455</v>
      </c>
      <c r="N22">
        <f>HYPERLINK("https://www.google.com/maps/search/?api=1&amp;query=-12.203161,-76.949455","Avenida Micaela Bastidas, Villa El Salvador, Lima")</f>
      </c>
      <c r="O22" t="str">
        <v>Se movio</v>
      </c>
      <c r="P22">
        <v>295102.1</v>
      </c>
      <c r="Q22" t="str">
        <v/>
      </c>
      <c r="R22">
        <v>0</v>
      </c>
      <c r="S22">
        <v>112.33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84</v>
      </c>
      <c r="AB22" t="str">
        <v>24/09/2026</v>
      </c>
      <c r="AC22" t="str">
        <v>08:37:40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08:38:02</v>
      </c>
      <c r="AK22" t="str">
        <v>08:38:02</v>
      </c>
      <c r="AL22" t="str">
        <v/>
      </c>
    </row>
    <row r="23">
      <c r="A23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/>
      </c>
      <c r="J23" t="str">
        <v>24/09/2026</v>
      </c>
      <c r="K23" t="str">
        <v>08:37:53</v>
      </c>
      <c r="L23">
        <v>-12.203711</v>
      </c>
      <c r="M23">
        <v>-76.94913</v>
      </c>
      <c r="N23">
        <f>HYPERLINK("https://www.google.com/maps/search/?api=1&amp;query=-12.203711,-76.94913","Avenida El Sol, Villa El Salvador, Lima")</f>
      </c>
      <c r="O23" t="str">
        <v>Bache</v>
      </c>
      <c r="P23">
        <v>295102.2</v>
      </c>
      <c r="Q23" t="str">
        <v/>
      </c>
      <c r="R23">
        <v>20.3</v>
      </c>
      <c r="S23">
        <v>112.33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84</v>
      </c>
      <c r="AB23" t="str">
        <v>24/09/2026</v>
      </c>
      <c r="AC23" t="str">
        <v>08:37:54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08:38:12</v>
      </c>
      <c r="AK23" t="str">
        <v>08:38:12</v>
      </c>
      <c r="AL23" t="str">
        <v/>
      </c>
    </row>
    <row r="24">
      <c r="A24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/>
      </c>
      <c r="J24" t="str">
        <v>24/09/2026</v>
      </c>
      <c r="K24" t="str">
        <v>08:39:13</v>
      </c>
      <c r="L24">
        <v>-12.208114</v>
      </c>
      <c r="M24">
        <v>-76.94645</v>
      </c>
      <c r="N24">
        <f>HYPERLINK("https://www.google.com/maps/search/?api=1&amp;query=-12.208114,-76.94645","Avenida Micaela Bastidas, Villa El Salvador, Lima")</f>
      </c>
      <c r="O24" t="str">
        <v>Aceleración brusca</v>
      </c>
      <c r="P24">
        <v>295102.7</v>
      </c>
      <c r="Q24" t="str">
        <v/>
      </c>
      <c r="R24">
        <v>0.1</v>
      </c>
      <c r="S24">
        <v>112.33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84</v>
      </c>
      <c r="AB24" t="str">
        <v>24/09/2026</v>
      </c>
      <c r="AC24" t="str">
        <v>08:39:14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08:39:44</v>
      </c>
      <c r="AK24" t="str">
        <v>08:39:44</v>
      </c>
      <c r="AL24" t="str">
        <v/>
      </c>
    </row>
    <row r="25">
      <c r="A25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/>
      </c>
      <c r="J25" t="str">
        <v>24/09/2026</v>
      </c>
      <c r="K25" t="str">
        <v>08:39:30</v>
      </c>
      <c r="L25">
        <v>-12.208402</v>
      </c>
      <c r="M25">
        <v>-76.94626</v>
      </c>
      <c r="N25">
        <f>HYPERLINK("https://www.google.com/maps/search/?api=1&amp;query=-12.208402,-76.94626","Avenida Micaela Bastidas, Villa El Salvador, Lima")</f>
      </c>
      <c r="O25" t="str">
        <v>Bache</v>
      </c>
      <c r="P25">
        <v>295102.8</v>
      </c>
      <c r="Q25" t="str">
        <v/>
      </c>
      <c r="R25">
        <v>10.3</v>
      </c>
      <c r="S25">
        <v>112.33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84</v>
      </c>
      <c r="AB25" t="str">
        <v>24/09/2026</v>
      </c>
      <c r="AC25" t="str">
        <v>08:39:30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08:39:55</v>
      </c>
      <c r="AK25" t="str">
        <v>08:39:55</v>
      </c>
      <c r="AL25" t="str">
        <v/>
      </c>
    </row>
    <row r="26">
      <c r="A26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/>
      </c>
      <c r="J26" t="str">
        <v>24/09/2026</v>
      </c>
      <c r="K26" t="str">
        <v>08:41:09</v>
      </c>
      <c r="L26">
        <v>-12.21348</v>
      </c>
      <c r="M26">
        <v>-76.943214</v>
      </c>
      <c r="N26">
        <f>HYPERLINK("https://www.google.com/maps/search/?api=1&amp;query=-12.21348,-76.943214","Avenida Micaela Bastidas, Villa El Salvador, Lima")</f>
      </c>
      <c r="O26" t="str">
        <v>Aceleración brusca</v>
      </c>
      <c r="P26">
        <v>295103.4</v>
      </c>
      <c r="Q26" t="str">
        <v/>
      </c>
      <c r="R26">
        <v>16.6</v>
      </c>
      <c r="S26">
        <v>112.33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24/09/2026</v>
      </c>
      <c r="AC26" t="str">
        <v>08:41:09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08:51:08</v>
      </c>
      <c r="AK26" t="str">
        <v>08:51:08</v>
      </c>
      <c r="AL26" t="str">
        <v/>
      </c>
    </row>
    <row r="27">
      <c r="A27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/>
      </c>
      <c r="J27" t="str">
        <v>24/09/2026</v>
      </c>
      <c r="K27" t="str">
        <v>08:41:52</v>
      </c>
      <c r="L27">
        <v>-12.215908</v>
      </c>
      <c r="M27">
        <v>-76.94176</v>
      </c>
      <c r="N27">
        <f>HYPERLINK("https://www.google.com/maps/search/?api=1&amp;query=-12.215908,-76.94176","Avenida Micaela Bastidas, Villa El Salvador, Lima")</f>
      </c>
      <c r="O27" t="str">
        <v>Aceleración brusca</v>
      </c>
      <c r="P27">
        <v>295103.7</v>
      </c>
      <c r="Q27" t="str">
        <v/>
      </c>
      <c r="R27">
        <v>0</v>
      </c>
      <c r="S27">
        <v>112.33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85</v>
      </c>
      <c r="AB27" t="str">
        <v>24/09/2026</v>
      </c>
      <c r="AC27" t="str">
        <v>08:41:53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08:51:03</v>
      </c>
      <c r="AK27" t="str">
        <v>08:51:03</v>
      </c>
      <c r="AL27" t="str">
        <v/>
      </c>
    </row>
    <row r="28">
      <c r="A28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/>
      </c>
      <c r="J28" t="str">
        <v>24/09/2026</v>
      </c>
      <c r="K28" t="str">
        <v>08:43:02</v>
      </c>
      <c r="L28">
        <v>-12.218565</v>
      </c>
      <c r="M28">
        <v>-76.94015</v>
      </c>
      <c r="N28">
        <f>HYPERLINK("https://www.google.com/maps/search/?api=1&amp;query=-12.218565,-76.94015","Avenida Micaela Bastidas, Villa El Salvador, Lima")</f>
      </c>
      <c r="O28" t="str">
        <v>Aceleración brusca</v>
      </c>
      <c r="P28">
        <v>295104.1</v>
      </c>
      <c r="Q28" t="str">
        <v/>
      </c>
      <c r="R28">
        <v>21.4</v>
      </c>
      <c r="S28">
        <v>112.33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85</v>
      </c>
      <c r="AB28" t="str">
        <v>24/09/2026</v>
      </c>
      <c r="AC28" t="str">
        <v>08:43:02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08:50:58</v>
      </c>
      <c r="AK28" t="str">
        <v>08:50:58</v>
      </c>
      <c r="AL28" t="str">
        <v/>
      </c>
    </row>
    <row r="29">
      <c r="A29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/>
      </c>
      <c r="J29" t="str">
        <v>24/09/2026</v>
      </c>
      <c r="K29" t="str">
        <v>08:44:32</v>
      </c>
      <c r="L29">
        <v>-12.22394</v>
      </c>
      <c r="M29">
        <v>-76.93694</v>
      </c>
      <c r="N29">
        <f>HYPERLINK("https://www.google.com/maps/search/?api=1&amp;query=-12.22394,-76.93694","Avenida José Carlos Mariátegui, Villa El Salvador, Lima")</f>
      </c>
      <c r="O29" t="str">
        <v>Bache</v>
      </c>
      <c r="P29">
        <v>295104.8</v>
      </c>
      <c r="Q29" t="str">
        <v/>
      </c>
      <c r="R29">
        <v>30.9</v>
      </c>
      <c r="S29">
        <v>112.33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85</v>
      </c>
      <c r="AB29" t="str">
        <v>24/09/2026</v>
      </c>
      <c r="AC29" t="str">
        <v>08:44:33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08:51:04</v>
      </c>
      <c r="AK29" t="str">
        <v>08:51:04</v>
      </c>
      <c r="AL29" t="str">
        <v/>
      </c>
    </row>
    <row r="30">
      <c r="A30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/>
      </c>
      <c r="J30" t="str">
        <v>24/09/2026</v>
      </c>
      <c r="K30" t="str">
        <v>08:45:00</v>
      </c>
      <c r="L30">
        <v>-12.22626</v>
      </c>
      <c r="M30">
        <v>-76.93553</v>
      </c>
      <c r="N30">
        <f>HYPERLINK("https://www.google.com/maps/search/?api=1&amp;query=-12.22626,-76.93553","Avenida Micaela Bastidas, Villa El Salvador, Lima")</f>
      </c>
      <c r="O30" t="str">
        <v>Acelerado y giro brusco</v>
      </c>
      <c r="P30">
        <v>295105</v>
      </c>
      <c r="Q30" t="str">
        <v/>
      </c>
      <c r="R30">
        <v>14.4</v>
      </c>
      <c r="S30">
        <v>112.33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85</v>
      </c>
      <c r="AB30" t="str">
        <v>24/09/2026</v>
      </c>
      <c r="AC30" t="str">
        <v>08:45:01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08:51:03</v>
      </c>
      <c r="AK30" t="str">
        <v>08:51:03</v>
      </c>
      <c r="AL30" t="str">
        <v/>
      </c>
    </row>
    <row r="31">
      <c r="A31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/>
      </c>
      <c r="J31" t="str">
        <v>24/09/2026</v>
      </c>
      <c r="K31" t="str">
        <v>08:45:01</v>
      </c>
      <c r="L31">
        <v>-12.226275</v>
      </c>
      <c r="M31">
        <v>-76.935524</v>
      </c>
      <c r="N31">
        <f>HYPERLINK("https://www.google.com/maps/search/?api=1&amp;query=-12.226275,-76.935524","Avenida Micaela Bastidas, Villa El Salvador, Lima")</f>
      </c>
      <c r="O31" t="str">
        <v>Bache</v>
      </c>
      <c r="P31">
        <v>295105</v>
      </c>
      <c r="Q31" t="str">
        <v/>
      </c>
      <c r="R31">
        <v>7.9</v>
      </c>
      <c r="S31">
        <v>112.33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85</v>
      </c>
      <c r="AB31" t="str">
        <v>24/09/2026</v>
      </c>
      <c r="AC31" t="str">
        <v>08:45:02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08:51:03</v>
      </c>
      <c r="AK31" t="str">
        <v>08:51:03</v>
      </c>
      <c r="AL31" t="str">
        <v/>
      </c>
    </row>
    <row r="32">
      <c r="A32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/>
      </c>
      <c r="J32" t="str">
        <v>24/09/2026</v>
      </c>
      <c r="K32" t="str">
        <v>08:45:21</v>
      </c>
      <c r="L32">
        <v>-12.227288</v>
      </c>
      <c r="M32">
        <v>-76.93491</v>
      </c>
      <c r="N32">
        <f>HYPERLINK("https://www.google.com/maps/search/?api=1&amp;query=-12.227288,-76.93491","Avenida Micaela Bastidas, Villa El Salvador, Lima")</f>
      </c>
      <c r="O32" t="str">
        <v>Ingreso a camino vecinal</v>
      </c>
      <c r="P32">
        <v>295105.2</v>
      </c>
      <c r="Q32" t="str">
        <v/>
      </c>
      <c r="R32">
        <v>36.6</v>
      </c>
      <c r="S32">
        <v>112.33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85</v>
      </c>
      <c r="AB32" t="str">
        <v>24/09/2026</v>
      </c>
      <c r="AC32" t="str">
        <v>08:45:21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08:51:03</v>
      </c>
      <c r="AK32" t="str">
        <v>08:51:03</v>
      </c>
      <c r="AL32" t="str">
        <v/>
      </c>
    </row>
    <row r="33">
      <c r="A33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/>
      </c>
      <c r="J33" t="str">
        <v>24/09/2026</v>
      </c>
      <c r="K33" t="str">
        <v>08:46:21</v>
      </c>
      <c r="L33">
        <v>-12.227518</v>
      </c>
      <c r="M33">
        <v>-76.93181</v>
      </c>
      <c r="N33">
        <f>HYPERLINK("https://www.google.com/maps/search/?api=1&amp;query=-12.227518,-76.93181","Avenida Talara, Villa El Salvador, Lima")</f>
      </c>
      <c r="O33" t="str">
        <v>Salida de camino vecinal</v>
      </c>
      <c r="P33">
        <v>295105.6</v>
      </c>
      <c r="Q33" t="str">
        <v/>
      </c>
      <c r="R33">
        <v>24.8</v>
      </c>
      <c r="S33">
        <v>112.33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85</v>
      </c>
      <c r="AB33" t="str">
        <v>24/09/2026</v>
      </c>
      <c r="AC33" t="str">
        <v>08:46:21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08:50:57</v>
      </c>
      <c r="AK33" t="str">
        <v>08:50:57</v>
      </c>
      <c r="AL33" t="str">
        <v/>
      </c>
    </row>
    <row r="34">
      <c r="A34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/>
      </c>
      <c r="J34" t="str">
        <v>24/09/2026</v>
      </c>
      <c r="K34" t="str">
        <v>08:47:24</v>
      </c>
      <c r="L34">
        <v>-12.226927</v>
      </c>
      <c r="M34">
        <v>-76.930756</v>
      </c>
      <c r="N34">
        <f>HYPERLINK("https://www.google.com/maps/search/?api=1&amp;query=-12.226927,-76.930756","Avenida Talara, Villa El Salvador, Lima")</f>
      </c>
      <c r="O34" t="str">
        <v>Vehículo apagado</v>
      </c>
      <c r="P34">
        <v>295105.8</v>
      </c>
      <c r="Q34" t="str">
        <v/>
      </c>
      <c r="R34">
        <v>0</v>
      </c>
      <c r="S34">
        <v>112.52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85</v>
      </c>
      <c r="AB34" t="str">
        <v>24/09/2026</v>
      </c>
      <c r="AC34" t="str">
        <v>08:47:24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08:50:58</v>
      </c>
      <c r="AK34" t="str">
        <v>08:50:58</v>
      </c>
      <c r="AL34" t="str">
        <v/>
      </c>
    </row>
    <row r="35">
      <c r="A35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/>
      </c>
      <c r="J35" t="str">
        <v>24/09/2026</v>
      </c>
      <c r="K35" t="str">
        <v>09:02:42</v>
      </c>
      <c r="L35">
        <v>-12.226927</v>
      </c>
      <c r="M35">
        <v>-76.930756</v>
      </c>
      <c r="N35">
        <f>HYPERLINK("https://www.google.com/maps/search/?api=1&amp;query=-12.226927,-76.930756","Avenida Talara, Villa El Salvador, Lima")</f>
      </c>
      <c r="O35" t="str">
        <v>Se movio</v>
      </c>
      <c r="P35">
        <v>295105.8</v>
      </c>
      <c r="Q35" t="str">
        <v/>
      </c>
      <c r="R35">
        <v>0</v>
      </c>
      <c r="S35">
        <v>112.52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85</v>
      </c>
      <c r="AB35" t="str">
        <v>24/09/2026</v>
      </c>
      <c r="AC35" t="str">
        <v>09:02:43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09:03:04</v>
      </c>
      <c r="AK35" t="str">
        <v>09:03:04</v>
      </c>
      <c r="AL35" t="str">
        <v/>
      </c>
    </row>
    <row r="36">
      <c r="A36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/>
      </c>
      <c r="J36" t="str">
        <v>24/09/2026</v>
      </c>
      <c r="K36" t="str">
        <v>09:02:48</v>
      </c>
      <c r="L36">
        <v>-12.226927</v>
      </c>
      <c r="M36">
        <v>-76.930756</v>
      </c>
      <c r="N36">
        <f>HYPERLINK("https://www.google.com/maps/search/?api=1&amp;query=-12.226927,-76.930756","Avenida Talara, Villa El Salvador, Lima")</f>
      </c>
      <c r="O36" t="str">
        <v>Vehículo encendido</v>
      </c>
      <c r="P36">
        <v>295105.8</v>
      </c>
      <c r="Q36" t="str">
        <v/>
      </c>
      <c r="R36">
        <v>0</v>
      </c>
      <c r="S36">
        <v>112.52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85</v>
      </c>
      <c r="AB36" t="str">
        <v>24/09/2026</v>
      </c>
      <c r="AC36" t="str">
        <v>09:02:48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09:03:06</v>
      </c>
      <c r="AK36" t="str">
        <v>09:03:06</v>
      </c>
      <c r="AL36" t="str">
        <v/>
      </c>
    </row>
    <row r="37">
      <c r="A37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/>
      </c>
      <c r="J37" t="str">
        <v>24/09/2026</v>
      </c>
      <c r="K37" t="str">
        <v>09:04:27</v>
      </c>
      <c r="L37">
        <v>-12.228271</v>
      </c>
      <c r="M37">
        <v>-76.927795</v>
      </c>
      <c r="N37">
        <f>HYPERLINK("https://www.google.com/maps/search/?api=1&amp;query=-12.228271,-76.927795","Avenida Revolución, Villa El Salvador, Lima")</f>
      </c>
      <c r="O37" t="str">
        <v>Acelerado y giro brusco</v>
      </c>
      <c r="P37">
        <v>295106.3</v>
      </c>
      <c r="Q37" t="str">
        <v/>
      </c>
      <c r="R37">
        <v>13.3</v>
      </c>
      <c r="S37">
        <v>112.52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83</v>
      </c>
      <c r="AB37" t="str">
        <v>24/09/2026</v>
      </c>
      <c r="AC37" t="str">
        <v>09:04:27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09:04:37</v>
      </c>
      <c r="AK37" t="str">
        <v>09:04:37</v>
      </c>
      <c r="AL37" t="str">
        <v/>
      </c>
    </row>
    <row r="38">
      <c r="A38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/>
      </c>
      <c r="J38" t="str">
        <v>24/09/2026</v>
      </c>
      <c r="K38" t="str">
        <v>09:04:45</v>
      </c>
      <c r="L38">
        <v>-12.228983</v>
      </c>
      <c r="M38">
        <v>-76.92881</v>
      </c>
      <c r="N38">
        <f>HYPERLINK("https://www.google.com/maps/search/?api=1&amp;query=-12.228983,-76.92881","Avenida 200 Millas, Villa El Salvador, Lima")</f>
      </c>
      <c r="O38" t="str">
        <v>Ingreso a camino vecinal</v>
      </c>
      <c r="P38">
        <v>295106.4</v>
      </c>
      <c r="Q38" t="str">
        <v/>
      </c>
      <c r="R38">
        <v>41.2</v>
      </c>
      <c r="S38">
        <v>112.52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83</v>
      </c>
      <c r="AB38" t="str">
        <v>24/09/2026</v>
      </c>
      <c r="AC38" t="str">
        <v>09:04:45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09:04:54</v>
      </c>
      <c r="AK38" t="str">
        <v>09:04:54</v>
      </c>
      <c r="AL38" t="str">
        <v/>
      </c>
    </row>
    <row r="39">
      <c r="A39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/>
      </c>
      <c r="J39" t="str">
        <v>24/09/2026</v>
      </c>
      <c r="K39" t="str">
        <v>09:06:45</v>
      </c>
      <c r="L39">
        <v>-12.234402</v>
      </c>
      <c r="M39">
        <v>-76.934525</v>
      </c>
      <c r="N39">
        <f>HYPERLINK("https://www.google.com/maps/search/?api=1&amp;query=-12.234402,-76.934525","Avenida Mariano Pastor Sevilla, Villa El Salvador, Lima")</f>
      </c>
      <c r="O39" t="str">
        <v>Salida de camino vecinal</v>
      </c>
      <c r="P39">
        <v>295107.3</v>
      </c>
      <c r="Q39" t="str">
        <v/>
      </c>
      <c r="R39">
        <v>14.6</v>
      </c>
      <c r="S39">
        <v>112.52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93</v>
      </c>
      <c r="AB39" t="str">
        <v>24/09/2026</v>
      </c>
      <c r="AC39" t="str">
        <v>09:06:45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09:07:08</v>
      </c>
      <c r="AK39" t="str">
        <v>09:07:08</v>
      </c>
      <c r="AL39" t="str">
        <v/>
      </c>
    </row>
    <row r="40">
      <c r="A40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/>
      </c>
      <c r="J40" t="str">
        <v>24/09/2026</v>
      </c>
      <c r="K40" t="str">
        <v>09:07:20</v>
      </c>
      <c r="L40">
        <v>-12.236183</v>
      </c>
      <c r="M40">
        <v>-76.93203</v>
      </c>
      <c r="N40">
        <f>HYPERLINK("https://www.google.com/maps/search/?api=1&amp;query=-12.236183,-76.93203","Avenida Prolongación Mariano Pastor Sevilla, Villa El Salvador, Lima")</f>
      </c>
      <c r="O40" t="str">
        <v>Bache</v>
      </c>
      <c r="P40">
        <v>295107.6</v>
      </c>
      <c r="Q40" t="str">
        <v/>
      </c>
      <c r="R40">
        <v>46.3</v>
      </c>
      <c r="S40">
        <v>112.52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93</v>
      </c>
      <c r="AB40" t="str">
        <v>24/09/2026</v>
      </c>
      <c r="AC40" t="str">
        <v>09:07:20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09:07:35</v>
      </c>
      <c r="AK40" t="str">
        <v>09:07:35</v>
      </c>
      <c r="AL40" t="str">
        <v/>
      </c>
    </row>
    <row r="41">
      <c r="A41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/>
      </c>
      <c r="J41" t="str">
        <v>24/09/2026</v>
      </c>
      <c r="K41" t="str">
        <v>09:07:45</v>
      </c>
      <c r="L41">
        <v>-12.23755</v>
      </c>
      <c r="M41">
        <v>-76.92917</v>
      </c>
      <c r="N41">
        <f>HYPERLINK("https://www.google.com/maps/search/?api=1&amp;query=-12.23755,-76.92917","Avenida Prolongación Mariano Pastor Sevilla, Villa El Salvador, Lima")</f>
      </c>
      <c r="O41" t="str">
        <v>Ingreso a camino vecinal</v>
      </c>
      <c r="P41">
        <v>295108</v>
      </c>
      <c r="Q41" t="str">
        <v/>
      </c>
      <c r="R41">
        <v>52.2</v>
      </c>
      <c r="S41">
        <v>112.52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84</v>
      </c>
      <c r="AB41" t="str">
        <v>24/09/2026</v>
      </c>
      <c r="AC41" t="str">
        <v>09:07:45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09:08:13</v>
      </c>
      <c r="AK41" t="str">
        <v>09:08:13</v>
      </c>
      <c r="AL41" t="str">
        <v/>
      </c>
    </row>
    <row r="42">
      <c r="A42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/>
      </c>
      <c r="J42" t="str">
        <v>24/09/2026</v>
      </c>
      <c r="K42" t="str">
        <v>09:10:45</v>
      </c>
      <c r="L42">
        <v>-12.246975</v>
      </c>
      <c r="M42">
        <v>-76.929</v>
      </c>
      <c r="N42">
        <f>HYPERLINK("https://www.google.com/maps/search/?api=1&amp;query=-12.246975,-76.929","Avenida María Reiche, Villa El Salvador, Lima")</f>
      </c>
      <c r="O42" t="str">
        <v>Salida de camino vecinal</v>
      </c>
      <c r="P42">
        <v>295109.7</v>
      </c>
      <c r="Q42" t="str">
        <v/>
      </c>
      <c r="R42">
        <v>20.3</v>
      </c>
      <c r="S42">
        <v>112.52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84</v>
      </c>
      <c r="AB42" t="str">
        <v>24/09/2026</v>
      </c>
      <c r="AC42" t="str">
        <v>09:10:45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09:11:01</v>
      </c>
      <c r="AK42" t="str">
        <v>09:11:01</v>
      </c>
      <c r="AL42" t="str">
        <v/>
      </c>
    </row>
    <row r="43">
      <c r="A43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/>
      </c>
      <c r="J43" t="str">
        <v>24/09/2026</v>
      </c>
      <c r="K43" t="str">
        <v>09:12:29</v>
      </c>
      <c r="L43">
        <v>-12.246926</v>
      </c>
      <c r="M43">
        <v>-76.93219</v>
      </c>
      <c r="N43">
        <f>HYPERLINK("https://www.google.com/maps/search/?api=1&amp;query=-12.246926,-76.93219","Avenida María Reiche, Villa El Salvador, Lima")</f>
      </c>
      <c r="O43" t="str">
        <v>Aceleración brusca</v>
      </c>
      <c r="P43">
        <v>295110</v>
      </c>
      <c r="Q43" t="str">
        <v/>
      </c>
      <c r="R43">
        <v>4</v>
      </c>
      <c r="S43">
        <v>112.52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84</v>
      </c>
      <c r="AB43" t="str">
        <v>24/09/2026</v>
      </c>
      <c r="AC43" t="str">
        <v>09:12:29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09:12:49</v>
      </c>
      <c r="AK43" t="str">
        <v>09:12:49</v>
      </c>
      <c r="AL43" t="str">
        <v/>
      </c>
    </row>
    <row r="44">
      <c r="A44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/>
      </c>
      <c r="J44" t="str">
        <v>24/09/2026</v>
      </c>
      <c r="K44" t="str">
        <v>09:15:02</v>
      </c>
      <c r="L44">
        <v>-12.250073</v>
      </c>
      <c r="M44">
        <v>-76.93054</v>
      </c>
      <c r="N44">
        <f>HYPERLINK("https://www.google.com/maps/search/?api=1&amp;query=-12.250073,-76.93054","Antigua Panamericana Sur, Villa El Salvador, Lima")</f>
      </c>
      <c r="O44" t="str">
        <v>Bache</v>
      </c>
      <c r="P44">
        <v>295110.5</v>
      </c>
      <c r="Q44" t="str">
        <v/>
      </c>
      <c r="R44">
        <v>12</v>
      </c>
      <c r="S44">
        <v>112.52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84</v>
      </c>
      <c r="AB44" t="str">
        <v>24/09/2026</v>
      </c>
      <c r="AC44" t="str">
        <v>09:15:02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09:15:15</v>
      </c>
      <c r="AK44" t="str">
        <v>09:15:15</v>
      </c>
      <c r="AL44" t="str">
        <v/>
      </c>
    </row>
    <row r="45">
      <c r="A45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/>
      </c>
      <c r="J45" t="str">
        <v>24/09/2026</v>
      </c>
      <c r="K45" t="str">
        <v>09:15:45</v>
      </c>
      <c r="L45">
        <v>-12.25277</v>
      </c>
      <c r="M45">
        <v>-76.92697</v>
      </c>
      <c r="N45">
        <f>HYPERLINK("https://www.google.com/maps/search/?api=1&amp;query=-12.25277,-76.92697","Antigua Panamericana Sur, Lurín, Lima")</f>
      </c>
      <c r="O45" t="str">
        <v>Ingreso a camino vecinal</v>
      </c>
      <c r="P45">
        <v>295111</v>
      </c>
      <c r="Q45" t="str">
        <v/>
      </c>
      <c r="R45">
        <v>55</v>
      </c>
      <c r="S45">
        <v>112.52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84</v>
      </c>
      <c r="AB45" t="str">
        <v>24/09/2026</v>
      </c>
      <c r="AC45" t="str">
        <v>09:15:45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09:16:03</v>
      </c>
      <c r="AK45" t="str">
        <v>09:16:03</v>
      </c>
      <c r="AL45" t="str">
        <v/>
      </c>
    </row>
    <row r="46">
      <c r="A46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/>
      </c>
      <c r="J46" t="str">
        <v>24/09/2026</v>
      </c>
      <c r="K46" t="str">
        <v>09:17:45</v>
      </c>
      <c r="L46">
        <v>-12.257255</v>
      </c>
      <c r="M46">
        <v>-76.92244</v>
      </c>
      <c r="N46">
        <f>HYPERLINK("https://www.google.com/maps/search/?api=1&amp;query=-12.257255,-76.92244","Lurín, Lima")</f>
      </c>
      <c r="O46" t="str">
        <v>Salida de camino vecinal</v>
      </c>
      <c r="P46">
        <v>295112.1</v>
      </c>
      <c r="Q46" t="str">
        <v/>
      </c>
      <c r="R46">
        <v>34.2</v>
      </c>
      <c r="S46">
        <v>112.52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84</v>
      </c>
      <c r="AB46" t="str">
        <v>24/09/2026</v>
      </c>
      <c r="AC46" t="str">
        <v>09:17:45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09:17:57</v>
      </c>
      <c r="AK46" t="str">
        <v>09:17:57</v>
      </c>
      <c r="AL46" t="str">
        <v/>
      </c>
    </row>
    <row r="47">
      <c r="A47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/>
      </c>
      <c r="J47" t="str">
        <v>24/09/2026</v>
      </c>
      <c r="K47" t="str">
        <v>09:34:45</v>
      </c>
      <c r="L47">
        <v>-12.332602</v>
      </c>
      <c r="M47">
        <v>-76.82015</v>
      </c>
      <c r="N47">
        <f>HYPERLINK("https://www.google.com/maps/search/?api=1&amp;query=-12.332602,-76.82015","Carretera Panamericana Sur, Punta Hermosa, Lima")</f>
      </c>
      <c r="O47" t="str">
        <v>Ingreso a camino vecinal</v>
      </c>
      <c r="P47">
        <v>295127.5</v>
      </c>
      <c r="Q47" t="str">
        <v/>
      </c>
      <c r="R47">
        <v>32.9</v>
      </c>
      <c r="S47">
        <v>112.52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86</v>
      </c>
      <c r="AB47" t="str">
        <v>24/09/2026</v>
      </c>
      <c r="AC47" t="str">
        <v>09:34:45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09:35:01</v>
      </c>
      <c r="AK47" t="str">
        <v>09:35:01</v>
      </c>
      <c r="AL47" t="str">
        <v/>
      </c>
    </row>
    <row r="48">
      <c r="A48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/>
      </c>
      <c r="J48" t="str">
        <v>24/09/2026</v>
      </c>
      <c r="K48" t="str">
        <v>09:35:45</v>
      </c>
      <c r="L48">
        <v>-12.326159</v>
      </c>
      <c r="M48">
        <v>-76.82467</v>
      </c>
      <c r="N48">
        <f>HYPERLINK("https://www.google.com/maps/search/?api=1&amp;query=-12.326159,-76.82467","Carretera Panamericana Sur, Punta Hermosa, Lima")</f>
      </c>
      <c r="O48" t="str">
        <v>Salida de camino vecinal</v>
      </c>
      <c r="P48">
        <v>295128.4</v>
      </c>
      <c r="Q48" t="str">
        <v/>
      </c>
      <c r="R48">
        <v>63.8</v>
      </c>
      <c r="S48">
        <v>112.52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86</v>
      </c>
      <c r="AB48" t="str">
        <v>24/09/2026</v>
      </c>
      <c r="AC48" t="str">
        <v>09:35:45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09:36:03</v>
      </c>
      <c r="AK48" t="str">
        <v>09:36:03</v>
      </c>
      <c r="AL48" t="str">
        <v/>
      </c>
    </row>
    <row r="49">
      <c r="A49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/>
      </c>
      <c r="J49" t="str">
        <v>24/09/2026</v>
      </c>
      <c r="K49" t="str">
        <v>09:36:41</v>
      </c>
      <c r="L49">
        <v>-12.318724</v>
      </c>
      <c r="M49">
        <v>-76.829544</v>
      </c>
      <c r="N49">
        <f>HYPERLINK("https://www.google.com/maps/search/?api=1&amp;query=-12.318724,-76.829544","Carretera Panamericana Sur, Punta Hermosa, Lima")</f>
      </c>
      <c r="O49" t="str">
        <v>Bache</v>
      </c>
      <c r="P49">
        <v>295129.3</v>
      </c>
      <c r="Q49" t="str">
        <v/>
      </c>
      <c r="R49">
        <v>50.7</v>
      </c>
      <c r="S49">
        <v>112.52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86</v>
      </c>
      <c r="AB49" t="str">
        <v>24/09/2026</v>
      </c>
      <c r="AC49" t="str">
        <v>09:36:41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09:36:49</v>
      </c>
      <c r="AK49" t="str">
        <v>09:36:49</v>
      </c>
      <c r="AL49" t="str">
        <v/>
      </c>
    </row>
    <row r="50">
      <c r="A50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/>
      </c>
      <c r="J50" t="str">
        <v>24/09/2026</v>
      </c>
      <c r="K50" t="str">
        <v>09:43:37</v>
      </c>
      <c r="L50">
        <v>-12.317429</v>
      </c>
      <c r="M50">
        <v>-76.82291</v>
      </c>
      <c r="N50">
        <f>HYPERLINK("https://www.google.com/maps/search/?api=1&amp;query=-12.317429,-76.82291","Punta Hermosa, Lima")</f>
      </c>
      <c r="O50" t="str">
        <v>Vehículo apagado</v>
      </c>
      <c r="P50">
        <v>295130.6</v>
      </c>
      <c r="Q50" t="str">
        <v/>
      </c>
      <c r="R50">
        <v>0</v>
      </c>
      <c r="S50">
        <v>113.2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84</v>
      </c>
      <c r="AB50" t="str">
        <v>24/09/2026</v>
      </c>
      <c r="AC50" t="str">
        <v>09:43:37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09:43:54</v>
      </c>
      <c r="AK50" t="str">
        <v>09:43:54</v>
      </c>
      <c r="AL50" t="str">
        <v/>
      </c>
    </row>
    <row r="51">
      <c r="A51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/>
      </c>
      <c r="J51" t="str">
        <v>24/09/2026</v>
      </c>
      <c r="K51" t="str">
        <v>09:55:16</v>
      </c>
      <c r="L51">
        <v>-12.317429</v>
      </c>
      <c r="M51">
        <v>-76.82291</v>
      </c>
      <c r="N51">
        <f>HYPERLINK("https://www.google.com/maps/search/?api=1&amp;query=-12.317429,-76.82291","Punta Hermosa, Lima")</f>
      </c>
      <c r="O51" t="str">
        <v>Se movio</v>
      </c>
      <c r="P51">
        <v>295130.6</v>
      </c>
      <c r="Q51" t="str">
        <v/>
      </c>
      <c r="R51">
        <v>0</v>
      </c>
      <c r="S51">
        <v>113.2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84</v>
      </c>
      <c r="AB51" t="str">
        <v>24/09/2026</v>
      </c>
      <c r="AC51" t="str">
        <v>09:55:16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09:55:38</v>
      </c>
      <c r="AK51" t="str">
        <v>09:55:38</v>
      </c>
      <c r="AL51" t="str">
        <v/>
      </c>
    </row>
    <row r="52">
      <c r="A52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/>
      </c>
      <c r="J52" t="str">
        <v>24/09/2026</v>
      </c>
      <c r="K52" t="str">
        <v>09:55:21</v>
      </c>
      <c r="L52">
        <v>-12.317429</v>
      </c>
      <c r="M52">
        <v>-76.82291</v>
      </c>
      <c r="N52">
        <f>HYPERLINK("https://www.google.com/maps/search/?api=1&amp;query=-12.317429,-76.82291","Punta Hermosa, Lima")</f>
      </c>
      <c r="O52" t="str">
        <v>Vehículo encendido</v>
      </c>
      <c r="P52">
        <v>295130.6</v>
      </c>
      <c r="Q52" t="str">
        <v/>
      </c>
      <c r="R52">
        <v>0</v>
      </c>
      <c r="S52">
        <v>113.2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84</v>
      </c>
      <c r="AB52" t="str">
        <v>24/09/2026</v>
      </c>
      <c r="AC52" t="str">
        <v>09:55:21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09:55:33</v>
      </c>
      <c r="AK52" t="str">
        <v>09:55:33</v>
      </c>
      <c r="AL52" t="str">
        <v/>
      </c>
    </row>
    <row r="53">
      <c r="A53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/>
      </c>
      <c r="J53" t="str">
        <v>24/09/2026</v>
      </c>
      <c r="K53" t="str">
        <v>10:01:27</v>
      </c>
      <c r="L53">
        <v>-12.317495</v>
      </c>
      <c r="M53">
        <v>-76.824394</v>
      </c>
      <c r="N53">
        <f>HYPERLINK("https://www.google.com/maps/search/?api=1&amp;query=-12.317495,-76.824394","Punta Hermosa, Lima")</f>
      </c>
      <c r="O53" t="str">
        <v>Vehículo apagado</v>
      </c>
      <c r="P53">
        <v>295130.9</v>
      </c>
      <c r="Q53" t="str">
        <v/>
      </c>
      <c r="R53">
        <v>0</v>
      </c>
      <c r="S53">
        <v>113.3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85</v>
      </c>
      <c r="AB53" t="str">
        <v>24/09/2026</v>
      </c>
      <c r="AC53" t="str">
        <v>10:01:27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10:01:49</v>
      </c>
      <c r="AK53" t="str">
        <v>10:01:49</v>
      </c>
      <c r="AL53" t="str">
        <v/>
      </c>
    </row>
    <row r="54">
      <c r="A54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/>
      </c>
      <c r="J54" t="str">
        <v>24/09/2026</v>
      </c>
      <c r="K54" t="str">
        <v>10:55:09</v>
      </c>
      <c r="L54">
        <v>-12.31748</v>
      </c>
      <c r="M54">
        <v>-76.82441</v>
      </c>
      <c r="N54">
        <f>HYPERLINK("https://www.google.com/maps/search/?api=1&amp;query=-12.31748,-76.82441","Punta Hermosa, Lima")</f>
      </c>
      <c r="O54" t="str">
        <v>Vehículo encendido</v>
      </c>
      <c r="P54">
        <v>295130.9</v>
      </c>
      <c r="Q54" t="str">
        <v/>
      </c>
      <c r="R54">
        <v>0</v>
      </c>
      <c r="S54">
        <v>113.3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93</v>
      </c>
      <c r="AB54" t="str">
        <v>24/09/2026</v>
      </c>
      <c r="AC54" t="str">
        <v>10:55:09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10:55:19</v>
      </c>
      <c r="AK54" t="str">
        <v>10:55:19</v>
      </c>
      <c r="AL54" t="str">
        <v/>
      </c>
    </row>
    <row r="55">
      <c r="A55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/>
      </c>
      <c r="J55" t="str">
        <v>24/09/2026</v>
      </c>
      <c r="K55" t="str">
        <v>10:55:28</v>
      </c>
      <c r="L55">
        <v>-12.317523</v>
      </c>
      <c r="M55">
        <v>-76.82449</v>
      </c>
      <c r="N55">
        <f>HYPERLINK("https://www.google.com/maps/search/?api=1&amp;query=-12.317523,-76.82449","Punta Hermosa, Lima")</f>
      </c>
      <c r="O55" t="str">
        <v>Se movio</v>
      </c>
      <c r="P55">
        <v>295130.9</v>
      </c>
      <c r="Q55" t="str">
        <v/>
      </c>
      <c r="R55">
        <v>5.9</v>
      </c>
      <c r="S55">
        <v>113.3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93</v>
      </c>
      <c r="AB55" t="str">
        <v>24/09/2026</v>
      </c>
      <c r="AC55" t="str">
        <v>10:55:28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10:55:54</v>
      </c>
      <c r="AK55" t="str">
        <v>10:55:54</v>
      </c>
      <c r="AL55" t="str">
        <v/>
      </c>
    </row>
    <row r="56">
      <c r="A56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/>
      </c>
      <c r="J56" t="str">
        <v>24/09/2026</v>
      </c>
      <c r="K56" t="str">
        <v>11:03:02</v>
      </c>
      <c r="L56">
        <v>-12.301888</v>
      </c>
      <c r="M56">
        <v>-76.84389</v>
      </c>
      <c r="N56">
        <f>HYPERLINK("https://www.google.com/maps/search/?api=1&amp;query=-12.301888,-76.84389","Lurín, Lima")</f>
      </c>
      <c r="O56" t="str">
        <v>Bache</v>
      </c>
      <c r="P56">
        <v>295134</v>
      </c>
      <c r="Q56" t="str">
        <v/>
      </c>
      <c r="R56">
        <v>5.5</v>
      </c>
      <c r="S56">
        <v>113.3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85</v>
      </c>
      <c r="AB56" t="str">
        <v>24/09/2026</v>
      </c>
      <c r="AC56" t="str">
        <v>11:03:01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11:03:20</v>
      </c>
      <c r="AK56" t="str">
        <v>11:03:20</v>
      </c>
      <c r="AL56" t="str">
        <v/>
      </c>
    </row>
    <row r="57">
      <c r="A57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/>
      </c>
      <c r="J57" t="str">
        <v>24/09/2026</v>
      </c>
      <c r="K57" t="str">
        <v>11:04:49</v>
      </c>
      <c r="L57">
        <v>-12.304985</v>
      </c>
      <c r="M57">
        <v>-76.84198</v>
      </c>
      <c r="N57">
        <f>HYPERLINK("https://www.google.com/maps/search/?api=1&amp;query=-12.304985,-76.84198","Antigua Panamericana Sur, Lurín, Lima")</f>
      </c>
      <c r="O57" t="str">
        <v>Bache</v>
      </c>
      <c r="P57">
        <v>295134.8</v>
      </c>
      <c r="Q57" t="str">
        <v/>
      </c>
      <c r="R57">
        <v>47</v>
      </c>
      <c r="S57">
        <v>113.3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84</v>
      </c>
      <c r="AB57" t="str">
        <v>24/09/2026</v>
      </c>
      <c r="AC57" t="str">
        <v>11:04:49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11:04:59</v>
      </c>
      <c r="AK57" t="str">
        <v>11:04:59</v>
      </c>
      <c r="AL57" t="str">
        <v/>
      </c>
    </row>
    <row r="58">
      <c r="A58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/>
      </c>
      <c r="J58" t="str">
        <v>24/09/2026</v>
      </c>
      <c r="K58" t="str">
        <v>11:05:11</v>
      </c>
      <c r="L58">
        <v>-12.306158</v>
      </c>
      <c r="M58">
        <v>-76.840775</v>
      </c>
      <c r="N58">
        <f>HYPERLINK("https://www.google.com/maps/search/?api=1&amp;query=-12.306158,-76.840775","Antigua Panamericana Sur, Lurín, Lima")</f>
      </c>
      <c r="O58" t="str">
        <v>Ingreso a camino vecinal</v>
      </c>
      <c r="P58">
        <v>295134.9</v>
      </c>
      <c r="Q58" t="str">
        <v/>
      </c>
      <c r="R58">
        <v>20.9</v>
      </c>
      <c r="S58">
        <v>113.3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84</v>
      </c>
      <c r="AB58" t="str">
        <v>24/09/2026</v>
      </c>
      <c r="AC58" t="str">
        <v>11:05:10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11:05:31</v>
      </c>
      <c r="AK58" t="str">
        <v>11:05:31</v>
      </c>
      <c r="AL58" t="str">
        <v/>
      </c>
    </row>
    <row r="59">
      <c r="A59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/>
      </c>
      <c r="J59" t="str">
        <v>24/09/2026</v>
      </c>
      <c r="K59" t="str">
        <v>11:06:11</v>
      </c>
      <c r="L59">
        <v>-12.30929</v>
      </c>
      <c r="M59">
        <v>-76.83757</v>
      </c>
      <c r="N59">
        <f>HYPERLINK("https://www.google.com/maps/search/?api=1&amp;query=-12.30929,-76.83757","Antigua Panamericana Sur, Punta Hermosa, Lima")</f>
      </c>
      <c r="O59" t="str">
        <v>Salida de camino vecinal</v>
      </c>
      <c r="P59">
        <v>295135.4</v>
      </c>
      <c r="Q59" t="str">
        <v/>
      </c>
      <c r="R59">
        <v>24.2</v>
      </c>
      <c r="S59">
        <v>113.3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84</v>
      </c>
      <c r="AB59" t="str">
        <v>24/09/2026</v>
      </c>
      <c r="AC59" t="str">
        <v>11:06:10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11:06:30</v>
      </c>
      <c r="AK59" t="str">
        <v>11:06:30</v>
      </c>
      <c r="AL59" t="str">
        <v/>
      </c>
    </row>
    <row r="60">
      <c r="A60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/>
      </c>
      <c r="J60" t="str">
        <v>24/09/2026</v>
      </c>
      <c r="K60" t="str">
        <v>11:07:54</v>
      </c>
      <c r="L60">
        <v>-12.314321</v>
      </c>
      <c r="M60">
        <v>-76.833855</v>
      </c>
      <c r="N60">
        <f>HYPERLINK("https://www.google.com/maps/search/?api=1&amp;query=-12.314321,-76.833855","Antigua Panamericana Sur, Punta Hermosa, Lima")</f>
      </c>
      <c r="O60" t="str">
        <v>Bache</v>
      </c>
      <c r="P60">
        <v>295136.1</v>
      </c>
      <c r="Q60" t="str">
        <v/>
      </c>
      <c r="R60">
        <v>28.7</v>
      </c>
      <c r="S60">
        <v>113.3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92</v>
      </c>
      <c r="AB60" t="str">
        <v>24/09/2026</v>
      </c>
      <c r="AC60" t="str">
        <v>11:07:53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11:08:06</v>
      </c>
      <c r="AK60" t="str">
        <v>11:08:06</v>
      </c>
      <c r="AL60" t="str">
        <v/>
      </c>
    </row>
    <row r="61">
      <c r="A61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/>
      </c>
      <c r="J61" t="str">
        <v>24/09/2026</v>
      </c>
      <c r="K61" t="str">
        <v>11:09:29</v>
      </c>
      <c r="L61">
        <v>-12.315884</v>
      </c>
      <c r="M61">
        <v>-76.832924</v>
      </c>
      <c r="N61">
        <f>HYPERLINK("https://www.google.com/maps/search/?api=1&amp;query=-12.315884,-76.832924","Antigua Panamericana Sur, Punta Hermosa, Lima")</f>
      </c>
      <c r="O61" t="str">
        <v>Vehículo apagado</v>
      </c>
      <c r="P61">
        <v>295136.3</v>
      </c>
      <c r="Q61" t="str">
        <v/>
      </c>
      <c r="R61">
        <v>0</v>
      </c>
      <c r="S61">
        <v>113.53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92</v>
      </c>
      <c r="AB61" t="str">
        <v>24/09/2026</v>
      </c>
      <c r="AC61" t="str">
        <v>11:09:29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11:09:46</v>
      </c>
      <c r="AK61" t="str">
        <v>11:09:46</v>
      </c>
      <c r="AL61" t="str">
        <v/>
      </c>
    </row>
    <row r="62">
      <c r="A62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/>
      </c>
      <c r="J62" t="str">
        <v>24/09/2026</v>
      </c>
      <c r="K62" t="str">
        <v>11:20:22</v>
      </c>
      <c r="L62">
        <v>-12.315884</v>
      </c>
      <c r="M62">
        <v>-76.832924</v>
      </c>
      <c r="N62">
        <f>HYPERLINK("https://www.google.com/maps/search/?api=1&amp;query=-12.315884,-76.832924","Antigua Panamericana Sur, Punta Hermosa, Lima")</f>
      </c>
      <c r="O62" t="str">
        <v>Vehículo encendido</v>
      </c>
      <c r="P62">
        <v>295136.3</v>
      </c>
      <c r="Q62" t="str">
        <v/>
      </c>
      <c r="R62">
        <v>0</v>
      </c>
      <c r="S62">
        <v>113.53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92</v>
      </c>
      <c r="AB62" t="str">
        <v>24/09/2026</v>
      </c>
      <c r="AC62" t="str">
        <v>11:20:21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11:21:14</v>
      </c>
      <c r="AK62" t="str">
        <v>11:21:14</v>
      </c>
      <c r="AL62" t="str">
        <v/>
      </c>
    </row>
    <row r="63">
      <c r="A63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/>
      </c>
      <c r="J63" t="str">
        <v>24/09/2026</v>
      </c>
      <c r="K63" t="str">
        <v>11:20:51</v>
      </c>
      <c r="L63">
        <v>-12.315895</v>
      </c>
      <c r="M63">
        <v>-76.83289</v>
      </c>
      <c r="N63">
        <f>HYPERLINK("https://www.google.com/maps/search/?api=1&amp;query=-12.315895,-76.83289","Antigua Panamericana Sur, Punta Hermosa, Lima")</f>
      </c>
      <c r="O63" t="str">
        <v>Se movio</v>
      </c>
      <c r="P63">
        <v>295136.3</v>
      </c>
      <c r="Q63" t="str">
        <v/>
      </c>
      <c r="R63">
        <v>3.3</v>
      </c>
      <c r="S63">
        <v>113.53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92</v>
      </c>
      <c r="AB63" t="str">
        <v>24/09/2026</v>
      </c>
      <c r="AC63" t="str">
        <v>11:20:50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11:21:14</v>
      </c>
      <c r="AK63" t="str">
        <v>11:21:14</v>
      </c>
      <c r="AL63" t="str">
        <v/>
      </c>
    </row>
    <row r="64">
      <c r="A64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/>
      </c>
      <c r="J64" t="str">
        <v>24/09/2026</v>
      </c>
      <c r="K64" t="str">
        <v>11:32:16</v>
      </c>
      <c r="L64">
        <v>-12.331415</v>
      </c>
      <c r="M64">
        <v>-76.82486</v>
      </c>
      <c r="N64">
        <f>HYPERLINK("https://www.google.com/maps/search/?api=1&amp;query=-12.331415,-76.82486","Avenida Gaston Garcia Rada, Punta Hermosa, Lima")</f>
      </c>
      <c r="O64" t="str">
        <v>Vehículo apagado</v>
      </c>
      <c r="P64">
        <v>295139.8</v>
      </c>
      <c r="Q64" t="str">
        <v/>
      </c>
      <c r="R64">
        <v>0</v>
      </c>
      <c r="S64">
        <v>113.73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85</v>
      </c>
      <c r="AB64" t="str">
        <v>24/09/2026</v>
      </c>
      <c r="AC64" t="str">
        <v>11:32:16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11:32:31</v>
      </c>
      <c r="AK64" t="str">
        <v>11:32:31</v>
      </c>
      <c r="AL64" t="str">
        <v/>
      </c>
    </row>
    <row r="65">
      <c r="A65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/>
      </c>
      <c r="J65" t="str">
        <v>24/09/2026</v>
      </c>
      <c r="K65" t="str">
        <v>11:43:55</v>
      </c>
      <c r="L65">
        <v>-12.331415</v>
      </c>
      <c r="M65">
        <v>-76.82486</v>
      </c>
      <c r="N65">
        <f>HYPERLINK("https://www.google.com/maps/search/?api=1&amp;query=-12.331415,-76.82486","Avenida Gaston Garcia Rada, Punta Hermosa, Lima")</f>
      </c>
      <c r="O65" t="str">
        <v>Vehículo encendido</v>
      </c>
      <c r="P65">
        <v>295139.8</v>
      </c>
      <c r="Q65" t="str">
        <v/>
      </c>
      <c r="R65">
        <v>0</v>
      </c>
      <c r="S65">
        <v>113.73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85</v>
      </c>
      <c r="AB65" t="str">
        <v>24/09/2026</v>
      </c>
      <c r="AC65" t="str">
        <v>11:43:54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24/09/2026 11:44:04</v>
      </c>
      <c r="AK65" t="str">
        <v>11:44:04</v>
      </c>
      <c r="AL65" t="str">
        <v/>
      </c>
    </row>
    <row r="66">
      <c r="A66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/>
      </c>
      <c r="J66" t="str">
        <v>24/09/2026</v>
      </c>
      <c r="K66" t="str">
        <v>11:44:29</v>
      </c>
      <c r="L66">
        <v>-12.332045</v>
      </c>
      <c r="M66">
        <v>-76.824875</v>
      </c>
      <c r="N66">
        <f>HYPERLINK("https://www.google.com/maps/search/?api=1&amp;query=-12.332045,-76.824875","Avenida Gaston Garcia Rada, Punta Hermosa, Lima")</f>
      </c>
      <c r="O66" t="str">
        <v>Se movio</v>
      </c>
      <c r="P66">
        <v>295139.9</v>
      </c>
      <c r="Q66" t="str">
        <v/>
      </c>
      <c r="R66">
        <v>19.2</v>
      </c>
      <c r="S66">
        <v>113.73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85</v>
      </c>
      <c r="AB66" t="str">
        <v>24/09/2026</v>
      </c>
      <c r="AC66" t="str">
        <v>11:44:29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24/09/2026 11:44:35</v>
      </c>
      <c r="AK66" t="str">
        <v>11:44:35</v>
      </c>
      <c r="AL66" t="str">
        <v/>
      </c>
    </row>
    <row r="67">
      <c r="A67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/>
      </c>
      <c r="J67" t="str">
        <v>24/09/2026</v>
      </c>
      <c r="K67" t="str">
        <v>11:47:52</v>
      </c>
      <c r="L67">
        <v>-12.3338</v>
      </c>
      <c r="M67">
        <v>-76.82496</v>
      </c>
      <c r="N67">
        <f>HYPERLINK("https://www.google.com/maps/search/?api=1&amp;query=-12.3338,-76.82496","Avenida Gaston Garcia Rada, Punta Hermosa, Lima")</f>
      </c>
      <c r="O67" t="str">
        <v>Vehículo apagado</v>
      </c>
      <c r="P67">
        <v>295140.1</v>
      </c>
      <c r="Q67" t="str">
        <v/>
      </c>
      <c r="R67">
        <v>0</v>
      </c>
      <c r="S67">
        <v>113.8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85</v>
      </c>
      <c r="AB67" t="str">
        <v>24/09/2026</v>
      </c>
      <c r="AC67" t="str">
        <v>11:47:51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24/09/2026 11:48:19</v>
      </c>
      <c r="AK67" t="str">
        <v>11:48:19</v>
      </c>
      <c r="AL67" t="str">
        <v/>
      </c>
    </row>
    <row r="68">
      <c r="A68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/>
      </c>
      <c r="J68" t="str">
        <v>24/09/2026</v>
      </c>
      <c r="K68" t="str">
        <v>11:59:12</v>
      </c>
      <c r="L68">
        <v>-12.3338</v>
      </c>
      <c r="M68">
        <v>-76.82496</v>
      </c>
      <c r="N68">
        <f>HYPERLINK("https://www.google.com/maps/search/?api=1&amp;query=-12.3338,-76.82496","Avenida Gaston Garcia Rada, Punta Hermosa, Lima")</f>
      </c>
      <c r="O68" t="str">
        <v>Vehículo encendido</v>
      </c>
      <c r="P68">
        <v>295140.1</v>
      </c>
      <c r="Q68" t="str">
        <v/>
      </c>
      <c r="R68">
        <v>0</v>
      </c>
      <c r="S68">
        <v>113.53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84</v>
      </c>
      <c r="AB68" t="str">
        <v>24/09/2026</v>
      </c>
      <c r="AC68" t="str">
        <v>11:59:11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24/09/2026 11:59:21</v>
      </c>
      <c r="AK68" t="str">
        <v>11:59:21</v>
      </c>
      <c r="AL68" t="str">
        <v/>
      </c>
    </row>
    <row r="69">
      <c r="A69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/>
      </c>
      <c r="J69" t="str">
        <v>24/09/2026</v>
      </c>
      <c r="K69" t="str">
        <v>12:01:29</v>
      </c>
      <c r="L69">
        <v>-12.333734</v>
      </c>
      <c r="M69">
        <v>-76.82767</v>
      </c>
      <c r="N69">
        <f>HYPERLINK("https://www.google.com/maps/search/?api=1&amp;query=-12.333734,-76.82767","Calle Cabo Blanco, Punta Hermosa, Lima")</f>
      </c>
      <c r="O69" t="str">
        <v>Bache</v>
      </c>
      <c r="P69">
        <v>295140.4</v>
      </c>
      <c r="Q69" t="str">
        <v/>
      </c>
      <c r="R69">
        <v>11.4</v>
      </c>
      <c r="S69">
        <v>113.53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89</v>
      </c>
      <c r="AB69" t="str">
        <v>24/09/2026</v>
      </c>
      <c r="AC69" t="str">
        <v>12:01:28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24/09/2026 12:01:45</v>
      </c>
      <c r="AK69" t="str">
        <v>12:01:45</v>
      </c>
      <c r="AL69" t="str">
        <v/>
      </c>
    </row>
    <row r="70">
      <c r="A70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/>
      </c>
      <c r="J70" t="str">
        <v>24/09/2026</v>
      </c>
      <c r="K70" t="str">
        <v>12:03:01</v>
      </c>
      <c r="L70">
        <v>-12.332555</v>
      </c>
      <c r="M70">
        <v>-76.82774</v>
      </c>
      <c r="N70">
        <f>HYPERLINK("https://www.google.com/maps/search/?api=1&amp;query=-12.332555,-76.82774","Avenida Sunset, Punta Hermosa, Lima")</f>
      </c>
      <c r="O70" t="str">
        <v>Vehículo apagado</v>
      </c>
      <c r="P70">
        <v>295140.6</v>
      </c>
      <c r="Q70" t="str">
        <v/>
      </c>
      <c r="R70">
        <v>0</v>
      </c>
      <c r="S70">
        <v>113.6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88</v>
      </c>
      <c r="AB70" t="str">
        <v>24/09/2026</v>
      </c>
      <c r="AC70" t="str">
        <v>12:03:01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24/09/2026 12:03:15</v>
      </c>
      <c r="AK70" t="str">
        <v>12:03:15</v>
      </c>
      <c r="AL70" t="str">
        <v/>
      </c>
    </row>
    <row r="71">
      <c r="A71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/>
      </c>
      <c r="J71" t="str">
        <v>24/09/2026</v>
      </c>
      <c r="K71" t="str">
        <v>12:09:21</v>
      </c>
      <c r="L71">
        <v>-12.332555</v>
      </c>
      <c r="M71">
        <v>-76.82774</v>
      </c>
      <c r="N71">
        <f>HYPERLINK("https://www.google.com/maps/search/?api=1&amp;query=-12.332555,-76.82774","Avenida Sunset, Punta Hermosa, Lima")</f>
      </c>
      <c r="O71" t="str">
        <v>Se detuvo</v>
      </c>
      <c r="P71">
        <v>295140.6</v>
      </c>
      <c r="Q71" t="str">
        <v/>
      </c>
      <c r="R71">
        <v>0</v>
      </c>
      <c r="S71">
        <v>113.6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88</v>
      </c>
      <c r="AB71" t="str">
        <v>24/09/2026</v>
      </c>
      <c r="AC71" t="str">
        <v>12:09:20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24/09/2026 12:09:30</v>
      </c>
      <c r="AK71" t="str">
        <v>12:09:30</v>
      </c>
      <c r="AL71" t="str">
        <v/>
      </c>
    </row>
    <row r="72">
      <c r="A72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/>
      </c>
      <c r="J72" t="str">
        <v>24/09/2026</v>
      </c>
      <c r="K72" t="str">
        <v>12:11:31</v>
      </c>
      <c r="L72">
        <v>-12.332555</v>
      </c>
      <c r="M72">
        <v>-76.82774</v>
      </c>
      <c r="N72">
        <f>HYPERLINK("https://www.google.com/maps/search/?api=1&amp;query=-12.332555,-76.82774","Avenida Sunset, Punta Hermosa, Lima")</f>
      </c>
      <c r="O72" t="str">
        <v>Vehículo encendido</v>
      </c>
      <c r="P72">
        <v>295140.6</v>
      </c>
      <c r="Q72" t="str">
        <v/>
      </c>
      <c r="R72">
        <v>0</v>
      </c>
      <c r="S72">
        <v>113.6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88</v>
      </c>
      <c r="AB72" t="str">
        <v>24/09/2026</v>
      </c>
      <c r="AC72" t="str">
        <v>12:11:30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24/09/2026 12:11:41</v>
      </c>
      <c r="AK72" t="str">
        <v>12:11:41</v>
      </c>
      <c r="AL72" t="str">
        <v/>
      </c>
    </row>
    <row r="73">
      <c r="A73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/>
      </c>
      <c r="J73" t="str">
        <v>24/09/2026</v>
      </c>
      <c r="K73" t="str">
        <v>12:14:49</v>
      </c>
      <c r="L73">
        <v>-12.329367</v>
      </c>
      <c r="M73">
        <v>-76.82464</v>
      </c>
      <c r="N73">
        <f>HYPERLINK("https://www.google.com/maps/search/?api=1&amp;query=-12.329367,-76.82464","Avenida Gaston Garcia Rada, Punta Hermosa, Lima")</f>
      </c>
      <c r="O73" t="str">
        <v>Aceleración brusca</v>
      </c>
      <c r="P73">
        <v>295141.3</v>
      </c>
      <c r="Q73" t="str">
        <v/>
      </c>
      <c r="R73">
        <v>12.5</v>
      </c>
      <c r="S73">
        <v>113.6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85</v>
      </c>
      <c r="AB73" t="str">
        <v>24/09/2026</v>
      </c>
      <c r="AC73" t="str">
        <v>12:14:48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24/09/2026 12:24:12</v>
      </c>
      <c r="AK73" t="str">
        <v>12:24:12</v>
      </c>
      <c r="AL73" t="str">
        <v/>
      </c>
    </row>
    <row r="74">
      <c r="A74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/>
      </c>
      <c r="J74" t="str">
        <v>24/09/2026</v>
      </c>
      <c r="K74" t="str">
        <v>12:16:16</v>
      </c>
      <c r="L74">
        <v>-12.333585</v>
      </c>
      <c r="M74">
        <v>-76.820755</v>
      </c>
      <c r="N74">
        <f>HYPERLINK("https://www.google.com/maps/search/?api=1&amp;query=-12.333585,-76.820755","Antigua Panamericana Sur, Punta Hermosa, Lima")</f>
      </c>
      <c r="O74" t="str">
        <v>Acelerado y giro brusco</v>
      </c>
      <c r="P74">
        <v>295142.1</v>
      </c>
      <c r="Q74" t="str">
        <v/>
      </c>
      <c r="R74">
        <v>17.2</v>
      </c>
      <c r="S74">
        <v>113.6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85</v>
      </c>
      <c r="AB74" t="str">
        <v>24/09/2026</v>
      </c>
      <c r="AC74" t="str">
        <v>12:16:15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24/09/2026 12:24:16</v>
      </c>
      <c r="AK74" t="str">
        <v>12:24:16</v>
      </c>
      <c r="AL74" t="str">
        <v/>
      </c>
    </row>
    <row r="75">
      <c r="A75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/>
      </c>
      <c r="J75" t="str">
        <v>24/09/2026</v>
      </c>
      <c r="K75" t="str">
        <v>12:16:43</v>
      </c>
      <c r="L75">
        <v>-12.334971</v>
      </c>
      <c r="M75">
        <v>-76.81985</v>
      </c>
      <c r="N75">
        <f>HYPERLINK("https://www.google.com/maps/search/?api=1&amp;query=-12.334971,-76.81985","Antigua Panamericana Sur, Punta Hermosa, Lima")</f>
      </c>
      <c r="O75" t="str">
        <v>Aceleración brusca</v>
      </c>
      <c r="P75">
        <v>295142.3</v>
      </c>
      <c r="Q75" t="str">
        <v/>
      </c>
      <c r="R75">
        <v>19</v>
      </c>
      <c r="S75">
        <v>113.6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85</v>
      </c>
      <c r="AB75" t="str">
        <v>24/09/2026</v>
      </c>
      <c r="AC75" t="str">
        <v>12:16:42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24/09/2026 12:24:12</v>
      </c>
      <c r="AK75" t="str">
        <v>12:24:12</v>
      </c>
      <c r="AL75" t="str">
        <v/>
      </c>
    </row>
    <row r="76">
      <c r="A76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/>
      </c>
      <c r="J76" t="str">
        <v>24/09/2026</v>
      </c>
      <c r="K76" t="str">
        <v>12:17:45</v>
      </c>
      <c r="L76">
        <v>-12.339733</v>
      </c>
      <c r="M76">
        <v>-76.81655</v>
      </c>
      <c r="N76">
        <f>HYPERLINK("https://www.google.com/maps/search/?api=1&amp;query=-12.339733,-76.81655","Antigua Panamericana Sur, Punta Hermosa, Lima")</f>
      </c>
      <c r="O76" t="str">
        <v>Aceleración brusca</v>
      </c>
      <c r="P76">
        <v>295142.9</v>
      </c>
      <c r="Q76" t="str">
        <v/>
      </c>
      <c r="R76">
        <v>6.2</v>
      </c>
      <c r="S76">
        <v>113.6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85</v>
      </c>
      <c r="AB76" t="str">
        <v>24/09/2026</v>
      </c>
      <c r="AC76" t="str">
        <v>12:17:44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24/09/2026 12:24:15</v>
      </c>
      <c r="AK76" t="str">
        <v>12:24:15</v>
      </c>
      <c r="AL76" t="str">
        <v/>
      </c>
    </row>
    <row r="77">
      <c r="A77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/>
      </c>
      <c r="J77" t="str">
        <v>24/09/2026</v>
      </c>
      <c r="K77" t="str">
        <v>12:18:07</v>
      </c>
      <c r="L77">
        <v>-12.340662</v>
      </c>
      <c r="M77">
        <v>-76.81595</v>
      </c>
      <c r="N77">
        <f>HYPERLINK("https://www.google.com/maps/search/?api=1&amp;query=-12.340662,-76.81595","Antigua Panamericana Sur, Punta Hermosa, Lima")</f>
      </c>
      <c r="O77" t="str">
        <v>Aceleración brusca</v>
      </c>
      <c r="P77">
        <v>295143</v>
      </c>
      <c r="Q77" t="str">
        <v/>
      </c>
      <c r="R77">
        <v>10.3</v>
      </c>
      <c r="S77">
        <v>113.6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85</v>
      </c>
      <c r="AB77" t="str">
        <v>24/09/2026</v>
      </c>
      <c r="AC77" t="str">
        <v>12:18:06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24/09/2026 12:24:15</v>
      </c>
      <c r="AK77" t="str">
        <v>12:24:15</v>
      </c>
      <c r="AL77" t="str">
        <v/>
      </c>
    </row>
    <row r="78">
      <c r="A78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/>
      </c>
      <c r="J78" t="str">
        <v>24/09/2026</v>
      </c>
      <c r="K78" t="str">
        <v>12:18:30</v>
      </c>
      <c r="L78">
        <v>-12.341885</v>
      </c>
      <c r="M78">
        <v>-76.8158</v>
      </c>
      <c r="N78">
        <f>HYPERLINK("https://www.google.com/maps/search/?api=1&amp;query=-12.341885,-76.8158","Antigua Panamericana Sur, Punta Hermosa, Lima")</f>
      </c>
      <c r="O78" t="str">
        <v>Ingreso a camino vecinal</v>
      </c>
      <c r="P78">
        <v>295143.1</v>
      </c>
      <c r="Q78" t="str">
        <v/>
      </c>
      <c r="R78">
        <v>28.1</v>
      </c>
      <c r="S78">
        <v>113.6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85</v>
      </c>
      <c r="AB78" t="str">
        <v>24/09/2026</v>
      </c>
      <c r="AC78" t="str">
        <v>12:18:29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24/09/2026 12:24:12</v>
      </c>
      <c r="AK78" t="str">
        <v>12:24:12</v>
      </c>
      <c r="AL78" t="str">
        <v/>
      </c>
    </row>
    <row r="79">
      <c r="A79">
        <v>78</v>
      </c>
      <c r="B79" t="str">
        <v>MASS BSF</v>
      </c>
      <c r="C79" t="str">
        <v>C6E-921</v>
      </c>
      <c r="D79" t="str">
        <v>C6E-921</v>
      </c>
      <c r="E79" t="str">
        <v/>
      </c>
      <c r="F79" t="str">
        <v>867806078831353</v>
      </c>
      <c r="G79" t="str">
        <v>TBD</v>
      </c>
      <c r="H79" t="str">
        <v/>
      </c>
      <c r="I79" t="str">
        <v/>
      </c>
      <c r="J79" t="str">
        <v>24/09/2026</v>
      </c>
      <c r="K79" t="str">
        <v>12:20:30</v>
      </c>
      <c r="L79">
        <v>-12.346884</v>
      </c>
      <c r="M79">
        <v>-76.81393</v>
      </c>
      <c r="N79">
        <f>HYPERLINK("https://www.google.com/maps/search/?api=1&amp;query=-12.346884,-76.81393","Antigua Panamericana Sur, Punta Negra, Lima")</f>
      </c>
      <c r="O79" t="str">
        <v>Salida de camino vecinal</v>
      </c>
      <c r="P79">
        <v>295143.7</v>
      </c>
      <c r="Q79" t="str">
        <v/>
      </c>
      <c r="R79">
        <v>30</v>
      </c>
      <c r="S79">
        <v>113.6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85</v>
      </c>
      <c r="AB79" t="str">
        <v>24/09/2026</v>
      </c>
      <c r="AC79" t="str">
        <v>12:20:29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24/09/2026 12:24:12</v>
      </c>
      <c r="AK79" t="str">
        <v>12:24:12</v>
      </c>
      <c r="AL79" t="str">
        <v/>
      </c>
    </row>
    <row r="80">
      <c r="A80">
        <v>79</v>
      </c>
      <c r="B80" t="str">
        <v>MASS BSF</v>
      </c>
      <c r="C80" t="str">
        <v>C6E-921</v>
      </c>
      <c r="D80" t="str">
        <v>C6E-921</v>
      </c>
      <c r="E80" t="str">
        <v/>
      </c>
      <c r="F80" t="str">
        <v>867806078831353</v>
      </c>
      <c r="G80" t="str">
        <v>TBD</v>
      </c>
      <c r="H80" t="str">
        <v/>
      </c>
      <c r="I80" t="str">
        <v/>
      </c>
      <c r="J80" t="str">
        <v>24/09/2026</v>
      </c>
      <c r="K80" t="str">
        <v>12:21:22</v>
      </c>
      <c r="L80">
        <v>-12.350835</v>
      </c>
      <c r="M80">
        <v>-76.81019</v>
      </c>
      <c r="N80">
        <f>HYPERLINK("https://www.google.com/maps/search/?api=1&amp;query=-12.350835,-76.81019","Antigua Panamericana Sur, Punta Negra, Lima")</f>
      </c>
      <c r="O80" t="str">
        <v>Aceleración brusca</v>
      </c>
      <c r="P80">
        <v>295144.3</v>
      </c>
      <c r="Q80" t="str">
        <v/>
      </c>
      <c r="R80">
        <v>11.6</v>
      </c>
      <c r="S80">
        <v>113.6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85</v>
      </c>
      <c r="AB80" t="str">
        <v>24/09/2026</v>
      </c>
      <c r="AC80" t="str">
        <v>12:21:21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24/09/2026 12:24:18</v>
      </c>
      <c r="AK80" t="str">
        <v>12:24:18</v>
      </c>
      <c r="AL80" t="str">
        <v/>
      </c>
    </row>
    <row r="81">
      <c r="A81">
        <v>80</v>
      </c>
      <c r="B81" t="str">
        <v>MASS BSF</v>
      </c>
      <c r="C81" t="str">
        <v>C6E-921</v>
      </c>
      <c r="D81" t="str">
        <v>C6E-921</v>
      </c>
      <c r="E81" t="str">
        <v/>
      </c>
      <c r="F81" t="str">
        <v>867806078831353</v>
      </c>
      <c r="G81" t="str">
        <v>TBD</v>
      </c>
      <c r="H81" t="str">
        <v/>
      </c>
      <c r="I81" t="str">
        <v/>
      </c>
      <c r="J81" t="str">
        <v>24/09/2026</v>
      </c>
      <c r="K81" t="str">
        <v>12:21:59</v>
      </c>
      <c r="L81">
        <v>-12.353358</v>
      </c>
      <c r="M81">
        <v>-76.80778</v>
      </c>
      <c r="N81">
        <f>HYPERLINK("https://www.google.com/maps/search/?api=1&amp;query=-12.353358,-76.80778","Antigua Panamericana Sur, Punta Negra, Lima")</f>
      </c>
      <c r="O81" t="str">
        <v>Acelerado y giro brusco</v>
      </c>
      <c r="P81">
        <v>295144.7</v>
      </c>
      <c r="Q81" t="str">
        <v/>
      </c>
      <c r="R81">
        <v>15.1</v>
      </c>
      <c r="S81">
        <v>113.6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85</v>
      </c>
      <c r="AB81" t="str">
        <v>24/09/2026</v>
      </c>
      <c r="AC81" t="str">
        <v>12:21:58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24/09/2026 12:24:15</v>
      </c>
      <c r="AK81" t="str">
        <v>12:24:15</v>
      </c>
      <c r="AL81" t="str">
        <v/>
      </c>
    </row>
    <row r="82">
      <c r="A82">
        <v>81</v>
      </c>
      <c r="B82" t="str">
        <v>MASS BSF</v>
      </c>
      <c r="C82" t="str">
        <v>C6E-921</v>
      </c>
      <c r="D82" t="str">
        <v>C6E-921</v>
      </c>
      <c r="E82" t="str">
        <v/>
      </c>
      <c r="F82" t="str">
        <v>867806078831353</v>
      </c>
      <c r="G82" t="str">
        <v>TBD</v>
      </c>
      <c r="H82" t="str">
        <v/>
      </c>
      <c r="I82" t="str">
        <v/>
      </c>
      <c r="J82" t="str">
        <v>24/09/2026</v>
      </c>
      <c r="K82" t="str">
        <v>12:22:01</v>
      </c>
      <c r="L82">
        <v>-12.35342</v>
      </c>
      <c r="M82">
        <v>-76.80772</v>
      </c>
      <c r="N82">
        <f>HYPERLINK("https://www.google.com/maps/search/?api=1&amp;query=-12.35342,-76.80772","Antigua Panamericana Sur, Punta Negra, Lima")</f>
      </c>
      <c r="O82" t="str">
        <v>Bache</v>
      </c>
      <c r="P82">
        <v>295144.7</v>
      </c>
      <c r="Q82" t="str">
        <v/>
      </c>
      <c r="R82">
        <v>10.9</v>
      </c>
      <c r="S82">
        <v>113.6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85</v>
      </c>
      <c r="AB82" t="str">
        <v>24/09/2026</v>
      </c>
      <c r="AC82" t="str">
        <v>12:22:01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24/09/2026 12:24:12</v>
      </c>
      <c r="AK82" t="str">
        <v>12:24:12</v>
      </c>
      <c r="AL82" t="str">
        <v/>
      </c>
    </row>
    <row r="83">
      <c r="A83">
        <v>82</v>
      </c>
      <c r="B83" t="str">
        <v>MASS BSF</v>
      </c>
      <c r="C83" t="str">
        <v>C6E-921</v>
      </c>
      <c r="D83" t="str">
        <v>C6E-921</v>
      </c>
      <c r="E83" t="str">
        <v/>
      </c>
      <c r="F83" t="str">
        <v>867806078831353</v>
      </c>
      <c r="G83" t="str">
        <v>TBD</v>
      </c>
      <c r="H83" t="str">
        <v/>
      </c>
      <c r="I83" t="str">
        <v/>
      </c>
      <c r="J83" t="str">
        <v>24/09/2026</v>
      </c>
      <c r="K83" t="str">
        <v>12:22:30</v>
      </c>
      <c r="L83">
        <v>-12.354865</v>
      </c>
      <c r="M83">
        <v>-76.806015</v>
      </c>
      <c r="N83">
        <f>HYPERLINK("https://www.google.com/maps/search/?api=1&amp;query=-12.354865,-76.806015","Antigua Panamericana Sur, Punta Negra, Lima")</f>
      </c>
      <c r="O83" t="str">
        <v>Aceleración brusca</v>
      </c>
      <c r="P83">
        <v>295144.9</v>
      </c>
      <c r="Q83" t="str">
        <v/>
      </c>
      <c r="R83">
        <v>11.1</v>
      </c>
      <c r="S83">
        <v>113.6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85</v>
      </c>
      <c r="AB83" t="str">
        <v>24/09/2026</v>
      </c>
      <c r="AC83" t="str">
        <v>12:22:29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24/09/2026 12:24:22</v>
      </c>
      <c r="AK83" t="str">
        <v>12:24:22</v>
      </c>
      <c r="AL83" t="str">
        <v/>
      </c>
    </row>
    <row r="84">
      <c r="A84">
        <v>83</v>
      </c>
      <c r="B84" t="str">
        <v>MASS BSF</v>
      </c>
      <c r="C84" t="str">
        <v>C6E-921</v>
      </c>
      <c r="D84" t="str">
        <v>C6E-921</v>
      </c>
      <c r="E84" t="str">
        <v/>
      </c>
      <c r="F84" t="str">
        <v>867806078831353</v>
      </c>
      <c r="G84" t="str">
        <v>TBD</v>
      </c>
      <c r="H84" t="str">
        <v/>
      </c>
      <c r="I84" t="str">
        <v/>
      </c>
      <c r="J84" t="str">
        <v>24/09/2026</v>
      </c>
      <c r="K84" t="str">
        <v>12:22:44</v>
      </c>
      <c r="L84">
        <v>-12.355423</v>
      </c>
      <c r="M84">
        <v>-76.80514</v>
      </c>
      <c r="N84">
        <f>HYPERLINK("https://www.google.com/maps/search/?api=1&amp;query=-12.355423,-76.80514","Antigua Panamericana Sur, Punta Negra, Lima")</f>
      </c>
      <c r="O84" t="str">
        <v>Bache</v>
      </c>
      <c r="P84">
        <v>295145.1</v>
      </c>
      <c r="Q84" t="str">
        <v/>
      </c>
      <c r="R84">
        <v>42.4</v>
      </c>
      <c r="S84">
        <v>113.6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85</v>
      </c>
      <c r="AB84" t="str">
        <v>24/09/2026</v>
      </c>
      <c r="AC84" t="str">
        <v>12:22:44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24/09/2026 12:24:22</v>
      </c>
      <c r="AK84" t="str">
        <v>12:24:22</v>
      </c>
      <c r="AL84" t="str">
        <v/>
      </c>
    </row>
    <row r="85">
      <c r="A85">
        <v>84</v>
      </c>
      <c r="B85" t="str">
        <v>MASS BSF</v>
      </c>
      <c r="C85" t="str">
        <v>C6E-921</v>
      </c>
      <c r="D85" t="str">
        <v>C6E-921</v>
      </c>
      <c r="E85" t="str">
        <v/>
      </c>
      <c r="F85" t="str">
        <v>867806078831353</v>
      </c>
      <c r="G85" t="str">
        <v>TBD</v>
      </c>
      <c r="H85" t="str">
        <v/>
      </c>
      <c r="I85" t="str">
        <v/>
      </c>
      <c r="J85" t="str">
        <v>24/09/2026</v>
      </c>
      <c r="K85" t="str">
        <v>12:23:30</v>
      </c>
      <c r="L85">
        <v>-12.357761</v>
      </c>
      <c r="M85">
        <v>-76.80156</v>
      </c>
      <c r="N85">
        <f>HYPERLINK("https://www.google.com/maps/search/?api=1&amp;query=-12.357761,-76.80156","Antigua Panamericana Sur, Punta Negra, Lima")</f>
      </c>
      <c r="O85" t="str">
        <v>Ingreso a camino vecinal</v>
      </c>
      <c r="P85">
        <v>295145.5</v>
      </c>
      <c r="Q85" t="str">
        <v/>
      </c>
      <c r="R85">
        <v>33.1</v>
      </c>
      <c r="S85">
        <v>113.6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85</v>
      </c>
      <c r="AB85" t="str">
        <v>24/09/2026</v>
      </c>
      <c r="AC85" t="str">
        <v>12:23:29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24/09/2026 12:24:22</v>
      </c>
      <c r="AK85" t="str">
        <v>12:24:22</v>
      </c>
      <c r="AL85" t="str">
        <v/>
      </c>
    </row>
    <row r="86">
      <c r="A86">
        <v>85</v>
      </c>
      <c r="B86" t="str">
        <v>MASS BSF</v>
      </c>
      <c r="C86" t="str">
        <v>C6E-921</v>
      </c>
      <c r="D86" t="str">
        <v>C6E-921</v>
      </c>
      <c r="E86" t="str">
        <v/>
      </c>
      <c r="F86" t="str">
        <v>867806078831353</v>
      </c>
      <c r="G86" t="str">
        <v>TBD</v>
      </c>
      <c r="H86" t="str">
        <v/>
      </c>
      <c r="I86" t="str">
        <v/>
      </c>
      <c r="J86" t="str">
        <v>24/09/2026</v>
      </c>
      <c r="K86" t="str">
        <v>12:26:30</v>
      </c>
      <c r="L86">
        <v>-12.364883</v>
      </c>
      <c r="M86">
        <v>-76.79508</v>
      </c>
      <c r="N86">
        <f>HYPERLINK("https://www.google.com/maps/search/?api=1&amp;query=-12.364883,-76.79508","Guanay Norte, Punta Negra, Lima")</f>
      </c>
      <c r="O86" t="str">
        <v>Salida de camino vecinal</v>
      </c>
      <c r="P86">
        <v>295146.7</v>
      </c>
      <c r="Q86" t="str">
        <v/>
      </c>
      <c r="R86">
        <v>8.5</v>
      </c>
      <c r="S86">
        <v>113.6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91</v>
      </c>
      <c r="AB86" t="str">
        <v>24/09/2026</v>
      </c>
      <c r="AC86" t="str">
        <v>12:26:29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24/09/2026 12:26:47</v>
      </c>
      <c r="AK86" t="str">
        <v>12:26:47</v>
      </c>
      <c r="AL86" t="str">
        <v/>
      </c>
    </row>
    <row r="87">
      <c r="A87">
        <v>86</v>
      </c>
      <c r="B87" t="str">
        <v>MASS BSF</v>
      </c>
      <c r="C87" t="str">
        <v>C6E-921</v>
      </c>
      <c r="D87" t="str">
        <v>C6E-921</v>
      </c>
      <c r="E87" t="str">
        <v/>
      </c>
      <c r="F87" t="str">
        <v>867806078831353</v>
      </c>
      <c r="G87" t="str">
        <v>TBD</v>
      </c>
      <c r="H87" t="str">
        <v/>
      </c>
      <c r="I87" t="str">
        <v/>
      </c>
      <c r="J87" t="str">
        <v>24/09/2026</v>
      </c>
      <c r="K87" t="str">
        <v>12:27:47</v>
      </c>
      <c r="L87">
        <v>-12.364748</v>
      </c>
      <c r="M87">
        <v>-76.79519</v>
      </c>
      <c r="N87">
        <f>HYPERLINK("https://www.google.com/maps/search/?api=1&amp;query=-12.364748,-76.79519","Guanay Norte, Punta Negra, Lima")</f>
      </c>
      <c r="O87" t="str">
        <v>Vehículo apagado</v>
      </c>
      <c r="P87">
        <v>295146.7</v>
      </c>
      <c r="Q87" t="str">
        <v/>
      </c>
      <c r="R87">
        <v>0</v>
      </c>
      <c r="S87">
        <v>113.87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83</v>
      </c>
      <c r="AB87" t="str">
        <v>24/09/2026</v>
      </c>
      <c r="AC87" t="str">
        <v>12:27:46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24/09/2026 12:27:59</v>
      </c>
      <c r="AK87" t="str">
        <v>12:27:59</v>
      </c>
      <c r="AL87" t="str">
        <v/>
      </c>
    </row>
    <row r="88">
      <c r="A88">
        <v>87</v>
      </c>
      <c r="B88" t="str">
        <v>MASS BSF</v>
      </c>
      <c r="C88" t="str">
        <v>C6E-921</v>
      </c>
      <c r="D88" t="str">
        <v>C6E-921</v>
      </c>
      <c r="E88" t="str">
        <v/>
      </c>
      <c r="F88" t="str">
        <v>867806078831353</v>
      </c>
      <c r="G88" t="str">
        <v>TBD</v>
      </c>
      <c r="H88" t="str">
        <v/>
      </c>
      <c r="I88" t="str">
        <v/>
      </c>
      <c r="J88" t="str">
        <v>24/09/2026</v>
      </c>
      <c r="K88" t="str">
        <v>12:35:33</v>
      </c>
      <c r="L88">
        <v>-12.364748</v>
      </c>
      <c r="M88">
        <v>-76.79519</v>
      </c>
      <c r="N88">
        <f>HYPERLINK("https://www.google.com/maps/search/?api=1&amp;query=-12.364748,-76.79519","Guanay Norte, Punta Negra, Lima")</f>
      </c>
      <c r="O88" t="str">
        <v>Se detuvo</v>
      </c>
      <c r="P88">
        <v>295146.7</v>
      </c>
      <c r="Q88" t="str">
        <v/>
      </c>
      <c r="R88">
        <v>0</v>
      </c>
      <c r="S88">
        <v>113.87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83</v>
      </c>
      <c r="AB88" t="str">
        <v>24/09/2026</v>
      </c>
      <c r="AC88" t="str">
        <v>12:35:32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24/09/2026 12:35:42</v>
      </c>
      <c r="AK88" t="str">
        <v>12:35:42</v>
      </c>
      <c r="AL88" t="str">
        <v/>
      </c>
    </row>
    <row r="89">
      <c r="A89">
        <v>88</v>
      </c>
      <c r="B89" t="str">
        <v>MASS BSF</v>
      </c>
      <c r="C89" t="str">
        <v>C6E-921</v>
      </c>
      <c r="D89" t="str">
        <v>C6E-921</v>
      </c>
      <c r="E89" t="str">
        <v/>
      </c>
      <c r="F89" t="str">
        <v>867806078831353</v>
      </c>
      <c r="G89" t="str">
        <v>TBD</v>
      </c>
      <c r="H89" t="str">
        <v/>
      </c>
      <c r="I89" t="str">
        <v/>
      </c>
      <c r="J89" t="str">
        <v>24/09/2026</v>
      </c>
      <c r="K89" t="str">
        <v>12:40:23</v>
      </c>
      <c r="L89">
        <v>-12.364748</v>
      </c>
      <c r="M89">
        <v>-76.79519</v>
      </c>
      <c r="N89">
        <f>HYPERLINK("https://www.google.com/maps/search/?api=1&amp;query=-12.364748,-76.79519","Guanay Norte, Punta Negra, Lima")</f>
      </c>
      <c r="O89" t="str">
        <v>Vehículo encendido</v>
      </c>
      <c r="P89">
        <v>295146.7</v>
      </c>
      <c r="Q89" t="str">
        <v/>
      </c>
      <c r="R89">
        <v>0</v>
      </c>
      <c r="S89">
        <v>113.87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83</v>
      </c>
      <c r="AB89" t="str">
        <v>24/09/2026</v>
      </c>
      <c r="AC89" t="str">
        <v>12:40:22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24/09/2026 12:40:43</v>
      </c>
      <c r="AK89" t="str">
        <v>12:40:43</v>
      </c>
      <c r="AL89" t="str">
        <v/>
      </c>
    </row>
    <row r="90">
      <c r="A90">
        <v>89</v>
      </c>
      <c r="B90" t="str">
        <v>MASS BSF</v>
      </c>
      <c r="C90" t="str">
        <v>C6E-921</v>
      </c>
      <c r="D90" t="str">
        <v>C6E-921</v>
      </c>
      <c r="E90" t="str">
        <v/>
      </c>
      <c r="F90" t="str">
        <v>867806078831353</v>
      </c>
      <c r="G90" t="str">
        <v>TBD</v>
      </c>
      <c r="H90" t="str">
        <v/>
      </c>
      <c r="I90" t="str">
        <v/>
      </c>
      <c r="J90" t="str">
        <v>24/09/2026</v>
      </c>
      <c r="K90" t="str">
        <v>12:42:02</v>
      </c>
      <c r="L90">
        <v>-12.367208</v>
      </c>
      <c r="M90">
        <v>-76.79275</v>
      </c>
      <c r="N90">
        <f>HYPERLINK("https://www.google.com/maps/search/?api=1&amp;query=-12.367208,-76.79275","Antigua Panamericana Sur, Punta Negra, Lima")</f>
      </c>
      <c r="O90" t="str">
        <v>Acelerado y giro brusco</v>
      </c>
      <c r="P90">
        <v>295147.1</v>
      </c>
      <c r="Q90" t="str">
        <v/>
      </c>
      <c r="R90">
        <v>27</v>
      </c>
      <c r="S90">
        <v>113.87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81</v>
      </c>
      <c r="AB90" t="str">
        <v>24/09/2026</v>
      </c>
      <c r="AC90" t="str">
        <v>12:42:01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24/09/2026 12:42:11</v>
      </c>
      <c r="AK90" t="str">
        <v>12:42:11</v>
      </c>
      <c r="AL90" t="str">
        <v/>
      </c>
    </row>
    <row r="91">
      <c r="A91">
        <v>90</v>
      </c>
      <c r="B91" t="str">
        <v>MASS BSF</v>
      </c>
      <c r="C91" t="str">
        <v>C6E-921</v>
      </c>
      <c r="D91" t="str">
        <v>C6E-921</v>
      </c>
      <c r="E91" t="str">
        <v/>
      </c>
      <c r="F91" t="str">
        <v>867806078831353</v>
      </c>
      <c r="G91" t="str">
        <v>TBD</v>
      </c>
      <c r="H91" t="str">
        <v/>
      </c>
      <c r="I91" t="str">
        <v/>
      </c>
      <c r="J91" t="str">
        <v>24/09/2026</v>
      </c>
      <c r="K91" t="str">
        <v>12:42:05</v>
      </c>
      <c r="L91">
        <v>-12.367345</v>
      </c>
      <c r="M91">
        <v>-76.79264</v>
      </c>
      <c r="N91">
        <f>HYPERLINK("https://www.google.com/maps/search/?api=1&amp;query=-12.367345,-76.79264","Antigua Panamericana Sur, Punta Negra, Lima")</f>
      </c>
      <c r="O91" t="str">
        <v>Bache</v>
      </c>
      <c r="P91">
        <v>295147.1</v>
      </c>
      <c r="Q91" t="str">
        <v/>
      </c>
      <c r="R91">
        <v>22.5</v>
      </c>
      <c r="S91">
        <v>113.87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81</v>
      </c>
      <c r="AB91" t="str">
        <v>24/09/2026</v>
      </c>
      <c r="AC91" t="str">
        <v>12:42:04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24/09/2026 12:42:29</v>
      </c>
      <c r="AK91" t="str">
        <v>12:42:29</v>
      </c>
      <c r="AL91" t="str">
        <v/>
      </c>
    </row>
    <row r="92">
      <c r="A92">
        <v>91</v>
      </c>
      <c r="B92" t="str">
        <v>MASS BSF</v>
      </c>
      <c r="C92" t="str">
        <v>C6E-921</v>
      </c>
      <c r="D92" t="str">
        <v>C6E-921</v>
      </c>
      <c r="E92" t="str">
        <v/>
      </c>
      <c r="F92" t="str">
        <v>867806078831353</v>
      </c>
      <c r="G92" t="str">
        <v>TBD</v>
      </c>
      <c r="H92" t="str">
        <v/>
      </c>
      <c r="I92" t="str">
        <v/>
      </c>
      <c r="J92" t="str">
        <v>24/09/2026</v>
      </c>
      <c r="K92" t="str">
        <v>12:43:05</v>
      </c>
      <c r="L92">
        <v>-12.371498</v>
      </c>
      <c r="M92">
        <v>-76.78832</v>
      </c>
      <c r="N92">
        <f>HYPERLINK("https://www.google.com/maps/search/?api=1&amp;query=-12.371498,-76.78832","Antigua Panamericana Sur, Punta Negra, Lima")</f>
      </c>
      <c r="O92" t="str">
        <v>Ingreso a camino vecinal</v>
      </c>
      <c r="P92">
        <v>295147.8</v>
      </c>
      <c r="Q92" t="str">
        <v/>
      </c>
      <c r="R92">
        <v>52.9</v>
      </c>
      <c r="S92">
        <v>113.87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81</v>
      </c>
      <c r="AB92" t="str">
        <v>24/09/2026</v>
      </c>
      <c r="AC92" t="str">
        <v>12:43:04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24/09/2026 12:43:13</v>
      </c>
      <c r="AK92" t="str">
        <v>12:43:13</v>
      </c>
      <c r="AL92" t="str">
        <v/>
      </c>
    </row>
    <row r="93">
      <c r="A93">
        <v>92</v>
      </c>
      <c r="B93" t="str">
        <v>MASS BSF</v>
      </c>
      <c r="C93" t="str">
        <v>C6E-921</v>
      </c>
      <c r="D93" t="str">
        <v>C6E-921</v>
      </c>
      <c r="E93" t="str">
        <v/>
      </c>
      <c r="F93" t="str">
        <v>867806078831353</v>
      </c>
      <c r="G93" t="str">
        <v>TBD</v>
      </c>
      <c r="H93" t="str">
        <v/>
      </c>
      <c r="I93" t="str">
        <v/>
      </c>
      <c r="J93" t="str">
        <v>24/09/2026</v>
      </c>
      <c r="K93" t="str">
        <v>12:44:05</v>
      </c>
      <c r="L93">
        <v>-12.37474</v>
      </c>
      <c r="M93">
        <v>-76.78463</v>
      </c>
      <c r="N93">
        <f>HYPERLINK("https://www.google.com/maps/search/?api=1&amp;query=-12.37474,-76.78463","Antigua Panamericana Sur, Punta Negra, Lima")</f>
      </c>
      <c r="O93" t="str">
        <v>Salida de camino vecinal</v>
      </c>
      <c r="P93">
        <v>295148.3</v>
      </c>
      <c r="Q93" t="str">
        <v/>
      </c>
      <c r="R93">
        <v>47.5</v>
      </c>
      <c r="S93">
        <v>113.87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81</v>
      </c>
      <c r="AB93" t="str">
        <v>24/09/2026</v>
      </c>
      <c r="AC93" t="str">
        <v>12:44:03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24/09/2026 12:44:18</v>
      </c>
      <c r="AK93" t="str">
        <v>12:44:18</v>
      </c>
      <c r="AL93" t="str">
        <v/>
      </c>
    </row>
    <row r="94">
      <c r="A94">
        <v>93</v>
      </c>
      <c r="B94" t="str">
        <v>MASS BSF</v>
      </c>
      <c r="C94" t="str">
        <v>C6E-921</v>
      </c>
      <c r="D94" t="str">
        <v>C6E-921</v>
      </c>
      <c r="E94" t="str">
        <v/>
      </c>
      <c r="F94" t="str">
        <v>867806078831353</v>
      </c>
      <c r="G94" t="str">
        <v>TBD</v>
      </c>
      <c r="H94" t="str">
        <v/>
      </c>
      <c r="I94" t="str">
        <v/>
      </c>
      <c r="J94" t="str">
        <v>24/09/2026</v>
      </c>
      <c r="K94" t="str">
        <v>12:44:52</v>
      </c>
      <c r="L94">
        <v>-12.378642</v>
      </c>
      <c r="M94">
        <v>-76.78031</v>
      </c>
      <c r="N94">
        <f>HYPERLINK("https://www.google.com/maps/search/?api=1&amp;query=-12.378642,-76.78031","Antigua Panamericana Sur, San Bartolo, Lima")</f>
      </c>
      <c r="O94" t="str">
        <v>Aceleración brusca</v>
      </c>
      <c r="P94">
        <v>295148.9</v>
      </c>
      <c r="Q94" t="str">
        <v/>
      </c>
      <c r="R94">
        <v>20.3</v>
      </c>
      <c r="S94">
        <v>113.87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81</v>
      </c>
      <c r="AB94" t="str">
        <v>24/09/2026</v>
      </c>
      <c r="AC94" t="str">
        <v>12:44:51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24/09/2026 12:45:02</v>
      </c>
      <c r="AK94" t="str">
        <v>12:45:02</v>
      </c>
      <c r="AL94" t="str">
        <v/>
      </c>
    </row>
    <row r="95">
      <c r="A95">
        <v>94</v>
      </c>
      <c r="B95" t="str">
        <v>MASS BSF</v>
      </c>
      <c r="C95" t="str">
        <v>C6E-921</v>
      </c>
      <c r="D95" t="str">
        <v>C6E-921</v>
      </c>
      <c r="E95" t="str">
        <v/>
      </c>
      <c r="F95" t="str">
        <v>867806078831353</v>
      </c>
      <c r="G95" t="str">
        <v>TBD</v>
      </c>
      <c r="H95" t="str">
        <v/>
      </c>
      <c r="I95" t="str">
        <v/>
      </c>
      <c r="J95" t="str">
        <v>24/09/2026</v>
      </c>
      <c r="K95" t="str">
        <v>12:45:03</v>
      </c>
      <c r="L95">
        <v>-12.379115</v>
      </c>
      <c r="M95">
        <v>-76.779785</v>
      </c>
      <c r="N95">
        <f>HYPERLINK("https://www.google.com/maps/search/?api=1&amp;query=-12.379115,-76.779785","Antigua Panamericana Sur, San Bartolo, Lima")</f>
      </c>
      <c r="O95" t="str">
        <v>Aceleración brusca</v>
      </c>
      <c r="P95">
        <v>295149</v>
      </c>
      <c r="Q95" t="str">
        <v/>
      </c>
      <c r="R95">
        <v>16.8</v>
      </c>
      <c r="S95">
        <v>113.87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81</v>
      </c>
      <c r="AB95" t="str">
        <v>24/09/2026</v>
      </c>
      <c r="AC95" t="str">
        <v>12:45:02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24/09/2026 12:45:22</v>
      </c>
      <c r="AK95" t="str">
        <v>12:45:22</v>
      </c>
      <c r="AL95" t="str">
        <v/>
      </c>
    </row>
    <row r="96">
      <c r="A96">
        <v>95</v>
      </c>
      <c r="B96" t="str">
        <v>MASS BSF</v>
      </c>
      <c r="C96" t="str">
        <v>C6E-921</v>
      </c>
      <c r="D96" t="str">
        <v>C6E-921</v>
      </c>
      <c r="E96" t="str">
        <v/>
      </c>
      <c r="F96" t="str">
        <v>867806078831353</v>
      </c>
      <c r="G96" t="str">
        <v>TBD</v>
      </c>
      <c r="H96" t="str">
        <v/>
      </c>
      <c r="I96" t="str">
        <v/>
      </c>
      <c r="J96" t="str">
        <v>24/09/2026</v>
      </c>
      <c r="K96" t="str">
        <v>12:46:45</v>
      </c>
      <c r="L96">
        <v>-12.384843</v>
      </c>
      <c r="M96">
        <v>-76.77429</v>
      </c>
      <c r="N96">
        <f>HYPERLINK("https://www.google.com/maps/search/?api=1&amp;query=-12.384843,-76.77429","Avenida San Bartolo, Lima")</f>
      </c>
      <c r="O96" t="str">
        <v>Bache</v>
      </c>
      <c r="P96">
        <v>295149.9</v>
      </c>
      <c r="Q96" t="str">
        <v/>
      </c>
      <c r="R96">
        <v>5.9</v>
      </c>
      <c r="S96">
        <v>113.87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81</v>
      </c>
      <c r="AB96" t="str">
        <v>24/09/2026</v>
      </c>
      <c r="AC96" t="str">
        <v>12:46:44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24/09/2026 12:46:55</v>
      </c>
      <c r="AK96" t="str">
        <v>12:46:55</v>
      </c>
      <c r="AL96" t="str">
        <v/>
      </c>
    </row>
    <row r="97">
      <c r="A97">
        <v>96</v>
      </c>
      <c r="B97" t="str">
        <v>MASS BSF</v>
      </c>
      <c r="C97" t="str">
        <v>C6E-921</v>
      </c>
      <c r="D97" t="str">
        <v>C6E-921</v>
      </c>
      <c r="E97" t="str">
        <v/>
      </c>
      <c r="F97" t="str">
        <v>867806078831353</v>
      </c>
      <c r="G97" t="str">
        <v>TBD</v>
      </c>
      <c r="H97" t="str">
        <v/>
      </c>
      <c r="I97" t="str">
        <v/>
      </c>
      <c r="J97" t="str">
        <v>24/09/2026</v>
      </c>
      <c r="K97" t="str">
        <v>12:46:48</v>
      </c>
      <c r="L97">
        <v>-12.384871</v>
      </c>
      <c r="M97">
        <v>-76.77432</v>
      </c>
      <c r="N97">
        <f>HYPERLINK("https://www.google.com/maps/search/?api=1&amp;query=-12.384871,-76.77432","Avenida San Bartolo, Lima")</f>
      </c>
      <c r="O97" t="str">
        <v>Bache</v>
      </c>
      <c r="P97">
        <v>295149.9</v>
      </c>
      <c r="Q97" t="str">
        <v/>
      </c>
      <c r="R97">
        <v>6.8</v>
      </c>
      <c r="S97">
        <v>113.87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81</v>
      </c>
      <c r="AB97" t="str">
        <v>24/09/2026</v>
      </c>
      <c r="AC97" t="str">
        <v>12:46:47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24/09/2026 12:47:13</v>
      </c>
      <c r="AK97" t="str">
        <v>12:47:13</v>
      </c>
      <c r="AL97" t="str">
        <v/>
      </c>
    </row>
    <row r="98">
      <c r="A98">
        <v>97</v>
      </c>
      <c r="B98" t="str">
        <v>MASS BSF</v>
      </c>
      <c r="C98" t="str">
        <v>C6E-921</v>
      </c>
      <c r="D98" t="str">
        <v>C6E-921</v>
      </c>
      <c r="E98" t="str">
        <v/>
      </c>
      <c r="F98" t="str">
        <v>867806078831353</v>
      </c>
      <c r="G98" t="str">
        <v>TBD</v>
      </c>
      <c r="H98" t="str">
        <v/>
      </c>
      <c r="I98" t="str">
        <v/>
      </c>
      <c r="J98" t="str">
        <v>24/09/2026</v>
      </c>
      <c r="K98" t="str">
        <v>12:47:15</v>
      </c>
      <c r="L98">
        <v>-12.386255</v>
      </c>
      <c r="M98">
        <v>-76.77585</v>
      </c>
      <c r="N98">
        <f>HYPERLINK("https://www.google.com/maps/search/?api=1&amp;query=-12.386255,-76.77585","Avenida San Bartolo, Lima")</f>
      </c>
      <c r="O98" t="str">
        <v>Aceleración brusca</v>
      </c>
      <c r="P98">
        <v>295150.2</v>
      </c>
      <c r="Q98" t="str">
        <v/>
      </c>
      <c r="R98">
        <v>25.9</v>
      </c>
      <c r="S98">
        <v>113.87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81</v>
      </c>
      <c r="AB98" t="str">
        <v>24/09/2026</v>
      </c>
      <c r="AC98" t="str">
        <v>12:47:14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24/09/2026 12:47:23</v>
      </c>
      <c r="AK98" t="str">
        <v>12:47:23</v>
      </c>
      <c r="AL98" t="str">
        <v/>
      </c>
    </row>
    <row r="99">
      <c r="A99">
        <v>98</v>
      </c>
      <c r="B99" t="str">
        <v>MASS BSF</v>
      </c>
      <c r="C99" t="str">
        <v>C6E-921</v>
      </c>
      <c r="D99" t="str">
        <v>C6E-921</v>
      </c>
      <c r="E99" t="str">
        <v/>
      </c>
      <c r="F99" t="str">
        <v>867806078831353</v>
      </c>
      <c r="G99" t="str">
        <v>TBD</v>
      </c>
      <c r="H99" t="str">
        <v/>
      </c>
      <c r="I99" t="str">
        <v/>
      </c>
      <c r="J99" t="str">
        <v>24/09/2026</v>
      </c>
      <c r="K99" t="str">
        <v>12:47:20</v>
      </c>
      <c r="L99">
        <v>-12.386382</v>
      </c>
      <c r="M99">
        <v>-76.77598</v>
      </c>
      <c r="N99">
        <f>HYPERLINK("https://www.google.com/maps/search/?api=1&amp;query=-12.386382,-76.77598","Avenida San Bartolo, Lima")</f>
      </c>
      <c r="O99" t="str">
        <v>Bache</v>
      </c>
      <c r="P99">
        <v>295150.2</v>
      </c>
      <c r="Q99" t="str">
        <v/>
      </c>
      <c r="R99">
        <v>5.1</v>
      </c>
      <c r="S99">
        <v>113.87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81</v>
      </c>
      <c r="AB99" t="str">
        <v>24/09/2026</v>
      </c>
      <c r="AC99" t="str">
        <v>12:47:19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24/09/2026 12:47:37</v>
      </c>
      <c r="AK99" t="str">
        <v>12:47:37</v>
      </c>
      <c r="AL99" t="str">
        <v/>
      </c>
    </row>
    <row r="100">
      <c r="A100">
        <v>99</v>
      </c>
      <c r="B100" t="str">
        <v>MASS BSF</v>
      </c>
      <c r="C100" t="str">
        <v>C6E-921</v>
      </c>
      <c r="D100" t="str">
        <v>C6E-921</v>
      </c>
      <c r="E100" t="str">
        <v/>
      </c>
      <c r="F100" t="str">
        <v>867806078831353</v>
      </c>
      <c r="G100" t="str">
        <v>TBD</v>
      </c>
      <c r="H100" t="str">
        <v/>
      </c>
      <c r="I100" t="str">
        <v/>
      </c>
      <c r="J100" t="str">
        <v>24/09/2026</v>
      </c>
      <c r="K100" t="str">
        <v>12:47:22</v>
      </c>
      <c r="L100">
        <v>-12.386402</v>
      </c>
      <c r="M100">
        <v>-76.776</v>
      </c>
      <c r="N100">
        <f>HYPERLINK("https://www.google.com/maps/search/?api=1&amp;query=-12.386402,-76.776","Avenida San Bartolo, Lima")</f>
      </c>
      <c r="O100" t="str">
        <v>Acelerado y giro brusco</v>
      </c>
      <c r="P100">
        <v>295150.2</v>
      </c>
      <c r="Q100" t="str">
        <v/>
      </c>
      <c r="R100">
        <v>5.9</v>
      </c>
      <c r="S100">
        <v>113.87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81</v>
      </c>
      <c r="AB100" t="str">
        <v>24/09/2026</v>
      </c>
      <c r="AC100" t="str">
        <v>12:47:21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24/09/2026 12:47:36</v>
      </c>
      <c r="AK100" t="str">
        <v>12:47:36</v>
      </c>
      <c r="AL100" t="str">
        <v/>
      </c>
    </row>
    <row r="101">
      <c r="A101">
        <v>100</v>
      </c>
      <c r="B101" t="str">
        <v>MASS BSF</v>
      </c>
      <c r="C101" t="str">
        <v>C6E-921</v>
      </c>
      <c r="D101" t="str">
        <v>C6E-921</v>
      </c>
      <c r="E101" t="str">
        <v/>
      </c>
      <c r="F101" t="str">
        <v>867806078831353</v>
      </c>
      <c r="G101" t="str">
        <v>TBD</v>
      </c>
      <c r="H101" t="str">
        <v/>
      </c>
      <c r="I101" t="str">
        <v/>
      </c>
      <c r="J101" t="str">
        <v>24/09/2026</v>
      </c>
      <c r="K101" t="str">
        <v>12:47:46</v>
      </c>
      <c r="L101">
        <v>-12.387362</v>
      </c>
      <c r="M101">
        <v>-76.777054</v>
      </c>
      <c r="N101">
        <f>HYPERLINK("https://www.google.com/maps/search/?api=1&amp;query=-12.387362,-76.777054","Avenida San Bartolo, Lima")</f>
      </c>
      <c r="O101" t="str">
        <v>Aceleración brusca</v>
      </c>
      <c r="P101">
        <v>295150.3</v>
      </c>
      <c r="Q101" t="str">
        <v/>
      </c>
      <c r="R101">
        <v>13.7</v>
      </c>
      <c r="S101">
        <v>113.87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81</v>
      </c>
      <c r="AB101" t="str">
        <v>24/09/2026</v>
      </c>
      <c r="AC101" t="str">
        <v>12:47:44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24/09/2026 12:48:10</v>
      </c>
      <c r="AK101" t="str">
        <v>12:48:10</v>
      </c>
      <c r="AL101" t="str">
        <v/>
      </c>
    </row>
    <row r="102">
      <c r="A102">
        <v>101</v>
      </c>
      <c r="B102" t="str">
        <v>MASS BSF</v>
      </c>
      <c r="C102" t="str">
        <v>C6E-921</v>
      </c>
      <c r="D102" t="str">
        <v>C6E-921</v>
      </c>
      <c r="E102" t="str">
        <v/>
      </c>
      <c r="F102" t="str">
        <v>867806078831353</v>
      </c>
      <c r="G102" t="str">
        <v>TBD</v>
      </c>
      <c r="H102" t="str">
        <v/>
      </c>
      <c r="I102" t="str">
        <v/>
      </c>
      <c r="J102" t="str">
        <v>24/09/2026</v>
      </c>
      <c r="K102" t="str">
        <v>12:50:16</v>
      </c>
      <c r="L102">
        <v>-12.389261</v>
      </c>
      <c r="M102">
        <v>-76.77849</v>
      </c>
      <c r="N102">
        <f>HYPERLINK("https://www.google.com/maps/search/?api=1&amp;query=-12.389261,-76.77849","Calle Los Barcos, San Bartolo, Lima")</f>
      </c>
      <c r="O102" t="str">
        <v>Vehículo apagado</v>
      </c>
      <c r="P102">
        <v>295150.7</v>
      </c>
      <c r="Q102" t="str">
        <v/>
      </c>
      <c r="R102">
        <v>0</v>
      </c>
      <c r="S102">
        <v>114.03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83</v>
      </c>
      <c r="AB102" t="str">
        <v>24/09/2026</v>
      </c>
      <c r="AC102" t="str">
        <v>12:50:15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24/09/2026 12:50:30</v>
      </c>
      <c r="AK102" t="str">
        <v>12:50:30</v>
      </c>
      <c r="AL102" t="str">
        <v/>
      </c>
    </row>
    <row r="103">
      <c r="A103">
        <v>102</v>
      </c>
      <c r="B103" t="str">
        <v>MASS BSF</v>
      </c>
      <c r="C103" t="str">
        <v>C6E-921</v>
      </c>
      <c r="D103" t="str">
        <v>C6E-921</v>
      </c>
      <c r="E103" t="str">
        <v/>
      </c>
      <c r="F103" t="str">
        <v>867806078831353</v>
      </c>
      <c r="G103" t="str">
        <v>TBD</v>
      </c>
      <c r="H103" t="str">
        <v/>
      </c>
      <c r="I103" t="str">
        <v/>
      </c>
      <c r="J103" t="str">
        <v>24/09/2026</v>
      </c>
      <c r="K103" t="str">
        <v>12:56:50</v>
      </c>
      <c r="L103">
        <v>-12.389261</v>
      </c>
      <c r="M103">
        <v>-76.77849</v>
      </c>
      <c r="N103">
        <f>HYPERLINK("https://www.google.com/maps/search/?api=1&amp;query=-12.389261,-76.77849","Calle Los Barcos, San Bartolo, Lima")</f>
      </c>
      <c r="O103" t="str">
        <v>Se detuvo</v>
      </c>
      <c r="P103">
        <v>295150.7</v>
      </c>
      <c r="Q103" t="str">
        <v/>
      </c>
      <c r="R103">
        <v>0</v>
      </c>
      <c r="S103">
        <v>114.03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83</v>
      </c>
      <c r="AB103" t="str">
        <v>24/09/2026</v>
      </c>
      <c r="AC103" t="str">
        <v>12:56:48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24/09/2026 12:57:00</v>
      </c>
      <c r="AK103" t="str">
        <v>12:57:00</v>
      </c>
      <c r="AL103" t="str">
        <v/>
      </c>
    </row>
    <row r="104">
      <c r="A104">
        <v>103</v>
      </c>
      <c r="B104" t="str">
        <v>MASS BSF</v>
      </c>
      <c r="C104" t="str">
        <v>C6E-921</v>
      </c>
      <c r="D104" t="str">
        <v>C6E-921</v>
      </c>
      <c r="E104" t="str">
        <v/>
      </c>
      <c r="F104" t="str">
        <v>867806078831353</v>
      </c>
      <c r="G104" t="str">
        <v>TBD</v>
      </c>
      <c r="H104" t="str">
        <v/>
      </c>
      <c r="I104" t="str">
        <v/>
      </c>
      <c r="J104" t="str">
        <v>24/09/2026</v>
      </c>
      <c r="K104" t="str">
        <v>13:23:46</v>
      </c>
      <c r="L104">
        <v>-12.389261</v>
      </c>
      <c r="M104">
        <v>-76.77849</v>
      </c>
      <c r="N104">
        <f>HYPERLINK("https://www.google.com/maps/search/?api=1&amp;query=-12.389261,-76.77849","Calle Los Barcos, San Bartolo, Lima")</f>
      </c>
      <c r="O104" t="str">
        <v>Vehículo encendido</v>
      </c>
      <c r="P104">
        <v>295150.7</v>
      </c>
      <c r="Q104" t="str">
        <v/>
      </c>
      <c r="R104">
        <v>0</v>
      </c>
      <c r="S104">
        <v>114.03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92</v>
      </c>
      <c r="AB104" t="str">
        <v>24/09/2026</v>
      </c>
      <c r="AC104" t="str">
        <v>13:23:45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24/09/2026 13:24:01</v>
      </c>
      <c r="AK104" t="str">
        <v>13:24:01</v>
      </c>
      <c r="AL104" t="str">
        <v/>
      </c>
    </row>
    <row r="105">
      <c r="A105">
        <v>104</v>
      </c>
      <c r="B105" t="str">
        <v>MASS BSF</v>
      </c>
      <c r="C105" t="str">
        <v>C6E-921</v>
      </c>
      <c r="D105" t="str">
        <v>C6E-921</v>
      </c>
      <c r="E105" t="str">
        <v/>
      </c>
      <c r="F105" t="str">
        <v>867806078831353</v>
      </c>
      <c r="G105" t="str">
        <v>TBD</v>
      </c>
      <c r="H105" t="str">
        <v/>
      </c>
      <c r="I105" t="str">
        <v/>
      </c>
      <c r="J105" t="str">
        <v>24/09/2026</v>
      </c>
      <c r="K105" t="str">
        <v>13:25:35</v>
      </c>
      <c r="L105">
        <v>-12.387002</v>
      </c>
      <c r="M105">
        <v>-76.77663</v>
      </c>
      <c r="N105">
        <f>HYPERLINK("https://www.google.com/maps/search/?api=1&amp;query=-12.387002,-76.77663","Calle Enrique Schemel Vargas, San Bartolo, Lima")</f>
      </c>
      <c r="O105" t="str">
        <v>Ingreso a camino vecinal</v>
      </c>
      <c r="P105">
        <v>295151</v>
      </c>
      <c r="Q105" t="str">
        <v/>
      </c>
      <c r="R105">
        <v>18.1</v>
      </c>
      <c r="S105">
        <v>114.03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89</v>
      </c>
      <c r="AB105" t="str">
        <v>24/09/2026</v>
      </c>
      <c r="AC105" t="str">
        <v>13:25:33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24/09/2026 13:25:41</v>
      </c>
      <c r="AK105" t="str">
        <v>13:25:41</v>
      </c>
      <c r="AL105" t="str">
        <v/>
      </c>
    </row>
    <row r="106">
      <c r="A106">
        <v>105</v>
      </c>
      <c r="B106" t="str">
        <v>MASS BSF</v>
      </c>
      <c r="C106" t="str">
        <v>C6E-921</v>
      </c>
      <c r="D106" t="str">
        <v>C6E-921</v>
      </c>
      <c r="E106" t="str">
        <v/>
      </c>
      <c r="F106" t="str">
        <v>867806078831353</v>
      </c>
      <c r="G106" t="str">
        <v>TBD</v>
      </c>
      <c r="H106" t="str">
        <v/>
      </c>
      <c r="I106" t="str">
        <v/>
      </c>
      <c r="J106" t="str">
        <v>24/09/2026</v>
      </c>
      <c r="K106" t="str">
        <v>13:26:35</v>
      </c>
      <c r="L106">
        <v>-12.3881</v>
      </c>
      <c r="M106">
        <v>-76.774895</v>
      </c>
      <c r="N106">
        <f>HYPERLINK("https://www.google.com/maps/search/?api=1&amp;query=-12.3881,-76.774895","Almirante Miguel Grau, San Bartolo, Lima")</f>
      </c>
      <c r="O106" t="str">
        <v>Salida de camino vecinal</v>
      </c>
      <c r="P106">
        <v>295151.3</v>
      </c>
      <c r="Q106" t="str">
        <v/>
      </c>
      <c r="R106">
        <v>11.4</v>
      </c>
      <c r="S106">
        <v>114.03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89</v>
      </c>
      <c r="AB106" t="str">
        <v>24/09/2026</v>
      </c>
      <c r="AC106" t="str">
        <v>13:26:33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24/09/2026 13:26:43</v>
      </c>
      <c r="AK106" t="str">
        <v>13:26:43</v>
      </c>
      <c r="AL106" t="str">
        <v/>
      </c>
    </row>
    <row r="107">
      <c r="A107">
        <v>106</v>
      </c>
      <c r="B107" t="str">
        <v>MASS BSF</v>
      </c>
      <c r="C107" t="str">
        <v>C6E-921</v>
      </c>
      <c r="D107" t="str">
        <v>C6E-921</v>
      </c>
      <c r="E107" t="str">
        <v/>
      </c>
      <c r="F107" t="str">
        <v>867806078831353</v>
      </c>
      <c r="G107" t="str">
        <v>TBD</v>
      </c>
      <c r="H107" t="str">
        <v/>
      </c>
      <c r="I107" t="str">
        <v/>
      </c>
      <c r="J107" t="str">
        <v>24/09/2026</v>
      </c>
      <c r="K107" t="str">
        <v>13:29:47</v>
      </c>
      <c r="L107">
        <v>-12.386632</v>
      </c>
      <c r="M107">
        <v>-76.77174</v>
      </c>
      <c r="N107">
        <f>HYPERLINK("https://www.google.com/maps/search/?api=1&amp;query=-12.386632,-76.77174","Avenida San José, San Bartolo, Lima")</f>
      </c>
      <c r="O107" t="str">
        <v>Vehículo apagado</v>
      </c>
      <c r="P107">
        <v>295151.7</v>
      </c>
      <c r="Q107" t="str">
        <v/>
      </c>
      <c r="R107">
        <v>0</v>
      </c>
      <c r="S107">
        <v>114.13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85</v>
      </c>
      <c r="AB107" t="str">
        <v>24/09/2026</v>
      </c>
      <c r="AC107" t="str">
        <v>13:29:46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24/09/2026 13:29:57</v>
      </c>
      <c r="AK107" t="str">
        <v>13:29:57</v>
      </c>
      <c r="AL107" t="str">
        <v/>
      </c>
    </row>
    <row r="108">
      <c r="A108">
        <v>107</v>
      </c>
      <c r="B108" t="str">
        <v>MASS BSF</v>
      </c>
      <c r="C108" t="str">
        <v>C6E-921</v>
      </c>
      <c r="D108" t="str">
        <v>C6E-921</v>
      </c>
      <c r="E108" t="str">
        <v/>
      </c>
      <c r="F108" t="str">
        <v>867806078831353</v>
      </c>
      <c r="G108" t="str">
        <v>TBD</v>
      </c>
      <c r="H108" t="str">
        <v/>
      </c>
      <c r="I108" t="str">
        <v/>
      </c>
      <c r="J108" t="str">
        <v>24/09/2026</v>
      </c>
      <c r="K108" t="str">
        <v>13:37:26</v>
      </c>
      <c r="L108">
        <v>-12.386632</v>
      </c>
      <c r="M108">
        <v>-76.77174</v>
      </c>
      <c r="N108">
        <f>HYPERLINK("https://www.google.com/maps/search/?api=1&amp;query=-12.386632,-76.77174","Avenida San José, San Bartolo, Lima")</f>
      </c>
      <c r="O108" t="str">
        <v>Se detuvo</v>
      </c>
      <c r="P108">
        <v>295151.7</v>
      </c>
      <c r="Q108" t="str">
        <v/>
      </c>
      <c r="R108">
        <v>0</v>
      </c>
      <c r="S108">
        <v>114.13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85</v>
      </c>
      <c r="AB108" t="str">
        <v>24/09/2026</v>
      </c>
      <c r="AC108" t="str">
        <v>13:37:24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24/09/2026 13:37:37</v>
      </c>
      <c r="AK108" t="str">
        <v>13:37:37</v>
      </c>
      <c r="AL108" t="str">
        <v/>
      </c>
    </row>
    <row r="109">
      <c r="A109">
        <v>108</v>
      </c>
      <c r="B109" t="str">
        <v>MASS BSF</v>
      </c>
      <c r="C109" t="str">
        <v>C6E-921</v>
      </c>
      <c r="D109" t="str">
        <v>C6E-921</v>
      </c>
      <c r="E109" t="str">
        <v/>
      </c>
      <c r="F109" t="str">
        <v>867806078831353</v>
      </c>
      <c r="G109" t="str">
        <v>TBD</v>
      </c>
      <c r="H109" t="str">
        <v/>
      </c>
      <c r="I109" t="str">
        <v/>
      </c>
      <c r="J109" t="str">
        <v>24/09/2026</v>
      </c>
      <c r="K109" t="str">
        <v>13:42:38</v>
      </c>
      <c r="L109">
        <v>-12.386632</v>
      </c>
      <c r="M109">
        <v>-76.77174</v>
      </c>
      <c r="N109">
        <f>HYPERLINK("https://www.google.com/maps/search/?api=1&amp;query=-12.386632,-76.77174","Avenida San José, San Bartolo, Lima")</f>
      </c>
      <c r="O109" t="str">
        <v>Vehículo encendido</v>
      </c>
      <c r="P109">
        <v>295151.7</v>
      </c>
      <c r="Q109" t="str">
        <v/>
      </c>
      <c r="R109">
        <v>0</v>
      </c>
      <c r="S109">
        <v>114.13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85</v>
      </c>
      <c r="AB109" t="str">
        <v>24/09/2026</v>
      </c>
      <c r="AC109" t="str">
        <v>13:42:37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24/09/2026 13:42:49</v>
      </c>
      <c r="AK109" t="str">
        <v>13:42:49</v>
      </c>
      <c r="AL109" t="str">
        <v/>
      </c>
    </row>
    <row r="110">
      <c r="A110">
        <v>109</v>
      </c>
      <c r="B110" t="str">
        <v>MASS BSF</v>
      </c>
      <c r="C110" t="str">
        <v>C6E-921</v>
      </c>
      <c r="D110" t="str">
        <v>C6E-921</v>
      </c>
      <c r="E110" t="str">
        <v/>
      </c>
      <c r="F110" t="str">
        <v>867806078831353</v>
      </c>
      <c r="G110" t="str">
        <v>TBD</v>
      </c>
      <c r="H110" t="str">
        <v/>
      </c>
      <c r="I110" t="str">
        <v/>
      </c>
      <c r="J110" t="str">
        <v>24/09/2026</v>
      </c>
      <c r="K110" t="str">
        <v>13:45:55</v>
      </c>
      <c r="L110">
        <v>-12.386632</v>
      </c>
      <c r="M110">
        <v>-76.77174</v>
      </c>
      <c r="N110">
        <f>HYPERLINK("https://www.google.com/maps/search/?api=1&amp;query=-12.386632,-76.77174","Avenida San José, San Bartolo, Lima")</f>
      </c>
      <c r="O110" t="str">
        <v>Inicio de ralentí</v>
      </c>
      <c r="P110">
        <v>295151.7</v>
      </c>
      <c r="Q110" t="str">
        <v/>
      </c>
      <c r="R110">
        <v>0</v>
      </c>
      <c r="S110">
        <v>114.13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87</v>
      </c>
      <c r="AB110" t="str">
        <v>24/09/2026</v>
      </c>
      <c r="AC110" t="str">
        <v>13:45:53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24/09/2026 13:46:06</v>
      </c>
      <c r="AK110" t="str">
        <v>13:46:06</v>
      </c>
      <c r="AL110" t="str">
        <v/>
      </c>
    </row>
    <row r="111">
      <c r="A111">
        <v>110</v>
      </c>
      <c r="B111" t="str">
        <v>MASS BSF</v>
      </c>
      <c r="C111" t="str">
        <v>C6E-921</v>
      </c>
      <c r="D111" t="str">
        <v>C6E-921</v>
      </c>
      <c r="E111" t="str">
        <v/>
      </c>
      <c r="F111" t="str">
        <v>867806078831353</v>
      </c>
      <c r="G111" t="str">
        <v>TBD</v>
      </c>
      <c r="H111" t="str">
        <v/>
      </c>
      <c r="I111" t="str">
        <v/>
      </c>
      <c r="J111" t="str">
        <v>24/09/2026</v>
      </c>
      <c r="K111" t="str">
        <v>13:46:17</v>
      </c>
      <c r="L111">
        <v>-12.386706</v>
      </c>
      <c r="M111">
        <v>-76.7717</v>
      </c>
      <c r="N111">
        <f>HYPERLINK("https://www.google.com/maps/search/?api=1&amp;query=-12.386706,-76.7717","San Bartolo, Lima")</f>
      </c>
      <c r="O111" t="str">
        <v>Fin de ralentí</v>
      </c>
      <c r="P111">
        <v>295151.7</v>
      </c>
      <c r="Q111" t="str">
        <v/>
      </c>
      <c r="R111">
        <v>5.5</v>
      </c>
      <c r="S111">
        <v>114.13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87</v>
      </c>
      <c r="AB111" t="str">
        <v>24/09/2026</v>
      </c>
      <c r="AC111" t="str">
        <v>13:46:16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24/09/2026 13:46:29</v>
      </c>
      <c r="AK111" t="str">
        <v>13:46:29</v>
      </c>
      <c r="AL111" t="str">
        <v/>
      </c>
    </row>
    <row r="112">
      <c r="A112">
        <v>111</v>
      </c>
      <c r="B112" t="str">
        <v>MASS BSF</v>
      </c>
      <c r="C112" t="str">
        <v>C6E-921</v>
      </c>
      <c r="D112" t="str">
        <v>C6E-921</v>
      </c>
      <c r="E112" t="str">
        <v/>
      </c>
      <c r="F112" t="str">
        <v>867806078831353</v>
      </c>
      <c r="G112" t="str">
        <v>TBD</v>
      </c>
      <c r="H112" t="str">
        <v/>
      </c>
      <c r="I112" t="str">
        <v/>
      </c>
      <c r="J112" t="str">
        <v>24/09/2026</v>
      </c>
      <c r="K112" t="str">
        <v>13:47:05</v>
      </c>
      <c r="L112">
        <v>-12.38654</v>
      </c>
      <c r="M112">
        <v>-76.77183</v>
      </c>
      <c r="N112">
        <f>HYPERLINK("https://www.google.com/maps/search/?api=1&amp;query=-12.38654,-76.77183","Avenida San José, San Bartolo, Lima")</f>
      </c>
      <c r="O112" t="str">
        <v>Bache</v>
      </c>
      <c r="P112">
        <v>295151.8</v>
      </c>
      <c r="Q112" t="str">
        <v/>
      </c>
      <c r="R112">
        <v>7.2</v>
      </c>
      <c r="S112">
        <v>114.13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88</v>
      </c>
      <c r="AB112" t="str">
        <v>24/09/2026</v>
      </c>
      <c r="AC112" t="str">
        <v>13:47:04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24/09/2026 13:47:26</v>
      </c>
      <c r="AK112" t="str">
        <v>13:47:26</v>
      </c>
      <c r="AL112" t="str">
        <v/>
      </c>
    </row>
    <row r="113">
      <c r="A113">
        <v>112</v>
      </c>
      <c r="B113" t="str">
        <v>MASS BSF</v>
      </c>
      <c r="C113" t="str">
        <v>C6E-921</v>
      </c>
      <c r="D113" t="str">
        <v>C6E-921</v>
      </c>
      <c r="E113" t="str">
        <v/>
      </c>
      <c r="F113" t="str">
        <v>867806078831353</v>
      </c>
      <c r="G113" t="str">
        <v>TBD</v>
      </c>
      <c r="H113" t="str">
        <v/>
      </c>
      <c r="I113" t="str">
        <v/>
      </c>
      <c r="J113" t="str">
        <v>24/09/2026</v>
      </c>
      <c r="K113" t="str">
        <v>13:53:25</v>
      </c>
      <c r="L113">
        <v>-12.42255</v>
      </c>
      <c r="M113">
        <v>-76.75404</v>
      </c>
      <c r="N113">
        <f>HYPERLINK("https://www.google.com/maps/search/?api=1&amp;query=-12.42255,-76.75404","Carretera Panamericana Sur, Chilca, Cañete, Lima")</f>
      </c>
      <c r="O113" t="str">
        <v>Ingreso a camino vecinal</v>
      </c>
      <c r="P113">
        <v>295156.7</v>
      </c>
      <c r="Q113" t="str">
        <v/>
      </c>
      <c r="R113">
        <v>45.9</v>
      </c>
      <c r="S113">
        <v>114.13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84</v>
      </c>
      <c r="AB113" t="str">
        <v>24/09/2026</v>
      </c>
      <c r="AC113" t="str">
        <v>13:53:23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24/09/2026 13:53:31</v>
      </c>
      <c r="AK113" t="str">
        <v>13:53:31</v>
      </c>
      <c r="AL113" t="str">
        <v/>
      </c>
    </row>
    <row r="114">
      <c r="A114">
        <v>113</v>
      </c>
      <c r="B114" t="str">
        <v>MASS BSF</v>
      </c>
      <c r="C114" t="str">
        <v>C6E-921</v>
      </c>
      <c r="D114" t="str">
        <v>C6E-921</v>
      </c>
      <c r="E114" t="str">
        <v/>
      </c>
      <c r="F114" t="str">
        <v>867806078831353</v>
      </c>
      <c r="G114" t="str">
        <v>TBD</v>
      </c>
      <c r="H114" t="str">
        <v/>
      </c>
      <c r="I114" t="str">
        <v/>
      </c>
      <c r="J114" t="str">
        <v>24/09/2026</v>
      </c>
      <c r="K114" t="str">
        <v>13:54:25</v>
      </c>
      <c r="L114">
        <v>-12.428242</v>
      </c>
      <c r="M114">
        <v>-76.75354</v>
      </c>
      <c r="N114">
        <f>HYPERLINK("https://www.google.com/maps/search/?api=1&amp;query=-12.428242,-76.75354","Carretera Panamericana Sur, Santa María del Mar, Lima")</f>
      </c>
      <c r="O114" t="str">
        <v>Salida de camino vecinal</v>
      </c>
      <c r="P114">
        <v>295157.3</v>
      </c>
      <c r="Q114" t="str">
        <v/>
      </c>
      <c r="R114">
        <v>47.4</v>
      </c>
      <c r="S114">
        <v>114.13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87</v>
      </c>
      <c r="AB114" t="str">
        <v>24/09/2026</v>
      </c>
      <c r="AC114" t="str">
        <v>13:54:23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24/09/2026 13:54:45</v>
      </c>
      <c r="AK114" t="str">
        <v>13:54:45</v>
      </c>
      <c r="AL114" t="str">
        <v/>
      </c>
    </row>
    <row r="115">
      <c r="A115">
        <v>114</v>
      </c>
      <c r="B115" t="str">
        <v>MASS BSF</v>
      </c>
      <c r="C115" t="str">
        <v>C6E-921</v>
      </c>
      <c r="D115" t="str">
        <v>C6E-921</v>
      </c>
      <c r="E115" t="str">
        <v/>
      </c>
      <c r="F115" t="str">
        <v>867806078831353</v>
      </c>
      <c r="G115" t="str">
        <v>TBD</v>
      </c>
      <c r="H115" t="str">
        <v/>
      </c>
      <c r="I115" t="str">
        <v/>
      </c>
      <c r="J115" t="str">
        <v>24/09/2026</v>
      </c>
      <c r="K115" t="str">
        <v>13:59:25</v>
      </c>
      <c r="L115">
        <v>-12.46547</v>
      </c>
      <c r="M115">
        <v>-76.75275</v>
      </c>
      <c r="N115">
        <f>HYPERLINK("https://www.google.com/maps/search/?api=1&amp;query=-12.46547,-76.75275","Chilca, Cañete, Lima")</f>
      </c>
      <c r="O115" t="str">
        <v>Ingreso a camino vecinal</v>
      </c>
      <c r="P115">
        <v>295161.6</v>
      </c>
      <c r="Q115" t="str">
        <v/>
      </c>
      <c r="R115">
        <v>18.5</v>
      </c>
      <c r="S115">
        <v>114.13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84</v>
      </c>
      <c r="AB115" t="str">
        <v>24/09/2026</v>
      </c>
      <c r="AC115" t="str">
        <v>13:59:23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24/09/2026 13:59:42</v>
      </c>
      <c r="AK115" t="str">
        <v>13:59:42</v>
      </c>
      <c r="AL115" t="str">
        <v/>
      </c>
    </row>
    <row r="116">
      <c r="A116">
        <v>115</v>
      </c>
      <c r="B116" t="str">
        <v>MASS BSF</v>
      </c>
      <c r="C116" t="str">
        <v>C6E-921</v>
      </c>
      <c r="D116" t="str">
        <v>C6E-921</v>
      </c>
      <c r="E116" t="str">
        <v/>
      </c>
      <c r="F116" t="str">
        <v>867806078831353</v>
      </c>
      <c r="G116" t="str">
        <v>TBD</v>
      </c>
      <c r="H116" t="str">
        <v/>
      </c>
      <c r="I116" t="str">
        <v/>
      </c>
      <c r="J116" t="str">
        <v>24/09/2026</v>
      </c>
      <c r="K116" t="str">
        <v>14:03:00</v>
      </c>
      <c r="L116">
        <v>-12.466565</v>
      </c>
      <c r="M116">
        <v>-76.75307</v>
      </c>
      <c r="N116">
        <f>HYPERLINK("https://www.google.com/maps/search/?api=1&amp;query=-12.466565,-76.75307","D, Chilca, Cañete, Lima")</f>
      </c>
      <c r="O116" t="str">
        <v>Inicio de ralentí</v>
      </c>
      <c r="P116">
        <v>295161.7</v>
      </c>
      <c r="Q116" t="str">
        <v/>
      </c>
      <c r="R116">
        <v>0</v>
      </c>
      <c r="S116">
        <v>114.13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87</v>
      </c>
      <c r="AB116" t="str">
        <v>24/09/2026</v>
      </c>
      <c r="AC116" t="str">
        <v>14:02:58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24/09/2026 14:03:21</v>
      </c>
      <c r="AK116" t="str">
        <v>14:03:21</v>
      </c>
      <c r="AL116" t="str">
        <v/>
      </c>
    </row>
    <row r="117">
      <c r="A117">
        <v>116</v>
      </c>
      <c r="B117" t="str">
        <v>MASS BSF</v>
      </c>
      <c r="C117" t="str">
        <v>C6E-921</v>
      </c>
      <c r="D117" t="str">
        <v>C6E-921</v>
      </c>
      <c r="E117" t="str">
        <v/>
      </c>
      <c r="F117" t="str">
        <v>867806078831353</v>
      </c>
      <c r="G117" t="str">
        <v>TBD</v>
      </c>
      <c r="H117" t="str">
        <v/>
      </c>
      <c r="I117" t="str">
        <v/>
      </c>
      <c r="J117" t="str">
        <v>24/09/2026</v>
      </c>
      <c r="K117" t="str">
        <v>14:05:24</v>
      </c>
      <c r="L117">
        <v>-12.466587</v>
      </c>
      <c r="M117">
        <v>-76.75306</v>
      </c>
      <c r="N117">
        <f>HYPERLINK("https://www.google.com/maps/search/?api=1&amp;query=-12.466587,-76.75306","D, Chilca, Cañete, Lima")</f>
      </c>
      <c r="O117" t="str">
        <v>Fin de ralentí</v>
      </c>
      <c r="P117">
        <v>295161.7</v>
      </c>
      <c r="Q117" t="str">
        <v/>
      </c>
      <c r="R117">
        <v>5.7</v>
      </c>
      <c r="S117">
        <v>114.13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87</v>
      </c>
      <c r="AB117" t="str">
        <v>24/09/2026</v>
      </c>
      <c r="AC117" t="str">
        <v>14:05:23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24/09/2026 14:05:44</v>
      </c>
      <c r="AK117" t="str">
        <v>14:05:44</v>
      </c>
      <c r="AL117" t="str">
        <v/>
      </c>
    </row>
    <row r="118">
      <c r="A118">
        <v>117</v>
      </c>
      <c r="B118" t="str">
        <v>MASS BSF</v>
      </c>
      <c r="C118" t="str">
        <v>C6E-921</v>
      </c>
      <c r="D118" t="str">
        <v>C6E-921</v>
      </c>
      <c r="E118" t="str">
        <v/>
      </c>
      <c r="F118" t="str">
        <v>867806078831353</v>
      </c>
      <c r="G118" t="str">
        <v>TBD</v>
      </c>
      <c r="H118" t="str">
        <v/>
      </c>
      <c r="I118" t="str">
        <v/>
      </c>
      <c r="J118" t="str">
        <v>24/09/2026</v>
      </c>
      <c r="K118" t="str">
        <v>14:05:25</v>
      </c>
      <c r="L118">
        <v>-12.466587</v>
      </c>
      <c r="M118">
        <v>-76.75306</v>
      </c>
      <c r="N118">
        <f>HYPERLINK("https://www.google.com/maps/search/?api=1&amp;query=-12.466587,-76.75306","D, Chilca, Cañete, Lima")</f>
      </c>
      <c r="O118" t="str">
        <v>Salida de camino vecinal</v>
      </c>
      <c r="P118">
        <v>295161.7</v>
      </c>
      <c r="Q118" t="str">
        <v/>
      </c>
      <c r="R118">
        <v>5.7</v>
      </c>
      <c r="S118">
        <v>114.13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87</v>
      </c>
      <c r="AB118" t="str">
        <v>24/09/2026</v>
      </c>
      <c r="AC118" t="str">
        <v>14:05:23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24/09/2026 14:05:42</v>
      </c>
      <c r="AK118" t="str">
        <v>14:05:42</v>
      </c>
      <c r="AL118" t="str">
        <v/>
      </c>
    </row>
    <row r="119">
      <c r="A119">
        <v>118</v>
      </c>
      <c r="B119" t="str">
        <v>MASS BSF</v>
      </c>
      <c r="C119" t="str">
        <v>C6E-921</v>
      </c>
      <c r="D119" t="str">
        <v>C6E-921</v>
      </c>
      <c r="E119" t="str">
        <v/>
      </c>
      <c r="F119" t="str">
        <v>867806078831353</v>
      </c>
      <c r="G119" t="str">
        <v>TBD</v>
      </c>
      <c r="H119" t="str">
        <v/>
      </c>
      <c r="I119" t="str">
        <v/>
      </c>
      <c r="J119" t="str">
        <v>24/09/2026</v>
      </c>
      <c r="K119" t="str">
        <v>14:08:26</v>
      </c>
      <c r="L119">
        <v>-12.46665</v>
      </c>
      <c r="M119">
        <v>-76.75304</v>
      </c>
      <c r="N119">
        <f>HYPERLINK("https://www.google.com/maps/search/?api=1&amp;query=-12.46665,-76.75304","D, Chilca, Cañete, Lima")</f>
      </c>
      <c r="O119" t="str">
        <v>Inicio de ralentí</v>
      </c>
      <c r="P119">
        <v>295161.7</v>
      </c>
      <c r="Q119" t="str">
        <v/>
      </c>
      <c r="R119">
        <v>0</v>
      </c>
      <c r="S119">
        <v>114.13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84</v>
      </c>
      <c r="AB119" t="str">
        <v>24/09/2026</v>
      </c>
      <c r="AC119" t="str">
        <v>14:08:24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24/09/2026 14:08:31</v>
      </c>
      <c r="AK119" t="str">
        <v>14:08:31</v>
      </c>
      <c r="AL119" t="str">
        <v/>
      </c>
    </row>
    <row r="120">
      <c r="A120">
        <v>119</v>
      </c>
      <c r="B120" t="str">
        <v>MASS BSF</v>
      </c>
      <c r="C120" t="str">
        <v>C6E-921</v>
      </c>
      <c r="D120" t="str">
        <v>C6E-921</v>
      </c>
      <c r="E120" t="str">
        <v/>
      </c>
      <c r="F120" t="str">
        <v>867806078831353</v>
      </c>
      <c r="G120" t="str">
        <v>TBD</v>
      </c>
      <c r="H120" t="str">
        <v/>
      </c>
      <c r="I120" t="str">
        <v/>
      </c>
      <c r="J120" t="str">
        <v>24/09/2026</v>
      </c>
      <c r="K120" t="str">
        <v>14:08:56</v>
      </c>
      <c r="L120">
        <v>-12.46665</v>
      </c>
      <c r="M120">
        <v>-76.75304</v>
      </c>
      <c r="N120">
        <f>HYPERLINK("https://www.google.com/maps/search/?api=1&amp;query=-12.46665,-76.75304","D, Chilca, Cañete, Lima")</f>
      </c>
      <c r="O120" t="str">
        <v>Vehículo apagado</v>
      </c>
      <c r="P120">
        <v>295161.7</v>
      </c>
      <c r="Q120" t="str">
        <v/>
      </c>
      <c r="R120">
        <v>0</v>
      </c>
      <c r="S120">
        <v>114.57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84</v>
      </c>
      <c r="AB120" t="str">
        <v>24/09/2026</v>
      </c>
      <c r="AC120" t="str">
        <v>14:08:55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24/09/2026 14:09:16</v>
      </c>
      <c r="AK120" t="str">
        <v>14:09:16</v>
      </c>
      <c r="AL120" t="str">
        <v/>
      </c>
    </row>
    <row r="121">
      <c r="A121">
        <v>120</v>
      </c>
      <c r="B121" t="str">
        <v>MASS BSF</v>
      </c>
      <c r="C121" t="str">
        <v>C6E-921</v>
      </c>
      <c r="D121" t="str">
        <v>C6E-921</v>
      </c>
      <c r="E121" t="str">
        <v/>
      </c>
      <c r="F121" t="str">
        <v>867806078831353</v>
      </c>
      <c r="G121" t="str">
        <v>TBD</v>
      </c>
      <c r="H121" t="str">
        <v/>
      </c>
      <c r="I121" t="str">
        <v/>
      </c>
      <c r="J121" t="str">
        <v>24/09/2026</v>
      </c>
      <c r="K121" t="str">
        <v>14:08:56</v>
      </c>
      <c r="L121">
        <v>-12.46665</v>
      </c>
      <c r="M121">
        <v>-76.75304</v>
      </c>
      <c r="N121">
        <f>HYPERLINK("https://www.google.com/maps/search/?api=1&amp;query=-12.46665,-76.75304","D, Chilca, Cañete, Lima")</f>
      </c>
      <c r="O121" t="str">
        <v>Fin de ralentí</v>
      </c>
      <c r="P121">
        <v>295161.7</v>
      </c>
      <c r="Q121" t="str">
        <v/>
      </c>
      <c r="R121">
        <v>0</v>
      </c>
      <c r="S121">
        <v>114.13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84</v>
      </c>
      <c r="AB121" t="str">
        <v>24/09/2026</v>
      </c>
      <c r="AC121" t="str">
        <v>14:08:55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24/09/2026 14:09:09</v>
      </c>
      <c r="AK121" t="str">
        <v>14:09:09</v>
      </c>
      <c r="AL121" t="str">
        <v/>
      </c>
    </row>
    <row r="122">
      <c r="A122">
        <v>121</v>
      </c>
      <c r="B122" t="str">
        <v>MASS BSF</v>
      </c>
      <c r="C122" t="str">
        <v>C6E-921</v>
      </c>
      <c r="D122" t="str">
        <v>C6E-921</v>
      </c>
      <c r="E122" t="str">
        <v/>
      </c>
      <c r="F122" t="str">
        <v>867806078831353</v>
      </c>
      <c r="G122" t="str">
        <v>TBD</v>
      </c>
      <c r="H122" t="str">
        <v/>
      </c>
      <c r="I122" t="str">
        <v/>
      </c>
      <c r="J122" t="str">
        <v>24/09/2026</v>
      </c>
      <c r="K122" t="str">
        <v>14:13:19</v>
      </c>
      <c r="L122">
        <v>-12.46665</v>
      </c>
      <c r="M122">
        <v>-76.75304</v>
      </c>
      <c r="N122">
        <f>HYPERLINK("https://www.google.com/maps/search/?api=1&amp;query=-12.46665,-76.75304","D, Chilca, Cañete, Lima")</f>
      </c>
      <c r="O122" t="str">
        <v>Se detuvo</v>
      </c>
      <c r="P122">
        <v>295161.7</v>
      </c>
      <c r="Q122" t="str">
        <v/>
      </c>
      <c r="R122">
        <v>0</v>
      </c>
      <c r="S122">
        <v>114.57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84</v>
      </c>
      <c r="AB122" t="str">
        <v>24/09/2026</v>
      </c>
      <c r="AC122" t="str">
        <v>14:13:17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24/09/2026 14:13:28</v>
      </c>
      <c r="AK122" t="str">
        <v>14:13:28</v>
      </c>
      <c r="AL122" t="str">
        <v/>
      </c>
    </row>
    <row r="123">
      <c r="A123">
        <v>122</v>
      </c>
      <c r="B123" t="str">
        <v>MASS BSF</v>
      </c>
      <c r="C123" t="str">
        <v>C6E-921</v>
      </c>
      <c r="D123" t="str">
        <v>C6E-921</v>
      </c>
      <c r="E123" t="str">
        <v/>
      </c>
      <c r="F123" t="str">
        <v>867806078831353</v>
      </c>
      <c r="G123" t="str">
        <v>TBD</v>
      </c>
      <c r="H123" t="str">
        <v/>
      </c>
      <c r="I123" t="str">
        <v/>
      </c>
      <c r="J123" t="str">
        <v>24/09/2026</v>
      </c>
      <c r="K123" t="str">
        <v>14:51:21</v>
      </c>
      <c r="L123">
        <v>-12.466536</v>
      </c>
      <c r="M123">
        <v>-76.7529</v>
      </c>
      <c r="N123">
        <f>HYPERLINK("https://www.google.com/maps/search/?api=1&amp;query=-12.466536,-76.7529","D, Chilca, Cañete, Lima")</f>
      </c>
      <c r="O123" t="str">
        <v>Vehículo encendido</v>
      </c>
      <c r="P123">
        <v>295161.7</v>
      </c>
      <c r="Q123" t="str">
        <v/>
      </c>
      <c r="R123">
        <v>0</v>
      </c>
      <c r="S123">
        <v>114.57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83</v>
      </c>
      <c r="AB123" t="str">
        <v>24/09/2026</v>
      </c>
      <c r="AC123" t="str">
        <v>14:51:19</v>
      </c>
      <c r="AD123">
        <f>IF("ONLINE"="NOGPS","GPS Antiguo","En línea")</f>
      </c>
      <c r="AE123">
        <f>IF(0=0,"Sin atender", IF(0=1,"Atendida","Atendida y Reportada"))</f>
      </c>
      <c r="AF123" t="str">
        <v/>
      </c>
      <c r="AG123" t="str">
        <v/>
      </c>
      <c r="AH123" t="str">
        <v/>
      </c>
      <c r="AI123" t="str">
        <v/>
      </c>
      <c r="AJ123" t="str">
        <v>24/09/2026 14:51:37</v>
      </c>
      <c r="AK123" t="str">
        <v>14:51:37</v>
      </c>
      <c r="AL123" t="str">
        <v/>
      </c>
    </row>
    <row r="124">
      <c r="A124">
        <v>123</v>
      </c>
      <c r="B124" t="str">
        <v>MASS BSF</v>
      </c>
      <c r="C124" t="str">
        <v>C6E-921</v>
      </c>
      <c r="D124" t="str">
        <v>C6E-921</v>
      </c>
      <c r="E124" t="str">
        <v/>
      </c>
      <c r="F124" t="str">
        <v>867806078831353</v>
      </c>
      <c r="G124" t="str">
        <v>TBD</v>
      </c>
      <c r="H124" t="str">
        <v/>
      </c>
      <c r="I124" t="str">
        <v/>
      </c>
      <c r="J124" t="str">
        <v>24/09/2026</v>
      </c>
      <c r="K124" t="str">
        <v>14:53:51</v>
      </c>
      <c r="L124">
        <v>-12.46724</v>
      </c>
      <c r="M124">
        <v>-76.75359</v>
      </c>
      <c r="N124">
        <f>HYPERLINK("https://www.google.com/maps/search/?api=1&amp;query=-12.46724,-76.75359","Pucusana, Lima")</f>
      </c>
      <c r="O124" t="str">
        <v>Aceleración brusca</v>
      </c>
      <c r="P124">
        <v>295162</v>
      </c>
      <c r="Q124" t="str">
        <v/>
      </c>
      <c r="R124">
        <v>11.4</v>
      </c>
      <c r="S124">
        <v>114.57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83</v>
      </c>
      <c r="AB124" t="str">
        <v>24/09/2026</v>
      </c>
      <c r="AC124" t="str">
        <v>14:53:49</v>
      </c>
      <c r="AD124">
        <f>IF("ONLINE"="NOGPS","GPS Antiguo","En línea")</f>
      </c>
      <c r="AE124">
        <f>IF(0=0,"Sin atender", IF(0=1,"Atendida","Atendida y Reportada"))</f>
      </c>
      <c r="AF124" t="str">
        <v/>
      </c>
      <c r="AG124" t="str">
        <v/>
      </c>
      <c r="AH124" t="str">
        <v/>
      </c>
      <c r="AI124" t="str">
        <v/>
      </c>
      <c r="AJ124" t="str">
        <v>24/09/2026 14:54:06</v>
      </c>
      <c r="AK124" t="str">
        <v>14:54:06</v>
      </c>
      <c r="AL124" t="str">
        <v/>
      </c>
    </row>
    <row r="125">
      <c r="A125">
        <v>124</v>
      </c>
      <c r="B125" t="str">
        <v>MASS BSF</v>
      </c>
      <c r="C125" t="str">
        <v>C6E-921</v>
      </c>
      <c r="D125" t="str">
        <v>C6E-921</v>
      </c>
      <c r="E125" t="str">
        <v/>
      </c>
      <c r="F125" t="str">
        <v>867806078831353</v>
      </c>
      <c r="G125" t="str">
        <v>TBD</v>
      </c>
      <c r="H125" t="str">
        <v/>
      </c>
      <c r="I125" t="str">
        <v/>
      </c>
      <c r="J125" t="str">
        <v>24/09/2026</v>
      </c>
      <c r="K125" t="str">
        <v>14:56:12</v>
      </c>
      <c r="L125">
        <v>-12.477299</v>
      </c>
      <c r="M125">
        <v>-76.76021</v>
      </c>
      <c r="N125">
        <f>HYPERLINK("https://www.google.com/maps/search/?api=1&amp;query=-12.477299,-76.76021","Pucusana, Lima")</f>
      </c>
      <c r="O125" t="str">
        <v>Bache</v>
      </c>
      <c r="P125">
        <v>295163.4</v>
      </c>
      <c r="Q125" t="str">
        <v/>
      </c>
      <c r="R125">
        <v>42.7</v>
      </c>
      <c r="S125">
        <v>114.57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83</v>
      </c>
      <c r="AB125" t="str">
        <v>24/09/2026</v>
      </c>
      <c r="AC125" t="str">
        <v>14:56:10</v>
      </c>
      <c r="AD125">
        <f>IF("ONLINE"="NOGPS","GPS Antiguo","En línea")</f>
      </c>
      <c r="AE125">
        <f>IF(0=0,"Sin atender", IF(0=1,"Atendida","Atendida y Reportada"))</f>
      </c>
      <c r="AF125" t="str">
        <v/>
      </c>
      <c r="AG125" t="str">
        <v/>
      </c>
      <c r="AH125" t="str">
        <v/>
      </c>
      <c r="AI125" t="str">
        <v/>
      </c>
      <c r="AJ125" t="str">
        <v>24/09/2026 14:56:19</v>
      </c>
      <c r="AK125" t="str">
        <v>14:56:19</v>
      </c>
      <c r="AL125" t="str">
        <v/>
      </c>
    </row>
    <row r="126">
      <c r="A126">
        <v>125</v>
      </c>
      <c r="B126" t="str">
        <v>MASS BSF</v>
      </c>
      <c r="C126" t="str">
        <v>C6E-921</v>
      </c>
      <c r="D126" t="str">
        <v>C6E-921</v>
      </c>
      <c r="E126" t="str">
        <v/>
      </c>
      <c r="F126" t="str">
        <v>867806078831353</v>
      </c>
      <c r="G126" t="str">
        <v>TBD</v>
      </c>
      <c r="H126" t="str">
        <v/>
      </c>
      <c r="I126" t="str">
        <v/>
      </c>
      <c r="J126" t="str">
        <v>24/09/2026</v>
      </c>
      <c r="K126" t="str">
        <v>14:56:49</v>
      </c>
      <c r="L126">
        <v>-12.478699</v>
      </c>
      <c r="M126">
        <v>-76.7641</v>
      </c>
      <c r="N126">
        <f>HYPERLINK("https://www.google.com/maps/search/?api=1&amp;query=-12.478699,-76.7641","Pucusana, Lima")</f>
      </c>
      <c r="O126" t="str">
        <v>Ingreso a camino vecinal</v>
      </c>
      <c r="P126">
        <v>295163.8</v>
      </c>
      <c r="Q126" t="str">
        <v/>
      </c>
      <c r="R126">
        <v>39.8</v>
      </c>
      <c r="S126">
        <v>114.57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83</v>
      </c>
      <c r="AB126" t="str">
        <v>24/09/2026</v>
      </c>
      <c r="AC126" t="str">
        <v>14:56:47</v>
      </c>
      <c r="AD126">
        <f>IF("ONLINE"="NOGPS","GPS Antiguo","En línea")</f>
      </c>
      <c r="AE126">
        <f>IF(0=0,"Sin atender", IF(0=1,"Atendida","Atendida y Reportada"))</f>
      </c>
      <c r="AF126" t="str">
        <v/>
      </c>
      <c r="AG126" t="str">
        <v/>
      </c>
      <c r="AH126" t="str">
        <v/>
      </c>
      <c r="AI126" t="str">
        <v/>
      </c>
      <c r="AJ126" t="str">
        <v>24/09/2026 14:56:57</v>
      </c>
      <c r="AK126" t="str">
        <v>14:56:57</v>
      </c>
      <c r="AL126" t="str">
        <v/>
      </c>
    </row>
    <row r="127">
      <c r="A127">
        <v>126</v>
      </c>
      <c r="B127" t="str">
        <v>MASS BSF</v>
      </c>
      <c r="C127" t="str">
        <v>C6E-921</v>
      </c>
      <c r="D127" t="str">
        <v>C6E-921</v>
      </c>
      <c r="E127" t="str">
        <v/>
      </c>
      <c r="F127" t="str">
        <v>867806078831353</v>
      </c>
      <c r="G127" t="str">
        <v>TBD</v>
      </c>
      <c r="H127" t="str">
        <v/>
      </c>
      <c r="I127" t="str">
        <v/>
      </c>
      <c r="J127" t="str">
        <v>24/09/2026</v>
      </c>
      <c r="K127" t="str">
        <v>14:57:49</v>
      </c>
      <c r="L127">
        <v>-12.48021</v>
      </c>
      <c r="M127">
        <v>-76.76742</v>
      </c>
      <c r="N127">
        <f>HYPERLINK("https://www.google.com/maps/search/?api=1&amp;query=-12.48021,-76.76742","Pucusana, Lima")</f>
      </c>
      <c r="O127" t="str">
        <v>Salida de camino vecinal</v>
      </c>
      <c r="P127">
        <v>295164.2</v>
      </c>
      <c r="Q127" t="str">
        <v/>
      </c>
      <c r="R127">
        <v>20.1</v>
      </c>
      <c r="S127">
        <v>114.57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93</v>
      </c>
      <c r="AB127" t="str">
        <v>24/09/2026</v>
      </c>
      <c r="AC127" t="str">
        <v>14:57:47</v>
      </c>
      <c r="AD127">
        <f>IF("ONLINE"="NOGPS","GPS Antiguo","En línea")</f>
      </c>
      <c r="AE127">
        <f>IF(0=0,"Sin atender", IF(0=1,"Atendida","Atendida y Reportada"))</f>
      </c>
      <c r="AF127" t="str">
        <v/>
      </c>
      <c r="AG127" t="str">
        <v/>
      </c>
      <c r="AH127" t="str">
        <v/>
      </c>
      <c r="AI127" t="str">
        <v/>
      </c>
      <c r="AJ127" t="str">
        <v>24/09/2026 14:58:54</v>
      </c>
      <c r="AK127" t="str">
        <v>14:58:54</v>
      </c>
      <c r="AL127" t="str">
        <v/>
      </c>
    </row>
    <row r="128">
      <c r="A128">
        <v>127</v>
      </c>
      <c r="B128" t="str">
        <v>MASS BSF</v>
      </c>
      <c r="C128" t="str">
        <v>C6E-921</v>
      </c>
      <c r="D128" t="str">
        <v>C6E-921</v>
      </c>
      <c r="E128" t="str">
        <v/>
      </c>
      <c r="F128" t="str">
        <v>867806078831353</v>
      </c>
      <c r="G128" t="str">
        <v>TBD</v>
      </c>
      <c r="H128" t="str">
        <v/>
      </c>
      <c r="I128" t="str">
        <v/>
      </c>
      <c r="J128" t="str">
        <v>24/09/2026</v>
      </c>
      <c r="K128" t="str">
        <v>14:58:46</v>
      </c>
      <c r="L128">
        <v>-12.482582</v>
      </c>
      <c r="M128">
        <v>-76.77337</v>
      </c>
      <c r="N128">
        <f>HYPERLINK("https://www.google.com/maps/search/?api=1&amp;query=-12.482582,-76.77337","Pucusana, Lima")</f>
      </c>
      <c r="O128" t="str">
        <v>Aceleración brusca</v>
      </c>
      <c r="P128">
        <v>295164.9</v>
      </c>
      <c r="Q128" t="str">
        <v/>
      </c>
      <c r="R128">
        <v>15.7</v>
      </c>
      <c r="S128">
        <v>114.57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93</v>
      </c>
      <c r="AB128" t="str">
        <v>24/09/2026</v>
      </c>
      <c r="AC128" t="str">
        <v>14:58:44</v>
      </c>
      <c r="AD128">
        <f>IF("ONLINE"="NOGPS","GPS Antiguo","En línea")</f>
      </c>
      <c r="AE128">
        <f>IF(0=0,"Sin atender", IF(0=1,"Atendida","Atendida y Reportada"))</f>
      </c>
      <c r="AF128" t="str">
        <v/>
      </c>
      <c r="AG128" t="str">
        <v/>
      </c>
      <c r="AH128" t="str">
        <v/>
      </c>
      <c r="AI128" t="str">
        <v/>
      </c>
      <c r="AJ128" t="str">
        <v>24/09/2026 14:59:01</v>
      </c>
      <c r="AK128" t="str">
        <v>14:59:01</v>
      </c>
      <c r="AL128" t="str">
        <v/>
      </c>
    </row>
    <row r="129">
      <c r="A129">
        <v>128</v>
      </c>
      <c r="B129" t="str">
        <v>MASS BSF</v>
      </c>
      <c r="C129" t="str">
        <v>C6E-921</v>
      </c>
      <c r="D129" t="str">
        <v>C6E-921</v>
      </c>
      <c r="E129" t="str">
        <v/>
      </c>
      <c r="F129" t="str">
        <v>867806078831353</v>
      </c>
      <c r="G129" t="str">
        <v>TBD</v>
      </c>
      <c r="H129" t="str">
        <v/>
      </c>
      <c r="I129" t="str">
        <v/>
      </c>
      <c r="J129" t="str">
        <v>24/09/2026</v>
      </c>
      <c r="K129" t="str">
        <v>15:01:04</v>
      </c>
      <c r="L129">
        <v>-12.48841</v>
      </c>
      <c r="M129">
        <v>-76.781906</v>
      </c>
      <c r="N129">
        <f>HYPERLINK("https://www.google.com/maps/search/?api=1&amp;query=-12.48841,-76.781906","Pucusana, Lima")</f>
      </c>
      <c r="O129" t="str">
        <v>Bache</v>
      </c>
      <c r="P129">
        <v>295166.1</v>
      </c>
      <c r="Q129" t="str">
        <v/>
      </c>
      <c r="R129">
        <v>9.6</v>
      </c>
      <c r="S129">
        <v>114.57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84</v>
      </c>
      <c r="AB129" t="str">
        <v>24/09/2026</v>
      </c>
      <c r="AC129" t="str">
        <v>15:01:02</v>
      </c>
      <c r="AD129">
        <f>IF("ONLINE"="NOGPS","GPS Antiguo","En línea")</f>
      </c>
      <c r="AE129">
        <f>IF(0=0,"Sin atender", IF(0=1,"Atendida","Atendida y Reportada"))</f>
      </c>
      <c r="AF129" t="str">
        <v/>
      </c>
      <c r="AG129" t="str">
        <v/>
      </c>
      <c r="AH129" t="str">
        <v/>
      </c>
      <c r="AI129" t="str">
        <v/>
      </c>
      <c r="AJ129" t="str">
        <v>24/09/2026 15:01:16</v>
      </c>
      <c r="AK129" t="str">
        <v>15:01:16</v>
      </c>
      <c r="AL129" t="str">
        <v/>
      </c>
    </row>
    <row r="130">
      <c r="A130">
        <v>129</v>
      </c>
      <c r="B130" t="str">
        <v>MASS BSF</v>
      </c>
      <c r="C130" t="str">
        <v>C6E-921</v>
      </c>
      <c r="D130" t="str">
        <v>C6E-921</v>
      </c>
      <c r="E130" t="str">
        <v/>
      </c>
      <c r="F130" t="str">
        <v>867806078831353</v>
      </c>
      <c r="G130" t="str">
        <v>TBD</v>
      </c>
      <c r="H130" t="str">
        <v/>
      </c>
      <c r="I130" t="str">
        <v/>
      </c>
      <c r="J130" t="str">
        <v>24/09/2026</v>
      </c>
      <c r="K130" t="str">
        <v>15:01:06</v>
      </c>
      <c r="L130">
        <v>-12.488441</v>
      </c>
      <c r="M130">
        <v>-76.78195</v>
      </c>
      <c r="N130">
        <f>HYPERLINK("https://www.google.com/maps/search/?api=1&amp;query=-12.488441,-76.78195","Pucusana, Lima")</f>
      </c>
      <c r="O130" t="str">
        <v>Bache</v>
      </c>
      <c r="P130">
        <v>295166.1</v>
      </c>
      <c r="Q130" t="str">
        <v/>
      </c>
      <c r="R130">
        <v>11.6</v>
      </c>
      <c r="S130">
        <v>114.57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84</v>
      </c>
      <c r="AB130" t="str">
        <v>24/09/2026</v>
      </c>
      <c r="AC130" t="str">
        <v>15:01:04</v>
      </c>
      <c r="AD130">
        <f>IF("ONLINE"="NOGPS","GPS Antiguo","En línea")</f>
      </c>
      <c r="AE130">
        <f>IF(0=0,"Sin atender", IF(0=1,"Atendida","Atendida y Reportada"))</f>
      </c>
      <c r="AF130" t="str">
        <v/>
      </c>
      <c r="AG130" t="str">
        <v/>
      </c>
      <c r="AH130" t="str">
        <v/>
      </c>
      <c r="AI130" t="str">
        <v/>
      </c>
      <c r="AJ130" t="str">
        <v>24/09/2026 15:01:13</v>
      </c>
      <c r="AK130" t="str">
        <v>15:01:13</v>
      </c>
      <c r="AL130" t="str">
        <v/>
      </c>
    </row>
    <row r="131">
      <c r="A131">
        <v>130</v>
      </c>
      <c r="B131" t="str">
        <v>MASS BSF</v>
      </c>
      <c r="C131" t="str">
        <v>C6E-921</v>
      </c>
      <c r="D131" t="str">
        <v>C6E-921</v>
      </c>
      <c r="E131" t="str">
        <v/>
      </c>
      <c r="F131" t="str">
        <v>867806078831353</v>
      </c>
      <c r="G131" t="str">
        <v>TBD</v>
      </c>
      <c r="H131" t="str">
        <v/>
      </c>
      <c r="I131" t="str">
        <v/>
      </c>
      <c r="J131" t="str">
        <v>24/09/2026</v>
      </c>
      <c r="K131" t="str">
        <v>15:05:51</v>
      </c>
      <c r="L131">
        <v>-12.48705</v>
      </c>
      <c r="M131">
        <v>-76.795135</v>
      </c>
      <c r="N131">
        <f>HYPERLINK("https://www.google.com/maps/search/?api=1&amp;query=-12.48705,-76.795135","Avenida Lima, Pucusana")</f>
      </c>
      <c r="O131" t="str">
        <v>Aceleración brusca</v>
      </c>
      <c r="P131">
        <v>295168.1</v>
      </c>
      <c r="Q131" t="str">
        <v/>
      </c>
      <c r="R131">
        <v>6.4</v>
      </c>
      <c r="S131">
        <v>114.57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85</v>
      </c>
      <c r="AB131" t="str">
        <v>24/09/2026</v>
      </c>
      <c r="AC131" t="str">
        <v>15:05:49</v>
      </c>
      <c r="AD131">
        <f>IF("ONLINE"="NOGPS","GPS Antiguo","En línea")</f>
      </c>
      <c r="AE131">
        <f>IF(0=0,"Sin atender", IF(0=1,"Atendida","Atendida y Reportada"))</f>
      </c>
      <c r="AF131" t="str">
        <v/>
      </c>
      <c r="AG131" t="str">
        <v/>
      </c>
      <c r="AH131" t="str">
        <v/>
      </c>
      <c r="AI131" t="str">
        <v/>
      </c>
      <c r="AJ131" t="str">
        <v>24/09/2026 15:06:07</v>
      </c>
      <c r="AK131" t="str">
        <v>15:06:07</v>
      </c>
      <c r="AL131" t="str">
        <v/>
      </c>
    </row>
    <row r="132">
      <c r="A132">
        <v>131</v>
      </c>
      <c r="B132" t="str">
        <v>MASS BSF</v>
      </c>
      <c r="C132" t="str">
        <v>C6E-921</v>
      </c>
      <c r="D132" t="str">
        <v>C6E-921</v>
      </c>
      <c r="E132" t="str">
        <v/>
      </c>
      <c r="F132" t="str">
        <v>867806078831353</v>
      </c>
      <c r="G132" t="str">
        <v>TBD</v>
      </c>
      <c r="H132" t="str">
        <v/>
      </c>
      <c r="I132" t="str">
        <v/>
      </c>
      <c r="J132" t="str">
        <v>24/09/2026</v>
      </c>
      <c r="K132" t="str">
        <v>15:09:55</v>
      </c>
      <c r="L132">
        <v>-12.485538</v>
      </c>
      <c r="M132">
        <v>-76.795456</v>
      </c>
      <c r="N132">
        <f>HYPERLINK("https://www.google.com/maps/search/?api=1&amp;query=-12.485538,-76.795456","Avenida Lima, Pucusana")</f>
      </c>
      <c r="O132" t="str">
        <v>Bache</v>
      </c>
      <c r="P132">
        <v>295168.3</v>
      </c>
      <c r="Q132" t="str">
        <v/>
      </c>
      <c r="R132">
        <v>9.2</v>
      </c>
      <c r="S132">
        <v>114.57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85</v>
      </c>
      <c r="AB132" t="str">
        <v>24/09/2026</v>
      </c>
      <c r="AC132" t="str">
        <v>15:09:53</v>
      </c>
      <c r="AD132">
        <f>IF("ONLINE"="NOGPS","GPS Antiguo","En línea")</f>
      </c>
      <c r="AE132">
        <f>IF(0=0,"Sin atender", IF(0=1,"Atendida","Atendida y Reportada"))</f>
      </c>
      <c r="AF132" t="str">
        <v/>
      </c>
      <c r="AG132" t="str">
        <v/>
      </c>
      <c r="AH132" t="str">
        <v/>
      </c>
      <c r="AI132" t="str">
        <v/>
      </c>
      <c r="AJ132" t="str">
        <v>24/09/2026 15:10:00</v>
      </c>
      <c r="AK132" t="str">
        <v>15:10:00</v>
      </c>
      <c r="AL132" t="str">
        <v/>
      </c>
    </row>
    <row r="133">
      <c r="A133">
        <v>132</v>
      </c>
      <c r="B133" t="str">
        <v>MASS BSF</v>
      </c>
      <c r="C133" t="str">
        <v>C6E-921</v>
      </c>
      <c r="D133" t="str">
        <v>C6E-921</v>
      </c>
      <c r="E133" t="str">
        <v/>
      </c>
      <c r="F133" t="str">
        <v>867806078831353</v>
      </c>
      <c r="G133" t="str">
        <v>TBD</v>
      </c>
      <c r="H133" t="str">
        <v/>
      </c>
      <c r="I133" t="str">
        <v/>
      </c>
      <c r="J133" t="str">
        <v>24/09/2026</v>
      </c>
      <c r="K133" t="str">
        <v>15:10:15</v>
      </c>
      <c r="L133">
        <v>-12.484959</v>
      </c>
      <c r="M133">
        <v>-76.79564</v>
      </c>
      <c r="N133">
        <f>HYPERLINK("https://www.google.com/maps/search/?api=1&amp;query=-12.484959,-76.79564","Avenida Lima, Pucusana")</f>
      </c>
      <c r="O133" t="str">
        <v>Bache</v>
      </c>
      <c r="P133">
        <v>295168.3</v>
      </c>
      <c r="Q133" t="str">
        <v/>
      </c>
      <c r="R133">
        <v>17.4</v>
      </c>
      <c r="S133">
        <v>114.57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85</v>
      </c>
      <c r="AB133" t="str">
        <v>24/09/2026</v>
      </c>
      <c r="AC133" t="str">
        <v>15:10:14</v>
      </c>
      <c r="AD133">
        <f>IF("ONLINE"="NOGPS","GPS Antiguo","En línea")</f>
      </c>
      <c r="AE133">
        <f>IF(0=0,"Sin atender", IF(0=1,"Atendida","Atendida y Reportada"))</f>
      </c>
      <c r="AF133" t="str">
        <v/>
      </c>
      <c r="AG133" t="str">
        <v/>
      </c>
      <c r="AH133" t="str">
        <v/>
      </c>
      <c r="AI133" t="str">
        <v/>
      </c>
      <c r="AJ133" t="str">
        <v>24/09/2026 15:10:29</v>
      </c>
      <c r="AK133" t="str">
        <v>15:10:29</v>
      </c>
      <c r="AL133" t="str">
        <v/>
      </c>
    </row>
    <row r="134">
      <c r="A134">
        <v>133</v>
      </c>
      <c r="B134" t="str">
        <v>MASS BSF</v>
      </c>
      <c r="C134" t="str">
        <v>C6E-921</v>
      </c>
      <c r="D134" t="str">
        <v>C6E-921</v>
      </c>
      <c r="E134" t="str">
        <v/>
      </c>
      <c r="F134" t="str">
        <v>867806078831353</v>
      </c>
      <c r="G134" t="str">
        <v>TBD</v>
      </c>
      <c r="H134" t="str">
        <v/>
      </c>
      <c r="I134" t="str">
        <v/>
      </c>
      <c r="J134" t="str">
        <v>24/09/2026</v>
      </c>
      <c r="K134" t="str">
        <v>15:16:22</v>
      </c>
      <c r="L134">
        <v>-12.481448</v>
      </c>
      <c r="M134">
        <v>-76.79754</v>
      </c>
      <c r="N134">
        <f>HYPERLINK("https://www.google.com/maps/search/?api=1&amp;query=-12.481448,-76.79754","Leoncio Prado, Pucusana, Lima")</f>
      </c>
      <c r="O134" t="str">
        <v>Inicio de ralentí</v>
      </c>
      <c r="P134">
        <v>295169</v>
      </c>
      <c r="Q134" t="str">
        <v/>
      </c>
      <c r="R134">
        <v>0</v>
      </c>
      <c r="S134">
        <v>114.57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83</v>
      </c>
      <c r="AB134" t="str">
        <v>24/09/2026</v>
      </c>
      <c r="AC134" t="str">
        <v>15:16:20</v>
      </c>
      <c r="AD134">
        <f>IF("ONLINE"="NOGPS","GPS Antiguo","En línea")</f>
      </c>
      <c r="AE134">
        <f>IF(0=0,"Sin atender", IF(0=1,"Atendida","Atendida y Reportada"))</f>
      </c>
      <c r="AF134" t="str">
        <v/>
      </c>
      <c r="AG134" t="str">
        <v/>
      </c>
      <c r="AH134" t="str">
        <v/>
      </c>
      <c r="AI134" t="str">
        <v/>
      </c>
      <c r="AJ134" t="str">
        <v>24/09/2026 15:16:31</v>
      </c>
      <c r="AK134" t="str">
        <v>15:16:31</v>
      </c>
      <c r="AL134" t="str">
        <v/>
      </c>
    </row>
    <row r="135">
      <c r="A135">
        <v>134</v>
      </c>
      <c r="B135" t="str">
        <v>MASS BSF</v>
      </c>
      <c r="C135" t="str">
        <v>C6E-921</v>
      </c>
      <c r="D135" t="str">
        <v>C6E-921</v>
      </c>
      <c r="E135" t="str">
        <v/>
      </c>
      <c r="F135" t="str">
        <v>867806078831353</v>
      </c>
      <c r="G135" t="str">
        <v>TBD</v>
      </c>
      <c r="H135" t="str">
        <v/>
      </c>
      <c r="I135" t="str">
        <v/>
      </c>
      <c r="J135" t="str">
        <v>24/09/2026</v>
      </c>
      <c r="K135" t="str">
        <v>15:17:45</v>
      </c>
      <c r="L135">
        <v>-12.481448</v>
      </c>
      <c r="M135">
        <v>-76.79754</v>
      </c>
      <c r="N135">
        <f>HYPERLINK("https://www.google.com/maps/search/?api=1&amp;query=-12.481448,-76.79754","Leoncio Prado, Pucusana, Lima")</f>
      </c>
      <c r="O135" t="str">
        <v>Vehículo apagado</v>
      </c>
      <c r="P135">
        <v>295169</v>
      </c>
      <c r="Q135" t="str">
        <v/>
      </c>
      <c r="R135">
        <v>0</v>
      </c>
      <c r="S135">
        <v>115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83</v>
      </c>
      <c r="AB135" t="str">
        <v>24/09/2026</v>
      </c>
      <c r="AC135" t="str">
        <v>15:17:43</v>
      </c>
      <c r="AD135">
        <f>IF("ONLINE"="NOGPS","GPS Antiguo","En línea")</f>
      </c>
      <c r="AE135">
        <f>IF(0=0,"Sin atender", IF(0=1,"Atendida","Atendida y Reportada"))</f>
      </c>
      <c r="AF135" t="str">
        <v/>
      </c>
      <c r="AG135" t="str">
        <v/>
      </c>
      <c r="AH135" t="str">
        <v/>
      </c>
      <c r="AI135" t="str">
        <v/>
      </c>
      <c r="AJ135" t="str">
        <v>24/09/2026 15:18:02</v>
      </c>
      <c r="AK135" t="str">
        <v>15:18:02</v>
      </c>
      <c r="AL135" t="str">
        <v/>
      </c>
    </row>
    <row r="136">
      <c r="A136">
        <v>135</v>
      </c>
      <c r="B136" t="str">
        <v>MASS BSF</v>
      </c>
      <c r="C136" t="str">
        <v>C6E-921</v>
      </c>
      <c r="D136" t="str">
        <v>C6E-921</v>
      </c>
      <c r="E136" t="str">
        <v/>
      </c>
      <c r="F136" t="str">
        <v>867806078831353</v>
      </c>
      <c r="G136" t="str">
        <v>TBD</v>
      </c>
      <c r="H136" t="str">
        <v/>
      </c>
      <c r="I136" t="str">
        <v/>
      </c>
      <c r="J136" t="str">
        <v>24/09/2026</v>
      </c>
      <c r="K136" t="str">
        <v>15:17:45</v>
      </c>
      <c r="L136">
        <v>-12.481448</v>
      </c>
      <c r="M136">
        <v>-76.79754</v>
      </c>
      <c r="N136">
        <f>HYPERLINK("https://www.google.com/maps/search/?api=1&amp;query=-12.481448,-76.79754","Leoncio Prado, Pucusana, Lima")</f>
      </c>
      <c r="O136" t="str">
        <v>Fin de ralentí</v>
      </c>
      <c r="P136">
        <v>295169</v>
      </c>
      <c r="Q136" t="str">
        <v/>
      </c>
      <c r="R136">
        <v>0</v>
      </c>
      <c r="S136">
        <v>114.57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83</v>
      </c>
      <c r="AB136" t="str">
        <v>24/09/2026</v>
      </c>
      <c r="AC136" t="str">
        <v>15:17:43</v>
      </c>
      <c r="AD136">
        <f>IF("ONLINE"="NOGPS","GPS Antiguo","En línea")</f>
      </c>
      <c r="AE136">
        <f>IF(0=0,"Sin atender", IF(0=1,"Atendida","Atendida y Reportada"))</f>
      </c>
      <c r="AF136" t="str">
        <v/>
      </c>
      <c r="AG136" t="str">
        <v/>
      </c>
      <c r="AH136" t="str">
        <v/>
      </c>
      <c r="AI136" t="str">
        <v/>
      </c>
      <c r="AJ136" t="str">
        <v>24/09/2026 15:18:04</v>
      </c>
      <c r="AK136" t="str">
        <v>15:18:04</v>
      </c>
      <c r="AL136" t="str">
        <v/>
      </c>
    </row>
    <row r="137">
      <c r="A137">
        <v>136</v>
      </c>
      <c r="B137" t="str">
        <v>MASS BSF</v>
      </c>
      <c r="C137" t="str">
        <v>C6E-921</v>
      </c>
      <c r="D137" t="str">
        <v>C6E-921</v>
      </c>
      <c r="E137" t="str">
        <v/>
      </c>
      <c r="F137" t="str">
        <v>867806078831353</v>
      </c>
      <c r="G137" t="str">
        <v>TBD</v>
      </c>
      <c r="H137" t="str">
        <v/>
      </c>
      <c r="I137" t="str">
        <v/>
      </c>
      <c r="J137" t="str">
        <v>24/09/2026</v>
      </c>
      <c r="K137" t="str">
        <v>15:24:17</v>
      </c>
      <c r="L137">
        <v>-12.481448</v>
      </c>
      <c r="M137">
        <v>-76.79754</v>
      </c>
      <c r="N137">
        <f>HYPERLINK("https://www.google.com/maps/search/?api=1&amp;query=-12.481448,-76.79754","Leoncio Prado, Pucusana, Lima")</f>
      </c>
      <c r="O137" t="str">
        <v>Se detuvo</v>
      </c>
      <c r="P137">
        <v>295169</v>
      </c>
      <c r="Q137" t="str">
        <v/>
      </c>
      <c r="R137">
        <v>0</v>
      </c>
      <c r="S137">
        <v>115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83</v>
      </c>
      <c r="AB137" t="str">
        <v>24/09/2026</v>
      </c>
      <c r="AC137" t="str">
        <v>15:24:14</v>
      </c>
      <c r="AD137">
        <f>IF("ONLINE"="NOGPS","GPS Antiguo","En línea")</f>
      </c>
      <c r="AE137">
        <f>IF(0=0,"Sin atender", IF(0=1,"Atendida","Atendida y Reportada"))</f>
      </c>
      <c r="AF137" t="str">
        <v/>
      </c>
      <c r="AG137" t="str">
        <v/>
      </c>
      <c r="AH137" t="str">
        <v/>
      </c>
      <c r="AI137" t="str">
        <v/>
      </c>
      <c r="AJ137" t="str">
        <v>24/09/2026 15:24:20</v>
      </c>
      <c r="AK137" t="str">
        <v>15:24:20</v>
      </c>
      <c r="AL137" t="str">
        <v/>
      </c>
    </row>
    <row r="138">
      <c r="A138">
        <v>137</v>
      </c>
      <c r="B138" t="str">
        <v>MASS BSF</v>
      </c>
      <c r="C138" t="str">
        <v>C6E-921</v>
      </c>
      <c r="D138" t="str">
        <v>C6E-921</v>
      </c>
      <c r="E138" t="str">
        <v/>
      </c>
      <c r="F138" t="str">
        <v>867806078831353</v>
      </c>
      <c r="G138" t="str">
        <v>TBD</v>
      </c>
      <c r="H138" t="str">
        <v/>
      </c>
      <c r="I138" t="str">
        <v/>
      </c>
      <c r="J138" t="str">
        <v>24/09/2026</v>
      </c>
      <c r="K138" t="str">
        <v>15:36:09</v>
      </c>
      <c r="L138">
        <v>-12.481448</v>
      </c>
      <c r="M138">
        <v>-76.79754</v>
      </c>
      <c r="N138">
        <f>HYPERLINK("https://www.google.com/maps/search/?api=1&amp;query=-12.481448,-76.79754","Leoncio Prado, Pucusana, Lima")</f>
      </c>
      <c r="O138" t="str">
        <v>Vehículo encendido</v>
      </c>
      <c r="P138">
        <v>295169</v>
      </c>
      <c r="Q138" t="str">
        <v/>
      </c>
      <c r="R138">
        <v>0</v>
      </c>
      <c r="S138">
        <v>115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83</v>
      </c>
      <c r="AB138" t="str">
        <v>24/09/2026</v>
      </c>
      <c r="AC138" t="str">
        <v>15:36:07</v>
      </c>
      <c r="AD138">
        <f>IF("ONLINE"="NOGPS","GPS Antiguo","En línea")</f>
      </c>
      <c r="AE138">
        <f>IF(0=0,"Sin atender", IF(0=1,"Atendida","Atendida y Reportada"))</f>
      </c>
      <c r="AF138" t="str">
        <v/>
      </c>
      <c r="AG138" t="str">
        <v/>
      </c>
      <c r="AH138" t="str">
        <v/>
      </c>
      <c r="AI138" t="str">
        <v/>
      </c>
      <c r="AJ138" t="str">
        <v>24/09/2026 15:36:24</v>
      </c>
      <c r="AK138" t="str">
        <v>15:36:24</v>
      </c>
      <c r="AL138" t="str">
        <v/>
      </c>
    </row>
    <row r="139">
      <c r="A139">
        <v>138</v>
      </c>
      <c r="B139" t="str">
        <v>MASS BSF</v>
      </c>
      <c r="C139" t="str">
        <v>C6E-921</v>
      </c>
      <c r="D139" t="str">
        <v>C6E-921</v>
      </c>
      <c r="E139" t="str">
        <v/>
      </c>
      <c r="F139" t="str">
        <v>867806078831353</v>
      </c>
      <c r="G139" t="str">
        <v>TBD</v>
      </c>
      <c r="H139" t="str">
        <v/>
      </c>
      <c r="I139" t="str">
        <v/>
      </c>
      <c r="J139" t="str">
        <v>24/09/2026</v>
      </c>
      <c r="K139" t="str">
        <v>15:39:17</v>
      </c>
      <c r="L139">
        <v>-12.482622</v>
      </c>
      <c r="M139">
        <v>-76.79657</v>
      </c>
      <c r="N139">
        <f>HYPERLINK("https://www.google.com/maps/search/?api=1&amp;query=-12.482622,-76.79657","Avenida Lima, Pucusana")</f>
      </c>
      <c r="O139" t="str">
        <v>Bache</v>
      </c>
      <c r="P139">
        <v>295169.3</v>
      </c>
      <c r="Q139" t="str">
        <v/>
      </c>
      <c r="R139">
        <v>14</v>
      </c>
      <c r="S139">
        <v>115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84</v>
      </c>
      <c r="AB139" t="str">
        <v>24/09/2026</v>
      </c>
      <c r="AC139" t="str">
        <v>15:39:15</v>
      </c>
      <c r="AD139">
        <f>IF("ONLINE"="NOGPS","GPS Antiguo","En línea")</f>
      </c>
      <c r="AE139">
        <f>IF(0=0,"Sin atender", IF(0=1,"Atendida","Atendida y Reportada"))</f>
      </c>
      <c r="AF139" t="str">
        <v/>
      </c>
      <c r="AG139" t="str">
        <v/>
      </c>
      <c r="AH139" t="str">
        <v/>
      </c>
      <c r="AI139" t="str">
        <v/>
      </c>
      <c r="AJ139" t="str">
        <v>24/09/2026 15:39:35</v>
      </c>
      <c r="AK139" t="str">
        <v>15:39:35</v>
      </c>
      <c r="AL139" t="str">
        <v/>
      </c>
    </row>
    <row r="140">
      <c r="A140">
        <v>139</v>
      </c>
      <c r="B140" t="str">
        <v>MASS BSF</v>
      </c>
      <c r="C140" t="str">
        <v>C6E-921</v>
      </c>
      <c r="D140" t="str">
        <v>C6E-921</v>
      </c>
      <c r="E140" t="str">
        <v/>
      </c>
      <c r="F140" t="str">
        <v>867806078831353</v>
      </c>
      <c r="G140" t="str">
        <v>TBD</v>
      </c>
      <c r="H140" t="str">
        <v/>
      </c>
      <c r="I140" t="str">
        <v/>
      </c>
      <c r="J140" t="str">
        <v>24/09/2026</v>
      </c>
      <c r="K140" t="str">
        <v>15:39:53</v>
      </c>
      <c r="L140">
        <v>-12.483976</v>
      </c>
      <c r="M140">
        <v>-76.796036</v>
      </c>
      <c r="N140">
        <f>HYPERLINK("https://www.google.com/maps/search/?api=1&amp;query=-12.483976,-76.796036","Avenida Lima, Pucusana")</f>
      </c>
      <c r="O140" t="str">
        <v>Bache</v>
      </c>
      <c r="P140">
        <v>295169.5</v>
      </c>
      <c r="Q140" t="str">
        <v/>
      </c>
      <c r="R140">
        <v>10.7</v>
      </c>
      <c r="S140">
        <v>115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84</v>
      </c>
      <c r="AB140" t="str">
        <v>24/09/2026</v>
      </c>
      <c r="AC140" t="str">
        <v>15:39:51</v>
      </c>
      <c r="AD140">
        <f>IF("ONLINE"="NOGPS","GPS Antiguo","En línea")</f>
      </c>
      <c r="AE140">
        <f>IF(0=0,"Sin atender", IF(0=1,"Atendida","Atendida y Reportada"))</f>
      </c>
      <c r="AF140" t="str">
        <v/>
      </c>
      <c r="AG140" t="str">
        <v/>
      </c>
      <c r="AH140" t="str">
        <v/>
      </c>
      <c r="AI140" t="str">
        <v/>
      </c>
      <c r="AJ140" t="str">
        <v>24/09/2026 15:40:03</v>
      </c>
      <c r="AK140" t="str">
        <v>15:40:03</v>
      </c>
      <c r="AL140" t="str">
        <v/>
      </c>
    </row>
    <row r="141">
      <c r="A141">
        <v>140</v>
      </c>
      <c r="B141" t="str">
        <v>MASS BSF</v>
      </c>
      <c r="C141" t="str">
        <v>C6E-921</v>
      </c>
      <c r="D141" t="str">
        <v>C6E-921</v>
      </c>
      <c r="E141" t="str">
        <v/>
      </c>
      <c r="F141" t="str">
        <v>867806078831353</v>
      </c>
      <c r="G141" t="str">
        <v>TBD</v>
      </c>
      <c r="H141" t="str">
        <v/>
      </c>
      <c r="I141" t="str">
        <v/>
      </c>
      <c r="J141" t="str">
        <v>24/09/2026</v>
      </c>
      <c r="K141" t="str">
        <v>15:40:12</v>
      </c>
      <c r="L141">
        <v>-12.484655</v>
      </c>
      <c r="M141">
        <v>-76.795784</v>
      </c>
      <c r="N141">
        <f>HYPERLINK("https://www.google.com/maps/search/?api=1&amp;query=-12.484655,-76.795784","Avenida Lima, Pucusana")</f>
      </c>
      <c r="O141" t="str">
        <v>Ingreso a camino vecinal</v>
      </c>
      <c r="P141">
        <v>295169.5</v>
      </c>
      <c r="Q141" t="str">
        <v/>
      </c>
      <c r="R141">
        <v>16.6</v>
      </c>
      <c r="S141">
        <v>115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84</v>
      </c>
      <c r="AB141" t="str">
        <v>24/09/2026</v>
      </c>
      <c r="AC141" t="str">
        <v>15:40:09</v>
      </c>
      <c r="AD141">
        <f>IF("ONLINE"="NOGPS","GPS Antiguo","En línea")</f>
      </c>
      <c r="AE141">
        <f>IF(0=0,"Sin atender", IF(0=1,"Atendida","Atendida y Reportada"))</f>
      </c>
      <c r="AF141" t="str">
        <v/>
      </c>
      <c r="AG141" t="str">
        <v/>
      </c>
      <c r="AH141" t="str">
        <v/>
      </c>
      <c r="AI141" t="str">
        <v/>
      </c>
      <c r="AJ141" t="str">
        <v>24/09/2026 15:40:20</v>
      </c>
      <c r="AK141" t="str">
        <v>15:40:20</v>
      </c>
      <c r="AL141" t="str">
        <v/>
      </c>
    </row>
    <row r="142">
      <c r="A142">
        <v>141</v>
      </c>
      <c r="B142" t="str">
        <v>MASS BSF</v>
      </c>
      <c r="C142" t="str">
        <v>C6E-921</v>
      </c>
      <c r="D142" t="str">
        <v>C6E-921</v>
      </c>
      <c r="E142" t="str">
        <v/>
      </c>
      <c r="F142" t="str">
        <v>867806078831353</v>
      </c>
      <c r="G142" t="str">
        <v>TBD</v>
      </c>
      <c r="H142" t="str">
        <v/>
      </c>
      <c r="I142" t="str">
        <v/>
      </c>
      <c r="J142" t="str">
        <v>24/09/2026</v>
      </c>
      <c r="K142" t="str">
        <v>15:42:12</v>
      </c>
      <c r="L142">
        <v>-12.48563</v>
      </c>
      <c r="M142">
        <v>-76.795425</v>
      </c>
      <c r="N142">
        <f>HYPERLINK("https://www.google.com/maps/search/?api=1&amp;query=-12.48563,-76.795425","Avenida Lima, Pucusana")</f>
      </c>
      <c r="O142" t="str">
        <v>Salida de camino vecinal</v>
      </c>
      <c r="P142">
        <v>295169.7</v>
      </c>
      <c r="Q142" t="str">
        <v/>
      </c>
      <c r="R142">
        <v>11.1</v>
      </c>
      <c r="S142">
        <v>115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84</v>
      </c>
      <c r="AB142" t="str">
        <v>24/09/2026</v>
      </c>
      <c r="AC142" t="str">
        <v>15:42:09</v>
      </c>
      <c r="AD142">
        <f>IF("ONLINE"="NOGPS","GPS Antiguo","En línea")</f>
      </c>
      <c r="AE142">
        <f>IF(0=0,"Sin atender", IF(0=1,"Atendida","Atendida y Reportada"))</f>
      </c>
      <c r="AF142" t="str">
        <v/>
      </c>
      <c r="AG142" t="str">
        <v/>
      </c>
      <c r="AH142" t="str">
        <v/>
      </c>
      <c r="AI142" t="str">
        <v/>
      </c>
      <c r="AJ142" t="str">
        <v>24/09/2026 15:42:41</v>
      </c>
      <c r="AK142" t="str">
        <v>15:42:41</v>
      </c>
      <c r="AL142" t="str">
        <v/>
      </c>
    </row>
    <row r="143">
      <c r="A143">
        <v>142</v>
      </c>
      <c r="B143" t="str">
        <v>MASS BSF</v>
      </c>
      <c r="C143" t="str">
        <v>C6E-921</v>
      </c>
      <c r="D143" t="str">
        <v>C6E-921</v>
      </c>
      <c r="E143" t="str">
        <v/>
      </c>
      <c r="F143" t="str">
        <v>867806078831353</v>
      </c>
      <c r="G143" t="str">
        <v>TBD</v>
      </c>
      <c r="H143" t="str">
        <v/>
      </c>
      <c r="I143" t="str">
        <v/>
      </c>
      <c r="J143" t="str">
        <v>24/09/2026</v>
      </c>
      <c r="K143" t="str">
        <v>15:43:51</v>
      </c>
      <c r="L143">
        <v>-12.489</v>
      </c>
      <c r="M143">
        <v>-76.79448</v>
      </c>
      <c r="N143">
        <f>HYPERLINK("https://www.google.com/maps/search/?api=1&amp;query=-12.489,-76.79448","Avenida Lima, Pucusana")</f>
      </c>
      <c r="O143" t="str">
        <v>Aceleración brusca</v>
      </c>
      <c r="P143">
        <v>295170</v>
      </c>
      <c r="Q143" t="str">
        <v/>
      </c>
      <c r="R143">
        <v>6.2</v>
      </c>
      <c r="S143">
        <v>115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84</v>
      </c>
      <c r="AB143" t="str">
        <v>24/09/2026</v>
      </c>
      <c r="AC143" t="str">
        <v>15:43:49</v>
      </c>
      <c r="AD143">
        <f>IF("ONLINE"="NOGPS","GPS Antiguo","En línea")</f>
      </c>
      <c r="AE143">
        <f>IF(0=0,"Sin atender", IF(0=1,"Atendida","Atendida y Reportada"))</f>
      </c>
      <c r="AF143" t="str">
        <v/>
      </c>
      <c r="AG143" t="str">
        <v/>
      </c>
      <c r="AH143" t="str">
        <v/>
      </c>
      <c r="AI143" t="str">
        <v/>
      </c>
      <c r="AJ143" t="str">
        <v>24/09/2026 15:44:01</v>
      </c>
      <c r="AK143" t="str">
        <v>15:44:01</v>
      </c>
      <c r="AL143" t="str">
        <v/>
      </c>
    </row>
    <row r="144">
      <c r="A144">
        <v>143</v>
      </c>
      <c r="B144" t="str">
        <v>MASS BSF</v>
      </c>
      <c r="C144" t="str">
        <v>C6E-921</v>
      </c>
      <c r="D144" t="str">
        <v>C6E-921</v>
      </c>
      <c r="E144" t="str">
        <v/>
      </c>
      <c r="F144" t="str">
        <v>867806078831353</v>
      </c>
      <c r="G144" t="str">
        <v>TBD</v>
      </c>
      <c r="H144" t="str">
        <v/>
      </c>
      <c r="I144" t="str">
        <v/>
      </c>
      <c r="J144" t="str">
        <v>24/09/2026</v>
      </c>
      <c r="K144" t="str">
        <v>15:44:50</v>
      </c>
      <c r="L144">
        <v>-12.491696</v>
      </c>
      <c r="M144">
        <v>-76.79301</v>
      </c>
      <c r="N144">
        <f>HYPERLINK("https://www.google.com/maps/search/?api=1&amp;query=-12.491696,-76.79301","Avenida Lima, Pucusana")</f>
      </c>
      <c r="O144" t="str">
        <v>Aceleración brusca</v>
      </c>
      <c r="P144">
        <v>295170.4</v>
      </c>
      <c r="Q144" t="str">
        <v/>
      </c>
      <c r="R144">
        <v>7.5</v>
      </c>
      <c r="S144">
        <v>115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84</v>
      </c>
      <c r="AB144" t="str">
        <v>24/09/2026</v>
      </c>
      <c r="AC144" t="str">
        <v>15:44:48</v>
      </c>
      <c r="AD144">
        <f>IF("ONLINE"="NOGPS","GPS Antiguo","En línea")</f>
      </c>
      <c r="AE144">
        <f>IF(0=0,"Sin atender", IF(0=1,"Atendida","Atendida y Reportada"))</f>
      </c>
      <c r="AF144" t="str">
        <v/>
      </c>
      <c r="AG144" t="str">
        <v/>
      </c>
      <c r="AH144" t="str">
        <v/>
      </c>
      <c r="AI144" t="str">
        <v/>
      </c>
      <c r="AJ144" t="str">
        <v>24/09/2026 15:45:02</v>
      </c>
      <c r="AK144" t="str">
        <v>15:45:02</v>
      </c>
      <c r="AL144" t="str">
        <v/>
      </c>
    </row>
    <row r="145">
      <c r="A145">
        <v>144</v>
      </c>
      <c r="B145" t="str">
        <v>MASS BSF</v>
      </c>
      <c r="C145" t="str">
        <v>C6E-921</v>
      </c>
      <c r="D145" t="str">
        <v>C6E-921</v>
      </c>
      <c r="E145" t="str">
        <v/>
      </c>
      <c r="F145" t="str">
        <v>867806078831353</v>
      </c>
      <c r="G145" t="str">
        <v>TBD</v>
      </c>
      <c r="H145" t="str">
        <v/>
      </c>
      <c r="I145" t="str">
        <v/>
      </c>
      <c r="J145" t="str">
        <v>24/09/2026</v>
      </c>
      <c r="K145" t="str">
        <v>15:46:17</v>
      </c>
      <c r="L145">
        <v>-12.493485</v>
      </c>
      <c r="M145">
        <v>-76.78906</v>
      </c>
      <c r="N145">
        <f>HYPERLINK("https://www.google.com/maps/search/?api=1&amp;query=-12.493485,-76.78906","Pucusana, Lima")</f>
      </c>
      <c r="O145" t="str">
        <v>Aceleración brusca</v>
      </c>
      <c r="P145">
        <v>295170.9</v>
      </c>
      <c r="Q145" t="str">
        <v/>
      </c>
      <c r="R145">
        <v>14.8</v>
      </c>
      <c r="S145">
        <v>115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93</v>
      </c>
      <c r="AB145" t="str">
        <v>24/09/2026</v>
      </c>
      <c r="AC145" t="str">
        <v>15:46:14</v>
      </c>
      <c r="AD145">
        <f>IF("ONLINE"="NOGPS","GPS Antiguo","En línea")</f>
      </c>
      <c r="AE145">
        <f>IF(0=0,"Sin atender", IF(0=1,"Atendida","Atendida y Reportada"))</f>
      </c>
      <c r="AF145" t="str">
        <v/>
      </c>
      <c r="AG145" t="str">
        <v/>
      </c>
      <c r="AH145" t="str">
        <v/>
      </c>
      <c r="AI145" t="str">
        <v/>
      </c>
      <c r="AJ145" t="str">
        <v>24/09/2026 15:46:27</v>
      </c>
      <c r="AK145" t="str">
        <v>15:46:27</v>
      </c>
      <c r="AL145" t="str">
        <v/>
      </c>
    </row>
    <row r="146">
      <c r="A146">
        <v>145</v>
      </c>
      <c r="B146" t="str">
        <v>MASS BSF</v>
      </c>
      <c r="C146" t="str">
        <v>C6E-921</v>
      </c>
      <c r="D146" t="str">
        <v>C6E-921</v>
      </c>
      <c r="E146" t="str">
        <v/>
      </c>
      <c r="F146" t="str">
        <v>867806078831353</v>
      </c>
      <c r="G146" t="str">
        <v>TBD</v>
      </c>
      <c r="H146" t="str">
        <v/>
      </c>
      <c r="I146" t="str">
        <v/>
      </c>
      <c r="J146" t="str">
        <v>24/09/2026</v>
      </c>
      <c r="K146" t="str">
        <v>15:46:41</v>
      </c>
      <c r="L146">
        <v>-12.492655</v>
      </c>
      <c r="M146">
        <v>-76.7879</v>
      </c>
      <c r="N146">
        <f>HYPERLINK("https://www.google.com/maps/search/?api=1&amp;query=-12.492655,-76.7879","Pucusana, Lima")</f>
      </c>
      <c r="O146" t="str">
        <v>Aceleración brusca</v>
      </c>
      <c r="P146">
        <v>295171.1</v>
      </c>
      <c r="Q146" t="str">
        <v/>
      </c>
      <c r="R146">
        <v>9.2</v>
      </c>
      <c r="S146">
        <v>115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93</v>
      </c>
      <c r="AB146" t="str">
        <v>24/09/2026</v>
      </c>
      <c r="AC146" t="str">
        <v>15:46:39</v>
      </c>
      <c r="AD146">
        <f>IF("ONLINE"="NOGPS","GPS Antiguo","En línea")</f>
      </c>
      <c r="AE146">
        <f>IF(0=0,"Sin atender", IF(0=1,"Atendida","Atendida y Reportada"))</f>
      </c>
      <c r="AF146" t="str">
        <v/>
      </c>
      <c r="AG146" t="str">
        <v/>
      </c>
      <c r="AH146" t="str">
        <v/>
      </c>
      <c r="AI146" t="str">
        <v/>
      </c>
      <c r="AJ146" t="str">
        <v>24/09/2026 15:47:02</v>
      </c>
      <c r="AK146" t="str">
        <v>15:47:02</v>
      </c>
      <c r="AL146" t="str">
        <v/>
      </c>
    </row>
    <row r="147">
      <c r="A147">
        <v>146</v>
      </c>
      <c r="B147" t="str">
        <v>MASS BSF</v>
      </c>
      <c r="C147" t="str">
        <v>C6E-921</v>
      </c>
      <c r="D147" t="str">
        <v>C6E-921</v>
      </c>
      <c r="E147" t="str">
        <v/>
      </c>
      <c r="F147" t="str">
        <v>867806078831353</v>
      </c>
      <c r="G147" t="str">
        <v>TBD</v>
      </c>
      <c r="H147" t="str">
        <v/>
      </c>
      <c r="I147" t="str">
        <v/>
      </c>
      <c r="J147" t="str">
        <v>24/09/2026</v>
      </c>
      <c r="K147" t="str">
        <v>15:48:13</v>
      </c>
      <c r="L147">
        <v>-12.488417</v>
      </c>
      <c r="M147">
        <v>-76.78189</v>
      </c>
      <c r="N147">
        <f>HYPERLINK("https://www.google.com/maps/search/?api=1&amp;query=-12.488417,-76.78189","Pucusana, Lima")</f>
      </c>
      <c r="O147" t="str">
        <v>Acelerado y giro brusco</v>
      </c>
      <c r="P147">
        <v>295171.9</v>
      </c>
      <c r="Q147" t="str">
        <v/>
      </c>
      <c r="R147">
        <v>14.2</v>
      </c>
      <c r="S147">
        <v>115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93</v>
      </c>
      <c r="AB147" t="str">
        <v>24/09/2026</v>
      </c>
      <c r="AC147" t="str">
        <v>15:48:11</v>
      </c>
      <c r="AD147">
        <f>IF("ONLINE"="NOGPS","GPS Antiguo","En línea")</f>
      </c>
      <c r="AE147">
        <f>IF(0=0,"Sin atender", IF(0=1,"Atendida","Atendida y Reportada"))</f>
      </c>
      <c r="AF147" t="str">
        <v/>
      </c>
      <c r="AG147" t="str">
        <v/>
      </c>
      <c r="AH147" t="str">
        <v/>
      </c>
      <c r="AI147" t="str">
        <v/>
      </c>
      <c r="AJ147" t="str">
        <v>24/09/2026 15:48:34</v>
      </c>
      <c r="AK147" t="str">
        <v>15:48:34</v>
      </c>
      <c r="AL147" t="str">
        <v/>
      </c>
    </row>
    <row r="148">
      <c r="A148">
        <v>147</v>
      </c>
      <c r="B148" t="str">
        <v>MASS BSF</v>
      </c>
      <c r="C148" t="str">
        <v>C6E-921</v>
      </c>
      <c r="D148" t="str">
        <v>C6E-921</v>
      </c>
      <c r="E148" t="str">
        <v/>
      </c>
      <c r="F148" t="str">
        <v>867806078831353</v>
      </c>
      <c r="G148" t="str">
        <v>TBD</v>
      </c>
      <c r="H148" t="str">
        <v/>
      </c>
      <c r="I148" t="str">
        <v/>
      </c>
      <c r="J148" t="str">
        <v>24/09/2026</v>
      </c>
      <c r="K148" t="str">
        <v>15:49:08</v>
      </c>
      <c r="L148">
        <v>-12.486388</v>
      </c>
      <c r="M148">
        <v>-76.77871</v>
      </c>
      <c r="N148">
        <f>HYPERLINK("https://www.google.com/maps/search/?api=1&amp;query=-12.486388,-76.77871","Pucusana, Lima")</f>
      </c>
      <c r="O148" t="str">
        <v>Bache</v>
      </c>
      <c r="P148">
        <v>295172.3</v>
      </c>
      <c r="Q148" t="str">
        <v/>
      </c>
      <c r="R148">
        <v>43.8</v>
      </c>
      <c r="S148">
        <v>115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93</v>
      </c>
      <c r="AB148" t="str">
        <v>24/09/2026</v>
      </c>
      <c r="AC148" t="str">
        <v>15:49:06</v>
      </c>
      <c r="AD148">
        <f>IF("ONLINE"="NOGPS","GPS Antiguo","En línea")</f>
      </c>
      <c r="AE148">
        <f>IF(0=0,"Sin atender", IF(0=1,"Atendida","Atendida y Reportada"))</f>
      </c>
      <c r="AF148" t="str">
        <v/>
      </c>
      <c r="AG148" t="str">
        <v/>
      </c>
      <c r="AH148" t="str">
        <v/>
      </c>
      <c r="AI148" t="str">
        <v/>
      </c>
      <c r="AJ148" t="str">
        <v>24/09/2026 15:49:34</v>
      </c>
      <c r="AK148" t="str">
        <v>15:49:34</v>
      </c>
      <c r="AL148" t="str">
        <v/>
      </c>
    </row>
    <row r="149">
      <c r="A149">
        <v>148</v>
      </c>
      <c r="B149" t="str">
        <v>MASS BSF</v>
      </c>
      <c r="C149" t="str">
        <v>C6E-921</v>
      </c>
      <c r="D149" t="str">
        <v>C6E-921</v>
      </c>
      <c r="E149" t="str">
        <v/>
      </c>
      <c r="F149" t="str">
        <v>867806078831353</v>
      </c>
      <c r="G149" t="str">
        <v>TBD</v>
      </c>
      <c r="H149" t="str">
        <v/>
      </c>
      <c r="I149" t="str">
        <v/>
      </c>
      <c r="J149" t="str">
        <v>24/09/2026</v>
      </c>
      <c r="K149" t="str">
        <v>15:49:35</v>
      </c>
      <c r="L149">
        <v>-12.485309</v>
      </c>
      <c r="M149">
        <v>-76.77605</v>
      </c>
      <c r="N149">
        <f>HYPERLINK("https://www.google.com/maps/search/?api=1&amp;query=-12.485309,-76.77605","Pucusana, Lima")</f>
      </c>
      <c r="O149" t="str">
        <v>Bache</v>
      </c>
      <c r="P149">
        <v>295172.6</v>
      </c>
      <c r="Q149" t="str">
        <v/>
      </c>
      <c r="R149">
        <v>10</v>
      </c>
      <c r="S149">
        <v>115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93</v>
      </c>
      <c r="AB149" t="str">
        <v>24/09/2026</v>
      </c>
      <c r="AC149" t="str">
        <v>15:49:33</v>
      </c>
      <c r="AD149">
        <f>IF("ONLINE"="NOGPS","GPS Antiguo","En línea")</f>
      </c>
      <c r="AE149">
        <f>IF(0=0,"Sin atender", IF(0=1,"Atendida","Atendida y Reportada"))</f>
      </c>
      <c r="AF149" t="str">
        <v/>
      </c>
      <c r="AG149" t="str">
        <v/>
      </c>
      <c r="AH149" t="str">
        <v/>
      </c>
      <c r="AI149" t="str">
        <v/>
      </c>
      <c r="AJ149" t="str">
        <v>24/09/2026 15:49:57</v>
      </c>
      <c r="AK149" t="str">
        <v>15:49:57</v>
      </c>
      <c r="AL149" t="str">
        <v/>
      </c>
    </row>
    <row r="150">
      <c r="A150">
        <v>149</v>
      </c>
      <c r="B150" t="str">
        <v>MASS BSF</v>
      </c>
      <c r="C150" t="str">
        <v>C6E-921</v>
      </c>
      <c r="D150" t="str">
        <v>C6E-921</v>
      </c>
      <c r="E150" t="str">
        <v/>
      </c>
      <c r="F150" t="str">
        <v>867806078831353</v>
      </c>
      <c r="G150" t="str">
        <v>TBD</v>
      </c>
      <c r="H150" t="str">
        <v/>
      </c>
      <c r="I150" t="str">
        <v/>
      </c>
      <c r="J150" t="str">
        <v>24/09/2026</v>
      </c>
      <c r="K150" t="str">
        <v>15:53:07</v>
      </c>
      <c r="L150">
        <v>-12.477464</v>
      </c>
      <c r="M150">
        <v>-76.7606</v>
      </c>
      <c r="N150">
        <f>HYPERLINK("https://www.google.com/maps/search/?api=1&amp;query=-12.477464,-76.7606","Pucusana, Lima")</f>
      </c>
      <c r="O150" t="str">
        <v>Bache</v>
      </c>
      <c r="P150">
        <v>295174.5</v>
      </c>
      <c r="Q150" t="str">
        <v/>
      </c>
      <c r="R150">
        <v>51.4</v>
      </c>
      <c r="S150">
        <v>115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84</v>
      </c>
      <c r="AB150" t="str">
        <v>24/09/2026</v>
      </c>
      <c r="AC150" t="str">
        <v>15:53:04</v>
      </c>
      <c r="AD150">
        <f>IF("ONLINE"="NOGPS","GPS Antiguo","En línea")</f>
      </c>
      <c r="AE150">
        <f>IF(0=0,"Sin atender", IF(0=1,"Atendida","Atendida y Reportada"))</f>
      </c>
      <c r="AF150" t="str">
        <v/>
      </c>
      <c r="AG150" t="str">
        <v/>
      </c>
      <c r="AH150" t="str">
        <v/>
      </c>
      <c r="AI150" t="str">
        <v/>
      </c>
      <c r="AJ150" t="str">
        <v>24/09/2026 15:53:11</v>
      </c>
      <c r="AK150" t="str">
        <v>15:53:11</v>
      </c>
      <c r="AL150" t="str">
        <v/>
      </c>
    </row>
    <row r="151">
      <c r="A151">
        <v>150</v>
      </c>
      <c r="B151" t="str">
        <v>MASS BSF</v>
      </c>
      <c r="C151" t="str">
        <v>C6E-921</v>
      </c>
      <c r="D151" t="str">
        <v>C6E-921</v>
      </c>
      <c r="E151" t="str">
        <v/>
      </c>
      <c r="F151" t="str">
        <v>867806078831353</v>
      </c>
      <c r="G151" t="str">
        <v>TBD</v>
      </c>
      <c r="H151" t="str">
        <v/>
      </c>
      <c r="I151" t="str">
        <v/>
      </c>
      <c r="J151" t="str">
        <v>24/09/2026</v>
      </c>
      <c r="K151" t="str">
        <v>15:53:12</v>
      </c>
      <c r="L151">
        <v>-12.477241</v>
      </c>
      <c r="M151">
        <v>-76.75999</v>
      </c>
      <c r="N151">
        <f>HYPERLINK("https://www.google.com/maps/search/?api=1&amp;query=-12.477241,-76.75999","Pucusana, Lima")</f>
      </c>
      <c r="O151" t="str">
        <v>Ingreso a camino vecinal</v>
      </c>
      <c r="P151">
        <v>295174.6</v>
      </c>
      <c r="Q151" t="str">
        <v/>
      </c>
      <c r="R151">
        <v>47.9</v>
      </c>
      <c r="S151">
        <v>115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84</v>
      </c>
      <c r="AB151" t="str">
        <v>24/09/2026</v>
      </c>
      <c r="AC151" t="str">
        <v>15:53:09</v>
      </c>
      <c r="AD151">
        <f>IF("ONLINE"="NOGPS","GPS Antiguo","En línea")</f>
      </c>
      <c r="AE151">
        <f>IF(0=0,"Sin atender", IF(0=1,"Atendida","Atendida y Reportada"))</f>
      </c>
      <c r="AF151" t="str">
        <v/>
      </c>
      <c r="AG151" t="str">
        <v/>
      </c>
      <c r="AH151" t="str">
        <v/>
      </c>
      <c r="AI151" t="str">
        <v/>
      </c>
      <c r="AJ151" t="str">
        <v>24/09/2026 15:53:19</v>
      </c>
      <c r="AK151" t="str">
        <v>15:53:19</v>
      </c>
      <c r="AL151" t="str">
        <v/>
      </c>
    </row>
    <row r="152">
      <c r="A152">
        <v>151</v>
      </c>
      <c r="B152" t="str">
        <v>MASS BSF</v>
      </c>
      <c r="C152" t="str">
        <v>C6E-921</v>
      </c>
      <c r="D152" t="str">
        <v>C6E-921</v>
      </c>
      <c r="E152" t="str">
        <v/>
      </c>
      <c r="F152" t="str">
        <v>867806078831353</v>
      </c>
      <c r="G152" t="str">
        <v>TBD</v>
      </c>
      <c r="H152" t="str">
        <v/>
      </c>
      <c r="I152" t="str">
        <v/>
      </c>
      <c r="J152" t="str">
        <v>24/09/2026</v>
      </c>
      <c r="K152" t="str">
        <v>15:57:12</v>
      </c>
      <c r="L152">
        <v>-12.460228</v>
      </c>
      <c r="M152">
        <v>-76.75267</v>
      </c>
      <c r="N152">
        <f>HYPERLINK("https://www.google.com/maps/search/?api=1&amp;query=-12.460228,-76.75267","Carretera Panamericana Sur, Pucusana, Lima")</f>
      </c>
      <c r="O152" t="str">
        <v>Salida de camino vecinal</v>
      </c>
      <c r="P152">
        <v>295177.3</v>
      </c>
      <c r="Q152" t="str">
        <v/>
      </c>
      <c r="R152">
        <v>51.3</v>
      </c>
      <c r="S152">
        <v>115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90</v>
      </c>
      <c r="AB152" t="str">
        <v>24/09/2026</v>
      </c>
      <c r="AC152" t="str">
        <v>15:57:09</v>
      </c>
      <c r="AD152">
        <f>IF("ONLINE"="NOGPS","GPS Antiguo","En línea")</f>
      </c>
      <c r="AE152">
        <f>IF(0=0,"Sin atender", IF(0=1,"Atendida","Atendida y Reportada"))</f>
      </c>
      <c r="AF152" t="str">
        <v/>
      </c>
      <c r="AG152" t="str">
        <v/>
      </c>
      <c r="AH152" t="str">
        <v/>
      </c>
      <c r="AI152" t="str">
        <v/>
      </c>
      <c r="AJ152" t="str">
        <v>24/09/2026 15:57:23</v>
      </c>
      <c r="AK152" t="str">
        <v>15:57:23</v>
      </c>
      <c r="AL152" t="str">
        <v/>
      </c>
    </row>
    <row r="153">
      <c r="A153">
        <v>152</v>
      </c>
      <c r="B153" t="str">
        <v>MASS BSF</v>
      </c>
      <c r="C153" t="str">
        <v>C6E-921</v>
      </c>
      <c r="D153" t="str">
        <v>C6E-921</v>
      </c>
      <c r="E153" t="str">
        <v/>
      </c>
      <c r="F153" t="str">
        <v>867806078831353</v>
      </c>
      <c r="G153" t="str">
        <v>TBD</v>
      </c>
      <c r="H153" t="str">
        <v/>
      </c>
      <c r="I153" t="str">
        <v/>
      </c>
      <c r="J153" t="str">
        <v>24/09/2026</v>
      </c>
      <c r="K153" t="str">
        <v>16:03:24</v>
      </c>
      <c r="L153">
        <v>-12.408865</v>
      </c>
      <c r="M153">
        <v>-76.75656</v>
      </c>
      <c r="N153">
        <f>HYPERLINK("https://www.google.com/maps/search/?api=1&amp;query=-12.408865,-76.75656","Carretera Panamericana Sur, Chilca, Cañete, Lima")</f>
      </c>
      <c r="O153" t="str">
        <v>Exceso de velocidad en segmento vial</v>
      </c>
      <c r="P153">
        <v>295183.2</v>
      </c>
      <c r="Q153" t="str">
        <v/>
      </c>
      <c r="R153">
        <v>84</v>
      </c>
      <c r="S153">
        <v>115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83</v>
      </c>
      <c r="AB153" t="str">
        <v>24/09/2026</v>
      </c>
      <c r="AC153" t="str">
        <v>16:03:22</v>
      </c>
      <c r="AD153">
        <f>IF("ONLINE"="NOGPS","GPS Antiguo","En línea")</f>
      </c>
      <c r="AE153">
        <f>IF(0=0,"Sin atender", IF(0=1,"Atendida","Atendida y Reportada"))</f>
      </c>
      <c r="AF153" t="str">
        <v/>
      </c>
      <c r="AG153" t="str">
        <v/>
      </c>
      <c r="AH153" t="str">
        <v/>
      </c>
      <c r="AI153" t="str">
        <v/>
      </c>
      <c r="AJ153" t="str">
        <v>24/09/2026 16:03:40</v>
      </c>
      <c r="AK153" t="str">
        <v>16:03:40</v>
      </c>
      <c r="AL153" t="str">
        <v/>
      </c>
    </row>
    <row r="154">
      <c r="A154">
        <v>153</v>
      </c>
      <c r="B154" t="str">
        <v>MASS BSF</v>
      </c>
      <c r="C154" t="str">
        <v>C6E-921</v>
      </c>
      <c r="D154" t="str">
        <v>C6E-921</v>
      </c>
      <c r="E154" t="str">
        <v/>
      </c>
      <c r="F154" t="str">
        <v>867806078831353</v>
      </c>
      <c r="G154" t="str">
        <v>TBD</v>
      </c>
      <c r="H154" t="str">
        <v/>
      </c>
      <c r="I154" t="str">
        <v/>
      </c>
      <c r="J154" t="str">
        <v>24/09/2026</v>
      </c>
      <c r="K154" t="str">
        <v>16:03:54</v>
      </c>
      <c r="L154">
        <v>-12.402449</v>
      </c>
      <c r="M154">
        <v>-76.7566</v>
      </c>
      <c r="N154">
        <f>HYPERLINK("https://www.google.com/maps/search/?api=1&amp;query=-12.402449,-76.7566","Carretera Panamericana Sur, Chilca, Cañete, Lima")</f>
      </c>
      <c r="O154" t="str">
        <v>Exceso de velocidad en segmento vial</v>
      </c>
      <c r="P154">
        <v>295183.9</v>
      </c>
      <c r="Q154" t="str">
        <v/>
      </c>
      <c r="R154">
        <v>84.4</v>
      </c>
      <c r="S154">
        <v>115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93</v>
      </c>
      <c r="AB154" t="str">
        <v>24/09/2026</v>
      </c>
      <c r="AC154" t="str">
        <v>16:03:52</v>
      </c>
      <c r="AD154">
        <f>IF("ONLINE"="NOGPS","GPS Antiguo","En línea")</f>
      </c>
      <c r="AE154">
        <f>IF(0=0,"Sin atender", IF(0=1,"Atendida","Atendida y Reportada"))</f>
      </c>
      <c r="AF154" t="str">
        <v/>
      </c>
      <c r="AG154" t="str">
        <v/>
      </c>
      <c r="AH154" t="str">
        <v/>
      </c>
      <c r="AI154" t="str">
        <v/>
      </c>
      <c r="AJ154" t="str">
        <v>24/09/2026 16:04:18</v>
      </c>
      <c r="AK154" t="str">
        <v>16:04:18</v>
      </c>
      <c r="AL154" t="str">
        <v/>
      </c>
    </row>
    <row r="155">
      <c r="A155">
        <v>154</v>
      </c>
      <c r="B155" t="str">
        <v>MASS BSF</v>
      </c>
      <c r="C155" t="str">
        <v>C6E-921</v>
      </c>
      <c r="D155" t="str">
        <v>C6E-921</v>
      </c>
      <c r="E155" t="str">
        <v/>
      </c>
      <c r="F155" t="str">
        <v>867806078831353</v>
      </c>
      <c r="G155" t="str">
        <v>TBD</v>
      </c>
      <c r="H155" t="str">
        <v/>
      </c>
      <c r="I155" t="str">
        <v/>
      </c>
      <c r="J155" t="str">
        <v>24/09/2026</v>
      </c>
      <c r="K155" t="str">
        <v>16:08:23</v>
      </c>
      <c r="L155">
        <v>-12.367289</v>
      </c>
      <c r="M155">
        <v>-76.78844</v>
      </c>
      <c r="N155">
        <f>HYPERLINK("https://www.google.com/maps/search/?api=1&amp;query=-12.367289,-76.78844","Carretera Panamericana Sur, Punta Negra, Lima")</f>
      </c>
      <c r="O155" t="str">
        <v>Bache</v>
      </c>
      <c r="P155">
        <v>295189.2</v>
      </c>
      <c r="Q155" t="str">
        <v/>
      </c>
      <c r="R155">
        <v>42.4</v>
      </c>
      <c r="S155">
        <v>115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93</v>
      </c>
      <c r="AB155" t="str">
        <v>24/09/2026</v>
      </c>
      <c r="AC155" t="str">
        <v>16:08:20</v>
      </c>
      <c r="AD155">
        <f>IF("ONLINE"="NOGPS","GPS Antiguo","En línea")</f>
      </c>
      <c r="AE155">
        <f>IF(0=0,"Sin atender", IF(0=1,"Atendida","Atendida y Reportada"))</f>
      </c>
      <c r="AF155" t="str">
        <v/>
      </c>
      <c r="AG155" t="str">
        <v/>
      </c>
      <c r="AH155" t="str">
        <v/>
      </c>
      <c r="AI155" t="str">
        <v/>
      </c>
      <c r="AJ155" t="str">
        <v>24/09/2026 16:08:36</v>
      </c>
      <c r="AK155" t="str">
        <v>16:08:36</v>
      </c>
      <c r="AL155" t="str">
        <v/>
      </c>
    </row>
    <row r="156">
      <c r="A156">
        <v>155</v>
      </c>
      <c r="B156" t="str">
        <v>MASS BSF</v>
      </c>
      <c r="C156" t="str">
        <v>C6E-921</v>
      </c>
      <c r="D156" t="str">
        <v>C6E-921</v>
      </c>
      <c r="E156" t="str">
        <v/>
      </c>
      <c r="F156" t="str">
        <v>867806078831353</v>
      </c>
      <c r="G156" t="str">
        <v>TBD</v>
      </c>
      <c r="H156" t="str">
        <v/>
      </c>
      <c r="I156" t="str">
        <v/>
      </c>
      <c r="J156" t="str">
        <v>24/09/2026</v>
      </c>
      <c r="K156" t="str">
        <v>16:08:30</v>
      </c>
      <c r="L156">
        <v>-12.36671</v>
      </c>
      <c r="M156">
        <v>-76.78894</v>
      </c>
      <c r="N156">
        <f>HYPERLINK("https://www.google.com/maps/search/?api=1&amp;query=-12.36671,-76.78894","Carretera Panamericana Sur, Punta Negra, Lima")</f>
      </c>
      <c r="O156" t="str">
        <v>Bache</v>
      </c>
      <c r="P156">
        <v>295189.3</v>
      </c>
      <c r="Q156" t="str">
        <v/>
      </c>
      <c r="R156">
        <v>30.5</v>
      </c>
      <c r="S156">
        <v>115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93</v>
      </c>
      <c r="AB156" t="str">
        <v>24/09/2026</v>
      </c>
      <c r="AC156" t="str">
        <v>16:08:28</v>
      </c>
      <c r="AD156">
        <f>IF("ONLINE"="NOGPS","GPS Antiguo","En línea")</f>
      </c>
      <c r="AE156">
        <f>IF(0=0,"Sin atender", IF(0=1,"Atendida","Atendida y Reportada"))</f>
      </c>
      <c r="AF156" t="str">
        <v/>
      </c>
      <c r="AG156" t="str">
        <v/>
      </c>
      <c r="AH156" t="str">
        <v/>
      </c>
      <c r="AI156" t="str">
        <v/>
      </c>
      <c r="AJ156" t="str">
        <v>24/09/2026 16:08:38</v>
      </c>
      <c r="AK156" t="str">
        <v>16:08:38</v>
      </c>
      <c r="AL156" t="str">
        <v/>
      </c>
    </row>
    <row r="157">
      <c r="A157">
        <v>156</v>
      </c>
      <c r="B157" t="str">
        <v>MASS BSF</v>
      </c>
      <c r="C157" t="str">
        <v>C6E-921</v>
      </c>
      <c r="D157" t="str">
        <v>C6E-921</v>
      </c>
      <c r="E157" t="str">
        <v/>
      </c>
      <c r="F157" t="str">
        <v>867806078831353</v>
      </c>
      <c r="G157" t="str">
        <v>TBD</v>
      </c>
      <c r="H157" t="str">
        <v/>
      </c>
      <c r="I157" t="str">
        <v/>
      </c>
      <c r="J157" t="str">
        <v>24/09/2026</v>
      </c>
      <c r="K157" t="str">
        <v>16:08:52</v>
      </c>
      <c r="L157">
        <v>-12.365127</v>
      </c>
      <c r="M157">
        <v>-76.79072</v>
      </c>
      <c r="N157">
        <f>HYPERLINK("https://www.google.com/maps/search/?api=1&amp;query=-12.365127,-76.79072","Carretera Panamericana Sur, Punta Negra, Lima")</f>
      </c>
      <c r="O157" t="str">
        <v>Exceso de velocidad en segmento vial</v>
      </c>
      <c r="P157">
        <v>295189.5</v>
      </c>
      <c r="Q157" t="str">
        <v/>
      </c>
      <c r="R157">
        <v>54.6</v>
      </c>
      <c r="S157">
        <v>115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93</v>
      </c>
      <c r="AB157" t="str">
        <v>24/09/2026</v>
      </c>
      <c r="AC157" t="str">
        <v>16:08:50</v>
      </c>
      <c r="AD157">
        <f>IF("ONLINE"="NOGPS","GPS Antiguo","En línea")</f>
      </c>
      <c r="AE157">
        <f>IF(0=0,"Sin atender", IF(0=1,"Atendida","Atendida y Reportada"))</f>
      </c>
      <c r="AF157" t="str">
        <v/>
      </c>
      <c r="AG157" t="str">
        <v/>
      </c>
      <c r="AH157" t="str">
        <v/>
      </c>
      <c r="AI157" t="str">
        <v/>
      </c>
      <c r="AJ157" t="str">
        <v>24/09/2026 16:09:04</v>
      </c>
      <c r="AK157" t="str">
        <v>16:09:04</v>
      </c>
      <c r="AL157" t="str">
        <v/>
      </c>
    </row>
    <row r="158">
      <c r="A158">
        <v>157</v>
      </c>
      <c r="B158" t="str">
        <v>MASS BSF</v>
      </c>
      <c r="C158" t="str">
        <v>C6E-921</v>
      </c>
      <c r="D158" t="str">
        <v>C6E-921</v>
      </c>
      <c r="E158" t="str">
        <v/>
      </c>
      <c r="F158" t="str">
        <v>867806078831353</v>
      </c>
      <c r="G158" t="str">
        <v>TBD</v>
      </c>
      <c r="H158" t="str">
        <v/>
      </c>
      <c r="I158" t="str">
        <v/>
      </c>
      <c r="J158" t="str">
        <v>24/09/2026</v>
      </c>
      <c r="K158" t="str">
        <v>16:09:12</v>
      </c>
      <c r="L158">
        <v>-12.363321</v>
      </c>
      <c r="M158">
        <v>-76.79285</v>
      </c>
      <c r="N158">
        <f>HYPERLINK("https://www.google.com/maps/search/?api=1&amp;query=-12.363321,-76.79285","Carretera Panamericana Sur, Punta Negra, Lima")</f>
      </c>
      <c r="O158" t="str">
        <v>Ingreso a camino vecinal</v>
      </c>
      <c r="P158">
        <v>295189.8</v>
      </c>
      <c r="Q158" t="str">
        <v/>
      </c>
      <c r="R158">
        <v>59.2</v>
      </c>
      <c r="S158">
        <v>115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92</v>
      </c>
      <c r="AB158" t="str">
        <v>24/09/2026</v>
      </c>
      <c r="AC158" t="str">
        <v>16:09:09</v>
      </c>
      <c r="AD158">
        <f>IF("ONLINE"="NOGPS","GPS Antiguo","En línea")</f>
      </c>
      <c r="AE158">
        <f>IF(0=0,"Sin atender", IF(0=1,"Atendida","Atendida y Reportada"))</f>
      </c>
      <c r="AF158" t="str">
        <v/>
      </c>
      <c r="AG158" t="str">
        <v/>
      </c>
      <c r="AH158" t="str">
        <v/>
      </c>
      <c r="AI158" t="str">
        <v/>
      </c>
      <c r="AJ158" t="str">
        <v>24/09/2026 16:09:15</v>
      </c>
      <c r="AK158" t="str">
        <v>16:09:15</v>
      </c>
      <c r="AL158" t="str">
        <v/>
      </c>
    </row>
  </sheetData>
  <ignoredErrors>
    <ignoredError numberStoredAsText="1" sqref="A1:A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