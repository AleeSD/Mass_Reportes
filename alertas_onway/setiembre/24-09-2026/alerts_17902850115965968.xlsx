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8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F8R-810</v>
      </c>
      <c r="D2" t="str">
        <v>F8R-810</v>
      </c>
      <c r="E2" t="str">
        <v/>
      </c>
      <c r="F2" t="str">
        <v>867806078868827</v>
      </c>
      <c r="G2" t="str">
        <v>TBD</v>
      </c>
      <c r="H2" t="str">
        <v/>
      </c>
      <c r="I2" t="str">
        <v/>
      </c>
      <c r="J2" t="str">
        <v>24/09/2026</v>
      </c>
      <c r="K2" t="str">
        <v>06:03:05</v>
      </c>
      <c r="L2">
        <v>-12.213047</v>
      </c>
      <c r="M2">
        <v>-76.95893</v>
      </c>
      <c r="N2">
        <f>HYPERLINK("https://www.google.com/maps/search/?api=1&amp;query=-12.213047,-76.95893","Villa El Salvador, Lima")</f>
      </c>
      <c r="O2" t="str">
        <v>Vehículo encendido</v>
      </c>
      <c r="P2">
        <v>1359.4</v>
      </c>
      <c r="Q2" t="str">
        <v/>
      </c>
      <c r="R2">
        <v>0</v>
      </c>
      <c r="S2">
        <v>54.17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93</v>
      </c>
      <c r="AB2" t="str">
        <v>24/09/2026</v>
      </c>
      <c r="AC2" t="str">
        <v>06:03:02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06:03:25</v>
      </c>
      <c r="AK2" t="str">
        <v>06:03:25</v>
      </c>
      <c r="AL2" t="str">
        <v/>
      </c>
    </row>
    <row r="3">
      <c r="A3">
        <v>2</v>
      </c>
      <c r="B3" t="str">
        <v>MASS BSF</v>
      </c>
      <c r="C3" t="str">
        <v>F8R-810</v>
      </c>
      <c r="D3" t="str">
        <v>F8R-810</v>
      </c>
      <c r="E3" t="str">
        <v/>
      </c>
      <c r="F3" t="str">
        <v>867806078868827</v>
      </c>
      <c r="G3" t="str">
        <v>TBD</v>
      </c>
      <c r="H3" t="str">
        <v/>
      </c>
      <c r="I3" t="str">
        <v/>
      </c>
      <c r="J3" t="str">
        <v>24/09/2026</v>
      </c>
      <c r="K3" t="str">
        <v>06:03:31</v>
      </c>
      <c r="L3">
        <v>-12.213047</v>
      </c>
      <c r="M3">
        <v>-76.95893</v>
      </c>
      <c r="N3">
        <f>HYPERLINK("https://www.google.com/maps/search/?api=1&amp;query=-12.213047,-76.95893","Villa El Salvador, Lima")</f>
      </c>
      <c r="O3" t="str">
        <v>Se movio</v>
      </c>
      <c r="P3">
        <v>1359.4</v>
      </c>
      <c r="Q3" t="str">
        <v/>
      </c>
      <c r="R3">
        <v>0</v>
      </c>
      <c r="S3">
        <v>54.17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93</v>
      </c>
      <c r="AB3" t="str">
        <v>24/09/2026</v>
      </c>
      <c r="AC3" t="str">
        <v>06:03:29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06:03:41</v>
      </c>
      <c r="AK3" t="str">
        <v>06:03:41</v>
      </c>
      <c r="AL3" t="str">
        <v/>
      </c>
    </row>
    <row r="4">
      <c r="A4">
        <v>3</v>
      </c>
      <c r="B4" t="str">
        <v>MASS BSF</v>
      </c>
      <c r="C4" t="str">
        <v>F8R-810</v>
      </c>
      <c r="D4" t="str">
        <v>F8R-810</v>
      </c>
      <c r="E4" t="str">
        <v/>
      </c>
      <c r="F4" t="str">
        <v>867806078868827</v>
      </c>
      <c r="G4" t="str">
        <v>TBD</v>
      </c>
      <c r="H4" t="str">
        <v/>
      </c>
      <c r="I4" t="str">
        <v/>
      </c>
      <c r="J4" t="str">
        <v>24/09/2026</v>
      </c>
      <c r="K4" t="str">
        <v>06:04:58</v>
      </c>
      <c r="L4">
        <v>-12.213021</v>
      </c>
      <c r="M4">
        <v>-76.95902</v>
      </c>
      <c r="N4">
        <f>HYPERLINK("https://www.google.com/maps/search/?api=1&amp;query=-12.213021,-76.95902","Avenida Villa del Mar, Villa El Salvador, Lima")</f>
      </c>
      <c r="O4" t="str">
        <v>Acelerado y giro brusco</v>
      </c>
      <c r="P4">
        <v>1359.4</v>
      </c>
      <c r="Q4" t="str">
        <v/>
      </c>
      <c r="R4">
        <v>0</v>
      </c>
      <c r="S4">
        <v>54.17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89</v>
      </c>
      <c r="AB4" t="str">
        <v>24/09/2026</v>
      </c>
      <c r="AC4" t="str">
        <v>06:04:56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06:05:20</v>
      </c>
      <c r="AK4" t="str">
        <v>06:05:20</v>
      </c>
      <c r="AL4" t="str">
        <v/>
      </c>
    </row>
    <row r="5">
      <c r="A5">
        <v>4</v>
      </c>
      <c r="B5" t="str">
        <v>MASS BSF</v>
      </c>
      <c r="C5" t="str">
        <v>F8R-810</v>
      </c>
      <c r="D5" t="str">
        <v>F8R-810</v>
      </c>
      <c r="E5" t="str">
        <v/>
      </c>
      <c r="F5" t="str">
        <v>867806078868827</v>
      </c>
      <c r="G5" t="str">
        <v>TBD</v>
      </c>
      <c r="H5" t="str">
        <v/>
      </c>
      <c r="I5" t="str">
        <v/>
      </c>
      <c r="J5" t="str">
        <v>24/09/2026</v>
      </c>
      <c r="K5" t="str">
        <v>06:05:10</v>
      </c>
      <c r="L5">
        <v>-12.213018</v>
      </c>
      <c r="M5">
        <v>-76.959076</v>
      </c>
      <c r="N5">
        <f>HYPERLINK("https://www.google.com/maps/search/?api=1&amp;query=-12.213018,-76.959076","Avenida Villa del Mar, Villa El Salvador, Lima")</f>
      </c>
      <c r="O5" t="str">
        <v>Encendido o Entró en cobertura</v>
      </c>
      <c r="P5">
        <v>1359.4</v>
      </c>
      <c r="Q5" t="str">
        <v/>
      </c>
      <c r="R5">
        <v>4.2</v>
      </c>
      <c r="S5">
        <v>54.17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89</v>
      </c>
      <c r="AB5" t="str">
        <v>24/09/2026</v>
      </c>
      <c r="AC5" t="str">
        <v>06:05:02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06:05:16</v>
      </c>
      <c r="AK5" t="str">
        <v>06:05:16</v>
      </c>
      <c r="AL5" t="str">
        <v/>
      </c>
    </row>
    <row r="6">
      <c r="A6">
        <v>5</v>
      </c>
      <c r="B6" t="str">
        <v>MASS BSF</v>
      </c>
      <c r="C6" t="str">
        <v>F8R-810</v>
      </c>
      <c r="D6" t="str">
        <v>F8R-810</v>
      </c>
      <c r="E6" t="str">
        <v/>
      </c>
      <c r="F6" t="str">
        <v>867806078868827</v>
      </c>
      <c r="G6" t="str">
        <v>TBD</v>
      </c>
      <c r="H6" t="str">
        <v/>
      </c>
      <c r="I6" t="str">
        <v/>
      </c>
      <c r="J6" t="str">
        <v>24/09/2026</v>
      </c>
      <c r="K6" t="str">
        <v>06:06:09</v>
      </c>
      <c r="L6">
        <v>-12.213015</v>
      </c>
      <c r="M6">
        <v>-76.95909</v>
      </c>
      <c r="N6">
        <f>HYPERLINK("https://www.google.com/maps/search/?api=1&amp;query=-12.213015,-76.95909","Avenida Villa del Mar, Villa El Salvador, Lima")</f>
      </c>
      <c r="O6" t="str">
        <v>Encendido o Entró en cobertura</v>
      </c>
      <c r="P6">
        <v>1359.4</v>
      </c>
      <c r="Q6" t="str">
        <v/>
      </c>
      <c r="R6">
        <v>0</v>
      </c>
      <c r="S6">
        <v>54.17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87</v>
      </c>
      <c r="AB6" t="str">
        <v>24/09/2026</v>
      </c>
      <c r="AC6" t="str">
        <v>06:06:02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06:06:25</v>
      </c>
      <c r="AK6" t="str">
        <v>06:06:25</v>
      </c>
      <c r="AL6" t="str">
        <v/>
      </c>
    </row>
    <row r="7">
      <c r="A7">
        <v>6</v>
      </c>
      <c r="B7" t="str">
        <v>MASS BSF</v>
      </c>
      <c r="C7" t="str">
        <v>F8R-810</v>
      </c>
      <c r="D7" t="str">
        <v>F8R-810</v>
      </c>
      <c r="E7" t="str">
        <v/>
      </c>
      <c r="F7" t="str">
        <v>867806078868827</v>
      </c>
      <c r="G7" t="str">
        <v>TBD</v>
      </c>
      <c r="H7" t="str">
        <v/>
      </c>
      <c r="I7" t="str">
        <v/>
      </c>
      <c r="J7" t="str">
        <v>24/09/2026</v>
      </c>
      <c r="K7" t="str">
        <v>06:06:25</v>
      </c>
      <c r="L7">
        <v>-12.213015</v>
      </c>
      <c r="M7">
        <v>-76.95909</v>
      </c>
      <c r="N7">
        <f>HYPERLINK("https://www.google.com/maps/search/?api=1&amp;query=-12.213015,-76.95909","Avenida Villa del Mar, Villa El Salvador, Lima")</f>
      </c>
      <c r="O7" t="str">
        <v>Inicio de ralentí</v>
      </c>
      <c r="P7">
        <v>1359.4</v>
      </c>
      <c r="Q7" t="str">
        <v/>
      </c>
      <c r="R7">
        <v>0</v>
      </c>
      <c r="S7">
        <v>54.17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87</v>
      </c>
      <c r="AB7" t="str">
        <v>24/09/2026</v>
      </c>
      <c r="AC7" t="str">
        <v>06:06:22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06:06:39</v>
      </c>
      <c r="AK7" t="str">
        <v>06:06:39</v>
      </c>
      <c r="AL7" t="str">
        <v/>
      </c>
    </row>
    <row r="8">
      <c r="A8">
        <v>7</v>
      </c>
      <c r="B8" t="str">
        <v>MASS BSF</v>
      </c>
      <c r="C8" t="str">
        <v>F8R-810</v>
      </c>
      <c r="D8" t="str">
        <v>F8R-810</v>
      </c>
      <c r="E8" t="str">
        <v/>
      </c>
      <c r="F8" t="str">
        <v>867806078868827</v>
      </c>
      <c r="G8" t="str">
        <v>TBD</v>
      </c>
      <c r="H8" t="str">
        <v/>
      </c>
      <c r="I8" t="str">
        <v/>
      </c>
      <c r="J8" t="str">
        <v>24/09/2026</v>
      </c>
      <c r="K8" t="str">
        <v>06:08:08</v>
      </c>
      <c r="L8">
        <v>-12.212929</v>
      </c>
      <c r="M8">
        <v>-76.95923</v>
      </c>
      <c r="N8">
        <f>HYPERLINK("https://www.google.com/maps/search/?api=1&amp;query=-12.212929,-76.95923","Avenida Villa del Mar, Villa El Salvador, Lima")</f>
      </c>
      <c r="O8" t="str">
        <v>Fin de ralentí</v>
      </c>
      <c r="P8">
        <v>1359.4</v>
      </c>
      <c r="Q8" t="str">
        <v/>
      </c>
      <c r="R8">
        <v>6.1</v>
      </c>
      <c r="S8">
        <v>54.17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87</v>
      </c>
      <c r="AB8" t="str">
        <v>24/09/2026</v>
      </c>
      <c r="AC8" t="str">
        <v>06:08:06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06:08:20</v>
      </c>
      <c r="AK8" t="str">
        <v>06:08:20</v>
      </c>
      <c r="AL8" t="str">
        <v/>
      </c>
    </row>
    <row r="9">
      <c r="A9">
        <v>8</v>
      </c>
      <c r="B9" t="str">
        <v>MASS BSF</v>
      </c>
      <c r="C9" t="str">
        <v>F8R-810</v>
      </c>
      <c r="D9" t="str">
        <v>F8R-810</v>
      </c>
      <c r="E9" t="str">
        <v/>
      </c>
      <c r="F9" t="str">
        <v>867806078868827</v>
      </c>
      <c r="G9" t="str">
        <v>TBD</v>
      </c>
      <c r="H9" t="str">
        <v/>
      </c>
      <c r="I9" t="str">
        <v/>
      </c>
      <c r="J9" t="str">
        <v>24/09/2026</v>
      </c>
      <c r="K9" t="str">
        <v>06:08:44</v>
      </c>
      <c r="L9">
        <v>-12.213041</v>
      </c>
      <c r="M9">
        <v>-76.95962</v>
      </c>
      <c r="N9">
        <f>HYPERLINK("https://www.google.com/maps/search/?api=1&amp;query=-12.213041,-76.95962","Avenida Villa del Mar, Villa El Salvador, Lima")</f>
      </c>
      <c r="O9" t="str">
        <v>Acelerado y giro brusco</v>
      </c>
      <c r="P9">
        <v>1359.5</v>
      </c>
      <c r="Q9" t="str">
        <v/>
      </c>
      <c r="R9">
        <v>6.4</v>
      </c>
      <c r="S9">
        <v>54.17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87</v>
      </c>
      <c r="AB9" t="str">
        <v>24/09/2026</v>
      </c>
      <c r="AC9" t="str">
        <v>06:08:41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06:09:19</v>
      </c>
      <c r="AK9" t="str">
        <v>06:09:19</v>
      </c>
      <c r="AL9" t="str">
        <v/>
      </c>
    </row>
    <row r="10">
      <c r="A10">
        <v>9</v>
      </c>
      <c r="B10" t="str">
        <v>MASS BSF</v>
      </c>
      <c r="C10" t="str">
        <v>F8R-810</v>
      </c>
      <c r="D10" t="str">
        <v>F8R-810</v>
      </c>
      <c r="E10" t="str">
        <v/>
      </c>
      <c r="F10" t="str">
        <v>867806078868827</v>
      </c>
      <c r="G10" t="str">
        <v>TBD</v>
      </c>
      <c r="H10" t="str">
        <v/>
      </c>
      <c r="I10" t="str">
        <v/>
      </c>
      <c r="J10" t="str">
        <v>24/09/2026</v>
      </c>
      <c r="K10" t="str">
        <v>06:09:14</v>
      </c>
      <c r="L10">
        <v>-12.21329</v>
      </c>
      <c r="M10">
        <v>-76.96</v>
      </c>
      <c r="N10">
        <f>HYPERLINK("https://www.google.com/maps/search/?api=1&amp;query=-12.21329,-76.96","Avenida Villa del Mar, Villa El Salvador, Lima")</f>
      </c>
      <c r="O10" t="str">
        <v>Acelerado y giro brusco</v>
      </c>
      <c r="P10">
        <v>1359.5</v>
      </c>
      <c r="Q10" t="str">
        <v/>
      </c>
      <c r="R10">
        <v>6.1</v>
      </c>
      <c r="S10">
        <v>54.17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87</v>
      </c>
      <c r="AB10" t="str">
        <v>24/09/2026</v>
      </c>
      <c r="AC10" t="str">
        <v>06:09:11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06:09:35</v>
      </c>
      <c r="AK10" t="str">
        <v>06:09:35</v>
      </c>
      <c r="AL10" t="str">
        <v/>
      </c>
    </row>
    <row r="11">
      <c r="A11">
        <v>10</v>
      </c>
      <c r="B11" t="str">
        <v>MASS BSF</v>
      </c>
      <c r="C11" t="str">
        <v>F8R-810</v>
      </c>
      <c r="D11" t="str">
        <v>F8R-810</v>
      </c>
      <c r="E11" t="str">
        <v/>
      </c>
      <c r="F11" t="str">
        <v>867806078868827</v>
      </c>
      <c r="G11" t="str">
        <v>TBD</v>
      </c>
      <c r="H11" t="str">
        <v/>
      </c>
      <c r="I11" t="str">
        <v/>
      </c>
      <c r="J11" t="str">
        <v>24/09/2026</v>
      </c>
      <c r="K11" t="str">
        <v>06:09:36</v>
      </c>
      <c r="L11">
        <v>-12.213525</v>
      </c>
      <c r="M11">
        <v>-76.96034</v>
      </c>
      <c r="N11">
        <f>HYPERLINK("https://www.google.com/maps/search/?api=1&amp;query=-12.213525,-76.96034","Avenida Villa del Mar, Villa El Salvador, Lima")</f>
      </c>
      <c r="O11" t="str">
        <v>Acelerado y giro brusco</v>
      </c>
      <c r="P11">
        <v>1359.6</v>
      </c>
      <c r="Q11" t="str">
        <v/>
      </c>
      <c r="R11">
        <v>7.7</v>
      </c>
      <c r="S11">
        <v>54.17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87</v>
      </c>
      <c r="AB11" t="str">
        <v>24/09/2026</v>
      </c>
      <c r="AC11" t="str">
        <v>06:09:33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06:09:52</v>
      </c>
      <c r="AK11" t="str">
        <v>06:09:52</v>
      </c>
      <c r="AL11" t="str">
        <v/>
      </c>
    </row>
    <row r="12">
      <c r="A12">
        <v>11</v>
      </c>
      <c r="B12" t="str">
        <v>MASS BSF</v>
      </c>
      <c r="C12" t="str">
        <v>F8R-810</v>
      </c>
      <c r="D12" t="str">
        <v>F8R-810</v>
      </c>
      <c r="E12" t="str">
        <v/>
      </c>
      <c r="F12" t="str">
        <v>867806078868827</v>
      </c>
      <c r="G12" t="str">
        <v>TBD</v>
      </c>
      <c r="H12" t="str">
        <v/>
      </c>
      <c r="I12" t="str">
        <v/>
      </c>
      <c r="J12" t="str">
        <v>24/09/2026</v>
      </c>
      <c r="K12" t="str">
        <v>06:09:41</v>
      </c>
      <c r="L12">
        <v>-12.21358</v>
      </c>
      <c r="M12">
        <v>-76.96042</v>
      </c>
      <c r="N12">
        <f>HYPERLINK("https://www.google.com/maps/search/?api=1&amp;query=-12.21358,-76.96042","Avenida Villa del Mar, Villa El Salvador, Lima")</f>
      </c>
      <c r="O12" t="str">
        <v>Acelerado y giro brusco</v>
      </c>
      <c r="P12">
        <v>1359.6</v>
      </c>
      <c r="Q12" t="str">
        <v/>
      </c>
      <c r="R12">
        <v>6.6</v>
      </c>
      <c r="S12">
        <v>54.17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87</v>
      </c>
      <c r="AB12" t="str">
        <v>24/09/2026</v>
      </c>
      <c r="AC12" t="str">
        <v>06:09:38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06:10:03</v>
      </c>
      <c r="AK12" t="str">
        <v>06:10:03</v>
      </c>
      <c r="AL12" t="str">
        <v/>
      </c>
    </row>
    <row r="13">
      <c r="A13">
        <v>12</v>
      </c>
      <c r="B13" t="str">
        <v>MASS BSF</v>
      </c>
      <c r="C13" t="str">
        <v>F8R-810</v>
      </c>
      <c r="D13" t="str">
        <v>F8R-810</v>
      </c>
      <c r="E13" t="str">
        <v/>
      </c>
      <c r="F13" t="str">
        <v>867806078868827</v>
      </c>
      <c r="G13" t="str">
        <v>TBD</v>
      </c>
      <c r="H13" t="str">
        <v/>
      </c>
      <c r="I13" t="str">
        <v/>
      </c>
      <c r="J13" t="str">
        <v>24/09/2026</v>
      </c>
      <c r="K13" t="str">
        <v>06:09:56</v>
      </c>
      <c r="L13">
        <v>-12.213449</v>
      </c>
      <c r="M13">
        <v>-76.9606</v>
      </c>
      <c r="N13">
        <f>HYPERLINK("https://www.google.com/maps/search/?api=1&amp;query=-12.213449,-76.9606","Calle 1, Villa El Salvador, Lima")</f>
      </c>
      <c r="O13" t="str">
        <v>Acelerado y giro brusco</v>
      </c>
      <c r="P13">
        <v>1359.6</v>
      </c>
      <c r="Q13" t="str">
        <v/>
      </c>
      <c r="R13">
        <v>7.9</v>
      </c>
      <c r="S13">
        <v>54.17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87</v>
      </c>
      <c r="AB13" t="str">
        <v>24/09/2026</v>
      </c>
      <c r="AC13" t="str">
        <v>06:09:53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06:10:29</v>
      </c>
      <c r="AK13" t="str">
        <v>06:10:29</v>
      </c>
      <c r="AL13" t="str">
        <v/>
      </c>
    </row>
    <row r="14">
      <c r="A14">
        <v>13</v>
      </c>
      <c r="B14" t="str">
        <v>MASS BSF</v>
      </c>
      <c r="C14" t="str">
        <v>F8R-810</v>
      </c>
      <c r="D14" t="str">
        <v>F8R-810</v>
      </c>
      <c r="E14" t="str">
        <v/>
      </c>
      <c r="F14" t="str">
        <v>867806078868827</v>
      </c>
      <c r="G14" t="str">
        <v>TBD</v>
      </c>
      <c r="H14" t="str">
        <v/>
      </c>
      <c r="I14" t="str">
        <v/>
      </c>
      <c r="J14" t="str">
        <v>24/09/2026</v>
      </c>
      <c r="K14" t="str">
        <v>06:10:44</v>
      </c>
      <c r="L14">
        <v>-12.212543</v>
      </c>
      <c r="M14">
        <v>-76.96114</v>
      </c>
      <c r="N14">
        <f>HYPERLINK("https://www.google.com/maps/search/?api=1&amp;query=-12.212543,-76.96114","Calle 1, Villa El Salvador, Lima")</f>
      </c>
      <c r="O14" t="str">
        <v>Acelerado y giro brusco</v>
      </c>
      <c r="P14">
        <v>1359.7</v>
      </c>
      <c r="Q14" t="str">
        <v/>
      </c>
      <c r="R14">
        <v>8.8</v>
      </c>
      <c r="S14">
        <v>54.17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86</v>
      </c>
      <c r="AB14" t="str">
        <v>24/09/2026</v>
      </c>
      <c r="AC14" t="str">
        <v>06:10:41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06:10:59</v>
      </c>
      <c r="AK14" t="str">
        <v>06:10:59</v>
      </c>
      <c r="AL14" t="str">
        <v/>
      </c>
    </row>
    <row r="15">
      <c r="A15">
        <v>14</v>
      </c>
      <c r="B15" t="str">
        <v>MASS BSF</v>
      </c>
      <c r="C15" t="str">
        <v>F8R-810</v>
      </c>
      <c r="D15" t="str">
        <v>F8R-810</v>
      </c>
      <c r="E15" t="str">
        <v/>
      </c>
      <c r="F15" t="str">
        <v>867806078868827</v>
      </c>
      <c r="G15" t="str">
        <v>TBD</v>
      </c>
      <c r="H15" t="str">
        <v/>
      </c>
      <c r="I15" t="str">
        <v/>
      </c>
      <c r="J15" t="str">
        <v>24/09/2026</v>
      </c>
      <c r="K15" t="str">
        <v>06:10:58</v>
      </c>
      <c r="L15">
        <v>-12.212255</v>
      </c>
      <c r="M15">
        <v>-76.96128</v>
      </c>
      <c r="N15">
        <f>HYPERLINK("https://www.google.com/maps/search/?api=1&amp;query=-12.212255,-76.96128","Calle 1, Villa El Salvador, Lima")</f>
      </c>
      <c r="O15" t="str">
        <v>Acelerado y giro brusco</v>
      </c>
      <c r="P15">
        <v>1359.8</v>
      </c>
      <c r="Q15" t="str">
        <v/>
      </c>
      <c r="R15">
        <v>9.2</v>
      </c>
      <c r="S15">
        <v>54.17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86</v>
      </c>
      <c r="AB15" t="str">
        <v>24/09/2026</v>
      </c>
      <c r="AC15" t="str">
        <v>06:10:55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06:11:24</v>
      </c>
      <c r="AK15" t="str">
        <v>06:11:24</v>
      </c>
      <c r="AL15" t="str">
        <v/>
      </c>
    </row>
    <row r="16">
      <c r="A16">
        <v>15</v>
      </c>
      <c r="B16" t="str">
        <v>MASS BSF</v>
      </c>
      <c r="C16" t="str">
        <v>F8R-810</v>
      </c>
      <c r="D16" t="str">
        <v>F8R-810</v>
      </c>
      <c r="E16" t="str">
        <v/>
      </c>
      <c r="F16" t="str">
        <v>867806078868827</v>
      </c>
      <c r="G16" t="str">
        <v>TBD</v>
      </c>
      <c r="H16" t="str">
        <v/>
      </c>
      <c r="I16" t="str">
        <v/>
      </c>
      <c r="J16" t="str">
        <v>24/09/2026</v>
      </c>
      <c r="K16" t="str">
        <v>06:11:12</v>
      </c>
      <c r="L16">
        <v>-12.211953</v>
      </c>
      <c r="M16">
        <v>-76.96147</v>
      </c>
      <c r="N16">
        <f>HYPERLINK("https://www.google.com/maps/search/?api=1&amp;query=-12.211953,-76.96147","Calle 1, Villa El Salvador, Lima")</f>
      </c>
      <c r="O16" t="str">
        <v>Acelerado y giro brusco</v>
      </c>
      <c r="P16">
        <v>1359.8</v>
      </c>
      <c r="Q16" t="str">
        <v/>
      </c>
      <c r="R16">
        <v>9</v>
      </c>
      <c r="S16">
        <v>54.17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86</v>
      </c>
      <c r="AB16" t="str">
        <v>24/09/2026</v>
      </c>
      <c r="AC16" t="str">
        <v>06:11:09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06:11:37</v>
      </c>
      <c r="AK16" t="str">
        <v>06:11:37</v>
      </c>
      <c r="AL16" t="str">
        <v/>
      </c>
    </row>
    <row r="17">
      <c r="A17">
        <v>16</v>
      </c>
      <c r="B17" t="str">
        <v>MASS BSF</v>
      </c>
      <c r="C17" t="str">
        <v>F8R-810</v>
      </c>
      <c r="D17" t="str">
        <v>F8R-810</v>
      </c>
      <c r="E17" t="str">
        <v/>
      </c>
      <c r="F17" t="str">
        <v>867806078868827</v>
      </c>
      <c r="G17" t="str">
        <v>TBD</v>
      </c>
      <c r="H17" t="str">
        <v/>
      </c>
      <c r="I17" t="str">
        <v/>
      </c>
      <c r="J17" t="str">
        <v>24/09/2026</v>
      </c>
      <c r="K17" t="str">
        <v>06:11:25</v>
      </c>
      <c r="L17">
        <v>-12.211675</v>
      </c>
      <c r="M17">
        <v>-76.96166</v>
      </c>
      <c r="N17">
        <f>HYPERLINK("https://www.google.com/maps/search/?api=1&amp;query=-12.211675,-76.96166","Calle 1, Villa El Salvador, Lima")</f>
      </c>
      <c r="O17" t="str">
        <v>Acelerado y giro brusco</v>
      </c>
      <c r="P17">
        <v>1359.8</v>
      </c>
      <c r="Q17" t="str">
        <v/>
      </c>
      <c r="R17">
        <v>9.6</v>
      </c>
      <c r="S17">
        <v>54.17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86</v>
      </c>
      <c r="AB17" t="str">
        <v>24/09/2026</v>
      </c>
      <c r="AC17" t="str">
        <v>06:11:22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06:11:29</v>
      </c>
      <c r="AK17" t="str">
        <v>06:11:29</v>
      </c>
      <c r="AL17" t="str">
        <v/>
      </c>
    </row>
    <row r="18">
      <c r="A18">
        <v>17</v>
      </c>
      <c r="B18" t="str">
        <v>MASS BSF</v>
      </c>
      <c r="C18" t="str">
        <v>F8R-810</v>
      </c>
      <c r="D18" t="str">
        <v>F8R-810</v>
      </c>
      <c r="E18" t="str">
        <v/>
      </c>
      <c r="F18" t="str">
        <v>867806078868827</v>
      </c>
      <c r="G18" t="str">
        <v>TBD</v>
      </c>
      <c r="H18" t="str">
        <v/>
      </c>
      <c r="I18" t="str">
        <v/>
      </c>
      <c r="J18" t="str">
        <v>24/09/2026</v>
      </c>
      <c r="K18" t="str">
        <v>06:11:35</v>
      </c>
      <c r="L18">
        <v>-12.211493</v>
      </c>
      <c r="M18">
        <v>-76.961784</v>
      </c>
      <c r="N18">
        <f>HYPERLINK("https://www.google.com/maps/search/?api=1&amp;query=-12.211493,-76.961784","Calle 1, Villa El Salvador, Lima")</f>
      </c>
      <c r="O18" t="str">
        <v>Acelerado y giro brusco</v>
      </c>
      <c r="P18">
        <v>1359.9</v>
      </c>
      <c r="Q18" t="str">
        <v/>
      </c>
      <c r="R18">
        <v>7.9</v>
      </c>
      <c r="S18">
        <v>54.17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86</v>
      </c>
      <c r="AB18" t="str">
        <v>24/09/2026</v>
      </c>
      <c r="AC18" t="str">
        <v>06:11:32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06:11:55</v>
      </c>
      <c r="AK18" t="str">
        <v>06:11:55</v>
      </c>
      <c r="AL18" t="str">
        <v/>
      </c>
    </row>
    <row r="19">
      <c r="A19">
        <v>18</v>
      </c>
      <c r="B19" t="str">
        <v>MASS BSF</v>
      </c>
      <c r="C19" t="str">
        <v>F8R-810</v>
      </c>
      <c r="D19" t="str">
        <v>F8R-810</v>
      </c>
      <c r="E19" t="str">
        <v/>
      </c>
      <c r="F19" t="str">
        <v>867806078868827</v>
      </c>
      <c r="G19" t="str">
        <v>TBD</v>
      </c>
      <c r="H19" t="str">
        <v/>
      </c>
      <c r="I19" t="str">
        <v/>
      </c>
      <c r="J19" t="str">
        <v>24/09/2026</v>
      </c>
      <c r="K19" t="str">
        <v>06:11:42</v>
      </c>
      <c r="L19">
        <v>-12.21141</v>
      </c>
      <c r="M19">
        <v>-76.96187</v>
      </c>
      <c r="N19">
        <f>HYPERLINK("https://www.google.com/maps/search/?api=1&amp;query=-12.21141,-76.96187","Calle 1, Villa El Salvador, Lima")</f>
      </c>
      <c r="O19" t="str">
        <v>Acelerado y giro brusco</v>
      </c>
      <c r="P19">
        <v>1359.9</v>
      </c>
      <c r="Q19" t="str">
        <v/>
      </c>
      <c r="R19">
        <v>6.4</v>
      </c>
      <c r="S19">
        <v>54.17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86</v>
      </c>
      <c r="AB19" t="str">
        <v>24/09/2026</v>
      </c>
      <c r="AC19" t="str">
        <v>06:11:39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06:11:53</v>
      </c>
      <c r="AK19" t="str">
        <v>06:11:53</v>
      </c>
      <c r="AL19" t="str">
        <v/>
      </c>
    </row>
    <row r="20">
      <c r="A20">
        <v>19</v>
      </c>
      <c r="B20" t="str">
        <v>MASS BSF</v>
      </c>
      <c r="C20" t="str">
        <v>F8R-810</v>
      </c>
      <c r="D20" t="str">
        <v>F8R-810</v>
      </c>
      <c r="E20" t="str">
        <v/>
      </c>
      <c r="F20" t="str">
        <v>867806078868827</v>
      </c>
      <c r="G20" t="str">
        <v>TBD</v>
      </c>
      <c r="H20" t="str">
        <v/>
      </c>
      <c r="I20" t="str">
        <v/>
      </c>
      <c r="J20" t="str">
        <v>24/09/2026</v>
      </c>
      <c r="K20" t="str">
        <v>06:12:00</v>
      </c>
      <c r="L20">
        <v>-12.211193</v>
      </c>
      <c r="M20">
        <v>-76.96198</v>
      </c>
      <c r="N20">
        <f>HYPERLINK("https://www.google.com/maps/search/?api=1&amp;query=-12.211193,-76.96198","Avenida El Sol, Villa El Salvador, Lima")</f>
      </c>
      <c r="O20" t="str">
        <v>Acelerado y giro brusco</v>
      </c>
      <c r="P20">
        <v>1359.9</v>
      </c>
      <c r="Q20" t="str">
        <v/>
      </c>
      <c r="R20">
        <v>10.1</v>
      </c>
      <c r="S20">
        <v>54.17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85</v>
      </c>
      <c r="AB20" t="str">
        <v>24/09/2026</v>
      </c>
      <c r="AC20" t="str">
        <v>06:11:58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06:12:28</v>
      </c>
      <c r="AK20" t="str">
        <v>06:12:28</v>
      </c>
      <c r="AL20" t="str">
        <v/>
      </c>
    </row>
    <row r="21">
      <c r="A21">
        <v>20</v>
      </c>
      <c r="B21" t="str">
        <v>MASS BSF</v>
      </c>
      <c r="C21" t="str">
        <v>F8R-810</v>
      </c>
      <c r="D21" t="str">
        <v>F8R-810</v>
      </c>
      <c r="E21" t="str">
        <v/>
      </c>
      <c r="F21" t="str">
        <v>867806078868827</v>
      </c>
      <c r="G21" t="str">
        <v>TBD</v>
      </c>
      <c r="H21" t="str">
        <v/>
      </c>
      <c r="I21" t="str">
        <v/>
      </c>
      <c r="J21" t="str">
        <v>24/09/2026</v>
      </c>
      <c r="K21" t="str">
        <v>06:12:05</v>
      </c>
      <c r="L21">
        <v>-12.211115</v>
      </c>
      <c r="M21">
        <v>-76.96188</v>
      </c>
      <c r="N21">
        <f>HYPERLINK("https://www.google.com/maps/search/?api=1&amp;query=-12.211115,-76.96188","Avenida El Sol, Villa El Salvador, Lima")</f>
      </c>
      <c r="O21" t="str">
        <v>Acelerado y giro brusco</v>
      </c>
      <c r="P21">
        <v>1359.9</v>
      </c>
      <c r="Q21" t="str">
        <v/>
      </c>
      <c r="R21">
        <v>14.8</v>
      </c>
      <c r="S21">
        <v>54.17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85</v>
      </c>
      <c r="AB21" t="str">
        <v>24/09/2026</v>
      </c>
      <c r="AC21" t="str">
        <v>06:12:02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06:12:13</v>
      </c>
      <c r="AK21" t="str">
        <v>06:12:13</v>
      </c>
      <c r="AL21" t="str">
        <v/>
      </c>
    </row>
    <row r="22">
      <c r="A22">
        <v>21</v>
      </c>
      <c r="B22" t="str">
        <v>MASS BSF</v>
      </c>
      <c r="C22" t="str">
        <v>F8R-810</v>
      </c>
      <c r="D22" t="str">
        <v>F8R-810</v>
      </c>
      <c r="E22" t="str">
        <v/>
      </c>
      <c r="F22" t="str">
        <v>867806078868827</v>
      </c>
      <c r="G22" t="str">
        <v>TBD</v>
      </c>
      <c r="H22" t="str">
        <v/>
      </c>
      <c r="I22" t="str">
        <v/>
      </c>
      <c r="J22" t="str">
        <v>24/09/2026</v>
      </c>
      <c r="K22" t="str">
        <v>06:12:15</v>
      </c>
      <c r="L22">
        <v>-12.210935</v>
      </c>
      <c r="M22">
        <v>-76.96157</v>
      </c>
      <c r="N22">
        <f>HYPERLINK("https://www.google.com/maps/search/?api=1&amp;query=-12.210935,-76.96157","Avenida El Sol, Villa El Salvador, Lima")</f>
      </c>
      <c r="O22" t="str">
        <v>Aceleración brusca</v>
      </c>
      <c r="P22">
        <v>1359.9</v>
      </c>
      <c r="Q22" t="str">
        <v/>
      </c>
      <c r="R22">
        <v>16.6</v>
      </c>
      <c r="S22">
        <v>54.17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85</v>
      </c>
      <c r="AB22" t="str">
        <v>24/09/2026</v>
      </c>
      <c r="AC22" t="str">
        <v>06:12:12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06:12:34</v>
      </c>
      <c r="AK22" t="str">
        <v>06:12:34</v>
      </c>
      <c r="AL22" t="str">
        <v/>
      </c>
    </row>
    <row r="23">
      <c r="A23">
        <v>22</v>
      </c>
      <c r="B23" t="str">
        <v>MASS BSF</v>
      </c>
      <c r="C23" t="str">
        <v>F8R-810</v>
      </c>
      <c r="D23" t="str">
        <v>F8R-810</v>
      </c>
      <c r="E23" t="str">
        <v/>
      </c>
      <c r="F23" t="str">
        <v>867806078868827</v>
      </c>
      <c r="G23" t="str">
        <v>TBD</v>
      </c>
      <c r="H23" t="str">
        <v/>
      </c>
      <c r="I23" t="str">
        <v/>
      </c>
      <c r="J23" t="str">
        <v>24/09/2026</v>
      </c>
      <c r="K23" t="str">
        <v>06:12:20</v>
      </c>
      <c r="L23">
        <v>-12.210802</v>
      </c>
      <c r="M23">
        <v>-76.96136</v>
      </c>
      <c r="N23">
        <f>HYPERLINK("https://www.google.com/maps/search/?api=1&amp;query=-12.210802,-76.96136","Avenida El Sol, Villa El Salvador, Lima")</f>
      </c>
      <c r="O23" t="str">
        <v>Aceleración brusca</v>
      </c>
      <c r="P23">
        <v>1360</v>
      </c>
      <c r="Q23" t="str">
        <v/>
      </c>
      <c r="R23">
        <v>22.2</v>
      </c>
      <c r="S23">
        <v>54.17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85</v>
      </c>
      <c r="AB23" t="str">
        <v>24/09/2026</v>
      </c>
      <c r="AC23" t="str">
        <v>06:12:17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06:12:37</v>
      </c>
      <c r="AK23" t="str">
        <v>06:12:37</v>
      </c>
      <c r="AL23" t="str">
        <v/>
      </c>
    </row>
    <row r="24">
      <c r="A24">
        <v>23</v>
      </c>
      <c r="B24" t="str">
        <v>MASS BSF</v>
      </c>
      <c r="C24" t="str">
        <v>F8R-810</v>
      </c>
      <c r="D24" t="str">
        <v>F8R-810</v>
      </c>
      <c r="E24" t="str">
        <v/>
      </c>
      <c r="F24" t="str">
        <v>867806078868827</v>
      </c>
      <c r="G24" t="str">
        <v>TBD</v>
      </c>
      <c r="H24" t="str">
        <v/>
      </c>
      <c r="I24" t="str">
        <v/>
      </c>
      <c r="J24" t="str">
        <v>24/09/2026</v>
      </c>
      <c r="K24" t="str">
        <v>06:12:25</v>
      </c>
      <c r="L24">
        <v>-12.210665</v>
      </c>
      <c r="M24">
        <v>-76.96112</v>
      </c>
      <c r="N24">
        <f>HYPERLINK("https://www.google.com/maps/search/?api=1&amp;query=-12.210665,-76.96112","Avenida El Sol, Villa El Salvador, Lima")</f>
      </c>
      <c r="O24" t="str">
        <v>Aceleración brusca</v>
      </c>
      <c r="P24">
        <v>1360</v>
      </c>
      <c r="Q24" t="str">
        <v/>
      </c>
      <c r="R24">
        <v>20.7</v>
      </c>
      <c r="S24">
        <v>54.17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85</v>
      </c>
      <c r="AB24" t="str">
        <v>24/09/2026</v>
      </c>
      <c r="AC24" t="str">
        <v>06:12:22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06:12:34</v>
      </c>
      <c r="AK24" t="str">
        <v>06:12:34</v>
      </c>
      <c r="AL24" t="str">
        <v/>
      </c>
    </row>
    <row r="25">
      <c r="A25">
        <v>24</v>
      </c>
      <c r="B25" t="str">
        <v>MASS BSF</v>
      </c>
      <c r="C25" t="str">
        <v>F8R-810</v>
      </c>
      <c r="D25" t="str">
        <v>F8R-810</v>
      </c>
      <c r="E25" t="str">
        <v/>
      </c>
      <c r="F25" t="str">
        <v>867806078868827</v>
      </c>
      <c r="G25" t="str">
        <v>TBD</v>
      </c>
      <c r="H25" t="str">
        <v/>
      </c>
      <c r="I25" t="str">
        <v/>
      </c>
      <c r="J25" t="str">
        <v>24/09/2026</v>
      </c>
      <c r="K25" t="str">
        <v>06:12:45</v>
      </c>
      <c r="L25">
        <v>-12.21023</v>
      </c>
      <c r="M25">
        <v>-76.96035</v>
      </c>
      <c r="N25">
        <f>HYPERLINK("https://www.google.com/maps/search/?api=1&amp;query=-12.21023,-76.96035","Avenida El Sol, Villa El Salvador, Lima")</f>
      </c>
      <c r="O25" t="str">
        <v>Bache</v>
      </c>
      <c r="P25">
        <v>1360.1</v>
      </c>
      <c r="Q25" t="str">
        <v/>
      </c>
      <c r="R25">
        <v>9</v>
      </c>
      <c r="S25">
        <v>54.17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85</v>
      </c>
      <c r="AB25" t="str">
        <v>24/09/2026</v>
      </c>
      <c r="AC25" t="str">
        <v>06:12:42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06:13:09</v>
      </c>
      <c r="AK25" t="str">
        <v>06:13:09</v>
      </c>
      <c r="AL25" t="str">
        <v/>
      </c>
    </row>
    <row r="26">
      <c r="A26">
        <v>25</v>
      </c>
      <c r="B26" t="str">
        <v>MASS BSF</v>
      </c>
      <c r="C26" t="str">
        <v>F8R-810</v>
      </c>
      <c r="D26" t="str">
        <v>F8R-810</v>
      </c>
      <c r="E26" t="str">
        <v/>
      </c>
      <c r="F26" t="str">
        <v>867806078868827</v>
      </c>
      <c r="G26" t="str">
        <v>TBD</v>
      </c>
      <c r="H26" t="str">
        <v/>
      </c>
      <c r="I26" t="str">
        <v/>
      </c>
      <c r="J26" t="str">
        <v>24/09/2026</v>
      </c>
      <c r="K26" t="str">
        <v>06:13:05</v>
      </c>
      <c r="L26">
        <v>-12.20989</v>
      </c>
      <c r="M26">
        <v>-76.95977</v>
      </c>
      <c r="N26">
        <f>HYPERLINK("https://www.google.com/maps/search/?api=1&amp;query=-12.20989,-76.95977","Avenida El Sol, Villa El Salvador, Lima")</f>
      </c>
      <c r="O26" t="str">
        <v>Acelerado y giro brusco</v>
      </c>
      <c r="P26">
        <v>1360.2</v>
      </c>
      <c r="Q26" t="str">
        <v/>
      </c>
      <c r="R26">
        <v>13.8</v>
      </c>
      <c r="S26">
        <v>54.17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85</v>
      </c>
      <c r="AB26" t="str">
        <v>24/09/2026</v>
      </c>
      <c r="AC26" t="str">
        <v>06:13:02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06:13:17</v>
      </c>
      <c r="AK26" t="str">
        <v>06:13:17</v>
      </c>
      <c r="AL26" t="str">
        <v/>
      </c>
    </row>
    <row r="27">
      <c r="A27">
        <v>26</v>
      </c>
      <c r="B27" t="str">
        <v>MASS BSF</v>
      </c>
      <c r="C27" t="str">
        <v>F8R-810</v>
      </c>
      <c r="D27" t="str">
        <v>F8R-810</v>
      </c>
      <c r="E27" t="str">
        <v/>
      </c>
      <c r="F27" t="str">
        <v>867806078868827</v>
      </c>
      <c r="G27" t="str">
        <v>TBD</v>
      </c>
      <c r="H27" t="str">
        <v/>
      </c>
      <c r="I27" t="str">
        <v/>
      </c>
      <c r="J27" t="str">
        <v>24/09/2026</v>
      </c>
      <c r="K27" t="str">
        <v>06:13:25</v>
      </c>
      <c r="L27">
        <v>-12.209592</v>
      </c>
      <c r="M27">
        <v>-76.95927</v>
      </c>
      <c r="N27">
        <f>HYPERLINK("https://www.google.com/maps/search/?api=1&amp;query=-12.209592,-76.95927","Avenida El Sol, Villa El Salvador, Lima")</f>
      </c>
      <c r="O27" t="str">
        <v>Acelerado y giro brusco</v>
      </c>
      <c r="P27">
        <v>1360.2</v>
      </c>
      <c r="Q27" t="str">
        <v/>
      </c>
      <c r="R27">
        <v>14.4</v>
      </c>
      <c r="S27">
        <v>54.17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85</v>
      </c>
      <c r="AB27" t="str">
        <v>24/09/2026</v>
      </c>
      <c r="AC27" t="str">
        <v>06:13:22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06:13:39</v>
      </c>
      <c r="AK27" t="str">
        <v>06:13:39</v>
      </c>
      <c r="AL27" t="str">
        <v/>
      </c>
    </row>
    <row r="28">
      <c r="A28">
        <v>27</v>
      </c>
      <c r="B28" t="str">
        <v>MASS BSF</v>
      </c>
      <c r="C28" t="str">
        <v>F8R-810</v>
      </c>
      <c r="D28" t="str">
        <v>F8R-810</v>
      </c>
      <c r="E28" t="str">
        <v/>
      </c>
      <c r="F28" t="str">
        <v>867806078868827</v>
      </c>
      <c r="G28" t="str">
        <v>TBD</v>
      </c>
      <c r="H28" t="str">
        <v/>
      </c>
      <c r="I28" t="str">
        <v/>
      </c>
      <c r="J28" t="str">
        <v>24/09/2026</v>
      </c>
      <c r="K28" t="str">
        <v>06:14:00</v>
      </c>
      <c r="L28">
        <v>-12.209097</v>
      </c>
      <c r="M28">
        <v>-76.958466</v>
      </c>
      <c r="N28">
        <f>HYPERLINK("https://www.google.com/maps/search/?api=1&amp;query=-12.209097,-76.958466","Avenida El Sol, Villa El Salvador, Lima")</f>
      </c>
      <c r="O28" t="str">
        <v>Aceleración brusca</v>
      </c>
      <c r="P28">
        <v>1360.3</v>
      </c>
      <c r="Q28" t="str">
        <v/>
      </c>
      <c r="R28">
        <v>10.9</v>
      </c>
      <c r="S28">
        <v>54.17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85</v>
      </c>
      <c r="AB28" t="str">
        <v>24/09/2026</v>
      </c>
      <c r="AC28" t="str">
        <v>06:13:57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06:14:22</v>
      </c>
      <c r="AK28" t="str">
        <v>06:14:22</v>
      </c>
      <c r="AL28" t="str">
        <v/>
      </c>
    </row>
    <row r="29">
      <c r="A29">
        <v>28</v>
      </c>
      <c r="B29" t="str">
        <v>MASS BSF</v>
      </c>
      <c r="C29" t="str">
        <v>F8R-810</v>
      </c>
      <c r="D29" t="str">
        <v>F8R-810</v>
      </c>
      <c r="E29" t="str">
        <v/>
      </c>
      <c r="F29" t="str">
        <v>867806078868827</v>
      </c>
      <c r="G29" t="str">
        <v>TBD</v>
      </c>
      <c r="H29" t="str">
        <v/>
      </c>
      <c r="I29" t="str">
        <v/>
      </c>
      <c r="J29" t="str">
        <v>24/09/2026</v>
      </c>
      <c r="K29" t="str">
        <v>06:14:23</v>
      </c>
      <c r="L29">
        <v>-12.208591</v>
      </c>
      <c r="M29">
        <v>-76.957726</v>
      </c>
      <c r="N29">
        <f>HYPERLINK("https://www.google.com/maps/search/?api=1&amp;query=-12.208591,-76.957726","Avenida El Sol, Villa El Salvador, Lima")</f>
      </c>
      <c r="O29" t="str">
        <v>Aceleración brusca</v>
      </c>
      <c r="P29">
        <v>1360.4</v>
      </c>
      <c r="Q29" t="str">
        <v/>
      </c>
      <c r="R29">
        <v>14.6</v>
      </c>
      <c r="S29">
        <v>54.17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85</v>
      </c>
      <c r="AB29" t="str">
        <v>24/09/2026</v>
      </c>
      <c r="AC29" t="str">
        <v>06:14:21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06:14:40</v>
      </c>
      <c r="AK29" t="str">
        <v>06:14:40</v>
      </c>
      <c r="AL29" t="str">
        <v/>
      </c>
    </row>
    <row r="30">
      <c r="A30">
        <v>29</v>
      </c>
      <c r="B30" t="str">
        <v>MASS BSF</v>
      </c>
      <c r="C30" t="str">
        <v>F8R-810</v>
      </c>
      <c r="D30" t="str">
        <v>F8R-810</v>
      </c>
      <c r="E30" t="str">
        <v/>
      </c>
      <c r="F30" t="str">
        <v>867806078868827</v>
      </c>
      <c r="G30" t="str">
        <v>TBD</v>
      </c>
      <c r="H30" t="str">
        <v/>
      </c>
      <c r="I30" t="str">
        <v/>
      </c>
      <c r="J30" t="str">
        <v>24/09/2026</v>
      </c>
      <c r="K30" t="str">
        <v>06:14:32</v>
      </c>
      <c r="L30">
        <v>-12.208397</v>
      </c>
      <c r="M30">
        <v>-76.95744</v>
      </c>
      <c r="N30">
        <f>HYPERLINK("https://www.google.com/maps/search/?api=1&amp;query=-12.208397,-76.95744","Avenida El Sol, Villa El Salvador, Lima")</f>
      </c>
      <c r="O30" t="str">
        <v>Aceleración brusca</v>
      </c>
      <c r="P30">
        <v>1360.5</v>
      </c>
      <c r="Q30" t="str">
        <v/>
      </c>
      <c r="R30">
        <v>15.1</v>
      </c>
      <c r="S30">
        <v>54.17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85</v>
      </c>
      <c r="AB30" t="str">
        <v>24/09/2026</v>
      </c>
      <c r="AC30" t="str">
        <v>06:14:30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06:14:38</v>
      </c>
      <c r="AK30" t="str">
        <v>06:14:38</v>
      </c>
      <c r="AL30" t="str">
        <v/>
      </c>
    </row>
    <row r="31">
      <c r="A31">
        <v>30</v>
      </c>
      <c r="B31" t="str">
        <v>MASS BSF</v>
      </c>
      <c r="C31" t="str">
        <v>F8R-810</v>
      </c>
      <c r="D31" t="str">
        <v>F8R-810</v>
      </c>
      <c r="E31" t="str">
        <v/>
      </c>
      <c r="F31" t="str">
        <v>867806078868827</v>
      </c>
      <c r="G31" t="str">
        <v>TBD</v>
      </c>
      <c r="H31" t="str">
        <v/>
      </c>
      <c r="I31" t="str">
        <v/>
      </c>
      <c r="J31" t="str">
        <v>24/09/2026</v>
      </c>
      <c r="K31" t="str">
        <v>06:14:54</v>
      </c>
      <c r="L31">
        <v>-12.207942</v>
      </c>
      <c r="M31">
        <v>-76.95672</v>
      </c>
      <c r="N31">
        <f>HYPERLINK("https://www.google.com/maps/search/?api=1&amp;query=-12.207942,-76.95672","Avenida El Sol, Villa El Salvador, Lima")</f>
      </c>
      <c r="O31" t="str">
        <v>Acelerado y giro brusco</v>
      </c>
      <c r="P31">
        <v>1360.6</v>
      </c>
      <c r="Q31" t="str">
        <v/>
      </c>
      <c r="R31">
        <v>20.3</v>
      </c>
      <c r="S31">
        <v>54.17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85</v>
      </c>
      <c r="AB31" t="str">
        <v>24/09/2026</v>
      </c>
      <c r="AC31" t="str">
        <v>06:14:51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06:15:12</v>
      </c>
      <c r="AK31" t="str">
        <v>06:15:12</v>
      </c>
      <c r="AL31" t="str">
        <v/>
      </c>
    </row>
    <row r="32">
      <c r="A32">
        <v>31</v>
      </c>
      <c r="B32" t="str">
        <v>MASS BSF</v>
      </c>
      <c r="C32" t="str">
        <v>F8R-810</v>
      </c>
      <c r="D32" t="str">
        <v>F8R-810</v>
      </c>
      <c r="E32" t="str">
        <v/>
      </c>
      <c r="F32" t="str">
        <v>867806078868827</v>
      </c>
      <c r="G32" t="str">
        <v>TBD</v>
      </c>
      <c r="H32" t="str">
        <v/>
      </c>
      <c r="I32" t="str">
        <v/>
      </c>
      <c r="J32" t="str">
        <v>24/09/2026</v>
      </c>
      <c r="K32" t="str">
        <v>06:15:06</v>
      </c>
      <c r="L32">
        <v>-12.207585</v>
      </c>
      <c r="M32">
        <v>-76.9561</v>
      </c>
      <c r="N32">
        <f>HYPERLINK("https://www.google.com/maps/search/?api=1&amp;query=-12.207585,-76.9561","Avenida El Sol, Villa El Salvador, Lima")</f>
      </c>
      <c r="O32" t="str">
        <v>Acelerado y giro brusco</v>
      </c>
      <c r="P32">
        <v>1360.6</v>
      </c>
      <c r="Q32" t="str">
        <v/>
      </c>
      <c r="R32">
        <v>20.7</v>
      </c>
      <c r="S32">
        <v>54.17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85</v>
      </c>
      <c r="AB32" t="str">
        <v>24/09/2026</v>
      </c>
      <c r="AC32" t="str">
        <v>06:15:03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06:15:19</v>
      </c>
      <c r="AK32" t="str">
        <v>06:15:19</v>
      </c>
      <c r="AL32" t="str">
        <v/>
      </c>
    </row>
    <row r="33">
      <c r="A33">
        <v>32</v>
      </c>
      <c r="B33" t="str">
        <v>MASS BSF</v>
      </c>
      <c r="C33" t="str">
        <v>F8R-810</v>
      </c>
      <c r="D33" t="str">
        <v>F8R-810</v>
      </c>
      <c r="E33" t="str">
        <v/>
      </c>
      <c r="F33" t="str">
        <v>867806078868827</v>
      </c>
      <c r="G33" t="str">
        <v>TBD</v>
      </c>
      <c r="H33" t="str">
        <v/>
      </c>
      <c r="I33" t="str">
        <v/>
      </c>
      <c r="J33" t="str">
        <v>24/09/2026</v>
      </c>
      <c r="K33" t="str">
        <v>06:15:21</v>
      </c>
      <c r="L33">
        <v>-12.207185</v>
      </c>
      <c r="M33">
        <v>-76.95539</v>
      </c>
      <c r="N33">
        <f>HYPERLINK("https://www.google.com/maps/search/?api=1&amp;query=-12.207185,-76.95539","Avenida El Sol, Villa El Salvador, Lima")</f>
      </c>
      <c r="O33" t="str">
        <v>Acelerado y giro brusco</v>
      </c>
      <c r="P33">
        <v>1360.7</v>
      </c>
      <c r="Q33" t="str">
        <v/>
      </c>
      <c r="R33">
        <v>25.9</v>
      </c>
      <c r="S33">
        <v>54.17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85</v>
      </c>
      <c r="AB33" t="str">
        <v>24/09/2026</v>
      </c>
      <c r="AC33" t="str">
        <v>06:15:18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06:15:34</v>
      </c>
      <c r="AK33" t="str">
        <v>06:15:34</v>
      </c>
      <c r="AL33" t="str">
        <v/>
      </c>
    </row>
    <row r="34">
      <c r="A34">
        <v>33</v>
      </c>
      <c r="B34" t="str">
        <v>MASS BSF</v>
      </c>
      <c r="C34" t="str">
        <v>F8R-810</v>
      </c>
      <c r="D34" t="str">
        <v>F8R-810</v>
      </c>
      <c r="E34" t="str">
        <v/>
      </c>
      <c r="F34" t="str">
        <v>867806078868827</v>
      </c>
      <c r="G34" t="str">
        <v>TBD</v>
      </c>
      <c r="H34" t="str">
        <v/>
      </c>
      <c r="I34" t="str">
        <v/>
      </c>
      <c r="J34" t="str">
        <v>24/09/2026</v>
      </c>
      <c r="K34" t="str">
        <v>06:15:30</v>
      </c>
      <c r="L34">
        <v>-12.206923</v>
      </c>
      <c r="M34">
        <v>-76.954926</v>
      </c>
      <c r="N34">
        <f>HYPERLINK("https://www.google.com/maps/search/?api=1&amp;query=-12.206923,-76.954926","Avenida El Sol, Villa El Salvador, Lima")</f>
      </c>
      <c r="O34" t="str">
        <v>Acelerado y giro brusco</v>
      </c>
      <c r="P34">
        <v>1360.8</v>
      </c>
      <c r="Q34" t="str">
        <v/>
      </c>
      <c r="R34">
        <v>22</v>
      </c>
      <c r="S34">
        <v>54.17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85</v>
      </c>
      <c r="AB34" t="str">
        <v>24/09/2026</v>
      </c>
      <c r="AC34" t="str">
        <v>06:15:27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06:15:56</v>
      </c>
      <c r="AK34" t="str">
        <v>06:15:56</v>
      </c>
      <c r="AL34" t="str">
        <v/>
      </c>
    </row>
    <row r="35">
      <c r="A35">
        <v>34</v>
      </c>
      <c r="B35" t="str">
        <v>MASS BSF</v>
      </c>
      <c r="C35" t="str">
        <v>F8R-810</v>
      </c>
      <c r="D35" t="str">
        <v>F8R-810</v>
      </c>
      <c r="E35" t="str">
        <v/>
      </c>
      <c r="F35" t="str">
        <v>867806078868827</v>
      </c>
      <c r="G35" t="str">
        <v>TBD</v>
      </c>
      <c r="H35" t="str">
        <v/>
      </c>
      <c r="I35" t="str">
        <v/>
      </c>
      <c r="J35" t="str">
        <v>24/09/2026</v>
      </c>
      <c r="K35" t="str">
        <v>06:16:02</v>
      </c>
      <c r="L35">
        <v>-12.206034</v>
      </c>
      <c r="M35">
        <v>-76.95319</v>
      </c>
      <c r="N35">
        <f>HYPERLINK("https://www.google.com/maps/search/?api=1&amp;query=-12.206034,-76.95319","Avenida El Sol, Villa El Salvador, Lima")</f>
      </c>
      <c r="O35" t="str">
        <v>Aceleración brusca</v>
      </c>
      <c r="P35">
        <v>1361</v>
      </c>
      <c r="Q35" t="str">
        <v/>
      </c>
      <c r="R35">
        <v>25.1</v>
      </c>
      <c r="S35">
        <v>54.17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85</v>
      </c>
      <c r="AB35" t="str">
        <v>24/09/2026</v>
      </c>
      <c r="AC35" t="str">
        <v>06:16:00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06:16:22</v>
      </c>
      <c r="AK35" t="str">
        <v>06:16:22</v>
      </c>
      <c r="AL35" t="str">
        <v/>
      </c>
    </row>
    <row r="36">
      <c r="A36">
        <v>35</v>
      </c>
      <c r="B36" t="str">
        <v>MASS BSF</v>
      </c>
      <c r="C36" t="str">
        <v>F8R-810</v>
      </c>
      <c r="D36" t="str">
        <v>F8R-810</v>
      </c>
      <c r="E36" t="str">
        <v/>
      </c>
      <c r="F36" t="str">
        <v>867806078868827</v>
      </c>
      <c r="G36" t="str">
        <v>TBD</v>
      </c>
      <c r="H36" t="str">
        <v/>
      </c>
      <c r="I36" t="str">
        <v/>
      </c>
      <c r="J36" t="str">
        <v>24/09/2026</v>
      </c>
      <c r="K36" t="str">
        <v>06:16:50</v>
      </c>
      <c r="L36">
        <v>-12.204393</v>
      </c>
      <c r="M36">
        <v>-76.95037</v>
      </c>
      <c r="N36">
        <f>HYPERLINK("https://www.google.com/maps/search/?api=1&amp;query=-12.204393,-76.95037","Avenida El Sol, Villa El Salvador, Lima")</f>
      </c>
      <c r="O36" t="str">
        <v>Aceleración brusca</v>
      </c>
      <c r="P36">
        <v>1361.3</v>
      </c>
      <c r="Q36" t="str">
        <v/>
      </c>
      <c r="R36">
        <v>32.5</v>
      </c>
      <c r="S36">
        <v>54.17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85</v>
      </c>
      <c r="AB36" t="str">
        <v>24/09/2026</v>
      </c>
      <c r="AC36" t="str">
        <v>06:16:47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06:17:04</v>
      </c>
      <c r="AK36" t="str">
        <v>06:17:04</v>
      </c>
      <c r="AL36" t="str">
        <v/>
      </c>
    </row>
    <row r="37">
      <c r="A37">
        <v>36</v>
      </c>
      <c r="B37" t="str">
        <v>MASS BSF</v>
      </c>
      <c r="C37" t="str">
        <v>F8R-810</v>
      </c>
      <c r="D37" t="str">
        <v>F8R-810</v>
      </c>
      <c r="E37" t="str">
        <v/>
      </c>
      <c r="F37" t="str">
        <v>867806078868827</v>
      </c>
      <c r="G37" t="str">
        <v>TBD</v>
      </c>
      <c r="H37" t="str">
        <v/>
      </c>
      <c r="I37" t="str">
        <v/>
      </c>
      <c r="J37" t="str">
        <v>24/09/2026</v>
      </c>
      <c r="K37" t="str">
        <v>06:17:52</v>
      </c>
      <c r="L37">
        <v>-12.203758</v>
      </c>
      <c r="M37">
        <v>-76.94923</v>
      </c>
      <c r="N37">
        <f>HYPERLINK("https://www.google.com/maps/search/?api=1&amp;query=-12.203758,-76.94923","Avenida El Sol, Villa El Salvador, Lima")</f>
      </c>
      <c r="O37" t="str">
        <v>Aceleración brusca</v>
      </c>
      <c r="P37">
        <v>1361.5</v>
      </c>
      <c r="Q37" t="str">
        <v/>
      </c>
      <c r="R37">
        <v>0</v>
      </c>
      <c r="S37">
        <v>54.17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85</v>
      </c>
      <c r="AB37" t="str">
        <v>24/09/2026</v>
      </c>
      <c r="AC37" t="str">
        <v>06:17:49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06:18:01</v>
      </c>
      <c r="AK37" t="str">
        <v>06:18:01</v>
      </c>
      <c r="AL37" t="str">
        <v/>
      </c>
    </row>
    <row r="38">
      <c r="A38">
        <v>37</v>
      </c>
      <c r="B38" t="str">
        <v>MASS BSF</v>
      </c>
      <c r="C38" t="str">
        <v>F8R-810</v>
      </c>
      <c r="D38" t="str">
        <v>F8R-810</v>
      </c>
      <c r="E38" t="str">
        <v/>
      </c>
      <c r="F38" t="str">
        <v>867806078868827</v>
      </c>
      <c r="G38" t="str">
        <v>TBD</v>
      </c>
      <c r="H38" t="str">
        <v/>
      </c>
      <c r="I38" t="str">
        <v/>
      </c>
      <c r="J38" t="str">
        <v>24/09/2026</v>
      </c>
      <c r="K38" t="str">
        <v>06:18:10</v>
      </c>
      <c r="L38">
        <v>-12.203484</v>
      </c>
      <c r="M38">
        <v>-76.94875</v>
      </c>
      <c r="N38">
        <f>HYPERLINK("https://www.google.com/maps/search/?api=1&amp;query=-12.203484,-76.94875","Avenida El Sol, Villa El Salvador, Lima")</f>
      </c>
      <c r="O38" t="str">
        <v>Aceleración brusca</v>
      </c>
      <c r="P38">
        <v>1361.5</v>
      </c>
      <c r="Q38" t="str">
        <v/>
      </c>
      <c r="R38">
        <v>11.6</v>
      </c>
      <c r="S38">
        <v>54.17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85</v>
      </c>
      <c r="AB38" t="str">
        <v>24/09/2026</v>
      </c>
      <c r="AC38" t="str">
        <v>06:18:07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06:18:16</v>
      </c>
      <c r="AK38" t="str">
        <v>06:18:16</v>
      </c>
      <c r="AL38" t="str">
        <v/>
      </c>
    </row>
    <row r="39">
      <c r="A39">
        <v>38</v>
      </c>
      <c r="B39" t="str">
        <v>MASS BSF</v>
      </c>
      <c r="C39" t="str">
        <v>F8R-810</v>
      </c>
      <c r="D39" t="str">
        <v>F8R-810</v>
      </c>
      <c r="E39" t="str">
        <v/>
      </c>
      <c r="F39" t="str">
        <v>867806078868827</v>
      </c>
      <c r="G39" t="str">
        <v>TBD</v>
      </c>
      <c r="H39" t="str">
        <v/>
      </c>
      <c r="I39" t="str">
        <v/>
      </c>
      <c r="J39" t="str">
        <v>24/09/2026</v>
      </c>
      <c r="K39" t="str">
        <v>06:21:16</v>
      </c>
      <c r="L39">
        <v>-12.203432</v>
      </c>
      <c r="M39">
        <v>-76.94861</v>
      </c>
      <c r="N39">
        <f>HYPERLINK("https://www.google.com/maps/search/?api=1&amp;query=-12.203432,-76.94861","Avenida El Sol, Villa El Salvador, Lima")</f>
      </c>
      <c r="O39" t="str">
        <v>Inicio de ralentí</v>
      </c>
      <c r="P39">
        <v>1361.6</v>
      </c>
      <c r="Q39" t="str">
        <v/>
      </c>
      <c r="R39">
        <v>0</v>
      </c>
      <c r="S39">
        <v>54.17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85</v>
      </c>
      <c r="AB39" t="str">
        <v>24/09/2026</v>
      </c>
      <c r="AC39" t="str">
        <v>06:21:13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06:21:30</v>
      </c>
      <c r="AK39" t="str">
        <v>06:21:30</v>
      </c>
      <c r="AL39" t="str">
        <v/>
      </c>
    </row>
    <row r="40">
      <c r="A40">
        <v>39</v>
      </c>
      <c r="B40" t="str">
        <v>MASS BSF</v>
      </c>
      <c r="C40" t="str">
        <v>F8R-810</v>
      </c>
      <c r="D40" t="str">
        <v>F8R-810</v>
      </c>
      <c r="E40" t="str">
        <v/>
      </c>
      <c r="F40" t="str">
        <v>867806078868827</v>
      </c>
      <c r="G40" t="str">
        <v>TBD</v>
      </c>
      <c r="H40" t="str">
        <v/>
      </c>
      <c r="I40" t="str">
        <v/>
      </c>
      <c r="J40" t="str">
        <v>24/09/2026</v>
      </c>
      <c r="K40" t="str">
        <v>06:26:09</v>
      </c>
      <c r="L40">
        <v>-12.203432</v>
      </c>
      <c r="M40">
        <v>-76.94861</v>
      </c>
      <c r="N40">
        <f>HYPERLINK("https://www.google.com/maps/search/?api=1&amp;query=-12.203432,-76.94861","Avenida El Sol, Villa El Salvador, Lima")</f>
      </c>
      <c r="O40" t="str">
        <v>Vehículo apagado</v>
      </c>
      <c r="P40">
        <v>1361.6</v>
      </c>
      <c r="Q40" t="str">
        <v/>
      </c>
      <c r="R40">
        <v>0</v>
      </c>
      <c r="S40">
        <v>54.55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87</v>
      </c>
      <c r="AB40" t="str">
        <v>24/09/2026</v>
      </c>
      <c r="AC40" t="str">
        <v>06:26:07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06:26:20</v>
      </c>
      <c r="AK40" t="str">
        <v>06:26:20</v>
      </c>
      <c r="AL40" t="str">
        <v/>
      </c>
    </row>
    <row r="41">
      <c r="A41">
        <v>40</v>
      </c>
      <c r="B41" t="str">
        <v>MASS BSF</v>
      </c>
      <c r="C41" t="str">
        <v>F8R-810</v>
      </c>
      <c r="D41" t="str">
        <v>F8R-810</v>
      </c>
      <c r="E41" t="str">
        <v/>
      </c>
      <c r="F41" t="str">
        <v>867806078868827</v>
      </c>
      <c r="G41" t="str">
        <v>TBD</v>
      </c>
      <c r="H41" t="str">
        <v/>
      </c>
      <c r="I41" t="str">
        <v/>
      </c>
      <c r="J41" t="str">
        <v>24/09/2026</v>
      </c>
      <c r="K41" t="str">
        <v>06:26:09</v>
      </c>
      <c r="L41">
        <v>-12.203432</v>
      </c>
      <c r="M41">
        <v>-76.94861</v>
      </c>
      <c r="N41">
        <f>HYPERLINK("https://www.google.com/maps/search/?api=1&amp;query=-12.203432,-76.94861","Avenida El Sol, Villa El Salvador, Lima")</f>
      </c>
      <c r="O41" t="str">
        <v>Fin de ralentí</v>
      </c>
      <c r="P41">
        <v>1361.6</v>
      </c>
      <c r="Q41" t="str">
        <v/>
      </c>
      <c r="R41">
        <v>0</v>
      </c>
      <c r="S41">
        <v>54.17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87</v>
      </c>
      <c r="AB41" t="str">
        <v>24/09/2026</v>
      </c>
      <c r="AC41" t="str">
        <v>06:26:07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06:26:20</v>
      </c>
      <c r="AK41" t="str">
        <v>06:26:20</v>
      </c>
      <c r="AL41" t="str">
        <v/>
      </c>
    </row>
    <row r="42">
      <c r="A42">
        <v>41</v>
      </c>
      <c r="B42" t="str">
        <v>MASS BSF</v>
      </c>
      <c r="C42" t="str">
        <v>F8R-810</v>
      </c>
      <c r="D42" t="str">
        <v>F8R-810</v>
      </c>
      <c r="E42" t="str">
        <v/>
      </c>
      <c r="F42" t="str">
        <v>867806078868827</v>
      </c>
      <c r="G42" t="str">
        <v>TBD</v>
      </c>
      <c r="H42" t="str">
        <v/>
      </c>
      <c r="I42" t="str">
        <v/>
      </c>
      <c r="J42" t="str">
        <v>24/09/2026</v>
      </c>
      <c r="K42" t="str">
        <v>06:27:48</v>
      </c>
      <c r="L42">
        <v>-12.203432</v>
      </c>
      <c r="M42">
        <v>-76.94861</v>
      </c>
      <c r="N42">
        <f>HYPERLINK("https://www.google.com/maps/search/?api=1&amp;query=-12.203432,-76.94861","Avenida El Sol, Villa El Salvador, Lima")</f>
      </c>
      <c r="O42" t="str">
        <v>Se movio</v>
      </c>
      <c r="P42">
        <v>1361.6</v>
      </c>
      <c r="Q42" t="str">
        <v/>
      </c>
      <c r="R42">
        <v>0</v>
      </c>
      <c r="S42">
        <v>54.55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87</v>
      </c>
      <c r="AB42" t="str">
        <v>24/09/2026</v>
      </c>
      <c r="AC42" t="str">
        <v>06:27:45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06:28:04</v>
      </c>
      <c r="AK42" t="str">
        <v>06:28:04</v>
      </c>
      <c r="AL42" t="str">
        <v/>
      </c>
    </row>
    <row r="43">
      <c r="A43">
        <v>42</v>
      </c>
      <c r="B43" t="str">
        <v>MASS BSF</v>
      </c>
      <c r="C43" t="str">
        <v>F8R-810</v>
      </c>
      <c r="D43" t="str">
        <v>F8R-810</v>
      </c>
      <c r="E43" t="str">
        <v/>
      </c>
      <c r="F43" t="str">
        <v>867806078868827</v>
      </c>
      <c r="G43" t="str">
        <v>TBD</v>
      </c>
      <c r="H43" t="str">
        <v/>
      </c>
      <c r="I43" t="str">
        <v/>
      </c>
      <c r="J43" t="str">
        <v>24/09/2026</v>
      </c>
      <c r="K43" t="str">
        <v>06:28:45</v>
      </c>
      <c r="L43">
        <v>-12.203432</v>
      </c>
      <c r="M43">
        <v>-76.94861</v>
      </c>
      <c r="N43">
        <f>HYPERLINK("https://www.google.com/maps/search/?api=1&amp;query=-12.203432,-76.94861","Avenida El Sol, Villa El Salvador, Lima")</f>
      </c>
      <c r="O43" t="str">
        <v>Vehículo encendido</v>
      </c>
      <c r="P43">
        <v>1361.6</v>
      </c>
      <c r="Q43" t="str">
        <v/>
      </c>
      <c r="R43">
        <v>0</v>
      </c>
      <c r="S43">
        <v>54.55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87</v>
      </c>
      <c r="AB43" t="str">
        <v>24/09/2026</v>
      </c>
      <c r="AC43" t="str">
        <v>06:28:42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06:28:50</v>
      </c>
      <c r="AK43" t="str">
        <v>06:28:50</v>
      </c>
      <c r="AL43" t="str">
        <v/>
      </c>
    </row>
    <row r="44">
      <c r="A44">
        <v>43</v>
      </c>
      <c r="B44" t="str">
        <v>MASS BSF</v>
      </c>
      <c r="C44" t="str">
        <v>F8R-810</v>
      </c>
      <c r="D44" t="str">
        <v>F8R-810</v>
      </c>
      <c r="E44" t="str">
        <v/>
      </c>
      <c r="F44" t="str">
        <v>867806078868827</v>
      </c>
      <c r="G44" t="str">
        <v>TBD</v>
      </c>
      <c r="H44" t="str">
        <v/>
      </c>
      <c r="I44" t="str">
        <v/>
      </c>
      <c r="J44" t="str">
        <v>24/09/2026</v>
      </c>
      <c r="K44" t="str">
        <v>06:29:39</v>
      </c>
      <c r="L44">
        <v>-12.202893</v>
      </c>
      <c r="M44">
        <v>-76.94773</v>
      </c>
      <c r="N44">
        <f>HYPERLINK("https://www.google.com/maps/search/?api=1&amp;query=-12.202893,-76.94773","Avenida El Sol, Villa El Salvador, Lima")</f>
      </c>
      <c r="O44" t="str">
        <v>Acelerado y giro brusco</v>
      </c>
      <c r="P44">
        <v>1361.7</v>
      </c>
      <c r="Q44" t="str">
        <v/>
      </c>
      <c r="R44">
        <v>12.5</v>
      </c>
      <c r="S44">
        <v>54.55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88</v>
      </c>
      <c r="AB44" t="str">
        <v>24/09/2026</v>
      </c>
      <c r="AC44" t="str">
        <v>06:29:36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06:30:04</v>
      </c>
      <c r="AK44" t="str">
        <v>06:30:04</v>
      </c>
      <c r="AL44" t="str">
        <v/>
      </c>
    </row>
    <row r="45">
      <c r="A45">
        <v>44</v>
      </c>
      <c r="B45" t="str">
        <v>MASS BSF</v>
      </c>
      <c r="C45" t="str">
        <v>F8R-810</v>
      </c>
      <c r="D45" t="str">
        <v>F8R-810</v>
      </c>
      <c r="E45" t="str">
        <v/>
      </c>
      <c r="F45" t="str">
        <v>867806078868827</v>
      </c>
      <c r="G45" t="str">
        <v>TBD</v>
      </c>
      <c r="H45" t="str">
        <v/>
      </c>
      <c r="I45" t="str">
        <v/>
      </c>
      <c r="J45" t="str">
        <v>24/09/2026</v>
      </c>
      <c r="K45" t="str">
        <v>06:30:14</v>
      </c>
      <c r="L45">
        <v>-12.202287</v>
      </c>
      <c r="M45">
        <v>-76.9467</v>
      </c>
      <c r="N45">
        <f>HYPERLINK("https://www.google.com/maps/search/?api=1&amp;query=-12.202287,-76.9467","Avenida Los Alamos, Villa El Salvador, Lima")</f>
      </c>
      <c r="O45" t="str">
        <v>Acelerado y giro brusco</v>
      </c>
      <c r="P45">
        <v>1361.8</v>
      </c>
      <c r="Q45" t="str">
        <v/>
      </c>
      <c r="R45">
        <v>15</v>
      </c>
      <c r="S45">
        <v>54.55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88</v>
      </c>
      <c r="AB45" t="str">
        <v>24/09/2026</v>
      </c>
      <c r="AC45" t="str">
        <v>06:30:11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06:30:19</v>
      </c>
      <c r="AK45" t="str">
        <v>06:30:19</v>
      </c>
      <c r="AL45" t="str">
        <v/>
      </c>
    </row>
    <row r="46">
      <c r="A46">
        <v>45</v>
      </c>
      <c r="B46" t="str">
        <v>MASS BSF</v>
      </c>
      <c r="C46" t="str">
        <v>F8R-810</v>
      </c>
      <c r="D46" t="str">
        <v>F8R-810</v>
      </c>
      <c r="E46" t="str">
        <v/>
      </c>
      <c r="F46" t="str">
        <v>867806078868827</v>
      </c>
      <c r="G46" t="str">
        <v>TBD</v>
      </c>
      <c r="H46" t="str">
        <v/>
      </c>
      <c r="I46" t="str">
        <v/>
      </c>
      <c r="J46" t="str">
        <v>24/09/2026</v>
      </c>
      <c r="K46" t="str">
        <v>06:30:18</v>
      </c>
      <c r="L46">
        <v>-12.2022</v>
      </c>
      <c r="M46">
        <v>-76.94656</v>
      </c>
      <c r="N46">
        <f>HYPERLINK("https://www.google.com/maps/search/?api=1&amp;query=-12.2022,-76.94656","Avenida El Sol, Villa El Salvador, Lima")</f>
      </c>
      <c r="O46" t="str">
        <v>Acelerado y giro brusco</v>
      </c>
      <c r="P46">
        <v>1361.8</v>
      </c>
      <c r="Q46" t="str">
        <v/>
      </c>
      <c r="R46">
        <v>16.2</v>
      </c>
      <c r="S46">
        <v>54.55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88</v>
      </c>
      <c r="AB46" t="str">
        <v>24/09/2026</v>
      </c>
      <c r="AC46" t="str">
        <v>06:30:15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06:30:26</v>
      </c>
      <c r="AK46" t="str">
        <v>06:30:26</v>
      </c>
      <c r="AL46" t="str">
        <v/>
      </c>
    </row>
    <row r="47">
      <c r="A47">
        <v>46</v>
      </c>
      <c r="B47" t="str">
        <v>MASS BSF</v>
      </c>
      <c r="C47" t="str">
        <v>F8R-810</v>
      </c>
      <c r="D47" t="str">
        <v>F8R-810</v>
      </c>
      <c r="E47" t="str">
        <v/>
      </c>
      <c r="F47" t="str">
        <v>867806078868827</v>
      </c>
      <c r="G47" t="str">
        <v>TBD</v>
      </c>
      <c r="H47" t="str">
        <v/>
      </c>
      <c r="I47" t="str">
        <v/>
      </c>
      <c r="J47" t="str">
        <v>24/09/2026</v>
      </c>
      <c r="K47" t="str">
        <v>06:30:41</v>
      </c>
      <c r="L47">
        <v>-12.201457</v>
      </c>
      <c r="M47">
        <v>-76.94531</v>
      </c>
      <c r="N47">
        <f>HYPERLINK("https://www.google.com/maps/search/?api=1&amp;query=-12.201457,-76.94531","Avenida El Sol, Villa El Salvador, Lima")</f>
      </c>
      <c r="O47" t="str">
        <v>Acelerado y giro brusco</v>
      </c>
      <c r="P47">
        <v>1362</v>
      </c>
      <c r="Q47" t="str">
        <v/>
      </c>
      <c r="R47">
        <v>30.3</v>
      </c>
      <c r="S47">
        <v>54.55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88</v>
      </c>
      <c r="AB47" t="str">
        <v>24/09/2026</v>
      </c>
      <c r="AC47" t="str">
        <v>06:30:38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06:31:01</v>
      </c>
      <c r="AK47" t="str">
        <v>06:31:01</v>
      </c>
      <c r="AL47" t="str">
        <v/>
      </c>
    </row>
    <row r="48">
      <c r="A48">
        <v>47</v>
      </c>
      <c r="B48" t="str">
        <v>MASS BSF</v>
      </c>
      <c r="C48" t="str">
        <v>F8R-810</v>
      </c>
      <c r="D48" t="str">
        <v>F8R-810</v>
      </c>
      <c r="E48" t="str">
        <v/>
      </c>
      <c r="F48" t="str">
        <v>867806078868827</v>
      </c>
      <c r="G48" t="str">
        <v>TBD</v>
      </c>
      <c r="H48" t="str">
        <v/>
      </c>
      <c r="I48" t="str">
        <v/>
      </c>
      <c r="J48" t="str">
        <v>24/09/2026</v>
      </c>
      <c r="K48" t="str">
        <v>06:30:45</v>
      </c>
      <c r="L48">
        <v>-12.201303</v>
      </c>
      <c r="M48">
        <v>-76.945045</v>
      </c>
      <c r="N48">
        <f>HYPERLINK("https://www.google.com/maps/search/?api=1&amp;query=-12.201303,-76.945045","Avenida El Sol, Villa El Salvador, Lima")</f>
      </c>
      <c r="O48" t="str">
        <v>Aceleración brusca</v>
      </c>
      <c r="P48">
        <v>1362</v>
      </c>
      <c r="Q48" t="str">
        <v/>
      </c>
      <c r="R48">
        <v>28.1</v>
      </c>
      <c r="S48">
        <v>54.55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88</v>
      </c>
      <c r="AB48" t="str">
        <v>24/09/2026</v>
      </c>
      <c r="AC48" t="str">
        <v>06:30:42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06:30:55</v>
      </c>
      <c r="AK48" t="str">
        <v>06:30:55</v>
      </c>
      <c r="AL48" t="str">
        <v/>
      </c>
    </row>
    <row r="49">
      <c r="A49">
        <v>48</v>
      </c>
      <c r="B49" t="str">
        <v>MASS BSF</v>
      </c>
      <c r="C49" t="str">
        <v>F8R-810</v>
      </c>
      <c r="D49" t="str">
        <v>F8R-810</v>
      </c>
      <c r="E49" t="str">
        <v/>
      </c>
      <c r="F49" t="str">
        <v>867806078868827</v>
      </c>
      <c r="G49" t="str">
        <v>TBD</v>
      </c>
      <c r="H49" t="str">
        <v/>
      </c>
      <c r="I49" t="str">
        <v/>
      </c>
      <c r="J49" t="str">
        <v>24/09/2026</v>
      </c>
      <c r="K49" t="str">
        <v>06:31:28</v>
      </c>
      <c r="L49">
        <v>-12.200565</v>
      </c>
      <c r="M49">
        <v>-76.94372</v>
      </c>
      <c r="N49">
        <f>HYPERLINK("https://www.google.com/maps/search/?api=1&amp;query=-12.200565,-76.94372","Avenida El Sol, Villa El Salvador, Lima")</f>
      </c>
      <c r="O49" t="str">
        <v>Acelerado y giro brusco</v>
      </c>
      <c r="P49">
        <v>1362.2</v>
      </c>
      <c r="Q49" t="str">
        <v/>
      </c>
      <c r="R49">
        <v>7.5</v>
      </c>
      <c r="S49">
        <v>54.55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85</v>
      </c>
      <c r="AB49" t="str">
        <v>24/09/2026</v>
      </c>
      <c r="AC49" t="str">
        <v>06:31:25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06:31:50</v>
      </c>
      <c r="AK49" t="str">
        <v>06:31:50</v>
      </c>
      <c r="AL49" t="str">
        <v/>
      </c>
    </row>
    <row r="50">
      <c r="A50">
        <v>49</v>
      </c>
      <c r="B50" t="str">
        <v>MASS BSF</v>
      </c>
      <c r="C50" t="str">
        <v>F8R-810</v>
      </c>
      <c r="D50" t="str">
        <v>F8R-810</v>
      </c>
      <c r="E50" t="str">
        <v/>
      </c>
      <c r="F50" t="str">
        <v>867806078868827</v>
      </c>
      <c r="G50" t="str">
        <v>TBD</v>
      </c>
      <c r="H50" t="str">
        <v/>
      </c>
      <c r="I50" t="str">
        <v/>
      </c>
      <c r="J50" t="str">
        <v>24/09/2026</v>
      </c>
      <c r="K50" t="str">
        <v>06:31:49</v>
      </c>
      <c r="L50">
        <v>-12.20007</v>
      </c>
      <c r="M50">
        <v>-76.9429</v>
      </c>
      <c r="N50">
        <f>HYPERLINK("https://www.google.com/maps/search/?api=1&amp;query=-12.20007,-76.9429","Avenida El Sol, Villa El Salvador, Lima")</f>
      </c>
      <c r="O50" t="str">
        <v>Aceleración brusca</v>
      </c>
      <c r="P50">
        <v>1362.3</v>
      </c>
      <c r="Q50" t="str">
        <v/>
      </c>
      <c r="R50">
        <v>25.3</v>
      </c>
      <c r="S50">
        <v>54.55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85</v>
      </c>
      <c r="AB50" t="str">
        <v>24/09/2026</v>
      </c>
      <c r="AC50" t="str">
        <v>06:31:46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06:31:57</v>
      </c>
      <c r="AK50" t="str">
        <v>06:31:57</v>
      </c>
      <c r="AL50" t="str">
        <v/>
      </c>
    </row>
    <row r="51">
      <c r="A51">
        <v>50</v>
      </c>
      <c r="B51" t="str">
        <v>MASS BSF</v>
      </c>
      <c r="C51" t="str">
        <v>F8R-810</v>
      </c>
      <c r="D51" t="str">
        <v>F8R-810</v>
      </c>
      <c r="E51" t="str">
        <v/>
      </c>
      <c r="F51" t="str">
        <v>867806078868827</v>
      </c>
      <c r="G51" t="str">
        <v>TBD</v>
      </c>
      <c r="H51" t="str">
        <v/>
      </c>
      <c r="I51" t="str">
        <v/>
      </c>
      <c r="J51" t="str">
        <v>24/09/2026</v>
      </c>
      <c r="K51" t="str">
        <v>06:31:57</v>
      </c>
      <c r="L51">
        <v>-12.199805</v>
      </c>
      <c r="M51">
        <v>-76.9425</v>
      </c>
      <c r="N51">
        <f>HYPERLINK("https://www.google.com/maps/search/?api=1&amp;query=-12.199805,-76.9425","Avenida El Sol, Villa El Salvador, Lima")</f>
      </c>
      <c r="O51" t="str">
        <v>Aceleración brusca</v>
      </c>
      <c r="P51">
        <v>1362.3</v>
      </c>
      <c r="Q51" t="str">
        <v/>
      </c>
      <c r="R51">
        <v>23.1</v>
      </c>
      <c r="S51">
        <v>54.55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85</v>
      </c>
      <c r="AB51" t="str">
        <v>24/09/2026</v>
      </c>
      <c r="AC51" t="str">
        <v>06:31:54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06:32:13</v>
      </c>
      <c r="AK51" t="str">
        <v>06:32:13</v>
      </c>
      <c r="AL51" t="str">
        <v/>
      </c>
    </row>
    <row r="52">
      <c r="A52">
        <v>51</v>
      </c>
      <c r="B52" t="str">
        <v>MASS BSF</v>
      </c>
      <c r="C52" t="str">
        <v>F8R-810</v>
      </c>
      <c r="D52" t="str">
        <v>F8R-810</v>
      </c>
      <c r="E52" t="str">
        <v/>
      </c>
      <c r="F52" t="str">
        <v>867806078868827</v>
      </c>
      <c r="G52" t="str">
        <v>TBD</v>
      </c>
      <c r="H52" t="str">
        <v/>
      </c>
      <c r="I52" t="str">
        <v/>
      </c>
      <c r="J52" t="str">
        <v>24/09/2026</v>
      </c>
      <c r="K52" t="str">
        <v>06:32:30</v>
      </c>
      <c r="L52">
        <v>-12.199471</v>
      </c>
      <c r="M52">
        <v>-76.941925</v>
      </c>
      <c r="N52">
        <f>HYPERLINK("https://www.google.com/maps/search/?api=1&amp;query=-12.199471,-76.941925","Avenida El Sol, Villa El Salvador, Lima")</f>
      </c>
      <c r="O52" t="str">
        <v>Acelerado y giro brusco</v>
      </c>
      <c r="P52">
        <v>1362.4</v>
      </c>
      <c r="Q52" t="str">
        <v/>
      </c>
      <c r="R52">
        <v>16.2</v>
      </c>
      <c r="S52">
        <v>54.55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85</v>
      </c>
      <c r="AB52" t="str">
        <v>24/09/2026</v>
      </c>
      <c r="AC52" t="str">
        <v>06:32:27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06:32:47</v>
      </c>
      <c r="AK52" t="str">
        <v>06:32:47</v>
      </c>
      <c r="AL52" t="str">
        <v/>
      </c>
    </row>
    <row r="53">
      <c r="A53">
        <v>52</v>
      </c>
      <c r="B53" t="str">
        <v>MASS BSF</v>
      </c>
      <c r="C53" t="str">
        <v>F8R-810</v>
      </c>
      <c r="D53" t="str">
        <v>F8R-810</v>
      </c>
      <c r="E53" t="str">
        <v/>
      </c>
      <c r="F53" t="str">
        <v>867806078868827</v>
      </c>
      <c r="G53" t="str">
        <v>TBD</v>
      </c>
      <c r="H53" t="str">
        <v/>
      </c>
      <c r="I53" t="str">
        <v/>
      </c>
      <c r="J53" t="str">
        <v>24/09/2026</v>
      </c>
      <c r="K53" t="str">
        <v>06:32:37</v>
      </c>
      <c r="L53">
        <v>-12.199233</v>
      </c>
      <c r="M53">
        <v>-76.941536</v>
      </c>
      <c r="N53">
        <f>HYPERLINK("https://www.google.com/maps/search/?api=1&amp;query=-12.199233,-76.941536","Avenida El Sol, Villa El Salvador, Lima")</f>
      </c>
      <c r="O53" t="str">
        <v>Aceleración brusca</v>
      </c>
      <c r="P53">
        <v>1362.4</v>
      </c>
      <c r="Q53" t="str">
        <v/>
      </c>
      <c r="R53">
        <v>28.8</v>
      </c>
      <c r="S53">
        <v>54.55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85</v>
      </c>
      <c r="AB53" t="str">
        <v>24/09/2026</v>
      </c>
      <c r="AC53" t="str">
        <v>06:32:35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06:32:49</v>
      </c>
      <c r="AK53" t="str">
        <v>06:32:49</v>
      </c>
      <c r="AL53" t="str">
        <v/>
      </c>
    </row>
    <row r="54">
      <c r="A54">
        <v>53</v>
      </c>
      <c r="B54" t="str">
        <v>MASS BSF</v>
      </c>
      <c r="C54" t="str">
        <v>F8R-810</v>
      </c>
      <c r="D54" t="str">
        <v>F8R-810</v>
      </c>
      <c r="E54" t="str">
        <v/>
      </c>
      <c r="F54" t="str">
        <v>867806078868827</v>
      </c>
      <c r="G54" t="str">
        <v>TBD</v>
      </c>
      <c r="H54" t="str">
        <v/>
      </c>
      <c r="I54" t="str">
        <v/>
      </c>
      <c r="J54" t="str">
        <v>24/09/2026</v>
      </c>
      <c r="K54" t="str">
        <v>06:32:52</v>
      </c>
      <c r="L54">
        <v>-12.1987</v>
      </c>
      <c r="M54">
        <v>-76.94062</v>
      </c>
      <c r="N54">
        <f>HYPERLINK("https://www.google.com/maps/search/?api=1&amp;query=-12.1987,-76.94062","Calle D, Villa El Salvador, Lima")</f>
      </c>
      <c r="O54" t="str">
        <v>Acelerado y giro brusco</v>
      </c>
      <c r="P54">
        <v>1362.5</v>
      </c>
      <c r="Q54" t="str">
        <v/>
      </c>
      <c r="R54">
        <v>35</v>
      </c>
      <c r="S54">
        <v>54.55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85</v>
      </c>
      <c r="AB54" t="str">
        <v>24/09/2026</v>
      </c>
      <c r="AC54" t="str">
        <v>06:32:49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06:33:11</v>
      </c>
      <c r="AK54" t="str">
        <v>06:33:11</v>
      </c>
      <c r="AL54" t="str">
        <v/>
      </c>
    </row>
    <row r="55">
      <c r="A55">
        <v>54</v>
      </c>
      <c r="B55" t="str">
        <v>MASS BSF</v>
      </c>
      <c r="C55" t="str">
        <v>F8R-810</v>
      </c>
      <c r="D55" t="str">
        <v>F8R-810</v>
      </c>
      <c r="E55" t="str">
        <v/>
      </c>
      <c r="F55" t="str">
        <v>867806078868827</v>
      </c>
      <c r="G55" t="str">
        <v>TBD</v>
      </c>
      <c r="H55" t="str">
        <v/>
      </c>
      <c r="I55" t="str">
        <v/>
      </c>
      <c r="J55" t="str">
        <v>24/09/2026</v>
      </c>
      <c r="K55" t="str">
        <v>06:33:06</v>
      </c>
      <c r="L55">
        <v>-12.197957</v>
      </c>
      <c r="M55">
        <v>-76.93948</v>
      </c>
      <c r="N55">
        <f>HYPERLINK("https://www.google.com/maps/search/?api=1&amp;query=-12.197957,-76.93948","Avenida El Sol, Villa El Salvador, Lima")</f>
      </c>
      <c r="O55" t="str">
        <v>Acelerado y giro brusco</v>
      </c>
      <c r="P55">
        <v>1362.7</v>
      </c>
      <c r="Q55" t="str">
        <v/>
      </c>
      <c r="R55">
        <v>39.2</v>
      </c>
      <c r="S55">
        <v>54.55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85</v>
      </c>
      <c r="AB55" t="str">
        <v>24/09/2026</v>
      </c>
      <c r="AC55" t="str">
        <v>06:33:03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06:33:14</v>
      </c>
      <c r="AK55" t="str">
        <v>06:33:14</v>
      </c>
      <c r="AL55" t="str">
        <v/>
      </c>
    </row>
    <row r="56">
      <c r="A56">
        <v>55</v>
      </c>
      <c r="B56" t="str">
        <v>MASS BSF</v>
      </c>
      <c r="C56" t="str">
        <v>F8R-810</v>
      </c>
      <c r="D56" t="str">
        <v>F8R-810</v>
      </c>
      <c r="E56" t="str">
        <v/>
      </c>
      <c r="F56" t="str">
        <v>867806078868827</v>
      </c>
      <c r="G56" t="str">
        <v>TBD</v>
      </c>
      <c r="H56" t="str">
        <v/>
      </c>
      <c r="I56" t="str">
        <v/>
      </c>
      <c r="J56" t="str">
        <v>24/09/2026</v>
      </c>
      <c r="K56" t="str">
        <v>06:33:16</v>
      </c>
      <c r="L56">
        <v>-12.197365</v>
      </c>
      <c r="M56">
        <v>-76.93858</v>
      </c>
      <c r="N56">
        <f>HYPERLINK("https://www.google.com/maps/search/?api=1&amp;query=-12.197365,-76.93858","Avenida El Sol, Villa El Salvador, Lima")</f>
      </c>
      <c r="O56" t="str">
        <v>Acelerado y giro brusco</v>
      </c>
      <c r="P56">
        <v>1362.8</v>
      </c>
      <c r="Q56" t="str">
        <v/>
      </c>
      <c r="R56">
        <v>33.5</v>
      </c>
      <c r="S56">
        <v>54.55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85</v>
      </c>
      <c r="AB56" t="str">
        <v>24/09/2026</v>
      </c>
      <c r="AC56" t="str">
        <v>06:33:14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06:33:25</v>
      </c>
      <c r="AK56" t="str">
        <v>06:33:25</v>
      </c>
      <c r="AL56" t="str">
        <v/>
      </c>
    </row>
    <row r="57">
      <c r="A57">
        <v>56</v>
      </c>
      <c r="B57" t="str">
        <v>MASS BSF</v>
      </c>
      <c r="C57" t="str">
        <v>F8R-810</v>
      </c>
      <c r="D57" t="str">
        <v>F8R-810</v>
      </c>
      <c r="E57" t="str">
        <v/>
      </c>
      <c r="F57" t="str">
        <v>867806078868827</v>
      </c>
      <c r="G57" t="str">
        <v>TBD</v>
      </c>
      <c r="H57" t="str">
        <v/>
      </c>
      <c r="I57" t="str">
        <v/>
      </c>
      <c r="J57" t="str">
        <v>24/09/2026</v>
      </c>
      <c r="K57" t="str">
        <v>06:33:32</v>
      </c>
      <c r="L57">
        <v>-12.196895</v>
      </c>
      <c r="M57">
        <v>-76.93773</v>
      </c>
      <c r="N57">
        <f>HYPERLINK("https://www.google.com/maps/search/?api=1&amp;query=-12.196895,-76.93773","Avenida El Sol, Villa El Salvador, Lima")</f>
      </c>
      <c r="O57" t="str">
        <v>Acelerado y giro brusco</v>
      </c>
      <c r="P57">
        <v>1362.9</v>
      </c>
      <c r="Q57" t="str">
        <v/>
      </c>
      <c r="R57">
        <v>21.1</v>
      </c>
      <c r="S57">
        <v>54.55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85</v>
      </c>
      <c r="AB57" t="str">
        <v>24/09/2026</v>
      </c>
      <c r="AC57" t="str">
        <v>06:33:29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06:33:45</v>
      </c>
      <c r="AK57" t="str">
        <v>06:33:45</v>
      </c>
      <c r="AL57" t="str">
        <v/>
      </c>
    </row>
    <row r="58">
      <c r="A58">
        <v>57</v>
      </c>
      <c r="B58" t="str">
        <v>MASS BSF</v>
      </c>
      <c r="C58" t="str">
        <v>F8R-810</v>
      </c>
      <c r="D58" t="str">
        <v>F8R-810</v>
      </c>
      <c r="E58" t="str">
        <v/>
      </c>
      <c r="F58" t="str">
        <v>867806078868827</v>
      </c>
      <c r="G58" t="str">
        <v>TBD</v>
      </c>
      <c r="H58" t="str">
        <v/>
      </c>
      <c r="I58" t="str">
        <v/>
      </c>
      <c r="J58" t="str">
        <v>24/09/2026</v>
      </c>
      <c r="K58" t="str">
        <v>06:34:34</v>
      </c>
      <c r="L58">
        <v>-12.1956</v>
      </c>
      <c r="M58">
        <v>-76.93524</v>
      </c>
      <c r="N58">
        <f>HYPERLINK("https://www.google.com/maps/search/?api=1&amp;query=-12.1956,-76.93524","Avenida El Sol, Villa El Salvador, Lima")</f>
      </c>
      <c r="O58" t="str">
        <v>Acelerado y giro brusco</v>
      </c>
      <c r="P58">
        <v>1363.2</v>
      </c>
      <c r="Q58" t="str">
        <v/>
      </c>
      <c r="R58">
        <v>14.4</v>
      </c>
      <c r="S58">
        <v>54.55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87</v>
      </c>
      <c r="AB58" t="str">
        <v>24/09/2026</v>
      </c>
      <c r="AC58" t="str">
        <v>06:34:31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06:34:57</v>
      </c>
      <c r="AK58" t="str">
        <v>06:34:57</v>
      </c>
      <c r="AL58" t="str">
        <v/>
      </c>
    </row>
    <row r="59">
      <c r="A59">
        <v>58</v>
      </c>
      <c r="B59" t="str">
        <v>MASS BSF</v>
      </c>
      <c r="C59" t="str">
        <v>F8R-810</v>
      </c>
      <c r="D59" t="str">
        <v>F8R-810</v>
      </c>
      <c r="E59" t="str">
        <v/>
      </c>
      <c r="F59" t="str">
        <v>867806078868827</v>
      </c>
      <c r="G59" t="str">
        <v>TBD</v>
      </c>
      <c r="H59" t="str">
        <v/>
      </c>
      <c r="I59" t="str">
        <v/>
      </c>
      <c r="J59" t="str">
        <v>24/09/2026</v>
      </c>
      <c r="K59" t="str">
        <v>06:36:34</v>
      </c>
      <c r="L59">
        <v>-12.195534</v>
      </c>
      <c r="M59">
        <v>-76.93514</v>
      </c>
      <c r="N59">
        <f>HYPERLINK("https://www.google.com/maps/search/?api=1&amp;query=-12.195534,-76.93514","Avenida El Sol, Villa El Salvador, Lima")</f>
      </c>
      <c r="O59" t="str">
        <v>Acelerado y giro brusco</v>
      </c>
      <c r="P59">
        <v>1363.2</v>
      </c>
      <c r="Q59" t="str">
        <v/>
      </c>
      <c r="R59">
        <v>0</v>
      </c>
      <c r="S59">
        <v>54.55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87</v>
      </c>
      <c r="AB59" t="str">
        <v>24/09/2026</v>
      </c>
      <c r="AC59" t="str">
        <v>06:36:31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06:36:42</v>
      </c>
      <c r="AK59" t="str">
        <v>06:36:42</v>
      </c>
      <c r="AL59" t="str">
        <v/>
      </c>
    </row>
    <row r="60">
      <c r="A60">
        <v>59</v>
      </c>
      <c r="B60" t="str">
        <v>MASS BSF</v>
      </c>
      <c r="C60" t="str">
        <v>F8R-810</v>
      </c>
      <c r="D60" t="str">
        <v>F8R-810</v>
      </c>
      <c r="E60" t="str">
        <v/>
      </c>
      <c r="F60" t="str">
        <v>867806078868827</v>
      </c>
      <c r="G60" t="str">
        <v>TBD</v>
      </c>
      <c r="H60" t="str">
        <v/>
      </c>
      <c r="I60" t="str">
        <v/>
      </c>
      <c r="J60" t="str">
        <v>24/09/2026</v>
      </c>
      <c r="K60" t="str">
        <v>06:37:53</v>
      </c>
      <c r="L60">
        <v>-12.193845</v>
      </c>
      <c r="M60">
        <v>-76.935455</v>
      </c>
      <c r="N60">
        <f>HYPERLINK("https://www.google.com/maps/search/?api=1&amp;query=-12.193845,-76.935455","Avenida Pachacútec, Villa María del Triunfo, Lima")</f>
      </c>
      <c r="O60" t="str">
        <v>Acelerado y giro brusco</v>
      </c>
      <c r="P60">
        <v>1363.5</v>
      </c>
      <c r="Q60" t="str">
        <v/>
      </c>
      <c r="R60">
        <v>32.9</v>
      </c>
      <c r="S60">
        <v>54.55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87</v>
      </c>
      <c r="AB60" t="str">
        <v>24/09/2026</v>
      </c>
      <c r="AC60" t="str">
        <v>06:37:50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06:38:05</v>
      </c>
      <c r="AK60" t="str">
        <v>06:38:05</v>
      </c>
      <c r="AL60" t="str">
        <v/>
      </c>
    </row>
    <row r="61">
      <c r="A61">
        <v>60</v>
      </c>
      <c r="B61" t="str">
        <v>MASS BSF</v>
      </c>
      <c r="C61" t="str">
        <v>F8R-810</v>
      </c>
      <c r="D61" t="str">
        <v>F8R-810</v>
      </c>
      <c r="E61" t="str">
        <v/>
      </c>
      <c r="F61" t="str">
        <v>867806078868827</v>
      </c>
      <c r="G61" t="str">
        <v>TBD</v>
      </c>
      <c r="H61" t="str">
        <v/>
      </c>
      <c r="I61" t="str">
        <v/>
      </c>
      <c r="J61" t="str">
        <v>24/09/2026</v>
      </c>
      <c r="K61" t="str">
        <v>06:37:59</v>
      </c>
      <c r="L61">
        <v>-12.19344</v>
      </c>
      <c r="M61">
        <v>-76.93569</v>
      </c>
      <c r="N61">
        <f>HYPERLINK("https://www.google.com/maps/search/?api=1&amp;query=-12.19344,-76.93569","Avenida Pachacútec, Villa María del Triunfo, Lima")</f>
      </c>
      <c r="O61" t="str">
        <v>Acelerado y giro brusco</v>
      </c>
      <c r="P61">
        <v>1363.5</v>
      </c>
      <c r="Q61" t="str">
        <v/>
      </c>
      <c r="R61">
        <v>27</v>
      </c>
      <c r="S61">
        <v>54.55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87</v>
      </c>
      <c r="AB61" t="str">
        <v>24/09/2026</v>
      </c>
      <c r="AC61" t="str">
        <v>06:37:56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06:38:14</v>
      </c>
      <c r="AK61" t="str">
        <v>06:38:14</v>
      </c>
      <c r="AL61" t="str">
        <v/>
      </c>
    </row>
    <row r="62">
      <c r="A62">
        <v>61</v>
      </c>
      <c r="B62" t="str">
        <v>MASS BSF</v>
      </c>
      <c r="C62" t="str">
        <v>F8R-810</v>
      </c>
      <c r="D62" t="str">
        <v>F8R-810</v>
      </c>
      <c r="E62" t="str">
        <v/>
      </c>
      <c r="F62" t="str">
        <v>867806078868827</v>
      </c>
      <c r="G62" t="str">
        <v>TBD</v>
      </c>
      <c r="H62" t="str">
        <v/>
      </c>
      <c r="I62" t="str">
        <v/>
      </c>
      <c r="J62" t="str">
        <v>24/09/2026</v>
      </c>
      <c r="K62" t="str">
        <v>06:38:03</v>
      </c>
      <c r="L62">
        <v>-12.193227</v>
      </c>
      <c r="M62">
        <v>-76.93577</v>
      </c>
      <c r="N62">
        <f>HYPERLINK("https://www.google.com/maps/search/?api=1&amp;query=-12.193227,-76.93577","Avenida Pachacútec, Villa María del Triunfo, Lima")</f>
      </c>
      <c r="O62" t="str">
        <v>Acelerado y giro brusco</v>
      </c>
      <c r="P62">
        <v>1363.5</v>
      </c>
      <c r="Q62" t="str">
        <v/>
      </c>
      <c r="R62">
        <v>19</v>
      </c>
      <c r="S62">
        <v>54.55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85</v>
      </c>
      <c r="AB62" t="str">
        <v>24/09/2026</v>
      </c>
      <c r="AC62" t="str">
        <v>06:38:00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06:38:31</v>
      </c>
      <c r="AK62" t="str">
        <v>06:38:31</v>
      </c>
      <c r="AL62" t="str">
        <v/>
      </c>
    </row>
    <row r="63">
      <c r="A63">
        <v>62</v>
      </c>
      <c r="B63" t="str">
        <v>MASS BSF</v>
      </c>
      <c r="C63" t="str">
        <v>F8R-810</v>
      </c>
      <c r="D63" t="str">
        <v>F8R-810</v>
      </c>
      <c r="E63" t="str">
        <v/>
      </c>
      <c r="F63" t="str">
        <v>867806078868827</v>
      </c>
      <c r="G63" t="str">
        <v>TBD</v>
      </c>
      <c r="H63" t="str">
        <v/>
      </c>
      <c r="I63" t="str">
        <v/>
      </c>
      <c r="J63" t="str">
        <v>24/09/2026</v>
      </c>
      <c r="K63" t="str">
        <v>06:38:13</v>
      </c>
      <c r="L63">
        <v>-12.192859</v>
      </c>
      <c r="M63">
        <v>-76.93548</v>
      </c>
      <c r="N63">
        <f>HYPERLINK("https://www.google.com/maps/search/?api=1&amp;query=-12.192859,-76.93548","Avenida 27 de Diciembre, Villa María del Triunfo, Lima")</f>
      </c>
      <c r="O63" t="str">
        <v>Acelerado y giro brusco</v>
      </c>
      <c r="P63">
        <v>1363.6</v>
      </c>
      <c r="Q63" t="str">
        <v/>
      </c>
      <c r="R63">
        <v>22.9</v>
      </c>
      <c r="S63">
        <v>54.55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85</v>
      </c>
      <c r="AB63" t="str">
        <v>24/09/2026</v>
      </c>
      <c r="AC63" t="str">
        <v>06:38:10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06:38:32</v>
      </c>
      <c r="AK63" t="str">
        <v>06:38:32</v>
      </c>
      <c r="AL63" t="str">
        <v/>
      </c>
    </row>
    <row r="64">
      <c r="A64">
        <v>63</v>
      </c>
      <c r="B64" t="str">
        <v>MASS BSF</v>
      </c>
      <c r="C64" t="str">
        <v>F8R-810</v>
      </c>
      <c r="D64" t="str">
        <v>F8R-810</v>
      </c>
      <c r="E64" t="str">
        <v/>
      </c>
      <c r="F64" t="str">
        <v>867806078868827</v>
      </c>
      <c r="G64" t="str">
        <v>TBD</v>
      </c>
      <c r="H64" t="str">
        <v/>
      </c>
      <c r="I64" t="str">
        <v/>
      </c>
      <c r="J64" t="str">
        <v>24/09/2026</v>
      </c>
      <c r="K64" t="str">
        <v>06:38:21</v>
      </c>
      <c r="L64">
        <v>-12.192608</v>
      </c>
      <c r="M64">
        <v>-76.93509</v>
      </c>
      <c r="N64">
        <f>HYPERLINK("https://www.google.com/maps/search/?api=1&amp;query=-12.192608,-76.93509","Avenida 27 de Diciembre, Villa María del Triunfo, Lima")</f>
      </c>
      <c r="O64" t="str">
        <v>Acelerado y giro brusco</v>
      </c>
      <c r="P64">
        <v>1363.6</v>
      </c>
      <c r="Q64" t="str">
        <v/>
      </c>
      <c r="R64">
        <v>22.4</v>
      </c>
      <c r="S64">
        <v>54.55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85</v>
      </c>
      <c r="AB64" t="str">
        <v>24/09/2026</v>
      </c>
      <c r="AC64" t="str">
        <v>06:38:18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24/09/2026 06:38:24</v>
      </c>
      <c r="AK64" t="str">
        <v>06:38:24</v>
      </c>
      <c r="AL64" t="str">
        <v/>
      </c>
    </row>
    <row r="65">
      <c r="A65">
        <v>64</v>
      </c>
      <c r="B65" t="str">
        <v>MASS BSF</v>
      </c>
      <c r="C65" t="str">
        <v>F8R-810</v>
      </c>
      <c r="D65" t="str">
        <v>F8R-810</v>
      </c>
      <c r="E65" t="str">
        <v/>
      </c>
      <c r="F65" t="str">
        <v>867806078868827</v>
      </c>
      <c r="G65" t="str">
        <v>TBD</v>
      </c>
      <c r="H65" t="str">
        <v/>
      </c>
      <c r="I65" t="str">
        <v/>
      </c>
      <c r="J65" t="str">
        <v>24/09/2026</v>
      </c>
      <c r="K65" t="str">
        <v>06:38:28</v>
      </c>
      <c r="L65">
        <v>-12.192402</v>
      </c>
      <c r="M65">
        <v>-76.93475</v>
      </c>
      <c r="N65">
        <f>HYPERLINK("https://www.google.com/maps/search/?api=1&amp;query=-12.192402,-76.93475","Avenida 27 de Diciembre, Villa María del Triunfo, Lima")</f>
      </c>
      <c r="O65" t="str">
        <v>Aceleración brusca</v>
      </c>
      <c r="P65">
        <v>1363.7</v>
      </c>
      <c r="Q65" t="str">
        <v/>
      </c>
      <c r="R65">
        <v>21.8</v>
      </c>
      <c r="S65">
        <v>54.55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85</v>
      </c>
      <c r="AB65" t="str">
        <v>24/09/2026</v>
      </c>
      <c r="AC65" t="str">
        <v>06:38:25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24/09/2026 06:38:39</v>
      </c>
      <c r="AK65" t="str">
        <v>06:38:39</v>
      </c>
      <c r="AL65" t="str">
        <v/>
      </c>
    </row>
    <row r="66">
      <c r="A66">
        <v>65</v>
      </c>
      <c r="B66" t="str">
        <v>MASS BSF</v>
      </c>
      <c r="C66" t="str">
        <v>F8R-810</v>
      </c>
      <c r="D66" t="str">
        <v>F8R-810</v>
      </c>
      <c r="E66" t="str">
        <v/>
      </c>
      <c r="F66" t="str">
        <v>867806078868827</v>
      </c>
      <c r="G66" t="str">
        <v>TBD</v>
      </c>
      <c r="H66" t="str">
        <v/>
      </c>
      <c r="I66" t="str">
        <v/>
      </c>
      <c r="J66" t="str">
        <v>24/09/2026</v>
      </c>
      <c r="K66" t="str">
        <v>06:38:48</v>
      </c>
      <c r="L66">
        <v>-12.191934</v>
      </c>
      <c r="M66">
        <v>-76.93372</v>
      </c>
      <c r="N66">
        <f>HYPERLINK("https://www.google.com/maps/search/?api=1&amp;query=-12.191934,-76.93372","Avenida 27 de Diciembre, Villa María del Triunfo, Lima")</f>
      </c>
      <c r="O66" t="str">
        <v>Acelerado y giro brusco</v>
      </c>
      <c r="P66">
        <v>1363.8</v>
      </c>
      <c r="Q66" t="str">
        <v/>
      </c>
      <c r="R66">
        <v>19.6</v>
      </c>
      <c r="S66">
        <v>54.55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85</v>
      </c>
      <c r="AB66" t="str">
        <v>24/09/2026</v>
      </c>
      <c r="AC66" t="str">
        <v>06:38:46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24/09/2026 06:39:07</v>
      </c>
      <c r="AK66" t="str">
        <v>06:39:07</v>
      </c>
      <c r="AL66" t="str">
        <v/>
      </c>
    </row>
    <row r="67">
      <c r="A67">
        <v>66</v>
      </c>
      <c r="B67" t="str">
        <v>MASS BSF</v>
      </c>
      <c r="C67" t="str">
        <v>F8R-810</v>
      </c>
      <c r="D67" t="str">
        <v>F8R-810</v>
      </c>
      <c r="E67" t="str">
        <v/>
      </c>
      <c r="F67" t="str">
        <v>867806078868827</v>
      </c>
      <c r="G67" t="str">
        <v>TBD</v>
      </c>
      <c r="H67" t="str">
        <v/>
      </c>
      <c r="I67" t="str">
        <v/>
      </c>
      <c r="J67" t="str">
        <v>24/09/2026</v>
      </c>
      <c r="K67" t="str">
        <v>06:39:43</v>
      </c>
      <c r="L67">
        <v>-12.191143</v>
      </c>
      <c r="M67">
        <v>-76.93195</v>
      </c>
      <c r="N67">
        <f>HYPERLINK("https://www.google.com/maps/search/?api=1&amp;query=-12.191143,-76.93195","Avenida 27 de Diciembre, Villa María del Triunfo, Lima")</f>
      </c>
      <c r="O67" t="str">
        <v>Acelerado y giro brusco</v>
      </c>
      <c r="P67">
        <v>1364</v>
      </c>
      <c r="Q67" t="str">
        <v/>
      </c>
      <c r="R67">
        <v>13.3</v>
      </c>
      <c r="S67">
        <v>54.55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85</v>
      </c>
      <c r="AB67" t="str">
        <v>24/09/2026</v>
      </c>
      <c r="AC67" t="str">
        <v>06:39:40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24/09/2026 06:40:09</v>
      </c>
      <c r="AK67" t="str">
        <v>06:40:09</v>
      </c>
      <c r="AL67" t="str">
        <v/>
      </c>
    </row>
    <row r="68">
      <c r="A68">
        <v>67</v>
      </c>
      <c r="B68" t="str">
        <v>MASS BSF</v>
      </c>
      <c r="C68" t="str">
        <v>F8R-810</v>
      </c>
      <c r="D68" t="str">
        <v>F8R-810</v>
      </c>
      <c r="E68" t="str">
        <v/>
      </c>
      <c r="F68" t="str">
        <v>867806078868827</v>
      </c>
      <c r="G68" t="str">
        <v>TBD</v>
      </c>
      <c r="H68" t="str">
        <v/>
      </c>
      <c r="I68" t="str">
        <v/>
      </c>
      <c r="J68" t="str">
        <v>24/09/2026</v>
      </c>
      <c r="K68" t="str">
        <v>06:39:47</v>
      </c>
      <c r="L68">
        <v>-12.191092</v>
      </c>
      <c r="M68">
        <v>-76.93183</v>
      </c>
      <c r="N68">
        <f>HYPERLINK("https://www.google.com/maps/search/?api=1&amp;query=-12.191092,-76.93183","Avenida 27 de Diciembre, Villa María del Triunfo, Lima")</f>
      </c>
      <c r="O68" t="str">
        <v>Aceleración brusca</v>
      </c>
      <c r="P68">
        <v>1364</v>
      </c>
      <c r="Q68" t="str">
        <v/>
      </c>
      <c r="R68">
        <v>13.5</v>
      </c>
      <c r="S68">
        <v>54.55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85</v>
      </c>
      <c r="AB68" t="str">
        <v>24/09/2026</v>
      </c>
      <c r="AC68" t="str">
        <v>06:39:44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24/09/2026 06:39:53</v>
      </c>
      <c r="AK68" t="str">
        <v>06:39:53</v>
      </c>
      <c r="AL68" t="str">
        <v/>
      </c>
    </row>
    <row r="69">
      <c r="A69">
        <v>68</v>
      </c>
      <c r="B69" t="str">
        <v>MASS BSF</v>
      </c>
      <c r="C69" t="str">
        <v>F8R-810</v>
      </c>
      <c r="D69" t="str">
        <v>F8R-810</v>
      </c>
      <c r="E69" t="str">
        <v/>
      </c>
      <c r="F69" t="str">
        <v>867806078868827</v>
      </c>
      <c r="G69" t="str">
        <v>TBD</v>
      </c>
      <c r="H69" t="str">
        <v/>
      </c>
      <c r="I69" t="str">
        <v/>
      </c>
      <c r="J69" t="str">
        <v>24/09/2026</v>
      </c>
      <c r="K69" t="str">
        <v>06:39:51</v>
      </c>
      <c r="L69">
        <v>-12.19105</v>
      </c>
      <c r="M69">
        <v>-76.93173</v>
      </c>
      <c r="N69">
        <f>HYPERLINK("https://www.google.com/maps/search/?api=1&amp;query=-12.19105,-76.93173","Avenida 27 de Diciembre, Villa María del Triunfo, Lima")</f>
      </c>
      <c r="O69" t="str">
        <v>Bache</v>
      </c>
      <c r="P69">
        <v>1364</v>
      </c>
      <c r="Q69" t="str">
        <v/>
      </c>
      <c r="R69">
        <v>9</v>
      </c>
      <c r="S69">
        <v>54.55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85</v>
      </c>
      <c r="AB69" t="str">
        <v>24/09/2026</v>
      </c>
      <c r="AC69" t="str">
        <v>06:39:48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24/09/2026 06:40:09</v>
      </c>
      <c r="AK69" t="str">
        <v>06:40:09</v>
      </c>
      <c r="AL69" t="str">
        <v/>
      </c>
    </row>
    <row r="70">
      <c r="A70">
        <v>69</v>
      </c>
      <c r="B70" t="str">
        <v>MASS BSF</v>
      </c>
      <c r="C70" t="str">
        <v>F8R-810</v>
      </c>
      <c r="D70" t="str">
        <v>F8R-810</v>
      </c>
      <c r="E70" t="str">
        <v/>
      </c>
      <c r="F70" t="str">
        <v>867806078868827</v>
      </c>
      <c r="G70" t="str">
        <v>TBD</v>
      </c>
      <c r="H70" t="str">
        <v/>
      </c>
      <c r="I70" t="str">
        <v/>
      </c>
      <c r="J70" t="str">
        <v>24/09/2026</v>
      </c>
      <c r="K70" t="str">
        <v>06:39:51</v>
      </c>
      <c r="L70">
        <v>-12.19105</v>
      </c>
      <c r="M70">
        <v>-76.93173</v>
      </c>
      <c r="N70">
        <f>HYPERLINK("https://www.google.com/maps/search/?api=1&amp;query=-12.19105,-76.93173","Avenida 27 de Diciembre, Villa María del Triunfo, Lima")</f>
      </c>
      <c r="O70" t="str">
        <v>Acelerado y giro brusco</v>
      </c>
      <c r="P70">
        <v>1364</v>
      </c>
      <c r="Q70" t="str">
        <v/>
      </c>
      <c r="R70">
        <v>9</v>
      </c>
      <c r="S70">
        <v>54.55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85</v>
      </c>
      <c r="AB70" t="str">
        <v>24/09/2026</v>
      </c>
      <c r="AC70" t="str">
        <v>06:39:48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24/09/2026 06:40:09</v>
      </c>
      <c r="AK70" t="str">
        <v>06:40:09</v>
      </c>
      <c r="AL70" t="str">
        <v/>
      </c>
    </row>
    <row r="71">
      <c r="A71">
        <v>70</v>
      </c>
      <c r="B71" t="str">
        <v>MASS BSF</v>
      </c>
      <c r="C71" t="str">
        <v>F8R-810</v>
      </c>
      <c r="D71" t="str">
        <v>F8R-810</v>
      </c>
      <c r="E71" t="str">
        <v/>
      </c>
      <c r="F71" t="str">
        <v>867806078868827</v>
      </c>
      <c r="G71" t="str">
        <v>TBD</v>
      </c>
      <c r="H71" t="str">
        <v/>
      </c>
      <c r="I71" t="str">
        <v/>
      </c>
      <c r="J71" t="str">
        <v>24/09/2026</v>
      </c>
      <c r="K71" t="str">
        <v>06:39:56</v>
      </c>
      <c r="L71">
        <v>-12.191002</v>
      </c>
      <c r="M71">
        <v>-76.931625</v>
      </c>
      <c r="N71">
        <f>HYPERLINK("https://www.google.com/maps/search/?api=1&amp;query=-12.191002,-76.931625","Avenida 27 de Diciembre, Villa María del Triunfo, Lima")</f>
      </c>
      <c r="O71" t="str">
        <v>Acelerado y giro brusco</v>
      </c>
      <c r="P71">
        <v>1364</v>
      </c>
      <c r="Q71" t="str">
        <v/>
      </c>
      <c r="R71">
        <v>9.4</v>
      </c>
      <c r="S71">
        <v>54.55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85</v>
      </c>
      <c r="AB71" t="str">
        <v>24/09/2026</v>
      </c>
      <c r="AC71" t="str">
        <v>06:39:53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24/09/2026 06:40:09</v>
      </c>
      <c r="AK71" t="str">
        <v>06:40:09</v>
      </c>
      <c r="AL71" t="str">
        <v/>
      </c>
    </row>
    <row r="72">
      <c r="A72">
        <v>71</v>
      </c>
      <c r="B72" t="str">
        <v>MASS BSF</v>
      </c>
      <c r="C72" t="str">
        <v>F8R-810</v>
      </c>
      <c r="D72" t="str">
        <v>F8R-810</v>
      </c>
      <c r="E72" t="str">
        <v/>
      </c>
      <c r="F72" t="str">
        <v>867806078868827</v>
      </c>
      <c r="G72" t="str">
        <v>TBD</v>
      </c>
      <c r="H72" t="str">
        <v/>
      </c>
      <c r="I72" t="str">
        <v/>
      </c>
      <c r="J72" t="str">
        <v>24/09/2026</v>
      </c>
      <c r="K72" t="str">
        <v>06:40:00</v>
      </c>
      <c r="L72">
        <v>-12.190962</v>
      </c>
      <c r="M72">
        <v>-76.93153</v>
      </c>
      <c r="N72">
        <f>HYPERLINK("https://www.google.com/maps/search/?api=1&amp;query=-12.190962,-76.93153","Avenida 27 de Diciembre, Villa María del Triunfo, Lima")</f>
      </c>
      <c r="O72" t="str">
        <v>Acelerado y giro brusco</v>
      </c>
      <c r="P72">
        <v>1364.1</v>
      </c>
      <c r="Q72" t="str">
        <v/>
      </c>
      <c r="R72">
        <v>11.6</v>
      </c>
      <c r="S72">
        <v>54.55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85</v>
      </c>
      <c r="AB72" t="str">
        <v>24/09/2026</v>
      </c>
      <c r="AC72" t="str">
        <v>06:39:57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24/09/2026 06:40:13</v>
      </c>
      <c r="AK72" t="str">
        <v>06:40:13</v>
      </c>
      <c r="AL72" t="str">
        <v/>
      </c>
    </row>
    <row r="73">
      <c r="A73">
        <v>72</v>
      </c>
      <c r="B73" t="str">
        <v>MASS BSF</v>
      </c>
      <c r="C73" t="str">
        <v>F8R-810</v>
      </c>
      <c r="D73" t="str">
        <v>F8R-810</v>
      </c>
      <c r="E73" t="str">
        <v/>
      </c>
      <c r="F73" t="str">
        <v>867806078868827</v>
      </c>
      <c r="G73" t="str">
        <v>TBD</v>
      </c>
      <c r="H73" t="str">
        <v/>
      </c>
      <c r="I73" t="str">
        <v/>
      </c>
      <c r="J73" t="str">
        <v>24/09/2026</v>
      </c>
      <c r="K73" t="str">
        <v>06:40:19</v>
      </c>
      <c r="L73">
        <v>-12.19067</v>
      </c>
      <c r="M73">
        <v>-76.93087</v>
      </c>
      <c r="N73">
        <f>HYPERLINK("https://www.google.com/maps/search/?api=1&amp;query=-12.19067,-76.93087","Avenida 27 de Diciembre, Villa María del Triunfo, Lima")</f>
      </c>
      <c r="O73" t="str">
        <v>Acelerado y giro brusco</v>
      </c>
      <c r="P73">
        <v>1364.1</v>
      </c>
      <c r="Q73" t="str">
        <v/>
      </c>
      <c r="R73">
        <v>14.8</v>
      </c>
      <c r="S73">
        <v>54.55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85</v>
      </c>
      <c r="AB73" t="str">
        <v>24/09/2026</v>
      </c>
      <c r="AC73" t="str">
        <v>06:40:16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24/09/2026 06:40:24</v>
      </c>
      <c r="AK73" t="str">
        <v>06:40:24</v>
      </c>
      <c r="AL73" t="str">
        <v/>
      </c>
    </row>
    <row r="74">
      <c r="A74">
        <v>73</v>
      </c>
      <c r="B74" t="str">
        <v>MASS BSF</v>
      </c>
      <c r="C74" t="str">
        <v>F8R-810</v>
      </c>
      <c r="D74" t="str">
        <v>F8R-810</v>
      </c>
      <c r="E74" t="str">
        <v/>
      </c>
      <c r="F74" t="str">
        <v>867806078868827</v>
      </c>
      <c r="G74" t="str">
        <v>TBD</v>
      </c>
      <c r="H74" t="str">
        <v/>
      </c>
      <c r="I74" t="str">
        <v/>
      </c>
      <c r="J74" t="str">
        <v>24/09/2026</v>
      </c>
      <c r="K74" t="str">
        <v>06:40:31</v>
      </c>
      <c r="L74">
        <v>-12.190465</v>
      </c>
      <c r="M74">
        <v>-76.93046</v>
      </c>
      <c r="N74">
        <f>HYPERLINK("https://www.google.com/maps/search/?api=1&amp;query=-12.190465,-76.93046","Avenida 27 de Diciembre, Villa María del Triunfo, Lima")</f>
      </c>
      <c r="O74" t="str">
        <v>Aceleración brusca</v>
      </c>
      <c r="P74">
        <v>1364.2</v>
      </c>
      <c r="Q74" t="str">
        <v/>
      </c>
      <c r="R74">
        <v>14.4</v>
      </c>
      <c r="S74">
        <v>54.55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88</v>
      </c>
      <c r="AB74" t="str">
        <v>24/09/2026</v>
      </c>
      <c r="AC74" t="str">
        <v>06:40:28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24/09/2026 06:40:54</v>
      </c>
      <c r="AK74" t="str">
        <v>06:40:54</v>
      </c>
      <c r="AL74" t="str">
        <v/>
      </c>
    </row>
    <row r="75">
      <c r="A75">
        <v>74</v>
      </c>
      <c r="B75" t="str">
        <v>MASS BSF</v>
      </c>
      <c r="C75" t="str">
        <v>F8R-810</v>
      </c>
      <c r="D75" t="str">
        <v>F8R-810</v>
      </c>
      <c r="E75" t="str">
        <v/>
      </c>
      <c r="F75" t="str">
        <v>867806078868827</v>
      </c>
      <c r="G75" t="str">
        <v>TBD</v>
      </c>
      <c r="H75" t="str">
        <v/>
      </c>
      <c r="I75" t="str">
        <v/>
      </c>
      <c r="J75" t="str">
        <v>24/09/2026</v>
      </c>
      <c r="K75" t="str">
        <v>06:40:55</v>
      </c>
      <c r="L75">
        <v>-12.190053</v>
      </c>
      <c r="M75">
        <v>-76.92965</v>
      </c>
      <c r="N75">
        <f>HYPERLINK("https://www.google.com/maps/search/?api=1&amp;query=-12.190053,-76.92965","Avenida 27 de Diciembre, Villa María del Triunfo, Lima")</f>
      </c>
      <c r="O75" t="str">
        <v>Acelerado y giro brusco</v>
      </c>
      <c r="P75">
        <v>1364.3</v>
      </c>
      <c r="Q75" t="str">
        <v/>
      </c>
      <c r="R75">
        <v>14.8</v>
      </c>
      <c r="S75">
        <v>54.55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88</v>
      </c>
      <c r="AB75" t="str">
        <v>24/09/2026</v>
      </c>
      <c r="AC75" t="str">
        <v>06:40:52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24/09/2026 06:41:01</v>
      </c>
      <c r="AK75" t="str">
        <v>06:41:01</v>
      </c>
      <c r="AL75" t="str">
        <v/>
      </c>
    </row>
    <row r="76">
      <c r="A76">
        <v>75</v>
      </c>
      <c r="B76" t="str">
        <v>MASS BSF</v>
      </c>
      <c r="C76" t="str">
        <v>F8R-810</v>
      </c>
      <c r="D76" t="str">
        <v>F8R-810</v>
      </c>
      <c r="E76" t="str">
        <v/>
      </c>
      <c r="F76" t="str">
        <v>867806078868827</v>
      </c>
      <c r="G76" t="str">
        <v>TBD</v>
      </c>
      <c r="H76" t="str">
        <v/>
      </c>
      <c r="I76" t="str">
        <v/>
      </c>
      <c r="J76" t="str">
        <v>24/09/2026</v>
      </c>
      <c r="K76" t="str">
        <v>06:41:05</v>
      </c>
      <c r="L76">
        <v>-12.189881</v>
      </c>
      <c r="M76">
        <v>-76.92934</v>
      </c>
      <c r="N76">
        <f>HYPERLINK("https://www.google.com/maps/search/?api=1&amp;query=-12.189881,-76.92934","Avenida 27 de Diciembre, Villa María del Triunfo, Lima")</f>
      </c>
      <c r="O76" t="str">
        <v>Bache</v>
      </c>
      <c r="P76">
        <v>1364.3</v>
      </c>
      <c r="Q76" t="str">
        <v/>
      </c>
      <c r="R76">
        <v>13.3</v>
      </c>
      <c r="S76">
        <v>54.55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88</v>
      </c>
      <c r="AB76" t="str">
        <v>24/09/2026</v>
      </c>
      <c r="AC76" t="str">
        <v>06:41:02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24/09/2026 06:41:18</v>
      </c>
      <c r="AK76" t="str">
        <v>06:41:18</v>
      </c>
      <c r="AL76" t="str">
        <v/>
      </c>
    </row>
    <row r="77">
      <c r="A77">
        <v>76</v>
      </c>
      <c r="B77" t="str">
        <v>MASS BSF</v>
      </c>
      <c r="C77" t="str">
        <v>F8R-810</v>
      </c>
      <c r="D77" t="str">
        <v>F8R-810</v>
      </c>
      <c r="E77" t="str">
        <v/>
      </c>
      <c r="F77" t="str">
        <v>867806078868827</v>
      </c>
      <c r="G77" t="str">
        <v>TBD</v>
      </c>
      <c r="H77" t="str">
        <v/>
      </c>
      <c r="I77" t="str">
        <v/>
      </c>
      <c r="J77" t="str">
        <v>24/09/2026</v>
      </c>
      <c r="K77" t="str">
        <v>06:42:21</v>
      </c>
      <c r="L77">
        <v>-12.188786</v>
      </c>
      <c r="M77">
        <v>-76.92734</v>
      </c>
      <c r="N77">
        <f>HYPERLINK("https://www.google.com/maps/search/?api=1&amp;query=-12.188786,-76.92734","Avenida 27 de Diciembre, Villa María del Triunfo, Lima")</f>
      </c>
      <c r="O77" t="str">
        <v>Acelerado y giro brusco</v>
      </c>
      <c r="P77">
        <v>1364.6</v>
      </c>
      <c r="Q77" t="str">
        <v/>
      </c>
      <c r="R77">
        <v>0</v>
      </c>
      <c r="S77">
        <v>54.55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85</v>
      </c>
      <c r="AB77" t="str">
        <v>24/09/2026</v>
      </c>
      <c r="AC77" t="str">
        <v>06:42:18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24/09/2026 06:42:41</v>
      </c>
      <c r="AK77" t="str">
        <v>06:42:41</v>
      </c>
      <c r="AL77" t="str">
        <v/>
      </c>
    </row>
    <row r="78">
      <c r="A78">
        <v>77</v>
      </c>
      <c r="B78" t="str">
        <v>MASS BSF</v>
      </c>
      <c r="C78" t="str">
        <v>F8R-810</v>
      </c>
      <c r="D78" t="str">
        <v>F8R-810</v>
      </c>
      <c r="E78" t="str">
        <v/>
      </c>
      <c r="F78" t="str">
        <v>867806078868827</v>
      </c>
      <c r="G78" t="str">
        <v>TBD</v>
      </c>
      <c r="H78" t="str">
        <v/>
      </c>
      <c r="I78" t="str">
        <v/>
      </c>
      <c r="J78" t="str">
        <v>24/09/2026</v>
      </c>
      <c r="K78" t="str">
        <v>06:42:51</v>
      </c>
      <c r="L78">
        <v>-12.188867</v>
      </c>
      <c r="M78">
        <v>-76.92717</v>
      </c>
      <c r="N78">
        <f>HYPERLINK("https://www.google.com/maps/search/?api=1&amp;query=-12.188867,-76.92717","Jirón Ricardo Palma, Villa María del Triunfo, Lima")</f>
      </c>
      <c r="O78" t="str">
        <v>Acelerado y giro brusco</v>
      </c>
      <c r="P78">
        <v>1364.6</v>
      </c>
      <c r="Q78" t="str">
        <v/>
      </c>
      <c r="R78">
        <v>0</v>
      </c>
      <c r="S78">
        <v>54.55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85</v>
      </c>
      <c r="AB78" t="str">
        <v>24/09/2026</v>
      </c>
      <c r="AC78" t="str">
        <v>06:42:48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24/09/2026 06:43:02</v>
      </c>
      <c r="AK78" t="str">
        <v>06:43:02</v>
      </c>
      <c r="AL78" t="str">
        <v/>
      </c>
    </row>
    <row r="79">
      <c r="A79">
        <v>78</v>
      </c>
      <c r="B79" t="str">
        <v>MASS BSF</v>
      </c>
      <c r="C79" t="str">
        <v>F8R-810</v>
      </c>
      <c r="D79" t="str">
        <v>F8R-810</v>
      </c>
      <c r="E79" t="str">
        <v/>
      </c>
      <c r="F79" t="str">
        <v>867806078868827</v>
      </c>
      <c r="G79" t="str">
        <v>TBD</v>
      </c>
      <c r="H79" t="str">
        <v/>
      </c>
      <c r="I79" t="str">
        <v/>
      </c>
      <c r="J79" t="str">
        <v>24/09/2026</v>
      </c>
      <c r="K79" t="str">
        <v>06:43:00</v>
      </c>
      <c r="L79">
        <v>-12.188987</v>
      </c>
      <c r="M79">
        <v>-76.92708</v>
      </c>
      <c r="N79">
        <f>HYPERLINK("https://www.google.com/maps/search/?api=1&amp;query=-12.188987,-76.92708","Jirón Ricardo Palma, Villa María del Triunfo, Lima")</f>
      </c>
      <c r="O79" t="str">
        <v>Aceleración brusca</v>
      </c>
      <c r="P79">
        <v>1364.6</v>
      </c>
      <c r="Q79" t="str">
        <v/>
      </c>
      <c r="R79">
        <v>12.4</v>
      </c>
      <c r="S79">
        <v>54.55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85</v>
      </c>
      <c r="AB79" t="str">
        <v>24/09/2026</v>
      </c>
      <c r="AC79" t="str">
        <v>06:42:57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24/09/2026 06:43:09</v>
      </c>
      <c r="AK79" t="str">
        <v>06:43:09</v>
      </c>
      <c r="AL79" t="str">
        <v/>
      </c>
    </row>
    <row r="80">
      <c r="A80">
        <v>79</v>
      </c>
      <c r="B80" t="str">
        <v>MASS BSF</v>
      </c>
      <c r="C80" t="str">
        <v>F8R-810</v>
      </c>
      <c r="D80" t="str">
        <v>F8R-810</v>
      </c>
      <c r="E80" t="str">
        <v/>
      </c>
      <c r="F80" t="str">
        <v>867806078868827</v>
      </c>
      <c r="G80" t="str">
        <v>TBD</v>
      </c>
      <c r="H80" t="str">
        <v/>
      </c>
      <c r="I80" t="str">
        <v/>
      </c>
      <c r="J80" t="str">
        <v>24/09/2026</v>
      </c>
      <c r="K80" t="str">
        <v>06:43:19</v>
      </c>
      <c r="L80">
        <v>-12.189279</v>
      </c>
      <c r="M80">
        <v>-76.92682</v>
      </c>
      <c r="N80">
        <f>HYPERLINK("https://www.google.com/maps/search/?api=1&amp;query=-12.189279,-76.92682","Jirón Inca Pachacútec, Villa María del Triunfo, Lima")</f>
      </c>
      <c r="O80" t="str">
        <v>Acelerado y giro brusco</v>
      </c>
      <c r="P80">
        <v>1364.7</v>
      </c>
      <c r="Q80" t="str">
        <v/>
      </c>
      <c r="R80">
        <v>9.6</v>
      </c>
      <c r="S80">
        <v>54.55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92</v>
      </c>
      <c r="AB80" t="str">
        <v>24/09/2026</v>
      </c>
      <c r="AC80" t="str">
        <v>06:43:16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24/09/2026 06:43:47</v>
      </c>
      <c r="AK80" t="str">
        <v>06:43:47</v>
      </c>
      <c r="AL80" t="str">
        <v/>
      </c>
    </row>
    <row r="81">
      <c r="A81">
        <v>80</v>
      </c>
      <c r="B81" t="str">
        <v>MASS BSF</v>
      </c>
      <c r="C81" t="str">
        <v>F8R-810</v>
      </c>
      <c r="D81" t="str">
        <v>F8R-810</v>
      </c>
      <c r="E81" t="str">
        <v/>
      </c>
      <c r="F81" t="str">
        <v>867806078868827</v>
      </c>
      <c r="G81" t="str">
        <v>TBD</v>
      </c>
      <c r="H81" t="str">
        <v/>
      </c>
      <c r="I81" t="str">
        <v/>
      </c>
      <c r="J81" t="str">
        <v>24/09/2026</v>
      </c>
      <c r="K81" t="str">
        <v>06:43:35</v>
      </c>
      <c r="L81">
        <v>-12.189218</v>
      </c>
      <c r="M81">
        <v>-76.92674</v>
      </c>
      <c r="N81">
        <f>HYPERLINK("https://www.google.com/maps/search/?api=1&amp;query=-12.189218,-76.92674","Jirón Inca Pachacútec, Villa María del Triunfo, Lima")</f>
      </c>
      <c r="O81" t="str">
        <v>Acelerado y giro brusco</v>
      </c>
      <c r="P81">
        <v>1364.7</v>
      </c>
      <c r="Q81" t="str">
        <v/>
      </c>
      <c r="R81">
        <v>0</v>
      </c>
      <c r="S81">
        <v>54.55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92</v>
      </c>
      <c r="AB81" t="str">
        <v>24/09/2026</v>
      </c>
      <c r="AC81" t="str">
        <v>06:43:32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24/09/2026 06:43:47</v>
      </c>
      <c r="AK81" t="str">
        <v>06:43:47</v>
      </c>
      <c r="AL81" t="str">
        <v/>
      </c>
    </row>
    <row r="82">
      <c r="A82">
        <v>81</v>
      </c>
      <c r="B82" t="str">
        <v>MASS BSF</v>
      </c>
      <c r="C82" t="str">
        <v>F8R-810</v>
      </c>
      <c r="D82" t="str">
        <v>F8R-810</v>
      </c>
      <c r="E82" t="str">
        <v/>
      </c>
      <c r="F82" t="str">
        <v>867806078868827</v>
      </c>
      <c r="G82" t="str">
        <v>TBD</v>
      </c>
      <c r="H82" t="str">
        <v/>
      </c>
      <c r="I82" t="str">
        <v/>
      </c>
      <c r="J82" t="str">
        <v>24/09/2026</v>
      </c>
      <c r="K82" t="str">
        <v>06:43:40</v>
      </c>
      <c r="L82">
        <v>-12.189218</v>
      </c>
      <c r="M82">
        <v>-76.92674</v>
      </c>
      <c r="N82">
        <f>HYPERLINK("https://www.google.com/maps/search/?api=1&amp;query=-12.189218,-76.92674","Jirón Inca Pachacútec, Villa María del Triunfo, Lima")</f>
      </c>
      <c r="O82" t="str">
        <v>Acelerado y giro brusco</v>
      </c>
      <c r="P82">
        <v>1364.7</v>
      </c>
      <c r="Q82" t="str">
        <v/>
      </c>
      <c r="R82">
        <v>0</v>
      </c>
      <c r="S82">
        <v>54.55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92</v>
      </c>
      <c r="AB82" t="str">
        <v>24/09/2026</v>
      </c>
      <c r="AC82" t="str">
        <v>06:43:37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24/09/2026 06:43:56</v>
      </c>
      <c r="AK82" t="str">
        <v>06:43:56</v>
      </c>
      <c r="AL82" t="str">
        <v/>
      </c>
    </row>
    <row r="83">
      <c r="A83">
        <v>82</v>
      </c>
      <c r="B83" t="str">
        <v>MASS BSF</v>
      </c>
      <c r="C83" t="str">
        <v>F8R-810</v>
      </c>
      <c r="D83" t="str">
        <v>F8R-810</v>
      </c>
      <c r="E83" t="str">
        <v/>
      </c>
      <c r="F83" t="str">
        <v>867806078868827</v>
      </c>
      <c r="G83" t="str">
        <v>TBD</v>
      </c>
      <c r="H83" t="str">
        <v/>
      </c>
      <c r="I83" t="str">
        <v/>
      </c>
      <c r="J83" t="str">
        <v>24/09/2026</v>
      </c>
      <c r="K83" t="str">
        <v>06:43:44</v>
      </c>
      <c r="L83">
        <v>-12.189253</v>
      </c>
      <c r="M83">
        <v>-76.92683</v>
      </c>
      <c r="N83">
        <f>HYPERLINK("https://www.google.com/maps/search/?api=1&amp;query=-12.189253,-76.92683","Jirón Inca Pachacútec, Villa María del Triunfo, Lima")</f>
      </c>
      <c r="O83" t="str">
        <v>Acelerado y giro brusco</v>
      </c>
      <c r="P83">
        <v>1364.7</v>
      </c>
      <c r="Q83" t="str">
        <v/>
      </c>
      <c r="R83">
        <v>3.3</v>
      </c>
      <c r="S83">
        <v>54.55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92</v>
      </c>
      <c r="AB83" t="str">
        <v>24/09/2026</v>
      </c>
      <c r="AC83" t="str">
        <v>06:43:41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24/09/2026 06:43:56</v>
      </c>
      <c r="AK83" t="str">
        <v>06:43:56</v>
      </c>
      <c r="AL83" t="str">
        <v/>
      </c>
    </row>
    <row r="84">
      <c r="A84">
        <v>83</v>
      </c>
      <c r="B84" t="str">
        <v>MASS BSF</v>
      </c>
      <c r="C84" t="str">
        <v>F8R-810</v>
      </c>
      <c r="D84" t="str">
        <v>F8R-810</v>
      </c>
      <c r="E84" t="str">
        <v/>
      </c>
      <c r="F84" t="str">
        <v>867806078868827</v>
      </c>
      <c r="G84" t="str">
        <v>TBD</v>
      </c>
      <c r="H84" t="str">
        <v/>
      </c>
      <c r="I84" t="str">
        <v/>
      </c>
      <c r="J84" t="str">
        <v>24/09/2026</v>
      </c>
      <c r="K84" t="str">
        <v>06:43:50</v>
      </c>
      <c r="L84">
        <v>-12.189257</v>
      </c>
      <c r="M84">
        <v>-76.926834</v>
      </c>
      <c r="N84">
        <f>HYPERLINK("https://www.google.com/maps/search/?api=1&amp;query=-12.189257,-76.926834","Jirón Inca Pachacútec, Villa María del Triunfo, Lima")</f>
      </c>
      <c r="O84" t="str">
        <v>Acelerado y giro brusco</v>
      </c>
      <c r="P84">
        <v>1364.7</v>
      </c>
      <c r="Q84" t="str">
        <v/>
      </c>
      <c r="R84">
        <v>0</v>
      </c>
      <c r="S84">
        <v>54.55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92</v>
      </c>
      <c r="AB84" t="str">
        <v>24/09/2026</v>
      </c>
      <c r="AC84" t="str">
        <v>06:43:47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24/09/2026 06:44:05</v>
      </c>
      <c r="AK84" t="str">
        <v>06:44:05</v>
      </c>
      <c r="AL84" t="str">
        <v/>
      </c>
    </row>
    <row r="85">
      <c r="A85">
        <v>84</v>
      </c>
      <c r="B85" t="str">
        <v>MASS BSF</v>
      </c>
      <c r="C85" t="str">
        <v>F8R-810</v>
      </c>
      <c r="D85" t="str">
        <v>F8R-810</v>
      </c>
      <c r="E85" t="str">
        <v/>
      </c>
      <c r="F85" t="str">
        <v>867806078868827</v>
      </c>
      <c r="G85" t="str">
        <v>TBD</v>
      </c>
      <c r="H85" t="str">
        <v/>
      </c>
      <c r="I85" t="str">
        <v/>
      </c>
      <c r="J85" t="str">
        <v>24/09/2026</v>
      </c>
      <c r="K85" t="str">
        <v>06:43:55</v>
      </c>
      <c r="L85">
        <v>-12.189192</v>
      </c>
      <c r="M85">
        <v>-76.926926</v>
      </c>
      <c r="N85">
        <f>HYPERLINK("https://www.google.com/maps/search/?api=1&amp;query=-12.189192,-76.926926","Jirón Ricardo Palma, Villa María del Triunfo, Lima")</f>
      </c>
      <c r="O85" t="str">
        <v>Acelerado y giro brusco</v>
      </c>
      <c r="P85">
        <v>1364.7</v>
      </c>
      <c r="Q85" t="str">
        <v/>
      </c>
      <c r="R85">
        <v>9.4</v>
      </c>
      <c r="S85">
        <v>54.55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92</v>
      </c>
      <c r="AB85" t="str">
        <v>24/09/2026</v>
      </c>
      <c r="AC85" t="str">
        <v>06:43:52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24/09/2026 06:44:05</v>
      </c>
      <c r="AK85" t="str">
        <v>06:44:05</v>
      </c>
      <c r="AL85" t="str">
        <v/>
      </c>
    </row>
    <row r="86">
      <c r="A86">
        <v>85</v>
      </c>
      <c r="B86" t="str">
        <v>MASS BSF</v>
      </c>
      <c r="C86" t="str">
        <v>F8R-810</v>
      </c>
      <c r="D86" t="str">
        <v>F8R-810</v>
      </c>
      <c r="E86" t="str">
        <v/>
      </c>
      <c r="F86" t="str">
        <v>867806078868827</v>
      </c>
      <c r="G86" t="str">
        <v>TBD</v>
      </c>
      <c r="H86" t="str">
        <v/>
      </c>
      <c r="I86" t="str">
        <v/>
      </c>
      <c r="J86" t="str">
        <v>24/09/2026</v>
      </c>
      <c r="K86" t="str">
        <v>06:44:12</v>
      </c>
      <c r="L86">
        <v>-12.18878</v>
      </c>
      <c r="M86">
        <v>-76.92723</v>
      </c>
      <c r="N86">
        <f>HYPERLINK("https://www.google.com/maps/search/?api=1&amp;query=-12.18878,-76.92723","Jirón Ricardo Palma, Villa María del Triunfo, Lima")</f>
      </c>
      <c r="O86" t="str">
        <v>Acelerado y giro brusco</v>
      </c>
      <c r="P86">
        <v>1364.7</v>
      </c>
      <c r="Q86" t="str">
        <v/>
      </c>
      <c r="R86">
        <v>8.3</v>
      </c>
      <c r="S86">
        <v>54.55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92</v>
      </c>
      <c r="AB86" t="str">
        <v>24/09/2026</v>
      </c>
      <c r="AC86" t="str">
        <v>06:44:09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24/09/2026 06:44:20</v>
      </c>
      <c r="AK86" t="str">
        <v>06:44:20</v>
      </c>
      <c r="AL86" t="str">
        <v/>
      </c>
    </row>
    <row r="87">
      <c r="A87">
        <v>86</v>
      </c>
      <c r="B87" t="str">
        <v>MASS BSF</v>
      </c>
      <c r="C87" t="str">
        <v>F8R-810</v>
      </c>
      <c r="D87" t="str">
        <v>F8R-810</v>
      </c>
      <c r="E87" t="str">
        <v/>
      </c>
      <c r="F87" t="str">
        <v>867806078868827</v>
      </c>
      <c r="G87" t="str">
        <v>TBD</v>
      </c>
      <c r="H87" t="str">
        <v/>
      </c>
      <c r="I87" t="str">
        <v/>
      </c>
      <c r="J87" t="str">
        <v>24/09/2026</v>
      </c>
      <c r="K87" t="str">
        <v>06:47:01</v>
      </c>
      <c r="L87">
        <v>-12.188847</v>
      </c>
      <c r="M87">
        <v>-76.92758</v>
      </c>
      <c r="N87">
        <f>HYPERLINK("https://www.google.com/maps/search/?api=1&amp;query=-12.188847,-76.92758","Avenida 27 de Diciembre, Villa María del Triunfo, Lima")</f>
      </c>
      <c r="O87" t="str">
        <v>Acelerado y giro brusco</v>
      </c>
      <c r="P87">
        <v>1364.8</v>
      </c>
      <c r="Q87" t="str">
        <v/>
      </c>
      <c r="R87">
        <v>0</v>
      </c>
      <c r="S87">
        <v>54.55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84</v>
      </c>
      <c r="AB87" t="str">
        <v>24/09/2026</v>
      </c>
      <c r="AC87" t="str">
        <v>06:46:59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24/09/2026 06:47:23</v>
      </c>
      <c r="AK87" t="str">
        <v>06:47:23</v>
      </c>
      <c r="AL87" t="str">
        <v/>
      </c>
    </row>
    <row r="88">
      <c r="A88">
        <v>87</v>
      </c>
      <c r="B88" t="str">
        <v>MASS BSF</v>
      </c>
      <c r="C88" t="str">
        <v>F8R-810</v>
      </c>
      <c r="D88" t="str">
        <v>F8R-810</v>
      </c>
      <c r="E88" t="str">
        <v/>
      </c>
      <c r="F88" t="str">
        <v>867806078868827</v>
      </c>
      <c r="G88" t="str">
        <v>TBD</v>
      </c>
      <c r="H88" t="str">
        <v/>
      </c>
      <c r="I88" t="str">
        <v/>
      </c>
      <c r="J88" t="str">
        <v>24/09/2026</v>
      </c>
      <c r="K88" t="str">
        <v>06:47:28</v>
      </c>
      <c r="L88">
        <v>-12.188847</v>
      </c>
      <c r="M88">
        <v>-76.92758</v>
      </c>
      <c r="N88">
        <f>HYPERLINK("https://www.google.com/maps/search/?api=1&amp;query=-12.188847,-76.92758","Avenida 27 de Diciembre, Villa María del Triunfo, Lima")</f>
      </c>
      <c r="O88" t="str">
        <v>Inicio de ralentí</v>
      </c>
      <c r="P88">
        <v>1364.8</v>
      </c>
      <c r="Q88" t="str">
        <v/>
      </c>
      <c r="R88">
        <v>0</v>
      </c>
      <c r="S88">
        <v>54.55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84</v>
      </c>
      <c r="AB88" t="str">
        <v>24/09/2026</v>
      </c>
      <c r="AC88" t="str">
        <v>06:47:25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24/09/2026 06:47:38</v>
      </c>
      <c r="AK88" t="str">
        <v>06:47:38</v>
      </c>
      <c r="AL88" t="str">
        <v/>
      </c>
    </row>
    <row r="89">
      <c r="A89">
        <v>88</v>
      </c>
      <c r="B89" t="str">
        <v>MASS BSF</v>
      </c>
      <c r="C89" t="str">
        <v>F8R-810</v>
      </c>
      <c r="D89" t="str">
        <v>F8R-810</v>
      </c>
      <c r="E89" t="str">
        <v/>
      </c>
      <c r="F89" t="str">
        <v>867806078868827</v>
      </c>
      <c r="G89" t="str">
        <v>TBD</v>
      </c>
      <c r="H89" t="str">
        <v/>
      </c>
      <c r="I89" t="str">
        <v/>
      </c>
      <c r="J89" t="str">
        <v>24/09/2026</v>
      </c>
      <c r="K89" t="str">
        <v>06:48:04</v>
      </c>
      <c r="L89">
        <v>-12.188847</v>
      </c>
      <c r="M89">
        <v>-76.92758</v>
      </c>
      <c r="N89">
        <f>HYPERLINK("https://www.google.com/maps/search/?api=1&amp;query=-12.188847,-76.92758","Avenida 27 de Diciembre, Villa María del Triunfo, Lima")</f>
      </c>
      <c r="O89" t="str">
        <v>Aceleración brusca</v>
      </c>
      <c r="P89">
        <v>1364.8</v>
      </c>
      <c r="Q89" t="str">
        <v/>
      </c>
      <c r="R89">
        <v>0</v>
      </c>
      <c r="S89">
        <v>54.55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84</v>
      </c>
      <c r="AB89" t="str">
        <v>24/09/2026</v>
      </c>
      <c r="AC89" t="str">
        <v>06:48:01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24/09/2026 06:48:16</v>
      </c>
      <c r="AK89" t="str">
        <v>06:48:16</v>
      </c>
      <c r="AL89" t="str">
        <v/>
      </c>
    </row>
    <row r="90">
      <c r="A90">
        <v>89</v>
      </c>
      <c r="B90" t="str">
        <v>MASS BSF</v>
      </c>
      <c r="C90" t="str">
        <v>F8R-810</v>
      </c>
      <c r="D90" t="str">
        <v>F8R-810</v>
      </c>
      <c r="E90" t="str">
        <v/>
      </c>
      <c r="F90" t="str">
        <v>867806078868827</v>
      </c>
      <c r="G90" t="str">
        <v>TBD</v>
      </c>
      <c r="H90" t="str">
        <v/>
      </c>
      <c r="I90" t="str">
        <v/>
      </c>
      <c r="J90" t="str">
        <v>24/09/2026</v>
      </c>
      <c r="K90" t="str">
        <v>06:48:23</v>
      </c>
      <c r="L90">
        <v>-12.188847</v>
      </c>
      <c r="M90">
        <v>-76.92758</v>
      </c>
      <c r="N90">
        <f>HYPERLINK("https://www.google.com/maps/search/?api=1&amp;query=-12.188847,-76.92758","Avenida 27 de Diciembre, Villa María del Triunfo, Lima")</f>
      </c>
      <c r="O90" t="str">
        <v>Aceleración brusca</v>
      </c>
      <c r="P90">
        <v>1364.8</v>
      </c>
      <c r="Q90" t="str">
        <v/>
      </c>
      <c r="R90">
        <v>0</v>
      </c>
      <c r="S90">
        <v>54.55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84</v>
      </c>
      <c r="AB90" t="str">
        <v>24/09/2026</v>
      </c>
      <c r="AC90" t="str">
        <v>06:48:20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24/09/2026 06:48:34</v>
      </c>
      <c r="AK90" t="str">
        <v>06:48:34</v>
      </c>
      <c r="AL90" t="str">
        <v/>
      </c>
    </row>
    <row r="91">
      <c r="A91">
        <v>90</v>
      </c>
      <c r="B91" t="str">
        <v>MASS BSF</v>
      </c>
      <c r="C91" t="str">
        <v>F8R-810</v>
      </c>
      <c r="D91" t="str">
        <v>F8R-810</v>
      </c>
      <c r="E91" t="str">
        <v/>
      </c>
      <c r="F91" t="str">
        <v>867806078868827</v>
      </c>
      <c r="G91" t="str">
        <v>TBD</v>
      </c>
      <c r="H91" t="str">
        <v/>
      </c>
      <c r="I91" t="str">
        <v/>
      </c>
      <c r="J91" t="str">
        <v>24/09/2026</v>
      </c>
      <c r="K91" t="str">
        <v>06:48:29</v>
      </c>
      <c r="L91">
        <v>-12.188847</v>
      </c>
      <c r="M91">
        <v>-76.92758</v>
      </c>
      <c r="N91">
        <f>HYPERLINK("https://www.google.com/maps/search/?api=1&amp;query=-12.188847,-76.92758","Avenida 27 de Diciembre, Villa María del Triunfo, Lima")</f>
      </c>
      <c r="O91" t="str">
        <v>Acelerado y giro brusco</v>
      </c>
      <c r="P91">
        <v>1364.8</v>
      </c>
      <c r="Q91" t="str">
        <v/>
      </c>
      <c r="R91">
        <v>0</v>
      </c>
      <c r="S91">
        <v>54.55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84</v>
      </c>
      <c r="AB91" t="str">
        <v>24/09/2026</v>
      </c>
      <c r="AC91" t="str">
        <v>06:48:26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24/09/2026 06:48:53</v>
      </c>
      <c r="AK91" t="str">
        <v>06:48:53</v>
      </c>
      <c r="AL91" t="str">
        <v/>
      </c>
    </row>
    <row r="92">
      <c r="A92">
        <v>91</v>
      </c>
      <c r="B92" t="str">
        <v>MASS BSF</v>
      </c>
      <c r="C92" t="str">
        <v>F8R-810</v>
      </c>
      <c r="D92" t="str">
        <v>F8R-810</v>
      </c>
      <c r="E92" t="str">
        <v/>
      </c>
      <c r="F92" t="str">
        <v>867806078868827</v>
      </c>
      <c r="G92" t="str">
        <v>TBD</v>
      </c>
      <c r="H92" t="str">
        <v/>
      </c>
      <c r="I92" t="str">
        <v/>
      </c>
      <c r="J92" t="str">
        <v>24/09/2026</v>
      </c>
      <c r="K92" t="str">
        <v>06:48:32</v>
      </c>
      <c r="L92">
        <v>-12.188847</v>
      </c>
      <c r="M92">
        <v>-76.92758</v>
      </c>
      <c r="N92">
        <f>HYPERLINK("https://www.google.com/maps/search/?api=1&amp;query=-12.188847,-76.92758","Avenida 27 de Diciembre, Villa María del Triunfo, Lima")</f>
      </c>
      <c r="O92" t="str">
        <v>Acelerado y giro brusco</v>
      </c>
      <c r="P92">
        <v>1364.8</v>
      </c>
      <c r="Q92" t="str">
        <v/>
      </c>
      <c r="R92">
        <v>0</v>
      </c>
      <c r="S92">
        <v>54.55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84</v>
      </c>
      <c r="AB92" t="str">
        <v>24/09/2026</v>
      </c>
      <c r="AC92" t="str">
        <v>06:48:29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24/09/2026 06:48:47</v>
      </c>
      <c r="AK92" t="str">
        <v>06:48:47</v>
      </c>
      <c r="AL92" t="str">
        <v/>
      </c>
    </row>
    <row r="93">
      <c r="A93">
        <v>92</v>
      </c>
      <c r="B93" t="str">
        <v>MASS BSF</v>
      </c>
      <c r="C93" t="str">
        <v>F8R-810</v>
      </c>
      <c r="D93" t="str">
        <v>F8R-810</v>
      </c>
      <c r="E93" t="str">
        <v/>
      </c>
      <c r="F93" t="str">
        <v>867806078868827</v>
      </c>
      <c r="G93" t="str">
        <v>TBD</v>
      </c>
      <c r="H93" t="str">
        <v/>
      </c>
      <c r="I93" t="str">
        <v/>
      </c>
      <c r="J93" t="str">
        <v>24/09/2026</v>
      </c>
      <c r="K93" t="str">
        <v>06:48:46</v>
      </c>
      <c r="L93">
        <v>-12.188847</v>
      </c>
      <c r="M93">
        <v>-76.92758</v>
      </c>
      <c r="N93">
        <f>HYPERLINK("https://www.google.com/maps/search/?api=1&amp;query=-12.188847,-76.92758","Avenida 27 de Diciembre, Villa María del Triunfo, Lima")</f>
      </c>
      <c r="O93" t="str">
        <v>Acelerado y giro brusco</v>
      </c>
      <c r="P93">
        <v>1364.8</v>
      </c>
      <c r="Q93" t="str">
        <v/>
      </c>
      <c r="R93">
        <v>0</v>
      </c>
      <c r="S93">
        <v>54.55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84</v>
      </c>
      <c r="AB93" t="str">
        <v>24/09/2026</v>
      </c>
      <c r="AC93" t="str">
        <v>06:48:43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24/09/2026 06:48:59</v>
      </c>
      <c r="AK93" t="str">
        <v>06:48:59</v>
      </c>
      <c r="AL93" t="str">
        <v/>
      </c>
    </row>
    <row r="94">
      <c r="A94">
        <v>93</v>
      </c>
      <c r="B94" t="str">
        <v>MASS BSF</v>
      </c>
      <c r="C94" t="str">
        <v>F8R-810</v>
      </c>
      <c r="D94" t="str">
        <v>F8R-810</v>
      </c>
      <c r="E94" t="str">
        <v/>
      </c>
      <c r="F94" t="str">
        <v>867806078868827</v>
      </c>
      <c r="G94" t="str">
        <v>TBD</v>
      </c>
      <c r="H94" t="str">
        <v/>
      </c>
      <c r="I94" t="str">
        <v/>
      </c>
      <c r="J94" t="str">
        <v>24/09/2026</v>
      </c>
      <c r="K94" t="str">
        <v>06:48:51</v>
      </c>
      <c r="L94">
        <v>-12.188847</v>
      </c>
      <c r="M94">
        <v>-76.92758</v>
      </c>
      <c r="N94">
        <f>HYPERLINK("https://www.google.com/maps/search/?api=1&amp;query=-12.188847,-76.92758","Avenida 27 de Diciembre, Villa María del Triunfo, Lima")</f>
      </c>
      <c r="O94" t="str">
        <v>Vehículo apagado</v>
      </c>
      <c r="P94">
        <v>1364.8</v>
      </c>
      <c r="Q94" t="str">
        <v/>
      </c>
      <c r="R94">
        <v>0</v>
      </c>
      <c r="S94">
        <v>54.88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84</v>
      </c>
      <c r="AB94" t="str">
        <v>24/09/2026</v>
      </c>
      <c r="AC94" t="str">
        <v>06:48:48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24/09/2026 06:49:06</v>
      </c>
      <c r="AK94" t="str">
        <v>06:49:06</v>
      </c>
      <c r="AL94" t="str">
        <v/>
      </c>
    </row>
    <row r="95">
      <c r="A95">
        <v>94</v>
      </c>
      <c r="B95" t="str">
        <v>MASS BSF</v>
      </c>
      <c r="C95" t="str">
        <v>F8R-810</v>
      </c>
      <c r="D95" t="str">
        <v>F8R-810</v>
      </c>
      <c r="E95" t="str">
        <v/>
      </c>
      <c r="F95" t="str">
        <v>867806078868827</v>
      </c>
      <c r="G95" t="str">
        <v>TBD</v>
      </c>
      <c r="H95" t="str">
        <v/>
      </c>
      <c r="I95" t="str">
        <v/>
      </c>
      <c r="J95" t="str">
        <v>24/09/2026</v>
      </c>
      <c r="K95" t="str">
        <v>06:48:51</v>
      </c>
      <c r="L95">
        <v>-12.188847</v>
      </c>
      <c r="M95">
        <v>-76.92758</v>
      </c>
      <c r="N95">
        <f>HYPERLINK("https://www.google.com/maps/search/?api=1&amp;query=-12.188847,-76.92758","Avenida 27 de Diciembre, Villa María del Triunfo, Lima")</f>
      </c>
      <c r="O95" t="str">
        <v>Fin de ralentí</v>
      </c>
      <c r="P95">
        <v>1364.8</v>
      </c>
      <c r="Q95" t="str">
        <v/>
      </c>
      <c r="R95">
        <v>0</v>
      </c>
      <c r="S95">
        <v>54.55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84</v>
      </c>
      <c r="AB95" t="str">
        <v>24/09/2026</v>
      </c>
      <c r="AC95" t="str">
        <v>06:48:48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24/09/2026 06:49:06</v>
      </c>
      <c r="AK95" t="str">
        <v>06:49:06</v>
      </c>
      <c r="AL95" t="str">
        <v/>
      </c>
    </row>
    <row r="96">
      <c r="A96">
        <v>95</v>
      </c>
      <c r="B96" t="str">
        <v>MASS BSF</v>
      </c>
      <c r="C96" t="str">
        <v>F8R-810</v>
      </c>
      <c r="D96" t="str">
        <v>F8R-810</v>
      </c>
      <c r="E96" t="str">
        <v/>
      </c>
      <c r="F96" t="str">
        <v>867806078868827</v>
      </c>
      <c r="G96" t="str">
        <v>TBD</v>
      </c>
      <c r="H96" t="str">
        <v/>
      </c>
      <c r="I96" t="str">
        <v/>
      </c>
      <c r="J96" t="str">
        <v>24/09/2026</v>
      </c>
      <c r="K96" t="str">
        <v>06:49:54</v>
      </c>
      <c r="L96">
        <v>-12.188847</v>
      </c>
      <c r="M96">
        <v>-76.92758</v>
      </c>
      <c r="N96">
        <f>HYPERLINK("https://www.google.com/maps/search/?api=1&amp;query=-12.188847,-76.92758","Avenida 27 de Diciembre, Villa María del Triunfo, Lima")</f>
      </c>
      <c r="O96" t="str">
        <v>Vehículo encendido</v>
      </c>
      <c r="P96">
        <v>1364.8</v>
      </c>
      <c r="Q96" t="str">
        <v/>
      </c>
      <c r="R96">
        <v>0</v>
      </c>
      <c r="S96">
        <v>54.88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84</v>
      </c>
      <c r="AB96" t="str">
        <v>24/09/2026</v>
      </c>
      <c r="AC96" t="str">
        <v>06:49:51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24/09/2026 06:50:03</v>
      </c>
      <c r="AK96" t="str">
        <v>06:50:03</v>
      </c>
      <c r="AL96" t="str">
        <v/>
      </c>
    </row>
    <row r="97">
      <c r="A97">
        <v>96</v>
      </c>
      <c r="B97" t="str">
        <v>MASS BSF</v>
      </c>
      <c r="C97" t="str">
        <v>F8R-810</v>
      </c>
      <c r="D97" t="str">
        <v>F8R-810</v>
      </c>
      <c r="E97" t="str">
        <v/>
      </c>
      <c r="F97" t="str">
        <v>867806078868827</v>
      </c>
      <c r="G97" t="str">
        <v>TBD</v>
      </c>
      <c r="H97" t="str">
        <v/>
      </c>
      <c r="I97" t="str">
        <v/>
      </c>
      <c r="J97" t="str">
        <v>24/09/2026</v>
      </c>
      <c r="K97" t="str">
        <v>06:49:54</v>
      </c>
      <c r="L97">
        <v>-12.188847</v>
      </c>
      <c r="M97">
        <v>-76.92758</v>
      </c>
      <c r="N97">
        <f>HYPERLINK("https://www.google.com/maps/search/?api=1&amp;query=-12.188847,-76.92758","Avenida 27 de Diciembre, Villa María del Triunfo, Lima")</f>
      </c>
      <c r="O97" t="str">
        <v>Acelerado y giro brusco</v>
      </c>
      <c r="P97">
        <v>1364.8</v>
      </c>
      <c r="Q97" t="str">
        <v/>
      </c>
      <c r="R97">
        <v>0</v>
      </c>
      <c r="S97">
        <v>54.88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84</v>
      </c>
      <c r="AB97" t="str">
        <v>24/09/2026</v>
      </c>
      <c r="AC97" t="str">
        <v>06:49:51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24/09/2026 06:50:06</v>
      </c>
      <c r="AK97" t="str">
        <v>06:50:06</v>
      </c>
      <c r="AL97" t="str">
        <v/>
      </c>
    </row>
    <row r="98">
      <c r="A98">
        <v>97</v>
      </c>
      <c r="B98" t="str">
        <v>MASS BSF</v>
      </c>
      <c r="C98" t="str">
        <v>F8R-810</v>
      </c>
      <c r="D98" t="str">
        <v>F8R-810</v>
      </c>
      <c r="E98" t="str">
        <v/>
      </c>
      <c r="F98" t="str">
        <v>867806078868827</v>
      </c>
      <c r="G98" t="str">
        <v>TBD</v>
      </c>
      <c r="H98" t="str">
        <v/>
      </c>
      <c r="I98" t="str">
        <v/>
      </c>
      <c r="J98" t="str">
        <v>24/09/2026</v>
      </c>
      <c r="K98" t="str">
        <v>06:51:23</v>
      </c>
      <c r="L98">
        <v>-12.188847</v>
      </c>
      <c r="M98">
        <v>-76.92758</v>
      </c>
      <c r="N98">
        <f>HYPERLINK("https://www.google.com/maps/search/?api=1&amp;query=-12.188847,-76.92758","Avenida 27 de Diciembre, Villa María del Triunfo, Lima")</f>
      </c>
      <c r="O98" t="str">
        <v>Acelerado y giro brusco</v>
      </c>
      <c r="P98">
        <v>1364.8</v>
      </c>
      <c r="Q98" t="str">
        <v/>
      </c>
      <c r="R98">
        <v>0</v>
      </c>
      <c r="S98">
        <v>54.88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84</v>
      </c>
      <c r="AB98" t="str">
        <v>24/09/2026</v>
      </c>
      <c r="AC98" t="str">
        <v>06:51:20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24/09/2026 06:51:29</v>
      </c>
      <c r="AK98" t="str">
        <v>06:51:29</v>
      </c>
      <c r="AL98" t="str">
        <v/>
      </c>
    </row>
    <row r="99">
      <c r="A99">
        <v>98</v>
      </c>
      <c r="B99" t="str">
        <v>MASS BSF</v>
      </c>
      <c r="C99" t="str">
        <v>F8R-810</v>
      </c>
      <c r="D99" t="str">
        <v>F8R-810</v>
      </c>
      <c r="E99" t="str">
        <v/>
      </c>
      <c r="F99" t="str">
        <v>867806078868827</v>
      </c>
      <c r="G99" t="str">
        <v>TBD</v>
      </c>
      <c r="H99" t="str">
        <v/>
      </c>
      <c r="I99" t="str">
        <v/>
      </c>
      <c r="J99" t="str">
        <v>24/09/2026</v>
      </c>
      <c r="K99" t="str">
        <v>06:52:50</v>
      </c>
      <c r="L99">
        <v>-12.188847</v>
      </c>
      <c r="M99">
        <v>-76.92758</v>
      </c>
      <c r="N99">
        <f>HYPERLINK("https://www.google.com/maps/search/?api=1&amp;query=-12.188847,-76.92758","Avenida 27 de Diciembre, Villa María del Triunfo, Lima")</f>
      </c>
      <c r="O99" t="str">
        <v>Vehículo apagado</v>
      </c>
      <c r="P99">
        <v>1364.8</v>
      </c>
      <c r="Q99" t="str">
        <v/>
      </c>
      <c r="R99">
        <v>0</v>
      </c>
      <c r="S99">
        <v>54.93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84</v>
      </c>
      <c r="AB99" t="str">
        <v>24/09/2026</v>
      </c>
      <c r="AC99" t="str">
        <v>06:52:47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24/09/2026 06:53:03</v>
      </c>
      <c r="AK99" t="str">
        <v>06:53:03</v>
      </c>
      <c r="AL99" t="str">
        <v/>
      </c>
    </row>
    <row r="100">
      <c r="A100">
        <v>99</v>
      </c>
      <c r="B100" t="str">
        <v>MASS BSF</v>
      </c>
      <c r="C100" t="str">
        <v>F8R-810</v>
      </c>
      <c r="D100" t="str">
        <v>F8R-810</v>
      </c>
      <c r="E100" t="str">
        <v/>
      </c>
      <c r="F100" t="str">
        <v>867806078868827</v>
      </c>
      <c r="G100" t="str">
        <v>TBD</v>
      </c>
      <c r="H100" t="str">
        <v/>
      </c>
      <c r="I100" t="str">
        <v/>
      </c>
      <c r="J100" t="str">
        <v>24/09/2026</v>
      </c>
      <c r="K100" t="str">
        <v>06:53:17</v>
      </c>
      <c r="L100">
        <v>-12.188847</v>
      </c>
      <c r="M100">
        <v>-76.92758</v>
      </c>
      <c r="N100">
        <f>HYPERLINK("https://www.google.com/maps/search/?api=1&amp;query=-12.188847,-76.92758","Avenida 27 de Diciembre, Villa María del Triunfo, Lima")</f>
      </c>
      <c r="O100" t="str">
        <v>Vehículo encendido</v>
      </c>
      <c r="P100">
        <v>1364.8</v>
      </c>
      <c r="Q100" t="str">
        <v/>
      </c>
      <c r="R100">
        <v>0</v>
      </c>
      <c r="S100">
        <v>54.93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84</v>
      </c>
      <c r="AB100" t="str">
        <v>24/09/2026</v>
      </c>
      <c r="AC100" t="str">
        <v>06:53:14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24/09/2026 06:53:30</v>
      </c>
      <c r="AK100" t="str">
        <v>06:53:30</v>
      </c>
      <c r="AL100" t="str">
        <v/>
      </c>
    </row>
    <row r="101">
      <c r="A101">
        <v>100</v>
      </c>
      <c r="B101" t="str">
        <v>MASS BSF</v>
      </c>
      <c r="C101" t="str">
        <v>F8R-810</v>
      </c>
      <c r="D101" t="str">
        <v>F8R-810</v>
      </c>
      <c r="E101" t="str">
        <v/>
      </c>
      <c r="F101" t="str">
        <v>867806078868827</v>
      </c>
      <c r="G101" t="str">
        <v>TBD</v>
      </c>
      <c r="H101" t="str">
        <v/>
      </c>
      <c r="I101" t="str">
        <v/>
      </c>
      <c r="J101" t="str">
        <v>24/09/2026</v>
      </c>
      <c r="K101" t="str">
        <v>06:53:33</v>
      </c>
      <c r="L101">
        <v>-12.188847</v>
      </c>
      <c r="M101">
        <v>-76.92758</v>
      </c>
      <c r="N101">
        <f>HYPERLINK("https://www.google.com/maps/search/?api=1&amp;query=-12.188847,-76.92758","Avenida 27 de Diciembre, Villa María del Triunfo, Lima")</f>
      </c>
      <c r="O101" t="str">
        <v>Vehículo apagado</v>
      </c>
      <c r="P101">
        <v>1364.8</v>
      </c>
      <c r="Q101" t="str">
        <v/>
      </c>
      <c r="R101">
        <v>0</v>
      </c>
      <c r="S101">
        <v>54.93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84</v>
      </c>
      <c r="AB101" t="str">
        <v>24/09/2026</v>
      </c>
      <c r="AC101" t="str">
        <v>06:53:30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24/09/2026 06:53:48</v>
      </c>
      <c r="AK101" t="str">
        <v>06:53:48</v>
      </c>
      <c r="AL101" t="str">
        <v/>
      </c>
    </row>
    <row r="102">
      <c r="A102">
        <v>101</v>
      </c>
      <c r="B102" t="str">
        <v>MASS BSF</v>
      </c>
      <c r="C102" t="str">
        <v>F8R-810</v>
      </c>
      <c r="D102" t="str">
        <v>F8R-810</v>
      </c>
      <c r="E102" t="str">
        <v/>
      </c>
      <c r="F102" t="str">
        <v>867806078868827</v>
      </c>
      <c r="G102" t="str">
        <v>TBD</v>
      </c>
      <c r="H102" t="str">
        <v/>
      </c>
      <c r="I102" t="str">
        <v/>
      </c>
      <c r="J102" t="str">
        <v>24/09/2026</v>
      </c>
      <c r="K102" t="str">
        <v>07:29:46</v>
      </c>
      <c r="L102">
        <v>-12.188847</v>
      </c>
      <c r="M102">
        <v>-76.92758</v>
      </c>
      <c r="N102">
        <f>HYPERLINK("https://www.google.com/maps/search/?api=1&amp;query=-12.188847,-76.92758","Avenida 27 de Diciembre, Villa María del Triunfo, Lima")</f>
      </c>
      <c r="O102" t="str">
        <v>Vehículo encendido</v>
      </c>
      <c r="P102">
        <v>1364.8</v>
      </c>
      <c r="Q102" t="str">
        <v/>
      </c>
      <c r="R102">
        <v>0</v>
      </c>
      <c r="S102">
        <v>54.93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82</v>
      </c>
      <c r="AB102" t="str">
        <v>24/09/2026</v>
      </c>
      <c r="AC102" t="str">
        <v>07:29:42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24/09/2026 07:30:01</v>
      </c>
      <c r="AK102" t="str">
        <v>07:30:01</v>
      </c>
      <c r="AL102" t="str">
        <v/>
      </c>
    </row>
    <row r="103">
      <c r="A103">
        <v>102</v>
      </c>
      <c r="B103" t="str">
        <v>MASS BSF</v>
      </c>
      <c r="C103" t="str">
        <v>F8R-810</v>
      </c>
      <c r="D103" t="str">
        <v>F8R-810</v>
      </c>
      <c r="E103" t="str">
        <v/>
      </c>
      <c r="F103" t="str">
        <v>867806078868827</v>
      </c>
      <c r="G103" t="str">
        <v>TBD</v>
      </c>
      <c r="H103" t="str">
        <v/>
      </c>
      <c r="I103" t="str">
        <v/>
      </c>
      <c r="J103" t="str">
        <v>24/09/2026</v>
      </c>
      <c r="K103" t="str">
        <v>07:30:04</v>
      </c>
      <c r="L103">
        <v>-12.188847</v>
      </c>
      <c r="M103">
        <v>-76.92758</v>
      </c>
      <c r="N103">
        <f>HYPERLINK("https://www.google.com/maps/search/?api=1&amp;query=-12.188847,-76.92758","Avenida 27 de Diciembre, Villa María del Triunfo, Lima")</f>
      </c>
      <c r="O103" t="str">
        <v>Aceleración brusca</v>
      </c>
      <c r="P103">
        <v>1364.8</v>
      </c>
      <c r="Q103" t="str">
        <v/>
      </c>
      <c r="R103">
        <v>0</v>
      </c>
      <c r="S103">
        <v>54.93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82</v>
      </c>
      <c r="AB103" t="str">
        <v>24/09/2026</v>
      </c>
      <c r="AC103" t="str">
        <v>07:30:01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24/09/2026 07:30:25</v>
      </c>
      <c r="AK103" t="str">
        <v>07:30:25</v>
      </c>
      <c r="AL103" t="str">
        <v/>
      </c>
    </row>
    <row r="104">
      <c r="A104">
        <v>103</v>
      </c>
      <c r="B104" t="str">
        <v>MASS BSF</v>
      </c>
      <c r="C104" t="str">
        <v>F8R-810</v>
      </c>
      <c r="D104" t="str">
        <v>F8R-810</v>
      </c>
      <c r="E104" t="str">
        <v/>
      </c>
      <c r="F104" t="str">
        <v>867806078868827</v>
      </c>
      <c r="G104" t="str">
        <v>TBD</v>
      </c>
      <c r="H104" t="str">
        <v/>
      </c>
      <c r="I104" t="str">
        <v/>
      </c>
      <c r="J104" t="str">
        <v>24/09/2026</v>
      </c>
      <c r="K104" t="str">
        <v>07:30:42</v>
      </c>
      <c r="L104">
        <v>-12.189033</v>
      </c>
      <c r="M104">
        <v>-76.92785</v>
      </c>
      <c r="N104">
        <f>HYPERLINK("https://www.google.com/maps/search/?api=1&amp;query=-12.189033,-76.92785","Avenida 27 de Diciembre, Villa María del Triunfo, Lima")</f>
      </c>
      <c r="O104" t="str">
        <v>Se movio</v>
      </c>
      <c r="P104">
        <v>1364.8</v>
      </c>
      <c r="Q104" t="str">
        <v/>
      </c>
      <c r="R104">
        <v>13.7</v>
      </c>
      <c r="S104">
        <v>54.93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82</v>
      </c>
      <c r="AB104" t="str">
        <v>24/09/2026</v>
      </c>
      <c r="AC104" t="str">
        <v>07:30:39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24/09/2026 07:30:58</v>
      </c>
      <c r="AK104" t="str">
        <v>07:30:58</v>
      </c>
      <c r="AL104" t="str">
        <v/>
      </c>
    </row>
    <row r="105">
      <c r="A105">
        <v>104</v>
      </c>
      <c r="B105" t="str">
        <v>MASS BSF</v>
      </c>
      <c r="C105" t="str">
        <v>F8R-810</v>
      </c>
      <c r="D105" t="str">
        <v>F8R-810</v>
      </c>
      <c r="E105" t="str">
        <v/>
      </c>
      <c r="F105" t="str">
        <v>867806078868827</v>
      </c>
      <c r="G105" t="str">
        <v>TBD</v>
      </c>
      <c r="H105" t="str">
        <v/>
      </c>
      <c r="I105" t="str">
        <v/>
      </c>
      <c r="J105" t="str">
        <v>24/09/2026</v>
      </c>
      <c r="K105" t="str">
        <v>07:31:42</v>
      </c>
      <c r="L105">
        <v>-12.190215</v>
      </c>
      <c r="M105">
        <v>-76.93012</v>
      </c>
      <c r="N105">
        <f>HYPERLINK("https://www.google.com/maps/search/?api=1&amp;query=-12.190215,-76.93012","Avenida 27 de Diciembre, Villa María del Triunfo, Lima")</f>
      </c>
      <c r="O105" t="str">
        <v>Acelerado y giro brusco</v>
      </c>
      <c r="P105">
        <v>1365.1</v>
      </c>
      <c r="Q105" t="str">
        <v/>
      </c>
      <c r="R105">
        <v>22</v>
      </c>
      <c r="S105">
        <v>54.93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85</v>
      </c>
      <c r="AB105" t="str">
        <v>24/09/2026</v>
      </c>
      <c r="AC105" t="str">
        <v>07:31:39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24/09/2026 07:32:02</v>
      </c>
      <c r="AK105" t="str">
        <v>07:32:02</v>
      </c>
      <c r="AL105" t="str">
        <v/>
      </c>
    </row>
    <row r="106">
      <c r="A106">
        <v>105</v>
      </c>
      <c r="B106" t="str">
        <v>MASS BSF</v>
      </c>
      <c r="C106" t="str">
        <v>F8R-810</v>
      </c>
      <c r="D106" t="str">
        <v>F8R-810</v>
      </c>
      <c r="E106" t="str">
        <v/>
      </c>
      <c r="F106" t="str">
        <v>867806078868827</v>
      </c>
      <c r="G106" t="str">
        <v>TBD</v>
      </c>
      <c r="H106" t="str">
        <v/>
      </c>
      <c r="I106" t="str">
        <v/>
      </c>
      <c r="J106" t="str">
        <v>24/09/2026</v>
      </c>
      <c r="K106" t="str">
        <v>07:32:01</v>
      </c>
      <c r="L106">
        <v>-12.190581</v>
      </c>
      <c r="M106">
        <v>-76.930954</v>
      </c>
      <c r="N106">
        <f>HYPERLINK("https://www.google.com/maps/search/?api=1&amp;query=-12.190581,-76.930954","Avenida 27 de Diciembre, Villa María del Triunfo, Lima")</f>
      </c>
      <c r="O106" t="str">
        <v>Acelerado y giro brusco</v>
      </c>
      <c r="P106">
        <v>1365.2</v>
      </c>
      <c r="Q106" t="str">
        <v/>
      </c>
      <c r="R106">
        <v>7</v>
      </c>
      <c r="S106">
        <v>54.93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85</v>
      </c>
      <c r="AB106" t="str">
        <v>24/09/2026</v>
      </c>
      <c r="AC106" t="str">
        <v>07:31:57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24/09/2026 07:32:13</v>
      </c>
      <c r="AK106" t="str">
        <v>07:32:13</v>
      </c>
      <c r="AL106" t="str">
        <v/>
      </c>
    </row>
    <row r="107">
      <c r="A107">
        <v>106</v>
      </c>
      <c r="B107" t="str">
        <v>MASS BSF</v>
      </c>
      <c r="C107" t="str">
        <v>F8R-810</v>
      </c>
      <c r="D107" t="str">
        <v>F8R-810</v>
      </c>
      <c r="E107" t="str">
        <v/>
      </c>
      <c r="F107" t="str">
        <v>867806078868827</v>
      </c>
      <c r="G107" t="str">
        <v>TBD</v>
      </c>
      <c r="H107" t="str">
        <v/>
      </c>
      <c r="I107" t="str">
        <v/>
      </c>
      <c r="J107" t="str">
        <v>24/09/2026</v>
      </c>
      <c r="K107" t="str">
        <v>07:32:11</v>
      </c>
      <c r="L107">
        <v>-12.190699</v>
      </c>
      <c r="M107">
        <v>-76.931015</v>
      </c>
      <c r="N107">
        <f>HYPERLINK("https://www.google.com/maps/search/?api=1&amp;query=-12.190699,-76.931015","Avenida 27 de Diciembre, Villa María del Triunfo, Lima")</f>
      </c>
      <c r="O107" t="str">
        <v>Acelerado y giro brusco</v>
      </c>
      <c r="P107">
        <v>1365.2</v>
      </c>
      <c r="Q107" t="str">
        <v/>
      </c>
      <c r="R107">
        <v>7.5</v>
      </c>
      <c r="S107">
        <v>54.93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85</v>
      </c>
      <c r="AB107" t="str">
        <v>24/09/2026</v>
      </c>
      <c r="AC107" t="str">
        <v>07:32:07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24/09/2026 07:32:41</v>
      </c>
      <c r="AK107" t="str">
        <v>07:32:41</v>
      </c>
      <c r="AL107" t="str">
        <v/>
      </c>
    </row>
    <row r="108">
      <c r="A108">
        <v>107</v>
      </c>
      <c r="B108" t="str">
        <v>MASS BSF</v>
      </c>
      <c r="C108" t="str">
        <v>F8R-810</v>
      </c>
      <c r="D108" t="str">
        <v>F8R-810</v>
      </c>
      <c r="E108" t="str">
        <v/>
      </c>
      <c r="F108" t="str">
        <v>867806078868827</v>
      </c>
      <c r="G108" t="str">
        <v>TBD</v>
      </c>
      <c r="H108" t="str">
        <v/>
      </c>
      <c r="I108" t="str">
        <v/>
      </c>
      <c r="J108" t="str">
        <v>24/09/2026</v>
      </c>
      <c r="K108" t="str">
        <v>07:32:29</v>
      </c>
      <c r="L108">
        <v>-12.190848</v>
      </c>
      <c r="M108">
        <v>-76.93094</v>
      </c>
      <c r="N108">
        <f>HYPERLINK("https://www.google.com/maps/search/?api=1&amp;query=-12.190848,-76.93094","Jirón Hipólito Unanue, Villa María del Triunfo, Lima")</f>
      </c>
      <c r="O108" t="str">
        <v>Acelerado y giro brusco</v>
      </c>
      <c r="P108">
        <v>1365.2</v>
      </c>
      <c r="Q108" t="str">
        <v/>
      </c>
      <c r="R108">
        <v>4.6</v>
      </c>
      <c r="S108">
        <v>54.93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85</v>
      </c>
      <c r="AB108" t="str">
        <v>24/09/2026</v>
      </c>
      <c r="AC108" t="str">
        <v>07:32:25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24/09/2026 07:32:45</v>
      </c>
      <c r="AK108" t="str">
        <v>07:32:45</v>
      </c>
      <c r="AL108" t="str">
        <v/>
      </c>
    </row>
    <row r="109">
      <c r="A109">
        <v>108</v>
      </c>
      <c r="B109" t="str">
        <v>MASS BSF</v>
      </c>
      <c r="C109" t="str">
        <v>F8R-810</v>
      </c>
      <c r="D109" t="str">
        <v>F8R-810</v>
      </c>
      <c r="E109" t="str">
        <v/>
      </c>
      <c r="F109" t="str">
        <v>867806078868827</v>
      </c>
      <c r="G109" t="str">
        <v>TBD</v>
      </c>
      <c r="H109" t="str">
        <v/>
      </c>
      <c r="I109" t="str">
        <v/>
      </c>
      <c r="J109" t="str">
        <v>24/09/2026</v>
      </c>
      <c r="K109" t="str">
        <v>07:33:18</v>
      </c>
      <c r="L109">
        <v>-12.190885</v>
      </c>
      <c r="M109">
        <v>-76.93091</v>
      </c>
      <c r="N109">
        <f>HYPERLINK("https://www.google.com/maps/search/?api=1&amp;query=-12.190885,-76.93091","Jirón Hipólito Unanue, Villa María del Triunfo, Lima")</f>
      </c>
      <c r="O109" t="str">
        <v>Vehículo apagado</v>
      </c>
      <c r="P109">
        <v>1365.2</v>
      </c>
      <c r="Q109" t="str">
        <v/>
      </c>
      <c r="R109">
        <v>0</v>
      </c>
      <c r="S109">
        <v>55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85</v>
      </c>
      <c r="AB109" t="str">
        <v>24/09/2026</v>
      </c>
      <c r="AC109" t="str">
        <v>07:33:15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24/09/2026 07:33:28</v>
      </c>
      <c r="AK109" t="str">
        <v>07:33:28</v>
      </c>
      <c r="AL109" t="str">
        <v/>
      </c>
    </row>
    <row r="110">
      <c r="A110">
        <v>109</v>
      </c>
      <c r="B110" t="str">
        <v>MASS BSF</v>
      </c>
      <c r="C110" t="str">
        <v>F8R-810</v>
      </c>
      <c r="D110" t="str">
        <v>F8R-810</v>
      </c>
      <c r="E110" t="str">
        <v/>
      </c>
      <c r="F110" t="str">
        <v>867806078868827</v>
      </c>
      <c r="G110" t="str">
        <v>TBD</v>
      </c>
      <c r="H110" t="str">
        <v/>
      </c>
      <c r="I110" t="str">
        <v/>
      </c>
      <c r="J110" t="str">
        <v>24/09/2026</v>
      </c>
      <c r="K110" t="str">
        <v>07:36:35</v>
      </c>
      <c r="L110">
        <v>-12.190885</v>
      </c>
      <c r="M110">
        <v>-76.93091</v>
      </c>
      <c r="N110">
        <f>HYPERLINK("https://www.google.com/maps/search/?api=1&amp;query=-12.190885,-76.93091","Jirón Hipólito Unanue, Villa María del Triunfo, Lima")</f>
      </c>
      <c r="O110" t="str">
        <v>Inicio de ralentí</v>
      </c>
      <c r="P110">
        <v>1365.2</v>
      </c>
      <c r="Q110" t="str">
        <v/>
      </c>
      <c r="R110">
        <v>0</v>
      </c>
      <c r="S110">
        <v>55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85</v>
      </c>
      <c r="AB110" t="str">
        <v>24/09/2026</v>
      </c>
      <c r="AC110" t="str">
        <v>07:36:31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24/09/2026 07:36:42</v>
      </c>
      <c r="AK110" t="str">
        <v>07:36:42</v>
      </c>
      <c r="AL110" t="str">
        <v/>
      </c>
    </row>
    <row r="111">
      <c r="A111">
        <v>110</v>
      </c>
      <c r="B111" t="str">
        <v>MASS BSF</v>
      </c>
      <c r="C111" t="str">
        <v>F8R-810</v>
      </c>
      <c r="D111" t="str">
        <v>F8R-810</v>
      </c>
      <c r="E111" t="str">
        <v/>
      </c>
      <c r="F111" t="str">
        <v>867806078868827</v>
      </c>
      <c r="G111" t="str">
        <v>TBD</v>
      </c>
      <c r="H111" t="str">
        <v/>
      </c>
      <c r="I111" t="str">
        <v/>
      </c>
      <c r="J111" t="str">
        <v>24/09/2026</v>
      </c>
      <c r="K111" t="str">
        <v>07:38:45</v>
      </c>
      <c r="L111">
        <v>-12.190885</v>
      </c>
      <c r="M111">
        <v>-76.93091</v>
      </c>
      <c r="N111">
        <f>HYPERLINK("https://www.google.com/maps/search/?api=1&amp;query=-12.190885,-76.93091","Jirón Hipólito Unanue, Villa María del Triunfo, Lima")</f>
      </c>
      <c r="O111" t="str">
        <v>Fin de ralentí</v>
      </c>
      <c r="P111">
        <v>1365.2</v>
      </c>
      <c r="Q111" t="str">
        <v/>
      </c>
      <c r="R111">
        <v>0</v>
      </c>
      <c r="S111">
        <v>55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85</v>
      </c>
      <c r="AB111" t="str">
        <v>24/09/2026</v>
      </c>
      <c r="AC111" t="str">
        <v>07:38:41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24/09/2026 07:38:58</v>
      </c>
      <c r="AK111" t="str">
        <v>07:38:58</v>
      </c>
      <c r="AL111" t="str">
        <v/>
      </c>
    </row>
    <row r="112">
      <c r="A112">
        <v>111</v>
      </c>
      <c r="B112" t="str">
        <v>MASS BSF</v>
      </c>
      <c r="C112" t="str">
        <v>F8R-810</v>
      </c>
      <c r="D112" t="str">
        <v>F8R-810</v>
      </c>
      <c r="E112" t="str">
        <v/>
      </c>
      <c r="F112" t="str">
        <v>867806078868827</v>
      </c>
      <c r="G112" t="str">
        <v>TBD</v>
      </c>
      <c r="H112" t="str">
        <v/>
      </c>
      <c r="I112" t="str">
        <v/>
      </c>
      <c r="J112" t="str">
        <v>24/09/2026</v>
      </c>
      <c r="K112" t="str">
        <v>07:55:10</v>
      </c>
      <c r="L112">
        <v>-12.190885</v>
      </c>
      <c r="M112">
        <v>-76.93091</v>
      </c>
      <c r="N112">
        <f>HYPERLINK("https://www.google.com/maps/search/?api=1&amp;query=-12.190885,-76.93091","Jirón Hipólito Unanue, Villa María del Triunfo, Lima")</f>
      </c>
      <c r="O112" t="str">
        <v>Vehículo encendido</v>
      </c>
      <c r="P112">
        <v>1365.2</v>
      </c>
      <c r="Q112" t="str">
        <v/>
      </c>
      <c r="R112">
        <v>0</v>
      </c>
      <c r="S112">
        <v>55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88</v>
      </c>
      <c r="AB112" t="str">
        <v>24/09/2026</v>
      </c>
      <c r="AC112" t="str">
        <v>07:55:07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24/09/2026 07:55:33</v>
      </c>
      <c r="AK112" t="str">
        <v>07:55:33</v>
      </c>
      <c r="AL112" t="str">
        <v/>
      </c>
    </row>
    <row r="113">
      <c r="A113">
        <v>112</v>
      </c>
      <c r="B113" t="str">
        <v>MASS BSF</v>
      </c>
      <c r="C113" t="str">
        <v>F8R-810</v>
      </c>
      <c r="D113" t="str">
        <v>F8R-810</v>
      </c>
      <c r="E113" t="str">
        <v/>
      </c>
      <c r="F113" t="str">
        <v>867806078868827</v>
      </c>
      <c r="G113" t="str">
        <v>TBD</v>
      </c>
      <c r="H113" t="str">
        <v/>
      </c>
      <c r="I113" t="str">
        <v/>
      </c>
      <c r="J113" t="str">
        <v>24/09/2026</v>
      </c>
      <c r="K113" t="str">
        <v>07:56:05</v>
      </c>
      <c r="L113">
        <v>-12.190885</v>
      </c>
      <c r="M113">
        <v>-76.93091</v>
      </c>
      <c r="N113">
        <f>HYPERLINK("https://www.google.com/maps/search/?api=1&amp;query=-12.190885,-76.93091","Jirón Hipólito Unanue, Villa María del Triunfo, Lima")</f>
      </c>
      <c r="O113" t="str">
        <v>Se movio</v>
      </c>
      <c r="P113">
        <v>1365.2</v>
      </c>
      <c r="Q113" t="str">
        <v/>
      </c>
      <c r="R113">
        <v>0</v>
      </c>
      <c r="S113">
        <v>55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88</v>
      </c>
      <c r="AB113" t="str">
        <v>24/09/2026</v>
      </c>
      <c r="AC113" t="str">
        <v>07:56:02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24/09/2026 07:56:15</v>
      </c>
      <c r="AK113" t="str">
        <v>07:56:15</v>
      </c>
      <c r="AL113" t="str">
        <v/>
      </c>
    </row>
    <row r="114">
      <c r="A114">
        <v>113</v>
      </c>
      <c r="B114" t="str">
        <v>MASS BSF</v>
      </c>
      <c r="C114" t="str">
        <v>F8R-810</v>
      </c>
      <c r="D114" t="str">
        <v>F8R-810</v>
      </c>
      <c r="E114" t="str">
        <v/>
      </c>
      <c r="F114" t="str">
        <v>867806078868827</v>
      </c>
      <c r="G114" t="str">
        <v>TBD</v>
      </c>
      <c r="H114" t="str">
        <v/>
      </c>
      <c r="I114" t="str">
        <v/>
      </c>
      <c r="J114" t="str">
        <v>24/09/2026</v>
      </c>
      <c r="K114" t="str">
        <v>07:56:10</v>
      </c>
      <c r="L114">
        <v>-12.190885</v>
      </c>
      <c r="M114">
        <v>-76.93091</v>
      </c>
      <c r="N114">
        <f>HYPERLINK("https://www.google.com/maps/search/?api=1&amp;query=-12.190885,-76.93091","Jirón Hipólito Unanue, Villa María del Triunfo, Lima")</f>
      </c>
      <c r="O114" t="str">
        <v>Acelerado y giro brusco</v>
      </c>
      <c r="P114">
        <v>1365.2</v>
      </c>
      <c r="Q114" t="str">
        <v/>
      </c>
      <c r="R114">
        <v>0</v>
      </c>
      <c r="S114">
        <v>55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88</v>
      </c>
      <c r="AB114" t="str">
        <v>24/09/2026</v>
      </c>
      <c r="AC114" t="str">
        <v>07:56:07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24/09/2026 07:56:14</v>
      </c>
      <c r="AK114" t="str">
        <v>07:56:14</v>
      </c>
      <c r="AL114" t="str">
        <v/>
      </c>
    </row>
    <row r="115">
      <c r="A115">
        <v>114</v>
      </c>
      <c r="B115" t="str">
        <v>MASS BSF</v>
      </c>
      <c r="C115" t="str">
        <v>F8R-810</v>
      </c>
      <c r="D115" t="str">
        <v>F8R-810</v>
      </c>
      <c r="E115" t="str">
        <v/>
      </c>
      <c r="F115" t="str">
        <v>867806078868827</v>
      </c>
      <c r="G115" t="str">
        <v>TBD</v>
      </c>
      <c r="H115" t="str">
        <v/>
      </c>
      <c r="I115" t="str">
        <v/>
      </c>
      <c r="J115" t="str">
        <v>24/09/2026</v>
      </c>
      <c r="K115" t="str">
        <v>07:56:30</v>
      </c>
      <c r="L115">
        <v>-12.191009</v>
      </c>
      <c r="M115">
        <v>-76.93079</v>
      </c>
      <c r="N115">
        <f>HYPERLINK("https://www.google.com/maps/search/?api=1&amp;query=-12.191009,-76.93079","Jirón Hipólito Unanue, Villa María del Triunfo, Lima")</f>
      </c>
      <c r="O115" t="str">
        <v>Acelerado y giro brusco</v>
      </c>
      <c r="P115">
        <v>1365.2</v>
      </c>
      <c r="Q115" t="str">
        <v/>
      </c>
      <c r="R115">
        <v>7.5</v>
      </c>
      <c r="S115">
        <v>55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93</v>
      </c>
      <c r="AB115" t="str">
        <v>24/09/2026</v>
      </c>
      <c r="AC115" t="str">
        <v>07:56:27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24/09/2026 07:56:42</v>
      </c>
      <c r="AK115" t="str">
        <v>07:56:42</v>
      </c>
      <c r="AL115" t="str">
        <v/>
      </c>
    </row>
    <row r="116">
      <c r="A116">
        <v>115</v>
      </c>
      <c r="B116" t="str">
        <v>MASS BSF</v>
      </c>
      <c r="C116" t="str">
        <v>F8R-810</v>
      </c>
      <c r="D116" t="str">
        <v>F8R-810</v>
      </c>
      <c r="E116" t="str">
        <v/>
      </c>
      <c r="F116" t="str">
        <v>867806078868827</v>
      </c>
      <c r="G116" t="str">
        <v>TBD</v>
      </c>
      <c r="H116" t="str">
        <v/>
      </c>
      <c r="I116" t="str">
        <v/>
      </c>
      <c r="J116" t="str">
        <v>24/09/2026</v>
      </c>
      <c r="K116" t="str">
        <v>07:56:34</v>
      </c>
      <c r="L116">
        <v>-12.191085</v>
      </c>
      <c r="M116">
        <v>-76.93077</v>
      </c>
      <c r="N116">
        <f>HYPERLINK("https://www.google.com/maps/search/?api=1&amp;query=-12.191085,-76.93077","Jirón Hipólito Unanue, Villa María del Triunfo, Lima")</f>
      </c>
      <c r="O116" t="str">
        <v>Acelerado y giro brusco</v>
      </c>
      <c r="P116">
        <v>1365.2</v>
      </c>
      <c r="Q116" t="str">
        <v/>
      </c>
      <c r="R116">
        <v>8.5</v>
      </c>
      <c r="S116">
        <v>55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93</v>
      </c>
      <c r="AB116" t="str">
        <v>24/09/2026</v>
      </c>
      <c r="AC116" t="str">
        <v>07:56:31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24/09/2026 07:56:53</v>
      </c>
      <c r="AK116" t="str">
        <v>07:56:53</v>
      </c>
      <c r="AL116" t="str">
        <v/>
      </c>
    </row>
    <row r="117">
      <c r="A117">
        <v>116</v>
      </c>
      <c r="B117" t="str">
        <v>MASS BSF</v>
      </c>
      <c r="C117" t="str">
        <v>F8R-810</v>
      </c>
      <c r="D117" t="str">
        <v>F8R-810</v>
      </c>
      <c r="E117" t="str">
        <v/>
      </c>
      <c r="F117" t="str">
        <v>867806078868827</v>
      </c>
      <c r="G117" t="str">
        <v>TBD</v>
      </c>
      <c r="H117" t="str">
        <v/>
      </c>
      <c r="I117" t="str">
        <v/>
      </c>
      <c r="J117" t="str">
        <v>24/09/2026</v>
      </c>
      <c r="K117" t="str">
        <v>07:56:44</v>
      </c>
      <c r="L117">
        <v>-12.191198</v>
      </c>
      <c r="M117">
        <v>-76.9307</v>
      </c>
      <c r="N117">
        <f>HYPERLINK("https://www.google.com/maps/search/?api=1&amp;query=-12.191198,-76.9307","Jirón Hipólito Unanue, Villa María del Triunfo, Lima")</f>
      </c>
      <c r="O117" t="str">
        <v>Acelerado y giro brusco</v>
      </c>
      <c r="P117">
        <v>1365.3</v>
      </c>
      <c r="Q117" t="str">
        <v/>
      </c>
      <c r="R117">
        <v>3.8</v>
      </c>
      <c r="S117">
        <v>55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93</v>
      </c>
      <c r="AB117" t="str">
        <v>24/09/2026</v>
      </c>
      <c r="AC117" t="str">
        <v>07:56:40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24/09/2026 07:56:53</v>
      </c>
      <c r="AK117" t="str">
        <v>07:56:53</v>
      </c>
      <c r="AL117" t="str">
        <v/>
      </c>
    </row>
    <row r="118">
      <c r="A118">
        <v>117</v>
      </c>
      <c r="B118" t="str">
        <v>MASS BSF</v>
      </c>
      <c r="C118" t="str">
        <v>F8R-810</v>
      </c>
      <c r="D118" t="str">
        <v>F8R-810</v>
      </c>
      <c r="E118" t="str">
        <v/>
      </c>
      <c r="F118" t="str">
        <v>867806078868827</v>
      </c>
      <c r="G118" t="str">
        <v>TBD</v>
      </c>
      <c r="H118" t="str">
        <v/>
      </c>
      <c r="I118" t="str">
        <v/>
      </c>
      <c r="J118" t="str">
        <v>24/09/2026</v>
      </c>
      <c r="K118" t="str">
        <v>07:56:50</v>
      </c>
      <c r="L118">
        <v>-12.191256</v>
      </c>
      <c r="M118">
        <v>-76.930664</v>
      </c>
      <c r="N118">
        <f>HYPERLINK("https://www.google.com/maps/search/?api=1&amp;query=-12.191256,-76.930664","Jirón Inca Pachacútec, Villa María del Triunfo, Lima")</f>
      </c>
      <c r="O118" t="str">
        <v>Acelerado y giro brusco</v>
      </c>
      <c r="P118">
        <v>1365.3</v>
      </c>
      <c r="Q118" t="str">
        <v/>
      </c>
      <c r="R118">
        <v>0</v>
      </c>
      <c r="S118">
        <v>55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93</v>
      </c>
      <c r="AB118" t="str">
        <v>24/09/2026</v>
      </c>
      <c r="AC118" t="str">
        <v>07:56:47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24/09/2026 07:57:11</v>
      </c>
      <c r="AK118" t="str">
        <v>07:57:11</v>
      </c>
      <c r="AL118" t="str">
        <v/>
      </c>
    </row>
    <row r="119">
      <c r="A119">
        <v>118</v>
      </c>
      <c r="B119" t="str">
        <v>MASS BSF</v>
      </c>
      <c r="C119" t="str">
        <v>F8R-810</v>
      </c>
      <c r="D119" t="str">
        <v>F8R-810</v>
      </c>
      <c r="E119" t="str">
        <v/>
      </c>
      <c r="F119" t="str">
        <v>867806078868827</v>
      </c>
      <c r="G119" t="str">
        <v>TBD</v>
      </c>
      <c r="H119" t="str">
        <v/>
      </c>
      <c r="I119" t="str">
        <v/>
      </c>
      <c r="J119" t="str">
        <v>24/09/2026</v>
      </c>
      <c r="K119" t="str">
        <v>07:57:24</v>
      </c>
      <c r="L119">
        <v>-12.191377</v>
      </c>
      <c r="M119">
        <v>-76.93085</v>
      </c>
      <c r="N119">
        <f>HYPERLINK("https://www.google.com/maps/search/?api=1&amp;query=-12.191377,-76.93085","Jirón Inca Pachacútec, Villa María del Triunfo, Lima")</f>
      </c>
      <c r="O119" t="str">
        <v>Aceleración brusca</v>
      </c>
      <c r="P119">
        <v>1365.3</v>
      </c>
      <c r="Q119" t="str">
        <v/>
      </c>
      <c r="R119">
        <v>8.5</v>
      </c>
      <c r="S119">
        <v>55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93</v>
      </c>
      <c r="AB119" t="str">
        <v>24/09/2026</v>
      </c>
      <c r="AC119" t="str">
        <v>07:57:20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24/09/2026 07:57:29</v>
      </c>
      <c r="AK119" t="str">
        <v>07:57:29</v>
      </c>
      <c r="AL119" t="str">
        <v/>
      </c>
    </row>
    <row r="120">
      <c r="A120">
        <v>119</v>
      </c>
      <c r="B120" t="str">
        <v>MASS BSF</v>
      </c>
      <c r="C120" t="str">
        <v>F8R-810</v>
      </c>
      <c r="D120" t="str">
        <v>F8R-810</v>
      </c>
      <c r="E120" t="str">
        <v/>
      </c>
      <c r="F120" t="str">
        <v>867806078868827</v>
      </c>
      <c r="G120" t="str">
        <v>TBD</v>
      </c>
      <c r="H120" t="str">
        <v/>
      </c>
      <c r="I120" t="str">
        <v/>
      </c>
      <c r="J120" t="str">
        <v>24/09/2026</v>
      </c>
      <c r="K120" t="str">
        <v>07:57:44</v>
      </c>
      <c r="L120">
        <v>-12.191558</v>
      </c>
      <c r="M120">
        <v>-76.931274</v>
      </c>
      <c r="N120">
        <f>HYPERLINK("https://www.google.com/maps/search/?api=1&amp;query=-12.191558,-76.931274","Jirón Inca Pachacútec, Villa María del Triunfo, Lima")</f>
      </c>
      <c r="O120" t="str">
        <v>Acelerado y giro brusco</v>
      </c>
      <c r="P120">
        <v>1365.4</v>
      </c>
      <c r="Q120" t="str">
        <v/>
      </c>
      <c r="R120">
        <v>6.1</v>
      </c>
      <c r="S120">
        <v>55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93</v>
      </c>
      <c r="AB120" t="str">
        <v>24/09/2026</v>
      </c>
      <c r="AC120" t="str">
        <v>07:57:40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24/09/2026 07:58:05</v>
      </c>
      <c r="AK120" t="str">
        <v>07:58:05</v>
      </c>
      <c r="AL120" t="str">
        <v/>
      </c>
    </row>
    <row r="121">
      <c r="A121">
        <v>120</v>
      </c>
      <c r="B121" t="str">
        <v>MASS BSF</v>
      </c>
      <c r="C121" t="str">
        <v>F8R-810</v>
      </c>
      <c r="D121" t="str">
        <v>F8R-810</v>
      </c>
      <c r="E121" t="str">
        <v/>
      </c>
      <c r="F121" t="str">
        <v>867806078868827</v>
      </c>
      <c r="G121" t="str">
        <v>TBD</v>
      </c>
      <c r="H121" t="str">
        <v/>
      </c>
      <c r="I121" t="str">
        <v/>
      </c>
      <c r="J121" t="str">
        <v>24/09/2026</v>
      </c>
      <c r="K121" t="str">
        <v>07:58:30</v>
      </c>
      <c r="L121">
        <v>-12.192273</v>
      </c>
      <c r="M121">
        <v>-76.932846</v>
      </c>
      <c r="N121">
        <f>HYPERLINK("https://www.google.com/maps/search/?api=1&amp;query=-12.192273,-76.932846","Jirón Inca Pachacútec, Villa María del Triunfo, Lima")</f>
      </c>
      <c r="O121" t="str">
        <v>Acelerado y giro brusco</v>
      </c>
      <c r="P121">
        <v>1365.5</v>
      </c>
      <c r="Q121" t="str">
        <v/>
      </c>
      <c r="R121">
        <v>10.9</v>
      </c>
      <c r="S121">
        <v>55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86</v>
      </c>
      <c r="AB121" t="str">
        <v>24/09/2026</v>
      </c>
      <c r="AC121" t="str">
        <v>07:58:27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24/09/2026 07:58:39</v>
      </c>
      <c r="AK121" t="str">
        <v>07:58:39</v>
      </c>
      <c r="AL121" t="str">
        <v/>
      </c>
    </row>
    <row r="122">
      <c r="A122">
        <v>121</v>
      </c>
      <c r="B122" t="str">
        <v>MASS BSF</v>
      </c>
      <c r="C122" t="str">
        <v>F8R-810</v>
      </c>
      <c r="D122" t="str">
        <v>F8R-810</v>
      </c>
      <c r="E122" t="str">
        <v/>
      </c>
      <c r="F122" t="str">
        <v>867806078868827</v>
      </c>
      <c r="G122" t="str">
        <v>TBD</v>
      </c>
      <c r="H122" t="str">
        <v/>
      </c>
      <c r="I122" t="str">
        <v/>
      </c>
      <c r="J122" t="str">
        <v>24/09/2026</v>
      </c>
      <c r="K122" t="str">
        <v>07:58:33</v>
      </c>
      <c r="L122">
        <v>-12.192302</v>
      </c>
      <c r="M122">
        <v>-76.9329</v>
      </c>
      <c r="N122">
        <f>HYPERLINK("https://www.google.com/maps/search/?api=1&amp;query=-12.192302,-76.9329","Jirón Inca Pachacútec, Villa María del Triunfo, Lima")</f>
      </c>
      <c r="O122" t="str">
        <v>Bache</v>
      </c>
      <c r="P122">
        <v>1365.5</v>
      </c>
      <c r="Q122" t="str">
        <v/>
      </c>
      <c r="R122">
        <v>11.6</v>
      </c>
      <c r="S122">
        <v>55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86</v>
      </c>
      <c r="AB122" t="str">
        <v>24/09/2026</v>
      </c>
      <c r="AC122" t="str">
        <v>07:58:29</v>
      </c>
      <c r="AD122">
        <f>IF("ONLINE"="NOGPS","GPS Antiguo","En línea")</f>
      </c>
      <c r="AE122">
        <f>IF(0=0,"Sin atender", IF(0=1,"Atendida","Atendida y Reportada"))</f>
      </c>
      <c r="AF122" t="str">
        <v/>
      </c>
      <c r="AG122" t="str">
        <v/>
      </c>
      <c r="AH122" t="str">
        <v/>
      </c>
      <c r="AI122" t="str">
        <v/>
      </c>
      <c r="AJ122" t="str">
        <v>24/09/2026 07:58:51</v>
      </c>
      <c r="AK122" t="str">
        <v>07:58:51</v>
      </c>
      <c r="AL122" t="str">
        <v/>
      </c>
    </row>
    <row r="123">
      <c r="A123">
        <v>122</v>
      </c>
      <c r="B123" t="str">
        <v>MASS BSF</v>
      </c>
      <c r="C123" t="str">
        <v>F8R-810</v>
      </c>
      <c r="D123" t="str">
        <v>F8R-810</v>
      </c>
      <c r="E123" t="str">
        <v/>
      </c>
      <c r="F123" t="str">
        <v>867806078868827</v>
      </c>
      <c r="G123" t="str">
        <v>TBD</v>
      </c>
      <c r="H123" t="str">
        <v/>
      </c>
      <c r="I123" t="str">
        <v/>
      </c>
      <c r="J123" t="str">
        <v>24/09/2026</v>
      </c>
      <c r="K123" t="str">
        <v>07:59:07</v>
      </c>
      <c r="L123">
        <v>-12.191702</v>
      </c>
      <c r="M123">
        <v>-76.93348</v>
      </c>
      <c r="N123">
        <f>HYPERLINK("https://www.google.com/maps/search/?api=1&amp;query=-12.191702,-76.93348","Avenida 27 de Diciembre, Villa María del Triunfo, Lima")</f>
      </c>
      <c r="O123" t="str">
        <v>Acelerado y giro brusco</v>
      </c>
      <c r="P123">
        <v>1365.6</v>
      </c>
      <c r="Q123" t="str">
        <v/>
      </c>
      <c r="R123">
        <v>10</v>
      </c>
      <c r="S123">
        <v>55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86</v>
      </c>
      <c r="AB123" t="str">
        <v>24/09/2026</v>
      </c>
      <c r="AC123" t="str">
        <v>07:59:03</v>
      </c>
      <c r="AD123">
        <f>IF("ONLINE"="NOGPS","GPS Antiguo","En línea")</f>
      </c>
      <c r="AE123">
        <f>IF(0=0,"Sin atender", IF(0=1,"Atendida","Atendida y Reportada"))</f>
      </c>
      <c r="AF123" t="str">
        <v/>
      </c>
      <c r="AG123" t="str">
        <v/>
      </c>
      <c r="AH123" t="str">
        <v/>
      </c>
      <c r="AI123" t="str">
        <v/>
      </c>
      <c r="AJ123" t="str">
        <v>24/09/2026 07:59:26</v>
      </c>
      <c r="AK123" t="str">
        <v>07:59:26</v>
      </c>
      <c r="AL123" t="str">
        <v/>
      </c>
    </row>
    <row r="124">
      <c r="A124">
        <v>123</v>
      </c>
      <c r="B124" t="str">
        <v>MASS BSF</v>
      </c>
      <c r="C124" t="str">
        <v>F8R-810</v>
      </c>
      <c r="D124" t="str">
        <v>F8R-810</v>
      </c>
      <c r="E124" t="str">
        <v/>
      </c>
      <c r="F124" t="str">
        <v>867806078868827</v>
      </c>
      <c r="G124" t="str">
        <v>TBD</v>
      </c>
      <c r="H124" t="str">
        <v/>
      </c>
      <c r="I124" t="str">
        <v/>
      </c>
      <c r="J124" t="str">
        <v>24/09/2026</v>
      </c>
      <c r="K124" t="str">
        <v>07:59:13</v>
      </c>
      <c r="L124">
        <v>-12.191611</v>
      </c>
      <c r="M124">
        <v>-76.933556</v>
      </c>
      <c r="N124">
        <f>HYPERLINK("https://www.google.com/maps/search/?api=1&amp;query=-12.191611,-76.933556","Jirón Sánchez Cerro, Villa María del Triunfo, Lima")</f>
      </c>
      <c r="O124" t="str">
        <v>Acelerado y giro brusco</v>
      </c>
      <c r="P124">
        <v>1365.6</v>
      </c>
      <c r="Q124" t="str">
        <v/>
      </c>
      <c r="R124">
        <v>10.7</v>
      </c>
      <c r="S124">
        <v>55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86</v>
      </c>
      <c r="AB124" t="str">
        <v>24/09/2026</v>
      </c>
      <c r="AC124" t="str">
        <v>07:59:09</v>
      </c>
      <c r="AD124">
        <f>IF("ONLINE"="NOGPS","GPS Antiguo","En línea")</f>
      </c>
      <c r="AE124">
        <f>IF(0=0,"Sin atender", IF(0=1,"Atendida","Atendida y Reportada"))</f>
      </c>
      <c r="AF124" t="str">
        <v/>
      </c>
      <c r="AG124" t="str">
        <v/>
      </c>
      <c r="AH124" t="str">
        <v/>
      </c>
      <c r="AI124" t="str">
        <v/>
      </c>
      <c r="AJ124" t="str">
        <v>24/09/2026 07:59:26</v>
      </c>
      <c r="AK124" t="str">
        <v>07:59:26</v>
      </c>
      <c r="AL124" t="str">
        <v/>
      </c>
    </row>
    <row r="125">
      <c r="A125">
        <v>124</v>
      </c>
      <c r="B125" t="str">
        <v>MASS BSF</v>
      </c>
      <c r="C125" t="str">
        <v>F8R-810</v>
      </c>
      <c r="D125" t="str">
        <v>F8R-810</v>
      </c>
      <c r="E125" t="str">
        <v/>
      </c>
      <c r="F125" t="str">
        <v>867806078868827</v>
      </c>
      <c r="G125" t="str">
        <v>TBD</v>
      </c>
      <c r="H125" t="str">
        <v/>
      </c>
      <c r="I125" t="str">
        <v/>
      </c>
      <c r="J125" t="str">
        <v>24/09/2026</v>
      </c>
      <c r="K125" t="str">
        <v>07:59:32</v>
      </c>
      <c r="L125">
        <v>-12.190935</v>
      </c>
      <c r="M125">
        <v>-76.93408</v>
      </c>
      <c r="N125">
        <f>HYPERLINK("https://www.google.com/maps/search/?api=1&amp;query=-12.190935,-76.93408","Jirón Sánchez Cerro, Villa María del Triunfo, Lima")</f>
      </c>
      <c r="O125" t="str">
        <v>Acelerado y giro brusco</v>
      </c>
      <c r="P125">
        <v>1365.7</v>
      </c>
      <c r="Q125" t="str">
        <v/>
      </c>
      <c r="R125">
        <v>24.4</v>
      </c>
      <c r="S125">
        <v>55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86</v>
      </c>
      <c r="AB125" t="str">
        <v>24/09/2026</v>
      </c>
      <c r="AC125" t="str">
        <v>07:59:29</v>
      </c>
      <c r="AD125">
        <f>IF("ONLINE"="NOGPS","GPS Antiguo","En línea")</f>
      </c>
      <c r="AE125">
        <f>IF(0=0,"Sin atender", IF(0=1,"Atendida","Atendida y Reportada"))</f>
      </c>
      <c r="AF125" t="str">
        <v/>
      </c>
      <c r="AG125" t="str">
        <v/>
      </c>
      <c r="AH125" t="str">
        <v/>
      </c>
      <c r="AI125" t="str">
        <v/>
      </c>
      <c r="AJ125" t="str">
        <v>24/09/2026 07:59:51</v>
      </c>
      <c r="AK125" t="str">
        <v>07:59:51</v>
      </c>
      <c r="AL125" t="str">
        <v/>
      </c>
    </row>
    <row r="126">
      <c r="A126">
        <v>125</v>
      </c>
      <c r="B126" t="str">
        <v>MASS BSF</v>
      </c>
      <c r="C126" t="str">
        <v>F8R-810</v>
      </c>
      <c r="D126" t="str">
        <v>F8R-810</v>
      </c>
      <c r="E126" t="str">
        <v/>
      </c>
      <c r="F126" t="str">
        <v>867806078868827</v>
      </c>
      <c r="G126" t="str">
        <v>TBD</v>
      </c>
      <c r="H126" t="str">
        <v/>
      </c>
      <c r="I126" t="str">
        <v/>
      </c>
      <c r="J126" t="str">
        <v>24/09/2026</v>
      </c>
      <c r="K126" t="str">
        <v>07:59:50</v>
      </c>
      <c r="L126">
        <v>-12.190445</v>
      </c>
      <c r="M126">
        <v>-76.93449</v>
      </c>
      <c r="N126">
        <f>HYPERLINK("https://www.google.com/maps/search/?api=1&amp;query=-12.190445,-76.93449","Avenida Los Heraldos Negros, Villa María del Triunfo, Lima")</f>
      </c>
      <c r="O126" t="str">
        <v>Acelerado y giro brusco</v>
      </c>
      <c r="P126">
        <v>1365.8</v>
      </c>
      <c r="Q126" t="str">
        <v/>
      </c>
      <c r="R126">
        <v>15.5</v>
      </c>
      <c r="S126">
        <v>55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86</v>
      </c>
      <c r="AB126" t="str">
        <v>24/09/2026</v>
      </c>
      <c r="AC126" t="str">
        <v>07:59:46</v>
      </c>
      <c r="AD126">
        <f>IF("ONLINE"="NOGPS","GPS Antiguo","En línea")</f>
      </c>
      <c r="AE126">
        <f>IF(0=0,"Sin atender", IF(0=1,"Atendida","Atendida y Reportada"))</f>
      </c>
      <c r="AF126" t="str">
        <v/>
      </c>
      <c r="AG126" t="str">
        <v/>
      </c>
      <c r="AH126" t="str">
        <v/>
      </c>
      <c r="AI126" t="str">
        <v/>
      </c>
      <c r="AJ126" t="str">
        <v>24/09/2026 07:59:58</v>
      </c>
      <c r="AK126" t="str">
        <v>07:59:58</v>
      </c>
      <c r="AL126" t="str">
        <v/>
      </c>
    </row>
    <row r="127">
      <c r="A127">
        <v>126</v>
      </c>
      <c r="B127" t="str">
        <v>MASS BSF</v>
      </c>
      <c r="C127" t="str">
        <v>F8R-810</v>
      </c>
      <c r="D127" t="str">
        <v>F8R-810</v>
      </c>
      <c r="E127" t="str">
        <v/>
      </c>
      <c r="F127" t="str">
        <v>867806078868827</v>
      </c>
      <c r="G127" t="str">
        <v>TBD</v>
      </c>
      <c r="H127" t="str">
        <v/>
      </c>
      <c r="I127" t="str">
        <v/>
      </c>
      <c r="J127" t="str">
        <v>24/09/2026</v>
      </c>
      <c r="K127" t="str">
        <v>08:00:00</v>
      </c>
      <c r="L127">
        <v>-12.190145</v>
      </c>
      <c r="M127">
        <v>-76.93476</v>
      </c>
      <c r="N127">
        <f>HYPERLINK("https://www.google.com/maps/search/?api=1&amp;query=-12.190145,-76.93476","Avenida Los Heraldos Negros, Villa María del Triunfo, Lima")</f>
      </c>
      <c r="O127" t="str">
        <v>Acelerado y giro brusco</v>
      </c>
      <c r="P127">
        <v>1365.8</v>
      </c>
      <c r="Q127" t="str">
        <v/>
      </c>
      <c r="R127">
        <v>19.8</v>
      </c>
      <c r="S127">
        <v>55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86</v>
      </c>
      <c r="AB127" t="str">
        <v>24/09/2026</v>
      </c>
      <c r="AC127" t="str">
        <v>07:59:56</v>
      </c>
      <c r="AD127">
        <f>IF("ONLINE"="NOGPS","GPS Antiguo","En línea")</f>
      </c>
      <c r="AE127">
        <f>IF(0=0,"Sin atender", IF(0=1,"Atendida","Atendida y Reportada"))</f>
      </c>
      <c r="AF127" t="str">
        <v/>
      </c>
      <c r="AG127" t="str">
        <v/>
      </c>
      <c r="AH127" t="str">
        <v/>
      </c>
      <c r="AI127" t="str">
        <v/>
      </c>
      <c r="AJ127" t="str">
        <v>24/09/2026 08:00:23</v>
      </c>
      <c r="AK127" t="str">
        <v>08:00:23</v>
      </c>
      <c r="AL127" t="str">
        <v/>
      </c>
    </row>
    <row r="128">
      <c r="A128">
        <v>127</v>
      </c>
      <c r="B128" t="str">
        <v>MASS BSF</v>
      </c>
      <c r="C128" t="str">
        <v>F8R-810</v>
      </c>
      <c r="D128" t="str">
        <v>F8R-810</v>
      </c>
      <c r="E128" t="str">
        <v/>
      </c>
      <c r="F128" t="str">
        <v>867806078868827</v>
      </c>
      <c r="G128" t="str">
        <v>TBD</v>
      </c>
      <c r="H128" t="str">
        <v/>
      </c>
      <c r="I128" t="str">
        <v/>
      </c>
      <c r="J128" t="str">
        <v>24/09/2026</v>
      </c>
      <c r="K128" t="str">
        <v>08:00:11</v>
      </c>
      <c r="L128">
        <v>-12.189729</v>
      </c>
      <c r="M128">
        <v>-76.93506</v>
      </c>
      <c r="N128">
        <f>HYPERLINK("https://www.google.com/maps/search/?api=1&amp;query=-12.189729,-76.93506","Jirón Túpac Yupanqui, Villa María del Triunfo, Lima")</f>
      </c>
      <c r="O128" t="str">
        <v>Acelerado y giro brusco</v>
      </c>
      <c r="P128">
        <v>1365.9</v>
      </c>
      <c r="Q128" t="str">
        <v/>
      </c>
      <c r="R128">
        <v>17.2</v>
      </c>
      <c r="S128">
        <v>55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86</v>
      </c>
      <c r="AB128" t="str">
        <v>24/09/2026</v>
      </c>
      <c r="AC128" t="str">
        <v>08:00:08</v>
      </c>
      <c r="AD128">
        <f>IF("ONLINE"="NOGPS","GPS Antiguo","En línea")</f>
      </c>
      <c r="AE128">
        <f>IF(0=0,"Sin atender", IF(0=1,"Atendida","Atendida y Reportada"))</f>
      </c>
      <c r="AF128" t="str">
        <v/>
      </c>
      <c r="AG128" t="str">
        <v/>
      </c>
      <c r="AH128" t="str">
        <v/>
      </c>
      <c r="AI128" t="str">
        <v/>
      </c>
      <c r="AJ128" t="str">
        <v>24/09/2026 08:00:15</v>
      </c>
      <c r="AK128" t="str">
        <v>08:00:15</v>
      </c>
      <c r="AL128" t="str">
        <v/>
      </c>
    </row>
    <row r="129">
      <c r="A129">
        <v>128</v>
      </c>
      <c r="B129" t="str">
        <v>MASS BSF</v>
      </c>
      <c r="C129" t="str">
        <v>F8R-810</v>
      </c>
      <c r="D129" t="str">
        <v>F8R-810</v>
      </c>
      <c r="E129" t="str">
        <v/>
      </c>
      <c r="F129" t="str">
        <v>867806078868827</v>
      </c>
      <c r="G129" t="str">
        <v>TBD</v>
      </c>
      <c r="H129" t="str">
        <v/>
      </c>
      <c r="I129" t="str">
        <v/>
      </c>
      <c r="J129" t="str">
        <v>24/09/2026</v>
      </c>
      <c r="K129" t="str">
        <v>08:00:26</v>
      </c>
      <c r="L129">
        <v>-12.189192</v>
      </c>
      <c r="M129">
        <v>-76.93539</v>
      </c>
      <c r="N129">
        <f>HYPERLINK("https://www.google.com/maps/search/?api=1&amp;query=-12.189192,-76.93539","Avenida Los Heraldos Negros, Villa María del Triunfo, Lima")</f>
      </c>
      <c r="O129" t="str">
        <v>Acelerado y giro brusco</v>
      </c>
      <c r="P129">
        <v>1366</v>
      </c>
      <c r="Q129" t="str">
        <v/>
      </c>
      <c r="R129">
        <v>22</v>
      </c>
      <c r="S129">
        <v>55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86</v>
      </c>
      <c r="AB129" t="str">
        <v>24/09/2026</v>
      </c>
      <c r="AC129" t="str">
        <v>08:00:22</v>
      </c>
      <c r="AD129">
        <f>IF("ONLINE"="NOGPS","GPS Antiguo","En línea")</f>
      </c>
      <c r="AE129">
        <f>IF(0=0,"Sin atender", IF(0=1,"Atendida","Atendida y Reportada"))</f>
      </c>
      <c r="AF129" t="str">
        <v/>
      </c>
      <c r="AG129" t="str">
        <v/>
      </c>
      <c r="AH129" t="str">
        <v/>
      </c>
      <c r="AI129" t="str">
        <v/>
      </c>
      <c r="AJ129" t="str">
        <v>24/09/2026 08:00:49</v>
      </c>
      <c r="AK129" t="str">
        <v>08:00:49</v>
      </c>
      <c r="AL129" t="str">
        <v/>
      </c>
    </row>
    <row r="130">
      <c r="A130">
        <v>129</v>
      </c>
      <c r="B130" t="str">
        <v>MASS BSF</v>
      </c>
      <c r="C130" t="str">
        <v>F8R-810</v>
      </c>
      <c r="D130" t="str">
        <v>F8R-810</v>
      </c>
      <c r="E130" t="str">
        <v/>
      </c>
      <c r="F130" t="str">
        <v>867806078868827</v>
      </c>
      <c r="G130" t="str">
        <v>TBD</v>
      </c>
      <c r="H130" t="str">
        <v/>
      </c>
      <c r="I130" t="str">
        <v/>
      </c>
      <c r="J130" t="str">
        <v>24/09/2026</v>
      </c>
      <c r="K130" t="str">
        <v>08:00:30</v>
      </c>
      <c r="L130">
        <v>-12.188995</v>
      </c>
      <c r="M130">
        <v>-76.93549</v>
      </c>
      <c r="N130">
        <f>HYPERLINK("https://www.google.com/maps/search/?api=1&amp;query=-12.188995,-76.93549","Avenida Los Heraldos Negros, Villa María del Triunfo, Lima")</f>
      </c>
      <c r="O130" t="str">
        <v>Acelerado y giro brusco</v>
      </c>
      <c r="P130">
        <v>1366</v>
      </c>
      <c r="Q130" t="str">
        <v/>
      </c>
      <c r="R130">
        <v>22.9</v>
      </c>
      <c r="S130">
        <v>55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86</v>
      </c>
      <c r="AB130" t="str">
        <v>24/09/2026</v>
      </c>
      <c r="AC130" t="str">
        <v>08:00:26</v>
      </c>
      <c r="AD130">
        <f>IF("ONLINE"="NOGPS","GPS Antiguo","En línea")</f>
      </c>
      <c r="AE130">
        <f>IF(0=0,"Sin atender", IF(0=1,"Atendida","Atendida y Reportada"))</f>
      </c>
      <c r="AF130" t="str">
        <v/>
      </c>
      <c r="AG130" t="str">
        <v/>
      </c>
      <c r="AH130" t="str">
        <v/>
      </c>
      <c r="AI130" t="str">
        <v/>
      </c>
      <c r="AJ130" t="str">
        <v>24/09/2026 08:00:48</v>
      </c>
      <c r="AK130" t="str">
        <v>08:00:48</v>
      </c>
      <c r="AL130" t="str">
        <v/>
      </c>
    </row>
    <row r="131">
      <c r="A131">
        <v>130</v>
      </c>
      <c r="B131" t="str">
        <v>MASS BSF</v>
      </c>
      <c r="C131" t="str">
        <v>F8R-810</v>
      </c>
      <c r="D131" t="str">
        <v>F8R-810</v>
      </c>
      <c r="E131" t="str">
        <v/>
      </c>
      <c r="F131" t="str">
        <v>867806078868827</v>
      </c>
      <c r="G131" t="str">
        <v>TBD</v>
      </c>
      <c r="H131" t="str">
        <v/>
      </c>
      <c r="I131" t="str">
        <v/>
      </c>
      <c r="J131" t="str">
        <v>24/09/2026</v>
      </c>
      <c r="K131" t="str">
        <v>08:01:04</v>
      </c>
      <c r="L131">
        <v>-12.187023</v>
      </c>
      <c r="M131">
        <v>-76.93633</v>
      </c>
      <c r="N131">
        <f>HYPERLINK("https://www.google.com/maps/search/?api=1&amp;query=-12.187023,-76.93633","Avenida Los Heraldos Negros, Villa María del Triunfo, Lima")</f>
      </c>
      <c r="O131" t="str">
        <v>Acelerado y giro brusco</v>
      </c>
      <c r="P131">
        <v>1366.2</v>
      </c>
      <c r="Q131" t="str">
        <v/>
      </c>
      <c r="R131">
        <v>13.5</v>
      </c>
      <c r="S131">
        <v>55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86</v>
      </c>
      <c r="AB131" t="str">
        <v>24/09/2026</v>
      </c>
      <c r="AC131" t="str">
        <v>08:01:00</v>
      </c>
      <c r="AD131">
        <f>IF("ONLINE"="NOGPS","GPS Antiguo","En línea")</f>
      </c>
      <c r="AE131">
        <f>IF(0=0,"Sin atender", IF(0=1,"Atendida","Atendida y Reportada"))</f>
      </c>
      <c r="AF131" t="str">
        <v/>
      </c>
      <c r="AG131" t="str">
        <v/>
      </c>
      <c r="AH131" t="str">
        <v/>
      </c>
      <c r="AI131" t="str">
        <v/>
      </c>
      <c r="AJ131" t="str">
        <v>24/09/2026 08:01:31</v>
      </c>
      <c r="AK131" t="str">
        <v>08:01:31</v>
      </c>
      <c r="AL131" t="str">
        <v/>
      </c>
    </row>
    <row r="132">
      <c r="A132">
        <v>131</v>
      </c>
      <c r="B132" t="str">
        <v>MASS BSF</v>
      </c>
      <c r="C132" t="str">
        <v>F8R-810</v>
      </c>
      <c r="D132" t="str">
        <v>F8R-810</v>
      </c>
      <c r="E132" t="str">
        <v/>
      </c>
      <c r="F132" t="str">
        <v>867806078868827</v>
      </c>
      <c r="G132" t="str">
        <v>TBD</v>
      </c>
      <c r="H132" t="str">
        <v/>
      </c>
      <c r="I132" t="str">
        <v/>
      </c>
      <c r="J132" t="str">
        <v>24/09/2026</v>
      </c>
      <c r="K132" t="str">
        <v>08:01:12</v>
      </c>
      <c r="L132">
        <v>-12.18684</v>
      </c>
      <c r="M132">
        <v>-76.93642</v>
      </c>
      <c r="N132">
        <f>HYPERLINK("https://www.google.com/maps/search/?api=1&amp;query=-12.18684,-76.93642","Jirón Cápac Yupanqui, Villa María del Triunfo, Lima")</f>
      </c>
      <c r="O132" t="str">
        <v>Acelerado y giro brusco</v>
      </c>
      <c r="P132">
        <v>1366.3</v>
      </c>
      <c r="Q132" t="str">
        <v/>
      </c>
      <c r="R132">
        <v>16.1</v>
      </c>
      <c r="S132">
        <v>55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86</v>
      </c>
      <c r="AB132" t="str">
        <v>24/09/2026</v>
      </c>
      <c r="AC132" t="str">
        <v>08:01:08</v>
      </c>
      <c r="AD132">
        <f>IF("ONLINE"="NOGPS","GPS Antiguo","En línea")</f>
      </c>
      <c r="AE132">
        <f>IF(0=0,"Sin atender", IF(0=1,"Atendida","Atendida y Reportada"))</f>
      </c>
      <c r="AF132" t="str">
        <v/>
      </c>
      <c r="AG132" t="str">
        <v/>
      </c>
      <c r="AH132" t="str">
        <v/>
      </c>
      <c r="AI132" t="str">
        <v/>
      </c>
      <c r="AJ132" t="str">
        <v>24/09/2026 08:01:24</v>
      </c>
      <c r="AK132" t="str">
        <v>08:01:24</v>
      </c>
      <c r="AL132" t="str">
        <v/>
      </c>
    </row>
    <row r="133">
      <c r="A133">
        <v>132</v>
      </c>
      <c r="B133" t="str">
        <v>MASS BSF</v>
      </c>
      <c r="C133" t="str">
        <v>F8R-810</v>
      </c>
      <c r="D133" t="str">
        <v>F8R-810</v>
      </c>
      <c r="E133" t="str">
        <v/>
      </c>
      <c r="F133" t="str">
        <v>867806078868827</v>
      </c>
      <c r="G133" t="str">
        <v>TBD</v>
      </c>
      <c r="H133" t="str">
        <v/>
      </c>
      <c r="I133" t="str">
        <v/>
      </c>
      <c r="J133" t="str">
        <v>24/09/2026</v>
      </c>
      <c r="K133" t="str">
        <v>08:01:29</v>
      </c>
      <c r="L133">
        <v>-12.186125</v>
      </c>
      <c r="M133">
        <v>-76.93676</v>
      </c>
      <c r="N133">
        <f>HYPERLINK("https://www.google.com/maps/search/?api=1&amp;query=-12.186125,-76.93676","Avenida Los Heraldos Negros, Villa María del Triunfo, Lima")</f>
      </c>
      <c r="O133" t="str">
        <v>Acelerado y giro brusco</v>
      </c>
      <c r="P133">
        <v>1366.3</v>
      </c>
      <c r="Q133" t="str">
        <v/>
      </c>
      <c r="R133">
        <v>23.1</v>
      </c>
      <c r="S133">
        <v>55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86</v>
      </c>
      <c r="AB133" t="str">
        <v>24/09/2026</v>
      </c>
      <c r="AC133" t="str">
        <v>08:01:26</v>
      </c>
      <c r="AD133">
        <f>IF("ONLINE"="NOGPS","GPS Antiguo","En línea")</f>
      </c>
      <c r="AE133">
        <f>IF(0=0,"Sin atender", IF(0=1,"Atendida","Atendida y Reportada"))</f>
      </c>
      <c r="AF133" t="str">
        <v/>
      </c>
      <c r="AG133" t="str">
        <v/>
      </c>
      <c r="AH133" t="str">
        <v/>
      </c>
      <c r="AI133" t="str">
        <v/>
      </c>
      <c r="AJ133" t="str">
        <v>24/09/2026 08:01:45</v>
      </c>
      <c r="AK133" t="str">
        <v>08:01:45</v>
      </c>
      <c r="AL133" t="str">
        <v/>
      </c>
    </row>
    <row r="134">
      <c r="A134">
        <v>133</v>
      </c>
      <c r="B134" t="str">
        <v>MASS BSF</v>
      </c>
      <c r="C134" t="str">
        <v>F8R-810</v>
      </c>
      <c r="D134" t="str">
        <v>F8R-810</v>
      </c>
      <c r="E134" t="str">
        <v/>
      </c>
      <c r="F134" t="str">
        <v>867806078868827</v>
      </c>
      <c r="G134" t="str">
        <v>TBD</v>
      </c>
      <c r="H134" t="str">
        <v/>
      </c>
      <c r="I134" t="str">
        <v/>
      </c>
      <c r="J134" t="str">
        <v>24/09/2026</v>
      </c>
      <c r="K134" t="str">
        <v>08:01:36</v>
      </c>
      <c r="L134">
        <v>-12.185885</v>
      </c>
      <c r="M134">
        <v>-76.93688</v>
      </c>
      <c r="N134">
        <f>HYPERLINK("https://www.google.com/maps/search/?api=1&amp;query=-12.185885,-76.93688","Avenida Los Heraldos Negros, Villa María del Triunfo, Lima")</f>
      </c>
      <c r="O134" t="str">
        <v>Acelerado y giro brusco</v>
      </c>
      <c r="P134">
        <v>1366.4</v>
      </c>
      <c r="Q134" t="str">
        <v/>
      </c>
      <c r="R134">
        <v>21.4</v>
      </c>
      <c r="S134">
        <v>55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86</v>
      </c>
      <c r="AB134" t="str">
        <v>24/09/2026</v>
      </c>
      <c r="AC134" t="str">
        <v>08:01:32</v>
      </c>
      <c r="AD134">
        <f>IF("ONLINE"="NOGPS","GPS Antiguo","En línea")</f>
      </c>
      <c r="AE134">
        <f>IF(0=0,"Sin atender", IF(0=1,"Atendida","Atendida y Reportada"))</f>
      </c>
      <c r="AF134" t="str">
        <v/>
      </c>
      <c r="AG134" t="str">
        <v/>
      </c>
      <c r="AH134" t="str">
        <v/>
      </c>
      <c r="AI134" t="str">
        <v/>
      </c>
      <c r="AJ134" t="str">
        <v>24/09/2026 08:01:47</v>
      </c>
      <c r="AK134" t="str">
        <v>08:01:47</v>
      </c>
      <c r="AL134" t="str">
        <v/>
      </c>
    </row>
    <row r="135">
      <c r="A135">
        <v>134</v>
      </c>
      <c r="B135" t="str">
        <v>MASS BSF</v>
      </c>
      <c r="C135" t="str">
        <v>F8R-810</v>
      </c>
      <c r="D135" t="str">
        <v>F8R-810</v>
      </c>
      <c r="E135" t="str">
        <v/>
      </c>
      <c r="F135" t="str">
        <v>867806078868827</v>
      </c>
      <c r="G135" t="str">
        <v>TBD</v>
      </c>
      <c r="H135" t="str">
        <v/>
      </c>
      <c r="I135" t="str">
        <v/>
      </c>
      <c r="J135" t="str">
        <v>24/09/2026</v>
      </c>
      <c r="K135" t="str">
        <v>08:01:45</v>
      </c>
      <c r="L135">
        <v>-12.18542</v>
      </c>
      <c r="M135">
        <v>-76.93722</v>
      </c>
      <c r="N135">
        <f>HYPERLINK("https://www.google.com/maps/search/?api=1&amp;query=-12.18542,-76.93722","Avenida Los Heraldos Negros, Villa María del Triunfo, Lima")</f>
      </c>
      <c r="O135" t="str">
        <v>Acelerado y giro brusco</v>
      </c>
      <c r="P135">
        <v>1366.4</v>
      </c>
      <c r="Q135" t="str">
        <v/>
      </c>
      <c r="R135">
        <v>28.8</v>
      </c>
      <c r="S135">
        <v>55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86</v>
      </c>
      <c r="AB135" t="str">
        <v>24/09/2026</v>
      </c>
      <c r="AC135" t="str">
        <v>08:01:41</v>
      </c>
      <c r="AD135">
        <f>IF("ONLINE"="NOGPS","GPS Antiguo","En línea")</f>
      </c>
      <c r="AE135">
        <f>IF(0=0,"Sin atender", IF(0=1,"Atendida","Atendida y Reportada"))</f>
      </c>
      <c r="AF135" t="str">
        <v/>
      </c>
      <c r="AG135" t="str">
        <v/>
      </c>
      <c r="AH135" t="str">
        <v/>
      </c>
      <c r="AI135" t="str">
        <v/>
      </c>
      <c r="AJ135" t="str">
        <v>24/09/2026 08:01:57</v>
      </c>
      <c r="AK135" t="str">
        <v>08:01:57</v>
      </c>
      <c r="AL135" t="str">
        <v/>
      </c>
    </row>
    <row r="136">
      <c r="A136">
        <v>135</v>
      </c>
      <c r="B136" t="str">
        <v>MASS BSF</v>
      </c>
      <c r="C136" t="str">
        <v>F8R-810</v>
      </c>
      <c r="D136" t="str">
        <v>F8R-810</v>
      </c>
      <c r="E136" t="str">
        <v/>
      </c>
      <c r="F136" t="str">
        <v>867806078868827</v>
      </c>
      <c r="G136" t="str">
        <v>TBD</v>
      </c>
      <c r="H136" t="str">
        <v/>
      </c>
      <c r="I136" t="str">
        <v/>
      </c>
      <c r="J136" t="str">
        <v>24/09/2026</v>
      </c>
      <c r="K136" t="str">
        <v>08:02:01</v>
      </c>
      <c r="L136">
        <v>-12.184627</v>
      </c>
      <c r="M136">
        <v>-76.93768</v>
      </c>
      <c r="N136">
        <f>HYPERLINK("https://www.google.com/maps/search/?api=1&amp;query=-12.184627,-76.93768","Avenida Los Heraldos Negros, Villa María del Triunfo, Lima")</f>
      </c>
      <c r="O136" t="str">
        <v>Acelerado y giro brusco</v>
      </c>
      <c r="P136">
        <v>1366.5</v>
      </c>
      <c r="Q136" t="str">
        <v/>
      </c>
      <c r="R136">
        <v>17</v>
      </c>
      <c r="S136">
        <v>55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86</v>
      </c>
      <c r="AB136" t="str">
        <v>24/09/2026</v>
      </c>
      <c r="AC136" t="str">
        <v>08:01:58</v>
      </c>
      <c r="AD136">
        <f>IF("ONLINE"="NOGPS","GPS Antiguo","En línea")</f>
      </c>
      <c r="AE136">
        <f>IF(0=0,"Sin atender", IF(0=1,"Atendida","Atendida y Reportada"))</f>
      </c>
      <c r="AF136" t="str">
        <v/>
      </c>
      <c r="AG136" t="str">
        <v/>
      </c>
      <c r="AH136" t="str">
        <v/>
      </c>
      <c r="AI136" t="str">
        <v/>
      </c>
      <c r="AJ136" t="str">
        <v>24/09/2026 08:02:10</v>
      </c>
      <c r="AK136" t="str">
        <v>08:02:10</v>
      </c>
      <c r="AL136" t="str">
        <v/>
      </c>
    </row>
    <row r="137">
      <c r="A137">
        <v>136</v>
      </c>
      <c r="B137" t="str">
        <v>MASS BSF</v>
      </c>
      <c r="C137" t="str">
        <v>F8R-810</v>
      </c>
      <c r="D137" t="str">
        <v>F8R-810</v>
      </c>
      <c r="E137" t="str">
        <v/>
      </c>
      <c r="F137" t="str">
        <v>867806078868827</v>
      </c>
      <c r="G137" t="str">
        <v>TBD</v>
      </c>
      <c r="H137" t="str">
        <v/>
      </c>
      <c r="I137" t="str">
        <v/>
      </c>
      <c r="J137" t="str">
        <v>24/09/2026</v>
      </c>
      <c r="K137" t="str">
        <v>08:02:52</v>
      </c>
      <c r="L137">
        <v>-12.18212</v>
      </c>
      <c r="M137">
        <v>-76.93871</v>
      </c>
      <c r="N137">
        <f>HYPERLINK("https://www.google.com/maps/search/?api=1&amp;query=-12.18212,-76.93871","Avenida Los Heraldos Negros, Villa María del Triunfo, Lima")</f>
      </c>
      <c r="O137" t="str">
        <v>Acelerado y giro brusco</v>
      </c>
      <c r="P137">
        <v>1366.8</v>
      </c>
      <c r="Q137" t="str">
        <v/>
      </c>
      <c r="R137">
        <v>17</v>
      </c>
      <c r="S137">
        <v>55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86</v>
      </c>
      <c r="AB137" t="str">
        <v>24/09/2026</v>
      </c>
      <c r="AC137" t="str">
        <v>08:02:48</v>
      </c>
      <c r="AD137">
        <f>IF("ONLINE"="NOGPS","GPS Antiguo","En línea")</f>
      </c>
      <c r="AE137">
        <f>IF(0=0,"Sin atender", IF(0=1,"Atendida","Atendida y Reportada"))</f>
      </c>
      <c r="AF137" t="str">
        <v/>
      </c>
      <c r="AG137" t="str">
        <v/>
      </c>
      <c r="AH137" t="str">
        <v/>
      </c>
      <c r="AI137" t="str">
        <v/>
      </c>
      <c r="AJ137" t="str">
        <v>24/09/2026 08:03:01</v>
      </c>
      <c r="AK137" t="str">
        <v>08:03:01</v>
      </c>
      <c r="AL137" t="str">
        <v/>
      </c>
    </row>
    <row r="138">
      <c r="A138">
        <v>137</v>
      </c>
      <c r="B138" t="str">
        <v>MASS BSF</v>
      </c>
      <c r="C138" t="str">
        <v>F8R-810</v>
      </c>
      <c r="D138" t="str">
        <v>F8R-810</v>
      </c>
      <c r="E138" t="str">
        <v/>
      </c>
      <c r="F138" t="str">
        <v>867806078868827</v>
      </c>
      <c r="G138" t="str">
        <v>TBD</v>
      </c>
      <c r="H138" t="str">
        <v/>
      </c>
      <c r="I138" t="str">
        <v/>
      </c>
      <c r="J138" t="str">
        <v>24/09/2026</v>
      </c>
      <c r="K138" t="str">
        <v>08:03:10</v>
      </c>
      <c r="L138">
        <v>-12.181345</v>
      </c>
      <c r="M138">
        <v>-76.939064</v>
      </c>
      <c r="N138">
        <f>HYPERLINK("https://www.google.com/maps/search/?api=1&amp;query=-12.181345,-76.939064","Avenida Los Heraldos Negros, Villa María del Triunfo, Lima")</f>
      </c>
      <c r="O138" t="str">
        <v>Acelerado y giro brusco</v>
      </c>
      <c r="P138">
        <v>1366.9</v>
      </c>
      <c r="Q138" t="str">
        <v/>
      </c>
      <c r="R138">
        <v>24.4</v>
      </c>
      <c r="S138">
        <v>55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86</v>
      </c>
      <c r="AB138" t="str">
        <v>24/09/2026</v>
      </c>
      <c r="AC138" t="str">
        <v>08:03:07</v>
      </c>
      <c r="AD138">
        <f>IF("ONLINE"="NOGPS","GPS Antiguo","En línea")</f>
      </c>
      <c r="AE138">
        <f>IF(0=0,"Sin atender", IF(0=1,"Atendida","Atendida y Reportada"))</f>
      </c>
      <c r="AF138" t="str">
        <v/>
      </c>
      <c r="AG138" t="str">
        <v/>
      </c>
      <c r="AH138" t="str">
        <v/>
      </c>
      <c r="AI138" t="str">
        <v/>
      </c>
      <c r="AJ138" t="str">
        <v>24/09/2026 08:03:17</v>
      </c>
      <c r="AK138" t="str">
        <v>08:03:17</v>
      </c>
      <c r="AL138" t="str">
        <v/>
      </c>
    </row>
    <row r="139">
      <c r="A139">
        <v>138</v>
      </c>
      <c r="B139" t="str">
        <v>MASS BSF</v>
      </c>
      <c r="C139" t="str">
        <v>F8R-810</v>
      </c>
      <c r="D139" t="str">
        <v>F8R-810</v>
      </c>
      <c r="E139" t="str">
        <v/>
      </c>
      <c r="F139" t="str">
        <v>867806078868827</v>
      </c>
      <c r="G139" t="str">
        <v>TBD</v>
      </c>
      <c r="H139" t="str">
        <v/>
      </c>
      <c r="I139" t="str">
        <v/>
      </c>
      <c r="J139" t="str">
        <v>24/09/2026</v>
      </c>
      <c r="K139" t="str">
        <v>08:03:14</v>
      </c>
      <c r="L139">
        <v>-12.181145</v>
      </c>
      <c r="M139">
        <v>-76.939156</v>
      </c>
      <c r="N139">
        <f>HYPERLINK("https://www.google.com/maps/search/?api=1&amp;query=-12.181145,-76.939156","Avenida Los Heraldos Negros, Villa María del Triunfo, Lima")</f>
      </c>
      <c r="O139" t="str">
        <v>Acelerado y giro brusco</v>
      </c>
      <c r="P139">
        <v>1366.9</v>
      </c>
      <c r="Q139" t="str">
        <v/>
      </c>
      <c r="R139">
        <v>20.9</v>
      </c>
      <c r="S139">
        <v>55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85</v>
      </c>
      <c r="AB139" t="str">
        <v>24/09/2026</v>
      </c>
      <c r="AC139" t="str">
        <v>08:03:11</v>
      </c>
      <c r="AD139">
        <f>IF("ONLINE"="NOGPS","GPS Antiguo","En línea")</f>
      </c>
      <c r="AE139">
        <f>IF(0=0,"Sin atender", IF(0=1,"Atendida","Atendida y Reportada"))</f>
      </c>
      <c r="AF139" t="str">
        <v/>
      </c>
      <c r="AG139" t="str">
        <v/>
      </c>
      <c r="AH139" t="str">
        <v/>
      </c>
      <c r="AI139" t="str">
        <v/>
      </c>
      <c r="AJ139" t="str">
        <v>24/09/2026 08:03:31</v>
      </c>
      <c r="AK139" t="str">
        <v>08:03:31</v>
      </c>
      <c r="AL139" t="str">
        <v/>
      </c>
    </row>
    <row r="140">
      <c r="A140">
        <v>139</v>
      </c>
      <c r="B140" t="str">
        <v>MASS BSF</v>
      </c>
      <c r="C140" t="str">
        <v>F8R-810</v>
      </c>
      <c r="D140" t="str">
        <v>F8R-810</v>
      </c>
      <c r="E140" t="str">
        <v/>
      </c>
      <c r="F140" t="str">
        <v>867806078868827</v>
      </c>
      <c r="G140" t="str">
        <v>TBD</v>
      </c>
      <c r="H140" t="str">
        <v/>
      </c>
      <c r="I140" t="str">
        <v/>
      </c>
      <c r="J140" t="str">
        <v>24/09/2026</v>
      </c>
      <c r="K140" t="str">
        <v>08:03:36</v>
      </c>
      <c r="L140">
        <v>-12.180337</v>
      </c>
      <c r="M140">
        <v>-76.93965</v>
      </c>
      <c r="N140">
        <f>HYPERLINK("https://www.google.com/maps/search/?api=1&amp;query=-12.180337,-76.93965","Avenida Los Heraldos Negros, Villa María del Triunfo, Lima")</f>
      </c>
      <c r="O140" t="str">
        <v>Acelerado y giro brusco</v>
      </c>
      <c r="P140">
        <v>1367</v>
      </c>
      <c r="Q140" t="str">
        <v/>
      </c>
      <c r="R140">
        <v>18.5</v>
      </c>
      <c r="S140">
        <v>55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85</v>
      </c>
      <c r="AB140" t="str">
        <v>24/09/2026</v>
      </c>
      <c r="AC140" t="str">
        <v>08:03:32</v>
      </c>
      <c r="AD140">
        <f>IF("ONLINE"="NOGPS","GPS Antiguo","En línea")</f>
      </c>
      <c r="AE140">
        <f>IF(0=0,"Sin atender", IF(0=1,"Atendida","Atendida y Reportada"))</f>
      </c>
      <c r="AF140" t="str">
        <v/>
      </c>
      <c r="AG140" t="str">
        <v/>
      </c>
      <c r="AH140" t="str">
        <v/>
      </c>
      <c r="AI140" t="str">
        <v/>
      </c>
      <c r="AJ140" t="str">
        <v>24/09/2026 08:03:45</v>
      </c>
      <c r="AK140" t="str">
        <v>08:03:45</v>
      </c>
      <c r="AL140" t="str">
        <v/>
      </c>
    </row>
    <row r="141">
      <c r="A141">
        <v>140</v>
      </c>
      <c r="B141" t="str">
        <v>MASS BSF</v>
      </c>
      <c r="C141" t="str">
        <v>F8R-810</v>
      </c>
      <c r="D141" t="str">
        <v>F8R-810</v>
      </c>
      <c r="E141" t="str">
        <v/>
      </c>
      <c r="F141" t="str">
        <v>867806078868827</v>
      </c>
      <c r="G141" t="str">
        <v>TBD</v>
      </c>
      <c r="H141" t="str">
        <v/>
      </c>
      <c r="I141" t="str">
        <v/>
      </c>
      <c r="J141" t="str">
        <v>24/09/2026</v>
      </c>
      <c r="K141" t="str">
        <v>08:04:43</v>
      </c>
      <c r="L141">
        <v>-12.178806</v>
      </c>
      <c r="M141">
        <v>-76.94085</v>
      </c>
      <c r="N141">
        <f>HYPERLINK("https://www.google.com/maps/search/?api=1&amp;query=-12.178806,-76.94085","Avenida Los Heraldos Negros, Villa María del Triunfo, Lima")</f>
      </c>
      <c r="O141" t="str">
        <v>Acelerado y giro brusco</v>
      </c>
      <c r="P141">
        <v>1367.3</v>
      </c>
      <c r="Q141" t="str">
        <v/>
      </c>
      <c r="R141">
        <v>0</v>
      </c>
      <c r="S141">
        <v>55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85</v>
      </c>
      <c r="AB141" t="str">
        <v>24/09/2026</v>
      </c>
      <c r="AC141" t="str">
        <v>08:04:39</v>
      </c>
      <c r="AD141">
        <f>IF("ONLINE"="NOGPS","GPS Antiguo","En línea")</f>
      </c>
      <c r="AE141">
        <f>IF(0=0,"Sin atender", IF(0=1,"Atendida","Atendida y Reportada"))</f>
      </c>
      <c r="AF141" t="str">
        <v/>
      </c>
      <c r="AG141" t="str">
        <v/>
      </c>
      <c r="AH141" t="str">
        <v/>
      </c>
      <c r="AI141" t="str">
        <v/>
      </c>
      <c r="AJ141" t="str">
        <v>24/09/2026 08:04:59</v>
      </c>
      <c r="AK141" t="str">
        <v>08:04:59</v>
      </c>
      <c r="AL141" t="str">
        <v/>
      </c>
    </row>
    <row r="142">
      <c r="A142">
        <v>141</v>
      </c>
      <c r="B142" t="str">
        <v>MASS BSF</v>
      </c>
      <c r="C142" t="str">
        <v>F8R-810</v>
      </c>
      <c r="D142" t="str">
        <v>F8R-810</v>
      </c>
      <c r="E142" t="str">
        <v/>
      </c>
      <c r="F142" t="str">
        <v>867806078868827</v>
      </c>
      <c r="G142" t="str">
        <v>TBD</v>
      </c>
      <c r="H142" t="str">
        <v/>
      </c>
      <c r="I142" t="str">
        <v/>
      </c>
      <c r="J142" t="str">
        <v>24/09/2026</v>
      </c>
      <c r="K142" t="str">
        <v>08:04:51</v>
      </c>
      <c r="L142">
        <v>-12.178726</v>
      </c>
      <c r="M142">
        <v>-76.940926</v>
      </c>
      <c r="N142">
        <f>HYPERLINK("https://www.google.com/maps/search/?api=1&amp;query=-12.178726,-76.940926","Avenida Los Heraldos Negros, Villa María del Triunfo, Lima")</f>
      </c>
      <c r="O142" t="str">
        <v>Acelerado y giro brusco</v>
      </c>
      <c r="P142">
        <v>1367.3</v>
      </c>
      <c r="Q142" t="str">
        <v/>
      </c>
      <c r="R142">
        <v>7.5</v>
      </c>
      <c r="S142">
        <v>55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85</v>
      </c>
      <c r="AB142" t="str">
        <v>24/09/2026</v>
      </c>
      <c r="AC142" t="str">
        <v>08:04:47</v>
      </c>
      <c r="AD142">
        <f>IF("ONLINE"="NOGPS","GPS Antiguo","En línea")</f>
      </c>
      <c r="AE142">
        <f>IF(0=0,"Sin atender", IF(0=1,"Atendida","Atendida y Reportada"))</f>
      </c>
      <c r="AF142" t="str">
        <v/>
      </c>
      <c r="AG142" t="str">
        <v/>
      </c>
      <c r="AH142" t="str">
        <v/>
      </c>
      <c r="AI142" t="str">
        <v/>
      </c>
      <c r="AJ142" t="str">
        <v>24/09/2026 08:04:58</v>
      </c>
      <c r="AK142" t="str">
        <v>08:04:58</v>
      </c>
      <c r="AL142" t="str">
        <v/>
      </c>
    </row>
    <row r="143">
      <c r="A143">
        <v>142</v>
      </c>
      <c r="B143" t="str">
        <v>MASS BSF</v>
      </c>
      <c r="C143" t="str">
        <v>F8R-810</v>
      </c>
      <c r="D143" t="str">
        <v>F8R-810</v>
      </c>
      <c r="E143" t="str">
        <v/>
      </c>
      <c r="F143" t="str">
        <v>867806078868827</v>
      </c>
      <c r="G143" t="str">
        <v>TBD</v>
      </c>
      <c r="H143" t="str">
        <v/>
      </c>
      <c r="I143" t="str">
        <v/>
      </c>
      <c r="J143" t="str">
        <v>24/09/2026</v>
      </c>
      <c r="K143" t="str">
        <v>08:05:03</v>
      </c>
      <c r="L143">
        <v>-12.178493</v>
      </c>
      <c r="M143">
        <v>-76.94079</v>
      </c>
      <c r="N143">
        <f>HYPERLINK("https://www.google.com/maps/search/?api=1&amp;query=-12.178493,-76.94079","Avenida 26 de Noviembre, Villa María del Triunfo, Lima")</f>
      </c>
      <c r="O143" t="str">
        <v>Acelerado y giro brusco</v>
      </c>
      <c r="P143">
        <v>1367.3</v>
      </c>
      <c r="Q143" t="str">
        <v/>
      </c>
      <c r="R143">
        <v>16.6</v>
      </c>
      <c r="S143">
        <v>55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85</v>
      </c>
      <c r="AB143" t="str">
        <v>24/09/2026</v>
      </c>
      <c r="AC143" t="str">
        <v>08:05:00</v>
      </c>
      <c r="AD143">
        <f>IF("ONLINE"="NOGPS","GPS Antiguo","En línea")</f>
      </c>
      <c r="AE143">
        <f>IF(0=0,"Sin atender", IF(0=1,"Atendida","Atendida y Reportada"))</f>
      </c>
      <c r="AF143" t="str">
        <v/>
      </c>
      <c r="AG143" t="str">
        <v/>
      </c>
      <c r="AH143" t="str">
        <v/>
      </c>
      <c r="AI143" t="str">
        <v/>
      </c>
      <c r="AJ143" t="str">
        <v>24/09/2026 08:05:17</v>
      </c>
      <c r="AK143" t="str">
        <v>08:05:17</v>
      </c>
      <c r="AL143" t="str">
        <v/>
      </c>
    </row>
    <row r="144">
      <c r="A144">
        <v>143</v>
      </c>
      <c r="B144" t="str">
        <v>MASS BSF</v>
      </c>
      <c r="C144" t="str">
        <v>F8R-810</v>
      </c>
      <c r="D144" t="str">
        <v>F8R-810</v>
      </c>
      <c r="E144" t="str">
        <v/>
      </c>
      <c r="F144" t="str">
        <v>867806078868827</v>
      </c>
      <c r="G144" t="str">
        <v>TBD</v>
      </c>
      <c r="H144" t="str">
        <v/>
      </c>
      <c r="I144" t="str">
        <v/>
      </c>
      <c r="J144" t="str">
        <v>24/09/2026</v>
      </c>
      <c r="K144" t="str">
        <v>08:05:12</v>
      </c>
      <c r="L144">
        <v>-12.178268</v>
      </c>
      <c r="M144">
        <v>-76.94048</v>
      </c>
      <c r="N144">
        <f>HYPERLINK("https://www.google.com/maps/search/?api=1&amp;query=-12.178268,-76.94048","Avenida 26 de Noviembre, Villa María del Triunfo, Lima")</f>
      </c>
      <c r="O144" t="str">
        <v>Aceleración brusca</v>
      </c>
      <c r="P144">
        <v>1367.3</v>
      </c>
      <c r="Q144" t="str">
        <v/>
      </c>
      <c r="R144">
        <v>25.1</v>
      </c>
      <c r="S144">
        <v>55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85</v>
      </c>
      <c r="AB144" t="str">
        <v>24/09/2026</v>
      </c>
      <c r="AC144" t="str">
        <v>08:05:08</v>
      </c>
      <c r="AD144">
        <f>IF("ONLINE"="NOGPS","GPS Antiguo","En línea")</f>
      </c>
      <c r="AE144">
        <f>IF(0=0,"Sin atender", IF(0=1,"Atendida","Atendida y Reportada"))</f>
      </c>
      <c r="AF144" t="str">
        <v/>
      </c>
      <c r="AG144" t="str">
        <v/>
      </c>
      <c r="AH144" t="str">
        <v/>
      </c>
      <c r="AI144" t="str">
        <v/>
      </c>
      <c r="AJ144" t="str">
        <v>24/09/2026 08:05:14</v>
      </c>
      <c r="AK144" t="str">
        <v>08:05:14</v>
      </c>
      <c r="AL144" t="str">
        <v/>
      </c>
    </row>
    <row r="145">
      <c r="A145">
        <v>144</v>
      </c>
      <c r="B145" t="str">
        <v>MASS BSF</v>
      </c>
      <c r="C145" t="str">
        <v>F8R-810</v>
      </c>
      <c r="D145" t="str">
        <v>F8R-810</v>
      </c>
      <c r="E145" t="str">
        <v/>
      </c>
      <c r="F145" t="str">
        <v>867806078868827</v>
      </c>
      <c r="G145" t="str">
        <v>TBD</v>
      </c>
      <c r="H145" t="str">
        <v/>
      </c>
      <c r="I145" t="str">
        <v/>
      </c>
      <c r="J145" t="str">
        <v>24/09/2026</v>
      </c>
      <c r="K145" t="str">
        <v>08:05:51</v>
      </c>
      <c r="L145">
        <v>-12.177505</v>
      </c>
      <c r="M145">
        <v>-76.93945</v>
      </c>
      <c r="N145">
        <f>HYPERLINK("https://www.google.com/maps/search/?api=1&amp;query=-12.177505,-76.93945","Avenida Nicolás de Piérola, Villa María del Triunfo, Lima")</f>
      </c>
      <c r="O145" t="str">
        <v>Acelerado y giro brusco</v>
      </c>
      <c r="P145">
        <v>1367.5</v>
      </c>
      <c r="Q145" t="str">
        <v/>
      </c>
      <c r="R145">
        <v>12.7</v>
      </c>
      <c r="S145">
        <v>55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85</v>
      </c>
      <c r="AB145" t="str">
        <v>24/09/2026</v>
      </c>
      <c r="AC145" t="str">
        <v>08:05:47</v>
      </c>
      <c r="AD145">
        <f>IF("ONLINE"="NOGPS","GPS Antiguo","En línea")</f>
      </c>
      <c r="AE145">
        <f>IF(0=0,"Sin atender", IF(0=1,"Atendida","Atendida y Reportada"))</f>
      </c>
      <c r="AF145" t="str">
        <v/>
      </c>
      <c r="AG145" t="str">
        <v/>
      </c>
      <c r="AH145" t="str">
        <v/>
      </c>
      <c r="AI145" t="str">
        <v/>
      </c>
      <c r="AJ145" t="str">
        <v>24/09/2026 08:05:59</v>
      </c>
      <c r="AK145" t="str">
        <v>08:05:59</v>
      </c>
      <c r="AL145" t="str">
        <v/>
      </c>
    </row>
    <row r="146">
      <c r="A146">
        <v>145</v>
      </c>
      <c r="B146" t="str">
        <v>MASS BSF</v>
      </c>
      <c r="C146" t="str">
        <v>F8R-810</v>
      </c>
      <c r="D146" t="str">
        <v>F8R-810</v>
      </c>
      <c r="E146" t="str">
        <v/>
      </c>
      <c r="F146" t="str">
        <v>867806078868827</v>
      </c>
      <c r="G146" t="str">
        <v>TBD</v>
      </c>
      <c r="H146" t="str">
        <v/>
      </c>
      <c r="I146" t="str">
        <v/>
      </c>
      <c r="J146" t="str">
        <v>24/09/2026</v>
      </c>
      <c r="K146" t="str">
        <v>08:05:59</v>
      </c>
      <c r="L146">
        <v>-12.177352</v>
      </c>
      <c r="M146">
        <v>-76.93923</v>
      </c>
      <c r="N146">
        <f>HYPERLINK("https://www.google.com/maps/search/?api=1&amp;query=-12.177352,-76.93923","Avenida 26 de Noviembre, Villa María del Triunfo, Lima")</f>
      </c>
      <c r="O146" t="str">
        <v>Acelerado y giro brusco</v>
      </c>
      <c r="P146">
        <v>1367.5</v>
      </c>
      <c r="Q146" t="str">
        <v/>
      </c>
      <c r="R146">
        <v>15.7</v>
      </c>
      <c r="S146">
        <v>55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85</v>
      </c>
      <c r="AB146" t="str">
        <v>24/09/2026</v>
      </c>
      <c r="AC146" t="str">
        <v>08:05:56</v>
      </c>
      <c r="AD146">
        <f>IF("ONLINE"="NOGPS","GPS Antiguo","En línea")</f>
      </c>
      <c r="AE146">
        <f>IF(0=0,"Sin atender", IF(0=1,"Atendida","Atendida y Reportada"))</f>
      </c>
      <c r="AF146" t="str">
        <v/>
      </c>
      <c r="AG146" t="str">
        <v/>
      </c>
      <c r="AH146" t="str">
        <v/>
      </c>
      <c r="AI146" t="str">
        <v/>
      </c>
      <c r="AJ146" t="str">
        <v>24/09/2026 08:06:05</v>
      </c>
      <c r="AK146" t="str">
        <v>08:06:05</v>
      </c>
      <c r="AL146" t="str">
        <v/>
      </c>
    </row>
    <row r="147">
      <c r="A147">
        <v>146</v>
      </c>
      <c r="B147" t="str">
        <v>MASS BSF</v>
      </c>
      <c r="C147" t="str">
        <v>F8R-810</v>
      </c>
      <c r="D147" t="str">
        <v>F8R-810</v>
      </c>
      <c r="E147" t="str">
        <v/>
      </c>
      <c r="F147" t="str">
        <v>867806078868827</v>
      </c>
      <c r="G147" t="str">
        <v>TBD</v>
      </c>
      <c r="H147" t="str">
        <v/>
      </c>
      <c r="I147" t="str">
        <v/>
      </c>
      <c r="J147" t="str">
        <v>24/09/2026</v>
      </c>
      <c r="K147" t="str">
        <v>08:07:12</v>
      </c>
      <c r="L147">
        <v>-12.174695</v>
      </c>
      <c r="M147">
        <v>-76.93553</v>
      </c>
      <c r="N147">
        <f>HYPERLINK("https://www.google.com/maps/search/?api=1&amp;query=-12.174695,-76.93553","Avenida 26 de Noviembre, Villa María del Triunfo, Lima")</f>
      </c>
      <c r="O147" t="str">
        <v>Acelerado y giro brusco</v>
      </c>
      <c r="P147">
        <v>1368</v>
      </c>
      <c r="Q147" t="str">
        <v/>
      </c>
      <c r="R147">
        <v>16.6</v>
      </c>
      <c r="S147">
        <v>55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91</v>
      </c>
      <c r="AB147" t="str">
        <v>24/09/2026</v>
      </c>
      <c r="AC147" t="str">
        <v>08:07:08</v>
      </c>
      <c r="AD147">
        <f>IF("ONLINE"="NOGPS","GPS Antiguo","En línea")</f>
      </c>
      <c r="AE147">
        <f>IF(0=0,"Sin atender", IF(0=1,"Atendida","Atendida y Reportada"))</f>
      </c>
      <c r="AF147" t="str">
        <v/>
      </c>
      <c r="AG147" t="str">
        <v/>
      </c>
      <c r="AH147" t="str">
        <v/>
      </c>
      <c r="AI147" t="str">
        <v/>
      </c>
      <c r="AJ147" t="str">
        <v>24/09/2026 08:07:22</v>
      </c>
      <c r="AK147" t="str">
        <v>08:07:22</v>
      </c>
      <c r="AL147" t="str">
        <v/>
      </c>
    </row>
    <row r="148">
      <c r="A148">
        <v>147</v>
      </c>
      <c r="B148" t="str">
        <v>MASS BSF</v>
      </c>
      <c r="C148" t="str">
        <v>F8R-810</v>
      </c>
      <c r="D148" t="str">
        <v>F8R-810</v>
      </c>
      <c r="E148" t="str">
        <v/>
      </c>
      <c r="F148" t="str">
        <v>867806078868827</v>
      </c>
      <c r="G148" t="str">
        <v>TBD</v>
      </c>
      <c r="H148" t="str">
        <v/>
      </c>
      <c r="I148" t="str">
        <v/>
      </c>
      <c r="J148" t="str">
        <v>24/09/2026</v>
      </c>
      <c r="K148" t="str">
        <v>08:07:21</v>
      </c>
      <c r="L148">
        <v>-12.174392</v>
      </c>
      <c r="M148">
        <v>-76.93511</v>
      </c>
      <c r="N148">
        <f>HYPERLINK("https://www.google.com/maps/search/?api=1&amp;query=-12.174392,-76.93511","Avenida 26 de Noviembre, Villa María del Triunfo, Lima")</f>
      </c>
      <c r="O148" t="str">
        <v>Aceleración brusca</v>
      </c>
      <c r="P148">
        <v>1368</v>
      </c>
      <c r="Q148" t="str">
        <v/>
      </c>
      <c r="R148">
        <v>27.2</v>
      </c>
      <c r="S148">
        <v>55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91</v>
      </c>
      <c r="AB148" t="str">
        <v>24/09/2026</v>
      </c>
      <c r="AC148" t="str">
        <v>08:07:18</v>
      </c>
      <c r="AD148">
        <f>IF("ONLINE"="NOGPS","GPS Antiguo","En línea")</f>
      </c>
      <c r="AE148">
        <f>IF(0=0,"Sin atender", IF(0=1,"Atendida","Atendida y Reportada"))</f>
      </c>
      <c r="AF148" t="str">
        <v/>
      </c>
      <c r="AG148" t="str">
        <v/>
      </c>
      <c r="AH148" t="str">
        <v/>
      </c>
      <c r="AI148" t="str">
        <v/>
      </c>
      <c r="AJ148" t="str">
        <v>24/09/2026 08:07:25</v>
      </c>
      <c r="AK148" t="str">
        <v>08:07:25</v>
      </c>
      <c r="AL148" t="str">
        <v/>
      </c>
    </row>
    <row r="149">
      <c r="A149">
        <v>148</v>
      </c>
      <c r="B149" t="str">
        <v>MASS BSF</v>
      </c>
      <c r="C149" t="str">
        <v>F8R-810</v>
      </c>
      <c r="D149" t="str">
        <v>F8R-810</v>
      </c>
      <c r="E149" t="str">
        <v/>
      </c>
      <c r="F149" t="str">
        <v>867806078868827</v>
      </c>
      <c r="G149" t="str">
        <v>TBD</v>
      </c>
      <c r="H149" t="str">
        <v/>
      </c>
      <c r="I149" t="str">
        <v/>
      </c>
      <c r="J149" t="str">
        <v>24/09/2026</v>
      </c>
      <c r="K149" t="str">
        <v>08:07:40</v>
      </c>
      <c r="L149">
        <v>-12.173745</v>
      </c>
      <c r="M149">
        <v>-76.93423</v>
      </c>
      <c r="N149">
        <f>HYPERLINK("https://www.google.com/maps/search/?api=1&amp;query=-12.173745,-76.93423","Avenida 26 de Noviembre, Villa María del Triunfo, Lima")</f>
      </c>
      <c r="O149" t="str">
        <v>Aceleración brusca</v>
      </c>
      <c r="P149">
        <v>1368.2</v>
      </c>
      <c r="Q149" t="str">
        <v/>
      </c>
      <c r="R149">
        <v>22.4</v>
      </c>
      <c r="S149">
        <v>55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91</v>
      </c>
      <c r="AB149" t="str">
        <v>24/09/2026</v>
      </c>
      <c r="AC149" t="str">
        <v>08:07:37</v>
      </c>
      <c r="AD149">
        <f>IF("ONLINE"="NOGPS","GPS Antiguo","En línea")</f>
      </c>
      <c r="AE149">
        <f>IF(0=0,"Sin atender", IF(0=1,"Atendida","Atendida y Reportada"))</f>
      </c>
      <c r="AF149" t="str">
        <v/>
      </c>
      <c r="AG149" t="str">
        <v/>
      </c>
      <c r="AH149" t="str">
        <v/>
      </c>
      <c r="AI149" t="str">
        <v/>
      </c>
      <c r="AJ149" t="str">
        <v>24/09/2026 08:07:57</v>
      </c>
      <c r="AK149" t="str">
        <v>08:07:57</v>
      </c>
      <c r="AL149" t="str">
        <v/>
      </c>
    </row>
    <row r="150">
      <c r="A150">
        <v>149</v>
      </c>
      <c r="B150" t="str">
        <v>MASS BSF</v>
      </c>
      <c r="C150" t="str">
        <v>F8R-810</v>
      </c>
      <c r="D150" t="str">
        <v>F8R-810</v>
      </c>
      <c r="E150" t="str">
        <v/>
      </c>
      <c r="F150" t="str">
        <v>867806078868827</v>
      </c>
      <c r="G150" t="str">
        <v>TBD</v>
      </c>
      <c r="H150" t="str">
        <v/>
      </c>
      <c r="I150" t="str">
        <v/>
      </c>
      <c r="J150" t="str">
        <v>24/09/2026</v>
      </c>
      <c r="K150" t="str">
        <v>08:07:56</v>
      </c>
      <c r="L150">
        <v>-12.173496</v>
      </c>
      <c r="M150">
        <v>-76.93389</v>
      </c>
      <c r="N150">
        <f>HYPERLINK("https://www.google.com/maps/search/?api=1&amp;query=-12.173496,-76.93389","Avenida 26 de Noviembre, Villa María del Triunfo, Lima")</f>
      </c>
      <c r="O150" t="str">
        <v>Acelerado y giro brusco</v>
      </c>
      <c r="P150">
        <v>1368.2</v>
      </c>
      <c r="Q150" t="str">
        <v/>
      </c>
      <c r="R150">
        <v>9.4</v>
      </c>
      <c r="S150">
        <v>55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91</v>
      </c>
      <c r="AB150" t="str">
        <v>24/09/2026</v>
      </c>
      <c r="AC150" t="str">
        <v>08:07:52</v>
      </c>
      <c r="AD150">
        <f>IF("ONLINE"="NOGPS","GPS Antiguo","En línea")</f>
      </c>
      <c r="AE150">
        <f>IF(0=0,"Sin atender", IF(0=1,"Atendida","Atendida y Reportada"))</f>
      </c>
      <c r="AF150" t="str">
        <v/>
      </c>
      <c r="AG150" t="str">
        <v/>
      </c>
      <c r="AH150" t="str">
        <v/>
      </c>
      <c r="AI150" t="str">
        <v/>
      </c>
      <c r="AJ150" t="str">
        <v>24/09/2026 08:08:12</v>
      </c>
      <c r="AK150" t="str">
        <v>08:08:12</v>
      </c>
      <c r="AL150" t="str">
        <v/>
      </c>
    </row>
    <row r="151">
      <c r="A151">
        <v>150</v>
      </c>
      <c r="B151" t="str">
        <v>MASS BSF</v>
      </c>
      <c r="C151" t="str">
        <v>F8R-810</v>
      </c>
      <c r="D151" t="str">
        <v>F8R-810</v>
      </c>
      <c r="E151" t="str">
        <v/>
      </c>
      <c r="F151" t="str">
        <v>867806078868827</v>
      </c>
      <c r="G151" t="str">
        <v>TBD</v>
      </c>
      <c r="H151" t="str">
        <v/>
      </c>
      <c r="I151" t="str">
        <v/>
      </c>
      <c r="J151" t="str">
        <v>24/09/2026</v>
      </c>
      <c r="K151" t="str">
        <v>08:08:07</v>
      </c>
      <c r="L151">
        <v>-12.173257</v>
      </c>
      <c r="M151">
        <v>-76.933556</v>
      </c>
      <c r="N151">
        <f>HYPERLINK("https://www.google.com/maps/search/?api=1&amp;query=-12.173257,-76.933556","Avenida 26 de Noviembre, Villa María del Triunfo, Lima")</f>
      </c>
      <c r="O151" t="str">
        <v>Acelerado y giro brusco</v>
      </c>
      <c r="P151">
        <v>1368.3</v>
      </c>
      <c r="Q151" t="str">
        <v/>
      </c>
      <c r="R151">
        <v>17.2</v>
      </c>
      <c r="S151">
        <v>55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91</v>
      </c>
      <c r="AB151" t="str">
        <v>24/09/2026</v>
      </c>
      <c r="AC151" t="str">
        <v>08:08:04</v>
      </c>
      <c r="AD151">
        <f>IF("ONLINE"="NOGPS","GPS Antiguo","En línea")</f>
      </c>
      <c r="AE151">
        <f>IF(0=0,"Sin atender", IF(0=1,"Atendida","Atendida y Reportada"))</f>
      </c>
      <c r="AF151" t="str">
        <v/>
      </c>
      <c r="AG151" t="str">
        <v/>
      </c>
      <c r="AH151" t="str">
        <v/>
      </c>
      <c r="AI151" t="str">
        <v/>
      </c>
      <c r="AJ151" t="str">
        <v>24/09/2026 08:08:12</v>
      </c>
      <c r="AK151" t="str">
        <v>08:08:12</v>
      </c>
      <c r="AL151" t="str">
        <v/>
      </c>
    </row>
    <row r="152">
      <c r="A152">
        <v>151</v>
      </c>
      <c r="B152" t="str">
        <v>MASS BSF</v>
      </c>
      <c r="C152" t="str">
        <v>F8R-810</v>
      </c>
      <c r="D152" t="str">
        <v>F8R-810</v>
      </c>
      <c r="E152" t="str">
        <v/>
      </c>
      <c r="F152" t="str">
        <v>867806078868827</v>
      </c>
      <c r="G152" t="str">
        <v>TBD</v>
      </c>
      <c r="H152" t="str">
        <v/>
      </c>
      <c r="I152" t="str">
        <v/>
      </c>
      <c r="J152" t="str">
        <v>24/09/2026</v>
      </c>
      <c r="K152" t="str">
        <v>08:08:13</v>
      </c>
      <c r="L152">
        <v>-12.173101</v>
      </c>
      <c r="M152">
        <v>-76.933334</v>
      </c>
      <c r="N152">
        <f>HYPERLINK("https://www.google.com/maps/search/?api=1&amp;query=-12.173101,-76.933334","Avenida 26 de Noviembre, Villa María del Triunfo, Lima")</f>
      </c>
      <c r="O152" t="str">
        <v>Acelerado y giro brusco</v>
      </c>
      <c r="P152">
        <v>1368.3</v>
      </c>
      <c r="Q152" t="str">
        <v/>
      </c>
      <c r="R152">
        <v>22.2</v>
      </c>
      <c r="S152">
        <v>55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91</v>
      </c>
      <c r="AB152" t="str">
        <v>24/09/2026</v>
      </c>
      <c r="AC152" t="str">
        <v>08:08:10</v>
      </c>
      <c r="AD152">
        <f>IF("ONLINE"="NOGPS","GPS Antiguo","En línea")</f>
      </c>
      <c r="AE152">
        <f>IF(0=0,"Sin atender", IF(0=1,"Atendida","Atendida y Reportada"))</f>
      </c>
      <c r="AF152" t="str">
        <v/>
      </c>
      <c r="AG152" t="str">
        <v/>
      </c>
      <c r="AH152" t="str">
        <v/>
      </c>
      <c r="AI152" t="str">
        <v/>
      </c>
      <c r="AJ152" t="str">
        <v>24/09/2026 08:08:19</v>
      </c>
      <c r="AK152" t="str">
        <v>08:08:19</v>
      </c>
      <c r="AL152" t="str">
        <v/>
      </c>
    </row>
    <row r="153">
      <c r="A153">
        <v>152</v>
      </c>
      <c r="B153" t="str">
        <v>MASS BSF</v>
      </c>
      <c r="C153" t="str">
        <v>F8R-810</v>
      </c>
      <c r="D153" t="str">
        <v>F8R-810</v>
      </c>
      <c r="E153" t="str">
        <v/>
      </c>
      <c r="F153" t="str">
        <v>867806078868827</v>
      </c>
      <c r="G153" t="str">
        <v>TBD</v>
      </c>
      <c r="H153" t="str">
        <v/>
      </c>
      <c r="I153" t="str">
        <v/>
      </c>
      <c r="J153" t="str">
        <v>24/09/2026</v>
      </c>
      <c r="K153" t="str">
        <v>08:09:15</v>
      </c>
      <c r="L153">
        <v>-12.172602</v>
      </c>
      <c r="M153">
        <v>-76.932686</v>
      </c>
      <c r="N153">
        <f>HYPERLINK("https://www.google.com/maps/search/?api=1&amp;query=-12.172602,-76.932686","Avenida Ramiro Merino, Villa María del Triunfo, Lima")</f>
      </c>
      <c r="O153" t="str">
        <v>Aceleración brusca</v>
      </c>
      <c r="P153">
        <v>1368.4</v>
      </c>
      <c r="Q153" t="str">
        <v/>
      </c>
      <c r="R153">
        <v>15.5</v>
      </c>
      <c r="S153">
        <v>55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91</v>
      </c>
      <c r="AB153" t="str">
        <v>24/09/2026</v>
      </c>
      <c r="AC153" t="str">
        <v>08:09:12</v>
      </c>
      <c r="AD153">
        <f>IF("ONLINE"="NOGPS","GPS Antiguo","En línea")</f>
      </c>
      <c r="AE153">
        <f>IF(0=0,"Sin atender", IF(0=1,"Atendida","Atendida y Reportada"))</f>
      </c>
      <c r="AF153" t="str">
        <v/>
      </c>
      <c r="AG153" t="str">
        <v/>
      </c>
      <c r="AH153" t="str">
        <v/>
      </c>
      <c r="AI153" t="str">
        <v/>
      </c>
      <c r="AJ153" t="str">
        <v>24/09/2026 08:09:27</v>
      </c>
      <c r="AK153" t="str">
        <v>08:09:27</v>
      </c>
      <c r="AL153" t="str">
        <v/>
      </c>
    </row>
    <row r="154">
      <c r="A154">
        <v>153</v>
      </c>
      <c r="B154" t="str">
        <v>MASS BSF</v>
      </c>
      <c r="C154" t="str">
        <v>F8R-810</v>
      </c>
      <c r="D154" t="str">
        <v>F8R-810</v>
      </c>
      <c r="E154" t="str">
        <v/>
      </c>
      <c r="F154" t="str">
        <v>867806078868827</v>
      </c>
      <c r="G154" t="str">
        <v>TBD</v>
      </c>
      <c r="H154" t="str">
        <v/>
      </c>
      <c r="I154" t="str">
        <v/>
      </c>
      <c r="J154" t="str">
        <v>24/09/2026</v>
      </c>
      <c r="K154" t="str">
        <v>08:09:43</v>
      </c>
      <c r="L154">
        <v>-12.171726</v>
      </c>
      <c r="M154">
        <v>-76.93146</v>
      </c>
      <c r="N154">
        <f>HYPERLINK("https://www.google.com/maps/search/?api=1&amp;query=-12.171726,-76.93146","Avenida 26 de Noviembre, Villa María del Triunfo, Lima")</f>
      </c>
      <c r="O154" t="str">
        <v>Aceleración brusca</v>
      </c>
      <c r="P154">
        <v>1368.5</v>
      </c>
      <c r="Q154" t="str">
        <v/>
      </c>
      <c r="R154">
        <v>25.5</v>
      </c>
      <c r="S154">
        <v>55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85</v>
      </c>
      <c r="AB154" t="str">
        <v>24/09/2026</v>
      </c>
      <c r="AC154" t="str">
        <v>08:09:40</v>
      </c>
      <c r="AD154">
        <f>IF("ONLINE"="NOGPS","GPS Antiguo","En línea")</f>
      </c>
      <c r="AE154">
        <f>IF(0=0,"Sin atender", IF(0=1,"Atendida","Atendida y Reportada"))</f>
      </c>
      <c r="AF154" t="str">
        <v/>
      </c>
      <c r="AG154" t="str">
        <v/>
      </c>
      <c r="AH154" t="str">
        <v/>
      </c>
      <c r="AI154" t="str">
        <v/>
      </c>
      <c r="AJ154" t="str">
        <v>24/09/2026 08:10:08</v>
      </c>
      <c r="AK154" t="str">
        <v>08:10:08</v>
      </c>
      <c r="AL154" t="str">
        <v/>
      </c>
    </row>
    <row r="155">
      <c r="A155">
        <v>154</v>
      </c>
      <c r="B155" t="str">
        <v>MASS BSF</v>
      </c>
      <c r="C155" t="str">
        <v>F8R-810</v>
      </c>
      <c r="D155" t="str">
        <v>F8R-810</v>
      </c>
      <c r="E155" t="str">
        <v/>
      </c>
      <c r="F155" t="str">
        <v>867806078868827</v>
      </c>
      <c r="G155" t="str">
        <v>TBD</v>
      </c>
      <c r="H155" t="str">
        <v/>
      </c>
      <c r="I155" t="str">
        <v/>
      </c>
      <c r="J155" t="str">
        <v>24/09/2026</v>
      </c>
      <c r="K155" t="str">
        <v>08:10:56</v>
      </c>
      <c r="L155">
        <v>-12.168975</v>
      </c>
      <c r="M155">
        <v>-76.9277</v>
      </c>
      <c r="N155">
        <f>HYPERLINK("https://www.google.com/maps/search/?api=1&amp;query=-12.168975,-76.9277","Avenida 26 de Noviembre, Villa María del Triunfo, Lima")</f>
      </c>
      <c r="O155" t="str">
        <v>Acelerado y giro brusco</v>
      </c>
      <c r="P155">
        <v>1369</v>
      </c>
      <c r="Q155" t="str">
        <v/>
      </c>
      <c r="R155">
        <v>25</v>
      </c>
      <c r="S155">
        <v>55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85</v>
      </c>
      <c r="AB155" t="str">
        <v>24/09/2026</v>
      </c>
      <c r="AC155" t="str">
        <v>08:10:52</v>
      </c>
      <c r="AD155">
        <f>IF("ONLINE"="NOGPS","GPS Antiguo","En línea")</f>
      </c>
      <c r="AE155">
        <f>IF(0=0,"Sin atender", IF(0=1,"Atendida","Atendida y Reportada"))</f>
      </c>
      <c r="AF155" t="str">
        <v/>
      </c>
      <c r="AG155" t="str">
        <v/>
      </c>
      <c r="AH155" t="str">
        <v/>
      </c>
      <c r="AI155" t="str">
        <v/>
      </c>
      <c r="AJ155" t="str">
        <v>24/09/2026 08:11:16</v>
      </c>
      <c r="AK155" t="str">
        <v>08:11:16</v>
      </c>
      <c r="AL155" t="str">
        <v/>
      </c>
    </row>
    <row r="156">
      <c r="A156">
        <v>155</v>
      </c>
      <c r="B156" t="str">
        <v>MASS BSF</v>
      </c>
      <c r="C156" t="str">
        <v>F8R-810</v>
      </c>
      <c r="D156" t="str">
        <v>F8R-810</v>
      </c>
      <c r="E156" t="str">
        <v/>
      </c>
      <c r="F156" t="str">
        <v>867806078868827</v>
      </c>
      <c r="G156" t="str">
        <v>TBD</v>
      </c>
      <c r="H156" t="str">
        <v/>
      </c>
      <c r="I156" t="str">
        <v/>
      </c>
      <c r="J156" t="str">
        <v>24/09/2026</v>
      </c>
      <c r="K156" t="str">
        <v>08:11:21</v>
      </c>
      <c r="L156">
        <v>-12.168018</v>
      </c>
      <c r="M156">
        <v>-76.92639</v>
      </c>
      <c r="N156">
        <f>HYPERLINK("https://www.google.com/maps/search/?api=1&amp;query=-12.168018,-76.92639","Avenida 26 de Noviembre, Villa María del Triunfo, Lima")</f>
      </c>
      <c r="O156" t="str">
        <v>Acelerado y giro brusco</v>
      </c>
      <c r="P156">
        <v>1369.2</v>
      </c>
      <c r="Q156" t="str">
        <v/>
      </c>
      <c r="R156">
        <v>24</v>
      </c>
      <c r="S156">
        <v>55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85</v>
      </c>
      <c r="AB156" t="str">
        <v>24/09/2026</v>
      </c>
      <c r="AC156" t="str">
        <v>08:11:18</v>
      </c>
      <c r="AD156">
        <f>IF("ONLINE"="NOGPS","GPS Antiguo","En línea")</f>
      </c>
      <c r="AE156">
        <f>IF(0=0,"Sin atender", IF(0=1,"Atendida","Atendida y Reportada"))</f>
      </c>
      <c r="AF156" t="str">
        <v/>
      </c>
      <c r="AG156" t="str">
        <v/>
      </c>
      <c r="AH156" t="str">
        <v/>
      </c>
      <c r="AI156" t="str">
        <v/>
      </c>
      <c r="AJ156" t="str">
        <v>24/09/2026 08:11:28</v>
      </c>
      <c r="AK156" t="str">
        <v>08:11:28</v>
      </c>
      <c r="AL156" t="str">
        <v/>
      </c>
    </row>
    <row r="157">
      <c r="A157">
        <v>156</v>
      </c>
      <c r="B157" t="str">
        <v>MASS BSF</v>
      </c>
      <c r="C157" t="str">
        <v>F8R-810</v>
      </c>
      <c r="D157" t="str">
        <v>F8R-810</v>
      </c>
      <c r="E157" t="str">
        <v/>
      </c>
      <c r="F157" t="str">
        <v>867806078868827</v>
      </c>
      <c r="G157" t="str">
        <v>TBD</v>
      </c>
      <c r="H157" t="str">
        <v/>
      </c>
      <c r="I157" t="str">
        <v/>
      </c>
      <c r="J157" t="str">
        <v>24/09/2026</v>
      </c>
      <c r="K157" t="str">
        <v>08:11:51</v>
      </c>
      <c r="L157">
        <v>-12.167282</v>
      </c>
      <c r="M157">
        <v>-76.92504</v>
      </c>
      <c r="N157">
        <f>HYPERLINK("https://www.google.com/maps/search/?api=1&amp;query=-12.167282,-76.92504","Avenida 26 de Noviembre, Villa María del Triunfo, Lima")</f>
      </c>
      <c r="O157" t="str">
        <v>Acelerado y giro brusco</v>
      </c>
      <c r="P157">
        <v>1369.4</v>
      </c>
      <c r="Q157" t="str">
        <v/>
      </c>
      <c r="R157">
        <v>0</v>
      </c>
      <c r="S157">
        <v>55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85</v>
      </c>
      <c r="AB157" t="str">
        <v>24/09/2026</v>
      </c>
      <c r="AC157" t="str">
        <v>08:11:47</v>
      </c>
      <c r="AD157">
        <f>IF("ONLINE"="NOGPS","GPS Antiguo","En línea")</f>
      </c>
      <c r="AE157">
        <f>IF(0=0,"Sin atender", IF(0=1,"Atendida","Atendida y Reportada"))</f>
      </c>
      <c r="AF157" t="str">
        <v/>
      </c>
      <c r="AG157" t="str">
        <v/>
      </c>
      <c r="AH157" t="str">
        <v/>
      </c>
      <c r="AI157" t="str">
        <v/>
      </c>
      <c r="AJ157" t="str">
        <v>24/09/2026 08:12:10</v>
      </c>
      <c r="AK157" t="str">
        <v>08:12:10</v>
      </c>
      <c r="AL157" t="str">
        <v/>
      </c>
    </row>
    <row r="158">
      <c r="A158">
        <v>157</v>
      </c>
      <c r="B158" t="str">
        <v>MASS BSF</v>
      </c>
      <c r="C158" t="str">
        <v>F8R-810</v>
      </c>
      <c r="D158" t="str">
        <v>F8R-810</v>
      </c>
      <c r="E158" t="str">
        <v/>
      </c>
      <c r="F158" t="str">
        <v>867806078868827</v>
      </c>
      <c r="G158" t="str">
        <v>TBD</v>
      </c>
      <c r="H158" t="str">
        <v/>
      </c>
      <c r="I158" t="str">
        <v/>
      </c>
      <c r="J158" t="str">
        <v>24/09/2026</v>
      </c>
      <c r="K158" t="str">
        <v>08:13:23</v>
      </c>
      <c r="L158">
        <v>-12.167637</v>
      </c>
      <c r="M158">
        <v>-76.92113</v>
      </c>
      <c r="N158">
        <f>HYPERLINK("https://www.google.com/maps/search/?api=1&amp;query=-12.167637,-76.92113","Avenida 26 de Noviembre, Villa María del Triunfo, Lima")</f>
      </c>
      <c r="O158" t="str">
        <v>Acelerado y giro brusco</v>
      </c>
      <c r="P158">
        <v>1369.8</v>
      </c>
      <c r="Q158" t="str">
        <v/>
      </c>
      <c r="R158">
        <v>15.5</v>
      </c>
      <c r="S158">
        <v>55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85</v>
      </c>
      <c r="AB158" t="str">
        <v>24/09/2026</v>
      </c>
      <c r="AC158" t="str">
        <v>08:13:19</v>
      </c>
      <c r="AD158">
        <f>IF("ONLINE"="NOGPS","GPS Antiguo","En línea")</f>
      </c>
      <c r="AE158">
        <f>IF(0=0,"Sin atender", IF(0=1,"Atendida","Atendida y Reportada"))</f>
      </c>
      <c r="AF158" t="str">
        <v/>
      </c>
      <c r="AG158" t="str">
        <v/>
      </c>
      <c r="AH158" t="str">
        <v/>
      </c>
      <c r="AI158" t="str">
        <v/>
      </c>
      <c r="AJ158" t="str">
        <v>24/09/2026 08:13:45</v>
      </c>
      <c r="AK158" t="str">
        <v>08:13:45</v>
      </c>
      <c r="AL158" t="str">
        <v/>
      </c>
    </row>
    <row r="159">
      <c r="A159">
        <v>158</v>
      </c>
      <c r="B159" t="str">
        <v>MASS BSF</v>
      </c>
      <c r="C159" t="str">
        <v>F8R-810</v>
      </c>
      <c r="D159" t="str">
        <v>F8R-810</v>
      </c>
      <c r="E159" t="str">
        <v/>
      </c>
      <c r="F159" t="str">
        <v>867806078868827</v>
      </c>
      <c r="G159" t="str">
        <v>TBD</v>
      </c>
      <c r="H159" t="str">
        <v/>
      </c>
      <c r="I159" t="str">
        <v/>
      </c>
      <c r="J159" t="str">
        <v>24/09/2026</v>
      </c>
      <c r="K159" t="str">
        <v>08:13:28</v>
      </c>
      <c r="L159">
        <v>-12.167588</v>
      </c>
      <c r="M159">
        <v>-76.92092</v>
      </c>
      <c r="N159">
        <f>HYPERLINK("https://www.google.com/maps/search/?api=1&amp;query=-12.167588,-76.92092","Avenida 26 de Noviembre, Villa María del Triunfo, Lima")</f>
      </c>
      <c r="O159" t="str">
        <v>Acelerado y giro brusco</v>
      </c>
      <c r="P159">
        <v>1369.8</v>
      </c>
      <c r="Q159" t="str">
        <v/>
      </c>
      <c r="R159">
        <v>14.6</v>
      </c>
      <c r="S159">
        <v>55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85</v>
      </c>
      <c r="AB159" t="str">
        <v>24/09/2026</v>
      </c>
      <c r="AC159" t="str">
        <v>08:13:25</v>
      </c>
      <c r="AD159">
        <f>IF("ONLINE"="NOGPS","GPS Antiguo","En línea")</f>
      </c>
      <c r="AE159">
        <f>IF(0=0,"Sin atender", IF(0=1,"Atendida","Atendida y Reportada"))</f>
      </c>
      <c r="AF159" t="str">
        <v/>
      </c>
      <c r="AG159" t="str">
        <v/>
      </c>
      <c r="AH159" t="str">
        <v/>
      </c>
      <c r="AI159" t="str">
        <v/>
      </c>
      <c r="AJ159" t="str">
        <v>24/09/2026 08:13:40</v>
      </c>
      <c r="AK159" t="str">
        <v>08:13:40</v>
      </c>
      <c r="AL159" t="str">
        <v/>
      </c>
    </row>
    <row r="160">
      <c r="A160">
        <v>159</v>
      </c>
      <c r="B160" t="str">
        <v>MASS BSF</v>
      </c>
      <c r="C160" t="str">
        <v>F8R-810</v>
      </c>
      <c r="D160" t="str">
        <v>F8R-810</v>
      </c>
      <c r="E160" t="str">
        <v/>
      </c>
      <c r="F160" t="str">
        <v>867806078868827</v>
      </c>
      <c r="G160" t="str">
        <v>TBD</v>
      </c>
      <c r="H160" t="str">
        <v/>
      </c>
      <c r="I160" t="str">
        <v/>
      </c>
      <c r="J160" t="str">
        <v>24/09/2026</v>
      </c>
      <c r="K160" t="str">
        <v>08:13:36</v>
      </c>
      <c r="L160">
        <v>-12.167539</v>
      </c>
      <c r="M160">
        <v>-76.920685</v>
      </c>
      <c r="N160">
        <f>HYPERLINK("https://www.google.com/maps/search/?api=1&amp;query=-12.167539,-76.920685","Avenida 26 de Noviembre, Villa María del Triunfo, Lima")</f>
      </c>
      <c r="O160" t="str">
        <v>Bache</v>
      </c>
      <c r="P160">
        <v>1369.9</v>
      </c>
      <c r="Q160" t="str">
        <v/>
      </c>
      <c r="R160">
        <v>8.1</v>
      </c>
      <c r="S160">
        <v>55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85</v>
      </c>
      <c r="AB160" t="str">
        <v>24/09/2026</v>
      </c>
      <c r="AC160" t="str">
        <v>08:13:32</v>
      </c>
      <c r="AD160">
        <f>IF("ONLINE"="NOGPS","GPS Antiguo","En línea")</f>
      </c>
      <c r="AE160">
        <f>IF(0=0,"Sin atender", IF(0=1,"Atendida","Atendida y Reportada"))</f>
      </c>
      <c r="AF160" t="str">
        <v/>
      </c>
      <c r="AG160" t="str">
        <v/>
      </c>
      <c r="AH160" t="str">
        <v/>
      </c>
      <c r="AI160" t="str">
        <v/>
      </c>
      <c r="AJ160" t="str">
        <v>24/09/2026 08:13:40</v>
      </c>
      <c r="AK160" t="str">
        <v>08:13:40</v>
      </c>
      <c r="AL160" t="str">
        <v/>
      </c>
    </row>
    <row r="161">
      <c r="A161">
        <v>160</v>
      </c>
      <c r="B161" t="str">
        <v>MASS BSF</v>
      </c>
      <c r="C161" t="str">
        <v>F8R-810</v>
      </c>
      <c r="D161" t="str">
        <v>F8R-810</v>
      </c>
      <c r="E161" t="str">
        <v/>
      </c>
      <c r="F161" t="str">
        <v>867806078868827</v>
      </c>
      <c r="G161" t="str">
        <v>TBD</v>
      </c>
      <c r="H161" t="str">
        <v/>
      </c>
      <c r="I161" t="str">
        <v/>
      </c>
      <c r="J161" t="str">
        <v>24/09/2026</v>
      </c>
      <c r="K161" t="str">
        <v>08:13:59</v>
      </c>
      <c r="L161">
        <v>-12.167552</v>
      </c>
      <c r="M161">
        <v>-76.91997</v>
      </c>
      <c r="N161">
        <f>HYPERLINK("https://www.google.com/maps/search/?api=1&amp;query=-12.167552,-76.91997","Avenida 26 de Noviembre, Villa María del Triunfo, Lima")</f>
      </c>
      <c r="O161" t="str">
        <v>Acelerado y giro brusco</v>
      </c>
      <c r="P161">
        <v>1369.9</v>
      </c>
      <c r="Q161" t="str">
        <v/>
      </c>
      <c r="R161">
        <v>10.5</v>
      </c>
      <c r="S161">
        <v>55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85</v>
      </c>
      <c r="AB161" t="str">
        <v>24/09/2026</v>
      </c>
      <c r="AC161" t="str">
        <v>08:13:55</v>
      </c>
      <c r="AD161">
        <f>IF("ONLINE"="NOGPS","GPS Antiguo","En línea")</f>
      </c>
      <c r="AE161">
        <f>IF(0=0,"Sin atender", IF(0=1,"Atendida","Atendida y Reportada"))</f>
      </c>
      <c r="AF161" t="str">
        <v/>
      </c>
      <c r="AG161" t="str">
        <v/>
      </c>
      <c r="AH161" t="str">
        <v/>
      </c>
      <c r="AI161" t="str">
        <v/>
      </c>
      <c r="AJ161" t="str">
        <v>24/09/2026 08:14:13</v>
      </c>
      <c r="AK161" t="str">
        <v>08:14:13</v>
      </c>
      <c r="AL161" t="str">
        <v/>
      </c>
    </row>
    <row r="162">
      <c r="A162">
        <v>161</v>
      </c>
      <c r="B162" t="str">
        <v>MASS BSF</v>
      </c>
      <c r="C162" t="str">
        <v>F8R-810</v>
      </c>
      <c r="D162" t="str">
        <v>F8R-810</v>
      </c>
      <c r="E162" t="str">
        <v/>
      </c>
      <c r="F162" t="str">
        <v>867806078868827</v>
      </c>
      <c r="G162" t="str">
        <v>TBD</v>
      </c>
      <c r="H162" t="str">
        <v/>
      </c>
      <c r="I162" t="str">
        <v/>
      </c>
      <c r="J162" t="str">
        <v>24/09/2026</v>
      </c>
      <c r="K162" t="str">
        <v>08:14:09</v>
      </c>
      <c r="L162">
        <v>-12.167438</v>
      </c>
      <c r="M162">
        <v>-76.91996</v>
      </c>
      <c r="N162">
        <f>HYPERLINK("https://www.google.com/maps/search/?api=1&amp;query=-12.167438,-76.91996","Jirón San Pedro, Villa María del Triunfo, Lima")</f>
      </c>
      <c r="O162" t="str">
        <v>Acelerado y giro brusco</v>
      </c>
      <c r="P162">
        <v>1369.9</v>
      </c>
      <c r="Q162" t="str">
        <v/>
      </c>
      <c r="R162">
        <v>6.4</v>
      </c>
      <c r="S162">
        <v>55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85</v>
      </c>
      <c r="AB162" t="str">
        <v>24/09/2026</v>
      </c>
      <c r="AC162" t="str">
        <v>08:14:05</v>
      </c>
      <c r="AD162">
        <f>IF("ONLINE"="NOGPS","GPS Antiguo","En línea")</f>
      </c>
      <c r="AE162">
        <f>IF(0=0,"Sin atender", IF(0=1,"Atendida","Atendida y Reportada"))</f>
      </c>
      <c r="AF162" t="str">
        <v/>
      </c>
      <c r="AG162" t="str">
        <v/>
      </c>
      <c r="AH162" t="str">
        <v/>
      </c>
      <c r="AI162" t="str">
        <v/>
      </c>
      <c r="AJ162" t="str">
        <v>24/09/2026 08:14:16</v>
      </c>
      <c r="AK162" t="str">
        <v>08:14:16</v>
      </c>
      <c r="AL162" t="str">
        <v/>
      </c>
    </row>
    <row r="163">
      <c r="A163">
        <v>162</v>
      </c>
      <c r="B163" t="str">
        <v>MASS BSF</v>
      </c>
      <c r="C163" t="str">
        <v>F8R-810</v>
      </c>
      <c r="D163" t="str">
        <v>F8R-810</v>
      </c>
      <c r="E163" t="str">
        <v/>
      </c>
      <c r="F163" t="str">
        <v>867806078868827</v>
      </c>
      <c r="G163" t="str">
        <v>TBD</v>
      </c>
      <c r="H163" t="str">
        <v/>
      </c>
      <c r="I163" t="str">
        <v/>
      </c>
      <c r="J163" t="str">
        <v>24/09/2026</v>
      </c>
      <c r="K163" t="str">
        <v>08:14:18</v>
      </c>
      <c r="L163">
        <v>-12.167347</v>
      </c>
      <c r="M163">
        <v>-76.919945</v>
      </c>
      <c r="N163">
        <f>HYPERLINK("https://www.google.com/maps/search/?api=1&amp;query=-12.167347,-76.919945","Jirón San Pedro, Villa María del Triunfo, Lima")</f>
      </c>
      <c r="O163" t="str">
        <v>Acelerado y giro brusco</v>
      </c>
      <c r="P163">
        <v>1370</v>
      </c>
      <c r="Q163" t="str">
        <v/>
      </c>
      <c r="R163">
        <v>0.5</v>
      </c>
      <c r="S163">
        <v>55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85</v>
      </c>
      <c r="AB163" t="str">
        <v>24/09/2026</v>
      </c>
      <c r="AC163" t="str">
        <v>08:14:15</v>
      </c>
      <c r="AD163">
        <f>IF("ONLINE"="NOGPS","GPS Antiguo","En línea")</f>
      </c>
      <c r="AE163">
        <f>IF(0=0,"Sin atender", IF(0=1,"Atendida","Atendida y Reportada"))</f>
      </c>
      <c r="AF163" t="str">
        <v/>
      </c>
      <c r="AG163" t="str">
        <v/>
      </c>
      <c r="AH163" t="str">
        <v/>
      </c>
      <c r="AI163" t="str">
        <v/>
      </c>
      <c r="AJ163" t="str">
        <v>24/09/2026 08:14:24</v>
      </c>
      <c r="AK163" t="str">
        <v>08:14:24</v>
      </c>
      <c r="AL163" t="str">
        <v/>
      </c>
    </row>
    <row r="164">
      <c r="A164">
        <v>163</v>
      </c>
      <c r="B164" t="str">
        <v>MASS BSF</v>
      </c>
      <c r="C164" t="str">
        <v>F8R-810</v>
      </c>
      <c r="D164" t="str">
        <v>F8R-810</v>
      </c>
      <c r="E164" t="str">
        <v/>
      </c>
      <c r="F164" t="str">
        <v>867806078868827</v>
      </c>
      <c r="G164" t="str">
        <v>TBD</v>
      </c>
      <c r="H164" t="str">
        <v/>
      </c>
      <c r="I164" t="str">
        <v/>
      </c>
      <c r="J164" t="str">
        <v>24/09/2026</v>
      </c>
      <c r="K164" t="str">
        <v>08:14:24</v>
      </c>
      <c r="L164">
        <v>-12.167249</v>
      </c>
      <c r="M164">
        <v>-76.91993</v>
      </c>
      <c r="N164">
        <f>HYPERLINK("https://www.google.com/maps/search/?api=1&amp;query=-12.167249,-76.91993","Jirón San Pedro, Villa María del Triunfo, Lima")</f>
      </c>
      <c r="O164" t="str">
        <v>Acelerado y giro brusco</v>
      </c>
      <c r="P164">
        <v>1370</v>
      </c>
      <c r="Q164" t="str">
        <v/>
      </c>
      <c r="R164">
        <v>8.1</v>
      </c>
      <c r="S164">
        <v>55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85</v>
      </c>
      <c r="AB164" t="str">
        <v>24/09/2026</v>
      </c>
      <c r="AC164" t="str">
        <v>08:14:20</v>
      </c>
      <c r="AD164">
        <f>IF("ONLINE"="NOGPS","GPS Antiguo","En línea")</f>
      </c>
      <c r="AE164">
        <f>IF(0=0,"Sin atender", IF(0=1,"Atendida","Atendida y Reportada"))</f>
      </c>
      <c r="AF164" t="str">
        <v/>
      </c>
      <c r="AG164" t="str">
        <v/>
      </c>
      <c r="AH164" t="str">
        <v/>
      </c>
      <c r="AI164" t="str">
        <v/>
      </c>
      <c r="AJ164" t="str">
        <v>24/09/2026 08:14:34</v>
      </c>
      <c r="AK164" t="str">
        <v>08:14:34</v>
      </c>
      <c r="AL164" t="str">
        <v/>
      </c>
    </row>
    <row r="165">
      <c r="A165">
        <v>164</v>
      </c>
      <c r="B165" t="str">
        <v>MASS BSF</v>
      </c>
      <c r="C165" t="str">
        <v>F8R-810</v>
      </c>
      <c r="D165" t="str">
        <v>F8R-810</v>
      </c>
      <c r="E165" t="str">
        <v/>
      </c>
      <c r="F165" t="str">
        <v>867806078868827</v>
      </c>
      <c r="G165" t="str">
        <v>TBD</v>
      </c>
      <c r="H165" t="str">
        <v/>
      </c>
      <c r="I165" t="str">
        <v/>
      </c>
      <c r="J165" t="str">
        <v>24/09/2026</v>
      </c>
      <c r="K165" t="str">
        <v>08:14:47</v>
      </c>
      <c r="L165">
        <v>-12.167151</v>
      </c>
      <c r="M165">
        <v>-76.9199</v>
      </c>
      <c r="N165">
        <f>HYPERLINK("https://www.google.com/maps/search/?api=1&amp;query=-12.167151,-76.9199","Jirón San Pedro, Villa María del Triunfo, Lima")</f>
      </c>
      <c r="O165" t="str">
        <v>Acelerado y giro brusco</v>
      </c>
      <c r="P165">
        <v>1370</v>
      </c>
      <c r="Q165" t="str">
        <v/>
      </c>
      <c r="R165">
        <v>0</v>
      </c>
      <c r="S165">
        <v>55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85</v>
      </c>
      <c r="AB165" t="str">
        <v>24/09/2026</v>
      </c>
      <c r="AC165" t="str">
        <v>08:14:43</v>
      </c>
      <c r="AD165">
        <f>IF("ONLINE"="NOGPS","GPS Antiguo","En línea")</f>
      </c>
      <c r="AE165">
        <f>IF(0=0,"Sin atender", IF(0=1,"Atendida","Atendida y Reportada"))</f>
      </c>
      <c r="AF165" t="str">
        <v/>
      </c>
      <c r="AG165" t="str">
        <v/>
      </c>
      <c r="AH165" t="str">
        <v/>
      </c>
      <c r="AI165" t="str">
        <v/>
      </c>
      <c r="AJ165" t="str">
        <v>24/09/2026 08:15:00</v>
      </c>
      <c r="AK165" t="str">
        <v>08:15:00</v>
      </c>
      <c r="AL165" t="str">
        <v/>
      </c>
    </row>
    <row r="166">
      <c r="A166">
        <v>165</v>
      </c>
      <c r="B166" t="str">
        <v>MASS BSF</v>
      </c>
      <c r="C166" t="str">
        <v>F8R-810</v>
      </c>
      <c r="D166" t="str">
        <v>F8R-810</v>
      </c>
      <c r="E166" t="str">
        <v/>
      </c>
      <c r="F166" t="str">
        <v>867806078868827</v>
      </c>
      <c r="G166" t="str">
        <v>TBD</v>
      </c>
      <c r="H166" t="str">
        <v/>
      </c>
      <c r="I166" t="str">
        <v/>
      </c>
      <c r="J166" t="str">
        <v>24/09/2026</v>
      </c>
      <c r="K166" t="str">
        <v>08:16:19</v>
      </c>
      <c r="L166">
        <v>-12.167053</v>
      </c>
      <c r="M166">
        <v>-76.91988</v>
      </c>
      <c r="N166">
        <f>HYPERLINK("https://www.google.com/maps/search/?api=1&amp;query=-12.167053,-76.91988","Jirón San Pedro, Villa María del Triunfo, Lima")</f>
      </c>
      <c r="O166" t="str">
        <v>Acelerado y giro brusco</v>
      </c>
      <c r="P166">
        <v>1370</v>
      </c>
      <c r="Q166" t="str">
        <v/>
      </c>
      <c r="R166">
        <v>0</v>
      </c>
      <c r="S166">
        <v>55.35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86</v>
      </c>
      <c r="AB166" t="str">
        <v>24/09/2026</v>
      </c>
      <c r="AC166" t="str">
        <v>08:16:16</v>
      </c>
      <c r="AD166">
        <f>IF("ONLINE"="NOGPS","GPS Antiguo","En línea")</f>
      </c>
      <c r="AE166">
        <f>IF(0=0,"Sin atender", IF(0=1,"Atendida","Atendida y Reportada"))</f>
      </c>
      <c r="AF166" t="str">
        <v/>
      </c>
      <c r="AG166" t="str">
        <v/>
      </c>
      <c r="AH166" t="str">
        <v/>
      </c>
      <c r="AI166" t="str">
        <v/>
      </c>
      <c r="AJ166" t="str">
        <v>24/09/2026 08:16:38</v>
      </c>
      <c r="AK166" t="str">
        <v>08:16:38</v>
      </c>
      <c r="AL166" t="str">
        <v/>
      </c>
    </row>
    <row r="167">
      <c r="A167">
        <v>166</v>
      </c>
      <c r="B167" t="str">
        <v>MASS BSF</v>
      </c>
      <c r="C167" t="str">
        <v>F8R-810</v>
      </c>
      <c r="D167" t="str">
        <v>F8R-810</v>
      </c>
      <c r="E167" t="str">
        <v/>
      </c>
      <c r="F167" t="str">
        <v>867806078868827</v>
      </c>
      <c r="G167" t="str">
        <v>TBD</v>
      </c>
      <c r="H167" t="str">
        <v/>
      </c>
      <c r="I167" t="str">
        <v/>
      </c>
      <c r="J167" t="str">
        <v>24/09/2026</v>
      </c>
      <c r="K167" t="str">
        <v>08:16:33</v>
      </c>
      <c r="L167">
        <v>-12.167053</v>
      </c>
      <c r="M167">
        <v>-76.91988</v>
      </c>
      <c r="N167">
        <f>HYPERLINK("https://www.google.com/maps/search/?api=1&amp;query=-12.167053,-76.91988","Jirón San Pedro, Villa María del Triunfo, Lima")</f>
      </c>
      <c r="O167" t="str">
        <v>Vehículo apagado</v>
      </c>
      <c r="P167">
        <v>1370</v>
      </c>
      <c r="Q167" t="str">
        <v/>
      </c>
      <c r="R167">
        <v>0</v>
      </c>
      <c r="S167">
        <v>55.35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86</v>
      </c>
      <c r="AB167" t="str">
        <v>24/09/2026</v>
      </c>
      <c r="AC167" t="str">
        <v>08:16:30</v>
      </c>
      <c r="AD167">
        <f>IF("ONLINE"="NOGPS","GPS Antiguo","En línea")</f>
      </c>
      <c r="AE167">
        <f>IF(0=0,"Sin atender", IF(0=1,"Atendida","Atendida y Reportada"))</f>
      </c>
      <c r="AF167" t="str">
        <v/>
      </c>
      <c r="AG167" t="str">
        <v/>
      </c>
      <c r="AH167" t="str">
        <v/>
      </c>
      <c r="AI167" t="str">
        <v/>
      </c>
      <c r="AJ167" t="str">
        <v>24/09/2026 08:16:37</v>
      </c>
      <c r="AK167" t="str">
        <v>08:16:37</v>
      </c>
      <c r="AL167" t="str">
        <v/>
      </c>
    </row>
    <row r="168">
      <c r="A168">
        <v>167</v>
      </c>
      <c r="B168" t="str">
        <v>MASS BSF</v>
      </c>
      <c r="C168" t="str">
        <v>F8R-810</v>
      </c>
      <c r="D168" t="str">
        <v>F8R-810</v>
      </c>
      <c r="E168" t="str">
        <v/>
      </c>
      <c r="F168" t="str">
        <v>867806078868827</v>
      </c>
      <c r="G168" t="str">
        <v>TBD</v>
      </c>
      <c r="H168" t="str">
        <v/>
      </c>
      <c r="I168" t="str">
        <v/>
      </c>
      <c r="J168" t="str">
        <v>24/09/2026</v>
      </c>
      <c r="K168" t="str">
        <v>08:20:51</v>
      </c>
      <c r="L168">
        <v>-12.167053</v>
      </c>
      <c r="M168">
        <v>-76.91988</v>
      </c>
      <c r="N168">
        <f>HYPERLINK("https://www.google.com/maps/search/?api=1&amp;query=-12.167053,-76.91988","Jirón San Pedro, Villa María del Triunfo, Lima")</f>
      </c>
      <c r="O168" t="str">
        <v>Vehículo encendido</v>
      </c>
      <c r="P168">
        <v>1370</v>
      </c>
      <c r="Q168" t="str">
        <v/>
      </c>
      <c r="R168">
        <v>0</v>
      </c>
      <c r="S168">
        <v>55.35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86</v>
      </c>
      <c r="AB168" t="str">
        <v>24/09/2026</v>
      </c>
      <c r="AC168" t="str">
        <v>08:20:47</v>
      </c>
      <c r="AD168">
        <f>IF("ONLINE"="NOGPS","GPS Antiguo","En línea")</f>
      </c>
      <c r="AE168">
        <f>IF(0=0,"Sin atender", IF(0=1,"Atendida","Atendida y Reportada"))</f>
      </c>
      <c r="AF168" t="str">
        <v/>
      </c>
      <c r="AG168" t="str">
        <v/>
      </c>
      <c r="AH168" t="str">
        <v/>
      </c>
      <c r="AI168" t="str">
        <v/>
      </c>
      <c r="AJ168" t="str">
        <v>24/09/2026 08:21:13</v>
      </c>
      <c r="AK168" t="str">
        <v>08:21:13</v>
      </c>
      <c r="AL168" t="str">
        <v/>
      </c>
    </row>
    <row r="169">
      <c r="A169">
        <v>168</v>
      </c>
      <c r="B169" t="str">
        <v>MASS BSF</v>
      </c>
      <c r="C169" t="str">
        <v>F8R-810</v>
      </c>
      <c r="D169" t="str">
        <v>F8R-810</v>
      </c>
      <c r="E169" t="str">
        <v/>
      </c>
      <c r="F169" t="str">
        <v>867806078868827</v>
      </c>
      <c r="G169" t="str">
        <v>TBD</v>
      </c>
      <c r="H169" t="str">
        <v/>
      </c>
      <c r="I169" t="str">
        <v/>
      </c>
      <c r="J169" t="str">
        <v>24/09/2026</v>
      </c>
      <c r="K169" t="str">
        <v>08:21:07</v>
      </c>
      <c r="L169">
        <v>-12.167053</v>
      </c>
      <c r="M169">
        <v>-76.91988</v>
      </c>
      <c r="N169">
        <f>HYPERLINK("https://www.google.com/maps/search/?api=1&amp;query=-12.167053,-76.91988","Jirón San Pedro, Villa María del Triunfo, Lima")</f>
      </c>
      <c r="O169" t="str">
        <v>Acelerado y giro brusco</v>
      </c>
      <c r="P169">
        <v>1370</v>
      </c>
      <c r="Q169" t="str">
        <v/>
      </c>
      <c r="R169">
        <v>0</v>
      </c>
      <c r="S169">
        <v>55.35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86</v>
      </c>
      <c r="AB169" t="str">
        <v>24/09/2026</v>
      </c>
      <c r="AC169" t="str">
        <v>08:21:04</v>
      </c>
      <c r="AD169">
        <f>IF("ONLINE"="NOGPS","GPS Antiguo","En línea")</f>
      </c>
      <c r="AE169">
        <f>IF(0=0,"Sin atender", IF(0=1,"Atendida","Atendida y Reportada"))</f>
      </c>
      <c r="AF169" t="str">
        <v/>
      </c>
      <c r="AG169" t="str">
        <v/>
      </c>
      <c r="AH169" t="str">
        <v/>
      </c>
      <c r="AI169" t="str">
        <v/>
      </c>
      <c r="AJ169" t="str">
        <v>24/09/2026 08:21:16</v>
      </c>
      <c r="AK169" t="str">
        <v>08:21:16</v>
      </c>
      <c r="AL169" t="str">
        <v/>
      </c>
    </row>
    <row r="170">
      <c r="A170">
        <v>169</v>
      </c>
      <c r="B170" t="str">
        <v>MASS BSF</v>
      </c>
      <c r="C170" t="str">
        <v>F8R-810</v>
      </c>
      <c r="D170" t="str">
        <v>F8R-810</v>
      </c>
      <c r="E170" t="str">
        <v/>
      </c>
      <c r="F170" t="str">
        <v>867806078868827</v>
      </c>
      <c r="G170" t="str">
        <v>TBD</v>
      </c>
      <c r="H170" t="str">
        <v/>
      </c>
      <c r="I170" t="str">
        <v/>
      </c>
      <c r="J170" t="str">
        <v>24/09/2026</v>
      </c>
      <c r="K170" t="str">
        <v>08:21:44</v>
      </c>
      <c r="L170">
        <v>-12.167053</v>
      </c>
      <c r="M170">
        <v>-76.91988</v>
      </c>
      <c r="N170">
        <f>HYPERLINK("https://www.google.com/maps/search/?api=1&amp;query=-12.167053,-76.91988","Jirón San Pedro, Villa María del Triunfo, Lima")</f>
      </c>
      <c r="O170" t="str">
        <v>Vehículo apagado</v>
      </c>
      <c r="P170">
        <v>1370</v>
      </c>
      <c r="Q170" t="str">
        <v/>
      </c>
      <c r="R170">
        <v>0</v>
      </c>
      <c r="S170">
        <v>55.37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86</v>
      </c>
      <c r="AB170" t="str">
        <v>24/09/2026</v>
      </c>
      <c r="AC170" t="str">
        <v>08:21:40</v>
      </c>
      <c r="AD170">
        <f>IF("ONLINE"="NOGPS","GPS Antiguo","En línea")</f>
      </c>
      <c r="AE170">
        <f>IF(0=0,"Sin atender", IF(0=1,"Atendida","Atendida y Reportada"))</f>
      </c>
      <c r="AF170" t="str">
        <v/>
      </c>
      <c r="AG170" t="str">
        <v/>
      </c>
      <c r="AH170" t="str">
        <v/>
      </c>
      <c r="AI170" t="str">
        <v/>
      </c>
      <c r="AJ170" t="str">
        <v>24/09/2026 08:21:56</v>
      </c>
      <c r="AK170" t="str">
        <v>08:21:56</v>
      </c>
      <c r="AL170" t="str">
        <v/>
      </c>
    </row>
    <row r="171">
      <c r="A171">
        <v>170</v>
      </c>
      <c r="B171" t="str">
        <v>MASS BSF</v>
      </c>
      <c r="C171" t="str">
        <v>F8R-810</v>
      </c>
      <c r="D171" t="str">
        <v>F8R-810</v>
      </c>
      <c r="E171" t="str">
        <v/>
      </c>
      <c r="F171" t="str">
        <v>867806078868827</v>
      </c>
      <c r="G171" t="str">
        <v>TBD</v>
      </c>
      <c r="H171" t="str">
        <v/>
      </c>
      <c r="I171" t="str">
        <v/>
      </c>
      <c r="J171" t="str">
        <v>24/09/2026</v>
      </c>
      <c r="K171" t="str">
        <v>08:23:10</v>
      </c>
      <c r="L171">
        <v>-12.167053</v>
      </c>
      <c r="M171">
        <v>-76.91988</v>
      </c>
      <c r="N171">
        <f>HYPERLINK("https://www.google.com/maps/search/?api=1&amp;query=-12.167053,-76.91988","Jirón San Pedro, Villa María del Triunfo, Lima")</f>
      </c>
      <c r="O171" t="str">
        <v>Vehículo encendido</v>
      </c>
      <c r="P171">
        <v>1370</v>
      </c>
      <c r="Q171" t="str">
        <v/>
      </c>
      <c r="R171">
        <v>0</v>
      </c>
      <c r="S171">
        <v>55.37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86</v>
      </c>
      <c r="AB171" t="str">
        <v>24/09/2026</v>
      </c>
      <c r="AC171" t="str">
        <v>08:23:06</v>
      </c>
      <c r="AD171">
        <f>IF("ONLINE"="NOGPS","GPS Antiguo","En línea")</f>
      </c>
      <c r="AE171">
        <f>IF(0=0,"Sin atender", IF(0=1,"Atendida","Atendida y Reportada"))</f>
      </c>
      <c r="AF171" t="str">
        <v/>
      </c>
      <c r="AG171" t="str">
        <v/>
      </c>
      <c r="AH171" t="str">
        <v/>
      </c>
      <c r="AI171" t="str">
        <v/>
      </c>
      <c r="AJ171" t="str">
        <v>24/09/2026 08:23:16</v>
      </c>
      <c r="AK171" t="str">
        <v>08:23:16</v>
      </c>
      <c r="AL171" t="str">
        <v/>
      </c>
    </row>
    <row r="172">
      <c r="A172">
        <v>171</v>
      </c>
      <c r="B172" t="str">
        <v>MASS BSF</v>
      </c>
      <c r="C172" t="str">
        <v>F8R-810</v>
      </c>
      <c r="D172" t="str">
        <v>F8R-810</v>
      </c>
      <c r="E172" t="str">
        <v/>
      </c>
      <c r="F172" t="str">
        <v>867806078868827</v>
      </c>
      <c r="G172" t="str">
        <v>TBD</v>
      </c>
      <c r="H172" t="str">
        <v/>
      </c>
      <c r="I172" t="str">
        <v/>
      </c>
      <c r="J172" t="str">
        <v>24/09/2026</v>
      </c>
      <c r="K172" t="str">
        <v>08:23:49</v>
      </c>
      <c r="L172">
        <v>-12.167053</v>
      </c>
      <c r="M172">
        <v>-76.91988</v>
      </c>
      <c r="N172">
        <f>HYPERLINK("https://www.google.com/maps/search/?api=1&amp;query=-12.167053,-76.91988","Jirón San Pedro, Villa María del Triunfo, Lima")</f>
      </c>
      <c r="O172" t="str">
        <v>Acelerado y giro brusco</v>
      </c>
      <c r="P172">
        <v>1370</v>
      </c>
      <c r="Q172" t="str">
        <v/>
      </c>
      <c r="R172">
        <v>0</v>
      </c>
      <c r="S172">
        <v>55.37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86</v>
      </c>
      <c r="AB172" t="str">
        <v>24/09/2026</v>
      </c>
      <c r="AC172" t="str">
        <v>08:23:46</v>
      </c>
      <c r="AD172">
        <f>IF("ONLINE"="NOGPS","GPS Antiguo","En línea")</f>
      </c>
      <c r="AE172">
        <f>IF(0=0,"Sin atender", IF(0=1,"Atendida","Atendida y Reportada"))</f>
      </c>
      <c r="AF172" t="str">
        <v/>
      </c>
      <c r="AG172" t="str">
        <v/>
      </c>
      <c r="AH172" t="str">
        <v/>
      </c>
      <c r="AI172" t="str">
        <v/>
      </c>
      <c r="AJ172" t="str">
        <v>24/09/2026 08:24:05</v>
      </c>
      <c r="AK172" t="str">
        <v>08:24:05</v>
      </c>
      <c r="AL172" t="str">
        <v/>
      </c>
    </row>
    <row r="173">
      <c r="A173">
        <v>172</v>
      </c>
      <c r="B173" t="str">
        <v>MASS BSF</v>
      </c>
      <c r="C173" t="str">
        <v>F8R-810</v>
      </c>
      <c r="D173" t="str">
        <v>F8R-810</v>
      </c>
      <c r="E173" t="str">
        <v/>
      </c>
      <c r="F173" t="str">
        <v>867806078868827</v>
      </c>
      <c r="G173" t="str">
        <v>TBD</v>
      </c>
      <c r="H173" t="str">
        <v/>
      </c>
      <c r="I173" t="str">
        <v/>
      </c>
      <c r="J173" t="str">
        <v>24/09/2026</v>
      </c>
      <c r="K173" t="str">
        <v>08:25:20</v>
      </c>
      <c r="L173">
        <v>-12.167053</v>
      </c>
      <c r="M173">
        <v>-76.91988</v>
      </c>
      <c r="N173">
        <f>HYPERLINK("https://www.google.com/maps/search/?api=1&amp;query=-12.167053,-76.91988","Jirón San Pedro, Villa María del Triunfo, Lima")</f>
      </c>
      <c r="O173" t="str">
        <v>Acelerado y giro brusco</v>
      </c>
      <c r="P173">
        <v>1370</v>
      </c>
      <c r="Q173" t="str">
        <v/>
      </c>
      <c r="R173">
        <v>0</v>
      </c>
      <c r="S173">
        <v>55.37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90</v>
      </c>
      <c r="AB173" t="str">
        <v>24/09/2026</v>
      </c>
      <c r="AC173" t="str">
        <v>08:25:17</v>
      </c>
      <c r="AD173">
        <f>IF("ONLINE"="NOGPS","GPS Antiguo","En línea")</f>
      </c>
      <c r="AE173">
        <f>IF(0=0,"Sin atender", IF(0=1,"Atendida","Atendida y Reportada"))</f>
      </c>
      <c r="AF173" t="str">
        <v/>
      </c>
      <c r="AG173" t="str">
        <v/>
      </c>
      <c r="AH173" t="str">
        <v/>
      </c>
      <c r="AI173" t="str">
        <v/>
      </c>
      <c r="AJ173" t="str">
        <v>24/09/2026 08:25:41</v>
      </c>
      <c r="AK173" t="str">
        <v>08:25:41</v>
      </c>
      <c r="AL173" t="str">
        <v/>
      </c>
    </row>
    <row r="174">
      <c r="A174">
        <v>173</v>
      </c>
      <c r="B174" t="str">
        <v>MASS BSF</v>
      </c>
      <c r="C174" t="str">
        <v>F8R-810</v>
      </c>
      <c r="D174" t="str">
        <v>F8R-810</v>
      </c>
      <c r="E174" t="str">
        <v/>
      </c>
      <c r="F174" t="str">
        <v>867806078868827</v>
      </c>
      <c r="G174" t="str">
        <v>TBD</v>
      </c>
      <c r="H174" t="str">
        <v/>
      </c>
      <c r="I174" t="str">
        <v/>
      </c>
      <c r="J174" t="str">
        <v>24/09/2026</v>
      </c>
      <c r="K174" t="str">
        <v>08:25:27</v>
      </c>
      <c r="L174">
        <v>-12.167053</v>
      </c>
      <c r="M174">
        <v>-76.91988</v>
      </c>
      <c r="N174">
        <f>HYPERLINK("https://www.google.com/maps/search/?api=1&amp;query=-12.167053,-76.91988","Jirón San Pedro, Villa María del Triunfo, Lima")</f>
      </c>
      <c r="O174" t="str">
        <v>Acelerado y giro brusco</v>
      </c>
      <c r="P174">
        <v>1370</v>
      </c>
      <c r="Q174" t="str">
        <v/>
      </c>
      <c r="R174">
        <v>0</v>
      </c>
      <c r="S174">
        <v>55.37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90</v>
      </c>
      <c r="AB174" t="str">
        <v>24/09/2026</v>
      </c>
      <c r="AC174" t="str">
        <v>08:25:23</v>
      </c>
      <c r="AD174">
        <f>IF("ONLINE"="NOGPS","GPS Antiguo","En línea")</f>
      </c>
      <c r="AE174">
        <f>IF(0=0,"Sin atender", IF(0=1,"Atendida","Atendida y Reportada"))</f>
      </c>
      <c r="AF174" t="str">
        <v/>
      </c>
      <c r="AG174" t="str">
        <v/>
      </c>
      <c r="AH174" t="str">
        <v/>
      </c>
      <c r="AI174" t="str">
        <v/>
      </c>
      <c r="AJ174" t="str">
        <v>24/09/2026 08:25:46</v>
      </c>
      <c r="AK174" t="str">
        <v>08:25:46</v>
      </c>
      <c r="AL174" t="str">
        <v/>
      </c>
    </row>
    <row r="175">
      <c r="A175">
        <v>174</v>
      </c>
      <c r="B175" t="str">
        <v>MASS BSF</v>
      </c>
      <c r="C175" t="str">
        <v>F8R-810</v>
      </c>
      <c r="D175" t="str">
        <v>F8R-810</v>
      </c>
      <c r="E175" t="str">
        <v/>
      </c>
      <c r="F175" t="str">
        <v>867806078868827</v>
      </c>
      <c r="G175" t="str">
        <v>TBD</v>
      </c>
      <c r="H175" t="str">
        <v/>
      </c>
      <c r="I175" t="str">
        <v/>
      </c>
      <c r="J175" t="str">
        <v>24/09/2026</v>
      </c>
      <c r="K175" t="str">
        <v>08:25:39</v>
      </c>
      <c r="L175">
        <v>-12.167053</v>
      </c>
      <c r="M175">
        <v>-76.91988</v>
      </c>
      <c r="N175">
        <f>HYPERLINK("https://www.google.com/maps/search/?api=1&amp;query=-12.167053,-76.91988","Jirón San Pedro, Villa María del Triunfo, Lima")</f>
      </c>
      <c r="O175" t="str">
        <v>Vehículo apagado</v>
      </c>
      <c r="P175">
        <v>1370</v>
      </c>
      <c r="Q175" t="str">
        <v/>
      </c>
      <c r="R175">
        <v>0</v>
      </c>
      <c r="S175">
        <v>55.4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90</v>
      </c>
      <c r="AB175" t="str">
        <v>24/09/2026</v>
      </c>
      <c r="AC175" t="str">
        <v>08:25:35</v>
      </c>
      <c r="AD175">
        <f>IF("ONLINE"="NOGPS","GPS Antiguo","En línea")</f>
      </c>
      <c r="AE175">
        <f>IF(0=0,"Sin atender", IF(0=1,"Atendida","Atendida y Reportada"))</f>
      </c>
      <c r="AF175" t="str">
        <v/>
      </c>
      <c r="AG175" t="str">
        <v/>
      </c>
      <c r="AH175" t="str">
        <v/>
      </c>
      <c r="AI175" t="str">
        <v/>
      </c>
      <c r="AJ175" t="str">
        <v>24/09/2026 08:25:52</v>
      </c>
      <c r="AK175" t="str">
        <v>08:25:52</v>
      </c>
      <c r="AL175" t="str">
        <v/>
      </c>
    </row>
    <row r="176">
      <c r="A176">
        <v>175</v>
      </c>
      <c r="B176" t="str">
        <v>MASS BSF</v>
      </c>
      <c r="C176" t="str">
        <v>F8R-810</v>
      </c>
      <c r="D176" t="str">
        <v>F8R-810</v>
      </c>
      <c r="E176" t="str">
        <v/>
      </c>
      <c r="F176" t="str">
        <v>867806078868827</v>
      </c>
      <c r="G176" t="str">
        <v>TBD</v>
      </c>
      <c r="H176" t="str">
        <v/>
      </c>
      <c r="I176" t="str">
        <v/>
      </c>
      <c r="J176" t="str">
        <v>24/09/2026</v>
      </c>
      <c r="K176" t="str">
        <v>08:35:00</v>
      </c>
      <c r="L176">
        <v>-12.167115</v>
      </c>
      <c r="M176">
        <v>-76.91981</v>
      </c>
      <c r="N176">
        <f>HYPERLINK("https://www.google.com/maps/search/?api=1&amp;query=-12.167115,-76.91981","Jirón San Pedro, Villa María del Triunfo, Lima")</f>
      </c>
      <c r="O176" t="str">
        <v>Vehículo encendido</v>
      </c>
      <c r="P176">
        <v>1370</v>
      </c>
      <c r="Q176" t="str">
        <v/>
      </c>
      <c r="R176">
        <v>0</v>
      </c>
      <c r="S176">
        <v>55.4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90</v>
      </c>
      <c r="AB176" t="str">
        <v>24/09/2026</v>
      </c>
      <c r="AC176" t="str">
        <v>08:34:56</v>
      </c>
      <c r="AD176">
        <f>IF("ONLINE"="NOGPS","GPS Antiguo","En línea")</f>
      </c>
      <c r="AE176">
        <f>IF(0=0,"Sin atender", IF(0=1,"Atendida","Atendida y Reportada"))</f>
      </c>
      <c r="AF176" t="str">
        <v/>
      </c>
      <c r="AG176" t="str">
        <v/>
      </c>
      <c r="AH176" t="str">
        <v/>
      </c>
      <c r="AI176" t="str">
        <v/>
      </c>
      <c r="AJ176" t="str">
        <v>24/09/2026 08:35:17</v>
      </c>
      <c r="AK176" t="str">
        <v>08:35:17</v>
      </c>
      <c r="AL176" t="str">
        <v/>
      </c>
    </row>
    <row r="177">
      <c r="A177">
        <v>176</v>
      </c>
      <c r="B177" t="str">
        <v>MASS BSF</v>
      </c>
      <c r="C177" t="str">
        <v>F8R-810</v>
      </c>
      <c r="D177" t="str">
        <v>F8R-810</v>
      </c>
      <c r="E177" t="str">
        <v/>
      </c>
      <c r="F177" t="str">
        <v>867806078868827</v>
      </c>
      <c r="G177" t="str">
        <v>TBD</v>
      </c>
      <c r="H177" t="str">
        <v/>
      </c>
      <c r="I177" t="str">
        <v/>
      </c>
      <c r="J177" t="str">
        <v>24/09/2026</v>
      </c>
      <c r="K177" t="str">
        <v>08:35:00</v>
      </c>
      <c r="L177">
        <v>-12.167115</v>
      </c>
      <c r="M177">
        <v>-76.91981</v>
      </c>
      <c r="N177">
        <f>HYPERLINK("https://www.google.com/maps/search/?api=1&amp;query=-12.167115,-76.91981","Jirón San Pedro, Villa María del Triunfo, Lima")</f>
      </c>
      <c r="O177" t="str">
        <v>Se movio</v>
      </c>
      <c r="P177">
        <v>1370</v>
      </c>
      <c r="Q177" t="str">
        <v/>
      </c>
      <c r="R177">
        <v>0</v>
      </c>
      <c r="S177">
        <v>55.4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90</v>
      </c>
      <c r="AB177" t="str">
        <v>24/09/2026</v>
      </c>
      <c r="AC177" t="str">
        <v>08:34:56</v>
      </c>
      <c r="AD177">
        <f>IF("ONLINE"="NOGPS","GPS Antiguo","En línea")</f>
      </c>
      <c r="AE177">
        <f>IF(0=0,"Sin atender", IF(0=1,"Atendida","Atendida y Reportada"))</f>
      </c>
      <c r="AF177" t="str">
        <v/>
      </c>
      <c r="AG177" t="str">
        <v/>
      </c>
      <c r="AH177" t="str">
        <v/>
      </c>
      <c r="AI177" t="str">
        <v/>
      </c>
      <c r="AJ177" t="str">
        <v>24/09/2026 08:35:14</v>
      </c>
      <c r="AK177" t="str">
        <v>08:35:14</v>
      </c>
      <c r="AL177" t="str">
        <v/>
      </c>
    </row>
    <row r="178">
      <c r="A178">
        <v>177</v>
      </c>
      <c r="B178" t="str">
        <v>MASS BSF</v>
      </c>
      <c r="C178" t="str">
        <v>F8R-810</v>
      </c>
      <c r="D178" t="str">
        <v>F8R-810</v>
      </c>
      <c r="E178" t="str">
        <v/>
      </c>
      <c r="F178" t="str">
        <v>867806078868827</v>
      </c>
      <c r="G178" t="str">
        <v>TBD</v>
      </c>
      <c r="H178" t="str">
        <v/>
      </c>
      <c r="I178" t="str">
        <v/>
      </c>
      <c r="J178" t="str">
        <v>24/09/2026</v>
      </c>
      <c r="K178" t="str">
        <v>08:35:20</v>
      </c>
      <c r="L178">
        <v>-12.167115</v>
      </c>
      <c r="M178">
        <v>-76.91981</v>
      </c>
      <c r="N178">
        <f>HYPERLINK("https://www.google.com/maps/search/?api=1&amp;query=-12.167115,-76.91981","Jirón San Pedro, Villa María del Triunfo, Lima")</f>
      </c>
      <c r="O178" t="str">
        <v>Acelerado y giro brusco</v>
      </c>
      <c r="P178">
        <v>1370</v>
      </c>
      <c r="Q178" t="str">
        <v/>
      </c>
      <c r="R178">
        <v>0</v>
      </c>
      <c r="S178">
        <v>55.4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90</v>
      </c>
      <c r="AB178" t="str">
        <v>24/09/2026</v>
      </c>
      <c r="AC178" t="str">
        <v>08:35:16</v>
      </c>
      <c r="AD178">
        <f>IF("ONLINE"="NOGPS","GPS Antiguo","En línea")</f>
      </c>
      <c r="AE178">
        <f>IF(0=0,"Sin atender", IF(0=1,"Atendida","Atendida y Reportada"))</f>
      </c>
      <c r="AF178" t="str">
        <v/>
      </c>
      <c r="AG178" t="str">
        <v/>
      </c>
      <c r="AH178" t="str">
        <v/>
      </c>
      <c r="AI178" t="str">
        <v/>
      </c>
      <c r="AJ178" t="str">
        <v>24/09/2026 08:35:31</v>
      </c>
      <c r="AK178" t="str">
        <v>08:35:31</v>
      </c>
      <c r="AL178" t="str">
        <v/>
      </c>
    </row>
    <row r="179">
      <c r="A179">
        <v>178</v>
      </c>
      <c r="B179" t="str">
        <v>MASS BSF</v>
      </c>
      <c r="C179" t="str">
        <v>F8R-810</v>
      </c>
      <c r="D179" t="str">
        <v>F8R-810</v>
      </c>
      <c r="E179" t="str">
        <v/>
      </c>
      <c r="F179" t="str">
        <v>867806078868827</v>
      </c>
      <c r="G179" t="str">
        <v>TBD</v>
      </c>
      <c r="H179" t="str">
        <v/>
      </c>
      <c r="I179" t="str">
        <v/>
      </c>
      <c r="J179" t="str">
        <v>24/09/2026</v>
      </c>
      <c r="K179" t="str">
        <v>08:35:59</v>
      </c>
      <c r="L179">
        <v>-12.167115</v>
      </c>
      <c r="M179">
        <v>-76.91981</v>
      </c>
      <c r="N179">
        <f>HYPERLINK("https://www.google.com/maps/search/?api=1&amp;query=-12.167115,-76.91981","Jirón San Pedro, Villa María del Triunfo, Lima")</f>
      </c>
      <c r="O179" t="str">
        <v>Acelerado y giro brusco</v>
      </c>
      <c r="P179">
        <v>1370</v>
      </c>
      <c r="Q179" t="str">
        <v/>
      </c>
      <c r="R179">
        <v>0</v>
      </c>
      <c r="S179">
        <v>55.4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90</v>
      </c>
      <c r="AB179" t="str">
        <v>24/09/2026</v>
      </c>
      <c r="AC179" t="str">
        <v>08:35:55</v>
      </c>
      <c r="AD179">
        <f>IF("ONLINE"="NOGPS","GPS Antiguo","En línea")</f>
      </c>
      <c r="AE179">
        <f>IF(0=0,"Sin atender", IF(0=1,"Atendida","Atendida y Reportada"))</f>
      </c>
      <c r="AF179" t="str">
        <v/>
      </c>
      <c r="AG179" t="str">
        <v/>
      </c>
      <c r="AH179" t="str">
        <v/>
      </c>
      <c r="AI179" t="str">
        <v/>
      </c>
      <c r="AJ179" t="str">
        <v>24/09/2026 08:36:08</v>
      </c>
      <c r="AK179" t="str">
        <v>08:36:08</v>
      </c>
      <c r="AL179" t="str">
        <v/>
      </c>
    </row>
    <row r="180">
      <c r="A180">
        <v>179</v>
      </c>
      <c r="B180" t="str">
        <v>MASS BSF</v>
      </c>
      <c r="C180" t="str">
        <v>F8R-810</v>
      </c>
      <c r="D180" t="str">
        <v>F8R-810</v>
      </c>
      <c r="E180" t="str">
        <v/>
      </c>
      <c r="F180" t="str">
        <v>867806078868827</v>
      </c>
      <c r="G180" t="str">
        <v>TBD</v>
      </c>
      <c r="H180" t="str">
        <v/>
      </c>
      <c r="I180" t="str">
        <v/>
      </c>
      <c r="J180" t="str">
        <v>24/09/2026</v>
      </c>
      <c r="K180" t="str">
        <v>08:36:08</v>
      </c>
      <c r="L180">
        <v>-12.167115</v>
      </c>
      <c r="M180">
        <v>-76.91981</v>
      </c>
      <c r="N180">
        <f>HYPERLINK("https://www.google.com/maps/search/?api=1&amp;query=-12.167115,-76.91981","Jirón San Pedro, Villa María del Triunfo, Lima")</f>
      </c>
      <c r="O180" t="str">
        <v>Acelerado y giro brusco</v>
      </c>
      <c r="P180">
        <v>1370</v>
      </c>
      <c r="Q180" t="str">
        <v/>
      </c>
      <c r="R180">
        <v>0</v>
      </c>
      <c r="S180">
        <v>55.4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89</v>
      </c>
      <c r="AB180" t="str">
        <v>24/09/2026</v>
      </c>
      <c r="AC180" t="str">
        <v>08:36:04</v>
      </c>
      <c r="AD180">
        <f>IF("ONLINE"="NOGPS","GPS Antiguo","En línea")</f>
      </c>
      <c r="AE180">
        <f>IF(0=0,"Sin atender", IF(0=1,"Atendida","Atendida y Reportada"))</f>
      </c>
      <c r="AF180" t="str">
        <v/>
      </c>
      <c r="AG180" t="str">
        <v/>
      </c>
      <c r="AH180" t="str">
        <v/>
      </c>
      <c r="AI180" t="str">
        <v/>
      </c>
      <c r="AJ180" t="str">
        <v>24/09/2026 08:36:20</v>
      </c>
      <c r="AK180" t="str">
        <v>08:36:20</v>
      </c>
      <c r="AL180" t="str">
        <v/>
      </c>
    </row>
    <row r="181">
      <c r="A181">
        <v>180</v>
      </c>
      <c r="B181" t="str">
        <v>MASS BSF</v>
      </c>
      <c r="C181" t="str">
        <v>F8R-810</v>
      </c>
      <c r="D181" t="str">
        <v>F8R-810</v>
      </c>
      <c r="E181" t="str">
        <v/>
      </c>
      <c r="F181" t="str">
        <v>867806078868827</v>
      </c>
      <c r="G181" t="str">
        <v>TBD</v>
      </c>
      <c r="H181" t="str">
        <v/>
      </c>
      <c r="I181" t="str">
        <v/>
      </c>
      <c r="J181" t="str">
        <v>24/09/2026</v>
      </c>
      <c r="K181" t="str">
        <v>08:36:15</v>
      </c>
      <c r="L181">
        <v>-12.167115</v>
      </c>
      <c r="M181">
        <v>-76.91981</v>
      </c>
      <c r="N181">
        <f>HYPERLINK("https://www.google.com/maps/search/?api=1&amp;query=-12.167115,-76.91981","Jirón San Pedro, Villa María del Triunfo, Lima")</f>
      </c>
      <c r="O181" t="str">
        <v>Vehículo apagado</v>
      </c>
      <c r="P181">
        <v>1370</v>
      </c>
      <c r="Q181" t="str">
        <v/>
      </c>
      <c r="R181">
        <v>0</v>
      </c>
      <c r="S181">
        <v>55.42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89</v>
      </c>
      <c r="AB181" t="str">
        <v>24/09/2026</v>
      </c>
      <c r="AC181" t="str">
        <v>08:36:11</v>
      </c>
      <c r="AD181">
        <f>IF("ONLINE"="NOGPS","GPS Antiguo","En línea")</f>
      </c>
      <c r="AE181">
        <f>IF(0=0,"Sin atender", IF(0=1,"Atendida","Atendida y Reportada"))</f>
      </c>
      <c r="AF181" t="str">
        <v/>
      </c>
      <c r="AG181" t="str">
        <v/>
      </c>
      <c r="AH181" t="str">
        <v/>
      </c>
      <c r="AI181" t="str">
        <v/>
      </c>
      <c r="AJ181" t="str">
        <v>24/09/2026 08:36:35</v>
      </c>
      <c r="AK181" t="str">
        <v>08:36:35</v>
      </c>
      <c r="AL181" t="str">
        <v/>
      </c>
    </row>
    <row r="182">
      <c r="A182">
        <v>181</v>
      </c>
      <c r="B182" t="str">
        <v>MASS BSF</v>
      </c>
      <c r="C182" t="str">
        <v>F8R-810</v>
      </c>
      <c r="D182" t="str">
        <v>F8R-810</v>
      </c>
      <c r="E182" t="str">
        <v/>
      </c>
      <c r="F182" t="str">
        <v>867806078868827</v>
      </c>
      <c r="G182" t="str">
        <v>TBD</v>
      </c>
      <c r="H182" t="str">
        <v/>
      </c>
      <c r="I182" t="str">
        <v/>
      </c>
      <c r="J182" t="str">
        <v>24/09/2026</v>
      </c>
      <c r="K182" t="str">
        <v>08:37:59</v>
      </c>
      <c r="L182">
        <v>-12.167073</v>
      </c>
      <c r="M182">
        <v>-76.91989</v>
      </c>
      <c r="N182">
        <f>HYPERLINK("https://www.google.com/maps/search/?api=1&amp;query=-12.167073,-76.91989","Jirón San Pedro, Villa María del Triunfo, Lima")</f>
      </c>
      <c r="O182" t="str">
        <v>Vehículo encendido</v>
      </c>
      <c r="P182">
        <v>1370</v>
      </c>
      <c r="Q182" t="str">
        <v/>
      </c>
      <c r="R182">
        <v>0</v>
      </c>
      <c r="S182">
        <v>55.42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89</v>
      </c>
      <c r="AB182" t="str">
        <v>24/09/2026</v>
      </c>
      <c r="AC182" t="str">
        <v>08:37:56</v>
      </c>
      <c r="AD182">
        <f>IF("ONLINE"="NOGPS","GPS Antiguo","En línea")</f>
      </c>
      <c r="AE182">
        <f>IF(0=0,"Sin atender", IF(0=1,"Atendida","Atendida y Reportada"))</f>
      </c>
      <c r="AF182" t="str">
        <v/>
      </c>
      <c r="AG182" t="str">
        <v/>
      </c>
      <c r="AH182" t="str">
        <v/>
      </c>
      <c r="AI182" t="str">
        <v/>
      </c>
      <c r="AJ182" t="str">
        <v>24/09/2026 08:38:04</v>
      </c>
      <c r="AK182" t="str">
        <v>08:38:04</v>
      </c>
      <c r="AL182" t="str">
        <v/>
      </c>
    </row>
    <row r="183">
      <c r="A183">
        <v>182</v>
      </c>
      <c r="B183" t="str">
        <v>MASS BSF</v>
      </c>
      <c r="C183" t="str">
        <v>F8R-810</v>
      </c>
      <c r="D183" t="str">
        <v>F8R-810</v>
      </c>
      <c r="E183" t="str">
        <v/>
      </c>
      <c r="F183" t="str">
        <v>867806078868827</v>
      </c>
      <c r="G183" t="str">
        <v>TBD</v>
      </c>
      <c r="H183" t="str">
        <v/>
      </c>
      <c r="I183" t="str">
        <v/>
      </c>
      <c r="J183" t="str">
        <v>24/09/2026</v>
      </c>
      <c r="K183" t="str">
        <v>08:38:05</v>
      </c>
      <c r="L183">
        <v>-12.167073</v>
      </c>
      <c r="M183">
        <v>-76.91989</v>
      </c>
      <c r="N183">
        <f>HYPERLINK("https://www.google.com/maps/search/?api=1&amp;query=-12.167073,-76.91989","Jirón San Pedro, Villa María del Triunfo, Lima")</f>
      </c>
      <c r="O183" t="str">
        <v>Acelerado y giro brusco</v>
      </c>
      <c r="P183">
        <v>1370</v>
      </c>
      <c r="Q183" t="str">
        <v/>
      </c>
      <c r="R183">
        <v>0</v>
      </c>
      <c r="S183">
        <v>55.42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89</v>
      </c>
      <c r="AB183" t="str">
        <v>24/09/2026</v>
      </c>
      <c r="AC183" t="str">
        <v>08:38:01</v>
      </c>
      <c r="AD183">
        <f>IF("ONLINE"="NOGPS","GPS Antiguo","En línea")</f>
      </c>
      <c r="AE183">
        <f>IF(0=0,"Sin atender", IF(0=1,"Atendida","Atendida y Reportada"))</f>
      </c>
      <c r="AF183" t="str">
        <v/>
      </c>
      <c r="AG183" t="str">
        <v/>
      </c>
      <c r="AH183" t="str">
        <v/>
      </c>
      <c r="AI183" t="str">
        <v/>
      </c>
      <c r="AJ183" t="str">
        <v>24/09/2026 08:38:27</v>
      </c>
      <c r="AK183" t="str">
        <v>08:38:27</v>
      </c>
      <c r="AL183" t="str">
        <v/>
      </c>
    </row>
    <row r="184">
      <c r="A184">
        <v>183</v>
      </c>
      <c r="B184" t="str">
        <v>MASS BSF</v>
      </c>
      <c r="C184" t="str">
        <v>F8R-810</v>
      </c>
      <c r="D184" t="str">
        <v>F8R-810</v>
      </c>
      <c r="E184" t="str">
        <v/>
      </c>
      <c r="F184" t="str">
        <v>867806078868827</v>
      </c>
      <c r="G184" t="str">
        <v>TBD</v>
      </c>
      <c r="H184" t="str">
        <v/>
      </c>
      <c r="I184" t="str">
        <v/>
      </c>
      <c r="J184" t="str">
        <v>24/09/2026</v>
      </c>
      <c r="K184" t="str">
        <v>08:38:40</v>
      </c>
      <c r="L184">
        <v>-12.167073</v>
      </c>
      <c r="M184">
        <v>-76.91989</v>
      </c>
      <c r="N184">
        <f>HYPERLINK("https://www.google.com/maps/search/?api=1&amp;query=-12.167073,-76.91989","Jirón San Pedro, Villa María del Triunfo, Lima")</f>
      </c>
      <c r="O184" t="str">
        <v>Vehículo apagado</v>
      </c>
      <c r="P184">
        <v>1370</v>
      </c>
      <c r="Q184" t="str">
        <v/>
      </c>
      <c r="R184">
        <v>0</v>
      </c>
      <c r="S184">
        <v>55.43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89</v>
      </c>
      <c r="AB184" t="str">
        <v>24/09/2026</v>
      </c>
      <c r="AC184" t="str">
        <v>08:38:36</v>
      </c>
      <c r="AD184">
        <f>IF("ONLINE"="NOGPS","GPS Antiguo","En línea")</f>
      </c>
      <c r="AE184">
        <f>IF(0=0,"Sin atender", IF(0=1,"Atendida","Atendida y Reportada"))</f>
      </c>
      <c r="AF184" t="str">
        <v/>
      </c>
      <c r="AG184" t="str">
        <v/>
      </c>
      <c r="AH184" t="str">
        <v/>
      </c>
      <c r="AI184" t="str">
        <v/>
      </c>
      <c r="AJ184" t="str">
        <v>24/09/2026 08:38:49</v>
      </c>
      <c r="AK184" t="str">
        <v>08:38:49</v>
      </c>
      <c r="AL184" t="str">
        <v/>
      </c>
    </row>
    <row r="185">
      <c r="A185">
        <v>184</v>
      </c>
      <c r="B185" t="str">
        <v>MASS BSF</v>
      </c>
      <c r="C185" t="str">
        <v>F8R-810</v>
      </c>
      <c r="D185" t="str">
        <v>F8R-810</v>
      </c>
      <c r="E185" t="str">
        <v/>
      </c>
      <c r="F185" t="str">
        <v>867806078868827</v>
      </c>
      <c r="G185" t="str">
        <v>TBD</v>
      </c>
      <c r="H185" t="str">
        <v/>
      </c>
      <c r="I185" t="str">
        <v/>
      </c>
      <c r="J185" t="str">
        <v>24/09/2026</v>
      </c>
      <c r="K185" t="str">
        <v>08:40:10</v>
      </c>
      <c r="L185">
        <v>-12.167073</v>
      </c>
      <c r="M185">
        <v>-76.91989</v>
      </c>
      <c r="N185">
        <f>HYPERLINK("https://www.google.com/maps/search/?api=1&amp;query=-12.167073,-76.91989","Jirón San Pedro, Villa María del Triunfo, Lima")</f>
      </c>
      <c r="O185" t="str">
        <v>Vehículo encendido</v>
      </c>
      <c r="P185">
        <v>1370</v>
      </c>
      <c r="Q185" t="str">
        <v/>
      </c>
      <c r="R185">
        <v>0</v>
      </c>
      <c r="S185">
        <v>55.43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89</v>
      </c>
      <c r="AB185" t="str">
        <v>24/09/2026</v>
      </c>
      <c r="AC185" t="str">
        <v>08:40:06</v>
      </c>
      <c r="AD185">
        <f>IF("ONLINE"="NOGPS","GPS Antiguo","En línea")</f>
      </c>
      <c r="AE185">
        <f>IF(0=0,"Sin atender", IF(0=1,"Atendida","Atendida y Reportada"))</f>
      </c>
      <c r="AF185" t="str">
        <v/>
      </c>
      <c r="AG185" t="str">
        <v/>
      </c>
      <c r="AH185" t="str">
        <v/>
      </c>
      <c r="AI185" t="str">
        <v/>
      </c>
      <c r="AJ185" t="str">
        <v>24/09/2026 08:40:20</v>
      </c>
      <c r="AK185" t="str">
        <v>08:40:20</v>
      </c>
      <c r="AL185" t="str">
        <v/>
      </c>
    </row>
    <row r="186">
      <c r="A186">
        <v>185</v>
      </c>
      <c r="B186" t="str">
        <v>MASS BSF</v>
      </c>
      <c r="C186" t="str">
        <v>F8R-810</v>
      </c>
      <c r="D186" t="str">
        <v>F8R-810</v>
      </c>
      <c r="E186" t="str">
        <v/>
      </c>
      <c r="F186" t="str">
        <v>867806078868827</v>
      </c>
      <c r="G186" t="str">
        <v>TBD</v>
      </c>
      <c r="H186" t="str">
        <v/>
      </c>
      <c r="I186" t="str">
        <v/>
      </c>
      <c r="J186" t="str">
        <v>24/09/2026</v>
      </c>
      <c r="K186" t="str">
        <v>08:40:23</v>
      </c>
      <c r="L186">
        <v>-12.167073</v>
      </c>
      <c r="M186">
        <v>-76.91989</v>
      </c>
      <c r="N186">
        <f>HYPERLINK("https://www.google.com/maps/search/?api=1&amp;query=-12.167073,-76.91989","Jirón San Pedro, Villa María del Triunfo, Lima")</f>
      </c>
      <c r="O186" t="str">
        <v>Vehículo apagado</v>
      </c>
      <c r="P186">
        <v>1370</v>
      </c>
      <c r="Q186" t="str">
        <v/>
      </c>
      <c r="R186">
        <v>0</v>
      </c>
      <c r="S186">
        <v>55.43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89</v>
      </c>
      <c r="AB186" t="str">
        <v>24/09/2026</v>
      </c>
      <c r="AC186" t="str">
        <v>08:40:19</v>
      </c>
      <c r="AD186">
        <f>IF("ONLINE"="NOGPS","GPS Antiguo","En línea")</f>
      </c>
      <c r="AE186">
        <f>IF(0=0,"Sin atender", IF(0=1,"Atendida","Atendida y Reportada"))</f>
      </c>
      <c r="AF186" t="str">
        <v/>
      </c>
      <c r="AG186" t="str">
        <v/>
      </c>
      <c r="AH186" t="str">
        <v/>
      </c>
      <c r="AI186" t="str">
        <v/>
      </c>
      <c r="AJ186" t="str">
        <v>24/09/2026 08:40:45</v>
      </c>
      <c r="AK186" t="str">
        <v>08:40:45</v>
      </c>
      <c r="AL186" t="str">
        <v/>
      </c>
    </row>
    <row r="187">
      <c r="A187">
        <v>186</v>
      </c>
      <c r="B187" t="str">
        <v>MASS BSF</v>
      </c>
      <c r="C187" t="str">
        <v>F8R-810</v>
      </c>
      <c r="D187" t="str">
        <v>F8R-810</v>
      </c>
      <c r="E187" t="str">
        <v/>
      </c>
      <c r="F187" t="str">
        <v>867806078868827</v>
      </c>
      <c r="G187" t="str">
        <v>TBD</v>
      </c>
      <c r="H187" t="str">
        <v/>
      </c>
      <c r="I187" t="str">
        <v/>
      </c>
      <c r="J187" t="str">
        <v>24/09/2026</v>
      </c>
      <c r="K187" t="str">
        <v>09:00:21</v>
      </c>
      <c r="L187">
        <v>-12.167073</v>
      </c>
      <c r="M187">
        <v>-76.91989</v>
      </c>
      <c r="N187">
        <f>HYPERLINK("https://www.google.com/maps/search/?api=1&amp;query=-12.167073,-76.91989","Jirón San Pedro, Villa María del Triunfo, Lima")</f>
      </c>
      <c r="O187" t="str">
        <v>Vehículo encendido</v>
      </c>
      <c r="P187">
        <v>1370</v>
      </c>
      <c r="Q187" t="str">
        <v/>
      </c>
      <c r="R187">
        <v>0</v>
      </c>
      <c r="S187">
        <v>55.43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89</v>
      </c>
      <c r="AB187" t="str">
        <v>24/09/2026</v>
      </c>
      <c r="AC187" t="str">
        <v>09:00:17</v>
      </c>
      <c r="AD187">
        <f>IF("ONLINE"="NOGPS","GPS Antiguo","En línea")</f>
      </c>
      <c r="AE187">
        <f>IF(0=0,"Sin atender", IF(0=1,"Atendida","Atendida y Reportada"))</f>
      </c>
      <c r="AF187" t="str">
        <v/>
      </c>
      <c r="AG187" t="str">
        <v/>
      </c>
      <c r="AH187" t="str">
        <v/>
      </c>
      <c r="AI187" t="str">
        <v/>
      </c>
      <c r="AJ187" t="str">
        <v>24/09/2026 09:00:41</v>
      </c>
      <c r="AK187" t="str">
        <v>09:00:41</v>
      </c>
      <c r="AL187" t="str">
        <v/>
      </c>
    </row>
    <row r="188">
      <c r="A188">
        <v>187</v>
      </c>
      <c r="B188" t="str">
        <v>MASS BSF</v>
      </c>
      <c r="C188" t="str">
        <v>F8R-810</v>
      </c>
      <c r="D188" t="str">
        <v>F8R-810</v>
      </c>
      <c r="E188" t="str">
        <v/>
      </c>
      <c r="F188" t="str">
        <v>867806078868827</v>
      </c>
      <c r="G188" t="str">
        <v>TBD</v>
      </c>
      <c r="H188" t="str">
        <v/>
      </c>
      <c r="I188" t="str">
        <v/>
      </c>
      <c r="J188" t="str">
        <v>24/09/2026</v>
      </c>
      <c r="K188" t="str">
        <v>09:00:30</v>
      </c>
      <c r="L188">
        <v>-12.167073</v>
      </c>
      <c r="M188">
        <v>-76.91989</v>
      </c>
      <c r="N188">
        <f>HYPERLINK("https://www.google.com/maps/search/?api=1&amp;query=-12.167073,-76.91989","Jirón San Pedro, Villa María del Triunfo, Lima")</f>
      </c>
      <c r="O188" t="str">
        <v>Aceleración brusca</v>
      </c>
      <c r="P188">
        <v>1370</v>
      </c>
      <c r="Q188" t="str">
        <v/>
      </c>
      <c r="R188">
        <v>0</v>
      </c>
      <c r="S188">
        <v>55.43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89</v>
      </c>
      <c r="AB188" t="str">
        <v>24/09/2026</v>
      </c>
      <c r="AC188" t="str">
        <v>09:00:26</v>
      </c>
      <c r="AD188">
        <f>IF("ONLINE"="NOGPS","GPS Antiguo","En línea")</f>
      </c>
      <c r="AE188">
        <f>IF(0=0,"Sin atender", IF(0=1,"Atendida","Atendida y Reportada"))</f>
      </c>
      <c r="AF188" t="str">
        <v/>
      </c>
      <c r="AG188" t="str">
        <v/>
      </c>
      <c r="AH188" t="str">
        <v/>
      </c>
      <c r="AI188" t="str">
        <v/>
      </c>
      <c r="AJ188" t="str">
        <v>24/09/2026 09:00:43</v>
      </c>
      <c r="AK188" t="str">
        <v>09:00:43</v>
      </c>
      <c r="AL188" t="str">
        <v/>
      </c>
    </row>
    <row r="189">
      <c r="A189">
        <v>188</v>
      </c>
      <c r="B189" t="str">
        <v>MASS BSF</v>
      </c>
      <c r="C189" t="str">
        <v>F8R-810</v>
      </c>
      <c r="D189" t="str">
        <v>F8R-810</v>
      </c>
      <c r="E189" t="str">
        <v/>
      </c>
      <c r="F189" t="str">
        <v>867806078868827</v>
      </c>
      <c r="G189" t="str">
        <v>TBD</v>
      </c>
      <c r="H189" t="str">
        <v/>
      </c>
      <c r="I189" t="str">
        <v/>
      </c>
      <c r="J189" t="str">
        <v>24/09/2026</v>
      </c>
      <c r="K189" t="str">
        <v>09:00:41</v>
      </c>
      <c r="L189">
        <v>-12.167073</v>
      </c>
      <c r="M189">
        <v>-76.91989</v>
      </c>
      <c r="N189">
        <f>HYPERLINK("https://www.google.com/maps/search/?api=1&amp;query=-12.167073,-76.91989","Jirón San Pedro, Villa María del Triunfo, Lima")</f>
      </c>
      <c r="O189" t="str">
        <v>Se movio</v>
      </c>
      <c r="P189">
        <v>1370</v>
      </c>
      <c r="Q189" t="str">
        <v/>
      </c>
      <c r="R189">
        <v>0</v>
      </c>
      <c r="S189">
        <v>55.43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89</v>
      </c>
      <c r="AB189" t="str">
        <v>24/09/2026</v>
      </c>
      <c r="AC189" t="str">
        <v>09:00:38</v>
      </c>
      <c r="AD189">
        <f>IF("ONLINE"="NOGPS","GPS Antiguo","En línea")</f>
      </c>
      <c r="AE189">
        <f>IF(0=0,"Sin atender", IF(0=1,"Atendida","Atendida y Reportada"))</f>
      </c>
      <c r="AF189" t="str">
        <v/>
      </c>
      <c r="AG189" t="str">
        <v/>
      </c>
      <c r="AH189" t="str">
        <v/>
      </c>
      <c r="AI189" t="str">
        <v/>
      </c>
      <c r="AJ189" t="str">
        <v>24/09/2026 09:00:45</v>
      </c>
      <c r="AK189" t="str">
        <v>09:00:45</v>
      </c>
      <c r="AL189" t="str">
        <v/>
      </c>
    </row>
    <row r="190">
      <c r="A190">
        <v>189</v>
      </c>
      <c r="B190" t="str">
        <v>MASS BSF</v>
      </c>
      <c r="C190" t="str">
        <v>F8R-810</v>
      </c>
      <c r="D190" t="str">
        <v>F8R-810</v>
      </c>
      <c r="E190" t="str">
        <v/>
      </c>
      <c r="F190" t="str">
        <v>867806078868827</v>
      </c>
      <c r="G190" t="str">
        <v>TBD</v>
      </c>
      <c r="H190" t="str">
        <v/>
      </c>
      <c r="I190" t="str">
        <v/>
      </c>
      <c r="J190" t="str">
        <v>24/09/2026</v>
      </c>
      <c r="K190" t="str">
        <v>09:00:42</v>
      </c>
      <c r="L190">
        <v>-12.167073</v>
      </c>
      <c r="M190">
        <v>-76.91989</v>
      </c>
      <c r="N190">
        <f>HYPERLINK("https://www.google.com/maps/search/?api=1&amp;query=-12.167073,-76.91989","Jirón San Pedro, Villa María del Triunfo, Lima")</f>
      </c>
      <c r="O190" t="str">
        <v>Acelerado y giro brusco</v>
      </c>
      <c r="P190">
        <v>1370</v>
      </c>
      <c r="Q190" t="str">
        <v/>
      </c>
      <c r="R190">
        <v>0</v>
      </c>
      <c r="S190">
        <v>55.43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89</v>
      </c>
      <c r="AB190" t="str">
        <v>24/09/2026</v>
      </c>
      <c r="AC190" t="str">
        <v>09:00:38</v>
      </c>
      <c r="AD190">
        <f>IF("ONLINE"="NOGPS","GPS Antiguo","En línea")</f>
      </c>
      <c r="AE190">
        <f>IF(0=0,"Sin atender", IF(0=1,"Atendida","Atendida y Reportada"))</f>
      </c>
      <c r="AF190" t="str">
        <v/>
      </c>
      <c r="AG190" t="str">
        <v/>
      </c>
      <c r="AH190" t="str">
        <v/>
      </c>
      <c r="AI190" t="str">
        <v/>
      </c>
      <c r="AJ190" t="str">
        <v>24/09/2026 09:00:46</v>
      </c>
      <c r="AK190" t="str">
        <v>09:00:46</v>
      </c>
      <c r="AL190" t="str">
        <v/>
      </c>
    </row>
    <row r="191">
      <c r="A191">
        <v>190</v>
      </c>
      <c r="B191" t="str">
        <v>MASS BSF</v>
      </c>
      <c r="C191" t="str">
        <v>F8R-810</v>
      </c>
      <c r="D191" t="str">
        <v>F8R-810</v>
      </c>
      <c r="E191" t="str">
        <v/>
      </c>
      <c r="F191" t="str">
        <v>867806078868827</v>
      </c>
      <c r="G191" t="str">
        <v>TBD</v>
      </c>
      <c r="H191" t="str">
        <v/>
      </c>
      <c r="I191" t="str">
        <v/>
      </c>
      <c r="J191" t="str">
        <v>24/09/2026</v>
      </c>
      <c r="K191" t="str">
        <v>09:00:49</v>
      </c>
      <c r="L191">
        <v>-12.167073</v>
      </c>
      <c r="M191">
        <v>-76.91989</v>
      </c>
      <c r="N191">
        <f>HYPERLINK("https://www.google.com/maps/search/?api=1&amp;query=-12.167073,-76.91989","Jirón San Pedro, Villa María del Triunfo, Lima")</f>
      </c>
      <c r="O191" t="str">
        <v>Acelerado y giro brusco</v>
      </c>
      <c r="P191">
        <v>1370</v>
      </c>
      <c r="Q191" t="str">
        <v/>
      </c>
      <c r="R191">
        <v>0</v>
      </c>
      <c r="S191">
        <v>55.43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89</v>
      </c>
      <c r="AB191" t="str">
        <v>24/09/2026</v>
      </c>
      <c r="AC191" t="str">
        <v>09:00:45</v>
      </c>
      <c r="AD191">
        <f>IF("ONLINE"="NOGPS","GPS Antiguo","En línea")</f>
      </c>
      <c r="AE191">
        <f>IF(0=0,"Sin atender", IF(0=1,"Atendida","Atendida y Reportada"))</f>
      </c>
      <c r="AF191" t="str">
        <v/>
      </c>
      <c r="AG191" t="str">
        <v/>
      </c>
      <c r="AH191" t="str">
        <v/>
      </c>
      <c r="AI191" t="str">
        <v/>
      </c>
      <c r="AJ191" t="str">
        <v>24/09/2026 09:01:02</v>
      </c>
      <c r="AK191" t="str">
        <v>09:01:02</v>
      </c>
      <c r="AL191" t="str">
        <v/>
      </c>
    </row>
    <row r="192">
      <c r="A192">
        <v>191</v>
      </c>
      <c r="B192" t="str">
        <v>MASS BSF</v>
      </c>
      <c r="C192" t="str">
        <v>F8R-810</v>
      </c>
      <c r="D192" t="str">
        <v>F8R-810</v>
      </c>
      <c r="E192" t="str">
        <v/>
      </c>
      <c r="F192" t="str">
        <v>867806078868827</v>
      </c>
      <c r="G192" t="str">
        <v>TBD</v>
      </c>
      <c r="H192" t="str">
        <v/>
      </c>
      <c r="I192" t="str">
        <v/>
      </c>
      <c r="J192" t="str">
        <v>24/09/2026</v>
      </c>
      <c r="K192" t="str">
        <v>09:04:41</v>
      </c>
      <c r="L192">
        <v>-12.16699</v>
      </c>
      <c r="M192">
        <v>-76.92</v>
      </c>
      <c r="N192">
        <f>HYPERLINK("https://www.google.com/maps/search/?api=1&amp;query=-12.16699,-76.92","Jirón San Pedro, Villa María del Triunfo, Lima")</f>
      </c>
      <c r="O192" t="str">
        <v>Giro brusco</v>
      </c>
      <c r="P192">
        <v>1370</v>
      </c>
      <c r="Q192" t="str">
        <v/>
      </c>
      <c r="R192">
        <v>8.1</v>
      </c>
      <c r="S192">
        <v>55.43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89</v>
      </c>
      <c r="AB192" t="str">
        <v>24/09/2026</v>
      </c>
      <c r="AC192" t="str">
        <v>09:04:37</v>
      </c>
      <c r="AD192">
        <f>IF("ONLINE"="NOGPS","GPS Antiguo","En línea")</f>
      </c>
      <c r="AE192">
        <f>IF(0=0,"Sin atender", IF(0=1,"Atendida","Atendida y Reportada"))</f>
      </c>
      <c r="AF192" t="str">
        <v/>
      </c>
      <c r="AG192" t="str">
        <v/>
      </c>
      <c r="AH192" t="str">
        <v/>
      </c>
      <c r="AI192" t="str">
        <v/>
      </c>
      <c r="AJ192" t="str">
        <v>24/09/2026 09:04:46</v>
      </c>
      <c r="AK192" t="str">
        <v>09:04:46</v>
      </c>
      <c r="AL192" t="str">
        <v/>
      </c>
    </row>
    <row r="193">
      <c r="A193">
        <v>192</v>
      </c>
      <c r="B193" t="str">
        <v>MASS BSF</v>
      </c>
      <c r="C193" t="str">
        <v>F8R-810</v>
      </c>
      <c r="D193" t="str">
        <v>F8R-810</v>
      </c>
      <c r="E193" t="str">
        <v/>
      </c>
      <c r="F193" t="str">
        <v>867806078868827</v>
      </c>
      <c r="G193" t="str">
        <v>TBD</v>
      </c>
      <c r="H193" t="str">
        <v/>
      </c>
      <c r="I193" t="str">
        <v/>
      </c>
      <c r="J193" t="str">
        <v>24/09/2026</v>
      </c>
      <c r="K193" t="str">
        <v>09:04:55</v>
      </c>
      <c r="L193">
        <v>-12.166694</v>
      </c>
      <c r="M193">
        <v>-76.91994</v>
      </c>
      <c r="N193">
        <f>HYPERLINK("https://www.google.com/maps/search/?api=1&amp;query=-12.166694,-76.91994","Jirón San Pedro, Villa María del Triunfo, Lima")</f>
      </c>
      <c r="O193" t="str">
        <v>Acelerado y giro brusco</v>
      </c>
      <c r="P193">
        <v>1370.1</v>
      </c>
      <c r="Q193" t="str">
        <v/>
      </c>
      <c r="R193">
        <v>9</v>
      </c>
      <c r="S193">
        <v>55.43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91</v>
      </c>
      <c r="AB193" t="str">
        <v>24/09/2026</v>
      </c>
      <c r="AC193" t="str">
        <v>09:04:51</v>
      </c>
      <c r="AD193">
        <f>IF("ONLINE"="NOGPS","GPS Antiguo","En línea")</f>
      </c>
      <c r="AE193">
        <f>IF(0=0,"Sin atender", IF(0=1,"Atendida","Atendida y Reportada"))</f>
      </c>
      <c r="AF193" t="str">
        <v/>
      </c>
      <c r="AG193" t="str">
        <v/>
      </c>
      <c r="AH193" t="str">
        <v/>
      </c>
      <c r="AI193" t="str">
        <v/>
      </c>
      <c r="AJ193" t="str">
        <v>24/09/2026 09:05:06</v>
      </c>
      <c r="AK193" t="str">
        <v>09:05:06</v>
      </c>
      <c r="AL193" t="str">
        <v/>
      </c>
    </row>
    <row r="194">
      <c r="A194">
        <v>193</v>
      </c>
      <c r="B194" t="str">
        <v>MASS BSF</v>
      </c>
      <c r="C194" t="str">
        <v>F8R-810</v>
      </c>
      <c r="D194" t="str">
        <v>F8R-810</v>
      </c>
      <c r="E194" t="str">
        <v/>
      </c>
      <c r="F194" t="str">
        <v>867806078868827</v>
      </c>
      <c r="G194" t="str">
        <v>TBD</v>
      </c>
      <c r="H194" t="str">
        <v/>
      </c>
      <c r="I194" t="str">
        <v/>
      </c>
      <c r="J194" t="str">
        <v>24/09/2026</v>
      </c>
      <c r="K194" t="str">
        <v>09:05:00</v>
      </c>
      <c r="L194">
        <v>-12.166592</v>
      </c>
      <c r="M194">
        <v>-76.9199</v>
      </c>
      <c r="N194">
        <f>HYPERLINK("https://www.google.com/maps/search/?api=1&amp;query=-12.166592,-76.9199","Jirón San Pedro, Villa María del Triunfo, Lima")</f>
      </c>
      <c r="O194" t="str">
        <v>Acelerado y giro brusco</v>
      </c>
      <c r="P194">
        <v>1370.1</v>
      </c>
      <c r="Q194" t="str">
        <v/>
      </c>
      <c r="R194">
        <v>9</v>
      </c>
      <c r="S194">
        <v>55.43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91</v>
      </c>
      <c r="AB194" t="str">
        <v>24/09/2026</v>
      </c>
      <c r="AC194" t="str">
        <v>09:04:56</v>
      </c>
      <c r="AD194">
        <f>IF("ONLINE"="NOGPS","GPS Antiguo","En línea")</f>
      </c>
      <c r="AE194">
        <f>IF(0=0,"Sin atender", IF(0=1,"Atendida","Atendida y Reportada"))</f>
      </c>
      <c r="AF194" t="str">
        <v/>
      </c>
      <c r="AG194" t="str">
        <v/>
      </c>
      <c r="AH194" t="str">
        <v/>
      </c>
      <c r="AI194" t="str">
        <v/>
      </c>
      <c r="AJ194" t="str">
        <v>24/09/2026 09:05:07</v>
      </c>
      <c r="AK194" t="str">
        <v>09:05:07</v>
      </c>
      <c r="AL194" t="str">
        <v/>
      </c>
    </row>
    <row r="195">
      <c r="A195">
        <v>194</v>
      </c>
      <c r="B195" t="str">
        <v>MASS BSF</v>
      </c>
      <c r="C195" t="str">
        <v>F8R-810</v>
      </c>
      <c r="D195" t="str">
        <v>F8R-810</v>
      </c>
      <c r="E195" t="str">
        <v/>
      </c>
      <c r="F195" t="str">
        <v>867806078868827</v>
      </c>
      <c r="G195" t="str">
        <v>TBD</v>
      </c>
      <c r="H195" t="str">
        <v/>
      </c>
      <c r="I195" t="str">
        <v/>
      </c>
      <c r="J195" t="str">
        <v>24/09/2026</v>
      </c>
      <c r="K195" t="str">
        <v>09:05:04</v>
      </c>
      <c r="L195">
        <v>-12.166509</v>
      </c>
      <c r="M195">
        <v>-76.91989</v>
      </c>
      <c r="N195">
        <f>HYPERLINK("https://www.google.com/maps/search/?api=1&amp;query=-12.166509,-76.91989","Jirón San Pedro, Villa María del Triunfo, Lima")</f>
      </c>
      <c r="O195" t="str">
        <v>Acelerado y giro brusco</v>
      </c>
      <c r="P195">
        <v>1370.1</v>
      </c>
      <c r="Q195" t="str">
        <v/>
      </c>
      <c r="R195">
        <v>8.3</v>
      </c>
      <c r="S195">
        <v>55.43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91</v>
      </c>
      <c r="AB195" t="str">
        <v>24/09/2026</v>
      </c>
      <c r="AC195" t="str">
        <v>09:05:00</v>
      </c>
      <c r="AD195">
        <f>IF("ONLINE"="NOGPS","GPS Antiguo","En línea")</f>
      </c>
      <c r="AE195">
        <f>IF(0=0,"Sin atender", IF(0=1,"Atendida","Atendida y Reportada"))</f>
      </c>
      <c r="AF195" t="str">
        <v/>
      </c>
      <c r="AG195" t="str">
        <v/>
      </c>
      <c r="AH195" t="str">
        <v/>
      </c>
      <c r="AI195" t="str">
        <v/>
      </c>
      <c r="AJ195" t="str">
        <v>24/09/2026 09:05:19</v>
      </c>
      <c r="AK195" t="str">
        <v>09:05:19</v>
      </c>
      <c r="AL195" t="str">
        <v/>
      </c>
    </row>
    <row r="196">
      <c r="A196">
        <v>195</v>
      </c>
      <c r="B196" t="str">
        <v>MASS BSF</v>
      </c>
      <c r="C196" t="str">
        <v>F8R-810</v>
      </c>
      <c r="D196" t="str">
        <v>F8R-810</v>
      </c>
      <c r="E196" t="str">
        <v/>
      </c>
      <c r="F196" t="str">
        <v>867806078868827</v>
      </c>
      <c r="G196" t="str">
        <v>TBD</v>
      </c>
      <c r="H196" t="str">
        <v/>
      </c>
      <c r="I196" t="str">
        <v/>
      </c>
      <c r="J196" t="str">
        <v>24/09/2026</v>
      </c>
      <c r="K196" t="str">
        <v>09:05:10</v>
      </c>
      <c r="L196">
        <v>-12.166387</v>
      </c>
      <c r="M196">
        <v>-76.91987</v>
      </c>
      <c r="N196">
        <f>HYPERLINK("https://www.google.com/maps/search/?api=1&amp;query=-12.166387,-76.91987","Jirón San Pedro, Villa María del Triunfo, Lima")</f>
      </c>
      <c r="O196" t="str">
        <v>Acelerado y giro brusco</v>
      </c>
      <c r="P196">
        <v>1370.1</v>
      </c>
      <c r="Q196" t="str">
        <v/>
      </c>
      <c r="R196">
        <v>8.1</v>
      </c>
      <c r="S196">
        <v>55.43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84</v>
      </c>
      <c r="AB196" t="str">
        <v>24/09/2026</v>
      </c>
      <c r="AC196" t="str">
        <v>09:05:06</v>
      </c>
      <c r="AD196">
        <f>IF("ONLINE"="NOGPS","GPS Antiguo","En línea")</f>
      </c>
      <c r="AE196">
        <f>IF(0=0,"Sin atender", IF(0=1,"Atendida","Atendida y Reportada"))</f>
      </c>
      <c r="AF196" t="str">
        <v/>
      </c>
      <c r="AG196" t="str">
        <v/>
      </c>
      <c r="AH196" t="str">
        <v/>
      </c>
      <c r="AI196" t="str">
        <v/>
      </c>
      <c r="AJ196" t="str">
        <v>24/09/2026 09:05:30</v>
      </c>
      <c r="AK196" t="str">
        <v>09:05:30</v>
      </c>
      <c r="AL196" t="str">
        <v/>
      </c>
    </row>
    <row r="197">
      <c r="A197">
        <v>196</v>
      </c>
      <c r="B197" t="str">
        <v>MASS BSF</v>
      </c>
      <c r="C197" t="str">
        <v>F8R-810</v>
      </c>
      <c r="D197" t="str">
        <v>F8R-810</v>
      </c>
      <c r="E197" t="str">
        <v/>
      </c>
      <c r="F197" t="str">
        <v>867806078868827</v>
      </c>
      <c r="G197" t="str">
        <v>TBD</v>
      </c>
      <c r="H197" t="str">
        <v/>
      </c>
      <c r="I197" t="str">
        <v/>
      </c>
      <c r="J197" t="str">
        <v>24/09/2026</v>
      </c>
      <c r="K197" t="str">
        <v>09:05:16</v>
      </c>
      <c r="L197">
        <v>-12.166268</v>
      </c>
      <c r="M197">
        <v>-76.91985</v>
      </c>
      <c r="N197">
        <f>HYPERLINK("https://www.google.com/maps/search/?api=1&amp;query=-12.166268,-76.91985","Jirón San Pedro, Villa María del Triunfo, Lima")</f>
      </c>
      <c r="O197" t="str">
        <v>Giro brusco</v>
      </c>
      <c r="P197">
        <v>1370.1</v>
      </c>
      <c r="Q197" t="str">
        <v/>
      </c>
      <c r="R197">
        <v>8.3</v>
      </c>
      <c r="S197">
        <v>55.43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91</v>
      </c>
      <c r="AB197" t="str">
        <v>24/09/2026</v>
      </c>
      <c r="AC197" t="str">
        <v>09:05:12</v>
      </c>
      <c r="AD197">
        <f>IF("ONLINE"="NOGPS","GPS Antiguo","En línea")</f>
      </c>
      <c r="AE197">
        <f>IF(0=0,"Sin atender", IF(0=1,"Atendida","Atendida y Reportada"))</f>
      </c>
      <c r="AF197" t="str">
        <v/>
      </c>
      <c r="AG197" t="str">
        <v/>
      </c>
      <c r="AH197" t="str">
        <v/>
      </c>
      <c r="AI197" t="str">
        <v/>
      </c>
      <c r="AJ197" t="str">
        <v>24/09/2026 09:05:25</v>
      </c>
      <c r="AK197" t="str">
        <v>09:05:25</v>
      </c>
      <c r="AL197" t="str">
        <v/>
      </c>
    </row>
    <row r="198">
      <c r="A198">
        <v>197</v>
      </c>
      <c r="B198" t="str">
        <v>MASS BSF</v>
      </c>
      <c r="C198" t="str">
        <v>F8R-810</v>
      </c>
      <c r="D198" t="str">
        <v>F8R-810</v>
      </c>
      <c r="E198" t="str">
        <v/>
      </c>
      <c r="F198" t="str">
        <v>867806078868827</v>
      </c>
      <c r="G198" t="str">
        <v>TBD</v>
      </c>
      <c r="H198" t="str">
        <v/>
      </c>
      <c r="I198" t="str">
        <v/>
      </c>
      <c r="J198" t="str">
        <v>24/09/2026</v>
      </c>
      <c r="K198" t="str">
        <v>09:06:26</v>
      </c>
      <c r="L198">
        <v>-12.166282</v>
      </c>
      <c r="M198">
        <v>-76.919876</v>
      </c>
      <c r="N198">
        <f>HYPERLINK("https://www.google.com/maps/search/?api=1&amp;query=-12.166282,-76.919876","Calle Caraz, Villa María del Triunfo, Lima")</f>
      </c>
      <c r="O198" t="str">
        <v>Acelerado y giro brusco</v>
      </c>
      <c r="P198">
        <v>1370.1</v>
      </c>
      <c r="Q198" t="str">
        <v/>
      </c>
      <c r="R198">
        <v>0</v>
      </c>
      <c r="S198">
        <v>55.6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85</v>
      </c>
      <c r="AB198" t="str">
        <v>24/09/2026</v>
      </c>
      <c r="AC198" t="str">
        <v>09:06:22</v>
      </c>
      <c r="AD198">
        <f>IF("ONLINE"="NOGPS","GPS Antiguo","En línea")</f>
      </c>
      <c r="AE198">
        <f>IF(0=0,"Sin atender", IF(0=1,"Atendida","Atendida y Reportada"))</f>
      </c>
      <c r="AF198" t="str">
        <v/>
      </c>
      <c r="AG198" t="str">
        <v/>
      </c>
      <c r="AH198" t="str">
        <v/>
      </c>
      <c r="AI198" t="str">
        <v/>
      </c>
      <c r="AJ198" t="str">
        <v>24/09/2026 09:12:12</v>
      </c>
      <c r="AK198" t="str">
        <v>09:12:12</v>
      </c>
      <c r="AL198" t="str">
        <v/>
      </c>
    </row>
    <row r="199">
      <c r="A199">
        <v>198</v>
      </c>
      <c r="B199" t="str">
        <v>MASS BSF</v>
      </c>
      <c r="C199" t="str">
        <v>F8R-810</v>
      </c>
      <c r="D199" t="str">
        <v>F8R-810</v>
      </c>
      <c r="E199" t="str">
        <v/>
      </c>
      <c r="F199" t="str">
        <v>867806078868827</v>
      </c>
      <c r="G199" t="str">
        <v>TBD</v>
      </c>
      <c r="H199" t="str">
        <v/>
      </c>
      <c r="I199" t="str">
        <v/>
      </c>
      <c r="J199" t="str">
        <v>24/09/2026</v>
      </c>
      <c r="K199" t="str">
        <v>09:06:38</v>
      </c>
      <c r="L199">
        <v>-12.166478</v>
      </c>
      <c r="M199">
        <v>-76.91987</v>
      </c>
      <c r="N199">
        <f>HYPERLINK("https://www.google.com/maps/search/?api=1&amp;query=-12.166478,-76.91987","Jirón San Pedro, Villa María del Triunfo, Lima")</f>
      </c>
      <c r="O199" t="str">
        <v>Acelerado y giro brusco</v>
      </c>
      <c r="P199">
        <v>1370.2</v>
      </c>
      <c r="Q199" t="str">
        <v/>
      </c>
      <c r="R199">
        <v>12.4</v>
      </c>
      <c r="S199">
        <v>55.43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90</v>
      </c>
      <c r="AB199" t="str">
        <v>24/09/2026</v>
      </c>
      <c r="AC199" t="str">
        <v>09:06:34</v>
      </c>
      <c r="AD199">
        <f>IF("ONLINE"="NOGPS","GPS Antiguo","En línea")</f>
      </c>
      <c r="AE199">
        <f>IF(0=0,"Sin atender", IF(0=1,"Atendida","Atendida y Reportada"))</f>
      </c>
      <c r="AF199" t="str">
        <v/>
      </c>
      <c r="AG199" t="str">
        <v/>
      </c>
      <c r="AH199" t="str">
        <v/>
      </c>
      <c r="AI199" t="str">
        <v/>
      </c>
      <c r="AJ199" t="str">
        <v>24/09/2026 09:06:45</v>
      </c>
      <c r="AK199" t="str">
        <v>09:06:45</v>
      </c>
      <c r="AL199" t="str">
        <v/>
      </c>
    </row>
    <row r="200">
      <c r="A200">
        <v>199</v>
      </c>
      <c r="B200" t="str">
        <v>MASS BSF</v>
      </c>
      <c r="C200" t="str">
        <v>F8R-810</v>
      </c>
      <c r="D200" t="str">
        <v>F8R-810</v>
      </c>
      <c r="E200" t="str">
        <v/>
      </c>
      <c r="F200" t="str">
        <v>867806078868827</v>
      </c>
      <c r="G200" t="str">
        <v>TBD</v>
      </c>
      <c r="H200" t="str">
        <v/>
      </c>
      <c r="I200" t="str">
        <v/>
      </c>
      <c r="J200" t="str">
        <v>24/09/2026</v>
      </c>
      <c r="K200" t="str">
        <v>09:06:47</v>
      </c>
      <c r="L200">
        <v>-12.166774</v>
      </c>
      <c r="M200">
        <v>-76.91989</v>
      </c>
      <c r="N200">
        <f>HYPERLINK("https://www.google.com/maps/search/?api=1&amp;query=-12.166774,-76.91989","Jirón San Pedro, Villa María del Triunfo, Lima")</f>
      </c>
      <c r="O200" t="str">
        <v>Acelerado y giro brusco</v>
      </c>
      <c r="P200">
        <v>1370.2</v>
      </c>
      <c r="Q200" t="str">
        <v/>
      </c>
      <c r="R200">
        <v>13.8</v>
      </c>
      <c r="S200">
        <v>55.43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90</v>
      </c>
      <c r="AB200" t="str">
        <v>24/09/2026</v>
      </c>
      <c r="AC200" t="str">
        <v>09:06:43</v>
      </c>
      <c r="AD200">
        <f>IF("ONLINE"="NOGPS","GPS Antiguo","En línea")</f>
      </c>
      <c r="AE200">
        <f>IF(0=0,"Sin atender", IF(0=1,"Atendida","Atendida y Reportada"))</f>
      </c>
      <c r="AF200" t="str">
        <v/>
      </c>
      <c r="AG200" t="str">
        <v/>
      </c>
      <c r="AH200" t="str">
        <v/>
      </c>
      <c r="AI200" t="str">
        <v/>
      </c>
      <c r="AJ200" t="str">
        <v>24/09/2026 09:06:59</v>
      </c>
      <c r="AK200" t="str">
        <v>09:06:59</v>
      </c>
      <c r="AL200" t="str">
        <v/>
      </c>
    </row>
    <row r="201">
      <c r="A201">
        <v>200</v>
      </c>
      <c r="B201" t="str">
        <v>MASS BSF</v>
      </c>
      <c r="C201" t="str">
        <v>F8R-810</v>
      </c>
      <c r="D201" t="str">
        <v>F8R-810</v>
      </c>
      <c r="E201" t="str">
        <v/>
      </c>
      <c r="F201" t="str">
        <v>867806078868827</v>
      </c>
      <c r="G201" t="str">
        <v>TBD</v>
      </c>
      <c r="H201" t="str">
        <v/>
      </c>
      <c r="I201" t="str">
        <v/>
      </c>
      <c r="J201" t="str">
        <v>24/09/2026</v>
      </c>
      <c r="K201" t="str">
        <v>09:06:50</v>
      </c>
      <c r="L201">
        <v>-12.166873</v>
      </c>
      <c r="M201">
        <v>-76.91991</v>
      </c>
      <c r="N201">
        <f>HYPERLINK("https://www.google.com/maps/search/?api=1&amp;query=-12.166873,-76.91991","Jirón San Pedro, Villa María del Triunfo, Lima")</f>
      </c>
      <c r="O201" t="str">
        <v>Bache</v>
      </c>
      <c r="P201">
        <v>1370.2</v>
      </c>
      <c r="Q201" t="str">
        <v/>
      </c>
      <c r="R201">
        <v>13.1</v>
      </c>
      <c r="S201">
        <v>55.43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90</v>
      </c>
      <c r="AB201" t="str">
        <v>24/09/2026</v>
      </c>
      <c r="AC201" t="str">
        <v>09:06:46</v>
      </c>
      <c r="AD201">
        <f>IF("ONLINE"="NOGPS","GPS Antiguo","En línea")</f>
      </c>
      <c r="AE201">
        <f>IF(0=0,"Sin atender", IF(0=1,"Atendida","Atendida y Reportada"))</f>
      </c>
      <c r="AF201" t="str">
        <v/>
      </c>
      <c r="AG201" t="str">
        <v/>
      </c>
      <c r="AH201" t="str">
        <v/>
      </c>
      <c r="AI201" t="str">
        <v/>
      </c>
      <c r="AJ201" t="str">
        <v>24/09/2026 09:07:12</v>
      </c>
      <c r="AK201" t="str">
        <v>09:07:12</v>
      </c>
      <c r="AL201" t="str">
        <v/>
      </c>
    </row>
    <row r="202">
      <c r="A202">
        <v>201</v>
      </c>
      <c r="B202" t="str">
        <v>MASS BSF</v>
      </c>
      <c r="C202" t="str">
        <v>F8R-810</v>
      </c>
      <c r="D202" t="str">
        <v>F8R-810</v>
      </c>
      <c r="E202" t="str">
        <v/>
      </c>
      <c r="F202" t="str">
        <v>867806078868827</v>
      </c>
      <c r="G202" t="str">
        <v>TBD</v>
      </c>
      <c r="H202" t="str">
        <v/>
      </c>
      <c r="I202" t="str">
        <v/>
      </c>
      <c r="J202" t="str">
        <v>24/09/2026</v>
      </c>
      <c r="K202" t="str">
        <v>09:06:58</v>
      </c>
      <c r="L202">
        <v>-12.167137</v>
      </c>
      <c r="M202">
        <v>-76.91993</v>
      </c>
      <c r="N202">
        <f>HYPERLINK("https://www.google.com/maps/search/?api=1&amp;query=-12.167137,-76.91993","Jirón San Pedro, Villa María del Triunfo, Lima")</f>
      </c>
      <c r="O202" t="str">
        <v>Acelerado y giro brusco</v>
      </c>
      <c r="P202">
        <v>1370.2</v>
      </c>
      <c r="Q202" t="str">
        <v/>
      </c>
      <c r="R202">
        <v>12.4</v>
      </c>
      <c r="S202">
        <v>55.43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90</v>
      </c>
      <c r="AB202" t="str">
        <v>24/09/2026</v>
      </c>
      <c r="AC202" t="str">
        <v>09:06:54</v>
      </c>
      <c r="AD202">
        <f>IF("ONLINE"="NOGPS","GPS Antiguo","En línea")</f>
      </c>
      <c r="AE202">
        <f>IF(0=0,"Sin atender", IF(0=1,"Atendida","Atendida y Reportada"))</f>
      </c>
      <c r="AF202" t="str">
        <v/>
      </c>
      <c r="AG202" t="str">
        <v/>
      </c>
      <c r="AH202" t="str">
        <v/>
      </c>
      <c r="AI202" t="str">
        <v/>
      </c>
      <c r="AJ202" t="str">
        <v>24/09/2026 09:07:15</v>
      </c>
      <c r="AK202" t="str">
        <v>09:07:15</v>
      </c>
      <c r="AL202" t="str">
        <v/>
      </c>
    </row>
    <row r="203">
      <c r="A203">
        <v>202</v>
      </c>
      <c r="B203" t="str">
        <v>MASS BSF</v>
      </c>
      <c r="C203" t="str">
        <v>F8R-810</v>
      </c>
      <c r="D203" t="str">
        <v>F8R-810</v>
      </c>
      <c r="E203" t="str">
        <v/>
      </c>
      <c r="F203" t="str">
        <v>867806078868827</v>
      </c>
      <c r="G203" t="str">
        <v>TBD</v>
      </c>
      <c r="H203" t="str">
        <v/>
      </c>
      <c r="I203" t="str">
        <v/>
      </c>
      <c r="J203" t="str">
        <v>24/09/2026</v>
      </c>
      <c r="K203" t="str">
        <v>09:07:03</v>
      </c>
      <c r="L203">
        <v>-12.167275</v>
      </c>
      <c r="M203">
        <v>-76.919945</v>
      </c>
      <c r="N203">
        <f>HYPERLINK("https://www.google.com/maps/search/?api=1&amp;query=-12.167275,-76.919945","Jirón San Pedro, Villa María del Triunfo, Lima")</f>
      </c>
      <c r="O203" t="str">
        <v>Acelerado y giro brusco</v>
      </c>
      <c r="P203">
        <v>1370.2</v>
      </c>
      <c r="Q203" t="str">
        <v/>
      </c>
      <c r="R203">
        <v>9.4</v>
      </c>
      <c r="S203">
        <v>55.43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90</v>
      </c>
      <c r="AB203" t="str">
        <v>24/09/2026</v>
      </c>
      <c r="AC203" t="str">
        <v>09:06:59</v>
      </c>
      <c r="AD203">
        <f>IF("ONLINE"="NOGPS","GPS Antiguo","En línea")</f>
      </c>
      <c r="AE203">
        <f>IF(0=0,"Sin atender", IF(0=1,"Atendida","Atendida y Reportada"))</f>
      </c>
      <c r="AF203" t="str">
        <v/>
      </c>
      <c r="AG203" t="str">
        <v/>
      </c>
      <c r="AH203" t="str">
        <v/>
      </c>
      <c r="AI203" t="str">
        <v/>
      </c>
      <c r="AJ203" t="str">
        <v>24/09/2026 09:07:23</v>
      </c>
      <c r="AK203" t="str">
        <v>09:07:23</v>
      </c>
      <c r="AL203" t="str">
        <v/>
      </c>
    </row>
    <row r="204">
      <c r="A204">
        <v>203</v>
      </c>
      <c r="B204" t="str">
        <v>MASS BSF</v>
      </c>
      <c r="C204" t="str">
        <v>F8R-810</v>
      </c>
      <c r="D204" t="str">
        <v>F8R-810</v>
      </c>
      <c r="E204" t="str">
        <v/>
      </c>
      <c r="F204" t="str">
        <v>867806078868827</v>
      </c>
      <c r="G204" t="str">
        <v>TBD</v>
      </c>
      <c r="H204" t="str">
        <v/>
      </c>
      <c r="I204" t="str">
        <v/>
      </c>
      <c r="J204" t="str">
        <v>24/09/2026</v>
      </c>
      <c r="K204" t="str">
        <v>09:07:14</v>
      </c>
      <c r="L204">
        <v>-12.167408</v>
      </c>
      <c r="M204">
        <v>-76.91995</v>
      </c>
      <c r="N204">
        <f>HYPERLINK("https://www.google.com/maps/search/?api=1&amp;query=-12.167408,-76.91995","Jirón San Pedro, Villa María del Triunfo, Lima")</f>
      </c>
      <c r="O204" t="str">
        <v>Acelerado y giro brusco</v>
      </c>
      <c r="P204">
        <v>1370.3</v>
      </c>
      <c r="Q204" t="str">
        <v/>
      </c>
      <c r="R204">
        <v>7.5</v>
      </c>
      <c r="S204">
        <v>55.43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90</v>
      </c>
      <c r="AB204" t="str">
        <v>24/09/2026</v>
      </c>
      <c r="AC204" t="str">
        <v>09:07:10</v>
      </c>
      <c r="AD204">
        <f>IF("ONLINE"="NOGPS","GPS Antiguo","En línea")</f>
      </c>
      <c r="AE204">
        <f>IF(0=0,"Sin atender", IF(0=1,"Atendida","Atendida y Reportada"))</f>
      </c>
      <c r="AF204" t="str">
        <v/>
      </c>
      <c r="AG204" t="str">
        <v/>
      </c>
      <c r="AH204" t="str">
        <v/>
      </c>
      <c r="AI204" t="str">
        <v/>
      </c>
      <c r="AJ204" t="str">
        <v>24/09/2026 09:07:21</v>
      </c>
      <c r="AK204" t="str">
        <v>09:07:21</v>
      </c>
      <c r="AL204" t="str">
        <v/>
      </c>
    </row>
    <row r="205">
      <c r="A205">
        <v>204</v>
      </c>
      <c r="B205" t="str">
        <v>MASS BSF</v>
      </c>
      <c r="C205" t="str">
        <v>F8R-810</v>
      </c>
      <c r="D205" t="str">
        <v>F8R-810</v>
      </c>
      <c r="E205" t="str">
        <v/>
      </c>
      <c r="F205" t="str">
        <v>867806078868827</v>
      </c>
      <c r="G205" t="str">
        <v>TBD</v>
      </c>
      <c r="H205" t="str">
        <v/>
      </c>
      <c r="I205" t="str">
        <v/>
      </c>
      <c r="J205" t="str">
        <v>24/09/2026</v>
      </c>
      <c r="K205" t="str">
        <v>09:07:48</v>
      </c>
      <c r="L205">
        <v>-12.16767</v>
      </c>
      <c r="M205">
        <v>-76.92167</v>
      </c>
      <c r="N205">
        <f>HYPERLINK("https://www.google.com/maps/search/?api=1&amp;query=-12.16767,-76.92167","Avenida 26 de Noviembre, Villa María del Triunfo, Lima")</f>
      </c>
      <c r="O205" t="str">
        <v>Acelerado y giro brusco</v>
      </c>
      <c r="P205">
        <v>1370.4</v>
      </c>
      <c r="Q205" t="str">
        <v/>
      </c>
      <c r="R205">
        <v>32</v>
      </c>
      <c r="S205">
        <v>55.43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85</v>
      </c>
      <c r="AB205" t="str">
        <v>24/09/2026</v>
      </c>
      <c r="AC205" t="str">
        <v>09:07:44</v>
      </c>
      <c r="AD205">
        <f>IF("ONLINE"="NOGPS","GPS Antiguo","En línea")</f>
      </c>
      <c r="AE205">
        <f>IF(0=0,"Sin atender", IF(0=1,"Atendida","Atendida y Reportada"))</f>
      </c>
      <c r="AF205" t="str">
        <v/>
      </c>
      <c r="AG205" t="str">
        <v/>
      </c>
      <c r="AH205" t="str">
        <v/>
      </c>
      <c r="AI205" t="str">
        <v/>
      </c>
      <c r="AJ205" t="str">
        <v>24/09/2026 09:07:54</v>
      </c>
      <c r="AK205" t="str">
        <v>09:07:54</v>
      </c>
      <c r="AL205" t="str">
        <v/>
      </c>
    </row>
    <row r="206">
      <c r="A206">
        <v>205</v>
      </c>
      <c r="B206" t="str">
        <v>MASS BSF</v>
      </c>
      <c r="C206" t="str">
        <v>F8R-810</v>
      </c>
      <c r="D206" t="str">
        <v>F8R-810</v>
      </c>
      <c r="E206" t="str">
        <v/>
      </c>
      <c r="F206" t="str">
        <v>867806078868827</v>
      </c>
      <c r="G206" t="str">
        <v>TBD</v>
      </c>
      <c r="H206" t="str">
        <v/>
      </c>
      <c r="I206" t="str">
        <v/>
      </c>
      <c r="J206" t="str">
        <v>24/09/2026</v>
      </c>
      <c r="K206" t="str">
        <v>09:08:17</v>
      </c>
      <c r="L206">
        <v>-12.167418</v>
      </c>
      <c r="M206">
        <v>-76.923744</v>
      </c>
      <c r="N206">
        <f>HYPERLINK("https://www.google.com/maps/search/?api=1&amp;query=-12.167418,-76.923744","Avenida 26 de Noviembre, Villa María del Triunfo, Lima")</f>
      </c>
      <c r="O206" t="str">
        <v>Acelerado y giro brusco</v>
      </c>
      <c r="P206">
        <v>1370.7</v>
      </c>
      <c r="Q206" t="str">
        <v/>
      </c>
      <c r="R206">
        <v>24.2</v>
      </c>
      <c r="S206">
        <v>55.43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86</v>
      </c>
      <c r="AB206" t="str">
        <v>24/09/2026</v>
      </c>
      <c r="AC206" t="str">
        <v>09:08:13</v>
      </c>
      <c r="AD206">
        <f>IF("ONLINE"="NOGPS","GPS Antiguo","En línea")</f>
      </c>
      <c r="AE206">
        <f>IF(0=0,"Sin atender", IF(0=1,"Atendida","Atendida y Reportada"))</f>
      </c>
      <c r="AF206" t="str">
        <v/>
      </c>
      <c r="AG206" t="str">
        <v/>
      </c>
      <c r="AH206" t="str">
        <v/>
      </c>
      <c r="AI206" t="str">
        <v/>
      </c>
      <c r="AJ206" t="str">
        <v>24/09/2026 09:08:34</v>
      </c>
      <c r="AK206" t="str">
        <v>09:08:34</v>
      </c>
      <c r="AL206" t="str">
        <v/>
      </c>
    </row>
    <row r="207">
      <c r="A207">
        <v>206</v>
      </c>
      <c r="B207" t="str">
        <v>MASS BSF</v>
      </c>
      <c r="C207" t="str">
        <v>F8R-810</v>
      </c>
      <c r="D207" t="str">
        <v>F8R-810</v>
      </c>
      <c r="E207" t="str">
        <v/>
      </c>
      <c r="F207" t="str">
        <v>867806078868827</v>
      </c>
      <c r="G207" t="str">
        <v>TBD</v>
      </c>
      <c r="H207" t="str">
        <v/>
      </c>
      <c r="I207" t="str">
        <v/>
      </c>
      <c r="J207" t="str">
        <v>24/09/2026</v>
      </c>
      <c r="K207" t="str">
        <v>09:08:24</v>
      </c>
      <c r="L207">
        <v>-12.167312</v>
      </c>
      <c r="M207">
        <v>-76.92411</v>
      </c>
      <c r="N207">
        <f>HYPERLINK("https://www.google.com/maps/search/?api=1&amp;query=-12.167312,-76.92411","Avenida 26 de Noviembre, Villa María del Triunfo, Lima")</f>
      </c>
      <c r="O207" t="str">
        <v>Acelerado y giro brusco</v>
      </c>
      <c r="P207">
        <v>1370.7</v>
      </c>
      <c r="Q207" t="str">
        <v/>
      </c>
      <c r="R207">
        <v>22.2</v>
      </c>
      <c r="S207">
        <v>55.43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86</v>
      </c>
      <c r="AB207" t="str">
        <v>24/09/2026</v>
      </c>
      <c r="AC207" t="str">
        <v>09:08:20</v>
      </c>
      <c r="AD207">
        <f>IF("ONLINE"="NOGPS","GPS Antiguo","En línea")</f>
      </c>
      <c r="AE207">
        <f>IF(0=0,"Sin atender", IF(0=1,"Atendida","Atendida y Reportada"))</f>
      </c>
      <c r="AF207" t="str">
        <v/>
      </c>
      <c r="AG207" t="str">
        <v/>
      </c>
      <c r="AH207" t="str">
        <v/>
      </c>
      <c r="AI207" t="str">
        <v/>
      </c>
      <c r="AJ207" t="str">
        <v>24/09/2026 09:08:41</v>
      </c>
      <c r="AK207" t="str">
        <v>09:08:41</v>
      </c>
      <c r="AL207" t="str">
        <v/>
      </c>
    </row>
    <row r="208">
      <c r="A208">
        <v>207</v>
      </c>
      <c r="B208" t="str">
        <v>MASS BSF</v>
      </c>
      <c r="C208" t="str">
        <v>F8R-810</v>
      </c>
      <c r="D208" t="str">
        <v>F8R-810</v>
      </c>
      <c r="E208" t="str">
        <v/>
      </c>
      <c r="F208" t="str">
        <v>867806078868827</v>
      </c>
      <c r="G208" t="str">
        <v>TBD</v>
      </c>
      <c r="H208" t="str">
        <v/>
      </c>
      <c r="I208" t="str">
        <v/>
      </c>
      <c r="J208" t="str">
        <v>24/09/2026</v>
      </c>
      <c r="K208" t="str">
        <v>09:08:41</v>
      </c>
      <c r="L208">
        <v>-12.167137</v>
      </c>
      <c r="M208">
        <v>-76.92458</v>
      </c>
      <c r="N208">
        <f>HYPERLINK("https://www.google.com/maps/search/?api=1&amp;query=-12.167137,-76.92458","Avenida 26 de Noviembre, Villa María del Triunfo, Lima")</f>
      </c>
      <c r="O208" t="str">
        <v>Aceleración brusca</v>
      </c>
      <c r="P208">
        <v>1370.8</v>
      </c>
      <c r="Q208" t="str">
        <v/>
      </c>
      <c r="R208">
        <v>0</v>
      </c>
      <c r="S208">
        <v>55.43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86</v>
      </c>
      <c r="AB208" t="str">
        <v>24/09/2026</v>
      </c>
      <c r="AC208" t="str">
        <v>09:08:37</v>
      </c>
      <c r="AD208">
        <f>IF("ONLINE"="NOGPS","GPS Antiguo","En línea")</f>
      </c>
      <c r="AE208">
        <f>IF(0=0,"Sin atender", IF(0=1,"Atendida","Atendida y Reportada"))</f>
      </c>
      <c r="AF208" t="str">
        <v/>
      </c>
      <c r="AG208" t="str">
        <v/>
      </c>
      <c r="AH208" t="str">
        <v/>
      </c>
      <c r="AI208" t="str">
        <v/>
      </c>
      <c r="AJ208" t="str">
        <v>24/09/2026 09:09:03</v>
      </c>
      <c r="AK208" t="str">
        <v>09:09:03</v>
      </c>
      <c r="AL208" t="str">
        <v/>
      </c>
    </row>
    <row r="209">
      <c r="A209">
        <v>208</v>
      </c>
      <c r="B209" t="str">
        <v>MASS BSF</v>
      </c>
      <c r="C209" t="str">
        <v>F8R-810</v>
      </c>
      <c r="D209" t="str">
        <v>F8R-810</v>
      </c>
      <c r="E209" t="str">
        <v/>
      </c>
      <c r="F209" t="str">
        <v>867806078868827</v>
      </c>
      <c r="G209" t="str">
        <v>TBD</v>
      </c>
      <c r="H209" t="str">
        <v/>
      </c>
      <c r="I209" t="str">
        <v/>
      </c>
      <c r="J209" t="str">
        <v>24/09/2026</v>
      </c>
      <c r="K209" t="str">
        <v>09:08:53</v>
      </c>
      <c r="L209">
        <v>-12.167135</v>
      </c>
      <c r="M209">
        <v>-76.92459</v>
      </c>
      <c r="N209">
        <f>HYPERLINK("https://www.google.com/maps/search/?api=1&amp;query=-12.167135,-76.92459","Avenida 26 de Noviembre, Villa María del Triunfo, Lima")</f>
      </c>
      <c r="O209" t="str">
        <v>Acelerado y giro brusco</v>
      </c>
      <c r="P209">
        <v>1370.8</v>
      </c>
      <c r="Q209" t="str">
        <v/>
      </c>
      <c r="R209">
        <v>0</v>
      </c>
      <c r="S209">
        <v>55.43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86</v>
      </c>
      <c r="AB209" t="str">
        <v>24/09/2026</v>
      </c>
      <c r="AC209" t="str">
        <v>09:08:49</v>
      </c>
      <c r="AD209">
        <f>IF("ONLINE"="NOGPS","GPS Antiguo","En línea")</f>
      </c>
      <c r="AE209">
        <f>IF(0=0,"Sin atender", IF(0=1,"Atendida","Atendida y Reportada"))</f>
      </c>
      <c r="AF209" t="str">
        <v/>
      </c>
      <c r="AG209" t="str">
        <v/>
      </c>
      <c r="AH209" t="str">
        <v/>
      </c>
      <c r="AI209" t="str">
        <v/>
      </c>
      <c r="AJ209" t="str">
        <v>24/09/2026 09:09:06</v>
      </c>
      <c r="AK209" t="str">
        <v>09:09:06</v>
      </c>
      <c r="AL209" t="str">
        <v/>
      </c>
    </row>
    <row r="210">
      <c r="A210">
        <v>209</v>
      </c>
      <c r="B210" t="str">
        <v>MASS BSF</v>
      </c>
      <c r="C210" t="str">
        <v>F8R-810</v>
      </c>
      <c r="D210" t="str">
        <v>F8R-810</v>
      </c>
      <c r="E210" t="str">
        <v/>
      </c>
      <c r="F210" t="str">
        <v>867806078868827</v>
      </c>
      <c r="G210" t="str">
        <v>TBD</v>
      </c>
      <c r="H210" t="str">
        <v/>
      </c>
      <c r="I210" t="str">
        <v/>
      </c>
      <c r="J210" t="str">
        <v>24/09/2026</v>
      </c>
      <c r="K210" t="str">
        <v>09:09:10</v>
      </c>
      <c r="L210">
        <v>-12.167135</v>
      </c>
      <c r="M210">
        <v>-76.92459</v>
      </c>
      <c r="N210">
        <f>HYPERLINK("https://www.google.com/maps/search/?api=1&amp;query=-12.167135,-76.92459","Avenida 26 de Noviembre, Villa María del Triunfo, Lima")</f>
      </c>
      <c r="O210" t="str">
        <v>Acelerado y giro brusco</v>
      </c>
      <c r="P210">
        <v>1370.8</v>
      </c>
      <c r="Q210" t="str">
        <v/>
      </c>
      <c r="R210">
        <v>0</v>
      </c>
      <c r="S210">
        <v>55.43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86</v>
      </c>
      <c r="AB210" t="str">
        <v>24/09/2026</v>
      </c>
      <c r="AC210" t="str">
        <v>09:09:06</v>
      </c>
      <c r="AD210">
        <f>IF("ONLINE"="NOGPS","GPS Antiguo","En línea")</f>
      </c>
      <c r="AE210">
        <f>IF(0=0,"Sin atender", IF(0=1,"Atendida","Atendida y Reportada"))</f>
      </c>
      <c r="AF210" t="str">
        <v/>
      </c>
      <c r="AG210" t="str">
        <v/>
      </c>
      <c r="AH210" t="str">
        <v/>
      </c>
      <c r="AI210" t="str">
        <v/>
      </c>
      <c r="AJ210" t="str">
        <v>24/09/2026 09:09:23</v>
      </c>
      <c r="AK210" t="str">
        <v>09:09:23</v>
      </c>
      <c r="AL210" t="str">
        <v/>
      </c>
    </row>
    <row r="211">
      <c r="A211">
        <v>210</v>
      </c>
      <c r="B211" t="str">
        <v>MASS BSF</v>
      </c>
      <c r="C211" t="str">
        <v>F8R-810</v>
      </c>
      <c r="D211" t="str">
        <v>F8R-810</v>
      </c>
      <c r="E211" t="str">
        <v/>
      </c>
      <c r="F211" t="str">
        <v>867806078868827</v>
      </c>
      <c r="G211" t="str">
        <v>TBD</v>
      </c>
      <c r="H211" t="str">
        <v/>
      </c>
      <c r="I211" t="str">
        <v/>
      </c>
      <c r="J211" t="str">
        <v>24/09/2026</v>
      </c>
      <c r="K211" t="str">
        <v>09:10:48</v>
      </c>
      <c r="L211">
        <v>-12.167135</v>
      </c>
      <c r="M211">
        <v>-76.92459</v>
      </c>
      <c r="N211">
        <f>HYPERLINK("https://www.google.com/maps/search/?api=1&amp;query=-12.167135,-76.92459","Avenida 26 de Noviembre, Villa María del Triunfo, Lima")</f>
      </c>
      <c r="O211" t="str">
        <v>Vehículo apagado</v>
      </c>
      <c r="P211">
        <v>1370.8</v>
      </c>
      <c r="Q211" t="str">
        <v/>
      </c>
      <c r="R211">
        <v>0</v>
      </c>
      <c r="S211">
        <v>55.6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85</v>
      </c>
      <c r="AB211" t="str">
        <v>24/09/2026</v>
      </c>
      <c r="AC211" t="str">
        <v>09:10:44</v>
      </c>
      <c r="AD211">
        <f>IF("ONLINE"="NOGPS","GPS Antiguo","En línea")</f>
      </c>
      <c r="AE211">
        <f>IF(0=0,"Sin atender", IF(0=1,"Atendida","Atendida y Reportada"))</f>
      </c>
      <c r="AF211" t="str">
        <v/>
      </c>
      <c r="AG211" t="str">
        <v/>
      </c>
      <c r="AH211" t="str">
        <v/>
      </c>
      <c r="AI211" t="str">
        <v/>
      </c>
      <c r="AJ211" t="str">
        <v>24/09/2026 09:10:59</v>
      </c>
      <c r="AK211" t="str">
        <v>09:10:59</v>
      </c>
      <c r="AL211" t="str">
        <v/>
      </c>
    </row>
    <row r="212">
      <c r="A212">
        <v>211</v>
      </c>
      <c r="B212" t="str">
        <v>MASS BSF</v>
      </c>
      <c r="C212" t="str">
        <v>F8R-810</v>
      </c>
      <c r="D212" t="str">
        <v>F8R-810</v>
      </c>
      <c r="E212" t="str">
        <v/>
      </c>
      <c r="F212" t="str">
        <v>867806078868827</v>
      </c>
      <c r="G212" t="str">
        <v>TBD</v>
      </c>
      <c r="H212" t="str">
        <v/>
      </c>
      <c r="I212" t="str">
        <v/>
      </c>
      <c r="J212" t="str">
        <v>24/09/2026</v>
      </c>
      <c r="K212" t="str">
        <v>09:13:00</v>
      </c>
      <c r="L212">
        <v>-12.167135</v>
      </c>
      <c r="M212">
        <v>-76.92459</v>
      </c>
      <c r="N212">
        <f>HYPERLINK("https://www.google.com/maps/search/?api=1&amp;query=-12.167135,-76.92459","Avenida 26 de Noviembre, Villa María del Triunfo, Lima")</f>
      </c>
      <c r="O212" t="str">
        <v>Vehículo encendido</v>
      </c>
      <c r="P212">
        <v>1370.8</v>
      </c>
      <c r="Q212" t="str">
        <v/>
      </c>
      <c r="R212">
        <v>0</v>
      </c>
      <c r="S212">
        <v>55.6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85</v>
      </c>
      <c r="AB212" t="str">
        <v>24/09/2026</v>
      </c>
      <c r="AC212" t="str">
        <v>09:12:56</v>
      </c>
      <c r="AD212">
        <f>IF("ONLINE"="NOGPS","GPS Antiguo","En línea")</f>
      </c>
      <c r="AE212">
        <f>IF(0=0,"Sin atender", IF(0=1,"Atendida","Atendida y Reportada"))</f>
      </c>
      <c r="AF212" t="str">
        <v/>
      </c>
      <c r="AG212" t="str">
        <v/>
      </c>
      <c r="AH212" t="str">
        <v/>
      </c>
      <c r="AI212" t="str">
        <v/>
      </c>
      <c r="AJ212" t="str">
        <v>24/09/2026 09:13:20</v>
      </c>
      <c r="AK212" t="str">
        <v>09:13:20</v>
      </c>
      <c r="AL212" t="str">
        <v/>
      </c>
    </row>
    <row r="213">
      <c r="A213">
        <v>212</v>
      </c>
      <c r="B213" t="str">
        <v>MASS BSF</v>
      </c>
      <c r="C213" t="str">
        <v>F8R-810</v>
      </c>
      <c r="D213" t="str">
        <v>F8R-810</v>
      </c>
      <c r="E213" t="str">
        <v/>
      </c>
      <c r="F213" t="str">
        <v>867806078868827</v>
      </c>
      <c r="G213" t="str">
        <v>TBD</v>
      </c>
      <c r="H213" t="str">
        <v/>
      </c>
      <c r="I213" t="str">
        <v/>
      </c>
      <c r="J213" t="str">
        <v>24/09/2026</v>
      </c>
      <c r="K213" t="str">
        <v>09:13:14</v>
      </c>
      <c r="L213">
        <v>-12.167135</v>
      </c>
      <c r="M213">
        <v>-76.92459</v>
      </c>
      <c r="N213">
        <f>HYPERLINK("https://www.google.com/maps/search/?api=1&amp;query=-12.167135,-76.92459","Avenida 26 de Noviembre, Villa María del Triunfo, Lima")</f>
      </c>
      <c r="O213" t="str">
        <v>Vehículo apagado</v>
      </c>
      <c r="P213">
        <v>1370.8</v>
      </c>
      <c r="Q213" t="str">
        <v/>
      </c>
      <c r="R213">
        <v>0</v>
      </c>
      <c r="S213">
        <v>55.6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85</v>
      </c>
      <c r="AB213" t="str">
        <v>24/09/2026</v>
      </c>
      <c r="AC213" t="str">
        <v>09:13:10</v>
      </c>
      <c r="AD213">
        <f>IF("ONLINE"="NOGPS","GPS Antiguo","En línea")</f>
      </c>
      <c r="AE213">
        <f>IF(0=0,"Sin atender", IF(0=1,"Atendida","Atendida y Reportada"))</f>
      </c>
      <c r="AF213" t="str">
        <v/>
      </c>
      <c r="AG213" t="str">
        <v/>
      </c>
      <c r="AH213" t="str">
        <v/>
      </c>
      <c r="AI213" t="str">
        <v/>
      </c>
      <c r="AJ213" t="str">
        <v>24/09/2026 09:13:16</v>
      </c>
      <c r="AK213" t="str">
        <v>09:13:16</v>
      </c>
      <c r="AL213" t="str">
        <v/>
      </c>
    </row>
    <row r="214">
      <c r="A214">
        <v>213</v>
      </c>
      <c r="B214" t="str">
        <v>MASS BSF</v>
      </c>
      <c r="C214" t="str">
        <v>F8R-810</v>
      </c>
      <c r="D214" t="str">
        <v>F8R-810</v>
      </c>
      <c r="E214" t="str">
        <v/>
      </c>
      <c r="F214" t="str">
        <v>867806078868827</v>
      </c>
      <c r="G214" t="str">
        <v>TBD</v>
      </c>
      <c r="H214" t="str">
        <v/>
      </c>
      <c r="I214" t="str">
        <v/>
      </c>
      <c r="J214" t="str">
        <v>24/09/2026</v>
      </c>
      <c r="K214" t="str">
        <v>09:26:10</v>
      </c>
      <c r="L214">
        <v>-12.167135</v>
      </c>
      <c r="M214">
        <v>-76.92459</v>
      </c>
      <c r="N214">
        <f>HYPERLINK("https://www.google.com/maps/search/?api=1&amp;query=-12.167135,-76.92459","Avenida 26 de Noviembre, Villa María del Triunfo, Lima")</f>
      </c>
      <c r="O214" t="str">
        <v>Vehículo encendido</v>
      </c>
      <c r="P214">
        <v>1370.8</v>
      </c>
      <c r="Q214" t="str">
        <v/>
      </c>
      <c r="R214">
        <v>0</v>
      </c>
      <c r="S214">
        <v>55.6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85</v>
      </c>
      <c r="AB214" t="str">
        <v>24/09/2026</v>
      </c>
      <c r="AC214" t="str">
        <v>09:26:06</v>
      </c>
      <c r="AD214">
        <f>IF("ONLINE"="NOGPS","GPS Antiguo","En línea")</f>
      </c>
      <c r="AE214">
        <f>IF(0=0,"Sin atender", IF(0=1,"Atendida","Atendida y Reportada"))</f>
      </c>
      <c r="AF214" t="str">
        <v/>
      </c>
      <c r="AG214" t="str">
        <v/>
      </c>
      <c r="AH214" t="str">
        <v/>
      </c>
      <c r="AI214" t="str">
        <v/>
      </c>
      <c r="AJ214" t="str">
        <v>24/09/2026 09:26:24</v>
      </c>
      <c r="AK214" t="str">
        <v>09:26:24</v>
      </c>
      <c r="AL214" t="str">
        <v/>
      </c>
    </row>
    <row r="215">
      <c r="A215">
        <v>214</v>
      </c>
      <c r="B215" t="str">
        <v>MASS BSF</v>
      </c>
      <c r="C215" t="str">
        <v>F8R-810</v>
      </c>
      <c r="D215" t="str">
        <v>F8R-810</v>
      </c>
      <c r="E215" t="str">
        <v/>
      </c>
      <c r="F215" t="str">
        <v>867806078868827</v>
      </c>
      <c r="G215" t="str">
        <v>TBD</v>
      </c>
      <c r="H215" t="str">
        <v/>
      </c>
      <c r="I215" t="str">
        <v/>
      </c>
      <c r="J215" t="str">
        <v>24/09/2026</v>
      </c>
      <c r="K215" t="str">
        <v>09:26:21</v>
      </c>
      <c r="L215">
        <v>-12.167135</v>
      </c>
      <c r="M215">
        <v>-76.92459</v>
      </c>
      <c r="N215">
        <f>HYPERLINK("https://www.google.com/maps/search/?api=1&amp;query=-12.167135,-76.92459","Avenida 26 de Noviembre, Villa María del Triunfo, Lima")</f>
      </c>
      <c r="O215" t="str">
        <v>Aceleración brusca</v>
      </c>
      <c r="P215">
        <v>1370.8</v>
      </c>
      <c r="Q215" t="str">
        <v/>
      </c>
      <c r="R215">
        <v>0</v>
      </c>
      <c r="S215">
        <v>55.6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85</v>
      </c>
      <c r="AB215" t="str">
        <v>24/09/2026</v>
      </c>
      <c r="AC215" t="str">
        <v>09:26:17</v>
      </c>
      <c r="AD215">
        <f>IF("ONLINE"="NOGPS","GPS Antiguo","En línea")</f>
      </c>
      <c r="AE215">
        <f>IF(0=0,"Sin atender", IF(0=1,"Atendida","Atendida y Reportada"))</f>
      </c>
      <c r="AF215" t="str">
        <v/>
      </c>
      <c r="AG215" t="str">
        <v/>
      </c>
      <c r="AH215" t="str">
        <v/>
      </c>
      <c r="AI215" t="str">
        <v/>
      </c>
      <c r="AJ215" t="str">
        <v>24/09/2026 09:26:25</v>
      </c>
      <c r="AK215" t="str">
        <v>09:26:25</v>
      </c>
      <c r="AL215" t="str">
        <v/>
      </c>
    </row>
    <row r="216">
      <c r="A216">
        <v>215</v>
      </c>
      <c r="B216" t="str">
        <v>MASS BSF</v>
      </c>
      <c r="C216" t="str">
        <v>F8R-810</v>
      </c>
      <c r="D216" t="str">
        <v>F8R-810</v>
      </c>
      <c r="E216" t="str">
        <v/>
      </c>
      <c r="F216" t="str">
        <v>867806078868827</v>
      </c>
      <c r="G216" t="str">
        <v>TBD</v>
      </c>
      <c r="H216" t="str">
        <v/>
      </c>
      <c r="I216" t="str">
        <v/>
      </c>
      <c r="J216" t="str">
        <v>24/09/2026</v>
      </c>
      <c r="K216" t="str">
        <v>09:26:56</v>
      </c>
      <c r="L216">
        <v>-12.167135</v>
      </c>
      <c r="M216">
        <v>-76.92459</v>
      </c>
      <c r="N216">
        <f>HYPERLINK("https://www.google.com/maps/search/?api=1&amp;query=-12.167135,-76.92459","Avenida 26 de Noviembre, Villa María del Triunfo, Lima")</f>
      </c>
      <c r="O216" t="str">
        <v>Se movio</v>
      </c>
      <c r="P216">
        <v>1370.8</v>
      </c>
      <c r="Q216" t="str">
        <v/>
      </c>
      <c r="R216">
        <v>0</v>
      </c>
      <c r="S216">
        <v>55.6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85</v>
      </c>
      <c r="AB216" t="str">
        <v>24/09/2026</v>
      </c>
      <c r="AC216" t="str">
        <v>09:26:52</v>
      </c>
      <c r="AD216">
        <f>IF("ONLINE"="NOGPS","GPS Antiguo","En línea")</f>
      </c>
      <c r="AE216">
        <f>IF(0=0,"Sin atender", IF(0=1,"Atendida","Atendida y Reportada"))</f>
      </c>
      <c r="AF216" t="str">
        <v/>
      </c>
      <c r="AG216" t="str">
        <v/>
      </c>
      <c r="AH216" t="str">
        <v/>
      </c>
      <c r="AI216" t="str">
        <v/>
      </c>
      <c r="AJ216" t="str">
        <v>24/09/2026 09:27:00</v>
      </c>
      <c r="AK216" t="str">
        <v>09:27:00</v>
      </c>
      <c r="AL216" t="str">
        <v/>
      </c>
    </row>
    <row r="217">
      <c r="A217">
        <v>216</v>
      </c>
      <c r="B217" t="str">
        <v>MASS BSF</v>
      </c>
      <c r="C217" t="str">
        <v>F8R-810</v>
      </c>
      <c r="D217" t="str">
        <v>F8R-810</v>
      </c>
      <c r="E217" t="str">
        <v/>
      </c>
      <c r="F217" t="str">
        <v>867806078868827</v>
      </c>
      <c r="G217" t="str">
        <v>TBD</v>
      </c>
      <c r="H217" t="str">
        <v/>
      </c>
      <c r="I217" t="str">
        <v/>
      </c>
      <c r="J217" t="str">
        <v>24/09/2026</v>
      </c>
      <c r="K217" t="str">
        <v>09:27:08</v>
      </c>
      <c r="L217">
        <v>-12.167124</v>
      </c>
      <c r="M217">
        <v>-76.924736</v>
      </c>
      <c r="N217">
        <f>HYPERLINK("https://www.google.com/maps/search/?api=1&amp;query=-12.167124,-76.924736","Avenida 26 de Noviembre, Villa María del Triunfo, Lima")</f>
      </c>
      <c r="O217" t="str">
        <v>Acelerado y giro brusco</v>
      </c>
      <c r="P217">
        <v>1370.8</v>
      </c>
      <c r="Q217" t="str">
        <v/>
      </c>
      <c r="R217">
        <v>14.2</v>
      </c>
      <c r="S217">
        <v>55.6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85</v>
      </c>
      <c r="AB217" t="str">
        <v>24/09/2026</v>
      </c>
      <c r="AC217" t="str">
        <v>09:27:03</v>
      </c>
      <c r="AD217">
        <f>IF("ONLINE"="NOGPS","GPS Antiguo","En línea")</f>
      </c>
      <c r="AE217">
        <f>IF(0=0,"Sin atender", IF(0=1,"Atendida","Atendida y Reportada"))</f>
      </c>
      <c r="AF217" t="str">
        <v/>
      </c>
      <c r="AG217" t="str">
        <v/>
      </c>
      <c r="AH217" t="str">
        <v/>
      </c>
      <c r="AI217" t="str">
        <v/>
      </c>
      <c r="AJ217" t="str">
        <v>24/09/2026 09:27:20</v>
      </c>
      <c r="AK217" t="str">
        <v>09:27:20</v>
      </c>
      <c r="AL217" t="str">
        <v/>
      </c>
    </row>
    <row r="218">
      <c r="A218">
        <v>217</v>
      </c>
      <c r="B218" t="str">
        <v>MASS BSF</v>
      </c>
      <c r="C218" t="str">
        <v>F8R-810</v>
      </c>
      <c r="D218" t="str">
        <v>F8R-810</v>
      </c>
      <c r="E218" t="str">
        <v/>
      </c>
      <c r="F218" t="str">
        <v>867806078868827</v>
      </c>
      <c r="G218" t="str">
        <v>TBD</v>
      </c>
      <c r="H218" t="str">
        <v/>
      </c>
      <c r="I218" t="str">
        <v/>
      </c>
      <c r="J218" t="str">
        <v>24/09/2026</v>
      </c>
      <c r="K218" t="str">
        <v>09:27:45</v>
      </c>
      <c r="L218">
        <v>-12.168028</v>
      </c>
      <c r="M218">
        <v>-76.92661</v>
      </c>
      <c r="N218">
        <f>HYPERLINK("https://www.google.com/maps/search/?api=1&amp;query=-12.168028,-76.92661","Avenida 26 de Noviembre, Villa María del Triunfo, Lima")</f>
      </c>
      <c r="O218" t="str">
        <v>Acelerado y giro brusco</v>
      </c>
      <c r="P218">
        <v>1371</v>
      </c>
      <c r="Q218" t="str">
        <v/>
      </c>
      <c r="R218">
        <v>31.8</v>
      </c>
      <c r="S218">
        <v>55.6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85</v>
      </c>
      <c r="AB218" t="str">
        <v>24/09/2026</v>
      </c>
      <c r="AC218" t="str">
        <v>09:27:41</v>
      </c>
      <c r="AD218">
        <f>IF("ONLINE"="NOGPS","GPS Antiguo","En línea")</f>
      </c>
      <c r="AE218">
        <f>IF(0=0,"Sin atender", IF(0=1,"Atendida","Atendida y Reportada"))</f>
      </c>
      <c r="AF218" t="str">
        <v/>
      </c>
      <c r="AG218" t="str">
        <v/>
      </c>
      <c r="AH218" t="str">
        <v/>
      </c>
      <c r="AI218" t="str">
        <v/>
      </c>
      <c r="AJ218" t="str">
        <v>24/09/2026 09:27:58</v>
      </c>
      <c r="AK218" t="str">
        <v>09:27:58</v>
      </c>
      <c r="AL218" t="str">
        <v/>
      </c>
    </row>
    <row r="219">
      <c r="A219">
        <v>218</v>
      </c>
      <c r="B219" t="str">
        <v>MASS BSF</v>
      </c>
      <c r="C219" t="str">
        <v>F8R-810</v>
      </c>
      <c r="D219" t="str">
        <v>F8R-810</v>
      </c>
      <c r="E219" t="str">
        <v/>
      </c>
      <c r="F219" t="str">
        <v>867806078868827</v>
      </c>
      <c r="G219" t="str">
        <v>TBD</v>
      </c>
      <c r="H219" t="str">
        <v/>
      </c>
      <c r="I219" t="str">
        <v/>
      </c>
      <c r="J219" t="str">
        <v>24/09/2026</v>
      </c>
      <c r="K219" t="str">
        <v>09:28:08</v>
      </c>
      <c r="L219">
        <v>-12.169003</v>
      </c>
      <c r="M219">
        <v>-76.92799</v>
      </c>
      <c r="N219">
        <f>HYPERLINK("https://www.google.com/maps/search/?api=1&amp;query=-12.169003,-76.92799","Avenida 26 de Noviembre, Villa María del Triunfo, Lima")</f>
      </c>
      <c r="O219" t="str">
        <v>Acelerado y giro brusco</v>
      </c>
      <c r="P219">
        <v>1371.2</v>
      </c>
      <c r="Q219" t="str">
        <v/>
      </c>
      <c r="R219">
        <v>8.1</v>
      </c>
      <c r="S219">
        <v>55.6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88</v>
      </c>
      <c r="AB219" t="str">
        <v>24/09/2026</v>
      </c>
      <c r="AC219" t="str">
        <v>09:28:04</v>
      </c>
      <c r="AD219">
        <f>IF("ONLINE"="NOGPS","GPS Antiguo","En línea")</f>
      </c>
      <c r="AE219">
        <f>IF(0=0,"Sin atender", IF(0=1,"Atendida","Atendida y Reportada"))</f>
      </c>
      <c r="AF219" t="str">
        <v/>
      </c>
      <c r="AG219" t="str">
        <v/>
      </c>
      <c r="AH219" t="str">
        <v/>
      </c>
      <c r="AI219" t="str">
        <v/>
      </c>
      <c r="AJ219" t="str">
        <v>24/09/2026 09:28:19</v>
      </c>
      <c r="AK219" t="str">
        <v>09:28:19</v>
      </c>
      <c r="AL219" t="str">
        <v/>
      </c>
    </row>
    <row r="220">
      <c r="A220">
        <v>219</v>
      </c>
      <c r="B220" t="str">
        <v>MASS BSF</v>
      </c>
      <c r="C220" t="str">
        <v>F8R-810</v>
      </c>
      <c r="D220" t="str">
        <v>F8R-810</v>
      </c>
      <c r="E220" t="str">
        <v/>
      </c>
      <c r="F220" t="str">
        <v>867806078868827</v>
      </c>
      <c r="G220" t="str">
        <v>TBD</v>
      </c>
      <c r="H220" t="str">
        <v/>
      </c>
      <c r="I220" t="str">
        <v/>
      </c>
      <c r="J220" t="str">
        <v>24/09/2026</v>
      </c>
      <c r="K220" t="str">
        <v>09:28:17</v>
      </c>
      <c r="L220">
        <v>-12.169017</v>
      </c>
      <c r="M220">
        <v>-76.928</v>
      </c>
      <c r="N220">
        <f>HYPERLINK("https://www.google.com/maps/search/?api=1&amp;query=-12.169017,-76.928","Avenida 26 de Noviembre, Villa María del Triunfo, Lima")</f>
      </c>
      <c r="O220" t="str">
        <v>Acelerado y giro brusco</v>
      </c>
      <c r="P220">
        <v>1371.2</v>
      </c>
      <c r="Q220" t="str">
        <v/>
      </c>
      <c r="R220">
        <v>0</v>
      </c>
      <c r="S220">
        <v>55.6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88</v>
      </c>
      <c r="AB220" t="str">
        <v>24/09/2026</v>
      </c>
      <c r="AC220" t="str">
        <v>09:28:13</v>
      </c>
      <c r="AD220">
        <f>IF("ONLINE"="NOGPS","GPS Antiguo","En línea")</f>
      </c>
      <c r="AE220">
        <f>IF(0=0,"Sin atender", IF(0=1,"Atendida","Atendida y Reportada"))</f>
      </c>
      <c r="AF220" t="str">
        <v/>
      </c>
      <c r="AG220" t="str">
        <v/>
      </c>
      <c r="AH220" t="str">
        <v/>
      </c>
      <c r="AI220" t="str">
        <v/>
      </c>
      <c r="AJ220" t="str">
        <v>24/09/2026 09:28:38</v>
      </c>
      <c r="AK220" t="str">
        <v>09:28:38</v>
      </c>
      <c r="AL220" t="str">
        <v/>
      </c>
    </row>
    <row r="221">
      <c r="A221">
        <v>220</v>
      </c>
      <c r="B221" t="str">
        <v>MASS BSF</v>
      </c>
      <c r="C221" t="str">
        <v>F8R-810</v>
      </c>
      <c r="D221" t="str">
        <v>F8R-810</v>
      </c>
      <c r="E221" t="str">
        <v/>
      </c>
      <c r="F221" t="str">
        <v>867806078868827</v>
      </c>
      <c r="G221" t="str">
        <v>TBD</v>
      </c>
      <c r="H221" t="str">
        <v/>
      </c>
      <c r="I221" t="str">
        <v/>
      </c>
      <c r="J221" t="str">
        <v>24/09/2026</v>
      </c>
      <c r="K221" t="str">
        <v>09:28:29</v>
      </c>
      <c r="L221">
        <v>-12.169115</v>
      </c>
      <c r="M221">
        <v>-76.92791</v>
      </c>
      <c r="N221">
        <f>HYPERLINK("https://www.google.com/maps/search/?api=1&amp;query=-12.169115,-76.92791","Avenida 26 de Noviembre, Villa María del Triunfo, Lima")</f>
      </c>
      <c r="O221" t="str">
        <v>Acelerado y giro brusco</v>
      </c>
      <c r="P221">
        <v>1371.2</v>
      </c>
      <c r="Q221" t="str">
        <v/>
      </c>
      <c r="R221">
        <v>10.9</v>
      </c>
      <c r="S221">
        <v>55.6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88</v>
      </c>
      <c r="AB221" t="str">
        <v>24/09/2026</v>
      </c>
      <c r="AC221" t="str">
        <v>09:28:25</v>
      </c>
      <c r="AD221">
        <f>IF("ONLINE"="NOGPS","GPS Antiguo","En línea")</f>
      </c>
      <c r="AE221">
        <f>IF(0=0,"Sin atender", IF(0=1,"Atendida","Atendida y Reportada"))</f>
      </c>
      <c r="AF221" t="str">
        <v/>
      </c>
      <c r="AG221" t="str">
        <v/>
      </c>
      <c r="AH221" t="str">
        <v/>
      </c>
      <c r="AI221" t="str">
        <v/>
      </c>
      <c r="AJ221" t="str">
        <v>24/09/2026 09:28:37</v>
      </c>
      <c r="AK221" t="str">
        <v>09:28:37</v>
      </c>
      <c r="AL221" t="str">
        <v/>
      </c>
    </row>
    <row r="222">
      <c r="A222">
        <v>221</v>
      </c>
      <c r="B222" t="str">
        <v>MASS BSF</v>
      </c>
      <c r="C222" t="str">
        <v>F8R-810</v>
      </c>
      <c r="D222" t="str">
        <v>F8R-810</v>
      </c>
      <c r="E222" t="str">
        <v/>
      </c>
      <c r="F222" t="str">
        <v>867806078868827</v>
      </c>
      <c r="G222" t="str">
        <v>TBD</v>
      </c>
      <c r="H222" t="str">
        <v/>
      </c>
      <c r="I222" t="str">
        <v/>
      </c>
      <c r="J222" t="str">
        <v>24/09/2026</v>
      </c>
      <c r="K222" t="str">
        <v>09:28:45</v>
      </c>
      <c r="L222">
        <v>-12.168736</v>
      </c>
      <c r="M222">
        <v>-76.92737</v>
      </c>
      <c r="N222">
        <f>HYPERLINK("https://www.google.com/maps/search/?api=1&amp;query=-12.168736,-76.92737","Avenida 26 de Noviembre, Villa María del Triunfo, Lima")</f>
      </c>
      <c r="O222" t="str">
        <v>Acelerado y giro brusco</v>
      </c>
      <c r="P222">
        <v>1371.3</v>
      </c>
      <c r="Q222" t="str">
        <v/>
      </c>
      <c r="R222">
        <v>25.5</v>
      </c>
      <c r="S222">
        <v>55.6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85</v>
      </c>
      <c r="AB222" t="str">
        <v>24/09/2026</v>
      </c>
      <c r="AC222" t="str">
        <v>09:28:41</v>
      </c>
      <c r="AD222">
        <f>IF("ONLINE"="NOGPS","GPS Antiguo","En línea")</f>
      </c>
      <c r="AE222">
        <f>IF(0=0,"Sin atender", IF(0=1,"Atendida","Atendida y Reportada"))</f>
      </c>
      <c r="AF222" t="str">
        <v/>
      </c>
      <c r="AG222" t="str">
        <v/>
      </c>
      <c r="AH222" t="str">
        <v/>
      </c>
      <c r="AI222" t="str">
        <v/>
      </c>
      <c r="AJ222" t="str">
        <v>24/09/2026 09:28:58</v>
      </c>
      <c r="AK222" t="str">
        <v>09:28:58</v>
      </c>
      <c r="AL222" t="str">
        <v/>
      </c>
    </row>
    <row r="223">
      <c r="A223">
        <v>222</v>
      </c>
      <c r="B223" t="str">
        <v>MASS BSF</v>
      </c>
      <c r="C223" t="str">
        <v>F8R-810</v>
      </c>
      <c r="D223" t="str">
        <v>F8R-810</v>
      </c>
      <c r="E223" t="str">
        <v/>
      </c>
      <c r="F223" t="str">
        <v>867806078868827</v>
      </c>
      <c r="G223" t="str">
        <v>TBD</v>
      </c>
      <c r="H223" t="str">
        <v/>
      </c>
      <c r="I223" t="str">
        <v/>
      </c>
      <c r="J223" t="str">
        <v>24/09/2026</v>
      </c>
      <c r="K223" t="str">
        <v>09:29:02</v>
      </c>
      <c r="L223">
        <v>-12.168065</v>
      </c>
      <c r="M223">
        <v>-76.92646</v>
      </c>
      <c r="N223">
        <f>HYPERLINK("https://www.google.com/maps/search/?api=1&amp;query=-12.168065,-76.92646","Avenida 26 de Noviembre, Villa María del Triunfo, Lima")</f>
      </c>
      <c r="O223" t="str">
        <v>Acelerado y giro brusco</v>
      </c>
      <c r="P223">
        <v>1371.4</v>
      </c>
      <c r="Q223" t="str">
        <v/>
      </c>
      <c r="R223">
        <v>22.2</v>
      </c>
      <c r="S223">
        <v>55.6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85</v>
      </c>
      <c r="AB223" t="str">
        <v>24/09/2026</v>
      </c>
      <c r="AC223" t="str">
        <v>09:28:58</v>
      </c>
      <c r="AD223">
        <f>IF("ONLINE"="NOGPS","GPS Antiguo","En línea")</f>
      </c>
      <c r="AE223">
        <f>IF(0=0,"Sin atender", IF(0=1,"Atendida","Atendida y Reportada"))</f>
      </c>
      <c r="AF223" t="str">
        <v/>
      </c>
      <c r="AG223" t="str">
        <v/>
      </c>
      <c r="AH223" t="str">
        <v/>
      </c>
      <c r="AI223" t="str">
        <v/>
      </c>
      <c r="AJ223" t="str">
        <v>24/09/2026 09:29:10</v>
      </c>
      <c r="AK223" t="str">
        <v>09:29:10</v>
      </c>
      <c r="AL223" t="str">
        <v/>
      </c>
    </row>
    <row r="224">
      <c r="A224">
        <v>223</v>
      </c>
      <c r="B224" t="str">
        <v>MASS BSF</v>
      </c>
      <c r="C224" t="str">
        <v>F8R-810</v>
      </c>
      <c r="D224" t="str">
        <v>F8R-810</v>
      </c>
      <c r="E224" t="str">
        <v/>
      </c>
      <c r="F224" t="str">
        <v>867806078868827</v>
      </c>
      <c r="G224" t="str">
        <v>TBD</v>
      </c>
      <c r="H224" t="str">
        <v/>
      </c>
      <c r="I224" t="str">
        <v/>
      </c>
      <c r="J224" t="str">
        <v>24/09/2026</v>
      </c>
      <c r="K224" t="str">
        <v>09:29:10</v>
      </c>
      <c r="L224">
        <v>-12.167842</v>
      </c>
      <c r="M224">
        <v>-76.92611</v>
      </c>
      <c r="N224">
        <f>HYPERLINK("https://www.google.com/maps/search/?api=1&amp;query=-12.167842,-76.92611","Avenida 26 de Noviembre, Villa María del Triunfo, Lima")</f>
      </c>
      <c r="O224" t="str">
        <v>Acelerado y giro brusco</v>
      </c>
      <c r="P224">
        <v>1371.5</v>
      </c>
      <c r="Q224" t="str">
        <v/>
      </c>
      <c r="R224">
        <v>25.7</v>
      </c>
      <c r="S224">
        <v>55.6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85</v>
      </c>
      <c r="AB224" t="str">
        <v>24/09/2026</v>
      </c>
      <c r="AC224" t="str">
        <v>09:29:06</v>
      </c>
      <c r="AD224">
        <f>IF("ONLINE"="NOGPS","GPS Antiguo","En línea")</f>
      </c>
      <c r="AE224">
        <f>IF(0=0,"Sin atender", IF(0=1,"Atendida","Atendida y Reportada"))</f>
      </c>
      <c r="AF224" t="str">
        <v/>
      </c>
      <c r="AG224" t="str">
        <v/>
      </c>
      <c r="AH224" t="str">
        <v/>
      </c>
      <c r="AI224" t="str">
        <v/>
      </c>
      <c r="AJ224" t="str">
        <v>24/09/2026 09:29:29</v>
      </c>
      <c r="AK224" t="str">
        <v>09:29:29</v>
      </c>
      <c r="AL224" t="str">
        <v/>
      </c>
    </row>
    <row r="225">
      <c r="A225">
        <v>224</v>
      </c>
      <c r="B225" t="str">
        <v>MASS BSF</v>
      </c>
      <c r="C225" t="str">
        <v>F8R-810</v>
      </c>
      <c r="D225" t="str">
        <v>F8R-810</v>
      </c>
      <c r="E225" t="str">
        <v/>
      </c>
      <c r="F225" t="str">
        <v>867806078868827</v>
      </c>
      <c r="G225" t="str">
        <v>TBD</v>
      </c>
      <c r="H225" t="str">
        <v/>
      </c>
      <c r="I225" t="str">
        <v/>
      </c>
      <c r="J225" t="str">
        <v>24/09/2026</v>
      </c>
      <c r="K225" t="str">
        <v>09:29:24</v>
      </c>
      <c r="L225">
        <v>-12.167408</v>
      </c>
      <c r="M225">
        <v>-76.92529</v>
      </c>
      <c r="N225">
        <f>HYPERLINK("https://www.google.com/maps/search/?api=1&amp;query=-12.167408,-76.92529","Avenida 26 de Noviembre, Villa María del Triunfo, Lima")</f>
      </c>
      <c r="O225" t="str">
        <v>Aceleración brusca</v>
      </c>
      <c r="P225">
        <v>1371.6</v>
      </c>
      <c r="Q225" t="str">
        <v/>
      </c>
      <c r="R225">
        <v>24</v>
      </c>
      <c r="S225">
        <v>55.6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85</v>
      </c>
      <c r="AB225" t="str">
        <v>24/09/2026</v>
      </c>
      <c r="AC225" t="str">
        <v>09:29:20</v>
      </c>
      <c r="AD225">
        <f>IF("ONLINE"="NOGPS","GPS Antiguo","En línea")</f>
      </c>
      <c r="AE225">
        <f>IF(0=0,"Sin atender", IF(0=1,"Atendida","Atendida y Reportada"))</f>
      </c>
      <c r="AF225" t="str">
        <v/>
      </c>
      <c r="AG225" t="str">
        <v/>
      </c>
      <c r="AH225" t="str">
        <v/>
      </c>
      <c r="AI225" t="str">
        <v/>
      </c>
      <c r="AJ225" t="str">
        <v>24/09/2026 09:29:25</v>
      </c>
      <c r="AK225" t="str">
        <v>09:29:25</v>
      </c>
      <c r="AL225" t="str">
        <v/>
      </c>
    </row>
    <row r="226">
      <c r="A226">
        <v>225</v>
      </c>
      <c r="B226" t="str">
        <v>MASS BSF</v>
      </c>
      <c r="C226" t="str">
        <v>F8R-810</v>
      </c>
      <c r="D226" t="str">
        <v>F8R-810</v>
      </c>
      <c r="E226" t="str">
        <v/>
      </c>
      <c r="F226" t="str">
        <v>867806078868827</v>
      </c>
      <c r="G226" t="str">
        <v>TBD</v>
      </c>
      <c r="H226" t="str">
        <v/>
      </c>
      <c r="I226" t="str">
        <v/>
      </c>
      <c r="J226" t="str">
        <v>24/09/2026</v>
      </c>
      <c r="K226" t="str">
        <v>09:29:31</v>
      </c>
      <c r="L226">
        <v>-12.16728</v>
      </c>
      <c r="M226">
        <v>-76.92505</v>
      </c>
      <c r="N226">
        <f>HYPERLINK("https://www.google.com/maps/search/?api=1&amp;query=-12.16728,-76.92505","Avenida 26 de Noviembre, Villa María del Triunfo, Lima")</f>
      </c>
      <c r="O226" t="str">
        <v>Bache</v>
      </c>
      <c r="P226">
        <v>1371.6</v>
      </c>
      <c r="Q226" t="str">
        <v/>
      </c>
      <c r="R226">
        <v>5.1</v>
      </c>
      <c r="S226">
        <v>55.6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85</v>
      </c>
      <c r="AB226" t="str">
        <v>24/09/2026</v>
      </c>
      <c r="AC226" t="str">
        <v>09:29:27</v>
      </c>
      <c r="AD226">
        <f>IF("ONLINE"="NOGPS","GPS Antiguo","En línea")</f>
      </c>
      <c r="AE226">
        <f>IF(0=0,"Sin atender", IF(0=1,"Atendida","Atendida y Reportada"))</f>
      </c>
      <c r="AF226" t="str">
        <v/>
      </c>
      <c r="AG226" t="str">
        <v/>
      </c>
      <c r="AH226" t="str">
        <v/>
      </c>
      <c r="AI226" t="str">
        <v/>
      </c>
      <c r="AJ226" t="str">
        <v>24/09/2026 09:29:40</v>
      </c>
      <c r="AK226" t="str">
        <v>09:29:40</v>
      </c>
      <c r="AL226" t="str">
        <v/>
      </c>
    </row>
    <row r="227">
      <c r="A227">
        <v>226</v>
      </c>
      <c r="B227" t="str">
        <v>MASS BSF</v>
      </c>
      <c r="C227" t="str">
        <v>F8R-810</v>
      </c>
      <c r="D227" t="str">
        <v>F8R-810</v>
      </c>
      <c r="E227" t="str">
        <v/>
      </c>
      <c r="F227" t="str">
        <v>867806078868827</v>
      </c>
      <c r="G227" t="str">
        <v>TBD</v>
      </c>
      <c r="H227" t="str">
        <v/>
      </c>
      <c r="I227" t="str">
        <v/>
      </c>
      <c r="J227" t="str">
        <v>24/09/2026</v>
      </c>
      <c r="K227" t="str">
        <v>09:30:05</v>
      </c>
      <c r="L227">
        <v>-12.167628</v>
      </c>
      <c r="M227">
        <v>-76.923386</v>
      </c>
      <c r="N227">
        <f>HYPERLINK("https://www.google.com/maps/search/?api=1&amp;query=-12.167628,-76.923386","Avenida 26 de Noviembre, Villa María del Triunfo, Lima")</f>
      </c>
      <c r="O227" t="str">
        <v>Aceleración brusca</v>
      </c>
      <c r="P227">
        <v>1371.8</v>
      </c>
      <c r="Q227" t="str">
        <v/>
      </c>
      <c r="R227">
        <v>28.5</v>
      </c>
      <c r="S227">
        <v>55.6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85</v>
      </c>
      <c r="AB227" t="str">
        <v>24/09/2026</v>
      </c>
      <c r="AC227" t="str">
        <v>09:30:01</v>
      </c>
      <c r="AD227">
        <f>IF("ONLINE"="NOGPS","GPS Antiguo","En línea")</f>
      </c>
      <c r="AE227">
        <f>IF(0=0,"Sin atender", IF(0=1,"Atendida","Atendida y Reportada"))</f>
      </c>
      <c r="AF227" t="str">
        <v/>
      </c>
      <c r="AG227" t="str">
        <v/>
      </c>
      <c r="AH227" t="str">
        <v/>
      </c>
      <c r="AI227" t="str">
        <v/>
      </c>
      <c r="AJ227" t="str">
        <v>24/09/2026 09:30:40</v>
      </c>
      <c r="AK227" t="str">
        <v>09:30:40</v>
      </c>
      <c r="AL227" t="str">
        <v/>
      </c>
    </row>
    <row r="228">
      <c r="A228">
        <v>227</v>
      </c>
      <c r="B228" t="str">
        <v>MASS BSF</v>
      </c>
      <c r="C228" t="str">
        <v>F8R-810</v>
      </c>
      <c r="D228" t="str">
        <v>F8R-810</v>
      </c>
      <c r="E228" t="str">
        <v/>
      </c>
      <c r="F228" t="str">
        <v>867806078868827</v>
      </c>
      <c r="G228" t="str">
        <v>TBD</v>
      </c>
      <c r="H228" t="str">
        <v/>
      </c>
      <c r="I228" t="str">
        <v/>
      </c>
      <c r="J228" t="str">
        <v>24/09/2026</v>
      </c>
      <c r="K228" t="str">
        <v>09:30:46</v>
      </c>
      <c r="L228">
        <v>-12.16766</v>
      </c>
      <c r="M228">
        <v>-76.921234</v>
      </c>
      <c r="N228">
        <f>HYPERLINK("https://www.google.com/maps/search/?api=1&amp;query=-12.16766,-76.921234","Avenida 26 de Noviembre, Villa María del Triunfo, Lima")</f>
      </c>
      <c r="O228" t="str">
        <v>Acelerado y giro brusco</v>
      </c>
      <c r="P228">
        <v>1372</v>
      </c>
      <c r="Q228" t="str">
        <v/>
      </c>
      <c r="R228">
        <v>26.8</v>
      </c>
      <c r="S228">
        <v>55.6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85</v>
      </c>
      <c r="AB228" t="str">
        <v>24/09/2026</v>
      </c>
      <c r="AC228" t="str">
        <v>09:30:42</v>
      </c>
      <c r="AD228">
        <f>IF("ONLINE"="NOGPS","GPS Antiguo","En línea")</f>
      </c>
      <c r="AE228">
        <f>IF(0=0,"Sin atender", IF(0=1,"Atendida","Atendida y Reportada"))</f>
      </c>
      <c r="AF228" t="str">
        <v/>
      </c>
      <c r="AG228" t="str">
        <v/>
      </c>
      <c r="AH228" t="str">
        <v/>
      </c>
      <c r="AI228" t="str">
        <v/>
      </c>
      <c r="AJ228" t="str">
        <v>24/09/2026 09:30:57</v>
      </c>
      <c r="AK228" t="str">
        <v>09:30:57</v>
      </c>
      <c r="AL228" t="str">
        <v/>
      </c>
    </row>
    <row r="229">
      <c r="A229">
        <v>228</v>
      </c>
      <c r="B229" t="str">
        <v>MASS BSF</v>
      </c>
      <c r="C229" t="str">
        <v>F8R-810</v>
      </c>
      <c r="D229" t="str">
        <v>F8R-810</v>
      </c>
      <c r="E229" t="str">
        <v/>
      </c>
      <c r="F229" t="str">
        <v>867806078868827</v>
      </c>
      <c r="G229" t="str">
        <v>TBD</v>
      </c>
      <c r="H229" t="str">
        <v/>
      </c>
      <c r="I229" t="str">
        <v/>
      </c>
      <c r="J229" t="str">
        <v>24/09/2026</v>
      </c>
      <c r="K229" t="str">
        <v>09:31:04</v>
      </c>
      <c r="L229">
        <v>-12.167613</v>
      </c>
      <c r="M229">
        <v>-76.92016</v>
      </c>
      <c r="N229">
        <f>HYPERLINK("https://www.google.com/maps/search/?api=1&amp;query=-12.167613,-76.92016","Avenida 26 de Noviembre, Villa María del Triunfo, Lima")</f>
      </c>
      <c r="O229" t="str">
        <v>Aceleración brusca</v>
      </c>
      <c r="P229">
        <v>1372.1</v>
      </c>
      <c r="Q229" t="str">
        <v/>
      </c>
      <c r="R229">
        <v>16.8</v>
      </c>
      <c r="S229">
        <v>55.6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88</v>
      </c>
      <c r="AB229" t="str">
        <v>24/09/2026</v>
      </c>
      <c r="AC229" t="str">
        <v>09:31:00</v>
      </c>
      <c r="AD229">
        <f>IF("ONLINE"="NOGPS","GPS Antiguo","En línea")</f>
      </c>
      <c r="AE229">
        <f>IF(0=0,"Sin atender", IF(0=1,"Atendida","Atendida y Reportada"))</f>
      </c>
      <c r="AF229" t="str">
        <v/>
      </c>
      <c r="AG229" t="str">
        <v/>
      </c>
      <c r="AH229" t="str">
        <v/>
      </c>
      <c r="AI229" t="str">
        <v/>
      </c>
      <c r="AJ229" t="str">
        <v>24/09/2026 09:31:19</v>
      </c>
      <c r="AK229" t="str">
        <v>09:31:19</v>
      </c>
      <c r="AL229" t="str">
        <v/>
      </c>
    </row>
    <row r="230">
      <c r="A230">
        <v>229</v>
      </c>
      <c r="B230" t="str">
        <v>MASS BSF</v>
      </c>
      <c r="C230" t="str">
        <v>F8R-810</v>
      </c>
      <c r="D230" t="str">
        <v>F8R-810</v>
      </c>
      <c r="E230" t="str">
        <v/>
      </c>
      <c r="F230" t="str">
        <v>867806078868827</v>
      </c>
      <c r="G230" t="str">
        <v>TBD</v>
      </c>
      <c r="H230" t="str">
        <v/>
      </c>
      <c r="I230" t="str">
        <v/>
      </c>
      <c r="J230" t="str">
        <v>24/09/2026</v>
      </c>
      <c r="K230" t="str">
        <v>09:31:15</v>
      </c>
      <c r="L230">
        <v>-12.167435</v>
      </c>
      <c r="M230">
        <v>-76.91996</v>
      </c>
      <c r="N230">
        <f>HYPERLINK("https://www.google.com/maps/search/?api=1&amp;query=-12.167435,-76.91996","Jirón San Pedro, Villa María del Triunfo, Lima")</f>
      </c>
      <c r="O230" t="str">
        <v>Acelerado y giro brusco</v>
      </c>
      <c r="P230">
        <v>1372.2</v>
      </c>
      <c r="Q230" t="str">
        <v/>
      </c>
      <c r="R230">
        <v>8.5</v>
      </c>
      <c r="S230">
        <v>55.6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88</v>
      </c>
      <c r="AB230" t="str">
        <v>24/09/2026</v>
      </c>
      <c r="AC230" t="str">
        <v>09:31:11</v>
      </c>
      <c r="AD230">
        <f>IF("ONLINE"="NOGPS","GPS Antiguo","En línea")</f>
      </c>
      <c r="AE230">
        <f>IF(0=0,"Sin atender", IF(0=1,"Atendida","Atendida y Reportada"))</f>
      </c>
      <c r="AF230" t="str">
        <v/>
      </c>
      <c r="AG230" t="str">
        <v/>
      </c>
      <c r="AH230" t="str">
        <v/>
      </c>
      <c r="AI230" t="str">
        <v/>
      </c>
      <c r="AJ230" t="str">
        <v>24/09/2026 09:31:20</v>
      </c>
      <c r="AK230" t="str">
        <v>09:31:20</v>
      </c>
      <c r="AL230" t="str">
        <v/>
      </c>
    </row>
    <row r="231">
      <c r="A231">
        <v>230</v>
      </c>
      <c r="B231" t="str">
        <v>MASS BSF</v>
      </c>
      <c r="C231" t="str">
        <v>F8R-810</v>
      </c>
      <c r="D231" t="str">
        <v>F8R-810</v>
      </c>
      <c r="E231" t="str">
        <v/>
      </c>
      <c r="F231" t="str">
        <v>867806078868827</v>
      </c>
      <c r="G231" t="str">
        <v>TBD</v>
      </c>
      <c r="H231" t="str">
        <v/>
      </c>
      <c r="I231" t="str">
        <v/>
      </c>
      <c r="J231" t="str">
        <v>24/09/2026</v>
      </c>
      <c r="K231" t="str">
        <v>09:32:27</v>
      </c>
      <c r="L231">
        <v>-12.166946</v>
      </c>
      <c r="M231">
        <v>-76.91991</v>
      </c>
      <c r="N231">
        <f>HYPERLINK("https://www.google.com/maps/search/?api=1&amp;query=-12.166946,-76.91991","Jirón San Pedro, Villa María del Triunfo, Lima")</f>
      </c>
      <c r="O231" t="str">
        <v>Acelerado y giro brusco</v>
      </c>
      <c r="P231">
        <v>1372.2</v>
      </c>
      <c r="Q231" t="str">
        <v/>
      </c>
      <c r="R231">
        <v>6.4</v>
      </c>
      <c r="S231">
        <v>55.6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85</v>
      </c>
      <c r="AB231" t="str">
        <v>24/09/2026</v>
      </c>
      <c r="AC231" t="str">
        <v>09:32:23</v>
      </c>
      <c r="AD231">
        <f>IF("ONLINE"="NOGPS","GPS Antiguo","En línea")</f>
      </c>
      <c r="AE231">
        <f>IF(0=0,"Sin atender", IF(0=1,"Atendida","Atendida y Reportada"))</f>
      </c>
      <c r="AF231" t="str">
        <v/>
      </c>
      <c r="AG231" t="str">
        <v/>
      </c>
      <c r="AH231" t="str">
        <v/>
      </c>
      <c r="AI231" t="str">
        <v/>
      </c>
      <c r="AJ231" t="str">
        <v>24/09/2026 09:32:31</v>
      </c>
      <c r="AK231" t="str">
        <v>09:32:31</v>
      </c>
      <c r="AL231" t="str">
        <v/>
      </c>
    </row>
    <row r="232">
      <c r="A232">
        <v>231</v>
      </c>
      <c r="B232" t="str">
        <v>MASS BSF</v>
      </c>
      <c r="C232" t="str">
        <v>F8R-810</v>
      </c>
      <c r="D232" t="str">
        <v>F8R-810</v>
      </c>
      <c r="E232" t="str">
        <v/>
      </c>
      <c r="F232" t="str">
        <v>867806078868827</v>
      </c>
      <c r="G232" t="str">
        <v>TBD</v>
      </c>
      <c r="H232" t="str">
        <v/>
      </c>
      <c r="I232" t="str">
        <v/>
      </c>
      <c r="J232" t="str">
        <v>24/09/2026</v>
      </c>
      <c r="K232" t="str">
        <v>09:32:40</v>
      </c>
      <c r="L232">
        <v>-12.166735</v>
      </c>
      <c r="M232">
        <v>-76.919846</v>
      </c>
      <c r="N232">
        <f>HYPERLINK("https://www.google.com/maps/search/?api=1&amp;query=-12.166735,-76.919846","Jirón San Pedro, Villa María del Triunfo, Lima")</f>
      </c>
      <c r="O232" t="str">
        <v>Acelerado y giro brusco</v>
      </c>
      <c r="P232">
        <v>1372.2</v>
      </c>
      <c r="Q232" t="str">
        <v/>
      </c>
      <c r="R232">
        <v>0</v>
      </c>
      <c r="S232">
        <v>55.6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91</v>
      </c>
      <c r="AB232" t="str">
        <v>24/09/2026</v>
      </c>
      <c r="AC232" t="str">
        <v>09:32:36</v>
      </c>
      <c r="AD232">
        <f>IF("ONLINE"="NOGPS","GPS Antiguo","En línea")</f>
      </c>
      <c r="AE232">
        <f>IF(0=0,"Sin atender", IF(0=1,"Atendida","Atendida y Reportada"))</f>
      </c>
      <c r="AF232" t="str">
        <v/>
      </c>
      <c r="AG232" t="str">
        <v/>
      </c>
      <c r="AH232" t="str">
        <v/>
      </c>
      <c r="AI232" t="str">
        <v/>
      </c>
      <c r="AJ232" t="str">
        <v>24/09/2026 09:33:01</v>
      </c>
      <c r="AK232" t="str">
        <v>09:33:01</v>
      </c>
      <c r="AL232" t="str">
        <v/>
      </c>
    </row>
    <row r="233">
      <c r="A233">
        <v>232</v>
      </c>
      <c r="B233" t="str">
        <v>MASS BSF</v>
      </c>
      <c r="C233" t="str">
        <v>F8R-810</v>
      </c>
      <c r="D233" t="str">
        <v>F8R-810</v>
      </c>
      <c r="E233" t="str">
        <v/>
      </c>
      <c r="F233" t="str">
        <v>867806078868827</v>
      </c>
      <c r="G233" t="str">
        <v>TBD</v>
      </c>
      <c r="H233" t="str">
        <v/>
      </c>
      <c r="I233" t="str">
        <v/>
      </c>
      <c r="J233" t="str">
        <v>24/09/2026</v>
      </c>
      <c r="K233" t="str">
        <v>09:32:46</v>
      </c>
      <c r="L233">
        <v>-12.166725</v>
      </c>
      <c r="M233">
        <v>-76.919846</v>
      </c>
      <c r="N233">
        <f>HYPERLINK("https://www.google.com/maps/search/?api=1&amp;query=-12.166725,-76.919846","Jirón San Pedro, Villa María del Triunfo, Lima")</f>
      </c>
      <c r="O233" t="str">
        <v>Acelerado y giro brusco</v>
      </c>
      <c r="P233">
        <v>1372.2</v>
      </c>
      <c r="Q233" t="str">
        <v/>
      </c>
      <c r="R233">
        <v>0</v>
      </c>
      <c r="S233">
        <v>55.6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91</v>
      </c>
      <c r="AB233" t="str">
        <v>24/09/2026</v>
      </c>
      <c r="AC233" t="str">
        <v>09:32:42</v>
      </c>
      <c r="AD233">
        <f>IF("ONLINE"="NOGPS","GPS Antiguo","En línea")</f>
      </c>
      <c r="AE233">
        <f>IF(0=0,"Sin atender", IF(0=1,"Atendida","Atendida y Reportada"))</f>
      </c>
      <c r="AF233" t="str">
        <v/>
      </c>
      <c r="AG233" t="str">
        <v/>
      </c>
      <c r="AH233" t="str">
        <v/>
      </c>
      <c r="AI233" t="str">
        <v/>
      </c>
      <c r="AJ233" t="str">
        <v>24/09/2026 09:33:11</v>
      </c>
      <c r="AK233" t="str">
        <v>09:33:11</v>
      </c>
      <c r="AL233" t="str">
        <v/>
      </c>
    </row>
    <row r="234">
      <c r="A234">
        <v>233</v>
      </c>
      <c r="B234" t="str">
        <v>MASS BSF</v>
      </c>
      <c r="C234" t="str">
        <v>F8R-810</v>
      </c>
      <c r="D234" t="str">
        <v>F8R-810</v>
      </c>
      <c r="E234" t="str">
        <v/>
      </c>
      <c r="F234" t="str">
        <v>867806078868827</v>
      </c>
      <c r="G234" t="str">
        <v>TBD</v>
      </c>
      <c r="H234" t="str">
        <v/>
      </c>
      <c r="I234" t="str">
        <v/>
      </c>
      <c r="J234" t="str">
        <v>24/09/2026</v>
      </c>
      <c r="K234" t="str">
        <v>09:32:49</v>
      </c>
      <c r="L234">
        <v>-12.166725</v>
      </c>
      <c r="M234">
        <v>-76.919846</v>
      </c>
      <c r="N234">
        <f>HYPERLINK("https://www.google.com/maps/search/?api=1&amp;query=-12.166725,-76.919846","Jirón San Pedro, Villa María del Triunfo, Lima")</f>
      </c>
      <c r="O234" t="str">
        <v>Acelerado y giro brusco</v>
      </c>
      <c r="P234">
        <v>1372.2</v>
      </c>
      <c r="Q234" t="str">
        <v/>
      </c>
      <c r="R234">
        <v>0</v>
      </c>
      <c r="S234">
        <v>55.6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91</v>
      </c>
      <c r="AB234" t="str">
        <v>24/09/2026</v>
      </c>
      <c r="AC234" t="str">
        <v>09:32:45</v>
      </c>
      <c r="AD234">
        <f>IF("ONLINE"="NOGPS","GPS Antiguo","En línea")</f>
      </c>
      <c r="AE234">
        <f>IF(0=0,"Sin atender", IF(0=1,"Atendida","Atendida y Reportada"))</f>
      </c>
      <c r="AF234" t="str">
        <v/>
      </c>
      <c r="AG234" t="str">
        <v/>
      </c>
      <c r="AH234" t="str">
        <v/>
      </c>
      <c r="AI234" t="str">
        <v/>
      </c>
      <c r="AJ234" t="str">
        <v>24/09/2026 09:32:54</v>
      </c>
      <c r="AK234" t="str">
        <v>09:32:54</v>
      </c>
      <c r="AL234" t="str">
        <v/>
      </c>
    </row>
    <row r="235">
      <c r="A235">
        <v>234</v>
      </c>
      <c r="B235" t="str">
        <v>MASS BSF</v>
      </c>
      <c r="C235" t="str">
        <v>F8R-810</v>
      </c>
      <c r="D235" t="str">
        <v>F8R-810</v>
      </c>
      <c r="E235" t="str">
        <v/>
      </c>
      <c r="F235" t="str">
        <v>867806078868827</v>
      </c>
      <c r="G235" t="str">
        <v>TBD</v>
      </c>
      <c r="H235" t="str">
        <v/>
      </c>
      <c r="I235" t="str">
        <v/>
      </c>
      <c r="J235" t="str">
        <v>24/09/2026</v>
      </c>
      <c r="K235" t="str">
        <v>09:33:17</v>
      </c>
      <c r="L235">
        <v>-12.166725</v>
      </c>
      <c r="M235">
        <v>-76.919846</v>
      </c>
      <c r="N235">
        <f>HYPERLINK("https://www.google.com/maps/search/?api=1&amp;query=-12.166725,-76.919846","Jirón San Pedro, Villa María del Triunfo, Lima")</f>
      </c>
      <c r="O235" t="str">
        <v>Vehículo apagado</v>
      </c>
      <c r="P235">
        <v>1372.2</v>
      </c>
      <c r="Q235" t="str">
        <v/>
      </c>
      <c r="R235">
        <v>0</v>
      </c>
      <c r="S235">
        <v>55.72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91</v>
      </c>
      <c r="AB235" t="str">
        <v>24/09/2026</v>
      </c>
      <c r="AC235" t="str">
        <v>09:33:13</v>
      </c>
      <c r="AD235">
        <f>IF("ONLINE"="NOGPS","GPS Antiguo","En línea")</f>
      </c>
      <c r="AE235">
        <f>IF(0=0,"Sin atender", IF(0=1,"Atendida","Atendida y Reportada"))</f>
      </c>
      <c r="AF235" t="str">
        <v/>
      </c>
      <c r="AG235" t="str">
        <v/>
      </c>
      <c r="AH235" t="str">
        <v/>
      </c>
      <c r="AI235" t="str">
        <v/>
      </c>
      <c r="AJ235" t="str">
        <v>24/09/2026 09:33:28</v>
      </c>
      <c r="AK235" t="str">
        <v>09:33:28</v>
      </c>
      <c r="AL235" t="str">
        <v/>
      </c>
    </row>
    <row r="236">
      <c r="A236">
        <v>235</v>
      </c>
      <c r="B236" t="str">
        <v>MASS BSF</v>
      </c>
      <c r="C236" t="str">
        <v>F8R-810</v>
      </c>
      <c r="D236" t="str">
        <v>F8R-810</v>
      </c>
      <c r="E236" t="str">
        <v/>
      </c>
      <c r="F236" t="str">
        <v>867806078868827</v>
      </c>
      <c r="G236" t="str">
        <v>TBD</v>
      </c>
      <c r="H236" t="str">
        <v/>
      </c>
      <c r="I236" t="str">
        <v/>
      </c>
      <c r="J236" t="str">
        <v>24/09/2026</v>
      </c>
      <c r="K236" t="str">
        <v>09:38:32</v>
      </c>
      <c r="L236">
        <v>-12.166725</v>
      </c>
      <c r="M236">
        <v>-76.919846</v>
      </c>
      <c r="N236">
        <f>HYPERLINK("https://www.google.com/maps/search/?api=1&amp;query=-12.166725,-76.919846","Jirón San Pedro, Villa María del Triunfo, Lima")</f>
      </c>
      <c r="O236" t="str">
        <v>Vehículo encendido</v>
      </c>
      <c r="P236">
        <v>1372.2</v>
      </c>
      <c r="Q236" t="str">
        <v/>
      </c>
      <c r="R236">
        <v>0</v>
      </c>
      <c r="S236">
        <v>55.72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91</v>
      </c>
      <c r="AB236" t="str">
        <v>24/09/2026</v>
      </c>
      <c r="AC236" t="str">
        <v>09:38:28</v>
      </c>
      <c r="AD236">
        <f>IF("ONLINE"="NOGPS","GPS Antiguo","En línea")</f>
      </c>
      <c r="AE236">
        <f>IF(0=0,"Sin atender", IF(0=1,"Atendida","Atendida y Reportada"))</f>
      </c>
      <c r="AF236" t="str">
        <v/>
      </c>
      <c r="AG236" t="str">
        <v/>
      </c>
      <c r="AH236" t="str">
        <v/>
      </c>
      <c r="AI236" t="str">
        <v/>
      </c>
      <c r="AJ236" t="str">
        <v>24/09/2026 09:38:45</v>
      </c>
      <c r="AK236" t="str">
        <v>09:38:45</v>
      </c>
      <c r="AL236" t="str">
        <v/>
      </c>
    </row>
    <row r="237">
      <c r="A237">
        <v>236</v>
      </c>
      <c r="B237" t="str">
        <v>MASS BSF</v>
      </c>
      <c r="C237" t="str">
        <v>F8R-810</v>
      </c>
      <c r="D237" t="str">
        <v>F8R-810</v>
      </c>
      <c r="E237" t="str">
        <v/>
      </c>
      <c r="F237" t="str">
        <v>867806078868827</v>
      </c>
      <c r="G237" t="str">
        <v>TBD</v>
      </c>
      <c r="H237" t="str">
        <v/>
      </c>
      <c r="I237" t="str">
        <v/>
      </c>
      <c r="J237" t="str">
        <v>24/09/2026</v>
      </c>
      <c r="K237" t="str">
        <v>09:39:11</v>
      </c>
      <c r="L237">
        <v>-12.16669</v>
      </c>
      <c r="M237">
        <v>-76.91987</v>
      </c>
      <c r="N237">
        <f>HYPERLINK("https://www.google.com/maps/search/?api=1&amp;query=-12.16669,-76.91987","Jirón San Pedro, Villa María del Triunfo, Lima")</f>
      </c>
      <c r="O237" t="str">
        <v>Vehículo apagado</v>
      </c>
      <c r="P237">
        <v>1372.3</v>
      </c>
      <c r="Q237" t="str">
        <v/>
      </c>
      <c r="R237">
        <v>0</v>
      </c>
      <c r="S237">
        <v>55.73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91</v>
      </c>
      <c r="AB237" t="str">
        <v>24/09/2026</v>
      </c>
      <c r="AC237" t="str">
        <v>09:39:07</v>
      </c>
      <c r="AD237">
        <f>IF("ONLINE"="NOGPS","GPS Antiguo","En línea")</f>
      </c>
      <c r="AE237">
        <f>IF(0=0,"Sin atender", IF(0=1,"Atendida","Atendida y Reportada"))</f>
      </c>
      <c r="AF237" t="str">
        <v/>
      </c>
      <c r="AG237" t="str">
        <v/>
      </c>
      <c r="AH237" t="str">
        <v/>
      </c>
      <c r="AI237" t="str">
        <v/>
      </c>
      <c r="AJ237" t="str">
        <v>24/09/2026 09:39:21</v>
      </c>
      <c r="AK237" t="str">
        <v>09:39:21</v>
      </c>
      <c r="AL237" t="str">
        <v/>
      </c>
    </row>
    <row r="238">
      <c r="A238">
        <v>237</v>
      </c>
      <c r="B238" t="str">
        <v>MASS BSF</v>
      </c>
      <c r="C238" t="str">
        <v>F8R-810</v>
      </c>
      <c r="D238" t="str">
        <v>F8R-810</v>
      </c>
      <c r="E238" t="str">
        <v/>
      </c>
      <c r="F238" t="str">
        <v>867806078868827</v>
      </c>
      <c r="G238" t="str">
        <v>TBD</v>
      </c>
      <c r="H238" t="str">
        <v/>
      </c>
      <c r="I238" t="str">
        <v/>
      </c>
      <c r="J238" t="str">
        <v>24/09/2026</v>
      </c>
      <c r="K238" t="str">
        <v>09:40:13</v>
      </c>
      <c r="L238">
        <v>-12.16669</v>
      </c>
      <c r="M238">
        <v>-76.91987</v>
      </c>
      <c r="N238">
        <f>HYPERLINK("https://www.google.com/maps/search/?api=1&amp;query=-12.16669,-76.91987","Jirón San Pedro, Villa María del Triunfo, Lima")</f>
      </c>
      <c r="O238" t="str">
        <v>Vehículo encendido</v>
      </c>
      <c r="P238">
        <v>1372.3</v>
      </c>
      <c r="Q238" t="str">
        <v/>
      </c>
      <c r="R238">
        <v>0</v>
      </c>
      <c r="S238">
        <v>55.73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91</v>
      </c>
      <c r="AB238" t="str">
        <v>24/09/2026</v>
      </c>
      <c r="AC238" t="str">
        <v>09:40:09</v>
      </c>
      <c r="AD238">
        <f>IF("ONLINE"="NOGPS","GPS Antiguo","En línea")</f>
      </c>
      <c r="AE238">
        <f>IF(0=0,"Sin atender", IF(0=1,"Atendida","Atendida y Reportada"))</f>
      </c>
      <c r="AF238" t="str">
        <v/>
      </c>
      <c r="AG238" t="str">
        <v/>
      </c>
      <c r="AH238" t="str">
        <v/>
      </c>
      <c r="AI238" t="str">
        <v/>
      </c>
      <c r="AJ238" t="str">
        <v>24/09/2026 09:40:23</v>
      </c>
      <c r="AK238" t="str">
        <v>09:40:23</v>
      </c>
      <c r="AL238" t="str">
        <v/>
      </c>
    </row>
    <row r="239">
      <c r="A239">
        <v>238</v>
      </c>
      <c r="B239" t="str">
        <v>MASS BSF</v>
      </c>
      <c r="C239" t="str">
        <v>F8R-810</v>
      </c>
      <c r="D239" t="str">
        <v>F8R-810</v>
      </c>
      <c r="E239" t="str">
        <v/>
      </c>
      <c r="F239" t="str">
        <v>867806078868827</v>
      </c>
      <c r="G239" t="str">
        <v>TBD</v>
      </c>
      <c r="H239" t="str">
        <v/>
      </c>
      <c r="I239" t="str">
        <v/>
      </c>
      <c r="J239" t="str">
        <v>24/09/2026</v>
      </c>
      <c r="K239" t="str">
        <v>09:40:23</v>
      </c>
      <c r="L239">
        <v>-12.16669</v>
      </c>
      <c r="M239">
        <v>-76.91987</v>
      </c>
      <c r="N239">
        <f>HYPERLINK("https://www.google.com/maps/search/?api=1&amp;query=-12.16669,-76.91987","Jirón San Pedro, Villa María del Triunfo, Lima")</f>
      </c>
      <c r="O239" t="str">
        <v>Vehículo apagado</v>
      </c>
      <c r="P239">
        <v>1372.3</v>
      </c>
      <c r="Q239" t="str">
        <v/>
      </c>
      <c r="R239">
        <v>0</v>
      </c>
      <c r="S239">
        <v>55.73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91</v>
      </c>
      <c r="AB239" t="str">
        <v>24/09/2026</v>
      </c>
      <c r="AC239" t="str">
        <v>09:40:19</v>
      </c>
      <c r="AD239">
        <f>IF("ONLINE"="NOGPS","GPS Antiguo","En línea")</f>
      </c>
      <c r="AE239">
        <f>IF(0=0,"Sin atender", IF(0=1,"Atendida","Atendida y Reportada"))</f>
      </c>
      <c r="AF239" t="str">
        <v/>
      </c>
      <c r="AG239" t="str">
        <v/>
      </c>
      <c r="AH239" t="str">
        <v/>
      </c>
      <c r="AI239" t="str">
        <v/>
      </c>
      <c r="AJ239" t="str">
        <v>24/09/2026 09:40:37</v>
      </c>
      <c r="AK239" t="str">
        <v>09:40:37</v>
      </c>
      <c r="AL239" t="str">
        <v/>
      </c>
    </row>
    <row r="240">
      <c r="A240">
        <v>239</v>
      </c>
      <c r="B240" t="str">
        <v>MASS BSF</v>
      </c>
      <c r="C240" t="str">
        <v>F8R-810</v>
      </c>
      <c r="D240" t="str">
        <v>F8R-810</v>
      </c>
      <c r="E240" t="str">
        <v/>
      </c>
      <c r="F240" t="str">
        <v>867806078868827</v>
      </c>
      <c r="G240" t="str">
        <v>TBD</v>
      </c>
      <c r="H240" t="str">
        <v/>
      </c>
      <c r="I240" t="str">
        <v/>
      </c>
      <c r="J240" t="str">
        <v>24/09/2026</v>
      </c>
      <c r="K240" t="str">
        <v>09:46:54</v>
      </c>
      <c r="L240">
        <v>-12.16669</v>
      </c>
      <c r="M240">
        <v>-76.91987</v>
      </c>
      <c r="N240">
        <f>HYPERLINK("https://www.google.com/maps/search/?api=1&amp;query=-12.16669,-76.91987","Jirón San Pedro, Villa María del Triunfo, Lima")</f>
      </c>
      <c r="O240" t="str">
        <v>Vehículo encendido</v>
      </c>
      <c r="P240">
        <v>1372.3</v>
      </c>
      <c r="Q240" t="str">
        <v/>
      </c>
      <c r="R240">
        <v>0</v>
      </c>
      <c r="S240">
        <v>55.73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85</v>
      </c>
      <c r="AB240" t="str">
        <v>24/09/2026</v>
      </c>
      <c r="AC240" t="str">
        <v>09:46:50</v>
      </c>
      <c r="AD240">
        <f>IF("ONLINE"="NOGPS","GPS Antiguo","En línea")</f>
      </c>
      <c r="AE240">
        <f>IF(0=0,"Sin atender", IF(0=1,"Atendida","Atendida y Reportada"))</f>
      </c>
      <c r="AF240" t="str">
        <v/>
      </c>
      <c r="AG240" t="str">
        <v/>
      </c>
      <c r="AH240" t="str">
        <v/>
      </c>
      <c r="AI240" t="str">
        <v/>
      </c>
      <c r="AJ240" t="str">
        <v>24/09/2026 09:47:11</v>
      </c>
      <c r="AK240" t="str">
        <v>09:47:11</v>
      </c>
      <c r="AL240" t="str">
        <v/>
      </c>
    </row>
    <row r="241">
      <c r="A241">
        <v>240</v>
      </c>
      <c r="B241" t="str">
        <v>MASS BSF</v>
      </c>
      <c r="C241" t="str">
        <v>F8R-810</v>
      </c>
      <c r="D241" t="str">
        <v>F8R-810</v>
      </c>
      <c r="E241" t="str">
        <v/>
      </c>
      <c r="F241" t="str">
        <v>867806078868827</v>
      </c>
      <c r="G241" t="str">
        <v>TBD</v>
      </c>
      <c r="H241" t="str">
        <v/>
      </c>
      <c r="I241" t="str">
        <v/>
      </c>
      <c r="J241" t="str">
        <v>24/09/2026</v>
      </c>
      <c r="K241" t="str">
        <v>09:47:32</v>
      </c>
      <c r="L241">
        <v>-12.16669</v>
      </c>
      <c r="M241">
        <v>-76.91987</v>
      </c>
      <c r="N241">
        <f>HYPERLINK("https://www.google.com/maps/search/?api=1&amp;query=-12.16669,-76.91987","Jirón San Pedro, Villa María del Triunfo, Lima")</f>
      </c>
      <c r="O241" t="str">
        <v>Acelerado y giro brusco</v>
      </c>
      <c r="P241">
        <v>1372.3</v>
      </c>
      <c r="Q241" t="str">
        <v/>
      </c>
      <c r="R241">
        <v>0</v>
      </c>
      <c r="S241">
        <v>55.73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85</v>
      </c>
      <c r="AB241" t="str">
        <v>24/09/2026</v>
      </c>
      <c r="AC241" t="str">
        <v>09:47:28</v>
      </c>
      <c r="AD241">
        <f>IF("ONLINE"="NOGPS","GPS Antiguo","En línea")</f>
      </c>
      <c r="AE241">
        <f>IF(0=0,"Sin atender", IF(0=1,"Atendida","Atendida y Reportada"))</f>
      </c>
      <c r="AF241" t="str">
        <v/>
      </c>
      <c r="AG241" t="str">
        <v/>
      </c>
      <c r="AH241" t="str">
        <v/>
      </c>
      <c r="AI241" t="str">
        <v/>
      </c>
      <c r="AJ241" t="str">
        <v>24/09/2026 09:47:48</v>
      </c>
      <c r="AK241" t="str">
        <v>09:47:48</v>
      </c>
      <c r="AL241" t="str">
        <v/>
      </c>
    </row>
    <row r="242">
      <c r="A242">
        <v>241</v>
      </c>
      <c r="B242" t="str">
        <v>MASS BSF</v>
      </c>
      <c r="C242" t="str">
        <v>F8R-810</v>
      </c>
      <c r="D242" t="str">
        <v>F8R-810</v>
      </c>
      <c r="E242" t="str">
        <v/>
      </c>
      <c r="F242" t="str">
        <v>867806078868827</v>
      </c>
      <c r="G242" t="str">
        <v>TBD</v>
      </c>
      <c r="H242" t="str">
        <v/>
      </c>
      <c r="I242" t="str">
        <v/>
      </c>
      <c r="J242" t="str">
        <v>24/09/2026</v>
      </c>
      <c r="K242" t="str">
        <v>09:47:40</v>
      </c>
      <c r="L242">
        <v>-12.16669</v>
      </c>
      <c r="M242">
        <v>-76.91987</v>
      </c>
      <c r="N242">
        <f>HYPERLINK("https://www.google.com/maps/search/?api=1&amp;query=-12.16669,-76.91987","Jirón San Pedro, Villa María del Triunfo, Lima")</f>
      </c>
      <c r="O242" t="str">
        <v>Acelerado y giro brusco</v>
      </c>
      <c r="P242">
        <v>1372.3</v>
      </c>
      <c r="Q242" t="str">
        <v/>
      </c>
      <c r="R242">
        <v>0</v>
      </c>
      <c r="S242">
        <v>55.73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85</v>
      </c>
      <c r="AB242" t="str">
        <v>24/09/2026</v>
      </c>
      <c r="AC242" t="str">
        <v>09:47:34</v>
      </c>
      <c r="AD242">
        <f>IF("ONLINE"="NOGPS","GPS Antiguo","En línea")</f>
      </c>
      <c r="AE242">
        <f>IF(0=0,"Sin atender", IF(0=1,"Atendida","Atendida y Reportada"))</f>
      </c>
      <c r="AF242" t="str">
        <v/>
      </c>
      <c r="AG242" t="str">
        <v/>
      </c>
      <c r="AH242" t="str">
        <v/>
      </c>
      <c r="AI242" t="str">
        <v/>
      </c>
      <c r="AJ242" t="str">
        <v>24/09/2026 09:47:55</v>
      </c>
      <c r="AK242" t="str">
        <v>09:47:55</v>
      </c>
      <c r="AL242" t="str">
        <v/>
      </c>
    </row>
    <row r="243">
      <c r="A243">
        <v>242</v>
      </c>
      <c r="B243" t="str">
        <v>MASS BSF</v>
      </c>
      <c r="C243" t="str">
        <v>F8R-810</v>
      </c>
      <c r="D243" t="str">
        <v>F8R-810</v>
      </c>
      <c r="E243" t="str">
        <v/>
      </c>
      <c r="F243" t="str">
        <v>867806078868827</v>
      </c>
      <c r="G243" t="str">
        <v>TBD</v>
      </c>
      <c r="H243" t="str">
        <v/>
      </c>
      <c r="I243" t="str">
        <v/>
      </c>
      <c r="J243" t="str">
        <v>24/09/2026</v>
      </c>
      <c r="K243" t="str">
        <v>09:47:44</v>
      </c>
      <c r="L243">
        <v>-12.166535</v>
      </c>
      <c r="M243">
        <v>-76.91989</v>
      </c>
      <c r="N243">
        <f>HYPERLINK("https://www.google.com/maps/search/?api=1&amp;query=-12.166535,-76.91989","Jirón San Pedro, Villa María del Triunfo, Lima")</f>
      </c>
      <c r="O243" t="str">
        <v>Giro brusco</v>
      </c>
      <c r="P243">
        <v>1372.3</v>
      </c>
      <c r="Q243" t="str">
        <v/>
      </c>
      <c r="R243">
        <v>11.8</v>
      </c>
      <c r="S243">
        <v>55.73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85</v>
      </c>
      <c r="AB243" t="str">
        <v>24/09/2026</v>
      </c>
      <c r="AC243" t="str">
        <v>09:47:39</v>
      </c>
      <c r="AD243">
        <f>IF("ONLINE"="NOGPS","GPS Antiguo","En línea")</f>
      </c>
      <c r="AE243">
        <f>IF(0=0,"Sin atender", IF(0=1,"Atendida","Atendida y Reportada"))</f>
      </c>
      <c r="AF243" t="str">
        <v/>
      </c>
      <c r="AG243" t="str">
        <v/>
      </c>
      <c r="AH243" t="str">
        <v/>
      </c>
      <c r="AI243" t="str">
        <v/>
      </c>
      <c r="AJ243" t="str">
        <v>24/09/2026 09:47:55</v>
      </c>
      <c r="AK243" t="str">
        <v>09:47:55</v>
      </c>
      <c r="AL243" t="str">
        <v/>
      </c>
    </row>
    <row r="244">
      <c r="A244">
        <v>243</v>
      </c>
      <c r="B244" t="str">
        <v>MASS BSF</v>
      </c>
      <c r="C244" t="str">
        <v>F8R-810</v>
      </c>
      <c r="D244" t="str">
        <v>F8R-810</v>
      </c>
      <c r="E244" t="str">
        <v/>
      </c>
      <c r="F244" t="str">
        <v>867806078868827</v>
      </c>
      <c r="G244" t="str">
        <v>TBD</v>
      </c>
      <c r="H244" t="str">
        <v/>
      </c>
      <c r="I244" t="str">
        <v/>
      </c>
      <c r="J244" t="str">
        <v>24/09/2026</v>
      </c>
      <c r="K244" t="str">
        <v>09:47:51</v>
      </c>
      <c r="L244">
        <v>-12.166298</v>
      </c>
      <c r="M244">
        <v>-76.91985</v>
      </c>
      <c r="N244">
        <f>HYPERLINK("https://www.google.com/maps/search/?api=1&amp;query=-12.166298,-76.91985","Jirón San Pedro, Villa María del Triunfo, Lima")</f>
      </c>
      <c r="O244" t="str">
        <v>Acelerado y giro brusco</v>
      </c>
      <c r="P244">
        <v>1372.3</v>
      </c>
      <c r="Q244" t="str">
        <v/>
      </c>
      <c r="R244">
        <v>10.1</v>
      </c>
      <c r="S244">
        <v>55.73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85</v>
      </c>
      <c r="AB244" t="str">
        <v>24/09/2026</v>
      </c>
      <c r="AC244" t="str">
        <v>09:47:47</v>
      </c>
      <c r="AD244">
        <f>IF("ONLINE"="NOGPS","GPS Antiguo","En línea")</f>
      </c>
      <c r="AE244">
        <f>IF(0=0,"Sin atender", IF(0=1,"Atendida","Atendida y Reportada"))</f>
      </c>
      <c r="AF244" t="str">
        <v/>
      </c>
      <c r="AG244" t="str">
        <v/>
      </c>
      <c r="AH244" t="str">
        <v/>
      </c>
      <c r="AI244" t="str">
        <v/>
      </c>
      <c r="AJ244" t="str">
        <v>24/09/2026 09:48:00</v>
      </c>
      <c r="AK244" t="str">
        <v>09:48:00</v>
      </c>
      <c r="AL244" t="str">
        <v/>
      </c>
    </row>
    <row r="245">
      <c r="A245">
        <v>244</v>
      </c>
      <c r="B245" t="str">
        <v>MASS BSF</v>
      </c>
      <c r="C245" t="str">
        <v>F8R-810</v>
      </c>
      <c r="D245" t="str">
        <v>F8R-810</v>
      </c>
      <c r="E245" t="str">
        <v/>
      </c>
      <c r="F245" t="str">
        <v>867806078868827</v>
      </c>
      <c r="G245" t="str">
        <v>TBD</v>
      </c>
      <c r="H245" t="str">
        <v/>
      </c>
      <c r="I245" t="str">
        <v/>
      </c>
      <c r="J245" t="str">
        <v>24/09/2026</v>
      </c>
      <c r="K245" t="str">
        <v>09:48:25</v>
      </c>
      <c r="L245">
        <v>-12.166438</v>
      </c>
      <c r="M245">
        <v>-76.91988</v>
      </c>
      <c r="N245">
        <f>HYPERLINK("https://www.google.com/maps/search/?api=1&amp;query=-12.166438,-76.91988","Jirón San Pedro, Villa María del Triunfo, Lima")</f>
      </c>
      <c r="O245" t="str">
        <v>Aceleración brusca</v>
      </c>
      <c r="P245">
        <v>1372.3</v>
      </c>
      <c r="Q245" t="str">
        <v/>
      </c>
      <c r="R245">
        <v>10.5</v>
      </c>
      <c r="S245">
        <v>55.73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85</v>
      </c>
      <c r="AB245" t="str">
        <v>24/09/2026</v>
      </c>
      <c r="AC245" t="str">
        <v>09:48:20</v>
      </c>
      <c r="AD245">
        <f>IF("ONLINE"="NOGPS","GPS Antiguo","En línea")</f>
      </c>
      <c r="AE245">
        <f>IF(0=0,"Sin atender", IF(0=1,"Atendida","Atendida y Reportada"))</f>
      </c>
      <c r="AF245" t="str">
        <v/>
      </c>
      <c r="AG245" t="str">
        <v/>
      </c>
      <c r="AH245" t="str">
        <v/>
      </c>
      <c r="AI245" t="str">
        <v/>
      </c>
      <c r="AJ245" t="str">
        <v>24/09/2026 09:48:33</v>
      </c>
      <c r="AK245" t="str">
        <v>09:48:33</v>
      </c>
      <c r="AL245" t="str">
        <v/>
      </c>
    </row>
    <row r="246">
      <c r="A246">
        <v>245</v>
      </c>
      <c r="B246" t="str">
        <v>MASS BSF</v>
      </c>
      <c r="C246" t="str">
        <v>F8R-810</v>
      </c>
      <c r="D246" t="str">
        <v>F8R-810</v>
      </c>
      <c r="E246" t="str">
        <v/>
      </c>
      <c r="F246" t="str">
        <v>867806078868827</v>
      </c>
      <c r="G246" t="str">
        <v>TBD</v>
      </c>
      <c r="H246" t="str">
        <v/>
      </c>
      <c r="I246" t="str">
        <v/>
      </c>
      <c r="J246" t="str">
        <v>24/09/2026</v>
      </c>
      <c r="K246" t="str">
        <v>09:48:36</v>
      </c>
      <c r="L246">
        <v>-12.16675</v>
      </c>
      <c r="M246">
        <v>-76.91991</v>
      </c>
      <c r="N246">
        <f>HYPERLINK("https://www.google.com/maps/search/?api=1&amp;query=-12.16675,-76.91991","Jirón San Pedro, Villa María del Triunfo, Lima")</f>
      </c>
      <c r="O246" t="str">
        <v>Acelerado y giro brusco</v>
      </c>
      <c r="P246">
        <v>1372.4</v>
      </c>
      <c r="Q246" t="str">
        <v/>
      </c>
      <c r="R246">
        <v>13.5</v>
      </c>
      <c r="S246">
        <v>55.73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85</v>
      </c>
      <c r="AB246" t="str">
        <v>24/09/2026</v>
      </c>
      <c r="AC246" t="str">
        <v>09:48:32</v>
      </c>
      <c r="AD246">
        <f>IF("ONLINE"="NOGPS","GPS Antiguo","En línea")</f>
      </c>
      <c r="AE246">
        <f>IF(0=0,"Sin atender", IF(0=1,"Atendida","Atendida y Reportada"))</f>
      </c>
      <c r="AF246" t="str">
        <v/>
      </c>
      <c r="AG246" t="str">
        <v/>
      </c>
      <c r="AH246" t="str">
        <v/>
      </c>
      <c r="AI246" t="str">
        <v/>
      </c>
      <c r="AJ246" t="str">
        <v>24/09/2026 09:48:49</v>
      </c>
      <c r="AK246" t="str">
        <v>09:48:49</v>
      </c>
      <c r="AL246" t="str">
        <v/>
      </c>
    </row>
    <row r="247">
      <c r="A247">
        <v>246</v>
      </c>
      <c r="B247" t="str">
        <v>MASS BSF</v>
      </c>
      <c r="C247" t="str">
        <v>F8R-810</v>
      </c>
      <c r="D247" t="str">
        <v>F8R-810</v>
      </c>
      <c r="E247" t="str">
        <v/>
      </c>
      <c r="F247" t="str">
        <v>867806078868827</v>
      </c>
      <c r="G247" t="str">
        <v>TBD</v>
      </c>
      <c r="H247" t="str">
        <v/>
      </c>
      <c r="I247" t="str">
        <v/>
      </c>
      <c r="J247" t="str">
        <v>24/09/2026</v>
      </c>
      <c r="K247" t="str">
        <v>09:48:58</v>
      </c>
      <c r="L247">
        <v>-12.167327</v>
      </c>
      <c r="M247">
        <v>-76.91996</v>
      </c>
      <c r="N247">
        <f>HYPERLINK("https://www.google.com/maps/search/?api=1&amp;query=-12.167327,-76.91996","Jirón San Pedro, Villa María del Triunfo, Lima")</f>
      </c>
      <c r="O247" t="str">
        <v>Acelerado y giro brusco</v>
      </c>
      <c r="P247">
        <v>1372.4</v>
      </c>
      <c r="Q247" t="str">
        <v/>
      </c>
      <c r="R247">
        <v>7.9</v>
      </c>
      <c r="S247">
        <v>55.73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85</v>
      </c>
      <c r="AB247" t="str">
        <v>24/09/2026</v>
      </c>
      <c r="AC247" t="str">
        <v>09:48:53</v>
      </c>
      <c r="AD247">
        <f>IF("ONLINE"="NOGPS","GPS Antiguo","En línea")</f>
      </c>
      <c r="AE247">
        <f>IF(0=0,"Sin atender", IF(0=1,"Atendida","Atendida y Reportada"))</f>
      </c>
      <c r="AF247" t="str">
        <v/>
      </c>
      <c r="AG247" t="str">
        <v/>
      </c>
      <c r="AH247" t="str">
        <v/>
      </c>
      <c r="AI247" t="str">
        <v/>
      </c>
      <c r="AJ247" t="str">
        <v>24/09/2026 09:49:06</v>
      </c>
      <c r="AK247" t="str">
        <v>09:49:06</v>
      </c>
      <c r="AL247" t="str">
        <v/>
      </c>
    </row>
    <row r="248">
      <c r="A248">
        <v>247</v>
      </c>
      <c r="B248" t="str">
        <v>MASS BSF</v>
      </c>
      <c r="C248" t="str">
        <v>F8R-810</v>
      </c>
      <c r="D248" t="str">
        <v>F8R-810</v>
      </c>
      <c r="E248" t="str">
        <v/>
      </c>
      <c r="F248" t="str">
        <v>867806078868827</v>
      </c>
      <c r="G248" t="str">
        <v>TBD</v>
      </c>
      <c r="H248" t="str">
        <v/>
      </c>
      <c r="I248" t="str">
        <v/>
      </c>
      <c r="J248" t="str">
        <v>24/09/2026</v>
      </c>
      <c r="K248" t="str">
        <v>09:49:08</v>
      </c>
      <c r="L248">
        <v>-12.167392</v>
      </c>
      <c r="M248">
        <v>-76.91997</v>
      </c>
      <c r="N248">
        <f>HYPERLINK("https://www.google.com/maps/search/?api=1&amp;query=-12.167392,-76.91997","Jirón San Pedro, Villa María del Triunfo, Lima")</f>
      </c>
      <c r="O248" t="str">
        <v>Acelerado y giro brusco</v>
      </c>
      <c r="P248">
        <v>1372.4</v>
      </c>
      <c r="Q248" t="str">
        <v/>
      </c>
      <c r="R248">
        <v>0.3</v>
      </c>
      <c r="S248">
        <v>55.73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85</v>
      </c>
      <c r="AB248" t="str">
        <v>24/09/2026</v>
      </c>
      <c r="AC248" t="str">
        <v>09:49:04</v>
      </c>
      <c r="AD248">
        <f>IF("ONLINE"="NOGPS","GPS Antiguo","En línea")</f>
      </c>
      <c r="AE248">
        <f>IF(0=0,"Sin atender", IF(0=1,"Atendida","Atendida y Reportada"))</f>
      </c>
      <c r="AF248" t="str">
        <v/>
      </c>
      <c r="AG248" t="str">
        <v/>
      </c>
      <c r="AH248" t="str">
        <v/>
      </c>
      <c r="AI248" t="str">
        <v/>
      </c>
      <c r="AJ248" t="str">
        <v>24/09/2026 09:49:11</v>
      </c>
      <c r="AK248" t="str">
        <v>09:49:11</v>
      </c>
      <c r="AL248" t="str">
        <v/>
      </c>
    </row>
    <row r="249">
      <c r="A249">
        <v>248</v>
      </c>
      <c r="B249" t="str">
        <v>MASS BSF</v>
      </c>
      <c r="C249" t="str">
        <v>F8R-810</v>
      </c>
      <c r="D249" t="str">
        <v>F8R-810</v>
      </c>
      <c r="E249" t="str">
        <v/>
      </c>
      <c r="F249" t="str">
        <v>867806078868827</v>
      </c>
      <c r="G249" t="str">
        <v>TBD</v>
      </c>
      <c r="H249" t="str">
        <v/>
      </c>
      <c r="I249" t="str">
        <v/>
      </c>
      <c r="J249" t="str">
        <v>24/09/2026</v>
      </c>
      <c r="K249" t="str">
        <v>09:49:12</v>
      </c>
      <c r="L249">
        <v>-12.167428</v>
      </c>
      <c r="M249">
        <v>-76.919975</v>
      </c>
      <c r="N249">
        <f>HYPERLINK("https://www.google.com/maps/search/?api=1&amp;query=-12.167428,-76.919975","Jirón San Pedro, Villa María del Triunfo, Lima")</f>
      </c>
      <c r="O249" t="str">
        <v>Acelerado y giro brusco</v>
      </c>
      <c r="P249">
        <v>1372.5</v>
      </c>
      <c r="Q249" t="str">
        <v/>
      </c>
      <c r="R249">
        <v>4.2</v>
      </c>
      <c r="S249">
        <v>55.73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85</v>
      </c>
      <c r="AB249" t="str">
        <v>24/09/2026</v>
      </c>
      <c r="AC249" t="str">
        <v>09:49:07</v>
      </c>
      <c r="AD249">
        <f>IF("ONLINE"="NOGPS","GPS Antiguo","En línea")</f>
      </c>
      <c r="AE249">
        <f>IF(0=0,"Sin atender", IF(0=1,"Atendida","Atendida y Reportada"))</f>
      </c>
      <c r="AF249" t="str">
        <v/>
      </c>
      <c r="AG249" t="str">
        <v/>
      </c>
      <c r="AH249" t="str">
        <v/>
      </c>
      <c r="AI249" t="str">
        <v/>
      </c>
      <c r="AJ249" t="str">
        <v>24/09/2026 09:49:22</v>
      </c>
      <c r="AK249" t="str">
        <v>09:49:22</v>
      </c>
      <c r="AL249" t="str">
        <v/>
      </c>
    </row>
    <row r="250">
      <c r="A250">
        <v>249</v>
      </c>
      <c r="B250" t="str">
        <v>MASS BSF</v>
      </c>
      <c r="C250" t="str">
        <v>F8R-810</v>
      </c>
      <c r="D250" t="str">
        <v>F8R-810</v>
      </c>
      <c r="E250" t="str">
        <v/>
      </c>
      <c r="F250" t="str">
        <v>867806078868827</v>
      </c>
      <c r="G250" t="str">
        <v>TBD</v>
      </c>
      <c r="H250" t="str">
        <v/>
      </c>
      <c r="I250" t="str">
        <v/>
      </c>
      <c r="J250" t="str">
        <v>24/09/2026</v>
      </c>
      <c r="K250" t="str">
        <v>09:49:15</v>
      </c>
      <c r="L250">
        <v>-12.167472</v>
      </c>
      <c r="M250">
        <v>-76.91999</v>
      </c>
      <c r="N250">
        <f>HYPERLINK("https://www.google.com/maps/search/?api=1&amp;query=-12.167472,-76.91999","Jirón San Pedro, Villa María del Triunfo, Lima")</f>
      </c>
      <c r="O250" t="str">
        <v>Acelerado y giro brusco</v>
      </c>
      <c r="P250">
        <v>1372.5</v>
      </c>
      <c r="Q250" t="str">
        <v/>
      </c>
      <c r="R250">
        <v>6.8</v>
      </c>
      <c r="S250">
        <v>55.73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85</v>
      </c>
      <c r="AB250" t="str">
        <v>24/09/2026</v>
      </c>
      <c r="AC250" t="str">
        <v>09:49:11</v>
      </c>
      <c r="AD250">
        <f>IF("ONLINE"="NOGPS","GPS Antiguo","En línea")</f>
      </c>
      <c r="AE250">
        <f>IF(0=0,"Sin atender", IF(0=1,"Atendida","Atendida y Reportada"))</f>
      </c>
      <c r="AF250" t="str">
        <v/>
      </c>
      <c r="AG250" t="str">
        <v/>
      </c>
      <c r="AH250" t="str">
        <v/>
      </c>
      <c r="AI250" t="str">
        <v/>
      </c>
      <c r="AJ250" t="str">
        <v>24/09/2026 09:49:31</v>
      </c>
      <c r="AK250" t="str">
        <v>09:49:31</v>
      </c>
      <c r="AL250" t="str">
        <v/>
      </c>
    </row>
    <row r="251">
      <c r="A251">
        <v>250</v>
      </c>
      <c r="B251" t="str">
        <v>MASS BSF</v>
      </c>
      <c r="C251" t="str">
        <v>F8R-810</v>
      </c>
      <c r="D251" t="str">
        <v>F8R-810</v>
      </c>
      <c r="E251" t="str">
        <v/>
      </c>
      <c r="F251" t="str">
        <v>867806078868827</v>
      </c>
      <c r="G251" t="str">
        <v>TBD</v>
      </c>
      <c r="H251" t="str">
        <v/>
      </c>
      <c r="I251" t="str">
        <v/>
      </c>
      <c r="J251" t="str">
        <v>24/09/2026</v>
      </c>
      <c r="K251" t="str">
        <v>09:49:59</v>
      </c>
      <c r="L251">
        <v>-12.167459</v>
      </c>
      <c r="M251">
        <v>-76.92042</v>
      </c>
      <c r="N251">
        <f>HYPERLINK("https://www.google.com/maps/search/?api=1&amp;query=-12.167459,-76.92042","Avenida 26 de Noviembre, Villa María del Triunfo, Lima")</f>
      </c>
      <c r="O251" t="str">
        <v>Acelerado y giro brusco</v>
      </c>
      <c r="P251">
        <v>1372.5</v>
      </c>
      <c r="Q251" t="str">
        <v/>
      </c>
      <c r="R251">
        <v>23.5</v>
      </c>
      <c r="S251">
        <v>55.73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85</v>
      </c>
      <c r="AB251" t="str">
        <v>24/09/2026</v>
      </c>
      <c r="AC251" t="str">
        <v>09:49:54</v>
      </c>
      <c r="AD251">
        <f>IF("ONLINE"="NOGPS","GPS Antiguo","En línea")</f>
      </c>
      <c r="AE251">
        <f>IF(0=0,"Sin atender", IF(0=1,"Atendida","Atendida y Reportada"))</f>
      </c>
      <c r="AF251" t="str">
        <v/>
      </c>
      <c r="AG251" t="str">
        <v/>
      </c>
      <c r="AH251" t="str">
        <v/>
      </c>
      <c r="AI251" t="str">
        <v/>
      </c>
      <c r="AJ251" t="str">
        <v>24/09/2026 09:50:09</v>
      </c>
      <c r="AK251" t="str">
        <v>09:50:09</v>
      </c>
      <c r="AL251" t="str">
        <v/>
      </c>
    </row>
    <row r="252">
      <c r="A252">
        <v>251</v>
      </c>
      <c r="B252" t="str">
        <v>MASS BSF</v>
      </c>
      <c r="C252" t="str">
        <v>F8R-810</v>
      </c>
      <c r="D252" t="str">
        <v>F8R-810</v>
      </c>
      <c r="E252" t="str">
        <v/>
      </c>
      <c r="F252" t="str">
        <v>867806078868827</v>
      </c>
      <c r="G252" t="str">
        <v>TBD</v>
      </c>
      <c r="H252" t="str">
        <v/>
      </c>
      <c r="I252" t="str">
        <v/>
      </c>
      <c r="J252" t="str">
        <v>24/09/2026</v>
      </c>
      <c r="K252" t="str">
        <v>09:50:12</v>
      </c>
      <c r="L252">
        <v>-12.167595</v>
      </c>
      <c r="M252">
        <v>-76.92132</v>
      </c>
      <c r="N252">
        <f>HYPERLINK("https://www.google.com/maps/search/?api=1&amp;query=-12.167595,-76.92132","Avenida 26 de Noviembre, Villa María del Triunfo, Lima")</f>
      </c>
      <c r="O252" t="str">
        <v>Aceleración brusca</v>
      </c>
      <c r="P252">
        <v>1372.6</v>
      </c>
      <c r="Q252" t="str">
        <v/>
      </c>
      <c r="R252">
        <v>28.5</v>
      </c>
      <c r="S252">
        <v>55.73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85</v>
      </c>
      <c r="AB252" t="str">
        <v>24/09/2026</v>
      </c>
      <c r="AC252" t="str">
        <v>09:50:07</v>
      </c>
      <c r="AD252">
        <f>IF("ONLINE"="NOGPS","GPS Antiguo","En línea")</f>
      </c>
      <c r="AE252">
        <f>IF(0=0,"Sin atender", IF(0=1,"Atendida","Atendida y Reportada"))</f>
      </c>
      <c r="AF252" t="str">
        <v/>
      </c>
      <c r="AG252" t="str">
        <v/>
      </c>
      <c r="AH252" t="str">
        <v/>
      </c>
      <c r="AI252" t="str">
        <v/>
      </c>
      <c r="AJ252" t="str">
        <v>24/09/2026 09:50:21</v>
      </c>
      <c r="AK252" t="str">
        <v>09:50:21</v>
      </c>
      <c r="AL252" t="str">
        <v/>
      </c>
    </row>
    <row r="253">
      <c r="A253">
        <v>252</v>
      </c>
      <c r="B253" t="str">
        <v>MASS BSF</v>
      </c>
      <c r="C253" t="str">
        <v>F8R-810</v>
      </c>
      <c r="D253" t="str">
        <v>F8R-810</v>
      </c>
      <c r="E253" t="str">
        <v/>
      </c>
      <c r="F253" t="str">
        <v>867806078868827</v>
      </c>
      <c r="G253" t="str">
        <v>TBD</v>
      </c>
      <c r="H253" t="str">
        <v/>
      </c>
      <c r="I253" t="str">
        <v/>
      </c>
      <c r="J253" t="str">
        <v>24/09/2026</v>
      </c>
      <c r="K253" t="str">
        <v>09:50:38</v>
      </c>
      <c r="L253">
        <v>-12.167497</v>
      </c>
      <c r="M253">
        <v>-76.92338</v>
      </c>
      <c r="N253">
        <f>HYPERLINK("https://www.google.com/maps/search/?api=1&amp;query=-12.167497,-76.92338","Avenida 26 de Noviembre, Villa María del Triunfo, Lima")</f>
      </c>
      <c r="O253" t="str">
        <v>Acelerado y giro brusco</v>
      </c>
      <c r="P253">
        <v>1372.8</v>
      </c>
      <c r="Q253" t="str">
        <v/>
      </c>
      <c r="R253">
        <v>32</v>
      </c>
      <c r="S253">
        <v>55.73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86</v>
      </c>
      <c r="AB253" t="str">
        <v>24/09/2026</v>
      </c>
      <c r="AC253" t="str">
        <v>09:50:34</v>
      </c>
      <c r="AD253">
        <f>IF("ONLINE"="NOGPS","GPS Antiguo","En línea")</f>
      </c>
      <c r="AE253">
        <f>IF(0=0,"Sin atender", IF(0=1,"Atendida","Atendida y Reportada"))</f>
      </c>
      <c r="AF253" t="str">
        <v/>
      </c>
      <c r="AG253" t="str">
        <v/>
      </c>
      <c r="AH253" t="str">
        <v/>
      </c>
      <c r="AI253" t="str">
        <v/>
      </c>
      <c r="AJ253" t="str">
        <v>24/09/2026 09:50:54</v>
      </c>
      <c r="AK253" t="str">
        <v>09:50:54</v>
      </c>
      <c r="AL253" t="str">
        <v/>
      </c>
    </row>
    <row r="254">
      <c r="A254">
        <v>253</v>
      </c>
      <c r="B254" t="str">
        <v>MASS BSF</v>
      </c>
      <c r="C254" t="str">
        <v>F8R-810</v>
      </c>
      <c r="D254" t="str">
        <v>F8R-810</v>
      </c>
      <c r="E254" t="str">
        <v/>
      </c>
      <c r="F254" t="str">
        <v>867806078868827</v>
      </c>
      <c r="G254" t="str">
        <v>TBD</v>
      </c>
      <c r="H254" t="str">
        <v/>
      </c>
      <c r="I254" t="str">
        <v/>
      </c>
      <c r="J254" t="str">
        <v>24/09/2026</v>
      </c>
      <c r="K254" t="str">
        <v>09:50:47</v>
      </c>
      <c r="L254">
        <v>-12.167368</v>
      </c>
      <c r="M254">
        <v>-76.92383</v>
      </c>
      <c r="N254">
        <f>HYPERLINK("https://www.google.com/maps/search/?api=1&amp;query=-12.167368,-76.92383","Avenida 26 de Noviembre, Villa María del Triunfo, Lima")</f>
      </c>
      <c r="O254" t="str">
        <v>Acelerado y giro brusco</v>
      </c>
      <c r="P254">
        <v>1372.9</v>
      </c>
      <c r="Q254" t="str">
        <v/>
      </c>
      <c r="R254">
        <v>7.9</v>
      </c>
      <c r="S254">
        <v>55.73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86</v>
      </c>
      <c r="AB254" t="str">
        <v>24/09/2026</v>
      </c>
      <c r="AC254" t="str">
        <v>09:50:43</v>
      </c>
      <c r="AD254">
        <f>IF("ONLINE"="NOGPS","GPS Antiguo","En línea")</f>
      </c>
      <c r="AE254">
        <f>IF(0=0,"Sin atender", IF(0=1,"Atendida","Atendida y Reportada"))</f>
      </c>
      <c r="AF254" t="str">
        <v/>
      </c>
      <c r="AG254" t="str">
        <v/>
      </c>
      <c r="AH254" t="str">
        <v/>
      </c>
      <c r="AI254" t="str">
        <v/>
      </c>
      <c r="AJ254" t="str">
        <v>24/09/2026 09:50:54</v>
      </c>
      <c r="AK254" t="str">
        <v>09:50:54</v>
      </c>
      <c r="AL254" t="str">
        <v/>
      </c>
    </row>
    <row r="255">
      <c r="A255">
        <v>254</v>
      </c>
      <c r="B255" t="str">
        <v>MASS BSF</v>
      </c>
      <c r="C255" t="str">
        <v>F8R-810</v>
      </c>
      <c r="D255" t="str">
        <v>F8R-810</v>
      </c>
      <c r="E255" t="str">
        <v/>
      </c>
      <c r="F255" t="str">
        <v>867806078868827</v>
      </c>
      <c r="G255" t="str">
        <v>TBD</v>
      </c>
      <c r="H255" t="str">
        <v/>
      </c>
      <c r="I255" t="str">
        <v/>
      </c>
      <c r="J255" t="str">
        <v>24/09/2026</v>
      </c>
      <c r="K255" t="str">
        <v>09:50:52</v>
      </c>
      <c r="L255">
        <v>-12.167334</v>
      </c>
      <c r="M255">
        <v>-76.923996</v>
      </c>
      <c r="N255">
        <f>HYPERLINK("https://www.google.com/maps/search/?api=1&amp;query=-12.167334,-76.923996","Avenida 24 de Junio, Villa María del Triunfo, Lima")</f>
      </c>
      <c r="O255" t="str">
        <v>Acelerado y giro brusco</v>
      </c>
      <c r="P255">
        <v>1372.9</v>
      </c>
      <c r="Q255" t="str">
        <v/>
      </c>
      <c r="R255">
        <v>18.8</v>
      </c>
      <c r="S255">
        <v>55.73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86</v>
      </c>
      <c r="AB255" t="str">
        <v>24/09/2026</v>
      </c>
      <c r="AC255" t="str">
        <v>09:50:48</v>
      </c>
      <c r="AD255">
        <f>IF("ONLINE"="NOGPS","GPS Antiguo","En línea")</f>
      </c>
      <c r="AE255">
        <f>IF(0=0,"Sin atender", IF(0=1,"Atendida","Atendida y Reportada"))</f>
      </c>
      <c r="AF255" t="str">
        <v/>
      </c>
      <c r="AG255" t="str">
        <v/>
      </c>
      <c r="AH255" t="str">
        <v/>
      </c>
      <c r="AI255" t="str">
        <v/>
      </c>
      <c r="AJ255" t="str">
        <v>24/09/2026 09:51:03</v>
      </c>
      <c r="AK255" t="str">
        <v>09:51:03</v>
      </c>
      <c r="AL255" t="str">
        <v/>
      </c>
    </row>
    <row r="256">
      <c r="A256">
        <v>255</v>
      </c>
      <c r="B256" t="str">
        <v>MASS BSF</v>
      </c>
      <c r="C256" t="str">
        <v>F8R-810</v>
      </c>
      <c r="D256" t="str">
        <v>F8R-810</v>
      </c>
      <c r="E256" t="str">
        <v/>
      </c>
      <c r="F256" t="str">
        <v>867806078868827</v>
      </c>
      <c r="G256" t="str">
        <v>TBD</v>
      </c>
      <c r="H256" t="str">
        <v/>
      </c>
      <c r="I256" t="str">
        <v/>
      </c>
      <c r="J256" t="str">
        <v>24/09/2026</v>
      </c>
      <c r="K256" t="str">
        <v>09:50:56</v>
      </c>
      <c r="L256">
        <v>-12.167278</v>
      </c>
      <c r="M256">
        <v>-76.92419</v>
      </c>
      <c r="N256">
        <f>HYPERLINK("https://www.google.com/maps/search/?api=1&amp;query=-12.167278,-76.92419","Avenida 26 de Noviembre, Villa María del Triunfo, Lima")</f>
      </c>
      <c r="O256" t="str">
        <v>Acelerado y giro brusco</v>
      </c>
      <c r="P256">
        <v>1372.9</v>
      </c>
      <c r="Q256" t="str">
        <v/>
      </c>
      <c r="R256">
        <v>19.6</v>
      </c>
      <c r="S256">
        <v>55.73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86</v>
      </c>
      <c r="AB256" t="str">
        <v>24/09/2026</v>
      </c>
      <c r="AC256" t="str">
        <v>09:50:52</v>
      </c>
      <c r="AD256">
        <f>IF("ONLINE"="NOGPS","GPS Antiguo","En línea")</f>
      </c>
      <c r="AE256">
        <f>IF(0=0,"Sin atender", IF(0=1,"Atendida","Atendida y Reportada"))</f>
      </c>
      <c r="AF256" t="str">
        <v/>
      </c>
      <c r="AG256" t="str">
        <v/>
      </c>
      <c r="AH256" t="str">
        <v/>
      </c>
      <c r="AI256" t="str">
        <v/>
      </c>
      <c r="AJ256" t="str">
        <v>24/09/2026 09:51:12</v>
      </c>
      <c r="AK256" t="str">
        <v>09:51:12</v>
      </c>
      <c r="AL256" t="str">
        <v/>
      </c>
    </row>
    <row r="257">
      <c r="A257">
        <v>256</v>
      </c>
      <c r="B257" t="str">
        <v>MASS BSF</v>
      </c>
      <c r="C257" t="str">
        <v>F8R-810</v>
      </c>
      <c r="D257" t="str">
        <v>F8R-810</v>
      </c>
      <c r="E257" t="str">
        <v/>
      </c>
      <c r="F257" t="str">
        <v>867806078868827</v>
      </c>
      <c r="G257" t="str">
        <v>TBD</v>
      </c>
      <c r="H257" t="str">
        <v/>
      </c>
      <c r="I257" t="str">
        <v/>
      </c>
      <c r="J257" t="str">
        <v>24/09/2026</v>
      </c>
      <c r="K257" t="str">
        <v>09:51:19</v>
      </c>
      <c r="L257">
        <v>-12.16719</v>
      </c>
      <c r="M257">
        <v>-76.92447</v>
      </c>
      <c r="N257">
        <f>HYPERLINK("https://www.google.com/maps/search/?api=1&amp;query=-12.16719,-76.92447","Avenida 26 de Noviembre, Villa María del Triunfo, Lima")</f>
      </c>
      <c r="O257" t="str">
        <v>Vehículo apagado</v>
      </c>
      <c r="P257">
        <v>1373</v>
      </c>
      <c r="Q257" t="str">
        <v/>
      </c>
      <c r="R257">
        <v>0</v>
      </c>
      <c r="S257">
        <v>55.8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86</v>
      </c>
      <c r="AB257" t="str">
        <v>24/09/2026</v>
      </c>
      <c r="AC257" t="str">
        <v>09:51:15</v>
      </c>
      <c r="AD257">
        <f>IF("ONLINE"="NOGPS","GPS Antiguo","En línea")</f>
      </c>
      <c r="AE257">
        <f>IF(0=0,"Sin atender", IF(0=1,"Atendida","Atendida y Reportada"))</f>
      </c>
      <c r="AF257" t="str">
        <v/>
      </c>
      <c r="AG257" t="str">
        <v/>
      </c>
      <c r="AH257" t="str">
        <v/>
      </c>
      <c r="AI257" t="str">
        <v/>
      </c>
      <c r="AJ257" t="str">
        <v>24/09/2026 09:51:23</v>
      </c>
      <c r="AK257" t="str">
        <v>09:51:23</v>
      </c>
      <c r="AL257" t="str">
        <v/>
      </c>
    </row>
    <row r="258">
      <c r="A258">
        <v>257</v>
      </c>
      <c r="B258" t="str">
        <v>MASS BSF</v>
      </c>
      <c r="C258" t="str">
        <v>F8R-810</v>
      </c>
      <c r="D258" t="str">
        <v>F8R-810</v>
      </c>
      <c r="E258" t="str">
        <v/>
      </c>
      <c r="F258" t="str">
        <v>867806078868827</v>
      </c>
      <c r="G258" t="str">
        <v>TBD</v>
      </c>
      <c r="H258" t="str">
        <v/>
      </c>
      <c r="I258" t="str">
        <v/>
      </c>
      <c r="J258" t="str">
        <v>24/09/2026</v>
      </c>
      <c r="K258" t="str">
        <v>10:03:36</v>
      </c>
      <c r="L258">
        <v>-12.167258</v>
      </c>
      <c r="M258">
        <v>-76.924545</v>
      </c>
      <c r="N258">
        <f>HYPERLINK("https://www.google.com/maps/search/?api=1&amp;query=-12.167258,-76.924545","Avenida 26 de Noviembre, Villa María del Triunfo, Lima")</f>
      </c>
      <c r="O258" t="str">
        <v>Vehículo encendido</v>
      </c>
      <c r="P258">
        <v>1373</v>
      </c>
      <c r="Q258" t="str">
        <v/>
      </c>
      <c r="R258">
        <v>0</v>
      </c>
      <c r="S258">
        <v>55.8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95</v>
      </c>
      <c r="AB258" t="str">
        <v>24/09/2026</v>
      </c>
      <c r="AC258" t="str">
        <v>10:03:32</v>
      </c>
      <c r="AD258">
        <f>IF("ONLINE"="NOGPS","GPS Antiguo","En línea")</f>
      </c>
      <c r="AE258">
        <f>IF(0=0,"Sin atender", IF(0=1,"Atendida","Atendida y Reportada"))</f>
      </c>
      <c r="AF258" t="str">
        <v/>
      </c>
      <c r="AG258" t="str">
        <v/>
      </c>
      <c r="AH258" t="str">
        <v/>
      </c>
      <c r="AI258" t="str">
        <v/>
      </c>
      <c r="AJ258" t="str">
        <v>24/09/2026 10:03:43</v>
      </c>
      <c r="AK258" t="str">
        <v>10:03:43</v>
      </c>
      <c r="AL258" t="str">
        <v/>
      </c>
    </row>
    <row r="259">
      <c r="A259">
        <v>258</v>
      </c>
      <c r="B259" t="str">
        <v>MASS BSF</v>
      </c>
      <c r="C259" t="str">
        <v>F8R-810</v>
      </c>
      <c r="D259" t="str">
        <v>F8R-810</v>
      </c>
      <c r="E259" t="str">
        <v/>
      </c>
      <c r="F259" t="str">
        <v>867806078868827</v>
      </c>
      <c r="G259" t="str">
        <v>TBD</v>
      </c>
      <c r="H259" t="str">
        <v/>
      </c>
      <c r="I259" t="str">
        <v/>
      </c>
      <c r="J259" t="str">
        <v>24/09/2026</v>
      </c>
      <c r="K259" t="str">
        <v>10:05:36</v>
      </c>
      <c r="L259">
        <v>-12.16721</v>
      </c>
      <c r="M259">
        <v>-76.92457</v>
      </c>
      <c r="N259">
        <f>HYPERLINK("https://www.google.com/maps/search/?api=1&amp;query=-12.16721,-76.92457","Avenida 26 de Noviembre, Villa María del Triunfo, Lima")</f>
      </c>
      <c r="O259" t="str">
        <v>Se movio</v>
      </c>
      <c r="P259">
        <v>1373</v>
      </c>
      <c r="Q259" t="str">
        <v/>
      </c>
      <c r="R259">
        <v>6.2</v>
      </c>
      <c r="S259">
        <v>55.8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95</v>
      </c>
      <c r="AB259" t="str">
        <v>24/09/2026</v>
      </c>
      <c r="AC259" t="str">
        <v>10:05:32</v>
      </c>
      <c r="AD259">
        <f>IF("ONLINE"="NOGPS","GPS Antiguo","En línea")</f>
      </c>
      <c r="AE259">
        <f>IF(0=0,"Sin atender", IF(0=1,"Atendida","Atendida y Reportada"))</f>
      </c>
      <c r="AF259" t="str">
        <v/>
      </c>
      <c r="AG259" t="str">
        <v/>
      </c>
      <c r="AH259" t="str">
        <v/>
      </c>
      <c r="AI259" t="str">
        <v/>
      </c>
      <c r="AJ259" t="str">
        <v>24/09/2026 10:05:48</v>
      </c>
      <c r="AK259" t="str">
        <v>10:05:48</v>
      </c>
      <c r="AL259" t="str">
        <v/>
      </c>
    </row>
    <row r="260">
      <c r="A260">
        <v>259</v>
      </c>
      <c r="B260" t="str">
        <v>MASS BSF</v>
      </c>
      <c r="C260" t="str">
        <v>F8R-810</v>
      </c>
      <c r="D260" t="str">
        <v>F8R-810</v>
      </c>
      <c r="E260" t="str">
        <v/>
      </c>
      <c r="F260" t="str">
        <v>867806078868827</v>
      </c>
      <c r="G260" t="str">
        <v>TBD</v>
      </c>
      <c r="H260" t="str">
        <v/>
      </c>
      <c r="I260" t="str">
        <v/>
      </c>
      <c r="J260" t="str">
        <v>24/09/2026</v>
      </c>
      <c r="K260" t="str">
        <v>10:05:40</v>
      </c>
      <c r="L260">
        <v>-12.167185</v>
      </c>
      <c r="M260">
        <v>-76.924644</v>
      </c>
      <c r="N260">
        <f>HYPERLINK("https://www.google.com/maps/search/?api=1&amp;query=-12.167185,-76.924644","Avenida 26 de Noviembre, Villa María del Triunfo, Lima")</f>
      </c>
      <c r="O260" t="str">
        <v>Acelerado y giro brusco</v>
      </c>
      <c r="P260">
        <v>1373</v>
      </c>
      <c r="Q260" t="str">
        <v/>
      </c>
      <c r="R260">
        <v>9.6</v>
      </c>
      <c r="S260">
        <v>55.8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95</v>
      </c>
      <c r="AB260" t="str">
        <v>24/09/2026</v>
      </c>
      <c r="AC260" t="str">
        <v>10:05:36</v>
      </c>
      <c r="AD260">
        <f>IF("ONLINE"="NOGPS","GPS Antiguo","En línea")</f>
      </c>
      <c r="AE260">
        <f>IF(0=0,"Sin atender", IF(0=1,"Atendida","Atendida y Reportada"))</f>
      </c>
      <c r="AF260" t="str">
        <v/>
      </c>
      <c r="AG260" t="str">
        <v/>
      </c>
      <c r="AH260" t="str">
        <v/>
      </c>
      <c r="AI260" t="str">
        <v/>
      </c>
      <c r="AJ260" t="str">
        <v>24/09/2026 10:05:47</v>
      </c>
      <c r="AK260" t="str">
        <v>10:05:47</v>
      </c>
      <c r="AL260" t="str">
        <v/>
      </c>
    </row>
    <row r="261">
      <c r="A261">
        <v>260</v>
      </c>
      <c r="B261" t="str">
        <v>MASS BSF</v>
      </c>
      <c r="C261" t="str">
        <v>F8R-810</v>
      </c>
      <c r="D261" t="str">
        <v>F8R-810</v>
      </c>
      <c r="E261" t="str">
        <v/>
      </c>
      <c r="F261" t="str">
        <v>867806078868827</v>
      </c>
      <c r="G261" t="str">
        <v>TBD</v>
      </c>
      <c r="H261" t="str">
        <v/>
      </c>
      <c r="I261" t="str">
        <v/>
      </c>
      <c r="J261" t="str">
        <v>24/09/2026</v>
      </c>
      <c r="K261" t="str">
        <v>10:05:54</v>
      </c>
      <c r="L261">
        <v>-12.167102</v>
      </c>
      <c r="M261">
        <v>-76.92487</v>
      </c>
      <c r="N261">
        <f>HYPERLINK("https://www.google.com/maps/search/?api=1&amp;query=-12.167102,-76.92487","Calle Arica, Villa María del Triunfo, Lima")</f>
      </c>
      <c r="O261" t="str">
        <v>Aceleración brusca</v>
      </c>
      <c r="P261">
        <v>1373</v>
      </c>
      <c r="Q261" t="str">
        <v/>
      </c>
      <c r="R261">
        <v>5.9</v>
      </c>
      <c r="S261">
        <v>55.8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95</v>
      </c>
      <c r="AB261" t="str">
        <v>24/09/2026</v>
      </c>
      <c r="AC261" t="str">
        <v>10:05:50</v>
      </c>
      <c r="AD261">
        <f>IF("ONLINE"="NOGPS","GPS Antiguo","En línea")</f>
      </c>
      <c r="AE261">
        <f>IF(0=0,"Sin atender", IF(0=1,"Atendida","Atendida y Reportada"))</f>
      </c>
      <c r="AF261" t="str">
        <v/>
      </c>
      <c r="AG261" t="str">
        <v/>
      </c>
      <c r="AH261" t="str">
        <v/>
      </c>
      <c r="AI261" t="str">
        <v/>
      </c>
      <c r="AJ261" t="str">
        <v>24/09/2026 10:06:13</v>
      </c>
      <c r="AK261" t="str">
        <v>10:06:13</v>
      </c>
      <c r="AL261" t="str">
        <v/>
      </c>
    </row>
    <row r="262">
      <c r="A262">
        <v>261</v>
      </c>
      <c r="B262" t="str">
        <v>MASS BSF</v>
      </c>
      <c r="C262" t="str">
        <v>F8R-810</v>
      </c>
      <c r="D262" t="str">
        <v>F8R-810</v>
      </c>
      <c r="E262" t="str">
        <v/>
      </c>
      <c r="F262" t="str">
        <v>867806078868827</v>
      </c>
      <c r="G262" t="str">
        <v>TBD</v>
      </c>
      <c r="H262" t="str">
        <v/>
      </c>
      <c r="I262" t="str">
        <v/>
      </c>
      <c r="J262" t="str">
        <v>24/09/2026</v>
      </c>
      <c r="K262" t="str">
        <v>10:06:01</v>
      </c>
      <c r="L262">
        <v>-12.167107</v>
      </c>
      <c r="M262">
        <v>-76.92491</v>
      </c>
      <c r="N262">
        <f>HYPERLINK("https://www.google.com/maps/search/?api=1&amp;query=-12.167107,-76.92491","Calle Arica, Villa María del Triunfo, Lima")</f>
      </c>
      <c r="O262" t="str">
        <v>Vehículo apagado</v>
      </c>
      <c r="P262">
        <v>1373</v>
      </c>
      <c r="Q262" t="str">
        <v/>
      </c>
      <c r="R262">
        <v>0</v>
      </c>
      <c r="S262">
        <v>55.83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95</v>
      </c>
      <c r="AB262" t="str">
        <v>24/09/2026</v>
      </c>
      <c r="AC262" t="str">
        <v>10:05:57</v>
      </c>
      <c r="AD262">
        <f>IF("ONLINE"="NOGPS","GPS Antiguo","En línea")</f>
      </c>
      <c r="AE262">
        <f>IF(0=0,"Sin atender", IF(0=1,"Atendida","Atendida y Reportada"))</f>
      </c>
      <c r="AF262" t="str">
        <v/>
      </c>
      <c r="AG262" t="str">
        <v/>
      </c>
      <c r="AH262" t="str">
        <v/>
      </c>
      <c r="AI262" t="str">
        <v/>
      </c>
      <c r="AJ262" t="str">
        <v>24/09/2026 10:06:15</v>
      </c>
      <c r="AK262" t="str">
        <v>10:06:15</v>
      </c>
      <c r="AL262" t="str">
        <v/>
      </c>
    </row>
    <row r="263">
      <c r="A263">
        <v>262</v>
      </c>
      <c r="B263" t="str">
        <v>MASS BSF</v>
      </c>
      <c r="C263" t="str">
        <v>F8R-810</v>
      </c>
      <c r="D263" t="str">
        <v>F8R-810</v>
      </c>
      <c r="E263" t="str">
        <v/>
      </c>
      <c r="F263" t="str">
        <v>867806078868827</v>
      </c>
      <c r="G263" t="str">
        <v>TBD</v>
      </c>
      <c r="H263" t="str">
        <v/>
      </c>
      <c r="I263" t="str">
        <v/>
      </c>
      <c r="J263" t="str">
        <v>24/09/2026</v>
      </c>
      <c r="K263" t="str">
        <v>10:09:20</v>
      </c>
      <c r="L263">
        <v>-12.167107</v>
      </c>
      <c r="M263">
        <v>-76.92491</v>
      </c>
      <c r="N263">
        <f>HYPERLINK("https://www.google.com/maps/search/?api=1&amp;query=-12.167107,-76.92491","Calle Arica, Villa María del Triunfo, Lima")</f>
      </c>
      <c r="O263" t="str">
        <v>Inicio de ralentí</v>
      </c>
      <c r="P263">
        <v>1373</v>
      </c>
      <c r="Q263" t="str">
        <v/>
      </c>
      <c r="R263">
        <v>0</v>
      </c>
      <c r="S263">
        <v>55.83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95</v>
      </c>
      <c r="AB263" t="str">
        <v>24/09/2026</v>
      </c>
      <c r="AC263" t="str">
        <v>10:09:15</v>
      </c>
      <c r="AD263">
        <f>IF("ONLINE"="NOGPS","GPS Antiguo","En línea")</f>
      </c>
      <c r="AE263">
        <f>IF(0=0,"Sin atender", IF(0=1,"Atendida","Atendida y Reportada"))</f>
      </c>
      <c r="AF263" t="str">
        <v/>
      </c>
      <c r="AG263" t="str">
        <v/>
      </c>
      <c r="AH263" t="str">
        <v/>
      </c>
      <c r="AI263" t="str">
        <v/>
      </c>
      <c r="AJ263" t="str">
        <v>24/09/2026 10:09:38</v>
      </c>
      <c r="AK263" t="str">
        <v>10:09:38</v>
      </c>
      <c r="AL263" t="str">
        <v/>
      </c>
    </row>
    <row r="264">
      <c r="A264">
        <v>263</v>
      </c>
      <c r="B264" t="str">
        <v>MASS BSF</v>
      </c>
      <c r="C264" t="str">
        <v>F8R-810</v>
      </c>
      <c r="D264" t="str">
        <v>F8R-810</v>
      </c>
      <c r="E264" t="str">
        <v/>
      </c>
      <c r="F264" t="str">
        <v>867806078868827</v>
      </c>
      <c r="G264" t="str">
        <v>TBD</v>
      </c>
      <c r="H264" t="str">
        <v/>
      </c>
      <c r="I264" t="str">
        <v/>
      </c>
      <c r="J264" t="str">
        <v>24/09/2026</v>
      </c>
      <c r="K264" t="str">
        <v>10:10:32</v>
      </c>
      <c r="L264">
        <v>-12.167107</v>
      </c>
      <c r="M264">
        <v>-76.92491</v>
      </c>
      <c r="N264">
        <f>HYPERLINK("https://www.google.com/maps/search/?api=1&amp;query=-12.167107,-76.92491","Calle Arica, Villa María del Triunfo, Lima")</f>
      </c>
      <c r="O264" t="str">
        <v>Vehículo encendido</v>
      </c>
      <c r="P264">
        <v>1373</v>
      </c>
      <c r="Q264" t="str">
        <v/>
      </c>
      <c r="R264">
        <v>0</v>
      </c>
      <c r="S264">
        <v>55.83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95</v>
      </c>
      <c r="AB264" t="str">
        <v>24/09/2026</v>
      </c>
      <c r="AC264" t="str">
        <v>10:10:28</v>
      </c>
      <c r="AD264">
        <f>IF("ONLINE"="NOGPS","GPS Antiguo","En línea")</f>
      </c>
      <c r="AE264">
        <f>IF(0=0,"Sin atender", IF(0=1,"Atendida","Atendida y Reportada"))</f>
      </c>
      <c r="AF264" t="str">
        <v/>
      </c>
      <c r="AG264" t="str">
        <v/>
      </c>
      <c r="AH264" t="str">
        <v/>
      </c>
      <c r="AI264" t="str">
        <v/>
      </c>
      <c r="AJ264" t="str">
        <v>24/09/2026 10:10:43</v>
      </c>
      <c r="AK264" t="str">
        <v>10:10:43</v>
      </c>
      <c r="AL264" t="str">
        <v/>
      </c>
    </row>
    <row r="265">
      <c r="A265">
        <v>264</v>
      </c>
      <c r="B265" t="str">
        <v>MASS BSF</v>
      </c>
      <c r="C265" t="str">
        <v>F8R-810</v>
      </c>
      <c r="D265" t="str">
        <v>F8R-810</v>
      </c>
      <c r="E265" t="str">
        <v/>
      </c>
      <c r="F265" t="str">
        <v>867806078868827</v>
      </c>
      <c r="G265" t="str">
        <v>TBD</v>
      </c>
      <c r="H265" t="str">
        <v/>
      </c>
      <c r="I265" t="str">
        <v/>
      </c>
      <c r="J265" t="str">
        <v>24/09/2026</v>
      </c>
      <c r="K265" t="str">
        <v>10:10:38</v>
      </c>
      <c r="L265">
        <v>-12.167107</v>
      </c>
      <c r="M265">
        <v>-76.92491</v>
      </c>
      <c r="N265">
        <f>HYPERLINK("https://www.google.com/maps/search/?api=1&amp;query=-12.167107,-76.92491","Calle Arica, Villa María del Triunfo, Lima")</f>
      </c>
      <c r="O265" t="str">
        <v>Acelerado y giro brusco</v>
      </c>
      <c r="P265">
        <v>1373</v>
      </c>
      <c r="Q265" t="str">
        <v/>
      </c>
      <c r="R265">
        <v>0</v>
      </c>
      <c r="S265">
        <v>55.83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95</v>
      </c>
      <c r="AB265" t="str">
        <v>24/09/2026</v>
      </c>
      <c r="AC265" t="str">
        <v>10:10:34</v>
      </c>
      <c r="AD265">
        <f>IF("ONLINE"="NOGPS","GPS Antiguo","En línea")</f>
      </c>
      <c r="AE265">
        <f>IF(0=0,"Sin atender", IF(0=1,"Atendida","Atendida y Reportada"))</f>
      </c>
      <c r="AF265" t="str">
        <v/>
      </c>
      <c r="AG265" t="str">
        <v/>
      </c>
      <c r="AH265" t="str">
        <v/>
      </c>
      <c r="AI265" t="str">
        <v/>
      </c>
      <c r="AJ265" t="str">
        <v>24/09/2026 10:10:52</v>
      </c>
      <c r="AK265" t="str">
        <v>10:10:52</v>
      </c>
      <c r="AL265" t="str">
        <v/>
      </c>
    </row>
    <row r="266">
      <c r="A266">
        <v>265</v>
      </c>
      <c r="B266" t="str">
        <v>MASS BSF</v>
      </c>
      <c r="C266" t="str">
        <v>F8R-810</v>
      </c>
      <c r="D266" t="str">
        <v>F8R-810</v>
      </c>
      <c r="E266" t="str">
        <v/>
      </c>
      <c r="F266" t="str">
        <v>867806078868827</v>
      </c>
      <c r="G266" t="str">
        <v>TBD</v>
      </c>
      <c r="H266" t="str">
        <v/>
      </c>
      <c r="I266" t="str">
        <v/>
      </c>
      <c r="J266" t="str">
        <v>24/09/2026</v>
      </c>
      <c r="K266" t="str">
        <v>10:10:52</v>
      </c>
      <c r="L266">
        <v>-12.167118</v>
      </c>
      <c r="M266">
        <v>-76.92499</v>
      </c>
      <c r="N266">
        <f>HYPERLINK("https://www.google.com/maps/search/?api=1&amp;query=-12.167118,-76.92499","Avenida 26 de Noviembre, Villa María del Triunfo, Lima")</f>
      </c>
      <c r="O266" t="str">
        <v>Fin de ralentí</v>
      </c>
      <c r="P266">
        <v>1373</v>
      </c>
      <c r="Q266" t="str">
        <v/>
      </c>
      <c r="R266">
        <v>11.2</v>
      </c>
      <c r="S266">
        <v>55.83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84</v>
      </c>
      <c r="AB266" t="str">
        <v>24/09/2026</v>
      </c>
      <c r="AC266" t="str">
        <v>10:10:48</v>
      </c>
      <c r="AD266">
        <f>IF("ONLINE"="NOGPS","GPS Antiguo","En línea")</f>
      </c>
      <c r="AE266">
        <f>IF(0=0,"Sin atender", IF(0=1,"Atendida","Atendida y Reportada"))</f>
      </c>
      <c r="AF266" t="str">
        <v/>
      </c>
      <c r="AG266" t="str">
        <v/>
      </c>
      <c r="AH266" t="str">
        <v/>
      </c>
      <c r="AI266" t="str">
        <v/>
      </c>
      <c r="AJ266" t="str">
        <v>24/09/2026 10:10:58</v>
      </c>
      <c r="AK266" t="str">
        <v>10:10:58</v>
      </c>
      <c r="AL266" t="str">
        <v/>
      </c>
    </row>
    <row r="267">
      <c r="A267">
        <v>266</v>
      </c>
      <c r="B267" t="str">
        <v>MASS BSF</v>
      </c>
      <c r="C267" t="str">
        <v>F8R-810</v>
      </c>
      <c r="D267" t="str">
        <v>F8R-810</v>
      </c>
      <c r="E267" t="str">
        <v/>
      </c>
      <c r="F267" t="str">
        <v>867806078868827</v>
      </c>
      <c r="G267" t="str">
        <v>TBD</v>
      </c>
      <c r="H267" t="str">
        <v/>
      </c>
      <c r="I267" t="str">
        <v/>
      </c>
      <c r="J267" t="str">
        <v>24/09/2026</v>
      </c>
      <c r="K267" t="str">
        <v>10:10:56</v>
      </c>
      <c r="L267">
        <v>-12.167195</v>
      </c>
      <c r="M267">
        <v>-76.92515</v>
      </c>
      <c r="N267">
        <f>HYPERLINK("https://www.google.com/maps/search/?api=1&amp;query=-12.167195,-76.92515","Avenida 26 de Noviembre, Villa María del Triunfo, Lima")</f>
      </c>
      <c r="O267" t="str">
        <v>Acelerado y giro brusco</v>
      </c>
      <c r="P267">
        <v>1373</v>
      </c>
      <c r="Q267" t="str">
        <v/>
      </c>
      <c r="R267">
        <v>20.5</v>
      </c>
      <c r="S267">
        <v>55.83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84</v>
      </c>
      <c r="AB267" t="str">
        <v>24/09/2026</v>
      </c>
      <c r="AC267" t="str">
        <v>10:10:52</v>
      </c>
      <c r="AD267">
        <f>IF("ONLINE"="NOGPS","GPS Antiguo","En línea")</f>
      </c>
      <c r="AE267">
        <f>IF(0=0,"Sin atender", IF(0=1,"Atendida","Atendida y Reportada"))</f>
      </c>
      <c r="AF267" t="str">
        <v/>
      </c>
      <c r="AG267" t="str">
        <v/>
      </c>
      <c r="AH267" t="str">
        <v/>
      </c>
      <c r="AI267" t="str">
        <v/>
      </c>
      <c r="AJ267" t="str">
        <v>24/09/2026 10:11:14</v>
      </c>
      <c r="AK267" t="str">
        <v>10:11:14</v>
      </c>
      <c r="AL267" t="str">
        <v/>
      </c>
    </row>
    <row r="268">
      <c r="A268">
        <v>267</v>
      </c>
      <c r="B268" t="str">
        <v>MASS BSF</v>
      </c>
      <c r="C268" t="str">
        <v>F8R-810</v>
      </c>
      <c r="D268" t="str">
        <v>F8R-810</v>
      </c>
      <c r="E268" t="str">
        <v/>
      </c>
      <c r="F268" t="str">
        <v>867806078868827</v>
      </c>
      <c r="G268" t="str">
        <v>TBD</v>
      </c>
      <c r="H268" t="str">
        <v/>
      </c>
      <c r="I268" t="str">
        <v/>
      </c>
      <c r="J268" t="str">
        <v>24/09/2026</v>
      </c>
      <c r="K268" t="str">
        <v>10:11:21</v>
      </c>
      <c r="L268">
        <v>-12.16835</v>
      </c>
      <c r="M268">
        <v>-76.926994</v>
      </c>
      <c r="N268">
        <f>HYPERLINK("https://www.google.com/maps/search/?api=1&amp;query=-12.16835,-76.926994","Avenida 26 de Noviembre, Villa María del Triunfo, Lima")</f>
      </c>
      <c r="O268" t="str">
        <v>Aceleración brusca</v>
      </c>
      <c r="P268">
        <v>1373.3</v>
      </c>
      <c r="Q268" t="str">
        <v/>
      </c>
      <c r="R268">
        <v>46.6</v>
      </c>
      <c r="S268">
        <v>55.83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84</v>
      </c>
      <c r="AB268" t="str">
        <v>24/09/2026</v>
      </c>
      <c r="AC268" t="str">
        <v>10:11:17</v>
      </c>
      <c r="AD268">
        <f>IF("ONLINE"="NOGPS","GPS Antiguo","En línea")</f>
      </c>
      <c r="AE268">
        <f>IF(0=0,"Sin atender", IF(0=1,"Atendida","Atendida y Reportada"))</f>
      </c>
      <c r="AF268" t="str">
        <v/>
      </c>
      <c r="AG268" t="str">
        <v/>
      </c>
      <c r="AH268" t="str">
        <v/>
      </c>
      <c r="AI268" t="str">
        <v/>
      </c>
      <c r="AJ268" t="str">
        <v>24/09/2026 10:11:40</v>
      </c>
      <c r="AK268" t="str">
        <v>10:11:40</v>
      </c>
      <c r="AL268" t="str">
        <v/>
      </c>
    </row>
    <row r="269">
      <c r="A269">
        <v>268</v>
      </c>
      <c r="B269" t="str">
        <v>MASS BSF</v>
      </c>
      <c r="C269" t="str">
        <v>F8R-810</v>
      </c>
      <c r="D269" t="str">
        <v>F8R-810</v>
      </c>
      <c r="E269" t="str">
        <v/>
      </c>
      <c r="F269" t="str">
        <v>867806078868827</v>
      </c>
      <c r="G269" t="str">
        <v>TBD</v>
      </c>
      <c r="H269" t="str">
        <v/>
      </c>
      <c r="I269" t="str">
        <v/>
      </c>
      <c r="J269" t="str">
        <v>24/09/2026</v>
      </c>
      <c r="K269" t="str">
        <v>10:11:25</v>
      </c>
      <c r="L269">
        <v>-12.168638</v>
      </c>
      <c r="M269">
        <v>-76.92738</v>
      </c>
      <c r="N269">
        <f>HYPERLINK("https://www.google.com/maps/search/?api=1&amp;query=-12.168638,-76.92738","Avenida 26 de Noviembre, Villa María del Triunfo, Lima")</f>
      </c>
      <c r="O269" t="str">
        <v>Aceleración brusca</v>
      </c>
      <c r="P269">
        <v>1373.3</v>
      </c>
      <c r="Q269" t="str">
        <v/>
      </c>
      <c r="R269">
        <v>48.1</v>
      </c>
      <c r="S269">
        <v>55.83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84</v>
      </c>
      <c r="AB269" t="str">
        <v>24/09/2026</v>
      </c>
      <c r="AC269" t="str">
        <v>10:11:21</v>
      </c>
      <c r="AD269">
        <f>IF("ONLINE"="NOGPS","GPS Antiguo","En línea")</f>
      </c>
      <c r="AE269">
        <f>IF(0=0,"Sin atender", IF(0=1,"Atendida","Atendida y Reportada"))</f>
      </c>
      <c r="AF269" t="str">
        <v/>
      </c>
      <c r="AG269" t="str">
        <v/>
      </c>
      <c r="AH269" t="str">
        <v/>
      </c>
      <c r="AI269" t="str">
        <v/>
      </c>
      <c r="AJ269" t="str">
        <v>24/09/2026 10:11:34</v>
      </c>
      <c r="AK269" t="str">
        <v>10:11:34</v>
      </c>
      <c r="AL269" t="str">
        <v/>
      </c>
    </row>
    <row r="270">
      <c r="A270">
        <v>269</v>
      </c>
      <c r="B270" t="str">
        <v>MASS BSF</v>
      </c>
      <c r="C270" t="str">
        <v>F8R-810</v>
      </c>
      <c r="D270" t="str">
        <v>F8R-810</v>
      </c>
      <c r="E270" t="str">
        <v/>
      </c>
      <c r="F270" t="str">
        <v>867806078868827</v>
      </c>
      <c r="G270" t="str">
        <v>TBD</v>
      </c>
      <c r="H270" t="str">
        <v/>
      </c>
      <c r="I270" t="str">
        <v/>
      </c>
      <c r="J270" t="str">
        <v>24/09/2026</v>
      </c>
      <c r="K270" t="str">
        <v>10:12:06</v>
      </c>
      <c r="L270">
        <v>-12.171168</v>
      </c>
      <c r="M270">
        <v>-76.93085</v>
      </c>
      <c r="N270">
        <f>HYPERLINK("https://www.google.com/maps/search/?api=1&amp;query=-12.171168,-76.93085","Avenida 26 de Noviembre, Villa María del Triunfo, Lima")</f>
      </c>
      <c r="O270" t="str">
        <v>Acelerado y giro brusco</v>
      </c>
      <c r="P270">
        <v>1373.8</v>
      </c>
      <c r="Q270" t="str">
        <v/>
      </c>
      <c r="R270">
        <v>7.7</v>
      </c>
      <c r="S270">
        <v>55.83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84</v>
      </c>
      <c r="AB270" t="str">
        <v>24/09/2026</v>
      </c>
      <c r="AC270" t="str">
        <v>10:12:02</v>
      </c>
      <c r="AD270">
        <f>IF("ONLINE"="NOGPS","GPS Antiguo","En línea")</f>
      </c>
      <c r="AE270">
        <f>IF(0=0,"Sin atender", IF(0=1,"Atendida","Atendida y Reportada"))</f>
      </c>
      <c r="AF270" t="str">
        <v/>
      </c>
      <c r="AG270" t="str">
        <v/>
      </c>
      <c r="AH270" t="str">
        <v/>
      </c>
      <c r="AI270" t="str">
        <v/>
      </c>
      <c r="AJ270" t="str">
        <v>24/09/2026 10:12:14</v>
      </c>
      <c r="AK270" t="str">
        <v>10:12:14</v>
      </c>
      <c r="AL270" t="str">
        <v/>
      </c>
    </row>
    <row r="271">
      <c r="A271">
        <v>270</v>
      </c>
      <c r="B271" t="str">
        <v>MASS BSF</v>
      </c>
      <c r="C271" t="str">
        <v>F8R-810</v>
      </c>
      <c r="D271" t="str">
        <v>F8R-810</v>
      </c>
      <c r="E271" t="str">
        <v/>
      </c>
      <c r="F271" t="str">
        <v>867806078868827</v>
      </c>
      <c r="G271" t="str">
        <v>TBD</v>
      </c>
      <c r="H271" t="str">
        <v/>
      </c>
      <c r="I271" t="str">
        <v/>
      </c>
      <c r="J271" t="str">
        <v>24/09/2026</v>
      </c>
      <c r="K271" t="str">
        <v>10:12:10</v>
      </c>
      <c r="L271">
        <v>-12.171247</v>
      </c>
      <c r="M271">
        <v>-76.930954</v>
      </c>
      <c r="N271">
        <f>HYPERLINK("https://www.google.com/maps/search/?api=1&amp;query=-12.171247,-76.930954","Avenida 26 de Noviembre, Villa María del Triunfo, Lima")</f>
      </c>
      <c r="O271" t="str">
        <v>Acelerado y giro brusco</v>
      </c>
      <c r="P271">
        <v>1373.8</v>
      </c>
      <c r="Q271" t="str">
        <v/>
      </c>
      <c r="R271">
        <v>19.4</v>
      </c>
      <c r="S271">
        <v>55.83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84</v>
      </c>
      <c r="AB271" t="str">
        <v>24/09/2026</v>
      </c>
      <c r="AC271" t="str">
        <v>10:12:06</v>
      </c>
      <c r="AD271">
        <f>IF("ONLINE"="NOGPS","GPS Antiguo","En línea")</f>
      </c>
      <c r="AE271">
        <f>IF(0=0,"Sin atender", IF(0=1,"Atendida","Atendida y Reportada"))</f>
      </c>
      <c r="AF271" t="str">
        <v/>
      </c>
      <c r="AG271" t="str">
        <v/>
      </c>
      <c r="AH271" t="str">
        <v/>
      </c>
      <c r="AI271" t="str">
        <v/>
      </c>
      <c r="AJ271" t="str">
        <v>24/09/2026 10:12:18</v>
      </c>
      <c r="AK271" t="str">
        <v>10:12:18</v>
      </c>
      <c r="AL271" t="str">
        <v/>
      </c>
    </row>
    <row r="272">
      <c r="A272">
        <v>271</v>
      </c>
      <c r="B272" t="str">
        <v>MASS BSF</v>
      </c>
      <c r="C272" t="str">
        <v>F8R-810</v>
      </c>
      <c r="D272" t="str">
        <v>F8R-810</v>
      </c>
      <c r="E272" t="str">
        <v/>
      </c>
      <c r="F272" t="str">
        <v>867806078868827</v>
      </c>
      <c r="G272" t="str">
        <v>TBD</v>
      </c>
      <c r="H272" t="str">
        <v/>
      </c>
      <c r="I272" t="str">
        <v/>
      </c>
      <c r="J272" t="str">
        <v>24/09/2026</v>
      </c>
      <c r="K272" t="str">
        <v>10:12:17</v>
      </c>
      <c r="L272">
        <v>-12.171515</v>
      </c>
      <c r="M272">
        <v>-76.93132</v>
      </c>
      <c r="N272">
        <f>HYPERLINK("https://www.google.com/maps/search/?api=1&amp;query=-12.171515,-76.93132","Avenida 26 de Noviembre, Villa María del Triunfo, Lima")</f>
      </c>
      <c r="O272" t="str">
        <v>Aceleración brusca</v>
      </c>
      <c r="P272">
        <v>1373.9</v>
      </c>
      <c r="Q272" t="str">
        <v/>
      </c>
      <c r="R272">
        <v>32</v>
      </c>
      <c r="S272">
        <v>55.83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84</v>
      </c>
      <c r="AB272" t="str">
        <v>24/09/2026</v>
      </c>
      <c r="AC272" t="str">
        <v>10:12:13</v>
      </c>
      <c r="AD272">
        <f>IF("ONLINE"="NOGPS","GPS Antiguo","En línea")</f>
      </c>
      <c r="AE272">
        <f>IF(0=0,"Sin atender", IF(0=1,"Atendida","Atendida y Reportada"))</f>
      </c>
      <c r="AF272" t="str">
        <v/>
      </c>
      <c r="AG272" t="str">
        <v/>
      </c>
      <c r="AH272" t="str">
        <v/>
      </c>
      <c r="AI272" t="str">
        <v/>
      </c>
      <c r="AJ272" t="str">
        <v>24/09/2026 10:12:23</v>
      </c>
      <c r="AK272" t="str">
        <v>10:12:23</v>
      </c>
      <c r="AL272" t="str">
        <v/>
      </c>
    </row>
    <row r="273">
      <c r="A273">
        <v>272</v>
      </c>
      <c r="B273" t="str">
        <v>MASS BSF</v>
      </c>
      <c r="C273" t="str">
        <v>F8R-810</v>
      </c>
      <c r="D273" t="str">
        <v>F8R-810</v>
      </c>
      <c r="E273" t="str">
        <v/>
      </c>
      <c r="F273" t="str">
        <v>867806078868827</v>
      </c>
      <c r="G273" t="str">
        <v>TBD</v>
      </c>
      <c r="H273" t="str">
        <v/>
      </c>
      <c r="I273" t="str">
        <v/>
      </c>
      <c r="J273" t="str">
        <v>24/09/2026</v>
      </c>
      <c r="K273" t="str">
        <v>10:12:36</v>
      </c>
      <c r="L273">
        <v>-12.172232</v>
      </c>
      <c r="M273">
        <v>-76.93231</v>
      </c>
      <c r="N273">
        <f>HYPERLINK("https://www.google.com/maps/search/?api=1&amp;query=-12.172232,-76.93231","Avenida 26 de Noviembre, Villa María del Triunfo, Lima")</f>
      </c>
      <c r="O273" t="str">
        <v>Acelerado y giro brusco</v>
      </c>
      <c r="P273">
        <v>1374</v>
      </c>
      <c r="Q273" t="str">
        <v/>
      </c>
      <c r="R273">
        <v>19.8</v>
      </c>
      <c r="S273">
        <v>55.83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84</v>
      </c>
      <c r="AB273" t="str">
        <v>24/09/2026</v>
      </c>
      <c r="AC273" t="str">
        <v>10:12:32</v>
      </c>
      <c r="AD273">
        <f>IF("ONLINE"="NOGPS","GPS Antiguo","En línea")</f>
      </c>
      <c r="AE273">
        <f>IF(0=0,"Sin atender", IF(0=1,"Atendida","Atendida y Reportada"))</f>
      </c>
      <c r="AF273" t="str">
        <v/>
      </c>
      <c r="AG273" t="str">
        <v/>
      </c>
      <c r="AH273" t="str">
        <v/>
      </c>
      <c r="AI273" t="str">
        <v/>
      </c>
      <c r="AJ273" t="str">
        <v>24/09/2026 10:12:44</v>
      </c>
      <c r="AK273" t="str">
        <v>10:12:44</v>
      </c>
      <c r="AL273" t="str">
        <v/>
      </c>
    </row>
    <row r="274">
      <c r="A274">
        <v>273</v>
      </c>
      <c r="B274" t="str">
        <v>MASS BSF</v>
      </c>
      <c r="C274" t="str">
        <v>F8R-810</v>
      </c>
      <c r="D274" t="str">
        <v>F8R-810</v>
      </c>
      <c r="E274" t="str">
        <v/>
      </c>
      <c r="F274" t="str">
        <v>867806078868827</v>
      </c>
      <c r="G274" t="str">
        <v>TBD</v>
      </c>
      <c r="H274" t="str">
        <v/>
      </c>
      <c r="I274" t="str">
        <v/>
      </c>
      <c r="J274" t="str">
        <v>24/09/2026</v>
      </c>
      <c r="K274" t="str">
        <v>10:12:41</v>
      </c>
      <c r="L274">
        <v>-12.172292</v>
      </c>
      <c r="M274">
        <v>-76.93239</v>
      </c>
      <c r="N274">
        <f>HYPERLINK("https://www.google.com/maps/search/?api=1&amp;query=-12.172292,-76.93239","Avenida 26 de Noviembre, Villa María del Triunfo, Lima")</f>
      </c>
      <c r="O274" t="str">
        <v>Acelerado y giro brusco</v>
      </c>
      <c r="P274">
        <v>1374</v>
      </c>
      <c r="Q274" t="str">
        <v/>
      </c>
      <c r="R274">
        <v>0.3</v>
      </c>
      <c r="S274">
        <v>55.83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84</v>
      </c>
      <c r="AB274" t="str">
        <v>24/09/2026</v>
      </c>
      <c r="AC274" t="str">
        <v>10:12:37</v>
      </c>
      <c r="AD274">
        <f>IF("ONLINE"="NOGPS","GPS Antiguo","En línea")</f>
      </c>
      <c r="AE274">
        <f>IF(0=0,"Sin atender", IF(0=1,"Atendida","Atendida y Reportada"))</f>
      </c>
      <c r="AF274" t="str">
        <v/>
      </c>
      <c r="AG274" t="str">
        <v/>
      </c>
      <c r="AH274" t="str">
        <v/>
      </c>
      <c r="AI274" t="str">
        <v/>
      </c>
      <c r="AJ274" t="str">
        <v>24/09/2026 10:12:45</v>
      </c>
      <c r="AK274" t="str">
        <v>10:12:45</v>
      </c>
      <c r="AL274" t="str">
        <v/>
      </c>
    </row>
    <row r="275">
      <c r="A275">
        <v>274</v>
      </c>
      <c r="B275" t="str">
        <v>MASS BSF</v>
      </c>
      <c r="C275" t="str">
        <v>F8R-810</v>
      </c>
      <c r="D275" t="str">
        <v>F8R-810</v>
      </c>
      <c r="E275" t="str">
        <v/>
      </c>
      <c r="F275" t="str">
        <v>867806078868827</v>
      </c>
      <c r="G275" t="str">
        <v>TBD</v>
      </c>
      <c r="H275" t="str">
        <v/>
      </c>
      <c r="I275" t="str">
        <v/>
      </c>
      <c r="J275" t="str">
        <v>24/09/2026</v>
      </c>
      <c r="K275" t="str">
        <v>10:12:48</v>
      </c>
      <c r="L275">
        <v>-12.172327</v>
      </c>
      <c r="M275">
        <v>-76.93244</v>
      </c>
      <c r="N275">
        <f>HYPERLINK("https://www.google.com/maps/search/?api=1&amp;query=-12.172327,-76.93244","Avenida 26 de Noviembre, Villa María del Triunfo, Lima")</f>
      </c>
      <c r="O275" t="str">
        <v>Acelerado y giro brusco</v>
      </c>
      <c r="P275">
        <v>1374</v>
      </c>
      <c r="Q275" t="str">
        <v/>
      </c>
      <c r="R275">
        <v>11.4</v>
      </c>
      <c r="S275">
        <v>55.83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84</v>
      </c>
      <c r="AB275" t="str">
        <v>24/09/2026</v>
      </c>
      <c r="AC275" t="str">
        <v>10:12:44</v>
      </c>
      <c r="AD275">
        <f>IF("ONLINE"="NOGPS","GPS Antiguo","En línea")</f>
      </c>
      <c r="AE275">
        <f>IF(0=0,"Sin atender", IF(0=1,"Atendida","Atendida y Reportada"))</f>
      </c>
      <c r="AF275" t="str">
        <v/>
      </c>
      <c r="AG275" t="str">
        <v/>
      </c>
      <c r="AH275" t="str">
        <v/>
      </c>
      <c r="AI275" t="str">
        <v/>
      </c>
      <c r="AJ275" t="str">
        <v>24/09/2026 10:13:10</v>
      </c>
      <c r="AK275" t="str">
        <v>10:13:10</v>
      </c>
      <c r="AL275" t="str">
        <v/>
      </c>
    </row>
    <row r="276">
      <c r="A276">
        <v>275</v>
      </c>
      <c r="B276" t="str">
        <v>MASS BSF</v>
      </c>
      <c r="C276" t="str">
        <v>F8R-810</v>
      </c>
      <c r="D276" t="str">
        <v>F8R-810</v>
      </c>
      <c r="E276" t="str">
        <v/>
      </c>
      <c r="F276" t="str">
        <v>867806078868827</v>
      </c>
      <c r="G276" t="str">
        <v>TBD</v>
      </c>
      <c r="H276" t="str">
        <v/>
      </c>
      <c r="I276" t="str">
        <v/>
      </c>
      <c r="J276" t="str">
        <v>24/09/2026</v>
      </c>
      <c r="K276" t="str">
        <v>10:12:56</v>
      </c>
      <c r="L276">
        <v>-12.172441</v>
      </c>
      <c r="M276">
        <v>-76.93259</v>
      </c>
      <c r="N276">
        <f>HYPERLINK("https://www.google.com/maps/search/?api=1&amp;query=-12.172441,-76.93259","Avenida 26 de Noviembre, Villa María del Triunfo, Lima")</f>
      </c>
      <c r="O276" t="str">
        <v>Acelerado y giro brusco</v>
      </c>
      <c r="P276">
        <v>1374</v>
      </c>
      <c r="Q276" t="str">
        <v/>
      </c>
      <c r="R276">
        <v>6.8</v>
      </c>
      <c r="S276">
        <v>55.83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84</v>
      </c>
      <c r="AB276" t="str">
        <v>24/09/2026</v>
      </c>
      <c r="AC276" t="str">
        <v>10:12:52</v>
      </c>
      <c r="AD276">
        <f>IF("ONLINE"="NOGPS","GPS Antiguo","En línea")</f>
      </c>
      <c r="AE276">
        <f>IF(0=0,"Sin atender", IF(0=1,"Atendida","Atendida y Reportada"))</f>
      </c>
      <c r="AF276" t="str">
        <v/>
      </c>
      <c r="AG276" t="str">
        <v/>
      </c>
      <c r="AH276" t="str">
        <v/>
      </c>
      <c r="AI276" t="str">
        <v/>
      </c>
      <c r="AJ276" t="str">
        <v>24/09/2026 10:13:16</v>
      </c>
      <c r="AK276" t="str">
        <v>10:13:16</v>
      </c>
      <c r="AL276" t="str">
        <v/>
      </c>
    </row>
    <row r="277">
      <c r="A277">
        <v>276</v>
      </c>
      <c r="B277" t="str">
        <v>MASS BSF</v>
      </c>
      <c r="C277" t="str">
        <v>F8R-810</v>
      </c>
      <c r="D277" t="str">
        <v>F8R-810</v>
      </c>
      <c r="E277" t="str">
        <v/>
      </c>
      <c r="F277" t="str">
        <v>867806078868827</v>
      </c>
      <c r="G277" t="str">
        <v>TBD</v>
      </c>
      <c r="H277" t="str">
        <v/>
      </c>
      <c r="I277" t="str">
        <v/>
      </c>
      <c r="J277" t="str">
        <v>24/09/2026</v>
      </c>
      <c r="K277" t="str">
        <v>10:13:06</v>
      </c>
      <c r="L277">
        <v>-12.172762</v>
      </c>
      <c r="M277">
        <v>-76.933044</v>
      </c>
      <c r="N277">
        <f>HYPERLINK("https://www.google.com/maps/search/?api=1&amp;query=-12.172762,-76.933044","Avenida 26 de Noviembre, Villa María del Triunfo, Lima")</f>
      </c>
      <c r="O277" t="str">
        <v>Acelerado y giro brusco</v>
      </c>
      <c r="P277">
        <v>1374.1</v>
      </c>
      <c r="Q277" t="str">
        <v/>
      </c>
      <c r="R277">
        <v>34.2</v>
      </c>
      <c r="S277">
        <v>55.83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84</v>
      </c>
      <c r="AB277" t="str">
        <v>24/09/2026</v>
      </c>
      <c r="AC277" t="str">
        <v>10:13:02</v>
      </c>
      <c r="AD277">
        <f>IF("ONLINE"="NOGPS","GPS Antiguo","En línea")</f>
      </c>
      <c r="AE277">
        <f>IF(0=0,"Sin atender", IF(0=1,"Atendida","Atendida y Reportada"))</f>
      </c>
      <c r="AF277" t="str">
        <v/>
      </c>
      <c r="AG277" t="str">
        <v/>
      </c>
      <c r="AH277" t="str">
        <v/>
      </c>
      <c r="AI277" t="str">
        <v/>
      </c>
      <c r="AJ277" t="str">
        <v>24/09/2026 10:13:20</v>
      </c>
      <c r="AK277" t="str">
        <v>10:13:20</v>
      </c>
      <c r="AL277" t="str">
        <v/>
      </c>
    </row>
    <row r="278">
      <c r="A278">
        <v>277</v>
      </c>
      <c r="B278" t="str">
        <v>MASS BSF</v>
      </c>
      <c r="C278" t="str">
        <v>F8R-810</v>
      </c>
      <c r="D278" t="str">
        <v>F8R-810</v>
      </c>
      <c r="E278" t="str">
        <v/>
      </c>
      <c r="F278" t="str">
        <v>867806078868827</v>
      </c>
      <c r="G278" t="str">
        <v>TBD</v>
      </c>
      <c r="H278" t="str">
        <v/>
      </c>
      <c r="I278" t="str">
        <v/>
      </c>
      <c r="J278" t="str">
        <v>24/09/2026</v>
      </c>
      <c r="K278" t="str">
        <v>10:13:12</v>
      </c>
      <c r="L278">
        <v>-12.173099</v>
      </c>
      <c r="M278">
        <v>-76.9335</v>
      </c>
      <c r="N278">
        <f>HYPERLINK("https://www.google.com/maps/search/?api=1&amp;query=-12.173099,-76.9335","Avenida 26 de Noviembre, Villa María del Triunfo, Lima")</f>
      </c>
      <c r="O278" t="str">
        <v>Acelerado y giro brusco</v>
      </c>
      <c r="P278">
        <v>1374.1</v>
      </c>
      <c r="Q278" t="str">
        <v/>
      </c>
      <c r="R278">
        <v>40.1</v>
      </c>
      <c r="S278">
        <v>55.83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84</v>
      </c>
      <c r="AB278" t="str">
        <v>24/09/2026</v>
      </c>
      <c r="AC278" t="str">
        <v>10:13:08</v>
      </c>
      <c r="AD278">
        <f>IF("ONLINE"="NOGPS","GPS Antiguo","En línea")</f>
      </c>
      <c r="AE278">
        <f>IF(0=0,"Sin atender", IF(0=1,"Atendida","Atendida y Reportada"))</f>
      </c>
      <c r="AF278" t="str">
        <v/>
      </c>
      <c r="AG278" t="str">
        <v/>
      </c>
      <c r="AH278" t="str">
        <v/>
      </c>
      <c r="AI278" t="str">
        <v/>
      </c>
      <c r="AJ278" t="str">
        <v>24/09/2026 10:13:23</v>
      </c>
      <c r="AK278" t="str">
        <v>10:13:23</v>
      </c>
      <c r="AL278" t="str">
        <v/>
      </c>
    </row>
    <row r="279">
      <c r="A279">
        <v>278</v>
      </c>
      <c r="B279" t="str">
        <v>MASS BSF</v>
      </c>
      <c r="C279" t="str">
        <v>F8R-810</v>
      </c>
      <c r="D279" t="str">
        <v>F8R-810</v>
      </c>
      <c r="E279" t="str">
        <v/>
      </c>
      <c r="F279" t="str">
        <v>867806078868827</v>
      </c>
      <c r="G279" t="str">
        <v>TBD</v>
      </c>
      <c r="H279" t="str">
        <v/>
      </c>
      <c r="I279" t="str">
        <v/>
      </c>
      <c r="J279" t="str">
        <v>24/09/2026</v>
      </c>
      <c r="K279" t="str">
        <v>10:13:18</v>
      </c>
      <c r="L279">
        <v>-12.173487</v>
      </c>
      <c r="M279">
        <v>-76.93403</v>
      </c>
      <c r="N279">
        <f>HYPERLINK("https://www.google.com/maps/search/?api=1&amp;query=-12.173487,-76.93403","Avenida 26 de Noviembre, Villa María del Triunfo, Lima")</f>
      </c>
      <c r="O279" t="str">
        <v>Acelerado y giro brusco</v>
      </c>
      <c r="P279">
        <v>1374.2</v>
      </c>
      <c r="Q279" t="str">
        <v/>
      </c>
      <c r="R279">
        <v>43.5</v>
      </c>
      <c r="S279">
        <v>55.83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84</v>
      </c>
      <c r="AB279" t="str">
        <v>24/09/2026</v>
      </c>
      <c r="AC279" t="str">
        <v>10:13:14</v>
      </c>
      <c r="AD279">
        <f>IF("ONLINE"="NOGPS","GPS Antiguo","En línea")</f>
      </c>
      <c r="AE279">
        <f>IF(0=0,"Sin atender", IF(0=1,"Atendida","Atendida y Reportada"))</f>
      </c>
      <c r="AF279" t="str">
        <v/>
      </c>
      <c r="AG279" t="str">
        <v/>
      </c>
      <c r="AH279" t="str">
        <v/>
      </c>
      <c r="AI279" t="str">
        <v/>
      </c>
      <c r="AJ279" t="str">
        <v>24/09/2026 10:13:26</v>
      </c>
      <c r="AK279" t="str">
        <v>10:13:26</v>
      </c>
      <c r="AL279" t="str">
        <v/>
      </c>
    </row>
    <row r="280">
      <c r="A280">
        <v>279</v>
      </c>
      <c r="B280" t="str">
        <v>MASS BSF</v>
      </c>
      <c r="C280" t="str">
        <v>F8R-810</v>
      </c>
      <c r="D280" t="str">
        <v>F8R-810</v>
      </c>
      <c r="E280" t="str">
        <v/>
      </c>
      <c r="F280" t="str">
        <v>867806078868827</v>
      </c>
      <c r="G280" t="str">
        <v>TBD</v>
      </c>
      <c r="H280" t="str">
        <v/>
      </c>
      <c r="I280" t="str">
        <v/>
      </c>
      <c r="J280" t="str">
        <v>24/09/2026</v>
      </c>
      <c r="K280" t="str">
        <v>10:13:25</v>
      </c>
      <c r="L280">
        <v>-12.173943</v>
      </c>
      <c r="M280">
        <v>-76.934654</v>
      </c>
      <c r="N280">
        <f>HYPERLINK("https://www.google.com/maps/search/?api=1&amp;query=-12.173943,-76.934654","Avenida 26 de Noviembre, Villa María del Triunfo, Lima")</f>
      </c>
      <c r="O280" t="str">
        <v>Acelerado y giro brusco</v>
      </c>
      <c r="P280">
        <v>1374.3</v>
      </c>
      <c r="Q280" t="str">
        <v/>
      </c>
      <c r="R280">
        <v>42.4</v>
      </c>
      <c r="S280">
        <v>55.83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84</v>
      </c>
      <c r="AB280" t="str">
        <v>24/09/2026</v>
      </c>
      <c r="AC280" t="str">
        <v>10:13:21</v>
      </c>
      <c r="AD280">
        <f>IF("ONLINE"="NOGPS","GPS Antiguo","En línea")</f>
      </c>
      <c r="AE280">
        <f>IF(0=0,"Sin atender", IF(0=1,"Atendida","Atendida y Reportada"))</f>
      </c>
      <c r="AF280" t="str">
        <v/>
      </c>
      <c r="AG280" t="str">
        <v/>
      </c>
      <c r="AH280" t="str">
        <v/>
      </c>
      <c r="AI280" t="str">
        <v/>
      </c>
      <c r="AJ280" t="str">
        <v>24/09/2026 10:13:33</v>
      </c>
      <c r="AK280" t="str">
        <v>10:13:33</v>
      </c>
      <c r="AL280" t="str">
        <v/>
      </c>
    </row>
    <row r="281">
      <c r="A281">
        <v>280</v>
      </c>
      <c r="B281" t="str">
        <v>MASS BSF</v>
      </c>
      <c r="C281" t="str">
        <v>F8R-810</v>
      </c>
      <c r="D281" t="str">
        <v>F8R-810</v>
      </c>
      <c r="E281" t="str">
        <v/>
      </c>
      <c r="F281" t="str">
        <v>867806078868827</v>
      </c>
      <c r="G281" t="str">
        <v>TBD</v>
      </c>
      <c r="H281" t="str">
        <v/>
      </c>
      <c r="I281" t="str">
        <v/>
      </c>
      <c r="J281" t="str">
        <v>24/09/2026</v>
      </c>
      <c r="K281" t="str">
        <v>10:13:31</v>
      </c>
      <c r="L281">
        <v>-12.174287</v>
      </c>
      <c r="M281">
        <v>-76.93513</v>
      </c>
      <c r="N281">
        <f>HYPERLINK("https://www.google.com/maps/search/?api=1&amp;query=-12.174287,-76.93513","Avenida 26 de Noviembre, Villa María del Triunfo, Lima")</f>
      </c>
      <c r="O281" t="str">
        <v>Aceleración brusca</v>
      </c>
      <c r="P281">
        <v>1374.4</v>
      </c>
      <c r="Q281" t="str">
        <v/>
      </c>
      <c r="R281">
        <v>36.2</v>
      </c>
      <c r="S281">
        <v>55.83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84</v>
      </c>
      <c r="AB281" t="str">
        <v>24/09/2026</v>
      </c>
      <c r="AC281" t="str">
        <v>10:13:27</v>
      </c>
      <c r="AD281">
        <f>IF("ONLINE"="NOGPS","GPS Antiguo","En línea")</f>
      </c>
      <c r="AE281">
        <f>IF(0=0,"Sin atender", IF(0=1,"Atendida","Atendida y Reportada"))</f>
      </c>
      <c r="AF281" t="str">
        <v/>
      </c>
      <c r="AG281" t="str">
        <v/>
      </c>
      <c r="AH281" t="str">
        <v/>
      </c>
      <c r="AI281" t="str">
        <v/>
      </c>
      <c r="AJ281" t="str">
        <v>24/09/2026 10:13:50</v>
      </c>
      <c r="AK281" t="str">
        <v>10:13:50</v>
      </c>
      <c r="AL281" t="str">
        <v/>
      </c>
    </row>
    <row r="282">
      <c r="A282">
        <v>281</v>
      </c>
      <c r="B282" t="str">
        <v>MASS BSF</v>
      </c>
      <c r="C282" t="str">
        <v>F8R-810</v>
      </c>
      <c r="D282" t="str">
        <v>F8R-810</v>
      </c>
      <c r="E282" t="str">
        <v/>
      </c>
      <c r="F282" t="str">
        <v>867806078868827</v>
      </c>
      <c r="G282" t="str">
        <v>TBD</v>
      </c>
      <c r="H282" t="str">
        <v/>
      </c>
      <c r="I282" t="str">
        <v/>
      </c>
      <c r="J282" t="str">
        <v>24/09/2026</v>
      </c>
      <c r="K282" t="str">
        <v>10:13:41</v>
      </c>
      <c r="L282">
        <v>-12.17471</v>
      </c>
      <c r="M282">
        <v>-76.935715</v>
      </c>
      <c r="N282">
        <f>HYPERLINK("https://www.google.com/maps/search/?api=1&amp;query=-12.17471,-76.935715","Avenida 26 de Noviembre, Villa María del Triunfo, Lima")</f>
      </c>
      <c r="O282" t="str">
        <v>Acelerado y giro brusco</v>
      </c>
      <c r="P282">
        <v>1374.4</v>
      </c>
      <c r="Q282" t="str">
        <v/>
      </c>
      <c r="R282">
        <v>35</v>
      </c>
      <c r="S282">
        <v>55.83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84</v>
      </c>
      <c r="AB282" t="str">
        <v>24/09/2026</v>
      </c>
      <c r="AC282" t="str">
        <v>10:13:36</v>
      </c>
      <c r="AD282">
        <f>IF("ONLINE"="NOGPS","GPS Antiguo","En línea")</f>
      </c>
      <c r="AE282">
        <f>IF(0=0,"Sin atender", IF(0=1,"Atendida","Atendida y Reportada"))</f>
      </c>
      <c r="AF282" t="str">
        <v/>
      </c>
      <c r="AG282" t="str">
        <v/>
      </c>
      <c r="AH282" t="str">
        <v/>
      </c>
      <c r="AI282" t="str">
        <v/>
      </c>
      <c r="AJ282" t="str">
        <v>24/09/2026 10:13:46</v>
      </c>
      <c r="AK282" t="str">
        <v>10:13:46</v>
      </c>
      <c r="AL282" t="str">
        <v/>
      </c>
    </row>
    <row r="283">
      <c r="A283">
        <v>282</v>
      </c>
      <c r="B283" t="str">
        <v>MASS BSF</v>
      </c>
      <c r="C283" t="str">
        <v>F8R-810</v>
      </c>
      <c r="D283" t="str">
        <v>F8R-810</v>
      </c>
      <c r="E283" t="str">
        <v/>
      </c>
      <c r="F283" t="str">
        <v>867806078868827</v>
      </c>
      <c r="G283" t="str">
        <v>TBD</v>
      </c>
      <c r="H283" t="str">
        <v/>
      </c>
      <c r="I283" t="str">
        <v/>
      </c>
      <c r="J283" t="str">
        <v>24/09/2026</v>
      </c>
      <c r="K283" t="str">
        <v>10:13:51</v>
      </c>
      <c r="L283">
        <v>-12.175208</v>
      </c>
      <c r="M283">
        <v>-76.936424</v>
      </c>
      <c r="N283">
        <f>HYPERLINK("https://www.google.com/maps/search/?api=1&amp;query=-12.175208,-76.936424","Avenida 26 de Noviembre, Villa María del Triunfo, Lima")</f>
      </c>
      <c r="O283" t="str">
        <v>Acelerado y giro brusco</v>
      </c>
      <c r="P283">
        <v>1374.5</v>
      </c>
      <c r="Q283" t="str">
        <v/>
      </c>
      <c r="R283">
        <v>35.9</v>
      </c>
      <c r="S283">
        <v>55.83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84</v>
      </c>
      <c r="AB283" t="str">
        <v>24/09/2026</v>
      </c>
      <c r="AC283" t="str">
        <v>10:13:46</v>
      </c>
      <c r="AD283">
        <f>IF("ONLINE"="NOGPS","GPS Antiguo","En línea")</f>
      </c>
      <c r="AE283">
        <f>IF(0=0,"Sin atender", IF(0=1,"Atendida","Atendida y Reportada"))</f>
      </c>
      <c r="AF283" t="str">
        <v/>
      </c>
      <c r="AG283" t="str">
        <v/>
      </c>
      <c r="AH283" t="str">
        <v/>
      </c>
      <c r="AI283" t="str">
        <v/>
      </c>
      <c r="AJ283" t="str">
        <v>24/09/2026 10:14:00</v>
      </c>
      <c r="AK283" t="str">
        <v>10:14:00</v>
      </c>
      <c r="AL283" t="str">
        <v/>
      </c>
    </row>
    <row r="284">
      <c r="A284">
        <v>283</v>
      </c>
      <c r="B284" t="str">
        <v>MASS BSF</v>
      </c>
      <c r="C284" t="str">
        <v>F8R-810</v>
      </c>
      <c r="D284" t="str">
        <v>F8R-810</v>
      </c>
      <c r="E284" t="str">
        <v/>
      </c>
      <c r="F284" t="str">
        <v>867806078868827</v>
      </c>
      <c r="G284" t="str">
        <v>TBD</v>
      </c>
      <c r="H284" t="str">
        <v/>
      </c>
      <c r="I284" t="str">
        <v/>
      </c>
      <c r="J284" t="str">
        <v>24/09/2026</v>
      </c>
      <c r="K284" t="str">
        <v>10:14:18</v>
      </c>
      <c r="L284">
        <v>-12.176746</v>
      </c>
      <c r="M284">
        <v>-76.938545</v>
      </c>
      <c r="N284">
        <f>HYPERLINK("https://www.google.com/maps/search/?api=1&amp;query=-12.176746,-76.938545","Avenida 26 de Noviembre, Villa María del Triunfo, Lima")</f>
      </c>
      <c r="O284" t="str">
        <v>Acelerado y giro brusco</v>
      </c>
      <c r="P284">
        <v>1374.8</v>
      </c>
      <c r="Q284" t="str">
        <v/>
      </c>
      <c r="R284">
        <v>39.6</v>
      </c>
      <c r="S284">
        <v>55.83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84</v>
      </c>
      <c r="AB284" t="str">
        <v>24/09/2026</v>
      </c>
      <c r="AC284" t="str">
        <v>10:14:14</v>
      </c>
      <c r="AD284">
        <f>IF("ONLINE"="NOGPS","GPS Antiguo","En línea")</f>
      </c>
      <c r="AE284">
        <f>IF(0=0,"Sin atender", IF(0=1,"Atendida","Atendida y Reportada"))</f>
      </c>
      <c r="AF284" t="str">
        <v/>
      </c>
      <c r="AG284" t="str">
        <v/>
      </c>
      <c r="AH284" t="str">
        <v/>
      </c>
      <c r="AI284" t="str">
        <v/>
      </c>
      <c r="AJ284" t="str">
        <v>24/09/2026 10:14:23</v>
      </c>
      <c r="AK284" t="str">
        <v>10:14:23</v>
      </c>
      <c r="AL284" t="str">
        <v/>
      </c>
    </row>
    <row r="285">
      <c r="A285">
        <v>284</v>
      </c>
      <c r="B285" t="str">
        <v>MASS BSF</v>
      </c>
      <c r="C285" t="str">
        <v>F8R-810</v>
      </c>
      <c r="D285" t="str">
        <v>F8R-810</v>
      </c>
      <c r="E285" t="str">
        <v/>
      </c>
      <c r="F285" t="str">
        <v>867806078868827</v>
      </c>
      <c r="G285" t="str">
        <v>TBD</v>
      </c>
      <c r="H285" t="str">
        <v/>
      </c>
      <c r="I285" t="str">
        <v/>
      </c>
      <c r="J285" t="str">
        <v>24/09/2026</v>
      </c>
      <c r="K285" t="str">
        <v>10:15:29</v>
      </c>
      <c r="L285">
        <v>-12.177341</v>
      </c>
      <c r="M285">
        <v>-76.93937</v>
      </c>
      <c r="N285">
        <f>HYPERLINK("https://www.google.com/maps/search/?api=1&amp;query=-12.177341,-76.93937","Avenida 26 de Noviembre, Villa María del Triunfo, Lima")</f>
      </c>
      <c r="O285" t="str">
        <v>Acelerado y giro brusco</v>
      </c>
      <c r="P285">
        <v>1374.9</v>
      </c>
      <c r="Q285" t="str">
        <v/>
      </c>
      <c r="R285">
        <v>4.6</v>
      </c>
      <c r="S285">
        <v>55.83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84</v>
      </c>
      <c r="AB285" t="str">
        <v>24/09/2026</v>
      </c>
      <c r="AC285" t="str">
        <v>10:15:25</v>
      </c>
      <c r="AD285">
        <f>IF("ONLINE"="NOGPS","GPS Antiguo","En línea")</f>
      </c>
      <c r="AE285">
        <f>IF(0=0,"Sin atender", IF(0=1,"Atendida","Atendida y Reportada"))</f>
      </c>
      <c r="AF285" t="str">
        <v/>
      </c>
      <c r="AG285" t="str">
        <v/>
      </c>
      <c r="AH285" t="str">
        <v/>
      </c>
      <c r="AI285" t="str">
        <v/>
      </c>
      <c r="AJ285" t="str">
        <v>24/09/2026 10:15:37</v>
      </c>
      <c r="AK285" t="str">
        <v>10:15:37</v>
      </c>
      <c r="AL285" t="str">
        <v/>
      </c>
    </row>
    <row r="286">
      <c r="A286">
        <v>285</v>
      </c>
      <c r="B286" t="str">
        <v>MASS BSF</v>
      </c>
      <c r="C286" t="str">
        <v>F8R-810</v>
      </c>
      <c r="D286" t="str">
        <v>F8R-810</v>
      </c>
      <c r="E286" t="str">
        <v/>
      </c>
      <c r="F286" t="str">
        <v>867806078868827</v>
      </c>
      <c r="G286" t="str">
        <v>TBD</v>
      </c>
      <c r="H286" t="str">
        <v/>
      </c>
      <c r="I286" t="str">
        <v/>
      </c>
      <c r="J286" t="str">
        <v>24/09/2026</v>
      </c>
      <c r="K286" t="str">
        <v>10:15:41</v>
      </c>
      <c r="L286">
        <v>-12.177403</v>
      </c>
      <c r="M286">
        <v>-76.93945</v>
      </c>
      <c r="N286">
        <f>HYPERLINK("https://www.google.com/maps/search/?api=1&amp;query=-12.177403,-76.93945","Avenida 26 de Noviembre, Villa María del Triunfo, Lima")</f>
      </c>
      <c r="O286" t="str">
        <v>Acelerado y giro brusco</v>
      </c>
      <c r="P286">
        <v>1374.9</v>
      </c>
      <c r="Q286" t="str">
        <v/>
      </c>
      <c r="R286">
        <v>7.7</v>
      </c>
      <c r="S286">
        <v>55.83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84</v>
      </c>
      <c r="AB286" t="str">
        <v>24/09/2026</v>
      </c>
      <c r="AC286" t="str">
        <v>10:15:37</v>
      </c>
      <c r="AD286">
        <f>IF("ONLINE"="NOGPS","GPS Antiguo","En línea")</f>
      </c>
      <c r="AE286">
        <f>IF(0=0,"Sin atender", IF(0=1,"Atendida","Atendida y Reportada"))</f>
      </c>
      <c r="AF286" t="str">
        <v/>
      </c>
      <c r="AG286" t="str">
        <v/>
      </c>
      <c r="AH286" t="str">
        <v/>
      </c>
      <c r="AI286" t="str">
        <v/>
      </c>
      <c r="AJ286" t="str">
        <v>24/09/2026 10:15:47</v>
      </c>
      <c r="AK286" t="str">
        <v>10:15:47</v>
      </c>
      <c r="AL286" t="str">
        <v/>
      </c>
    </row>
    <row r="287">
      <c r="A287">
        <v>286</v>
      </c>
      <c r="B287" t="str">
        <v>MASS BSF</v>
      </c>
      <c r="C287" t="str">
        <v>F8R-810</v>
      </c>
      <c r="D287" t="str">
        <v>F8R-810</v>
      </c>
      <c r="E287" t="str">
        <v/>
      </c>
      <c r="F287" t="str">
        <v>867806078868827</v>
      </c>
      <c r="G287" t="str">
        <v>TBD</v>
      </c>
      <c r="H287" t="str">
        <v/>
      </c>
      <c r="I287" t="str">
        <v/>
      </c>
      <c r="J287" t="str">
        <v>24/09/2026</v>
      </c>
      <c r="K287" t="str">
        <v>10:15:45</v>
      </c>
      <c r="L287">
        <v>-12.177459</v>
      </c>
      <c r="M287">
        <v>-76.93952</v>
      </c>
      <c r="N287">
        <f>HYPERLINK("https://www.google.com/maps/search/?api=1&amp;query=-12.177459,-76.93952","Avenida 26 de Noviembre, Villa María del Triunfo, Lima")</f>
      </c>
      <c r="O287" t="str">
        <v>Acelerado y giro brusco</v>
      </c>
      <c r="P287">
        <v>1374.9</v>
      </c>
      <c r="Q287" t="str">
        <v/>
      </c>
      <c r="R287">
        <v>7.9</v>
      </c>
      <c r="S287">
        <v>55.83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84</v>
      </c>
      <c r="AB287" t="str">
        <v>24/09/2026</v>
      </c>
      <c r="AC287" t="str">
        <v>10:15:41</v>
      </c>
      <c r="AD287">
        <f>IF("ONLINE"="NOGPS","GPS Antiguo","En línea")</f>
      </c>
      <c r="AE287">
        <f>IF(0=0,"Sin atender", IF(0=1,"Atendida","Atendida y Reportada"))</f>
      </c>
      <c r="AF287" t="str">
        <v/>
      </c>
      <c r="AG287" t="str">
        <v/>
      </c>
      <c r="AH287" t="str">
        <v/>
      </c>
      <c r="AI287" t="str">
        <v/>
      </c>
      <c r="AJ287" t="str">
        <v>24/09/2026 10:16:01</v>
      </c>
      <c r="AK287" t="str">
        <v>10:16:01</v>
      </c>
      <c r="AL287" t="str">
        <v/>
      </c>
    </row>
    <row r="288">
      <c r="A288">
        <v>287</v>
      </c>
      <c r="B288" t="str">
        <v>MASS BSF</v>
      </c>
      <c r="C288" t="str">
        <v>F8R-810</v>
      </c>
      <c r="D288" t="str">
        <v>F8R-810</v>
      </c>
      <c r="E288" t="str">
        <v/>
      </c>
      <c r="F288" t="str">
        <v>867806078868827</v>
      </c>
      <c r="G288" t="str">
        <v>TBD</v>
      </c>
      <c r="H288" t="str">
        <v/>
      </c>
      <c r="I288" t="str">
        <v/>
      </c>
      <c r="J288" t="str">
        <v>24/09/2026</v>
      </c>
      <c r="K288" t="str">
        <v>10:15:53</v>
      </c>
      <c r="L288">
        <v>-12.177548</v>
      </c>
      <c r="M288">
        <v>-76.93962</v>
      </c>
      <c r="N288">
        <f>HYPERLINK("https://www.google.com/maps/search/?api=1&amp;query=-12.177548,-76.93962","Avenida 26 de Noviembre, Villa María del Triunfo, Lima")</f>
      </c>
      <c r="O288" t="str">
        <v>Acelerado y giro brusco</v>
      </c>
      <c r="P288">
        <v>1375</v>
      </c>
      <c r="Q288" t="str">
        <v/>
      </c>
      <c r="R288">
        <v>3.5</v>
      </c>
      <c r="S288">
        <v>55.83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84</v>
      </c>
      <c r="AB288" t="str">
        <v>24/09/2026</v>
      </c>
      <c r="AC288" t="str">
        <v>10:15:49</v>
      </c>
      <c r="AD288">
        <f>IF("ONLINE"="NOGPS","GPS Antiguo","En línea")</f>
      </c>
      <c r="AE288">
        <f>IF(0=0,"Sin atender", IF(0=1,"Atendida","Atendida y Reportada"))</f>
      </c>
      <c r="AF288" t="str">
        <v/>
      </c>
      <c r="AG288" t="str">
        <v/>
      </c>
      <c r="AH288" t="str">
        <v/>
      </c>
      <c r="AI288" t="str">
        <v/>
      </c>
      <c r="AJ288" t="str">
        <v>24/09/2026 10:16:06</v>
      </c>
      <c r="AK288" t="str">
        <v>10:16:06</v>
      </c>
      <c r="AL288" t="str">
        <v/>
      </c>
    </row>
    <row r="289">
      <c r="A289">
        <v>288</v>
      </c>
      <c r="B289" t="str">
        <v>MASS BSF</v>
      </c>
      <c r="C289" t="str">
        <v>F8R-810</v>
      </c>
      <c r="D289" t="str">
        <v>F8R-810</v>
      </c>
      <c r="E289" t="str">
        <v/>
      </c>
      <c r="F289" t="str">
        <v>867806078868827</v>
      </c>
      <c r="G289" t="str">
        <v>TBD</v>
      </c>
      <c r="H289" t="str">
        <v/>
      </c>
      <c r="I289" t="str">
        <v/>
      </c>
      <c r="J289" t="str">
        <v>24/09/2026</v>
      </c>
      <c r="K289" t="str">
        <v>10:16:02</v>
      </c>
      <c r="L289">
        <v>-12.177564</v>
      </c>
      <c r="M289">
        <v>-76.93964</v>
      </c>
      <c r="N289">
        <f>HYPERLINK("https://www.google.com/maps/search/?api=1&amp;query=-12.177564,-76.93964","Avenida 26 de Noviembre, Villa María del Triunfo, Lima")</f>
      </c>
      <c r="O289" t="str">
        <v>Acelerado y giro brusco</v>
      </c>
      <c r="P289">
        <v>1375</v>
      </c>
      <c r="Q289" t="str">
        <v/>
      </c>
      <c r="R289">
        <v>0</v>
      </c>
      <c r="S289">
        <v>55.83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84</v>
      </c>
      <c r="AB289" t="str">
        <v>24/09/2026</v>
      </c>
      <c r="AC289" t="str">
        <v>10:15:57</v>
      </c>
      <c r="AD289">
        <f>IF("ONLINE"="NOGPS","GPS Antiguo","En línea")</f>
      </c>
      <c r="AE289">
        <f>IF(0=0,"Sin atender", IF(0=1,"Atendida","Atendida y Reportada"))</f>
      </c>
      <c r="AF289" t="str">
        <v/>
      </c>
      <c r="AG289" t="str">
        <v/>
      </c>
      <c r="AH289" t="str">
        <v/>
      </c>
      <c r="AI289" t="str">
        <v/>
      </c>
      <c r="AJ289" t="str">
        <v>24/09/2026 10:16:09</v>
      </c>
      <c r="AK289" t="str">
        <v>10:16:09</v>
      </c>
      <c r="AL289" t="str">
        <v/>
      </c>
    </row>
    <row r="290">
      <c r="A290">
        <v>289</v>
      </c>
      <c r="B290" t="str">
        <v>MASS BSF</v>
      </c>
      <c r="C290" t="str">
        <v>F8R-810</v>
      </c>
      <c r="D290" t="str">
        <v>F8R-810</v>
      </c>
      <c r="E290" t="str">
        <v/>
      </c>
      <c r="F290" t="str">
        <v>867806078868827</v>
      </c>
      <c r="G290" t="str">
        <v>TBD</v>
      </c>
      <c r="H290" t="str">
        <v/>
      </c>
      <c r="I290" t="str">
        <v/>
      </c>
      <c r="J290" t="str">
        <v>24/09/2026</v>
      </c>
      <c r="K290" t="str">
        <v>10:16:05</v>
      </c>
      <c r="L290">
        <v>-12.177564</v>
      </c>
      <c r="M290">
        <v>-76.93964</v>
      </c>
      <c r="N290">
        <f>HYPERLINK("https://www.google.com/maps/search/?api=1&amp;query=-12.177564,-76.93964","Avenida 26 de Noviembre, Villa María del Triunfo, Lima")</f>
      </c>
      <c r="O290" t="str">
        <v>Acelerado y giro brusco</v>
      </c>
      <c r="P290">
        <v>1375</v>
      </c>
      <c r="Q290" t="str">
        <v/>
      </c>
      <c r="R290">
        <v>0</v>
      </c>
      <c r="S290">
        <v>55.83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84</v>
      </c>
      <c r="AB290" t="str">
        <v>24/09/2026</v>
      </c>
      <c r="AC290" t="str">
        <v>10:16:01</v>
      </c>
      <c r="AD290">
        <f>IF("ONLINE"="NOGPS","GPS Antiguo","En línea")</f>
      </c>
      <c r="AE290">
        <f>IF(0=0,"Sin atender", IF(0=1,"Atendida","Atendida y Reportada"))</f>
      </c>
      <c r="AF290" t="str">
        <v/>
      </c>
      <c r="AG290" t="str">
        <v/>
      </c>
      <c r="AH290" t="str">
        <v/>
      </c>
      <c r="AI290" t="str">
        <v/>
      </c>
      <c r="AJ290" t="str">
        <v>24/09/2026 10:16:12</v>
      </c>
      <c r="AK290" t="str">
        <v>10:16:12</v>
      </c>
      <c r="AL290" t="str">
        <v/>
      </c>
    </row>
    <row r="291">
      <c r="A291">
        <v>290</v>
      </c>
      <c r="B291" t="str">
        <v>MASS BSF</v>
      </c>
      <c r="C291" t="str">
        <v>F8R-810</v>
      </c>
      <c r="D291" t="str">
        <v>F8R-810</v>
      </c>
      <c r="E291" t="str">
        <v/>
      </c>
      <c r="F291" t="str">
        <v>867806078868827</v>
      </c>
      <c r="G291" t="str">
        <v>TBD</v>
      </c>
      <c r="H291" t="str">
        <v/>
      </c>
      <c r="I291" t="str">
        <v/>
      </c>
      <c r="J291" t="str">
        <v>24/09/2026</v>
      </c>
      <c r="K291" t="str">
        <v>10:16:19</v>
      </c>
      <c r="L291">
        <v>-12.177878</v>
      </c>
      <c r="M291">
        <v>-76.940025</v>
      </c>
      <c r="N291">
        <f>HYPERLINK("https://www.google.com/maps/search/?api=1&amp;query=-12.177878,-76.940025","Avenida 26 de Noviembre, Villa María del Triunfo, Lima")</f>
      </c>
      <c r="O291" t="str">
        <v>Acelerado y giro brusco</v>
      </c>
      <c r="P291">
        <v>1375</v>
      </c>
      <c r="Q291" t="str">
        <v/>
      </c>
      <c r="R291">
        <v>25</v>
      </c>
      <c r="S291">
        <v>55.83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93</v>
      </c>
      <c r="AB291" t="str">
        <v>24/09/2026</v>
      </c>
      <c r="AC291" t="str">
        <v>10:16:15</v>
      </c>
      <c r="AD291">
        <f>IF("ONLINE"="NOGPS","GPS Antiguo","En línea")</f>
      </c>
      <c r="AE291">
        <f>IF(0=0,"Sin atender", IF(0=1,"Atendida","Atendida y Reportada"))</f>
      </c>
      <c r="AF291" t="str">
        <v/>
      </c>
      <c r="AG291" t="str">
        <v/>
      </c>
      <c r="AH291" t="str">
        <v/>
      </c>
      <c r="AI291" t="str">
        <v/>
      </c>
      <c r="AJ291" t="str">
        <v>24/09/2026 10:16:27</v>
      </c>
      <c r="AK291" t="str">
        <v>10:16:27</v>
      </c>
      <c r="AL291" t="str">
        <v/>
      </c>
    </row>
    <row r="292">
      <c r="A292">
        <v>291</v>
      </c>
      <c r="B292" t="str">
        <v>MASS BSF</v>
      </c>
      <c r="C292" t="str">
        <v>F8R-810</v>
      </c>
      <c r="D292" t="str">
        <v>F8R-810</v>
      </c>
      <c r="E292" t="str">
        <v/>
      </c>
      <c r="F292" t="str">
        <v>867806078868827</v>
      </c>
      <c r="G292" t="str">
        <v>TBD</v>
      </c>
      <c r="H292" t="str">
        <v/>
      </c>
      <c r="I292" t="str">
        <v/>
      </c>
      <c r="J292" t="str">
        <v>24/09/2026</v>
      </c>
      <c r="K292" t="str">
        <v>10:16:25</v>
      </c>
      <c r="L292">
        <v>-12.178088</v>
      </c>
      <c r="M292">
        <v>-76.94032</v>
      </c>
      <c r="N292">
        <f>HYPERLINK("https://www.google.com/maps/search/?api=1&amp;query=-12.178088,-76.94032","Avenida 26 de Noviembre, Villa María del Triunfo, Lima")</f>
      </c>
      <c r="O292" t="str">
        <v>Acelerado y giro brusco</v>
      </c>
      <c r="P292">
        <v>1375.1</v>
      </c>
      <c r="Q292" t="str">
        <v/>
      </c>
      <c r="R292">
        <v>33.5</v>
      </c>
      <c r="S292">
        <v>55.83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93</v>
      </c>
      <c r="AB292" t="str">
        <v>24/09/2026</v>
      </c>
      <c r="AC292" t="str">
        <v>10:16:20</v>
      </c>
      <c r="AD292">
        <f>IF("ONLINE"="NOGPS","GPS Antiguo","En línea")</f>
      </c>
      <c r="AE292">
        <f>IF(0=0,"Sin atender", IF(0=1,"Atendida","Atendida y Reportada"))</f>
      </c>
      <c r="AF292" t="str">
        <v/>
      </c>
      <c r="AG292" t="str">
        <v/>
      </c>
      <c r="AH292" t="str">
        <v/>
      </c>
      <c r="AI292" t="str">
        <v/>
      </c>
      <c r="AJ292" t="str">
        <v>24/09/2026 10:16:38</v>
      </c>
      <c r="AK292" t="str">
        <v>10:16:38</v>
      </c>
      <c r="AL292" t="str">
        <v/>
      </c>
    </row>
    <row r="293">
      <c r="A293">
        <v>292</v>
      </c>
      <c r="B293" t="str">
        <v>MASS BSF</v>
      </c>
      <c r="C293" t="str">
        <v>F8R-810</v>
      </c>
      <c r="D293" t="str">
        <v>F8R-810</v>
      </c>
      <c r="E293" t="str">
        <v/>
      </c>
      <c r="F293" t="str">
        <v>867806078868827</v>
      </c>
      <c r="G293" t="str">
        <v>TBD</v>
      </c>
      <c r="H293" t="str">
        <v/>
      </c>
      <c r="I293" t="str">
        <v/>
      </c>
      <c r="J293" t="str">
        <v>24/09/2026</v>
      </c>
      <c r="K293" t="str">
        <v>10:16:34</v>
      </c>
      <c r="L293">
        <v>-12.178638</v>
      </c>
      <c r="M293">
        <v>-76.94109</v>
      </c>
      <c r="N293">
        <f>HYPERLINK("https://www.google.com/maps/search/?api=1&amp;query=-12.178638,-76.94109","Avenida 26 de Noviembre, Villa María del Triunfo, Lima")</f>
      </c>
      <c r="O293" t="str">
        <v>Acelerado y giro brusco</v>
      </c>
      <c r="P293">
        <v>1375.2</v>
      </c>
      <c r="Q293" t="str">
        <v/>
      </c>
      <c r="R293">
        <v>39.6</v>
      </c>
      <c r="S293">
        <v>55.83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93</v>
      </c>
      <c r="AB293" t="str">
        <v>24/09/2026</v>
      </c>
      <c r="AC293" t="str">
        <v>10:16:30</v>
      </c>
      <c r="AD293">
        <f>IF("ONLINE"="NOGPS","GPS Antiguo","En línea")</f>
      </c>
      <c r="AE293">
        <f>IF(0=0,"Sin atender", IF(0=1,"Atendida","Atendida y Reportada"))</f>
      </c>
      <c r="AF293" t="str">
        <v/>
      </c>
      <c r="AG293" t="str">
        <v/>
      </c>
      <c r="AH293" t="str">
        <v/>
      </c>
      <c r="AI293" t="str">
        <v/>
      </c>
      <c r="AJ293" t="str">
        <v>24/09/2026 10:16:42</v>
      </c>
      <c r="AK293" t="str">
        <v>10:16:42</v>
      </c>
      <c r="AL293" t="str">
        <v/>
      </c>
    </row>
    <row r="294">
      <c r="A294">
        <v>293</v>
      </c>
      <c r="B294" t="str">
        <v>MASS BSF</v>
      </c>
      <c r="C294" t="str">
        <v>F8R-810</v>
      </c>
      <c r="D294" t="str">
        <v>F8R-810</v>
      </c>
      <c r="E294" t="str">
        <v/>
      </c>
      <c r="F294" t="str">
        <v>867806078868827</v>
      </c>
      <c r="G294" t="str">
        <v>TBD</v>
      </c>
      <c r="H294" t="str">
        <v/>
      </c>
      <c r="I294" t="str">
        <v/>
      </c>
      <c r="J294" t="str">
        <v>24/09/2026</v>
      </c>
      <c r="K294" t="str">
        <v>10:16:50</v>
      </c>
      <c r="L294">
        <v>-12.179528</v>
      </c>
      <c r="M294">
        <v>-76.94228</v>
      </c>
      <c r="N294">
        <f>HYPERLINK("https://www.google.com/maps/search/?api=1&amp;query=-12.179528,-76.94228","Avenida 26 de Noviembre, Villa María del Triunfo, Lima")</f>
      </c>
      <c r="O294" t="str">
        <v>Acelerado y giro brusco</v>
      </c>
      <c r="P294">
        <v>1375.3</v>
      </c>
      <c r="Q294" t="str">
        <v/>
      </c>
      <c r="R294">
        <v>33.3</v>
      </c>
      <c r="S294">
        <v>55.83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93</v>
      </c>
      <c r="AB294" t="str">
        <v>24/09/2026</v>
      </c>
      <c r="AC294" t="str">
        <v>10:16:46</v>
      </c>
      <c r="AD294">
        <f>IF("ONLINE"="NOGPS","GPS Antiguo","En línea")</f>
      </c>
      <c r="AE294">
        <f>IF(0=0,"Sin atender", IF(0=1,"Atendida","Atendida y Reportada"))</f>
      </c>
      <c r="AF294" t="str">
        <v/>
      </c>
      <c r="AG294" t="str">
        <v/>
      </c>
      <c r="AH294" t="str">
        <v/>
      </c>
      <c r="AI294" t="str">
        <v/>
      </c>
      <c r="AJ294" t="str">
        <v>24/09/2026 10:16:55</v>
      </c>
      <c r="AK294" t="str">
        <v>10:16:55</v>
      </c>
      <c r="AL294" t="str">
        <v/>
      </c>
    </row>
    <row r="295">
      <c r="A295">
        <v>294</v>
      </c>
      <c r="B295" t="str">
        <v>MASS BSF</v>
      </c>
      <c r="C295" t="str">
        <v>F8R-810</v>
      </c>
      <c r="D295" t="str">
        <v>F8R-810</v>
      </c>
      <c r="E295" t="str">
        <v/>
      </c>
      <c r="F295" t="str">
        <v>867806078868827</v>
      </c>
      <c r="G295" t="str">
        <v>TBD</v>
      </c>
      <c r="H295" t="str">
        <v/>
      </c>
      <c r="I295" t="str">
        <v/>
      </c>
      <c r="J295" t="str">
        <v>24/09/2026</v>
      </c>
      <c r="K295" t="str">
        <v>10:17:20</v>
      </c>
      <c r="L295">
        <v>-12.18035</v>
      </c>
      <c r="M295">
        <v>-76.94361</v>
      </c>
      <c r="N295">
        <f>HYPERLINK("https://www.google.com/maps/search/?api=1&amp;query=-12.18035,-76.94361","Avenida Pachacútec, Villa María del Triunfo, Lima")</f>
      </c>
      <c r="O295" t="str">
        <v>Acelerado y giro brusco</v>
      </c>
      <c r="P295">
        <v>1375.5</v>
      </c>
      <c r="Q295" t="str">
        <v/>
      </c>
      <c r="R295">
        <v>25.5</v>
      </c>
      <c r="S295">
        <v>55.83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93</v>
      </c>
      <c r="AB295" t="str">
        <v>24/09/2026</v>
      </c>
      <c r="AC295" t="str">
        <v>10:17:15</v>
      </c>
      <c r="AD295">
        <f>IF("ONLINE"="NOGPS","GPS Antiguo","En línea")</f>
      </c>
      <c r="AE295">
        <f>IF(0=0,"Sin atender", IF(0=1,"Atendida","Atendida y Reportada"))</f>
      </c>
      <c r="AF295" t="str">
        <v/>
      </c>
      <c r="AG295" t="str">
        <v/>
      </c>
      <c r="AH295" t="str">
        <v/>
      </c>
      <c r="AI295" t="str">
        <v/>
      </c>
      <c r="AJ295" t="str">
        <v>24/09/2026 10:17:32</v>
      </c>
      <c r="AK295" t="str">
        <v>10:17:32</v>
      </c>
      <c r="AL295" t="str">
        <v/>
      </c>
    </row>
    <row r="296">
      <c r="A296">
        <v>295</v>
      </c>
      <c r="B296" t="str">
        <v>MASS BSF</v>
      </c>
      <c r="C296" t="str">
        <v>F8R-810</v>
      </c>
      <c r="D296" t="str">
        <v>F8R-810</v>
      </c>
      <c r="E296" t="str">
        <v/>
      </c>
      <c r="F296" t="str">
        <v>867806078868827</v>
      </c>
      <c r="G296" t="str">
        <v>TBD</v>
      </c>
      <c r="H296" t="str">
        <v/>
      </c>
      <c r="I296" t="str">
        <v/>
      </c>
      <c r="J296" t="str">
        <v>24/09/2026</v>
      </c>
      <c r="K296" t="str">
        <v>10:17:56</v>
      </c>
      <c r="L296">
        <v>-12.18209</v>
      </c>
      <c r="M296">
        <v>-76.94254</v>
      </c>
      <c r="N296">
        <f>HYPERLINK("https://www.google.com/maps/search/?api=1&amp;query=-12.18209,-76.94254","Avenida Pachacútec, Villa María del Triunfo, Lima")</f>
      </c>
      <c r="O296" t="str">
        <v>Aceleración brusca</v>
      </c>
      <c r="P296">
        <v>1375.7</v>
      </c>
      <c r="Q296" t="str">
        <v/>
      </c>
      <c r="R296">
        <v>19.4</v>
      </c>
      <c r="S296">
        <v>55.83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93</v>
      </c>
      <c r="AB296" t="str">
        <v>24/09/2026</v>
      </c>
      <c r="AC296" t="str">
        <v>10:17:52</v>
      </c>
      <c r="AD296">
        <f>IF("ONLINE"="NOGPS","GPS Antiguo","En línea")</f>
      </c>
      <c r="AE296">
        <f>IF(0=0,"Sin atender", IF(0=1,"Atendida","Atendida y Reportada"))</f>
      </c>
      <c r="AF296" t="str">
        <v/>
      </c>
      <c r="AG296" t="str">
        <v/>
      </c>
      <c r="AH296" t="str">
        <v/>
      </c>
      <c r="AI296" t="str">
        <v/>
      </c>
      <c r="AJ296" t="str">
        <v>24/09/2026 10:18:18</v>
      </c>
      <c r="AK296" t="str">
        <v>10:18:18</v>
      </c>
      <c r="AL296" t="str">
        <v/>
      </c>
    </row>
    <row r="297">
      <c r="A297">
        <v>296</v>
      </c>
      <c r="B297" t="str">
        <v>MASS BSF</v>
      </c>
      <c r="C297" t="str">
        <v>F8R-810</v>
      </c>
      <c r="D297" t="str">
        <v>F8R-810</v>
      </c>
      <c r="E297" t="str">
        <v/>
      </c>
      <c r="F297" t="str">
        <v>867806078868827</v>
      </c>
      <c r="G297" t="str">
        <v>TBD</v>
      </c>
      <c r="H297" t="str">
        <v/>
      </c>
      <c r="I297" t="str">
        <v/>
      </c>
      <c r="J297" t="str">
        <v>24/09/2026</v>
      </c>
      <c r="K297" t="str">
        <v>10:18:00</v>
      </c>
      <c r="L297">
        <v>-12.18222</v>
      </c>
      <c r="M297">
        <v>-76.94246</v>
      </c>
      <c r="N297">
        <f>HYPERLINK("https://www.google.com/maps/search/?api=1&amp;query=-12.18222,-76.94246","Avenida Pachacútec, Villa María del Triunfo, Lima")</f>
      </c>
      <c r="O297" t="str">
        <v>Acelerado y giro brusco</v>
      </c>
      <c r="P297">
        <v>1375.7</v>
      </c>
      <c r="Q297" t="str">
        <v/>
      </c>
      <c r="R297">
        <v>22.2</v>
      </c>
      <c r="S297">
        <v>55.83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93</v>
      </c>
      <c r="AB297" t="str">
        <v>24/09/2026</v>
      </c>
      <c r="AC297" t="str">
        <v>10:17:55</v>
      </c>
      <c r="AD297">
        <f>IF("ONLINE"="NOGPS","GPS Antiguo","En línea")</f>
      </c>
      <c r="AE297">
        <f>IF(0=0,"Sin atender", IF(0=1,"Atendida","Atendida y Reportada"))</f>
      </c>
      <c r="AF297" t="str">
        <v/>
      </c>
      <c r="AG297" t="str">
        <v/>
      </c>
      <c r="AH297" t="str">
        <v/>
      </c>
      <c r="AI297" t="str">
        <v/>
      </c>
      <c r="AJ297" t="str">
        <v>24/09/2026 10:18:12</v>
      </c>
      <c r="AK297" t="str">
        <v>10:18:12</v>
      </c>
      <c r="AL297" t="str">
        <v/>
      </c>
    </row>
    <row r="298">
      <c r="A298">
        <v>297</v>
      </c>
      <c r="B298" t="str">
        <v>MASS BSF</v>
      </c>
      <c r="C298" t="str">
        <v>F8R-810</v>
      </c>
      <c r="D298" t="str">
        <v>F8R-810</v>
      </c>
      <c r="E298" t="str">
        <v/>
      </c>
      <c r="F298" t="str">
        <v>867806078868827</v>
      </c>
      <c r="G298" t="str">
        <v>TBD</v>
      </c>
      <c r="H298" t="str">
        <v/>
      </c>
      <c r="I298" t="str">
        <v/>
      </c>
      <c r="J298" t="str">
        <v>24/09/2026</v>
      </c>
      <c r="K298" t="str">
        <v>10:18:02</v>
      </c>
      <c r="L298">
        <v>-12.182355</v>
      </c>
      <c r="M298">
        <v>-76.94238</v>
      </c>
      <c r="N298">
        <f>HYPERLINK("https://www.google.com/maps/search/?api=1&amp;query=-12.182355,-76.94238","Avenida Pachacútec, Villa María del Triunfo, Lima")</f>
      </c>
      <c r="O298" t="str">
        <v>Acelerado y giro brusco</v>
      </c>
      <c r="P298">
        <v>1375.8</v>
      </c>
      <c r="Q298" t="str">
        <v/>
      </c>
      <c r="R298">
        <v>18.7</v>
      </c>
      <c r="S298">
        <v>55.83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93</v>
      </c>
      <c r="AB298" t="str">
        <v>24/09/2026</v>
      </c>
      <c r="AC298" t="str">
        <v>10:17:58</v>
      </c>
      <c r="AD298">
        <f>IF("ONLINE"="NOGPS","GPS Antiguo","En línea")</f>
      </c>
      <c r="AE298">
        <f>IF(0=0,"Sin atender", IF(0=1,"Atendida","Atendida y Reportada"))</f>
      </c>
      <c r="AF298" t="str">
        <v/>
      </c>
      <c r="AG298" t="str">
        <v/>
      </c>
      <c r="AH298" t="str">
        <v/>
      </c>
      <c r="AI298" t="str">
        <v/>
      </c>
      <c r="AJ298" t="str">
        <v>24/09/2026 10:18:09</v>
      </c>
      <c r="AK298" t="str">
        <v>10:18:09</v>
      </c>
      <c r="AL298" t="str">
        <v/>
      </c>
    </row>
    <row r="299">
      <c r="A299">
        <v>298</v>
      </c>
      <c r="B299" t="str">
        <v>MASS BSF</v>
      </c>
      <c r="C299" t="str">
        <v>F8R-810</v>
      </c>
      <c r="D299" t="str">
        <v>F8R-810</v>
      </c>
      <c r="E299" t="str">
        <v/>
      </c>
      <c r="F299" t="str">
        <v>867806078868827</v>
      </c>
      <c r="G299" t="str">
        <v>TBD</v>
      </c>
      <c r="H299" t="str">
        <v/>
      </c>
      <c r="I299" t="str">
        <v/>
      </c>
      <c r="J299" t="str">
        <v>24/09/2026</v>
      </c>
      <c r="K299" t="str">
        <v>10:18:17</v>
      </c>
      <c r="L299">
        <v>-12.182716</v>
      </c>
      <c r="M299">
        <v>-76.94219</v>
      </c>
      <c r="N299">
        <f>HYPERLINK("https://www.google.com/maps/search/?api=1&amp;query=-12.182716,-76.94219","Avenida Pachacútec, Villa María del Triunfo, Lima")</f>
      </c>
      <c r="O299" t="str">
        <v>Acelerado y giro brusco</v>
      </c>
      <c r="P299">
        <v>1375.8</v>
      </c>
      <c r="Q299" t="str">
        <v/>
      </c>
      <c r="R299">
        <v>16.1</v>
      </c>
      <c r="S299">
        <v>55.83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87</v>
      </c>
      <c r="AB299" t="str">
        <v>24/09/2026</v>
      </c>
      <c r="AC299" t="str">
        <v>10:18:12</v>
      </c>
      <c r="AD299">
        <f>IF("ONLINE"="NOGPS","GPS Antiguo","En línea")</f>
      </c>
      <c r="AE299">
        <f>IF(0=0,"Sin atender", IF(0=1,"Atendida","Atendida y Reportada"))</f>
      </c>
      <c r="AF299" t="str">
        <v/>
      </c>
      <c r="AG299" t="str">
        <v/>
      </c>
      <c r="AH299" t="str">
        <v/>
      </c>
      <c r="AI299" t="str">
        <v/>
      </c>
      <c r="AJ299" t="str">
        <v>24/09/2026 10:18:33</v>
      </c>
      <c r="AK299" t="str">
        <v>10:18:33</v>
      </c>
      <c r="AL299" t="str">
        <v/>
      </c>
    </row>
    <row r="300">
      <c r="A300">
        <v>299</v>
      </c>
      <c r="B300" t="str">
        <v>MASS BSF</v>
      </c>
      <c r="C300" t="str">
        <v>F8R-810</v>
      </c>
      <c r="D300" t="str">
        <v>F8R-810</v>
      </c>
      <c r="E300" t="str">
        <v/>
      </c>
      <c r="F300" t="str">
        <v>867806078868827</v>
      </c>
      <c r="G300" t="str">
        <v>TBD</v>
      </c>
      <c r="H300" t="str">
        <v/>
      </c>
      <c r="I300" t="str">
        <v/>
      </c>
      <c r="J300" t="str">
        <v>24/09/2026</v>
      </c>
      <c r="K300" t="str">
        <v>10:18:21</v>
      </c>
      <c r="L300">
        <v>-12.182845</v>
      </c>
      <c r="M300">
        <v>-76.942024</v>
      </c>
      <c r="N300">
        <f>HYPERLINK("https://www.google.com/maps/search/?api=1&amp;query=-12.182845,-76.942024","Avenida Pachacútec, Villa María del Triunfo, Lima")</f>
      </c>
      <c r="O300" t="str">
        <v>Aceleración brusca</v>
      </c>
      <c r="P300">
        <v>1375.8</v>
      </c>
      <c r="Q300" t="str">
        <v/>
      </c>
      <c r="R300">
        <v>16.4</v>
      </c>
      <c r="S300">
        <v>55.83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87</v>
      </c>
      <c r="AB300" t="str">
        <v>24/09/2026</v>
      </c>
      <c r="AC300" t="str">
        <v>10:18:17</v>
      </c>
      <c r="AD300">
        <f>IF("ONLINE"="NOGPS","GPS Antiguo","En línea")</f>
      </c>
      <c r="AE300">
        <f>IF(0=0,"Sin atender", IF(0=1,"Atendida","Atendida y Reportada"))</f>
      </c>
      <c r="AF300" t="str">
        <v/>
      </c>
      <c r="AG300" t="str">
        <v/>
      </c>
      <c r="AH300" t="str">
        <v/>
      </c>
      <c r="AI300" t="str">
        <v/>
      </c>
      <c r="AJ300" t="str">
        <v>24/09/2026 10:18:31</v>
      </c>
      <c r="AK300" t="str">
        <v>10:18:31</v>
      </c>
      <c r="AL300" t="str">
        <v/>
      </c>
    </row>
    <row r="301">
      <c r="A301">
        <v>300</v>
      </c>
      <c r="B301" t="str">
        <v>MASS BSF</v>
      </c>
      <c r="C301" t="str">
        <v>F8R-810</v>
      </c>
      <c r="D301" t="str">
        <v>F8R-810</v>
      </c>
      <c r="E301" t="str">
        <v/>
      </c>
      <c r="F301" t="str">
        <v>867806078868827</v>
      </c>
      <c r="G301" t="str">
        <v>TBD</v>
      </c>
      <c r="H301" t="str">
        <v/>
      </c>
      <c r="I301" t="str">
        <v/>
      </c>
      <c r="J301" t="str">
        <v>24/09/2026</v>
      </c>
      <c r="K301" t="str">
        <v>10:18:37</v>
      </c>
      <c r="L301">
        <v>-12.183427</v>
      </c>
      <c r="M301">
        <v>-76.941666</v>
      </c>
      <c r="N301">
        <f>HYPERLINK("https://www.google.com/maps/search/?api=1&amp;query=-12.183427,-76.941666","Avenida Pachacútec, Villa María del Triunfo, Lima")</f>
      </c>
      <c r="O301" t="str">
        <v>Aceleración brusca</v>
      </c>
      <c r="P301">
        <v>1375.9</v>
      </c>
      <c r="Q301" t="str">
        <v/>
      </c>
      <c r="R301">
        <v>21.1</v>
      </c>
      <c r="S301">
        <v>55.83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85</v>
      </c>
      <c r="AB301" t="str">
        <v>24/09/2026</v>
      </c>
      <c r="AC301" t="str">
        <v>10:18:33</v>
      </c>
      <c r="AD301">
        <f>IF("ONLINE"="NOGPS","GPS Antiguo","En línea")</f>
      </c>
      <c r="AE301">
        <f>IF(0=0,"Sin atender", IF(0=1,"Atendida","Atendida y Reportada"))</f>
      </c>
      <c r="AF301" t="str">
        <v/>
      </c>
      <c r="AG301" t="str">
        <v/>
      </c>
      <c r="AH301" t="str">
        <v/>
      </c>
      <c r="AI301" t="str">
        <v/>
      </c>
      <c r="AJ301" t="str">
        <v>24/09/2026 10:18:44</v>
      </c>
      <c r="AK301" t="str">
        <v>10:18:44</v>
      </c>
      <c r="AL301" t="str">
        <v/>
      </c>
    </row>
    <row r="302">
      <c r="A302">
        <v>301</v>
      </c>
      <c r="B302" t="str">
        <v>MASS BSF</v>
      </c>
      <c r="C302" t="str">
        <v>F8R-810</v>
      </c>
      <c r="D302" t="str">
        <v>F8R-810</v>
      </c>
      <c r="E302" t="str">
        <v/>
      </c>
      <c r="F302" t="str">
        <v>867806078868827</v>
      </c>
      <c r="G302" t="str">
        <v>TBD</v>
      </c>
      <c r="H302" t="str">
        <v/>
      </c>
      <c r="I302" t="str">
        <v/>
      </c>
      <c r="J302" t="str">
        <v>24/09/2026</v>
      </c>
      <c r="K302" t="str">
        <v>10:18:45</v>
      </c>
      <c r="L302">
        <v>-12.183908</v>
      </c>
      <c r="M302">
        <v>-76.941376</v>
      </c>
      <c r="N302">
        <f>HYPERLINK("https://www.google.com/maps/search/?api=1&amp;query=-12.183908,-76.941376","Avenida Pachacútec, Villa María del Triunfo, Lima")</f>
      </c>
      <c r="O302" t="str">
        <v>Acelerado y giro brusco</v>
      </c>
      <c r="P302">
        <v>1376</v>
      </c>
      <c r="Q302" t="str">
        <v/>
      </c>
      <c r="R302">
        <v>30.3</v>
      </c>
      <c r="S302">
        <v>55.83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85</v>
      </c>
      <c r="AB302" t="str">
        <v>24/09/2026</v>
      </c>
      <c r="AC302" t="str">
        <v>10:18:41</v>
      </c>
      <c r="AD302">
        <f>IF("ONLINE"="NOGPS","GPS Antiguo","En línea")</f>
      </c>
      <c r="AE302">
        <f>IF(0=0,"Sin atender", IF(0=1,"Atendida","Atendida y Reportada"))</f>
      </c>
      <c r="AF302" t="str">
        <v/>
      </c>
      <c r="AG302" t="str">
        <v/>
      </c>
      <c r="AH302" t="str">
        <v/>
      </c>
      <c r="AI302" t="str">
        <v/>
      </c>
      <c r="AJ302" t="str">
        <v>24/09/2026 10:19:00</v>
      </c>
      <c r="AK302" t="str">
        <v>10:19:00</v>
      </c>
      <c r="AL302" t="str">
        <v/>
      </c>
    </row>
    <row r="303">
      <c r="A303">
        <v>302</v>
      </c>
      <c r="B303" t="str">
        <v>MASS BSF</v>
      </c>
      <c r="C303" t="str">
        <v>F8R-810</v>
      </c>
      <c r="D303" t="str">
        <v>F8R-810</v>
      </c>
      <c r="E303" t="str">
        <v/>
      </c>
      <c r="F303" t="str">
        <v>867806078868827</v>
      </c>
      <c r="G303" t="str">
        <v>TBD</v>
      </c>
      <c r="H303" t="str">
        <v/>
      </c>
      <c r="I303" t="str">
        <v/>
      </c>
      <c r="J303" t="str">
        <v>24/09/2026</v>
      </c>
      <c r="K303" t="str">
        <v>10:18:53</v>
      </c>
      <c r="L303">
        <v>-12.184405</v>
      </c>
      <c r="M303">
        <v>-76.94108</v>
      </c>
      <c r="N303">
        <f>HYPERLINK("https://www.google.com/maps/search/?api=1&amp;query=-12.184405,-76.94108","Avenida Pachacútec, Villa María del Triunfo, Lima")</f>
      </c>
      <c r="O303" t="str">
        <v>Aceleración brusca</v>
      </c>
      <c r="P303">
        <v>1376</v>
      </c>
      <c r="Q303" t="str">
        <v/>
      </c>
      <c r="R303">
        <v>26.1</v>
      </c>
      <c r="S303">
        <v>55.83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85</v>
      </c>
      <c r="AB303" t="str">
        <v>24/09/2026</v>
      </c>
      <c r="AC303" t="str">
        <v>10:18:49</v>
      </c>
      <c r="AD303">
        <f>IF("ONLINE"="NOGPS","GPS Antiguo","En línea")</f>
      </c>
      <c r="AE303">
        <f>IF(0=0,"Sin atender", IF(0=1,"Atendida","Atendida y Reportada"))</f>
      </c>
      <c r="AF303" t="str">
        <v/>
      </c>
      <c r="AG303" t="str">
        <v/>
      </c>
      <c r="AH303" t="str">
        <v/>
      </c>
      <c r="AI303" t="str">
        <v/>
      </c>
      <c r="AJ303" t="str">
        <v>24/09/2026 10:21:38</v>
      </c>
      <c r="AK303" t="str">
        <v>10:21:38</v>
      </c>
      <c r="AL303" t="str">
        <v/>
      </c>
    </row>
    <row r="304">
      <c r="A304">
        <v>303</v>
      </c>
      <c r="B304" t="str">
        <v>MASS BSF</v>
      </c>
      <c r="C304" t="str">
        <v>F8R-810</v>
      </c>
      <c r="D304" t="str">
        <v>F8R-810</v>
      </c>
      <c r="E304" t="str">
        <v/>
      </c>
      <c r="F304" t="str">
        <v>867806078868827</v>
      </c>
      <c r="G304" t="str">
        <v>TBD</v>
      </c>
      <c r="H304" t="str">
        <v/>
      </c>
      <c r="I304" t="str">
        <v/>
      </c>
      <c r="J304" t="str">
        <v>24/09/2026</v>
      </c>
      <c r="K304" t="str">
        <v>10:19:01</v>
      </c>
      <c r="L304">
        <v>-12.184836</v>
      </c>
      <c r="M304">
        <v>-76.94082</v>
      </c>
      <c r="N304">
        <f>HYPERLINK("https://www.google.com/maps/search/?api=1&amp;query=-12.184836,-76.94082","Avenida Pachacútec, Villa María del Triunfo, Lima")</f>
      </c>
      <c r="O304" t="str">
        <v>Acelerado y giro brusco</v>
      </c>
      <c r="P304">
        <v>1376.1</v>
      </c>
      <c r="Q304" t="str">
        <v/>
      </c>
      <c r="R304">
        <v>26.4</v>
      </c>
      <c r="S304">
        <v>55.83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85</v>
      </c>
      <c r="AB304" t="str">
        <v>24/09/2026</v>
      </c>
      <c r="AC304" t="str">
        <v>10:18:57</v>
      </c>
      <c r="AD304">
        <f>IF("ONLINE"="NOGPS","GPS Antiguo","En línea")</f>
      </c>
      <c r="AE304">
        <f>IF(0=0,"Sin atender", IF(0=1,"Atendida","Atendida y Reportada"))</f>
      </c>
      <c r="AF304" t="str">
        <v/>
      </c>
      <c r="AG304" t="str">
        <v/>
      </c>
      <c r="AH304" t="str">
        <v/>
      </c>
      <c r="AI304" t="str">
        <v/>
      </c>
      <c r="AJ304" t="str">
        <v>24/09/2026 10:19:09</v>
      </c>
      <c r="AK304" t="str">
        <v>10:19:09</v>
      </c>
      <c r="AL304" t="str">
        <v/>
      </c>
    </row>
    <row r="305">
      <c r="A305">
        <v>304</v>
      </c>
      <c r="B305" t="str">
        <v>MASS BSF</v>
      </c>
      <c r="C305" t="str">
        <v>F8R-810</v>
      </c>
      <c r="D305" t="str">
        <v>F8R-810</v>
      </c>
      <c r="E305" t="str">
        <v/>
      </c>
      <c r="F305" t="str">
        <v>867806078868827</v>
      </c>
      <c r="G305" t="str">
        <v>TBD</v>
      </c>
      <c r="H305" t="str">
        <v/>
      </c>
      <c r="I305" t="str">
        <v/>
      </c>
      <c r="J305" t="str">
        <v>24/09/2026</v>
      </c>
      <c r="K305" t="str">
        <v>10:19:17</v>
      </c>
      <c r="L305">
        <v>-12.185627</v>
      </c>
      <c r="M305">
        <v>-76.94035</v>
      </c>
      <c r="N305">
        <f>HYPERLINK("https://www.google.com/maps/search/?api=1&amp;query=-12.185627,-76.94035","Avenida Pachacútec, Villa María del Triunfo, Lima")</f>
      </c>
      <c r="O305" t="str">
        <v>Bache</v>
      </c>
      <c r="P305">
        <v>1376.2</v>
      </c>
      <c r="Q305" t="str">
        <v/>
      </c>
      <c r="R305">
        <v>5</v>
      </c>
      <c r="S305">
        <v>55.83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85</v>
      </c>
      <c r="AB305" t="str">
        <v>24/09/2026</v>
      </c>
      <c r="AC305" t="str">
        <v>10:19:13</v>
      </c>
      <c r="AD305">
        <f>IF("ONLINE"="NOGPS","GPS Antiguo","En línea")</f>
      </c>
      <c r="AE305">
        <f>IF(0=0,"Sin atender", IF(0=1,"Atendida","Atendida y Reportada"))</f>
      </c>
      <c r="AF305" t="str">
        <v/>
      </c>
      <c r="AG305" t="str">
        <v/>
      </c>
      <c r="AH305" t="str">
        <v/>
      </c>
      <c r="AI305" t="str">
        <v/>
      </c>
      <c r="AJ305" t="str">
        <v>24/09/2026 10:19:32</v>
      </c>
      <c r="AK305" t="str">
        <v>10:19:32</v>
      </c>
      <c r="AL305" t="str">
        <v/>
      </c>
    </row>
    <row r="306">
      <c r="A306">
        <v>305</v>
      </c>
      <c r="B306" t="str">
        <v>MASS BSF</v>
      </c>
      <c r="C306" t="str">
        <v>F8R-810</v>
      </c>
      <c r="D306" t="str">
        <v>F8R-810</v>
      </c>
      <c r="E306" t="str">
        <v/>
      </c>
      <c r="F306" t="str">
        <v>867806078868827</v>
      </c>
      <c r="G306" t="str">
        <v>TBD</v>
      </c>
      <c r="H306" t="str">
        <v/>
      </c>
      <c r="I306" t="str">
        <v/>
      </c>
      <c r="J306" t="str">
        <v>24/09/2026</v>
      </c>
      <c r="K306" t="str">
        <v>10:19:49</v>
      </c>
      <c r="L306">
        <v>-12.187447</v>
      </c>
      <c r="M306">
        <v>-76.9393</v>
      </c>
      <c r="N306">
        <f>HYPERLINK("https://www.google.com/maps/search/?api=1&amp;query=-12.187447,-76.9393","Avenida Pachacútec, Villa María del Triunfo, Lima")</f>
      </c>
      <c r="O306" t="str">
        <v>Acelerado y giro brusco</v>
      </c>
      <c r="P306">
        <v>1376.4</v>
      </c>
      <c r="Q306" t="str">
        <v/>
      </c>
      <c r="R306">
        <v>40.5</v>
      </c>
      <c r="S306">
        <v>55.83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85</v>
      </c>
      <c r="AB306" t="str">
        <v>24/09/2026</v>
      </c>
      <c r="AC306" t="str">
        <v>10:19:44</v>
      </c>
      <c r="AD306">
        <f>IF("ONLINE"="NOGPS","GPS Antiguo","En línea")</f>
      </c>
      <c r="AE306">
        <f>IF(0=0,"Sin atender", IF(0=1,"Atendida","Atendida y Reportada"))</f>
      </c>
      <c r="AF306" t="str">
        <v/>
      </c>
      <c r="AG306" t="str">
        <v/>
      </c>
      <c r="AH306" t="str">
        <v/>
      </c>
      <c r="AI306" t="str">
        <v/>
      </c>
      <c r="AJ306" t="str">
        <v>24/09/2026 10:19:52</v>
      </c>
      <c r="AK306" t="str">
        <v>10:19:52</v>
      </c>
      <c r="AL306" t="str">
        <v/>
      </c>
    </row>
    <row r="307">
      <c r="A307">
        <v>306</v>
      </c>
      <c r="B307" t="str">
        <v>MASS BSF</v>
      </c>
      <c r="C307" t="str">
        <v>F8R-810</v>
      </c>
      <c r="D307" t="str">
        <v>F8R-810</v>
      </c>
      <c r="E307" t="str">
        <v/>
      </c>
      <c r="F307" t="str">
        <v>867806078868827</v>
      </c>
      <c r="G307" t="str">
        <v>TBD</v>
      </c>
      <c r="H307" t="str">
        <v/>
      </c>
      <c r="I307" t="str">
        <v/>
      </c>
      <c r="J307" t="str">
        <v>24/09/2026</v>
      </c>
      <c r="K307" t="str">
        <v>10:20:03</v>
      </c>
      <c r="L307">
        <v>-12.188753</v>
      </c>
      <c r="M307">
        <v>-76.93852</v>
      </c>
      <c r="N307">
        <f>HYPERLINK("https://www.google.com/maps/search/?api=1&amp;query=-12.188753,-76.93852","Avenida Pachacútec, Villa María del Triunfo, Lima")</f>
      </c>
      <c r="O307" t="str">
        <v>Aceleración brusca</v>
      </c>
      <c r="P307">
        <v>1376.6</v>
      </c>
      <c r="Q307" t="str">
        <v/>
      </c>
      <c r="R307">
        <v>45.7</v>
      </c>
      <c r="S307">
        <v>55.83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85</v>
      </c>
      <c r="AB307" t="str">
        <v>24/09/2026</v>
      </c>
      <c r="AC307" t="str">
        <v>10:19:58</v>
      </c>
      <c r="AD307">
        <f>IF("ONLINE"="NOGPS","GPS Antiguo","En línea")</f>
      </c>
      <c r="AE307">
        <f>IF(0=0,"Sin atender", IF(0=1,"Atendida","Atendida y Reportada"))</f>
      </c>
      <c r="AF307" t="str">
        <v/>
      </c>
      <c r="AG307" t="str">
        <v/>
      </c>
      <c r="AH307" t="str">
        <v/>
      </c>
      <c r="AI307" t="str">
        <v/>
      </c>
      <c r="AJ307" t="str">
        <v>24/09/2026 10:20:16</v>
      </c>
      <c r="AK307" t="str">
        <v>10:20:16</v>
      </c>
      <c r="AL307" t="str">
        <v/>
      </c>
    </row>
    <row r="308">
      <c r="A308">
        <v>307</v>
      </c>
      <c r="B308" t="str">
        <v>MASS BSF</v>
      </c>
      <c r="C308" t="str">
        <v>F8R-810</v>
      </c>
      <c r="D308" t="str">
        <v>F8R-810</v>
      </c>
      <c r="E308" t="str">
        <v/>
      </c>
      <c r="F308" t="str">
        <v>867806078868827</v>
      </c>
      <c r="G308" t="str">
        <v>TBD</v>
      </c>
      <c r="H308" t="str">
        <v/>
      </c>
      <c r="I308" t="str">
        <v/>
      </c>
      <c r="J308" t="str">
        <v>24/09/2026</v>
      </c>
      <c r="K308" t="str">
        <v>10:20:09</v>
      </c>
      <c r="L308">
        <v>-12.189478</v>
      </c>
      <c r="M308">
        <v>-76.938126</v>
      </c>
      <c r="N308">
        <f>HYPERLINK("https://www.google.com/maps/search/?api=1&amp;query=-12.189478,-76.938126","Avenida Pachacútec, Villa María del Triunfo, Lima")</f>
      </c>
      <c r="O308" t="str">
        <v>Aceleración brusca</v>
      </c>
      <c r="P308">
        <v>1376.7</v>
      </c>
      <c r="Q308" t="str">
        <v/>
      </c>
      <c r="R308">
        <v>47.9</v>
      </c>
      <c r="S308">
        <v>55.83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85</v>
      </c>
      <c r="AB308" t="str">
        <v>24/09/2026</v>
      </c>
      <c r="AC308" t="str">
        <v>10:20:05</v>
      </c>
      <c r="AD308">
        <f>IF("ONLINE"="NOGPS","GPS Antiguo","En línea")</f>
      </c>
      <c r="AE308">
        <f>IF(0=0,"Sin atender", IF(0=1,"Atendida","Atendida y Reportada"))</f>
      </c>
      <c r="AF308" t="str">
        <v/>
      </c>
      <c r="AG308" t="str">
        <v/>
      </c>
      <c r="AH308" t="str">
        <v/>
      </c>
      <c r="AI308" t="str">
        <v/>
      </c>
      <c r="AJ308" t="str">
        <v>24/09/2026 10:20:31</v>
      </c>
      <c r="AK308" t="str">
        <v>10:20:31</v>
      </c>
      <c r="AL308" t="str">
        <v/>
      </c>
    </row>
    <row r="309">
      <c r="A309">
        <v>308</v>
      </c>
      <c r="B309" t="str">
        <v>MASS BSF</v>
      </c>
      <c r="C309" t="str">
        <v>F8R-810</v>
      </c>
      <c r="D309" t="str">
        <v>F8R-810</v>
      </c>
      <c r="E309" t="str">
        <v/>
      </c>
      <c r="F309" t="str">
        <v>867806078868827</v>
      </c>
      <c r="G309" t="str">
        <v>TBD</v>
      </c>
      <c r="H309" t="str">
        <v/>
      </c>
      <c r="I309" t="str">
        <v/>
      </c>
      <c r="J309" t="str">
        <v>24/09/2026</v>
      </c>
      <c r="K309" t="str">
        <v>10:20:49</v>
      </c>
      <c r="L309">
        <v>-12.192647</v>
      </c>
      <c r="M309">
        <v>-76.93641</v>
      </c>
      <c r="N309">
        <f>HYPERLINK("https://www.google.com/maps/search/?api=1&amp;query=-12.192647,-76.93641","Avenida Pachacútec, Villa El Salvador, Lima")</f>
      </c>
      <c r="O309" t="str">
        <v>Acelerado y giro brusco</v>
      </c>
      <c r="P309">
        <v>1377.1</v>
      </c>
      <c r="Q309" t="str">
        <v/>
      </c>
      <c r="R309">
        <v>20.7</v>
      </c>
      <c r="S309">
        <v>55.83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85</v>
      </c>
      <c r="AB309" t="str">
        <v>24/09/2026</v>
      </c>
      <c r="AC309" t="str">
        <v>10:20:45</v>
      </c>
      <c r="AD309">
        <f>IF("ONLINE"="NOGPS","GPS Antiguo","En línea")</f>
      </c>
      <c r="AE309">
        <f>IF(0=0,"Sin atender", IF(0=1,"Atendida","Atendida y Reportada"))</f>
      </c>
      <c r="AF309" t="str">
        <v/>
      </c>
      <c r="AG309" t="str">
        <v/>
      </c>
      <c r="AH309" t="str">
        <v/>
      </c>
      <c r="AI309" t="str">
        <v/>
      </c>
      <c r="AJ309" t="str">
        <v>24/09/2026 10:21:01</v>
      </c>
      <c r="AK309" t="str">
        <v>10:21:01</v>
      </c>
      <c r="AL309" t="str">
        <v/>
      </c>
    </row>
    <row r="310">
      <c r="A310">
        <v>309</v>
      </c>
      <c r="B310" t="str">
        <v>MASS BSF</v>
      </c>
      <c r="C310" t="str">
        <v>F8R-810</v>
      </c>
      <c r="D310" t="str">
        <v>F8R-810</v>
      </c>
      <c r="E310" t="str">
        <v/>
      </c>
      <c r="F310" t="str">
        <v>867806078868827</v>
      </c>
      <c r="G310" t="str">
        <v>TBD</v>
      </c>
      <c r="H310" t="str">
        <v/>
      </c>
      <c r="I310" t="str">
        <v/>
      </c>
      <c r="J310" t="str">
        <v>24/09/2026</v>
      </c>
      <c r="K310" t="str">
        <v>10:22:01</v>
      </c>
      <c r="L310">
        <v>-12.19322</v>
      </c>
      <c r="M310">
        <v>-76.93606</v>
      </c>
      <c r="N310">
        <f>HYPERLINK("https://www.google.com/maps/search/?api=1&amp;query=-12.19322,-76.93606","Avenida Pachacútec, Villa El Salvador, Lima")</f>
      </c>
      <c r="O310" t="str">
        <v>Acelerado y giro brusco</v>
      </c>
      <c r="P310">
        <v>1377.1</v>
      </c>
      <c r="Q310" t="str">
        <v/>
      </c>
      <c r="R310">
        <v>16.2</v>
      </c>
      <c r="S310">
        <v>55.83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85</v>
      </c>
      <c r="AB310" t="str">
        <v>24/09/2026</v>
      </c>
      <c r="AC310" t="str">
        <v>10:21:56</v>
      </c>
      <c r="AD310">
        <f>IF("ONLINE"="NOGPS","GPS Antiguo","En línea")</f>
      </c>
      <c r="AE310">
        <f>IF(0=0,"Sin atender", IF(0=1,"Atendida","Atendida y Reportada"))</f>
      </c>
      <c r="AF310" t="str">
        <v/>
      </c>
      <c r="AG310" t="str">
        <v/>
      </c>
      <c r="AH310" t="str">
        <v/>
      </c>
      <c r="AI310" t="str">
        <v/>
      </c>
      <c r="AJ310" t="str">
        <v>24/09/2026 10:22:13</v>
      </c>
      <c r="AK310" t="str">
        <v>10:22:13</v>
      </c>
      <c r="AL310" t="str">
        <v/>
      </c>
    </row>
    <row r="311">
      <c r="A311">
        <v>310</v>
      </c>
      <c r="B311" t="str">
        <v>MASS BSF</v>
      </c>
      <c r="C311" t="str">
        <v>F8R-810</v>
      </c>
      <c r="D311" t="str">
        <v>F8R-810</v>
      </c>
      <c r="E311" t="str">
        <v/>
      </c>
      <c r="F311" t="str">
        <v>867806078868827</v>
      </c>
      <c r="G311" t="str">
        <v>TBD</v>
      </c>
      <c r="H311" t="str">
        <v/>
      </c>
      <c r="I311" t="str">
        <v/>
      </c>
      <c r="J311" t="str">
        <v>24/09/2026</v>
      </c>
      <c r="K311" t="str">
        <v>10:22:15</v>
      </c>
      <c r="L311">
        <v>-12.193778</v>
      </c>
      <c r="M311">
        <v>-76.93571</v>
      </c>
      <c r="N311">
        <f>HYPERLINK("https://www.google.com/maps/search/?api=1&amp;query=-12.193778,-76.93571","Avenida Pachacútec, Villa El Salvador, Lima")</f>
      </c>
      <c r="O311" t="str">
        <v>Acelerado y giro brusco</v>
      </c>
      <c r="P311">
        <v>1377.2</v>
      </c>
      <c r="Q311" t="str">
        <v/>
      </c>
      <c r="R311">
        <v>22</v>
      </c>
      <c r="S311">
        <v>55.83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85</v>
      </c>
      <c r="AB311" t="str">
        <v>24/09/2026</v>
      </c>
      <c r="AC311" t="str">
        <v>10:22:10</v>
      </c>
      <c r="AD311">
        <f>IF("ONLINE"="NOGPS","GPS Antiguo","En línea")</f>
      </c>
      <c r="AE311">
        <f>IF(0=0,"Sin atender", IF(0=1,"Atendida","Atendida y Reportada"))</f>
      </c>
      <c r="AF311" t="str">
        <v/>
      </c>
      <c r="AG311" t="str">
        <v/>
      </c>
      <c r="AH311" t="str">
        <v/>
      </c>
      <c r="AI311" t="str">
        <v/>
      </c>
      <c r="AJ311" t="str">
        <v>24/09/2026 10:22:28</v>
      </c>
      <c r="AK311" t="str">
        <v>10:22:28</v>
      </c>
      <c r="AL311" t="str">
        <v/>
      </c>
    </row>
    <row r="312">
      <c r="A312">
        <v>311</v>
      </c>
      <c r="B312" t="str">
        <v>MASS BSF</v>
      </c>
      <c r="C312" t="str">
        <v>F8R-810</v>
      </c>
      <c r="D312" t="str">
        <v>F8R-810</v>
      </c>
      <c r="E312" t="str">
        <v/>
      </c>
      <c r="F312" t="str">
        <v>867806078868827</v>
      </c>
      <c r="G312" t="str">
        <v>TBD</v>
      </c>
      <c r="H312" t="str">
        <v/>
      </c>
      <c r="I312" t="str">
        <v/>
      </c>
      <c r="J312" t="str">
        <v>24/09/2026</v>
      </c>
      <c r="K312" t="str">
        <v>10:22:18</v>
      </c>
      <c r="L312">
        <v>-12.193976</v>
      </c>
      <c r="M312">
        <v>-76.93561</v>
      </c>
      <c r="N312">
        <f>HYPERLINK("https://www.google.com/maps/search/?api=1&amp;query=-12.193976,-76.93561","Avenida Pachacútec, Villa El Salvador, Lima")</f>
      </c>
      <c r="O312" t="str">
        <v>Acelerado y giro brusco</v>
      </c>
      <c r="P312">
        <v>1377.2</v>
      </c>
      <c r="Q312" t="str">
        <v/>
      </c>
      <c r="R312">
        <v>23.1</v>
      </c>
      <c r="S312">
        <v>55.83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85</v>
      </c>
      <c r="AB312" t="str">
        <v>24/09/2026</v>
      </c>
      <c r="AC312" t="str">
        <v>10:22:14</v>
      </c>
      <c r="AD312">
        <f>IF("ONLINE"="NOGPS","GPS Antiguo","En línea")</f>
      </c>
      <c r="AE312">
        <f>IF(0=0,"Sin atender", IF(0=1,"Atendida","Atendida y Reportada"))</f>
      </c>
      <c r="AF312" t="str">
        <v/>
      </c>
      <c r="AG312" t="str">
        <v/>
      </c>
      <c r="AH312" t="str">
        <v/>
      </c>
      <c r="AI312" t="str">
        <v/>
      </c>
      <c r="AJ312" t="str">
        <v>24/09/2026 10:22:30</v>
      </c>
      <c r="AK312" t="str">
        <v>10:22:30</v>
      </c>
      <c r="AL312" t="str">
        <v/>
      </c>
    </row>
    <row r="313">
      <c r="A313">
        <v>312</v>
      </c>
      <c r="B313" t="str">
        <v>MASS BSF</v>
      </c>
      <c r="C313" t="str">
        <v>F8R-810</v>
      </c>
      <c r="D313" t="str">
        <v>F8R-810</v>
      </c>
      <c r="E313" t="str">
        <v/>
      </c>
      <c r="F313" t="str">
        <v>867806078868827</v>
      </c>
      <c r="G313" t="str">
        <v>TBD</v>
      </c>
      <c r="H313" t="str">
        <v/>
      </c>
      <c r="I313" t="str">
        <v/>
      </c>
      <c r="J313" t="str">
        <v>24/09/2026</v>
      </c>
      <c r="K313" t="str">
        <v>10:22:31</v>
      </c>
      <c r="L313">
        <v>-12.194921</v>
      </c>
      <c r="M313">
        <v>-76.93533</v>
      </c>
      <c r="N313">
        <f>HYPERLINK("https://www.google.com/maps/search/?api=1&amp;query=-12.194921,-76.93533","Avenida Pachacútec, Villa El Salvador, Lima")</f>
      </c>
      <c r="O313" t="str">
        <v>Acelerado y giro brusco</v>
      </c>
      <c r="P313">
        <v>1377.3</v>
      </c>
      <c r="Q313" t="str">
        <v/>
      </c>
      <c r="R313">
        <v>31.8</v>
      </c>
      <c r="S313">
        <v>55.83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85</v>
      </c>
      <c r="AB313" t="str">
        <v>24/09/2026</v>
      </c>
      <c r="AC313" t="str">
        <v>10:22:27</v>
      </c>
      <c r="AD313">
        <f>IF("ONLINE"="NOGPS","GPS Antiguo","En línea")</f>
      </c>
      <c r="AE313">
        <f>IF(0=0,"Sin atender", IF(0=1,"Atendida","Atendida y Reportada"))</f>
      </c>
      <c r="AF313" t="str">
        <v/>
      </c>
      <c r="AG313" t="str">
        <v/>
      </c>
      <c r="AH313" t="str">
        <v/>
      </c>
      <c r="AI313" t="str">
        <v/>
      </c>
      <c r="AJ313" t="str">
        <v>24/09/2026 10:22:48</v>
      </c>
      <c r="AK313" t="str">
        <v>10:22:48</v>
      </c>
      <c r="AL313" t="str">
        <v/>
      </c>
    </row>
    <row r="314">
      <c r="A314">
        <v>313</v>
      </c>
      <c r="B314" t="str">
        <v>MASS BSF</v>
      </c>
      <c r="C314" t="str">
        <v>F8R-810</v>
      </c>
      <c r="D314" t="str">
        <v>F8R-810</v>
      </c>
      <c r="E314" t="str">
        <v/>
      </c>
      <c r="F314" t="str">
        <v>867806078868827</v>
      </c>
      <c r="G314" t="str">
        <v>TBD</v>
      </c>
      <c r="H314" t="str">
        <v/>
      </c>
      <c r="I314" t="str">
        <v/>
      </c>
      <c r="J314" t="str">
        <v>24/09/2026</v>
      </c>
      <c r="K314" t="str">
        <v>10:22:36</v>
      </c>
      <c r="L314">
        <v>-12.19515</v>
      </c>
      <c r="M314">
        <v>-76.93531</v>
      </c>
      <c r="N314">
        <f>HYPERLINK("https://www.google.com/maps/search/?api=1&amp;query=-12.19515,-76.93531","Avenida El Sol, Villa El Salvador, Lima")</f>
      </c>
      <c r="O314" t="str">
        <v>Aceleración brusca</v>
      </c>
      <c r="P314">
        <v>1377.4</v>
      </c>
      <c r="Q314" t="str">
        <v/>
      </c>
      <c r="R314">
        <v>22.2</v>
      </c>
      <c r="S314">
        <v>55.83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85</v>
      </c>
      <c r="AB314" t="str">
        <v>24/09/2026</v>
      </c>
      <c r="AC314" t="str">
        <v>10:22:31</v>
      </c>
      <c r="AD314">
        <f>IF("ONLINE"="NOGPS","GPS Antiguo","En línea")</f>
      </c>
      <c r="AE314">
        <f>IF(0=0,"Sin atender", IF(0=1,"Atendida","Atendida y Reportada"))</f>
      </c>
      <c r="AF314" t="str">
        <v/>
      </c>
      <c r="AG314" t="str">
        <v/>
      </c>
      <c r="AH314" t="str">
        <v/>
      </c>
      <c r="AI314" t="str">
        <v/>
      </c>
      <c r="AJ314" t="str">
        <v>24/09/2026 10:22:43</v>
      </c>
      <c r="AK314" t="str">
        <v>10:22:43</v>
      </c>
      <c r="AL314" t="str">
        <v/>
      </c>
    </row>
    <row r="315">
      <c r="A315">
        <v>314</v>
      </c>
      <c r="B315" t="str">
        <v>MASS BSF</v>
      </c>
      <c r="C315" t="str">
        <v>F8R-810</v>
      </c>
      <c r="D315" t="str">
        <v>F8R-810</v>
      </c>
      <c r="E315" t="str">
        <v/>
      </c>
      <c r="F315" t="str">
        <v>867806078868827</v>
      </c>
      <c r="G315" t="str">
        <v>TBD</v>
      </c>
      <c r="H315" t="str">
        <v/>
      </c>
      <c r="I315" t="str">
        <v/>
      </c>
      <c r="J315" t="str">
        <v>24/09/2026</v>
      </c>
      <c r="K315" t="str">
        <v>10:22:48</v>
      </c>
      <c r="L315">
        <v>-12.195706</v>
      </c>
      <c r="M315">
        <v>-76.93623</v>
      </c>
      <c r="N315">
        <f>HYPERLINK("https://www.google.com/maps/search/?api=1&amp;query=-12.195706,-76.93623","Avenida El Sol, Villa El Salvador, Lima")</f>
      </c>
      <c r="O315" t="str">
        <v>Acelerado y giro brusco</v>
      </c>
      <c r="P315">
        <v>1377.5</v>
      </c>
      <c r="Q315" t="str">
        <v/>
      </c>
      <c r="R315">
        <v>35.7</v>
      </c>
      <c r="S315">
        <v>55.83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85</v>
      </c>
      <c r="AB315" t="str">
        <v>24/09/2026</v>
      </c>
      <c r="AC315" t="str">
        <v>10:22:44</v>
      </c>
      <c r="AD315">
        <f>IF("ONLINE"="NOGPS","GPS Antiguo","En línea")</f>
      </c>
      <c r="AE315">
        <f>IF(0=0,"Sin atender", IF(0=1,"Atendida","Atendida y Reportada"))</f>
      </c>
      <c r="AF315" t="str">
        <v/>
      </c>
      <c r="AG315" t="str">
        <v/>
      </c>
      <c r="AH315" t="str">
        <v/>
      </c>
      <c r="AI315" t="str">
        <v/>
      </c>
      <c r="AJ315" t="str">
        <v>24/09/2026 10:23:01</v>
      </c>
      <c r="AK315" t="str">
        <v>10:23:01</v>
      </c>
      <c r="AL315" t="str">
        <v/>
      </c>
    </row>
    <row r="316">
      <c r="A316">
        <v>315</v>
      </c>
      <c r="B316" t="str">
        <v>MASS BSF</v>
      </c>
      <c r="C316" t="str">
        <v>F8R-810</v>
      </c>
      <c r="D316" t="str">
        <v>F8R-810</v>
      </c>
      <c r="E316" t="str">
        <v/>
      </c>
      <c r="F316" t="str">
        <v>867806078868827</v>
      </c>
      <c r="G316" t="str">
        <v>TBD</v>
      </c>
      <c r="H316" t="str">
        <v/>
      </c>
      <c r="I316" t="str">
        <v/>
      </c>
      <c r="J316" t="str">
        <v>24/09/2026</v>
      </c>
      <c r="K316" t="str">
        <v>10:22:55</v>
      </c>
      <c r="L316">
        <v>-12.195996</v>
      </c>
      <c r="M316">
        <v>-76.93674</v>
      </c>
      <c r="N316">
        <f>HYPERLINK("https://www.google.com/maps/search/?api=1&amp;query=-12.195996,-76.93674","Avenida El Sol, Villa El Salvador, Lima")</f>
      </c>
      <c r="O316" t="str">
        <v>Acelerado y giro brusco</v>
      </c>
      <c r="P316">
        <v>1377.5</v>
      </c>
      <c r="Q316" t="str">
        <v/>
      </c>
      <c r="R316">
        <v>35.1</v>
      </c>
      <c r="S316">
        <v>55.83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85</v>
      </c>
      <c r="AB316" t="str">
        <v>24/09/2026</v>
      </c>
      <c r="AC316" t="str">
        <v>10:22:51</v>
      </c>
      <c r="AD316">
        <f>IF("ONLINE"="NOGPS","GPS Antiguo","En línea")</f>
      </c>
      <c r="AE316">
        <f>IF(0=0,"Sin atender", IF(0=1,"Atendida","Atendida y Reportada"))</f>
      </c>
      <c r="AF316" t="str">
        <v/>
      </c>
      <c r="AG316" t="str">
        <v/>
      </c>
      <c r="AH316" t="str">
        <v/>
      </c>
      <c r="AI316" t="str">
        <v/>
      </c>
      <c r="AJ316" t="str">
        <v>24/09/2026 10:23:03</v>
      </c>
      <c r="AK316" t="str">
        <v>10:23:03</v>
      </c>
      <c r="AL316" t="str">
        <v/>
      </c>
    </row>
    <row r="317">
      <c r="A317">
        <v>316</v>
      </c>
      <c r="B317" t="str">
        <v>MASS BSF</v>
      </c>
      <c r="C317" t="str">
        <v>F8R-810</v>
      </c>
      <c r="D317" t="str">
        <v>F8R-810</v>
      </c>
      <c r="E317" t="str">
        <v/>
      </c>
      <c r="F317" t="str">
        <v>867806078868827</v>
      </c>
      <c r="G317" t="str">
        <v>TBD</v>
      </c>
      <c r="H317" t="str">
        <v/>
      </c>
      <c r="I317" t="str">
        <v/>
      </c>
      <c r="J317" t="str">
        <v>24/09/2026</v>
      </c>
      <c r="K317" t="str">
        <v>10:23:04</v>
      </c>
      <c r="L317">
        <v>-12.196428</v>
      </c>
      <c r="M317">
        <v>-76.9375</v>
      </c>
      <c r="N317">
        <f>HYPERLINK("https://www.google.com/maps/search/?api=1&amp;query=-12.196428,-76.9375","Avenida El Sol, Villa El Salvador, Lima")</f>
      </c>
      <c r="O317" t="str">
        <v>Acelerado y giro brusco</v>
      </c>
      <c r="P317">
        <v>1377.6</v>
      </c>
      <c r="Q317" t="str">
        <v/>
      </c>
      <c r="R317">
        <v>42</v>
      </c>
      <c r="S317">
        <v>55.83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85</v>
      </c>
      <c r="AB317" t="str">
        <v>24/09/2026</v>
      </c>
      <c r="AC317" t="str">
        <v>10:23:00</v>
      </c>
      <c r="AD317">
        <f>IF("ONLINE"="NOGPS","GPS Antiguo","En línea")</f>
      </c>
      <c r="AE317">
        <f>IF(0=0,"Sin atender", IF(0=1,"Atendida","Atendida y Reportada"))</f>
      </c>
      <c r="AF317" t="str">
        <v/>
      </c>
      <c r="AG317" t="str">
        <v/>
      </c>
      <c r="AH317" t="str">
        <v/>
      </c>
      <c r="AI317" t="str">
        <v/>
      </c>
      <c r="AJ317" t="str">
        <v>24/09/2026 10:23:14</v>
      </c>
      <c r="AK317" t="str">
        <v>10:23:14</v>
      </c>
      <c r="AL317" t="str">
        <v/>
      </c>
    </row>
    <row r="318">
      <c r="A318">
        <v>317</v>
      </c>
      <c r="B318" t="str">
        <v>MASS BSF</v>
      </c>
      <c r="C318" t="str">
        <v>F8R-810</v>
      </c>
      <c r="D318" t="str">
        <v>F8R-810</v>
      </c>
      <c r="E318" t="str">
        <v/>
      </c>
      <c r="F318" t="str">
        <v>867806078868827</v>
      </c>
      <c r="G318" t="str">
        <v>TBD</v>
      </c>
      <c r="H318" t="str">
        <v/>
      </c>
      <c r="I318" t="str">
        <v/>
      </c>
      <c r="J318" t="str">
        <v>24/09/2026</v>
      </c>
      <c r="K318" t="str">
        <v>10:23:18</v>
      </c>
      <c r="L318">
        <v>-12.197482</v>
      </c>
      <c r="M318">
        <v>-76.93888</v>
      </c>
      <c r="N318">
        <f>HYPERLINK("https://www.google.com/maps/search/?api=1&amp;query=-12.197482,-76.93888","Avenida El Sol, Villa El Salvador, Lima")</f>
      </c>
      <c r="O318" t="str">
        <v>Acelerado y giro brusco</v>
      </c>
      <c r="P318">
        <v>1377.8</v>
      </c>
      <c r="Q318" t="str">
        <v/>
      </c>
      <c r="R318">
        <v>54.2</v>
      </c>
      <c r="S318">
        <v>55.83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87</v>
      </c>
      <c r="AB318" t="str">
        <v>24/09/2026</v>
      </c>
      <c r="AC318" t="str">
        <v>10:23:14</v>
      </c>
      <c r="AD318">
        <f>IF("ONLINE"="NOGPS","GPS Antiguo","En línea")</f>
      </c>
      <c r="AE318">
        <f>IF(0=0,"Sin atender", IF(0=1,"Atendida","Atendida y Reportada"))</f>
      </c>
      <c r="AF318" t="str">
        <v/>
      </c>
      <c r="AG318" t="str">
        <v/>
      </c>
      <c r="AH318" t="str">
        <v/>
      </c>
      <c r="AI318" t="str">
        <v/>
      </c>
      <c r="AJ318" t="str">
        <v>24/09/2026 10:23:29</v>
      </c>
      <c r="AK318" t="str">
        <v>10:23:29</v>
      </c>
      <c r="AL318" t="str">
        <v/>
      </c>
    </row>
    <row r="319">
      <c r="A319">
        <v>318</v>
      </c>
      <c r="B319" t="str">
        <v>MASS BSF</v>
      </c>
      <c r="C319" t="str">
        <v>F8R-810</v>
      </c>
      <c r="D319" t="str">
        <v>F8R-810</v>
      </c>
      <c r="E319" t="str">
        <v/>
      </c>
      <c r="F319" t="str">
        <v>867806078868827</v>
      </c>
      <c r="G319" t="str">
        <v>TBD</v>
      </c>
      <c r="H319" t="str">
        <v/>
      </c>
      <c r="I319" t="str">
        <v/>
      </c>
      <c r="J319" t="str">
        <v>24/09/2026</v>
      </c>
      <c r="K319" t="str">
        <v>10:23:24</v>
      </c>
      <c r="L319">
        <v>-12.197826</v>
      </c>
      <c r="M319">
        <v>-76.9394</v>
      </c>
      <c r="N319">
        <f>HYPERLINK("https://www.google.com/maps/search/?api=1&amp;query=-12.197826,-76.9394","Avenida El Sol, Villa El Salvador, Lima")</f>
      </c>
      <c r="O319" t="str">
        <v>Acelerado y giro brusco</v>
      </c>
      <c r="P319">
        <v>1377.9</v>
      </c>
      <c r="Q319" t="str">
        <v/>
      </c>
      <c r="R319">
        <v>46.6</v>
      </c>
      <c r="S319">
        <v>55.83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87</v>
      </c>
      <c r="AB319" t="str">
        <v>24/09/2026</v>
      </c>
      <c r="AC319" t="str">
        <v>10:23:19</v>
      </c>
      <c r="AD319">
        <f>IF("ONLINE"="NOGPS","GPS Antiguo","En línea")</f>
      </c>
      <c r="AE319">
        <f>IF(0=0,"Sin atender", IF(0=1,"Atendida","Atendida y Reportada"))</f>
      </c>
      <c r="AF319" t="str">
        <v/>
      </c>
      <c r="AG319" t="str">
        <v/>
      </c>
      <c r="AH319" t="str">
        <v/>
      </c>
      <c r="AI319" t="str">
        <v/>
      </c>
      <c r="AJ319" t="str">
        <v>24/09/2026 10:23:33</v>
      </c>
      <c r="AK319" t="str">
        <v>10:23:33</v>
      </c>
      <c r="AL319" t="str">
        <v/>
      </c>
    </row>
    <row r="320">
      <c r="A320">
        <v>319</v>
      </c>
      <c r="B320" t="str">
        <v>MASS BSF</v>
      </c>
      <c r="C320" t="str">
        <v>F8R-810</v>
      </c>
      <c r="D320" t="str">
        <v>F8R-810</v>
      </c>
      <c r="E320" t="str">
        <v/>
      </c>
      <c r="F320" t="str">
        <v>867806078868827</v>
      </c>
      <c r="G320" t="str">
        <v>TBD</v>
      </c>
      <c r="H320" t="str">
        <v/>
      </c>
      <c r="I320" t="str">
        <v/>
      </c>
      <c r="J320" t="str">
        <v>24/09/2026</v>
      </c>
      <c r="K320" t="str">
        <v>10:23:32</v>
      </c>
      <c r="L320">
        <v>-12.198102</v>
      </c>
      <c r="M320">
        <v>-76.940315</v>
      </c>
      <c r="N320">
        <f>HYPERLINK("https://www.google.com/maps/search/?api=1&amp;query=-12.198102,-76.940315","Avenida El Sol, Villa El Salvador, Lima")</f>
      </c>
      <c r="O320" t="str">
        <v>Giro brusco</v>
      </c>
      <c r="P320">
        <v>1378</v>
      </c>
      <c r="Q320" t="str">
        <v/>
      </c>
      <c r="R320">
        <v>38.3</v>
      </c>
      <c r="S320">
        <v>55.83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87</v>
      </c>
      <c r="AB320" t="str">
        <v>24/09/2026</v>
      </c>
      <c r="AC320" t="str">
        <v>10:23:28</v>
      </c>
      <c r="AD320">
        <f>IF("ONLINE"="NOGPS","GPS Antiguo","En línea")</f>
      </c>
      <c r="AE320">
        <f>IF(0=0,"Sin atender", IF(0=1,"Atendida","Atendida y Reportada"))</f>
      </c>
      <c r="AF320" t="str">
        <v/>
      </c>
      <c r="AG320" t="str">
        <v/>
      </c>
      <c r="AH320" t="str">
        <v/>
      </c>
      <c r="AI320" t="str">
        <v/>
      </c>
      <c r="AJ320" t="str">
        <v>24/09/2026 10:23:35</v>
      </c>
      <c r="AK320" t="str">
        <v>10:23:35</v>
      </c>
      <c r="AL320" t="str">
        <v/>
      </c>
    </row>
    <row r="321">
      <c r="A321">
        <v>320</v>
      </c>
      <c r="B321" t="str">
        <v>MASS BSF</v>
      </c>
      <c r="C321" t="str">
        <v>F8R-810</v>
      </c>
      <c r="D321" t="str">
        <v>F8R-810</v>
      </c>
      <c r="E321" t="str">
        <v/>
      </c>
      <c r="F321" t="str">
        <v>867806078868827</v>
      </c>
      <c r="G321" t="str">
        <v>TBD</v>
      </c>
      <c r="H321" t="str">
        <v/>
      </c>
      <c r="I321" t="str">
        <v/>
      </c>
      <c r="J321" t="str">
        <v>24/09/2026</v>
      </c>
      <c r="K321" t="str">
        <v>10:23:38</v>
      </c>
      <c r="L321">
        <v>-12.198355</v>
      </c>
      <c r="M321">
        <v>-76.94077</v>
      </c>
      <c r="N321">
        <f>HYPERLINK("https://www.google.com/maps/search/?api=1&amp;query=-12.198355,-76.94077","Calle D, Villa El Salvador, Lima")</f>
      </c>
      <c r="O321" t="str">
        <v>Acelerado y giro brusco</v>
      </c>
      <c r="P321">
        <v>1378.1</v>
      </c>
      <c r="Q321" t="str">
        <v/>
      </c>
      <c r="R321">
        <v>44.6</v>
      </c>
      <c r="S321">
        <v>55.83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87</v>
      </c>
      <c r="AB321" t="str">
        <v>24/09/2026</v>
      </c>
      <c r="AC321" t="str">
        <v>10:23:33</v>
      </c>
      <c r="AD321">
        <f>IF("ONLINE"="NOGPS","GPS Antiguo","En línea")</f>
      </c>
      <c r="AE321">
        <f>IF(0=0,"Sin atender", IF(0=1,"Atendida","Atendida y Reportada"))</f>
      </c>
      <c r="AF321" t="str">
        <v/>
      </c>
      <c r="AG321" t="str">
        <v/>
      </c>
      <c r="AH321" t="str">
        <v/>
      </c>
      <c r="AI321" t="str">
        <v/>
      </c>
      <c r="AJ321" t="str">
        <v>24/09/2026 10:23:51</v>
      </c>
      <c r="AK321" t="str">
        <v>10:23:51</v>
      </c>
      <c r="AL321" t="str">
        <v/>
      </c>
    </row>
    <row r="322">
      <c r="A322">
        <v>321</v>
      </c>
      <c r="B322" t="str">
        <v>MASS BSF</v>
      </c>
      <c r="C322" t="str">
        <v>F8R-810</v>
      </c>
      <c r="D322" t="str">
        <v>F8R-810</v>
      </c>
      <c r="E322" t="str">
        <v/>
      </c>
      <c r="F322" t="str">
        <v>867806078868827</v>
      </c>
      <c r="G322" t="str">
        <v>TBD</v>
      </c>
      <c r="H322" t="str">
        <v/>
      </c>
      <c r="I322" t="str">
        <v/>
      </c>
      <c r="J322" t="str">
        <v>24/09/2026</v>
      </c>
      <c r="K322" t="str">
        <v>10:24:04</v>
      </c>
      <c r="L322">
        <v>-12.19919</v>
      </c>
      <c r="M322">
        <v>-76.94223</v>
      </c>
      <c r="N322">
        <f>HYPERLINK("https://www.google.com/maps/search/?api=1&amp;query=-12.19919,-76.94223","Avenida El Sol, Villa El Salvador, Lima")</f>
      </c>
      <c r="O322" t="str">
        <v>Acelerado y giro brusco</v>
      </c>
      <c r="P322">
        <v>1378.2</v>
      </c>
      <c r="Q322" t="str">
        <v/>
      </c>
      <c r="R322">
        <v>36.2</v>
      </c>
      <c r="S322">
        <v>55.83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87</v>
      </c>
      <c r="AB322" t="str">
        <v>24/09/2026</v>
      </c>
      <c r="AC322" t="str">
        <v>10:24:00</v>
      </c>
      <c r="AD322">
        <f>IF("ONLINE"="NOGPS","GPS Antiguo","En línea")</f>
      </c>
      <c r="AE322">
        <f>IF(0=0,"Sin atender", IF(0=1,"Atendida","Atendida y Reportada"))</f>
      </c>
      <c r="AF322" t="str">
        <v/>
      </c>
      <c r="AG322" t="str">
        <v/>
      </c>
      <c r="AH322" t="str">
        <v/>
      </c>
      <c r="AI322" t="str">
        <v/>
      </c>
      <c r="AJ322" t="str">
        <v>24/09/2026 10:24:23</v>
      </c>
      <c r="AK322" t="str">
        <v>10:24:23</v>
      </c>
      <c r="AL322" t="str">
        <v/>
      </c>
    </row>
    <row r="323">
      <c r="A323">
        <v>322</v>
      </c>
      <c r="B323" t="str">
        <v>MASS BSF</v>
      </c>
      <c r="C323" t="str">
        <v>F8R-810</v>
      </c>
      <c r="D323" t="str">
        <v>F8R-810</v>
      </c>
      <c r="E323" t="str">
        <v/>
      </c>
      <c r="F323" t="str">
        <v>867806078868827</v>
      </c>
      <c r="G323" t="str">
        <v>TBD</v>
      </c>
      <c r="H323" t="str">
        <v/>
      </c>
      <c r="I323" t="str">
        <v/>
      </c>
      <c r="J323" t="str">
        <v>24/09/2026</v>
      </c>
      <c r="K323" t="str">
        <v>10:24:23</v>
      </c>
      <c r="L323">
        <v>-12.200145</v>
      </c>
      <c r="M323">
        <v>-76.94388</v>
      </c>
      <c r="N323">
        <f>HYPERLINK("https://www.google.com/maps/search/?api=1&amp;query=-12.200145,-76.94388","Avenida El Sol, Villa El Salvador, Lima")</f>
      </c>
      <c r="O323" t="str">
        <v>Acelerado y giro brusco</v>
      </c>
      <c r="P323">
        <v>1378.4</v>
      </c>
      <c r="Q323" t="str">
        <v/>
      </c>
      <c r="R323">
        <v>21.4</v>
      </c>
      <c r="S323">
        <v>55.83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85</v>
      </c>
      <c r="AB323" t="str">
        <v>24/09/2026</v>
      </c>
      <c r="AC323" t="str">
        <v>10:24:19</v>
      </c>
      <c r="AD323">
        <f>IF("ONLINE"="NOGPS","GPS Antiguo","En línea")</f>
      </c>
      <c r="AE323">
        <f>IF(0=0,"Sin atender", IF(0=1,"Atendida","Atendida y Reportada"))</f>
      </c>
      <c r="AF323" t="str">
        <v/>
      </c>
      <c r="AG323" t="str">
        <v/>
      </c>
      <c r="AH323" t="str">
        <v/>
      </c>
      <c r="AI323" t="str">
        <v/>
      </c>
      <c r="AJ323" t="str">
        <v>24/09/2026 10:24:36</v>
      </c>
      <c r="AK323" t="str">
        <v>10:24:36</v>
      </c>
      <c r="AL323" t="str">
        <v/>
      </c>
    </row>
    <row r="324">
      <c r="A324">
        <v>323</v>
      </c>
      <c r="B324" t="str">
        <v>MASS BSF</v>
      </c>
      <c r="C324" t="str">
        <v>F8R-810</v>
      </c>
      <c r="D324" t="str">
        <v>F8R-810</v>
      </c>
      <c r="E324" t="str">
        <v/>
      </c>
      <c r="F324" t="str">
        <v>867806078868827</v>
      </c>
      <c r="G324" t="str">
        <v>TBD</v>
      </c>
      <c r="H324" t="str">
        <v/>
      </c>
      <c r="I324" t="str">
        <v/>
      </c>
      <c r="J324" t="str">
        <v>24/09/2026</v>
      </c>
      <c r="K324" t="str">
        <v>10:24:43</v>
      </c>
      <c r="L324">
        <v>-12.200356</v>
      </c>
      <c r="M324">
        <v>-76.94426</v>
      </c>
      <c r="N324">
        <f>HYPERLINK("https://www.google.com/maps/search/?api=1&amp;query=-12.200356,-76.94426","Avenida El Sol, Villa El Salvador, Lima")</f>
      </c>
      <c r="O324" t="str">
        <v>Acelerado y giro brusco</v>
      </c>
      <c r="P324">
        <v>1378.5</v>
      </c>
      <c r="Q324" t="str">
        <v/>
      </c>
      <c r="R324">
        <v>18.7</v>
      </c>
      <c r="S324">
        <v>55.83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85</v>
      </c>
      <c r="AB324" t="str">
        <v>24/09/2026</v>
      </c>
      <c r="AC324" t="str">
        <v>10:24:38</v>
      </c>
      <c r="AD324">
        <f>IF("ONLINE"="NOGPS","GPS Antiguo","En línea")</f>
      </c>
      <c r="AE324">
        <f>IF(0=0,"Sin atender", IF(0=1,"Atendida","Atendida y Reportada"))</f>
      </c>
      <c r="AF324" t="str">
        <v/>
      </c>
      <c r="AG324" t="str">
        <v/>
      </c>
      <c r="AH324" t="str">
        <v/>
      </c>
      <c r="AI324" t="str">
        <v/>
      </c>
      <c r="AJ324" t="str">
        <v>24/09/2026 10:24:49</v>
      </c>
      <c r="AK324" t="str">
        <v>10:24:49</v>
      </c>
      <c r="AL324" t="str">
        <v/>
      </c>
    </row>
    <row r="325">
      <c r="A325">
        <v>324</v>
      </c>
      <c r="B325" t="str">
        <v>MASS BSF</v>
      </c>
      <c r="C325" t="str">
        <v>F8R-810</v>
      </c>
      <c r="D325" t="str">
        <v>F8R-810</v>
      </c>
      <c r="E325" t="str">
        <v/>
      </c>
      <c r="F325" t="str">
        <v>867806078868827</v>
      </c>
      <c r="G325" t="str">
        <v>TBD</v>
      </c>
      <c r="H325" t="str">
        <v/>
      </c>
      <c r="I325" t="str">
        <v/>
      </c>
      <c r="J325" t="str">
        <v>24/09/2026</v>
      </c>
      <c r="K325" t="str">
        <v>10:25:05</v>
      </c>
      <c r="L325">
        <v>-12.201373</v>
      </c>
      <c r="M325">
        <v>-76.945984</v>
      </c>
      <c r="N325">
        <f>HYPERLINK("https://www.google.com/maps/search/?api=1&amp;query=-12.201373,-76.945984","Avenida El Sol, Villa El Salvador, Lima")</f>
      </c>
      <c r="O325" t="str">
        <v>Acelerado y giro brusco</v>
      </c>
      <c r="P325">
        <v>1378.7</v>
      </c>
      <c r="Q325" t="str">
        <v/>
      </c>
      <c r="R325">
        <v>50.7</v>
      </c>
      <c r="S325">
        <v>55.83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86</v>
      </c>
      <c r="AB325" t="str">
        <v>24/09/2026</v>
      </c>
      <c r="AC325" t="str">
        <v>10:25:01</v>
      </c>
      <c r="AD325">
        <f>IF("ONLINE"="NOGPS","GPS Antiguo","En línea")</f>
      </c>
      <c r="AE325">
        <f>IF(0=0,"Sin atender", IF(0=1,"Atendida","Atendida y Reportada"))</f>
      </c>
      <c r="AF325" t="str">
        <v/>
      </c>
      <c r="AG325" t="str">
        <v/>
      </c>
      <c r="AH325" t="str">
        <v/>
      </c>
      <c r="AI325" t="str">
        <v/>
      </c>
      <c r="AJ325" t="str">
        <v>24/09/2026 10:25:18</v>
      </c>
      <c r="AK325" t="str">
        <v>10:25:18</v>
      </c>
      <c r="AL325" t="str">
        <v/>
      </c>
    </row>
    <row r="326">
      <c r="A326">
        <v>325</v>
      </c>
      <c r="B326" t="str">
        <v>MASS BSF</v>
      </c>
      <c r="C326" t="str">
        <v>F8R-810</v>
      </c>
      <c r="D326" t="str">
        <v>F8R-810</v>
      </c>
      <c r="E326" t="str">
        <v/>
      </c>
      <c r="F326" t="str">
        <v>867806078868827</v>
      </c>
      <c r="G326" t="str">
        <v>TBD</v>
      </c>
      <c r="H326" t="str">
        <v/>
      </c>
      <c r="I326" t="str">
        <v/>
      </c>
      <c r="J326" t="str">
        <v>24/09/2026</v>
      </c>
      <c r="K326" t="str">
        <v>10:25:14</v>
      </c>
      <c r="L326">
        <v>-12.201763</v>
      </c>
      <c r="M326">
        <v>-76.94664</v>
      </c>
      <c r="N326">
        <f>HYPERLINK("https://www.google.com/maps/search/?api=1&amp;query=-12.201763,-76.94664","Avenida El Sol, Villa El Salvador, Lima")</f>
      </c>
      <c r="O326" t="str">
        <v>Acelerado y giro brusco</v>
      </c>
      <c r="P326">
        <v>1378.8</v>
      </c>
      <c r="Q326" t="str">
        <v/>
      </c>
      <c r="R326">
        <v>21.6</v>
      </c>
      <c r="S326">
        <v>55.83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86</v>
      </c>
      <c r="AB326" t="str">
        <v>24/09/2026</v>
      </c>
      <c r="AC326" t="str">
        <v>10:25:09</v>
      </c>
      <c r="AD326">
        <f>IF("ONLINE"="NOGPS","GPS Antiguo","En línea")</f>
      </c>
      <c r="AE326">
        <f>IF(0=0,"Sin atender", IF(0=1,"Atendida","Atendida y Reportada"))</f>
      </c>
      <c r="AF326" t="str">
        <v/>
      </c>
      <c r="AG326" t="str">
        <v/>
      </c>
      <c r="AH326" t="str">
        <v/>
      </c>
      <c r="AI326" t="str">
        <v/>
      </c>
      <c r="AJ326" t="str">
        <v>24/09/2026 10:25:25</v>
      </c>
      <c r="AK326" t="str">
        <v>10:25:25</v>
      </c>
      <c r="AL326" t="str">
        <v/>
      </c>
    </row>
    <row r="327">
      <c r="A327">
        <v>326</v>
      </c>
      <c r="B327" t="str">
        <v>MASS BSF</v>
      </c>
      <c r="C327" t="str">
        <v>F8R-810</v>
      </c>
      <c r="D327" t="str">
        <v>F8R-810</v>
      </c>
      <c r="E327" t="str">
        <v/>
      </c>
      <c r="F327" t="str">
        <v>867806078868827</v>
      </c>
      <c r="G327" t="str">
        <v>TBD</v>
      </c>
      <c r="H327" t="str">
        <v/>
      </c>
      <c r="I327" t="str">
        <v/>
      </c>
      <c r="J327" t="str">
        <v>24/09/2026</v>
      </c>
      <c r="K327" t="str">
        <v>10:25:33</v>
      </c>
      <c r="L327">
        <v>-12.20232</v>
      </c>
      <c r="M327">
        <v>-76.9476</v>
      </c>
      <c r="N327">
        <f>HYPERLINK("https://www.google.com/maps/search/?api=1&amp;query=-12.20232,-76.9476","Avenida El Sol, Villa El Salvador, Lima")</f>
      </c>
      <c r="O327" t="str">
        <v>Acelerado y giro brusco</v>
      </c>
      <c r="P327">
        <v>1378.9</v>
      </c>
      <c r="Q327" t="str">
        <v/>
      </c>
      <c r="R327">
        <v>39.6</v>
      </c>
      <c r="S327">
        <v>55.83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86</v>
      </c>
      <c r="AB327" t="str">
        <v>24/09/2026</v>
      </c>
      <c r="AC327" t="str">
        <v>10:25:28</v>
      </c>
      <c r="AD327">
        <f>IF("ONLINE"="NOGPS","GPS Antiguo","En línea")</f>
      </c>
      <c r="AE327">
        <f>IF(0=0,"Sin atender", IF(0=1,"Atendida","Atendida y Reportada"))</f>
      </c>
      <c r="AF327" t="str">
        <v/>
      </c>
      <c r="AG327" t="str">
        <v/>
      </c>
      <c r="AH327" t="str">
        <v/>
      </c>
      <c r="AI327" t="str">
        <v/>
      </c>
      <c r="AJ327" t="str">
        <v>24/09/2026 10:25:56</v>
      </c>
      <c r="AK327" t="str">
        <v>10:25:56</v>
      </c>
      <c r="AL327" t="str">
        <v/>
      </c>
    </row>
    <row r="328">
      <c r="A328">
        <v>327</v>
      </c>
      <c r="B328" t="str">
        <v>MASS BSF</v>
      </c>
      <c r="C328" t="str">
        <v>F8R-810</v>
      </c>
      <c r="D328" t="str">
        <v>F8R-810</v>
      </c>
      <c r="E328" t="str">
        <v/>
      </c>
      <c r="F328" t="str">
        <v>867806078868827</v>
      </c>
      <c r="G328" t="str">
        <v>TBD</v>
      </c>
      <c r="H328" t="str">
        <v/>
      </c>
      <c r="I328" t="str">
        <v/>
      </c>
      <c r="J328" t="str">
        <v>24/09/2026</v>
      </c>
      <c r="K328" t="str">
        <v>10:26:37</v>
      </c>
      <c r="L328">
        <v>-12.203217</v>
      </c>
      <c r="M328">
        <v>-76.94918</v>
      </c>
      <c r="N328">
        <f>HYPERLINK("https://www.google.com/maps/search/?api=1&amp;query=-12.203217,-76.94918","Avenida El Sol, Villa El Salvador, Lima")</f>
      </c>
      <c r="O328" t="str">
        <v>Aceleración brusca</v>
      </c>
      <c r="P328">
        <v>1379.1</v>
      </c>
      <c r="Q328" t="str">
        <v/>
      </c>
      <c r="R328">
        <v>15.3</v>
      </c>
      <c r="S328">
        <v>55.83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86</v>
      </c>
      <c r="AB328" t="str">
        <v>24/09/2026</v>
      </c>
      <c r="AC328" t="str">
        <v>10:26:32</v>
      </c>
      <c r="AD328">
        <f>IF("ONLINE"="NOGPS","GPS Antiguo","En línea")</f>
      </c>
      <c r="AE328">
        <f>IF(0=0,"Sin atender", IF(0=1,"Atendida","Atendida y Reportada"))</f>
      </c>
      <c r="AF328" t="str">
        <v/>
      </c>
      <c r="AG328" t="str">
        <v/>
      </c>
      <c r="AH328" t="str">
        <v/>
      </c>
      <c r="AI328" t="str">
        <v/>
      </c>
      <c r="AJ328" t="str">
        <v>24/09/2026 10:26:51</v>
      </c>
      <c r="AK328" t="str">
        <v>10:26:51</v>
      </c>
      <c r="AL328" t="str">
        <v/>
      </c>
    </row>
    <row r="329">
      <c r="A329">
        <v>328</v>
      </c>
      <c r="B329" t="str">
        <v>MASS BSF</v>
      </c>
      <c r="C329" t="str">
        <v>F8R-810</v>
      </c>
      <c r="D329" t="str">
        <v>F8R-810</v>
      </c>
      <c r="E329" t="str">
        <v/>
      </c>
      <c r="F329" t="str">
        <v>867806078868827</v>
      </c>
      <c r="G329" t="str">
        <v>TBD</v>
      </c>
      <c r="H329" t="str">
        <v/>
      </c>
      <c r="I329" t="str">
        <v/>
      </c>
      <c r="J329" t="str">
        <v>24/09/2026</v>
      </c>
      <c r="K329" t="str">
        <v>10:27:18</v>
      </c>
      <c r="L329">
        <v>-12.205287</v>
      </c>
      <c r="M329">
        <v>-76.95273</v>
      </c>
      <c r="N329">
        <f>HYPERLINK("https://www.google.com/maps/search/?api=1&amp;query=-12.205287,-76.95273","Avenida El Sol, Villa El Salvador, Lima")</f>
      </c>
      <c r="O329" t="str">
        <v>Acelerado y giro brusco</v>
      </c>
      <c r="P329">
        <v>1379.5</v>
      </c>
      <c r="Q329" t="str">
        <v/>
      </c>
      <c r="R329">
        <v>44.4</v>
      </c>
      <c r="S329">
        <v>55.83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86</v>
      </c>
      <c r="AB329" t="str">
        <v>24/09/2026</v>
      </c>
      <c r="AC329" t="str">
        <v>10:27:14</v>
      </c>
      <c r="AD329">
        <f>IF("ONLINE"="NOGPS","GPS Antiguo","En línea")</f>
      </c>
      <c r="AE329">
        <f>IF(0=0,"Sin atender", IF(0=1,"Atendida","Atendida y Reportada"))</f>
      </c>
      <c r="AF329" t="str">
        <v/>
      </c>
      <c r="AG329" t="str">
        <v/>
      </c>
      <c r="AH329" t="str">
        <v/>
      </c>
      <c r="AI329" t="str">
        <v/>
      </c>
      <c r="AJ329" t="str">
        <v>24/09/2026 10:27:18</v>
      </c>
      <c r="AK329" t="str">
        <v>10:27:18</v>
      </c>
      <c r="AL329" t="str">
        <v/>
      </c>
    </row>
    <row r="330">
      <c r="A330">
        <v>329</v>
      </c>
      <c r="B330" t="str">
        <v>MASS BSF</v>
      </c>
      <c r="C330" t="str">
        <v>F8R-810</v>
      </c>
      <c r="D330" t="str">
        <v>F8R-810</v>
      </c>
      <c r="E330" t="str">
        <v/>
      </c>
      <c r="F330" t="str">
        <v>867806078868827</v>
      </c>
      <c r="G330" t="str">
        <v>TBD</v>
      </c>
      <c r="H330" t="str">
        <v/>
      </c>
      <c r="I330" t="str">
        <v/>
      </c>
      <c r="J330" t="str">
        <v>24/09/2026</v>
      </c>
      <c r="K330" t="str">
        <v>10:27:26</v>
      </c>
      <c r="L330">
        <v>-12.205637</v>
      </c>
      <c r="M330">
        <v>-76.953316</v>
      </c>
      <c r="N330">
        <f>HYPERLINK("https://www.google.com/maps/search/?api=1&amp;query=-12.205637,-76.953316","Avenida Mariano Pastor Sevilla, Villa El Salvador, Lima")</f>
      </c>
      <c r="O330" t="str">
        <v>Acelerado y giro brusco</v>
      </c>
      <c r="P330">
        <v>1379.6</v>
      </c>
      <c r="Q330" t="str">
        <v/>
      </c>
      <c r="R330">
        <v>29.4</v>
      </c>
      <c r="S330">
        <v>55.83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86</v>
      </c>
      <c r="AB330" t="str">
        <v>24/09/2026</v>
      </c>
      <c r="AC330" t="str">
        <v>10:27:21</v>
      </c>
      <c r="AD330">
        <f>IF("ONLINE"="NOGPS","GPS Antiguo","En línea")</f>
      </c>
      <c r="AE330">
        <f>IF(0=0,"Sin atender", IF(0=1,"Atendida","Atendida y Reportada"))</f>
      </c>
      <c r="AF330" t="str">
        <v/>
      </c>
      <c r="AG330" t="str">
        <v/>
      </c>
      <c r="AH330" t="str">
        <v/>
      </c>
      <c r="AI330" t="str">
        <v/>
      </c>
      <c r="AJ330" t="str">
        <v>24/09/2026 10:27:30</v>
      </c>
      <c r="AK330" t="str">
        <v>10:27:30</v>
      </c>
      <c r="AL330" t="str">
        <v/>
      </c>
    </row>
    <row r="331">
      <c r="A331">
        <v>330</v>
      </c>
      <c r="B331" t="str">
        <v>MASS BSF</v>
      </c>
      <c r="C331" t="str">
        <v>F8R-810</v>
      </c>
      <c r="D331" t="str">
        <v>F8R-810</v>
      </c>
      <c r="E331" t="str">
        <v/>
      </c>
      <c r="F331" t="str">
        <v>867806078868827</v>
      </c>
      <c r="G331" t="str">
        <v>TBD</v>
      </c>
      <c r="H331" t="str">
        <v/>
      </c>
      <c r="I331" t="str">
        <v/>
      </c>
      <c r="J331" t="str">
        <v>24/09/2026</v>
      </c>
      <c r="K331" t="str">
        <v>10:27:43</v>
      </c>
      <c r="L331">
        <v>-12.206555</v>
      </c>
      <c r="M331">
        <v>-76.95488</v>
      </c>
      <c r="N331">
        <f>HYPERLINK("https://www.google.com/maps/search/?api=1&amp;query=-12.206555,-76.95488","Avenida El Sol, Villa El Salvador, Lima")</f>
      </c>
      <c r="O331" t="str">
        <v>Bache</v>
      </c>
      <c r="P331">
        <v>1379.8</v>
      </c>
      <c r="Q331" t="str">
        <v/>
      </c>
      <c r="R331">
        <v>48.3</v>
      </c>
      <c r="S331">
        <v>55.83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86</v>
      </c>
      <c r="AB331" t="str">
        <v>24/09/2026</v>
      </c>
      <c r="AC331" t="str">
        <v>10:27:39</v>
      </c>
      <c r="AD331">
        <f>IF("ONLINE"="NOGPS","GPS Antiguo","En línea")</f>
      </c>
      <c r="AE331">
        <f>IF(0=0,"Sin atender", IF(0=1,"Atendida","Atendida y Reportada"))</f>
      </c>
      <c r="AF331" t="str">
        <v/>
      </c>
      <c r="AG331" t="str">
        <v/>
      </c>
      <c r="AH331" t="str">
        <v/>
      </c>
      <c r="AI331" t="str">
        <v/>
      </c>
      <c r="AJ331" t="str">
        <v>24/09/2026 10:27:54</v>
      </c>
      <c r="AK331" t="str">
        <v>10:27:54</v>
      </c>
      <c r="AL331" t="str">
        <v/>
      </c>
    </row>
    <row r="332">
      <c r="A332">
        <v>331</v>
      </c>
      <c r="B332" t="str">
        <v>MASS BSF</v>
      </c>
      <c r="C332" t="str">
        <v>F8R-810</v>
      </c>
      <c r="D332" t="str">
        <v>F8R-810</v>
      </c>
      <c r="E332" t="str">
        <v/>
      </c>
      <c r="F332" t="str">
        <v>867806078868827</v>
      </c>
      <c r="G332" t="str">
        <v>TBD</v>
      </c>
      <c r="H332" t="str">
        <v/>
      </c>
      <c r="I332" t="str">
        <v/>
      </c>
      <c r="J332" t="str">
        <v>24/09/2026</v>
      </c>
      <c r="K332" t="str">
        <v>10:27:55</v>
      </c>
      <c r="L332">
        <v>-12.207272</v>
      </c>
      <c r="M332">
        <v>-76.95611</v>
      </c>
      <c r="N332">
        <f>HYPERLINK("https://www.google.com/maps/search/?api=1&amp;query=-12.207272,-76.95611","Avenida El Sol, Villa El Salvador, Lima")</f>
      </c>
      <c r="O332" t="str">
        <v>Acelerado y giro brusco</v>
      </c>
      <c r="P332">
        <v>1380</v>
      </c>
      <c r="Q332" t="str">
        <v/>
      </c>
      <c r="R332">
        <v>44.6</v>
      </c>
      <c r="S332">
        <v>55.83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85</v>
      </c>
      <c r="AB332" t="str">
        <v>24/09/2026</v>
      </c>
      <c r="AC332" t="str">
        <v>10:27:51</v>
      </c>
      <c r="AD332">
        <f>IF("ONLINE"="NOGPS","GPS Antiguo","En línea")</f>
      </c>
      <c r="AE332">
        <f>IF(0=0,"Sin atender", IF(0=1,"Atendida","Atendida y Reportada"))</f>
      </c>
      <c r="AF332" t="str">
        <v/>
      </c>
      <c r="AG332" t="str">
        <v/>
      </c>
      <c r="AH332" t="str">
        <v/>
      </c>
      <c r="AI332" t="str">
        <v/>
      </c>
      <c r="AJ332" t="str">
        <v>24/09/2026 10:28:07</v>
      </c>
      <c r="AK332" t="str">
        <v>10:28:07</v>
      </c>
      <c r="AL332" t="str">
        <v/>
      </c>
    </row>
    <row r="333">
      <c r="A333">
        <v>332</v>
      </c>
      <c r="B333" t="str">
        <v>MASS BSF</v>
      </c>
      <c r="C333" t="str">
        <v>F8R-810</v>
      </c>
      <c r="D333" t="str">
        <v>F8R-810</v>
      </c>
      <c r="E333" t="str">
        <v/>
      </c>
      <c r="F333" t="str">
        <v>867806078868827</v>
      </c>
      <c r="G333" t="str">
        <v>TBD</v>
      </c>
      <c r="H333" t="str">
        <v/>
      </c>
      <c r="I333" t="str">
        <v/>
      </c>
      <c r="J333" t="str">
        <v>24/09/2026</v>
      </c>
      <c r="K333" t="str">
        <v>10:28:04</v>
      </c>
      <c r="L333">
        <v>-12.207628</v>
      </c>
      <c r="M333">
        <v>-76.95673</v>
      </c>
      <c r="N333">
        <f>HYPERLINK("https://www.google.com/maps/search/?api=1&amp;query=-12.207628,-76.95673","Avenida El Sol, Villa El Salvador, Lima")</f>
      </c>
      <c r="O333" t="str">
        <v>Acelerado y giro brusco</v>
      </c>
      <c r="P333">
        <v>1380</v>
      </c>
      <c r="Q333" t="str">
        <v/>
      </c>
      <c r="R333">
        <v>28.5</v>
      </c>
      <c r="S333">
        <v>55.83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85</v>
      </c>
      <c r="AB333" t="str">
        <v>24/09/2026</v>
      </c>
      <c r="AC333" t="str">
        <v>10:27:59</v>
      </c>
      <c r="AD333">
        <f>IF("ONLINE"="NOGPS","GPS Antiguo","En línea")</f>
      </c>
      <c r="AE333">
        <f>IF(0=0,"Sin atender", IF(0=1,"Atendida","Atendida y Reportada"))</f>
      </c>
      <c r="AF333" t="str">
        <v/>
      </c>
      <c r="AG333" t="str">
        <v/>
      </c>
      <c r="AH333" t="str">
        <v/>
      </c>
      <c r="AI333" t="str">
        <v/>
      </c>
      <c r="AJ333" t="str">
        <v>24/09/2026 10:28:23</v>
      </c>
      <c r="AK333" t="str">
        <v>10:28:23</v>
      </c>
      <c r="AL333" t="str">
        <v/>
      </c>
    </row>
    <row r="334">
      <c r="A334">
        <v>333</v>
      </c>
      <c r="B334" t="str">
        <v>MASS BSF</v>
      </c>
      <c r="C334" t="str">
        <v>F8R-810</v>
      </c>
      <c r="D334" t="str">
        <v>F8R-810</v>
      </c>
      <c r="E334" t="str">
        <v/>
      </c>
      <c r="F334" t="str">
        <v>867806078868827</v>
      </c>
      <c r="G334" t="str">
        <v>TBD</v>
      </c>
      <c r="H334" t="str">
        <v/>
      </c>
      <c r="I334" t="str">
        <v/>
      </c>
      <c r="J334" t="str">
        <v>24/09/2026</v>
      </c>
      <c r="K334" t="str">
        <v>10:28:15</v>
      </c>
      <c r="L334">
        <v>-12.208185</v>
      </c>
      <c r="M334">
        <v>-76.95765</v>
      </c>
      <c r="N334">
        <f>HYPERLINK("https://www.google.com/maps/search/?api=1&amp;query=-12.208185,-76.95765","Avenida El Sol, Villa El Salvador, Lima")</f>
      </c>
      <c r="O334" t="str">
        <v>Acelerado y giro brusco</v>
      </c>
      <c r="P334">
        <v>1380.2</v>
      </c>
      <c r="Q334" t="str">
        <v/>
      </c>
      <c r="R334">
        <v>39.2</v>
      </c>
      <c r="S334">
        <v>55.83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85</v>
      </c>
      <c r="AB334" t="str">
        <v>24/09/2026</v>
      </c>
      <c r="AC334" t="str">
        <v>10:28:11</v>
      </c>
      <c r="AD334">
        <f>IF("ONLINE"="NOGPS","GPS Antiguo","En línea")</f>
      </c>
      <c r="AE334">
        <f>IF(0=0,"Sin atender", IF(0=1,"Atendida","Atendida y Reportada"))</f>
      </c>
      <c r="AF334" t="str">
        <v/>
      </c>
      <c r="AG334" t="str">
        <v/>
      </c>
      <c r="AH334" t="str">
        <v/>
      </c>
      <c r="AI334" t="str">
        <v/>
      </c>
      <c r="AJ334" t="str">
        <v>24/09/2026 10:28:23</v>
      </c>
      <c r="AK334" t="str">
        <v>10:28:23</v>
      </c>
      <c r="AL334" t="str">
        <v/>
      </c>
    </row>
    <row r="335">
      <c r="A335">
        <v>334</v>
      </c>
      <c r="B335" t="str">
        <v>MASS BSF</v>
      </c>
      <c r="C335" t="str">
        <v>F8R-810</v>
      </c>
      <c r="D335" t="str">
        <v>F8R-810</v>
      </c>
      <c r="E335" t="str">
        <v/>
      </c>
      <c r="F335" t="str">
        <v>867806078868827</v>
      </c>
      <c r="G335" t="str">
        <v>TBD</v>
      </c>
      <c r="H335" t="str">
        <v/>
      </c>
      <c r="I335" t="str">
        <v/>
      </c>
      <c r="J335" t="str">
        <v>24/09/2026</v>
      </c>
      <c r="K335" t="str">
        <v>10:28:20</v>
      </c>
      <c r="L335">
        <v>-12.208398</v>
      </c>
      <c r="M335">
        <v>-76.957985</v>
      </c>
      <c r="N335">
        <f>HYPERLINK("https://www.google.com/maps/search/?api=1&amp;query=-12.208398,-76.957985","Avenida El Sol, Villa El Salvador, Lima")</f>
      </c>
      <c r="O335" t="str">
        <v>Bache</v>
      </c>
      <c r="P335">
        <v>1380.2</v>
      </c>
      <c r="Q335" t="str">
        <v/>
      </c>
      <c r="R335">
        <v>39.4</v>
      </c>
      <c r="S335">
        <v>55.83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85</v>
      </c>
      <c r="AB335" t="str">
        <v>24/09/2026</v>
      </c>
      <c r="AC335" t="str">
        <v>10:28:15</v>
      </c>
      <c r="AD335">
        <f>IF("ONLINE"="NOGPS","GPS Antiguo","En línea")</f>
      </c>
      <c r="AE335">
        <f>IF(0=0,"Sin atender", IF(0=1,"Atendida","Atendida y Reportada"))</f>
      </c>
      <c r="AF335" t="str">
        <v/>
      </c>
      <c r="AG335" t="str">
        <v/>
      </c>
      <c r="AH335" t="str">
        <v/>
      </c>
      <c r="AI335" t="str">
        <v/>
      </c>
      <c r="AJ335" t="str">
        <v>24/09/2026 10:28:29</v>
      </c>
      <c r="AK335" t="str">
        <v>10:28:29</v>
      </c>
      <c r="AL335" t="str">
        <v/>
      </c>
    </row>
    <row r="336">
      <c r="A336">
        <v>335</v>
      </c>
      <c r="B336" t="str">
        <v>MASS BSF</v>
      </c>
      <c r="C336" t="str">
        <v>F8R-810</v>
      </c>
      <c r="D336" t="str">
        <v>F8R-810</v>
      </c>
      <c r="E336" t="str">
        <v/>
      </c>
      <c r="F336" t="str">
        <v>867806078868827</v>
      </c>
      <c r="G336" t="str">
        <v>TBD</v>
      </c>
      <c r="H336" t="str">
        <v/>
      </c>
      <c r="I336" t="str">
        <v/>
      </c>
      <c r="J336" t="str">
        <v>24/09/2026</v>
      </c>
      <c r="K336" t="str">
        <v>10:28:20</v>
      </c>
      <c r="L336">
        <v>-12.20846</v>
      </c>
      <c r="M336">
        <v>-76.95806</v>
      </c>
      <c r="N336">
        <f>HYPERLINK("https://www.google.com/maps/search/?api=1&amp;query=-12.20846,-76.95806","Avenida El Sol, Villa El Salvador, Lima")</f>
      </c>
      <c r="O336" t="str">
        <v>Acelerado y giro brusco</v>
      </c>
      <c r="P336">
        <v>1380.2</v>
      </c>
      <c r="Q336" t="str">
        <v/>
      </c>
      <c r="R336">
        <v>40</v>
      </c>
      <c r="S336">
        <v>55.83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85</v>
      </c>
      <c r="AB336" t="str">
        <v>24/09/2026</v>
      </c>
      <c r="AC336" t="str">
        <v>10:28:16</v>
      </c>
      <c r="AD336">
        <f>IF("ONLINE"="NOGPS","GPS Antiguo","En línea")</f>
      </c>
      <c r="AE336">
        <f>IF(0=0,"Sin atender", IF(0=1,"Atendida","Atendida y Reportada"))</f>
      </c>
      <c r="AF336" t="str">
        <v/>
      </c>
      <c r="AG336" t="str">
        <v/>
      </c>
      <c r="AH336" t="str">
        <v/>
      </c>
      <c r="AI336" t="str">
        <v/>
      </c>
      <c r="AJ336" t="str">
        <v>24/09/2026 10:28:30</v>
      </c>
      <c r="AK336" t="str">
        <v>10:28:30</v>
      </c>
      <c r="AL336" t="str">
        <v/>
      </c>
    </row>
    <row r="337">
      <c r="A337">
        <v>336</v>
      </c>
      <c r="B337" t="str">
        <v>MASS BSF</v>
      </c>
      <c r="C337" t="str">
        <v>F8R-810</v>
      </c>
      <c r="D337" t="str">
        <v>F8R-810</v>
      </c>
      <c r="E337" t="str">
        <v/>
      </c>
      <c r="F337" t="str">
        <v>867806078868827</v>
      </c>
      <c r="G337" t="str">
        <v>TBD</v>
      </c>
      <c r="H337" t="str">
        <v/>
      </c>
      <c r="I337" t="str">
        <v/>
      </c>
      <c r="J337" t="str">
        <v>24/09/2026</v>
      </c>
      <c r="K337" t="str">
        <v>10:28:26</v>
      </c>
      <c r="L337">
        <v>-12.208756</v>
      </c>
      <c r="M337">
        <v>-76.95842</v>
      </c>
      <c r="N337">
        <f>HYPERLINK("https://www.google.com/maps/search/?api=1&amp;query=-12.208756,-76.95842","Avenida El Sol, Villa El Salvador, Lima")</f>
      </c>
      <c r="O337" t="str">
        <v>Acelerado y giro brusco</v>
      </c>
      <c r="P337">
        <v>1380.3</v>
      </c>
      <c r="Q337" t="str">
        <v/>
      </c>
      <c r="R337">
        <v>34.8</v>
      </c>
      <c r="S337">
        <v>55.83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85</v>
      </c>
      <c r="AB337" t="str">
        <v>24/09/2026</v>
      </c>
      <c r="AC337" t="str">
        <v>10:28:21</v>
      </c>
      <c r="AD337">
        <f>IF("ONLINE"="NOGPS","GPS Antiguo","En línea")</f>
      </c>
      <c r="AE337">
        <f>IF(0=0,"Sin atender", IF(0=1,"Atendida","Atendida y Reportada"))</f>
      </c>
      <c r="AF337" t="str">
        <v/>
      </c>
      <c r="AG337" t="str">
        <v/>
      </c>
      <c r="AH337" t="str">
        <v/>
      </c>
      <c r="AI337" t="str">
        <v/>
      </c>
      <c r="AJ337" t="str">
        <v>24/09/2026 10:28:34</v>
      </c>
      <c r="AK337" t="str">
        <v>10:28:34</v>
      </c>
      <c r="AL337" t="str">
        <v/>
      </c>
    </row>
    <row r="338">
      <c r="A338">
        <v>337</v>
      </c>
      <c r="B338" t="str">
        <v>MASS BSF</v>
      </c>
      <c r="C338" t="str">
        <v>F8R-810</v>
      </c>
      <c r="D338" t="str">
        <v>F8R-810</v>
      </c>
      <c r="E338" t="str">
        <v/>
      </c>
      <c r="F338" t="str">
        <v>867806078868827</v>
      </c>
      <c r="G338" t="str">
        <v>TBD</v>
      </c>
      <c r="H338" t="str">
        <v/>
      </c>
      <c r="I338" t="str">
        <v/>
      </c>
      <c r="J338" t="str">
        <v>24/09/2026</v>
      </c>
      <c r="K338" t="str">
        <v>10:28:37</v>
      </c>
      <c r="L338">
        <v>-12.209125</v>
      </c>
      <c r="M338">
        <v>-76.95886</v>
      </c>
      <c r="N338">
        <f>HYPERLINK("https://www.google.com/maps/search/?api=1&amp;query=-12.209125,-76.95886","Avenida El Sol, Villa El Salvador, Lima")</f>
      </c>
      <c r="O338" t="str">
        <v>Bache</v>
      </c>
      <c r="P338">
        <v>1380.3</v>
      </c>
      <c r="Q338" t="str">
        <v/>
      </c>
      <c r="R338">
        <v>11.2</v>
      </c>
      <c r="S338">
        <v>55.83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85</v>
      </c>
      <c r="AB338" t="str">
        <v>24/09/2026</v>
      </c>
      <c r="AC338" t="str">
        <v>10:28:33</v>
      </c>
      <c r="AD338">
        <f>IF("ONLINE"="NOGPS","GPS Antiguo","En línea")</f>
      </c>
      <c r="AE338">
        <f>IF(0=0,"Sin atender", IF(0=1,"Atendida","Atendida y Reportada"))</f>
      </c>
      <c r="AF338" t="str">
        <v/>
      </c>
      <c r="AG338" t="str">
        <v/>
      </c>
      <c r="AH338" t="str">
        <v/>
      </c>
      <c r="AI338" t="str">
        <v/>
      </c>
      <c r="AJ338" t="str">
        <v>24/09/2026 10:28:42</v>
      </c>
      <c r="AK338" t="str">
        <v>10:28:42</v>
      </c>
      <c r="AL338" t="str">
        <v/>
      </c>
    </row>
    <row r="339">
      <c r="A339">
        <v>338</v>
      </c>
      <c r="B339" t="str">
        <v>MASS BSF</v>
      </c>
      <c r="C339" t="str">
        <v>F8R-810</v>
      </c>
      <c r="D339" t="str">
        <v>F8R-810</v>
      </c>
      <c r="E339" t="str">
        <v/>
      </c>
      <c r="F339" t="str">
        <v>867806078868827</v>
      </c>
      <c r="G339" t="str">
        <v>TBD</v>
      </c>
      <c r="H339" t="str">
        <v/>
      </c>
      <c r="I339" t="str">
        <v/>
      </c>
      <c r="J339" t="str">
        <v>24/09/2026</v>
      </c>
      <c r="K339" t="str">
        <v>10:28:50</v>
      </c>
      <c r="L339">
        <v>-12.20957</v>
      </c>
      <c r="M339">
        <v>-76.95943</v>
      </c>
      <c r="N339">
        <f>HYPERLINK("https://www.google.com/maps/search/?api=1&amp;query=-12.20957,-76.95943","Avenida El Sol, Villa El Salvador, Lima")</f>
      </c>
      <c r="O339" t="str">
        <v>Acelerado y giro brusco</v>
      </c>
      <c r="P339">
        <v>1380.4</v>
      </c>
      <c r="Q339" t="str">
        <v/>
      </c>
      <c r="R339">
        <v>30.3</v>
      </c>
      <c r="S339">
        <v>55.83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85</v>
      </c>
      <c r="AB339" t="str">
        <v>24/09/2026</v>
      </c>
      <c r="AC339" t="str">
        <v>10:28:45</v>
      </c>
      <c r="AD339">
        <f>IF("ONLINE"="NOGPS","GPS Antiguo","En línea")</f>
      </c>
      <c r="AE339">
        <f>IF(0=0,"Sin atender", IF(0=1,"Atendida","Atendida y Reportada"))</f>
      </c>
      <c r="AF339" t="str">
        <v/>
      </c>
      <c r="AG339" t="str">
        <v/>
      </c>
      <c r="AH339" t="str">
        <v/>
      </c>
      <c r="AI339" t="str">
        <v/>
      </c>
      <c r="AJ339" t="str">
        <v>24/09/2026 10:29:00</v>
      </c>
      <c r="AK339" t="str">
        <v>10:29:00</v>
      </c>
      <c r="AL339" t="str">
        <v/>
      </c>
    </row>
    <row r="340">
      <c r="A340">
        <v>339</v>
      </c>
      <c r="B340" t="str">
        <v>MASS BSF</v>
      </c>
      <c r="C340" t="str">
        <v>F8R-810</v>
      </c>
      <c r="D340" t="str">
        <v>F8R-810</v>
      </c>
      <c r="E340" t="str">
        <v/>
      </c>
      <c r="F340" t="str">
        <v>867806078868827</v>
      </c>
      <c r="G340" t="str">
        <v>TBD</v>
      </c>
      <c r="H340" t="str">
        <v/>
      </c>
      <c r="I340" t="str">
        <v/>
      </c>
      <c r="J340" t="str">
        <v>24/09/2026</v>
      </c>
      <c r="K340" t="str">
        <v>10:28:55</v>
      </c>
      <c r="L340">
        <v>-12.209773</v>
      </c>
      <c r="M340">
        <v>-76.95976</v>
      </c>
      <c r="N340">
        <f>HYPERLINK("https://www.google.com/maps/search/?api=1&amp;query=-12.209773,-76.95976","Avenida El Sol, Villa El Salvador, Lima")</f>
      </c>
      <c r="O340" t="str">
        <v>Acelerado y giro brusco</v>
      </c>
      <c r="P340">
        <v>1380.4</v>
      </c>
      <c r="Q340" t="str">
        <v/>
      </c>
      <c r="R340">
        <v>35</v>
      </c>
      <c r="S340">
        <v>55.83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85</v>
      </c>
      <c r="AB340" t="str">
        <v>24/09/2026</v>
      </c>
      <c r="AC340" t="str">
        <v>10:28:50</v>
      </c>
      <c r="AD340">
        <f>IF("ONLINE"="NOGPS","GPS Antiguo","En línea")</f>
      </c>
      <c r="AE340">
        <f>IF(0=0,"Sin atender", IF(0=1,"Atendida","Atendida y Reportada"))</f>
      </c>
      <c r="AF340" t="str">
        <v/>
      </c>
      <c r="AG340" t="str">
        <v/>
      </c>
      <c r="AH340" t="str">
        <v/>
      </c>
      <c r="AI340" t="str">
        <v/>
      </c>
      <c r="AJ340" t="str">
        <v>24/09/2026 10:29:16</v>
      </c>
      <c r="AK340" t="str">
        <v>10:29:16</v>
      </c>
      <c r="AL340" t="str">
        <v/>
      </c>
    </row>
    <row r="341">
      <c r="A341">
        <v>340</v>
      </c>
      <c r="B341" t="str">
        <v>MASS BSF</v>
      </c>
      <c r="C341" t="str">
        <v>F8R-810</v>
      </c>
      <c r="D341" t="str">
        <v>F8R-810</v>
      </c>
      <c r="E341" t="str">
        <v/>
      </c>
      <c r="F341" t="str">
        <v>867806078868827</v>
      </c>
      <c r="G341" t="str">
        <v>TBD</v>
      </c>
      <c r="H341" t="str">
        <v/>
      </c>
      <c r="I341" t="str">
        <v/>
      </c>
      <c r="J341" t="str">
        <v>24/09/2026</v>
      </c>
      <c r="K341" t="str">
        <v>10:28:58</v>
      </c>
      <c r="L341">
        <v>-12.20991</v>
      </c>
      <c r="M341">
        <v>-76.96</v>
      </c>
      <c r="N341">
        <f>HYPERLINK("https://www.google.com/maps/search/?api=1&amp;query=-12.20991,-76.96","Avenida El Sol, Villa El Salvador, Lima")</f>
      </c>
      <c r="O341" t="str">
        <v>Acelerado y giro brusco</v>
      </c>
      <c r="P341">
        <v>1380.5</v>
      </c>
      <c r="Q341" t="str">
        <v/>
      </c>
      <c r="R341">
        <v>38.3</v>
      </c>
      <c r="S341">
        <v>55.83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85</v>
      </c>
      <c r="AB341" t="str">
        <v>24/09/2026</v>
      </c>
      <c r="AC341" t="str">
        <v>10:28:53</v>
      </c>
      <c r="AD341">
        <f>IF("ONLINE"="NOGPS","GPS Antiguo","En línea")</f>
      </c>
      <c r="AE341">
        <f>IF(0=0,"Sin atender", IF(0=1,"Atendida","Atendida y Reportada"))</f>
      </c>
      <c r="AF341" t="str">
        <v/>
      </c>
      <c r="AG341" t="str">
        <v/>
      </c>
      <c r="AH341" t="str">
        <v/>
      </c>
      <c r="AI341" t="str">
        <v/>
      </c>
      <c r="AJ341" t="str">
        <v>24/09/2026 10:29:11</v>
      </c>
      <c r="AK341" t="str">
        <v>10:29:11</v>
      </c>
      <c r="AL341" t="str">
        <v/>
      </c>
    </row>
    <row r="342">
      <c r="A342">
        <v>341</v>
      </c>
      <c r="B342" t="str">
        <v>MASS BSF</v>
      </c>
      <c r="C342" t="str">
        <v>F8R-810</v>
      </c>
      <c r="D342" t="str">
        <v>F8R-810</v>
      </c>
      <c r="E342" t="str">
        <v/>
      </c>
      <c r="F342" t="str">
        <v>867806078868827</v>
      </c>
      <c r="G342" t="str">
        <v>TBD</v>
      </c>
      <c r="H342" t="str">
        <v/>
      </c>
      <c r="I342" t="str">
        <v/>
      </c>
      <c r="J342" t="str">
        <v>24/09/2026</v>
      </c>
      <c r="K342" t="str">
        <v>10:29:11</v>
      </c>
      <c r="L342">
        <v>-12.210749</v>
      </c>
      <c r="M342">
        <v>-76.96143</v>
      </c>
      <c r="N342">
        <f>HYPERLINK("https://www.google.com/maps/search/?api=1&amp;query=-12.210749,-76.96143","Avenida El Sol, Villa El Salvador, Lima")</f>
      </c>
      <c r="O342" t="str">
        <v>Aceleración brusca</v>
      </c>
      <c r="P342">
        <v>1380.7</v>
      </c>
      <c r="Q342" t="str">
        <v/>
      </c>
      <c r="R342">
        <v>47.9</v>
      </c>
      <c r="S342">
        <v>55.83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85</v>
      </c>
      <c r="AB342" t="str">
        <v>24/09/2026</v>
      </c>
      <c r="AC342" t="str">
        <v>10:29:07</v>
      </c>
      <c r="AD342">
        <f>IF("ONLINE"="NOGPS","GPS Antiguo","En línea")</f>
      </c>
      <c r="AE342">
        <f>IF(0=0,"Sin atender", IF(0=1,"Atendida","Atendida y Reportada"))</f>
      </c>
      <c r="AF342" t="str">
        <v/>
      </c>
      <c r="AG342" t="str">
        <v/>
      </c>
      <c r="AH342" t="str">
        <v/>
      </c>
      <c r="AI342" t="str">
        <v/>
      </c>
      <c r="AJ342" t="str">
        <v>24/09/2026 10:29:26</v>
      </c>
      <c r="AK342" t="str">
        <v>10:29:26</v>
      </c>
      <c r="AL342" t="str">
        <v/>
      </c>
    </row>
    <row r="343">
      <c r="A343">
        <v>342</v>
      </c>
      <c r="B343" t="str">
        <v>MASS BSF</v>
      </c>
      <c r="C343" t="str">
        <v>F8R-810</v>
      </c>
      <c r="D343" t="str">
        <v>F8R-810</v>
      </c>
      <c r="E343" t="str">
        <v/>
      </c>
      <c r="F343" t="str">
        <v>867806078868827</v>
      </c>
      <c r="G343" t="str">
        <v>TBD</v>
      </c>
      <c r="H343" t="str">
        <v/>
      </c>
      <c r="I343" t="str">
        <v/>
      </c>
      <c r="J343" t="str">
        <v>24/09/2026</v>
      </c>
      <c r="K343" t="str">
        <v>10:29:23</v>
      </c>
      <c r="L343">
        <v>-12.211458</v>
      </c>
      <c r="M343">
        <v>-76.96265</v>
      </c>
      <c r="N343">
        <f>HYPERLINK("https://www.google.com/maps/search/?api=1&amp;query=-12.211458,-76.96265","Avenida El Sol, Villa El Salvador, Lima")</f>
      </c>
      <c r="O343" t="str">
        <v>Aceleración brusca</v>
      </c>
      <c r="P343">
        <v>1380.8</v>
      </c>
      <c r="Q343" t="str">
        <v/>
      </c>
      <c r="R343">
        <v>44</v>
      </c>
      <c r="S343">
        <v>55.83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85</v>
      </c>
      <c r="AB343" t="str">
        <v>24/09/2026</v>
      </c>
      <c r="AC343" t="str">
        <v>10:29:19</v>
      </c>
      <c r="AD343">
        <f>IF("ONLINE"="NOGPS","GPS Antiguo","En línea")</f>
      </c>
      <c r="AE343">
        <f>IF(0=0,"Sin atender", IF(0=1,"Atendida","Atendida y Reportada"))</f>
      </c>
      <c r="AF343" t="str">
        <v/>
      </c>
      <c r="AG343" t="str">
        <v/>
      </c>
      <c r="AH343" t="str">
        <v/>
      </c>
      <c r="AI343" t="str">
        <v/>
      </c>
      <c r="AJ343" t="str">
        <v>24/09/2026 10:29:24</v>
      </c>
      <c r="AK343" t="str">
        <v>10:29:24</v>
      </c>
      <c r="AL343" t="str">
        <v/>
      </c>
    </row>
    <row r="344">
      <c r="A344">
        <v>343</v>
      </c>
      <c r="B344" t="str">
        <v>MASS BSF</v>
      </c>
      <c r="C344" t="str">
        <v>F8R-810</v>
      </c>
      <c r="D344" t="str">
        <v>F8R-810</v>
      </c>
      <c r="E344" t="str">
        <v/>
      </c>
      <c r="F344" t="str">
        <v>867806078868827</v>
      </c>
      <c r="G344" t="str">
        <v>TBD</v>
      </c>
      <c r="H344" t="str">
        <v/>
      </c>
      <c r="I344" t="str">
        <v/>
      </c>
      <c r="J344" t="str">
        <v>24/09/2026</v>
      </c>
      <c r="K344" t="str">
        <v>10:30:20</v>
      </c>
      <c r="L344">
        <v>-12.21394</v>
      </c>
      <c r="M344">
        <v>-76.96631</v>
      </c>
      <c r="N344">
        <f>HYPERLINK("https://www.google.com/maps/search/?api=1&amp;query=-12.21394,-76.96631","Avenida El Sol, Villa El Salvador, Lima")</f>
      </c>
      <c r="O344" t="str">
        <v>Acelerado y giro brusco</v>
      </c>
      <c r="P344">
        <v>1381.3</v>
      </c>
      <c r="Q344" t="str">
        <v/>
      </c>
      <c r="R344">
        <v>37.7</v>
      </c>
      <c r="S344">
        <v>55.83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85</v>
      </c>
      <c r="AB344" t="str">
        <v>24/09/2026</v>
      </c>
      <c r="AC344" t="str">
        <v>10:30:15</v>
      </c>
      <c r="AD344">
        <f>IF("ONLINE"="NOGPS","GPS Antiguo","En línea")</f>
      </c>
      <c r="AE344">
        <f>IF(0=0,"Sin atender", IF(0=1,"Atendida","Atendida y Reportada"))</f>
      </c>
      <c r="AF344" t="str">
        <v/>
      </c>
      <c r="AG344" t="str">
        <v/>
      </c>
      <c r="AH344" t="str">
        <v/>
      </c>
      <c r="AI344" t="str">
        <v/>
      </c>
      <c r="AJ344" t="str">
        <v>24/09/2026 10:30:25</v>
      </c>
      <c r="AK344" t="str">
        <v>10:30:25</v>
      </c>
      <c r="AL344" t="str">
        <v/>
      </c>
    </row>
    <row r="345">
      <c r="A345">
        <v>344</v>
      </c>
      <c r="B345" t="str">
        <v>MASS BSF</v>
      </c>
      <c r="C345" t="str">
        <v>F8R-810</v>
      </c>
      <c r="D345" t="str">
        <v>F8R-810</v>
      </c>
      <c r="E345" t="str">
        <v/>
      </c>
      <c r="F345" t="str">
        <v>867806078868827</v>
      </c>
      <c r="G345" t="str">
        <v>TBD</v>
      </c>
      <c r="H345" t="str">
        <v/>
      </c>
      <c r="I345" t="str">
        <v/>
      </c>
      <c r="J345" t="str">
        <v>24/09/2026</v>
      </c>
      <c r="K345" t="str">
        <v>10:30:28</v>
      </c>
      <c r="L345">
        <v>-12.21453</v>
      </c>
      <c r="M345">
        <v>-76.9669</v>
      </c>
      <c r="N345">
        <f>HYPERLINK("https://www.google.com/maps/search/?api=1&amp;query=-12.21453,-76.9669","Avenida El Sol, Villa El Salvador, Lima")</f>
      </c>
      <c r="O345" t="str">
        <v>Acelerado y giro brusco</v>
      </c>
      <c r="P345">
        <v>1381.4</v>
      </c>
      <c r="Q345" t="str">
        <v/>
      </c>
      <c r="R345">
        <v>35.5</v>
      </c>
      <c r="S345">
        <v>55.83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85</v>
      </c>
      <c r="AB345" t="str">
        <v>24/09/2026</v>
      </c>
      <c r="AC345" t="str">
        <v>10:30:24</v>
      </c>
      <c r="AD345">
        <f>IF("ONLINE"="NOGPS","GPS Antiguo","En línea")</f>
      </c>
      <c r="AE345">
        <f>IF(0=0,"Sin atender", IF(0=1,"Atendida","Atendida y Reportada"))</f>
      </c>
      <c r="AF345" t="str">
        <v/>
      </c>
      <c r="AG345" t="str">
        <v/>
      </c>
      <c r="AH345" t="str">
        <v/>
      </c>
      <c r="AI345" t="str">
        <v/>
      </c>
      <c r="AJ345" t="str">
        <v>24/09/2026 10:30:31</v>
      </c>
      <c r="AK345" t="str">
        <v>10:30:31</v>
      </c>
      <c r="AL345" t="str">
        <v/>
      </c>
    </row>
    <row r="346">
      <c r="A346">
        <v>345</v>
      </c>
      <c r="B346" t="str">
        <v>MASS BSF</v>
      </c>
      <c r="C346" t="str">
        <v>F8R-810</v>
      </c>
      <c r="D346" t="str">
        <v>F8R-810</v>
      </c>
      <c r="E346" t="str">
        <v/>
      </c>
      <c r="F346" t="str">
        <v>867806078868827</v>
      </c>
      <c r="G346" t="str">
        <v>TBD</v>
      </c>
      <c r="H346" t="str">
        <v/>
      </c>
      <c r="I346" t="str">
        <v/>
      </c>
      <c r="J346" t="str">
        <v>24/09/2026</v>
      </c>
      <c r="K346" t="str">
        <v>10:30:32</v>
      </c>
      <c r="L346">
        <v>-12.214775</v>
      </c>
      <c r="M346">
        <v>-76.967155</v>
      </c>
      <c r="N346">
        <f>HYPERLINK("https://www.google.com/maps/search/?api=1&amp;query=-12.214775,-76.967155","Avenida El Sol, Villa El Salvador, Lima")</f>
      </c>
      <c r="O346" t="str">
        <v>Acelerado y giro brusco</v>
      </c>
      <c r="P346">
        <v>1381.4</v>
      </c>
      <c r="Q346" t="str">
        <v/>
      </c>
      <c r="R346">
        <v>33.7</v>
      </c>
      <c r="S346">
        <v>55.83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85</v>
      </c>
      <c r="AB346" t="str">
        <v>24/09/2026</v>
      </c>
      <c r="AC346" t="str">
        <v>10:30:28</v>
      </c>
      <c r="AD346">
        <f>IF("ONLINE"="NOGPS","GPS Antiguo","En línea")</f>
      </c>
      <c r="AE346">
        <f>IF(0=0,"Sin atender", IF(0=1,"Atendida","Atendida y Reportada"))</f>
      </c>
      <c r="AF346" t="str">
        <v/>
      </c>
      <c r="AG346" t="str">
        <v/>
      </c>
      <c r="AH346" t="str">
        <v/>
      </c>
      <c r="AI346" t="str">
        <v/>
      </c>
      <c r="AJ346" t="str">
        <v>24/09/2026 10:30:38</v>
      </c>
      <c r="AK346" t="str">
        <v>10:30:38</v>
      </c>
      <c r="AL346" t="str">
        <v/>
      </c>
    </row>
    <row r="347">
      <c r="A347">
        <v>346</v>
      </c>
      <c r="B347" t="str">
        <v>MASS BSF</v>
      </c>
      <c r="C347" t="str">
        <v>F8R-810</v>
      </c>
      <c r="D347" t="str">
        <v>F8R-810</v>
      </c>
      <c r="E347" t="str">
        <v/>
      </c>
      <c r="F347" t="str">
        <v>867806078868827</v>
      </c>
      <c r="G347" t="str">
        <v>TBD</v>
      </c>
      <c r="H347" t="str">
        <v/>
      </c>
      <c r="I347" t="str">
        <v/>
      </c>
      <c r="J347" t="str">
        <v>24/09/2026</v>
      </c>
      <c r="K347" t="str">
        <v>10:30:50</v>
      </c>
      <c r="L347">
        <v>-12.215957</v>
      </c>
      <c r="M347">
        <v>-76.967834</v>
      </c>
      <c r="N347">
        <f>HYPERLINK("https://www.google.com/maps/search/?api=1&amp;query=-12.215957,-76.967834","Avenida El Sol, Villa El Salvador, Lima")</f>
      </c>
      <c r="O347" t="str">
        <v>Aceleración brusca</v>
      </c>
      <c r="P347">
        <v>1381.6</v>
      </c>
      <c r="Q347" t="str">
        <v/>
      </c>
      <c r="R347">
        <v>30.3</v>
      </c>
      <c r="S347">
        <v>55.83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85</v>
      </c>
      <c r="AB347" t="str">
        <v>24/09/2026</v>
      </c>
      <c r="AC347" t="str">
        <v>10:30:45</v>
      </c>
      <c r="AD347">
        <f>IF("ONLINE"="NOGPS","GPS Antiguo","En línea")</f>
      </c>
      <c r="AE347">
        <f>IF(0=0,"Sin atender", IF(0=1,"Atendida","Atendida y Reportada"))</f>
      </c>
      <c r="AF347" t="str">
        <v/>
      </c>
      <c r="AG347" t="str">
        <v/>
      </c>
      <c r="AH347" t="str">
        <v/>
      </c>
      <c r="AI347" t="str">
        <v/>
      </c>
      <c r="AJ347" t="str">
        <v>24/09/2026 10:31:01</v>
      </c>
      <c r="AK347" t="str">
        <v>10:31:01</v>
      </c>
      <c r="AL347" t="str">
        <v/>
      </c>
    </row>
    <row r="348">
      <c r="A348">
        <v>347</v>
      </c>
      <c r="B348" t="str">
        <v>MASS BSF</v>
      </c>
      <c r="C348" t="str">
        <v>F8R-810</v>
      </c>
      <c r="D348" t="str">
        <v>F8R-810</v>
      </c>
      <c r="E348" t="str">
        <v/>
      </c>
      <c r="F348" t="str">
        <v>867806078868827</v>
      </c>
      <c r="G348" t="str">
        <v>TBD</v>
      </c>
      <c r="H348" t="str">
        <v/>
      </c>
      <c r="I348" t="str">
        <v/>
      </c>
      <c r="J348" t="str">
        <v>24/09/2026</v>
      </c>
      <c r="K348" t="str">
        <v>10:30:55</v>
      </c>
      <c r="L348">
        <v>-12.216158</v>
      </c>
      <c r="M348">
        <v>-76.96802</v>
      </c>
      <c r="N348">
        <f>HYPERLINK("https://www.google.com/maps/search/?api=1&amp;query=-12.216158,-76.96802","Avenida El Sol, Villa El Salvador, Lima")</f>
      </c>
      <c r="O348" t="str">
        <v>Acelerado y giro brusco</v>
      </c>
      <c r="P348">
        <v>1381.6</v>
      </c>
      <c r="Q348" t="str">
        <v/>
      </c>
      <c r="R348">
        <v>12.9</v>
      </c>
      <c r="S348">
        <v>55.83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85</v>
      </c>
      <c r="AB348" t="str">
        <v>24/09/2026</v>
      </c>
      <c r="AC348" t="str">
        <v>10:30:50</v>
      </c>
      <c r="AD348">
        <f>IF("ONLINE"="NOGPS","GPS Antiguo","En línea")</f>
      </c>
      <c r="AE348">
        <f>IF(0=0,"Sin atender", IF(0=1,"Atendida","Atendida y Reportada"))</f>
      </c>
      <c r="AF348" t="str">
        <v/>
      </c>
      <c r="AG348" t="str">
        <v/>
      </c>
      <c r="AH348" t="str">
        <v/>
      </c>
      <c r="AI348" t="str">
        <v/>
      </c>
      <c r="AJ348" t="str">
        <v>24/09/2026 10:31:05</v>
      </c>
      <c r="AK348" t="str">
        <v>10:31:05</v>
      </c>
      <c r="AL348" t="str">
        <v/>
      </c>
    </row>
    <row r="349">
      <c r="A349">
        <v>348</v>
      </c>
      <c r="B349" t="str">
        <v>MASS BSF</v>
      </c>
      <c r="C349" t="str">
        <v>F8R-810</v>
      </c>
      <c r="D349" t="str">
        <v>F8R-810</v>
      </c>
      <c r="E349" t="str">
        <v/>
      </c>
      <c r="F349" t="str">
        <v>867806078868827</v>
      </c>
      <c r="G349" t="str">
        <v>TBD</v>
      </c>
      <c r="H349" t="str">
        <v/>
      </c>
      <c r="I349" t="str">
        <v/>
      </c>
      <c r="J349" t="str">
        <v>24/09/2026</v>
      </c>
      <c r="K349" t="str">
        <v>10:31:11</v>
      </c>
      <c r="L349">
        <v>-12.216315</v>
      </c>
      <c r="M349">
        <v>-76.9682</v>
      </c>
      <c r="N349">
        <f>HYPERLINK("https://www.google.com/maps/search/?api=1&amp;query=-12.216315,-76.9682","Avenida El Sol, Villa El Salvador, Lima")</f>
      </c>
      <c r="O349" t="str">
        <v>Acelerado y giro brusco</v>
      </c>
      <c r="P349">
        <v>1381.6</v>
      </c>
      <c r="Q349" t="str">
        <v/>
      </c>
      <c r="R349">
        <v>7.4</v>
      </c>
      <c r="S349">
        <v>55.83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85</v>
      </c>
      <c r="AB349" t="str">
        <v>24/09/2026</v>
      </c>
      <c r="AC349" t="str">
        <v>10:31:06</v>
      </c>
      <c r="AD349">
        <f>IF("ONLINE"="NOGPS","GPS Antiguo","En línea")</f>
      </c>
      <c r="AE349">
        <f>IF(0=0,"Sin atender", IF(0=1,"Atendida","Atendida y Reportada"))</f>
      </c>
      <c r="AF349" t="str">
        <v/>
      </c>
      <c r="AG349" t="str">
        <v/>
      </c>
      <c r="AH349" t="str">
        <v/>
      </c>
      <c r="AI349" t="str">
        <v/>
      </c>
      <c r="AJ349" t="str">
        <v>24/09/2026 10:31:12</v>
      </c>
      <c r="AK349" t="str">
        <v>10:31:12</v>
      </c>
      <c r="AL349" t="str">
        <v/>
      </c>
    </row>
    <row r="350">
      <c r="A350">
        <v>349</v>
      </c>
      <c r="B350" t="str">
        <v>MASS BSF</v>
      </c>
      <c r="C350" t="str">
        <v>F8R-810</v>
      </c>
      <c r="D350" t="str">
        <v>F8R-810</v>
      </c>
      <c r="E350" t="str">
        <v/>
      </c>
      <c r="F350" t="str">
        <v>867806078868827</v>
      </c>
      <c r="G350" t="str">
        <v>TBD</v>
      </c>
      <c r="H350" t="str">
        <v/>
      </c>
      <c r="I350" t="str">
        <v/>
      </c>
      <c r="J350" t="str">
        <v>24/09/2026</v>
      </c>
      <c r="K350" t="str">
        <v>10:31:27</v>
      </c>
      <c r="L350">
        <v>-12.216494</v>
      </c>
      <c r="M350">
        <v>-76.9684</v>
      </c>
      <c r="N350">
        <f>HYPERLINK("https://www.google.com/maps/search/?api=1&amp;query=-12.216494,-76.9684","Avenida El Sol, Villa El Salvador, Lima")</f>
      </c>
      <c r="O350" t="str">
        <v>Acelerado y giro brusco</v>
      </c>
      <c r="P350">
        <v>1381.6</v>
      </c>
      <c r="Q350" t="str">
        <v/>
      </c>
      <c r="R350">
        <v>6.1</v>
      </c>
      <c r="S350">
        <v>55.83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85</v>
      </c>
      <c r="AB350" t="str">
        <v>24/09/2026</v>
      </c>
      <c r="AC350" t="str">
        <v>10:31:22</v>
      </c>
      <c r="AD350">
        <f>IF("ONLINE"="NOGPS","GPS Antiguo","En línea")</f>
      </c>
      <c r="AE350">
        <f>IF(0=0,"Sin atender", IF(0=1,"Atendida","Atendida y Reportada"))</f>
      </c>
      <c r="AF350" t="str">
        <v/>
      </c>
      <c r="AG350" t="str">
        <v/>
      </c>
      <c r="AH350" t="str">
        <v/>
      </c>
      <c r="AI350" t="str">
        <v/>
      </c>
      <c r="AJ350" t="str">
        <v>24/09/2026 10:31:39</v>
      </c>
      <c r="AK350" t="str">
        <v>10:31:39</v>
      </c>
      <c r="AL350" t="str">
        <v/>
      </c>
    </row>
    <row r="351">
      <c r="A351">
        <v>350</v>
      </c>
      <c r="B351" t="str">
        <v>MASS BSF</v>
      </c>
      <c r="C351" t="str">
        <v>F8R-810</v>
      </c>
      <c r="D351" t="str">
        <v>F8R-810</v>
      </c>
      <c r="E351" t="str">
        <v/>
      </c>
      <c r="F351" t="str">
        <v>867806078868827</v>
      </c>
      <c r="G351" t="str">
        <v>TBD</v>
      </c>
      <c r="H351" t="str">
        <v/>
      </c>
      <c r="I351" t="str">
        <v/>
      </c>
      <c r="J351" t="str">
        <v>24/09/2026</v>
      </c>
      <c r="K351" t="str">
        <v>10:31:46</v>
      </c>
      <c r="L351">
        <v>-12.216866</v>
      </c>
      <c r="M351">
        <v>-76.968834</v>
      </c>
      <c r="N351">
        <f>HYPERLINK("https://www.google.com/maps/search/?api=1&amp;query=-12.216866,-76.968834","Avenida El Sol, Villa El Salvador, Lima")</f>
      </c>
      <c r="O351" t="str">
        <v>Acelerado y giro brusco</v>
      </c>
      <c r="P351">
        <v>1381.7</v>
      </c>
      <c r="Q351" t="str">
        <v/>
      </c>
      <c r="R351">
        <v>23.8</v>
      </c>
      <c r="S351">
        <v>55.83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85</v>
      </c>
      <c r="AB351" t="str">
        <v>24/09/2026</v>
      </c>
      <c r="AC351" t="str">
        <v>10:31:42</v>
      </c>
      <c r="AD351">
        <f>IF("ONLINE"="NOGPS","GPS Antiguo","En línea")</f>
      </c>
      <c r="AE351">
        <f>IF(0=0,"Sin atender", IF(0=1,"Atendida","Atendida y Reportada"))</f>
      </c>
      <c r="AF351" t="str">
        <v/>
      </c>
      <c r="AG351" t="str">
        <v/>
      </c>
      <c r="AH351" t="str">
        <v/>
      </c>
      <c r="AI351" t="str">
        <v/>
      </c>
      <c r="AJ351" t="str">
        <v>24/09/2026 10:31:58</v>
      </c>
      <c r="AK351" t="str">
        <v>10:31:58</v>
      </c>
      <c r="AL351" t="str">
        <v/>
      </c>
    </row>
    <row r="352">
      <c r="A352">
        <v>351</v>
      </c>
      <c r="B352" t="str">
        <v>MASS BSF</v>
      </c>
      <c r="C352" t="str">
        <v>F8R-810</v>
      </c>
      <c r="D352" t="str">
        <v>F8R-810</v>
      </c>
      <c r="E352" t="str">
        <v/>
      </c>
      <c r="F352" t="str">
        <v>867806078868827</v>
      </c>
      <c r="G352" t="str">
        <v>TBD</v>
      </c>
      <c r="H352" t="str">
        <v/>
      </c>
      <c r="I352" t="str">
        <v/>
      </c>
      <c r="J352" t="str">
        <v>24/09/2026</v>
      </c>
      <c r="K352" t="str">
        <v>10:32:09</v>
      </c>
      <c r="L352">
        <v>-12.218005</v>
      </c>
      <c r="M352">
        <v>-76.970055</v>
      </c>
      <c r="N352">
        <f>HYPERLINK("https://www.google.com/maps/search/?api=1&amp;query=-12.218005,-76.970055","Avenida El Sol, Villa El Salvador, Lima")</f>
      </c>
      <c r="O352" t="str">
        <v>Bache</v>
      </c>
      <c r="P352">
        <v>1381.9</v>
      </c>
      <c r="Q352" t="str">
        <v/>
      </c>
      <c r="R352">
        <v>7.5</v>
      </c>
      <c r="S352">
        <v>55.83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85</v>
      </c>
      <c r="AB352" t="str">
        <v>24/09/2026</v>
      </c>
      <c r="AC352" t="str">
        <v>10:32:04</v>
      </c>
      <c r="AD352">
        <f>IF("ONLINE"="NOGPS","GPS Antiguo","En línea")</f>
      </c>
      <c r="AE352">
        <f>IF(0=0,"Sin atender", IF(0=1,"Atendida","Atendida y Reportada"))</f>
      </c>
      <c r="AF352" t="str">
        <v/>
      </c>
      <c r="AG352" t="str">
        <v/>
      </c>
      <c r="AH352" t="str">
        <v/>
      </c>
      <c r="AI352" t="str">
        <v/>
      </c>
      <c r="AJ352" t="str">
        <v>24/09/2026 10:32:13</v>
      </c>
      <c r="AK352" t="str">
        <v>10:32:13</v>
      </c>
      <c r="AL352" t="str">
        <v/>
      </c>
    </row>
    <row r="353">
      <c r="A353">
        <v>352</v>
      </c>
      <c r="B353" t="str">
        <v>MASS BSF</v>
      </c>
      <c r="C353" t="str">
        <v>F8R-810</v>
      </c>
      <c r="D353" t="str">
        <v>F8R-810</v>
      </c>
      <c r="E353" t="str">
        <v/>
      </c>
      <c r="F353" t="str">
        <v>867806078868827</v>
      </c>
      <c r="G353" t="str">
        <v>TBD</v>
      </c>
      <c r="H353" t="str">
        <v/>
      </c>
      <c r="I353" t="str">
        <v/>
      </c>
      <c r="J353" t="str">
        <v>24/09/2026</v>
      </c>
      <c r="K353" t="str">
        <v>10:32:29</v>
      </c>
      <c r="L353">
        <v>-12.219058</v>
      </c>
      <c r="M353">
        <v>-76.97117</v>
      </c>
      <c r="N353">
        <f>HYPERLINK("https://www.google.com/maps/search/?api=1&amp;query=-12.219058,-76.97117","Avenida El Sol, Villa El Salvador, Lima")</f>
      </c>
      <c r="O353" t="str">
        <v>Acelerado y giro brusco</v>
      </c>
      <c r="P353">
        <v>1382.1</v>
      </c>
      <c r="Q353" t="str">
        <v/>
      </c>
      <c r="R353">
        <v>40.1</v>
      </c>
      <c r="S353">
        <v>55.83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85</v>
      </c>
      <c r="AB353" t="str">
        <v>24/09/2026</v>
      </c>
      <c r="AC353" t="str">
        <v>10:32:24</v>
      </c>
      <c r="AD353">
        <f>IF("ONLINE"="NOGPS","GPS Antiguo","En línea")</f>
      </c>
      <c r="AE353">
        <f>IF(0=0,"Sin atender", IF(0=1,"Atendida","Atendida y Reportada"))</f>
      </c>
      <c r="AF353" t="str">
        <v/>
      </c>
      <c r="AG353" t="str">
        <v/>
      </c>
      <c r="AH353" t="str">
        <v/>
      </c>
      <c r="AI353" t="str">
        <v/>
      </c>
      <c r="AJ353" t="str">
        <v>24/09/2026 10:32:39</v>
      </c>
      <c r="AK353" t="str">
        <v>10:32:39</v>
      </c>
      <c r="AL353" t="str">
        <v/>
      </c>
    </row>
    <row r="354">
      <c r="A354">
        <v>353</v>
      </c>
      <c r="B354" t="str">
        <v>MASS BSF</v>
      </c>
      <c r="C354" t="str">
        <v>F8R-810</v>
      </c>
      <c r="D354" t="str">
        <v>F8R-810</v>
      </c>
      <c r="E354" t="str">
        <v/>
      </c>
      <c r="F354" t="str">
        <v>867806078868827</v>
      </c>
      <c r="G354" t="str">
        <v>TBD</v>
      </c>
      <c r="H354" t="str">
        <v/>
      </c>
      <c r="I354" t="str">
        <v/>
      </c>
      <c r="J354" t="str">
        <v>24/09/2026</v>
      </c>
      <c r="K354" t="str">
        <v>10:32:34</v>
      </c>
      <c r="L354">
        <v>-12.219378</v>
      </c>
      <c r="M354">
        <v>-76.97151</v>
      </c>
      <c r="N354">
        <f>HYPERLINK("https://www.google.com/maps/search/?api=1&amp;query=-12.219378,-76.97151","Avenida El Sol, Villa El Salvador, Lima")</f>
      </c>
      <c r="O354" t="str">
        <v>Acelerado y giro brusco</v>
      </c>
      <c r="P354">
        <v>1382.1</v>
      </c>
      <c r="Q354" t="str">
        <v/>
      </c>
      <c r="R354">
        <v>37.2</v>
      </c>
      <c r="S354">
        <v>55.83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85</v>
      </c>
      <c r="AB354" t="str">
        <v>24/09/2026</v>
      </c>
      <c r="AC354" t="str">
        <v>10:32:29</v>
      </c>
      <c r="AD354">
        <f>IF("ONLINE"="NOGPS","GPS Antiguo","En línea")</f>
      </c>
      <c r="AE354">
        <f>IF(0=0,"Sin atender", IF(0=1,"Atendida","Atendida y Reportada"))</f>
      </c>
      <c r="AF354" t="str">
        <v/>
      </c>
      <c r="AG354" t="str">
        <v/>
      </c>
      <c r="AH354" t="str">
        <v/>
      </c>
      <c r="AI354" t="str">
        <v/>
      </c>
      <c r="AJ354" t="str">
        <v>24/09/2026 10:32:39</v>
      </c>
      <c r="AK354" t="str">
        <v>10:32:39</v>
      </c>
      <c r="AL354" t="str">
        <v/>
      </c>
    </row>
    <row r="355">
      <c r="A355">
        <v>354</v>
      </c>
      <c r="B355" t="str">
        <v>MASS BSF</v>
      </c>
      <c r="C355" t="str">
        <v>F8R-810</v>
      </c>
      <c r="D355" t="str">
        <v>F8R-810</v>
      </c>
      <c r="E355" t="str">
        <v/>
      </c>
      <c r="F355" t="str">
        <v>867806078868827</v>
      </c>
      <c r="G355" t="str">
        <v>TBD</v>
      </c>
      <c r="H355" t="str">
        <v/>
      </c>
      <c r="I355" t="str">
        <v/>
      </c>
      <c r="J355" t="str">
        <v>24/09/2026</v>
      </c>
      <c r="K355" t="str">
        <v>10:32:46</v>
      </c>
      <c r="L355">
        <v>-12.220087</v>
      </c>
      <c r="M355">
        <v>-76.97229</v>
      </c>
      <c r="N355">
        <f>HYPERLINK("https://www.google.com/maps/search/?api=1&amp;query=-12.220087,-76.97229","Avenida El Sol, Villa El Salvador, Lima")</f>
      </c>
      <c r="O355" t="str">
        <v>Acelerado y giro brusco</v>
      </c>
      <c r="P355">
        <v>1382.2</v>
      </c>
      <c r="Q355" t="str">
        <v/>
      </c>
      <c r="R355">
        <v>26.8</v>
      </c>
      <c r="S355">
        <v>55.83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85</v>
      </c>
      <c r="AB355" t="str">
        <v>24/09/2026</v>
      </c>
      <c r="AC355" t="str">
        <v>10:32:41</v>
      </c>
      <c r="AD355">
        <f>IF("ONLINE"="NOGPS","GPS Antiguo","En línea")</f>
      </c>
      <c r="AE355">
        <f>IF(0=0,"Sin atender", IF(0=1,"Atendida","Atendida y Reportada"))</f>
      </c>
      <c r="AF355" t="str">
        <v/>
      </c>
      <c r="AG355" t="str">
        <v/>
      </c>
      <c r="AH355" t="str">
        <v/>
      </c>
      <c r="AI355" t="str">
        <v/>
      </c>
      <c r="AJ355" t="str">
        <v>24/09/2026 10:33:03</v>
      </c>
      <c r="AK355" t="str">
        <v>10:33:03</v>
      </c>
      <c r="AL355" t="str">
        <v/>
      </c>
    </row>
    <row r="356">
      <c r="A356">
        <v>355</v>
      </c>
      <c r="B356" t="str">
        <v>MASS BSF</v>
      </c>
      <c r="C356" t="str">
        <v>F8R-810</v>
      </c>
      <c r="D356" t="str">
        <v>F8R-810</v>
      </c>
      <c r="E356" t="str">
        <v/>
      </c>
      <c r="F356" t="str">
        <v>867806078868827</v>
      </c>
      <c r="G356" t="str">
        <v>TBD</v>
      </c>
      <c r="H356" t="str">
        <v/>
      </c>
      <c r="I356" t="str">
        <v/>
      </c>
      <c r="J356" t="str">
        <v>24/09/2026</v>
      </c>
      <c r="K356" t="str">
        <v>10:32:49</v>
      </c>
      <c r="L356">
        <v>-12.220228</v>
      </c>
      <c r="M356">
        <v>-76.972435</v>
      </c>
      <c r="N356">
        <f>HYPERLINK("https://www.google.com/maps/search/?api=1&amp;query=-12.220228,-76.972435","Avenida El Sol, Villa El Salvador, Lima")</f>
      </c>
      <c r="O356" t="str">
        <v>Acelerado y giro brusco</v>
      </c>
      <c r="P356">
        <v>1382.2</v>
      </c>
      <c r="Q356" t="str">
        <v/>
      </c>
      <c r="R356">
        <v>29.2</v>
      </c>
      <c r="S356">
        <v>55.83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85</v>
      </c>
      <c r="AB356" t="str">
        <v>24/09/2026</v>
      </c>
      <c r="AC356" t="str">
        <v>10:32:44</v>
      </c>
      <c r="AD356">
        <f>IF("ONLINE"="NOGPS","GPS Antiguo","En línea")</f>
      </c>
      <c r="AE356">
        <f>IF(0=0,"Sin atender", IF(0=1,"Atendida","Atendida y Reportada"))</f>
      </c>
      <c r="AF356" t="str">
        <v/>
      </c>
      <c r="AG356" t="str">
        <v/>
      </c>
      <c r="AH356" t="str">
        <v/>
      </c>
      <c r="AI356" t="str">
        <v/>
      </c>
      <c r="AJ356" t="str">
        <v>24/09/2026 10:33:08</v>
      </c>
      <c r="AK356" t="str">
        <v>10:33:08</v>
      </c>
      <c r="AL356" t="str">
        <v/>
      </c>
    </row>
    <row r="357">
      <c r="A357">
        <v>356</v>
      </c>
      <c r="B357" t="str">
        <v>MASS BSF</v>
      </c>
      <c r="C357" t="str">
        <v>F8R-810</v>
      </c>
      <c r="D357" t="str">
        <v>F8R-810</v>
      </c>
      <c r="E357" t="str">
        <v/>
      </c>
      <c r="F357" t="str">
        <v>867806078868827</v>
      </c>
      <c r="G357" t="str">
        <v>TBD</v>
      </c>
      <c r="H357" t="str">
        <v/>
      </c>
      <c r="I357" t="str">
        <v/>
      </c>
      <c r="J357" t="str">
        <v>24/09/2026</v>
      </c>
      <c r="K357" t="str">
        <v>10:32:54</v>
      </c>
      <c r="L357">
        <v>-12.220511</v>
      </c>
      <c r="M357">
        <v>-76.972725</v>
      </c>
      <c r="N357">
        <f>HYPERLINK("https://www.google.com/maps/search/?api=1&amp;query=-12.220511,-76.972725","Avenida El Sol, Villa El Salvador, Lima")</f>
      </c>
      <c r="O357" t="str">
        <v>Acelerado y giro brusco</v>
      </c>
      <c r="P357">
        <v>1382.3</v>
      </c>
      <c r="Q357" t="str">
        <v/>
      </c>
      <c r="R357">
        <v>25.5</v>
      </c>
      <c r="S357">
        <v>55.83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85</v>
      </c>
      <c r="AB357" t="str">
        <v>24/09/2026</v>
      </c>
      <c r="AC357" t="str">
        <v>10:32:50</v>
      </c>
      <c r="AD357">
        <f>IF("ONLINE"="NOGPS","GPS Antiguo","En línea")</f>
      </c>
      <c r="AE357">
        <f>IF(0=0,"Sin atender", IF(0=1,"Atendida","Atendida y Reportada"))</f>
      </c>
      <c r="AF357" t="str">
        <v/>
      </c>
      <c r="AG357" t="str">
        <v/>
      </c>
      <c r="AH357" t="str">
        <v/>
      </c>
      <c r="AI357" t="str">
        <v/>
      </c>
      <c r="AJ357" t="str">
        <v>24/09/2026 10:33:03</v>
      </c>
      <c r="AK357" t="str">
        <v>10:33:03</v>
      </c>
      <c r="AL357" t="str">
        <v/>
      </c>
    </row>
    <row r="358">
      <c r="A358">
        <v>357</v>
      </c>
      <c r="B358" t="str">
        <v>MASS BSF</v>
      </c>
      <c r="C358" t="str">
        <v>F8R-810</v>
      </c>
      <c r="D358" t="str">
        <v>F8R-810</v>
      </c>
      <c r="E358" t="str">
        <v/>
      </c>
      <c r="F358" t="str">
        <v>867806078868827</v>
      </c>
      <c r="G358" t="str">
        <v>TBD</v>
      </c>
      <c r="H358" t="str">
        <v/>
      </c>
      <c r="I358" t="str">
        <v/>
      </c>
      <c r="J358" t="str">
        <v>24/09/2026</v>
      </c>
      <c r="K358" t="str">
        <v>10:33:15</v>
      </c>
      <c r="L358">
        <v>-12.221702</v>
      </c>
      <c r="M358">
        <v>-76.97399</v>
      </c>
      <c r="N358">
        <f>HYPERLINK("https://www.google.com/maps/search/?api=1&amp;query=-12.221702,-76.97399","Avenida El Sol, Villa El Salvador, Lima")</f>
      </c>
      <c r="O358" t="str">
        <v>Acelerado y giro brusco</v>
      </c>
      <c r="P358">
        <v>1382.5</v>
      </c>
      <c r="Q358" t="str">
        <v/>
      </c>
      <c r="R358">
        <v>34.6</v>
      </c>
      <c r="S358">
        <v>55.83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85</v>
      </c>
      <c r="AB358" t="str">
        <v>24/09/2026</v>
      </c>
      <c r="AC358" t="str">
        <v>10:33:11</v>
      </c>
      <c r="AD358">
        <f>IF("ONLINE"="NOGPS","GPS Antiguo","En línea")</f>
      </c>
      <c r="AE358">
        <f>IF(0=0,"Sin atender", IF(0=1,"Atendida","Atendida y Reportada"))</f>
      </c>
      <c r="AF358" t="str">
        <v/>
      </c>
      <c r="AG358" t="str">
        <v/>
      </c>
      <c r="AH358" t="str">
        <v/>
      </c>
      <c r="AI358" t="str">
        <v/>
      </c>
      <c r="AJ358" t="str">
        <v>24/09/2026 10:33:26</v>
      </c>
      <c r="AK358" t="str">
        <v>10:33:26</v>
      </c>
      <c r="AL358" t="str">
        <v/>
      </c>
    </row>
    <row r="359">
      <c r="A359">
        <v>358</v>
      </c>
      <c r="B359" t="str">
        <v>MASS BSF</v>
      </c>
      <c r="C359" t="str">
        <v>F8R-810</v>
      </c>
      <c r="D359" t="str">
        <v>F8R-810</v>
      </c>
      <c r="E359" t="str">
        <v/>
      </c>
      <c r="F359" t="str">
        <v>867806078868827</v>
      </c>
      <c r="G359" t="str">
        <v>TBD</v>
      </c>
      <c r="H359" t="str">
        <v/>
      </c>
      <c r="I359" t="str">
        <v/>
      </c>
      <c r="J359" t="str">
        <v>24/09/2026</v>
      </c>
      <c r="K359" t="str">
        <v>10:33:28</v>
      </c>
      <c r="L359">
        <v>-12.222096</v>
      </c>
      <c r="M359">
        <v>-76.9744</v>
      </c>
      <c r="N359">
        <f>HYPERLINK("https://www.google.com/maps/search/?api=1&amp;query=-12.222096,-76.9744","Avenida El Sol, Villa El Salvador, Lima")</f>
      </c>
      <c r="O359" t="str">
        <v>Aceleración brusca</v>
      </c>
      <c r="P359">
        <v>1382.5</v>
      </c>
      <c r="Q359" t="str">
        <v/>
      </c>
      <c r="R359">
        <v>5.5</v>
      </c>
      <c r="S359">
        <v>55.83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85</v>
      </c>
      <c r="AB359" t="str">
        <v>24/09/2026</v>
      </c>
      <c r="AC359" t="str">
        <v>10:33:24</v>
      </c>
      <c r="AD359">
        <f>IF("ONLINE"="NOGPS","GPS Antiguo","En línea")</f>
      </c>
      <c r="AE359">
        <f>IF(0=0,"Sin atender", IF(0=1,"Atendida","Atendida y Reportada"))</f>
      </c>
      <c r="AF359" t="str">
        <v/>
      </c>
      <c r="AG359" t="str">
        <v/>
      </c>
      <c r="AH359" t="str">
        <v/>
      </c>
      <c r="AI359" t="str">
        <v/>
      </c>
      <c r="AJ359" t="str">
        <v>24/09/2026 10:33:39</v>
      </c>
      <c r="AK359" t="str">
        <v>10:33:39</v>
      </c>
      <c r="AL359" t="str">
        <v/>
      </c>
    </row>
    <row r="360">
      <c r="A360">
        <v>359</v>
      </c>
      <c r="B360" t="str">
        <v>MASS BSF</v>
      </c>
      <c r="C360" t="str">
        <v>F8R-810</v>
      </c>
      <c r="D360" t="str">
        <v>F8R-810</v>
      </c>
      <c r="E360" t="str">
        <v/>
      </c>
      <c r="F360" t="str">
        <v>867806078868827</v>
      </c>
      <c r="G360" t="str">
        <v>TBD</v>
      </c>
      <c r="H360" t="str">
        <v/>
      </c>
      <c r="I360" t="str">
        <v/>
      </c>
      <c r="J360" t="str">
        <v>24/09/2026</v>
      </c>
      <c r="K360" t="str">
        <v>10:33:33</v>
      </c>
      <c r="L360">
        <v>-12.222107</v>
      </c>
      <c r="M360">
        <v>-76.97443</v>
      </c>
      <c r="N360">
        <f>HYPERLINK("https://www.google.com/maps/search/?api=1&amp;query=-12.222107,-76.97443","Avenida El Sol, Villa El Salvador, Lima")</f>
      </c>
      <c r="O360" t="str">
        <v>Acelerado y giro brusco</v>
      </c>
      <c r="P360">
        <v>1382.5</v>
      </c>
      <c r="Q360" t="str">
        <v/>
      </c>
      <c r="R360">
        <v>0</v>
      </c>
      <c r="S360">
        <v>55.83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85</v>
      </c>
      <c r="AB360" t="str">
        <v>24/09/2026</v>
      </c>
      <c r="AC360" t="str">
        <v>10:33:29</v>
      </c>
      <c r="AD360">
        <f>IF("ONLINE"="NOGPS","GPS Antiguo","En línea")</f>
      </c>
      <c r="AE360">
        <f>IF(0=0,"Sin atender", IF(0=1,"Atendida","Atendida y Reportada"))</f>
      </c>
      <c r="AF360" t="str">
        <v/>
      </c>
      <c r="AG360" t="str">
        <v/>
      </c>
      <c r="AH360" t="str">
        <v/>
      </c>
      <c r="AI360" t="str">
        <v/>
      </c>
      <c r="AJ360" t="str">
        <v>24/09/2026 10:33:45</v>
      </c>
      <c r="AK360" t="str">
        <v>10:33:45</v>
      </c>
      <c r="AL360" t="str">
        <v/>
      </c>
    </row>
    <row r="361">
      <c r="A361">
        <v>360</v>
      </c>
      <c r="B361" t="str">
        <v>MASS BSF</v>
      </c>
      <c r="C361" t="str">
        <v>F8R-810</v>
      </c>
      <c r="D361" t="str">
        <v>F8R-810</v>
      </c>
      <c r="E361" t="str">
        <v/>
      </c>
      <c r="F361" t="str">
        <v>867806078868827</v>
      </c>
      <c r="G361" t="str">
        <v>TBD</v>
      </c>
      <c r="H361" t="str">
        <v/>
      </c>
      <c r="I361" t="str">
        <v/>
      </c>
      <c r="J361" t="str">
        <v>24/09/2026</v>
      </c>
      <c r="K361" t="str">
        <v>10:33:50</v>
      </c>
      <c r="L361">
        <v>-12.221805</v>
      </c>
      <c r="M361">
        <v>-76.97478</v>
      </c>
      <c r="N361">
        <f>HYPERLINK("https://www.google.com/maps/search/?api=1&amp;query=-12.221805,-76.97478","Antigua Panamericana Sur, Villa El Salvador, Lima")</f>
      </c>
      <c r="O361" t="str">
        <v>Acelerado y giro brusco</v>
      </c>
      <c r="P361">
        <v>1382.6</v>
      </c>
      <c r="Q361" t="str">
        <v/>
      </c>
      <c r="R361">
        <v>24.6</v>
      </c>
      <c r="S361">
        <v>55.83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85</v>
      </c>
      <c r="AB361" t="str">
        <v>24/09/2026</v>
      </c>
      <c r="AC361" t="str">
        <v>10:33:45</v>
      </c>
      <c r="AD361">
        <f>IF("ONLINE"="NOGPS","GPS Antiguo","En línea")</f>
      </c>
      <c r="AE361">
        <f>IF(0=0,"Sin atender", IF(0=1,"Atendida","Atendida y Reportada"))</f>
      </c>
      <c r="AF361" t="str">
        <v/>
      </c>
      <c r="AG361" t="str">
        <v/>
      </c>
      <c r="AH361" t="str">
        <v/>
      </c>
      <c r="AI361" t="str">
        <v/>
      </c>
      <c r="AJ361" t="str">
        <v>24/09/2026 10:33:56</v>
      </c>
      <c r="AK361" t="str">
        <v>10:33:56</v>
      </c>
      <c r="AL361" t="str">
        <v/>
      </c>
    </row>
    <row r="362">
      <c r="A362">
        <v>361</v>
      </c>
      <c r="B362" t="str">
        <v>MASS BSF</v>
      </c>
      <c r="C362" t="str">
        <v>F8R-810</v>
      </c>
      <c r="D362" t="str">
        <v>F8R-810</v>
      </c>
      <c r="E362" t="str">
        <v/>
      </c>
      <c r="F362" t="str">
        <v>867806078868827</v>
      </c>
      <c r="G362" t="str">
        <v>TBD</v>
      </c>
      <c r="H362" t="str">
        <v/>
      </c>
      <c r="I362" t="str">
        <v/>
      </c>
      <c r="J362" t="str">
        <v>24/09/2026</v>
      </c>
      <c r="K362" t="str">
        <v>10:33:55</v>
      </c>
      <c r="L362">
        <v>-12.221572</v>
      </c>
      <c r="M362">
        <v>-76.975</v>
      </c>
      <c r="N362">
        <f>HYPERLINK("https://www.google.com/maps/search/?api=1&amp;query=-12.221572,-76.975","Antigua Panamericana Sur, Villa El Salvador, Lima")</f>
      </c>
      <c r="O362" t="str">
        <v>Aceleración brusca</v>
      </c>
      <c r="P362">
        <v>1382.6</v>
      </c>
      <c r="Q362" t="str">
        <v/>
      </c>
      <c r="R362">
        <v>27.7</v>
      </c>
      <c r="S362">
        <v>55.83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85</v>
      </c>
      <c r="AB362" t="str">
        <v>24/09/2026</v>
      </c>
      <c r="AC362" t="str">
        <v>10:33:50</v>
      </c>
      <c r="AD362">
        <f>IF("ONLINE"="NOGPS","GPS Antiguo","En línea")</f>
      </c>
      <c r="AE362">
        <f>IF(0=0,"Sin atender", IF(0=1,"Atendida","Atendida y Reportada"))</f>
      </c>
      <c r="AF362" t="str">
        <v/>
      </c>
      <c r="AG362" t="str">
        <v/>
      </c>
      <c r="AH362" t="str">
        <v/>
      </c>
      <c r="AI362" t="str">
        <v/>
      </c>
      <c r="AJ362" t="str">
        <v>24/09/2026 10:34:13</v>
      </c>
      <c r="AK362" t="str">
        <v>10:34:13</v>
      </c>
      <c r="AL362" t="str">
        <v/>
      </c>
    </row>
    <row r="363">
      <c r="A363">
        <v>362</v>
      </c>
      <c r="B363" t="str">
        <v>MASS BSF</v>
      </c>
      <c r="C363" t="str">
        <v>F8R-810</v>
      </c>
      <c r="D363" t="str">
        <v>F8R-810</v>
      </c>
      <c r="E363" t="str">
        <v/>
      </c>
      <c r="F363" t="str">
        <v>867806078868827</v>
      </c>
      <c r="G363" t="str">
        <v>TBD</v>
      </c>
      <c r="H363" t="str">
        <v/>
      </c>
      <c r="I363" t="str">
        <v/>
      </c>
      <c r="J363" t="str">
        <v>24/09/2026</v>
      </c>
      <c r="K363" t="str">
        <v>10:34:09</v>
      </c>
      <c r="L363">
        <v>-12.220523</v>
      </c>
      <c r="M363">
        <v>-76.97572</v>
      </c>
      <c r="N363">
        <f>HYPERLINK("https://www.google.com/maps/search/?api=1&amp;query=-12.220523,-76.97572","Antigua Panamericana Sur, Villa El Salvador, Lima")</f>
      </c>
      <c r="O363" t="str">
        <v>Acelerado y giro brusco</v>
      </c>
      <c r="P363">
        <v>1382.8</v>
      </c>
      <c r="Q363" t="str">
        <v/>
      </c>
      <c r="R363">
        <v>38.3</v>
      </c>
      <c r="S363">
        <v>55.83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85</v>
      </c>
      <c r="AB363" t="str">
        <v>24/09/2026</v>
      </c>
      <c r="AC363" t="str">
        <v>10:34:05</v>
      </c>
      <c r="AD363">
        <f>IF("ONLINE"="NOGPS","GPS Antiguo","En línea")</f>
      </c>
      <c r="AE363">
        <f>IF(0=0,"Sin atender", IF(0=1,"Atendida","Atendida y Reportada"))</f>
      </c>
      <c r="AF363" t="str">
        <v/>
      </c>
      <c r="AG363" t="str">
        <v/>
      </c>
      <c r="AH363" t="str">
        <v/>
      </c>
      <c r="AI363" t="str">
        <v/>
      </c>
      <c r="AJ363" t="str">
        <v>24/09/2026 10:34:24</v>
      </c>
      <c r="AK363" t="str">
        <v>10:34:24</v>
      </c>
      <c r="AL363" t="str">
        <v/>
      </c>
    </row>
    <row r="364">
      <c r="A364">
        <v>363</v>
      </c>
      <c r="B364" t="str">
        <v>MASS BSF</v>
      </c>
      <c r="C364" t="str">
        <v>F8R-810</v>
      </c>
      <c r="D364" t="str">
        <v>F8R-810</v>
      </c>
      <c r="E364" t="str">
        <v/>
      </c>
      <c r="F364" t="str">
        <v>867806078868827</v>
      </c>
      <c r="G364" t="str">
        <v>TBD</v>
      </c>
      <c r="H364" t="str">
        <v/>
      </c>
      <c r="I364" t="str">
        <v/>
      </c>
      <c r="J364" t="str">
        <v>24/09/2026</v>
      </c>
      <c r="K364" t="str">
        <v>10:34:26</v>
      </c>
      <c r="L364">
        <v>-12.21969</v>
      </c>
      <c r="M364">
        <v>-76.97571</v>
      </c>
      <c r="N364">
        <f>HYPERLINK("https://www.google.com/maps/search/?api=1&amp;query=-12.21969,-76.97571","Antigua Panamericana Sur, Villa El Salvador, Lima")</f>
      </c>
      <c r="O364" t="str">
        <v>Acelerado y giro brusco</v>
      </c>
      <c r="P364">
        <v>1382.9</v>
      </c>
      <c r="Q364" t="str">
        <v/>
      </c>
      <c r="R364">
        <v>11.1</v>
      </c>
      <c r="S364">
        <v>55.83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91</v>
      </c>
      <c r="AB364" t="str">
        <v>24/09/2026</v>
      </c>
      <c r="AC364" t="str">
        <v>10:34:21</v>
      </c>
      <c r="AD364">
        <f>IF("ONLINE"="NOGPS","GPS Antiguo","En línea")</f>
      </c>
      <c r="AE364">
        <f>IF(0=0,"Sin atender", IF(0=1,"Atendida","Atendida y Reportada"))</f>
      </c>
      <c r="AF364" t="str">
        <v/>
      </c>
      <c r="AG364" t="str">
        <v/>
      </c>
      <c r="AH364" t="str">
        <v/>
      </c>
      <c r="AI364" t="str">
        <v/>
      </c>
      <c r="AJ364" t="str">
        <v>24/09/2026 10:34:46</v>
      </c>
      <c r="AK364" t="str">
        <v>10:34:46</v>
      </c>
      <c r="AL364" t="str">
        <v/>
      </c>
    </row>
    <row r="365">
      <c r="A365">
        <v>364</v>
      </c>
      <c r="B365" t="str">
        <v>MASS BSF</v>
      </c>
      <c r="C365" t="str">
        <v>F8R-810</v>
      </c>
      <c r="D365" t="str">
        <v>F8R-810</v>
      </c>
      <c r="E365" t="str">
        <v/>
      </c>
      <c r="F365" t="str">
        <v>867806078868827</v>
      </c>
      <c r="G365" t="str">
        <v>TBD</v>
      </c>
      <c r="H365" t="str">
        <v/>
      </c>
      <c r="I365" t="str">
        <v/>
      </c>
      <c r="J365" t="str">
        <v>24/09/2026</v>
      </c>
      <c r="K365" t="str">
        <v>10:35:09</v>
      </c>
      <c r="L365">
        <v>-12.21793</v>
      </c>
      <c r="M365">
        <v>-76.97755</v>
      </c>
      <c r="N365">
        <f>HYPERLINK("https://www.google.com/maps/search/?api=1&amp;query=-12.21793,-76.97755","Avenida Caminos del Inca, Chorrillos, Lima")</f>
      </c>
      <c r="O365" t="str">
        <v>Aceleración brusca</v>
      </c>
      <c r="P365">
        <v>1383.2</v>
      </c>
      <c r="Q365" t="str">
        <v/>
      </c>
      <c r="R365">
        <v>34.4</v>
      </c>
      <c r="S365">
        <v>55.83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91</v>
      </c>
      <c r="AB365" t="str">
        <v>24/09/2026</v>
      </c>
      <c r="AC365" t="str">
        <v>10:35:04</v>
      </c>
      <c r="AD365">
        <f>IF("ONLINE"="NOGPS","GPS Antiguo","En línea")</f>
      </c>
      <c r="AE365">
        <f>IF(0=0,"Sin atender", IF(0=1,"Atendida","Atendida y Reportada"))</f>
      </c>
      <c r="AF365" t="str">
        <v/>
      </c>
      <c r="AG365" t="str">
        <v/>
      </c>
      <c r="AH365" t="str">
        <v/>
      </c>
      <c r="AI365" t="str">
        <v/>
      </c>
      <c r="AJ365" t="str">
        <v>24/09/2026 10:35:14</v>
      </c>
      <c r="AK365" t="str">
        <v>10:35:14</v>
      </c>
      <c r="AL365" t="str">
        <v/>
      </c>
    </row>
    <row r="366">
      <c r="A366">
        <v>365</v>
      </c>
      <c r="B366" t="str">
        <v>MASS BSF</v>
      </c>
      <c r="C366" t="str">
        <v>F8R-810</v>
      </c>
      <c r="D366" t="str">
        <v>F8R-810</v>
      </c>
      <c r="E366" t="str">
        <v/>
      </c>
      <c r="F366" t="str">
        <v>867806078868827</v>
      </c>
      <c r="G366" t="str">
        <v>TBD</v>
      </c>
      <c r="H366" t="str">
        <v/>
      </c>
      <c r="I366" t="str">
        <v/>
      </c>
      <c r="J366" t="str">
        <v>24/09/2026</v>
      </c>
      <c r="K366" t="str">
        <v>10:35:17</v>
      </c>
      <c r="L366">
        <v>-12.217907</v>
      </c>
      <c r="M366">
        <v>-76.97798</v>
      </c>
      <c r="N366">
        <f>HYPERLINK("https://www.google.com/maps/search/?api=1&amp;query=-12.217907,-76.97798","Avenida Caminos del Inca, Chorrillos, Lima")</f>
      </c>
      <c r="O366" t="str">
        <v>Bache</v>
      </c>
      <c r="P366">
        <v>1383.2</v>
      </c>
      <c r="Q366" t="str">
        <v/>
      </c>
      <c r="R366">
        <v>7.5</v>
      </c>
      <c r="S366">
        <v>55.83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91</v>
      </c>
      <c r="AB366" t="str">
        <v>24/09/2026</v>
      </c>
      <c r="AC366" t="str">
        <v>10:35:12</v>
      </c>
      <c r="AD366">
        <f>IF("ONLINE"="NOGPS","GPS Antiguo","En línea")</f>
      </c>
      <c r="AE366">
        <f>IF(0=0,"Sin atender", IF(0=1,"Atendida","Atendida y Reportada"))</f>
      </c>
      <c r="AF366" t="str">
        <v/>
      </c>
      <c r="AG366" t="str">
        <v/>
      </c>
      <c r="AH366" t="str">
        <v/>
      </c>
      <c r="AI366" t="str">
        <v/>
      </c>
      <c r="AJ366" t="str">
        <v>24/09/2026 10:35:36</v>
      </c>
      <c r="AK366" t="str">
        <v>10:35:36</v>
      </c>
      <c r="AL366" t="str">
        <v/>
      </c>
    </row>
    <row r="367">
      <c r="A367">
        <v>366</v>
      </c>
      <c r="B367" t="str">
        <v>MASS BSF</v>
      </c>
      <c r="C367" t="str">
        <v>F8R-810</v>
      </c>
      <c r="D367" t="str">
        <v>F8R-810</v>
      </c>
      <c r="E367" t="str">
        <v/>
      </c>
      <c r="F367" t="str">
        <v>867806078868827</v>
      </c>
      <c r="G367" t="str">
        <v>TBD</v>
      </c>
      <c r="H367" t="str">
        <v/>
      </c>
      <c r="I367" t="str">
        <v/>
      </c>
      <c r="J367" t="str">
        <v>24/09/2026</v>
      </c>
      <c r="K367" t="str">
        <v>10:35:49</v>
      </c>
      <c r="L367">
        <v>-12.216617</v>
      </c>
      <c r="M367">
        <v>-76.980156</v>
      </c>
      <c r="N367">
        <f>HYPERLINK("https://www.google.com/maps/search/?api=1&amp;query=-12.216617,-76.980156","Avenida Caminos del Inca, Chorrillos, Lima")</f>
      </c>
      <c r="O367" t="str">
        <v>Acelerado y giro brusco</v>
      </c>
      <c r="P367">
        <v>1383.5</v>
      </c>
      <c r="Q367" t="str">
        <v/>
      </c>
      <c r="R367">
        <v>12.7</v>
      </c>
      <c r="S367">
        <v>55.83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88</v>
      </c>
      <c r="AB367" t="str">
        <v>24/09/2026</v>
      </c>
      <c r="AC367" t="str">
        <v>10:35:45</v>
      </c>
      <c r="AD367">
        <f>IF("ONLINE"="NOGPS","GPS Antiguo","En línea")</f>
      </c>
      <c r="AE367">
        <f>IF(0=0,"Sin atender", IF(0=1,"Atendida","Atendida y Reportada"))</f>
      </c>
      <c r="AF367" t="str">
        <v/>
      </c>
      <c r="AG367" t="str">
        <v/>
      </c>
      <c r="AH367" t="str">
        <v/>
      </c>
      <c r="AI367" t="str">
        <v/>
      </c>
      <c r="AJ367" t="str">
        <v>24/09/2026 10:36:02</v>
      </c>
      <c r="AK367" t="str">
        <v>10:36:02</v>
      </c>
      <c r="AL367" t="str">
        <v/>
      </c>
    </row>
    <row r="368">
      <c r="A368">
        <v>367</v>
      </c>
      <c r="B368" t="str">
        <v>MASS BSF</v>
      </c>
      <c r="C368" t="str">
        <v>F8R-810</v>
      </c>
      <c r="D368" t="str">
        <v>F8R-810</v>
      </c>
      <c r="E368" t="str">
        <v/>
      </c>
      <c r="F368" t="str">
        <v>867806078868827</v>
      </c>
      <c r="G368" t="str">
        <v>TBD</v>
      </c>
      <c r="H368" t="str">
        <v/>
      </c>
      <c r="I368" t="str">
        <v/>
      </c>
      <c r="J368" t="str">
        <v>24/09/2026</v>
      </c>
      <c r="K368" t="str">
        <v>10:35:57</v>
      </c>
      <c r="L368">
        <v>-12.216475</v>
      </c>
      <c r="M368">
        <v>-76.98029</v>
      </c>
      <c r="N368">
        <f>HYPERLINK("https://www.google.com/maps/search/?api=1&amp;query=-12.216475,-76.98029","Avenida Caminos del Inca, Chorrillos, Lima")</f>
      </c>
      <c r="O368" t="str">
        <v>Acelerado y giro brusco</v>
      </c>
      <c r="P368">
        <v>1383.5</v>
      </c>
      <c r="Q368" t="str">
        <v/>
      </c>
      <c r="R368">
        <v>15.7</v>
      </c>
      <c r="S368">
        <v>55.83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88</v>
      </c>
      <c r="AB368" t="str">
        <v>24/09/2026</v>
      </c>
      <c r="AC368" t="str">
        <v>10:35:52</v>
      </c>
      <c r="AD368">
        <f>IF("ONLINE"="NOGPS","GPS Antiguo","En línea")</f>
      </c>
      <c r="AE368">
        <f>IF(0=0,"Sin atender", IF(0=1,"Atendida","Atendida y Reportada"))</f>
      </c>
      <c r="AF368" t="str">
        <v/>
      </c>
      <c r="AG368" t="str">
        <v/>
      </c>
      <c r="AH368" t="str">
        <v/>
      </c>
      <c r="AI368" t="str">
        <v/>
      </c>
      <c r="AJ368" t="str">
        <v>24/09/2026 10:36:02</v>
      </c>
      <c r="AK368" t="str">
        <v>10:36:02</v>
      </c>
      <c r="AL368" t="str">
        <v/>
      </c>
    </row>
    <row r="369">
      <c r="A369">
        <v>368</v>
      </c>
      <c r="B369" t="str">
        <v>MASS BSF</v>
      </c>
      <c r="C369" t="str">
        <v>F8R-810</v>
      </c>
      <c r="D369" t="str">
        <v>F8R-810</v>
      </c>
      <c r="E369" t="str">
        <v/>
      </c>
      <c r="F369" t="str">
        <v>867806078868827</v>
      </c>
      <c r="G369" t="str">
        <v>TBD</v>
      </c>
      <c r="H369" t="str">
        <v/>
      </c>
      <c r="I369" t="str">
        <v/>
      </c>
      <c r="J369" t="str">
        <v>24/09/2026</v>
      </c>
      <c r="K369" t="str">
        <v>10:36:13</v>
      </c>
      <c r="L369">
        <v>-12.216057</v>
      </c>
      <c r="M369">
        <v>-76.9807</v>
      </c>
      <c r="N369">
        <f>HYPERLINK("https://www.google.com/maps/search/?api=1&amp;query=-12.216057,-76.9807","Avenida Caminos del Inca, Chorrillos, Lima")</f>
      </c>
      <c r="O369" t="str">
        <v>Acelerado y giro brusco</v>
      </c>
      <c r="P369">
        <v>1383.6</v>
      </c>
      <c r="Q369" t="str">
        <v/>
      </c>
      <c r="R369">
        <v>14.8</v>
      </c>
      <c r="S369">
        <v>55.83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88</v>
      </c>
      <c r="AB369" t="str">
        <v>24/09/2026</v>
      </c>
      <c r="AC369" t="str">
        <v>10:36:08</v>
      </c>
      <c r="AD369">
        <f>IF("ONLINE"="NOGPS","GPS Antiguo","En línea")</f>
      </c>
      <c r="AE369">
        <f>IF(0=0,"Sin atender", IF(0=1,"Atendida","Atendida y Reportada"))</f>
      </c>
      <c r="AF369" t="str">
        <v/>
      </c>
      <c r="AG369" t="str">
        <v/>
      </c>
      <c r="AH369" t="str">
        <v/>
      </c>
      <c r="AI369" t="str">
        <v/>
      </c>
      <c r="AJ369" t="str">
        <v>24/09/2026 10:36:26</v>
      </c>
      <c r="AK369" t="str">
        <v>10:36:26</v>
      </c>
      <c r="AL369" t="str">
        <v/>
      </c>
    </row>
    <row r="370">
      <c r="A370">
        <v>369</v>
      </c>
      <c r="B370" t="str">
        <v>MASS BSF</v>
      </c>
      <c r="C370" t="str">
        <v>F8R-810</v>
      </c>
      <c r="D370" t="str">
        <v>F8R-810</v>
      </c>
      <c r="E370" t="str">
        <v/>
      </c>
      <c r="F370" t="str">
        <v>867806078868827</v>
      </c>
      <c r="G370" t="str">
        <v>TBD</v>
      </c>
      <c r="H370" t="str">
        <v/>
      </c>
      <c r="I370" t="str">
        <v/>
      </c>
      <c r="J370" t="str">
        <v>24/09/2026</v>
      </c>
      <c r="K370" t="str">
        <v>10:36:28</v>
      </c>
      <c r="L370">
        <v>-12.2157</v>
      </c>
      <c r="M370">
        <v>-76.98096</v>
      </c>
      <c r="N370">
        <f>HYPERLINK("https://www.google.com/maps/search/?api=1&amp;query=-12.2157,-76.98096","Avenida Caminos del Inca, Chorrillos, Lima")</f>
      </c>
      <c r="O370" t="str">
        <v>Acelerado y giro brusco</v>
      </c>
      <c r="P370">
        <v>1383.7</v>
      </c>
      <c r="Q370" t="str">
        <v/>
      </c>
      <c r="R370">
        <v>19.4</v>
      </c>
      <c r="S370">
        <v>55.83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91</v>
      </c>
      <c r="AB370" t="str">
        <v>24/09/2026</v>
      </c>
      <c r="AC370" t="str">
        <v>10:36:23</v>
      </c>
      <c r="AD370">
        <f>IF("ONLINE"="NOGPS","GPS Antiguo","En línea")</f>
      </c>
      <c r="AE370">
        <f>IF(0=0,"Sin atender", IF(0=1,"Atendida","Atendida y Reportada"))</f>
      </c>
      <c r="AF370" t="str">
        <v/>
      </c>
      <c r="AG370" t="str">
        <v/>
      </c>
      <c r="AH370" t="str">
        <v/>
      </c>
      <c r="AI370" t="str">
        <v/>
      </c>
      <c r="AJ370" t="str">
        <v>24/09/2026 10:36:39</v>
      </c>
      <c r="AK370" t="str">
        <v>10:36:39</v>
      </c>
      <c r="AL370" t="str">
        <v/>
      </c>
    </row>
    <row r="371">
      <c r="A371">
        <v>370</v>
      </c>
      <c r="B371" t="str">
        <v>MASS BSF</v>
      </c>
      <c r="C371" t="str">
        <v>F8R-810</v>
      </c>
      <c r="D371" t="str">
        <v>F8R-810</v>
      </c>
      <c r="E371" t="str">
        <v/>
      </c>
      <c r="F371" t="str">
        <v>867806078868827</v>
      </c>
      <c r="G371" t="str">
        <v>TBD</v>
      </c>
      <c r="H371" t="str">
        <v/>
      </c>
      <c r="I371" t="str">
        <v/>
      </c>
      <c r="J371" t="str">
        <v>24/09/2026</v>
      </c>
      <c r="K371" t="str">
        <v>10:37:02</v>
      </c>
      <c r="L371">
        <v>-12.21727</v>
      </c>
      <c r="M371">
        <v>-76.97961</v>
      </c>
      <c r="N371">
        <f>HYPERLINK("https://www.google.com/maps/search/?api=1&amp;query=-12.21727,-76.97961","Avenida Caminos del Inca, Chorrillos, Lima")</f>
      </c>
      <c r="O371" t="str">
        <v>Acelerado y giro brusco</v>
      </c>
      <c r="P371">
        <v>1383.9</v>
      </c>
      <c r="Q371" t="str">
        <v/>
      </c>
      <c r="R371">
        <v>17.2</v>
      </c>
      <c r="S371">
        <v>55.83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91</v>
      </c>
      <c r="AB371" t="str">
        <v>24/09/2026</v>
      </c>
      <c r="AC371" t="str">
        <v>10:36:57</v>
      </c>
      <c r="AD371">
        <f>IF("ONLINE"="NOGPS","GPS Antiguo","En línea")</f>
      </c>
      <c r="AE371">
        <f>IF(0=0,"Sin atender", IF(0=1,"Atendida","Atendida y Reportada"))</f>
      </c>
      <c r="AF371" t="str">
        <v/>
      </c>
      <c r="AG371" t="str">
        <v/>
      </c>
      <c r="AH371" t="str">
        <v/>
      </c>
      <c r="AI371" t="str">
        <v/>
      </c>
      <c r="AJ371" t="str">
        <v>24/09/2026 10:37:19</v>
      </c>
      <c r="AK371" t="str">
        <v>10:37:19</v>
      </c>
      <c r="AL371" t="str">
        <v/>
      </c>
    </row>
    <row r="372">
      <c r="A372">
        <v>371</v>
      </c>
      <c r="B372" t="str">
        <v>MASS BSF</v>
      </c>
      <c r="C372" t="str">
        <v>F8R-810</v>
      </c>
      <c r="D372" t="str">
        <v>F8R-810</v>
      </c>
      <c r="E372" t="str">
        <v/>
      </c>
      <c r="F372" t="str">
        <v>867806078868827</v>
      </c>
      <c r="G372" t="str">
        <v>TBD</v>
      </c>
      <c r="H372" t="str">
        <v/>
      </c>
      <c r="I372" t="str">
        <v/>
      </c>
      <c r="J372" t="str">
        <v>24/09/2026</v>
      </c>
      <c r="K372" t="str">
        <v>10:37:40</v>
      </c>
      <c r="L372">
        <v>-12.219916</v>
      </c>
      <c r="M372">
        <v>-76.97708</v>
      </c>
      <c r="N372">
        <f>HYPERLINK("https://www.google.com/maps/search/?api=1&amp;query=-12.219916,-76.97708","Chorrillos, Lima")</f>
      </c>
      <c r="O372" t="str">
        <v>Acelerado y giro brusco</v>
      </c>
      <c r="P372">
        <v>1384.3</v>
      </c>
      <c r="Q372" t="str">
        <v/>
      </c>
      <c r="R372">
        <v>54.6</v>
      </c>
      <c r="S372">
        <v>55.83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91</v>
      </c>
      <c r="AB372" t="str">
        <v>24/09/2026</v>
      </c>
      <c r="AC372" t="str">
        <v>10:37:36</v>
      </c>
      <c r="AD372">
        <f>IF("ONLINE"="NOGPS","GPS Antiguo","En línea")</f>
      </c>
      <c r="AE372">
        <f>IF(0=0,"Sin atender", IF(0=1,"Atendida","Atendida y Reportada"))</f>
      </c>
      <c r="AF372" t="str">
        <v/>
      </c>
      <c r="AG372" t="str">
        <v/>
      </c>
      <c r="AH372" t="str">
        <v/>
      </c>
      <c r="AI372" t="str">
        <v/>
      </c>
      <c r="AJ372" t="str">
        <v>24/09/2026 10:37:56</v>
      </c>
      <c r="AK372" t="str">
        <v>10:37:56</v>
      </c>
      <c r="AL372" t="str">
        <v/>
      </c>
    </row>
    <row r="373">
      <c r="A373">
        <v>372</v>
      </c>
      <c r="B373" t="str">
        <v>MASS BSF</v>
      </c>
      <c r="C373" t="str">
        <v>F8R-810</v>
      </c>
      <c r="D373" t="str">
        <v>F8R-810</v>
      </c>
      <c r="E373" t="str">
        <v/>
      </c>
      <c r="F373" t="str">
        <v>867806078868827</v>
      </c>
      <c r="G373" t="str">
        <v>TBD</v>
      </c>
      <c r="H373" t="str">
        <v/>
      </c>
      <c r="I373" t="str">
        <v/>
      </c>
      <c r="J373" t="str">
        <v>24/09/2026</v>
      </c>
      <c r="K373" t="str">
        <v>10:37:40</v>
      </c>
      <c r="L373">
        <v>-12.219916</v>
      </c>
      <c r="M373">
        <v>-76.97708</v>
      </c>
      <c r="N373">
        <f>HYPERLINK("https://www.google.com/maps/search/?api=1&amp;query=-12.219916,-76.97708","Chorrillos, Lima")</f>
      </c>
      <c r="O373" t="str">
        <v>Acelerado y giro brusco</v>
      </c>
      <c r="P373">
        <v>1384.3</v>
      </c>
      <c r="Q373" t="str">
        <v/>
      </c>
      <c r="R373">
        <v>54.6</v>
      </c>
      <c r="S373">
        <v>55.83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91</v>
      </c>
      <c r="AB373" t="str">
        <v>24/09/2026</v>
      </c>
      <c r="AC373" t="str">
        <v>10:37:36</v>
      </c>
      <c r="AD373">
        <f>IF("ONLINE"="NOGPS","GPS Antiguo","En línea")</f>
      </c>
      <c r="AE373">
        <f>IF(0=0,"Sin atender", IF(0=1,"Atendida","Atendida y Reportada"))</f>
      </c>
      <c r="AF373" t="str">
        <v/>
      </c>
      <c r="AG373" t="str">
        <v/>
      </c>
      <c r="AH373" t="str">
        <v/>
      </c>
      <c r="AI373" t="str">
        <v/>
      </c>
      <c r="AJ373" t="str">
        <v>24/09/2026 10:38:08</v>
      </c>
      <c r="AK373" t="str">
        <v>10:38:08</v>
      </c>
      <c r="AL373" t="str">
        <v/>
      </c>
    </row>
    <row r="374">
      <c r="A374">
        <v>373</v>
      </c>
      <c r="B374" t="str">
        <v>MASS BSF</v>
      </c>
      <c r="C374" t="str">
        <v>F8R-810</v>
      </c>
      <c r="D374" t="str">
        <v>F8R-810</v>
      </c>
      <c r="E374" t="str">
        <v/>
      </c>
      <c r="F374" t="str">
        <v>867806078868827</v>
      </c>
      <c r="G374" t="str">
        <v>TBD</v>
      </c>
      <c r="H374" t="str">
        <v/>
      </c>
      <c r="I374" t="str">
        <v/>
      </c>
      <c r="J374" t="str">
        <v>24/09/2026</v>
      </c>
      <c r="K374" t="str">
        <v>10:37:48</v>
      </c>
      <c r="L374">
        <v>-12.220674</v>
      </c>
      <c r="M374">
        <v>-76.9765</v>
      </c>
      <c r="N374">
        <f>HYPERLINK("https://www.google.com/maps/search/?api=1&amp;query=-12.220674,-76.9765","Carretera Panamericana Sur, Chorrillos, Lima")</f>
      </c>
      <c r="O374" t="str">
        <v>Bache</v>
      </c>
      <c r="P374">
        <v>1384.4</v>
      </c>
      <c r="Q374" t="str">
        <v/>
      </c>
      <c r="R374">
        <v>52</v>
      </c>
      <c r="S374">
        <v>55.83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91</v>
      </c>
      <c r="AB374" t="str">
        <v>24/09/2026</v>
      </c>
      <c r="AC374" t="str">
        <v>10:37:43</v>
      </c>
      <c r="AD374">
        <f>IF("ONLINE"="NOGPS","GPS Antiguo","En línea")</f>
      </c>
      <c r="AE374">
        <f>IF(0=0,"Sin atender", IF(0=1,"Atendida","Atendida y Reportada"))</f>
      </c>
      <c r="AF374" t="str">
        <v/>
      </c>
      <c r="AG374" t="str">
        <v/>
      </c>
      <c r="AH374" t="str">
        <v/>
      </c>
      <c r="AI374" t="str">
        <v/>
      </c>
      <c r="AJ374" t="str">
        <v>24/09/2026 10:38:08</v>
      </c>
      <c r="AK374" t="str">
        <v>10:38:08</v>
      </c>
      <c r="AL374" t="str">
        <v/>
      </c>
    </row>
    <row r="375">
      <c r="A375">
        <v>374</v>
      </c>
      <c r="B375" t="str">
        <v>MASS BSF</v>
      </c>
      <c r="C375" t="str">
        <v>F8R-810</v>
      </c>
      <c r="D375" t="str">
        <v>F8R-810</v>
      </c>
      <c r="E375" t="str">
        <v/>
      </c>
      <c r="F375" t="str">
        <v>867806078868827</v>
      </c>
      <c r="G375" t="str">
        <v>TBD</v>
      </c>
      <c r="H375" t="str">
        <v/>
      </c>
      <c r="I375" t="str">
        <v/>
      </c>
      <c r="J375" t="str">
        <v>24/09/2026</v>
      </c>
      <c r="K375" t="str">
        <v>10:38:34</v>
      </c>
      <c r="L375">
        <v>-12.22509</v>
      </c>
      <c r="M375">
        <v>-76.97216</v>
      </c>
      <c r="N375">
        <f>HYPERLINK("https://www.google.com/maps/search/?api=1&amp;query=-12.22509,-76.97216","Carretera Panamericana Sur, Villa El Salvador, Lima")</f>
      </c>
      <c r="O375" t="str">
        <v>Acelerado y giro brusco</v>
      </c>
      <c r="P375">
        <v>1385.1</v>
      </c>
      <c r="Q375" t="str">
        <v/>
      </c>
      <c r="R375">
        <v>50.1</v>
      </c>
      <c r="S375">
        <v>55.83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91</v>
      </c>
      <c r="AB375" t="str">
        <v>24/09/2026</v>
      </c>
      <c r="AC375" t="str">
        <v>10:38:30</v>
      </c>
      <c r="AD375">
        <f>IF("ONLINE"="NOGPS","GPS Antiguo","En línea")</f>
      </c>
      <c r="AE375">
        <f>IF(0=0,"Sin atender", IF(0=1,"Atendida","Atendida y Reportada"))</f>
      </c>
      <c r="AF375" t="str">
        <v/>
      </c>
      <c r="AG375" t="str">
        <v/>
      </c>
      <c r="AH375" t="str">
        <v/>
      </c>
      <c r="AI375" t="str">
        <v/>
      </c>
      <c r="AJ375" t="str">
        <v>24/09/2026 10:38:47</v>
      </c>
      <c r="AK375" t="str">
        <v>10:38:47</v>
      </c>
      <c r="AL375" t="str">
        <v/>
      </c>
    </row>
    <row r="376">
      <c r="A376">
        <v>375</v>
      </c>
      <c r="B376" t="str">
        <v>MASS BSF</v>
      </c>
      <c r="C376" t="str">
        <v>F8R-810</v>
      </c>
      <c r="D376" t="str">
        <v>F8R-810</v>
      </c>
      <c r="E376" t="str">
        <v/>
      </c>
      <c r="F376" t="str">
        <v>867806078868827</v>
      </c>
      <c r="G376" t="str">
        <v>TBD</v>
      </c>
      <c r="H376" t="str">
        <v/>
      </c>
      <c r="I376" t="str">
        <v/>
      </c>
      <c r="J376" t="str">
        <v>24/09/2026</v>
      </c>
      <c r="K376" t="str">
        <v>10:39:22</v>
      </c>
      <c r="L376">
        <v>-12.227402</v>
      </c>
      <c r="M376">
        <v>-76.96987</v>
      </c>
      <c r="N376">
        <f>HYPERLINK("https://www.google.com/maps/search/?api=1&amp;query=-12.227402,-76.96987","Carretera Panamericana Sur, Villa El Salvador, Lima")</f>
      </c>
      <c r="O376" t="str">
        <v>Aceleración brusca</v>
      </c>
      <c r="P376">
        <v>1385.5</v>
      </c>
      <c r="Q376" t="str">
        <v/>
      </c>
      <c r="R376">
        <v>35</v>
      </c>
      <c r="S376">
        <v>55.83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85</v>
      </c>
      <c r="AB376" t="str">
        <v>24/09/2026</v>
      </c>
      <c r="AC376" t="str">
        <v>10:39:18</v>
      </c>
      <c r="AD376">
        <f>IF("ONLINE"="NOGPS","GPS Antiguo","En línea")</f>
      </c>
      <c r="AE376">
        <f>IF(0=0,"Sin atender", IF(0=1,"Atendida","Atendida y Reportada"))</f>
      </c>
      <c r="AF376" t="str">
        <v/>
      </c>
      <c r="AG376" t="str">
        <v/>
      </c>
      <c r="AH376" t="str">
        <v/>
      </c>
      <c r="AI376" t="str">
        <v/>
      </c>
      <c r="AJ376" t="str">
        <v>24/09/2026 10:39:40</v>
      </c>
      <c r="AK376" t="str">
        <v>10:39:40</v>
      </c>
      <c r="AL376" t="str">
        <v/>
      </c>
    </row>
    <row r="377">
      <c r="A377">
        <v>376</v>
      </c>
      <c r="B377" t="str">
        <v>MASS BSF</v>
      </c>
      <c r="C377" t="str">
        <v>F8R-810</v>
      </c>
      <c r="D377" t="str">
        <v>F8R-810</v>
      </c>
      <c r="E377" t="str">
        <v/>
      </c>
      <c r="F377" t="str">
        <v>867806078868827</v>
      </c>
      <c r="G377" t="str">
        <v>TBD</v>
      </c>
      <c r="H377" t="str">
        <v/>
      </c>
      <c r="I377" t="str">
        <v/>
      </c>
      <c r="J377" t="str">
        <v>24/09/2026</v>
      </c>
      <c r="K377" t="str">
        <v>10:39:32</v>
      </c>
      <c r="L377">
        <v>-12.227888</v>
      </c>
      <c r="M377">
        <v>-76.96928</v>
      </c>
      <c r="N377">
        <f>HYPERLINK("https://www.google.com/maps/search/?api=1&amp;query=-12.227888,-76.96928","Carretera Panamericana Sur, Villa El Salvador, Lima")</f>
      </c>
      <c r="O377" t="str">
        <v>Aceleración brusca</v>
      </c>
      <c r="P377">
        <v>1385.5</v>
      </c>
      <c r="Q377" t="str">
        <v/>
      </c>
      <c r="R377">
        <v>34.2</v>
      </c>
      <c r="S377">
        <v>55.83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85</v>
      </c>
      <c r="AB377" t="str">
        <v>24/09/2026</v>
      </c>
      <c r="AC377" t="str">
        <v>10:39:27</v>
      </c>
      <c r="AD377">
        <f>IF("ONLINE"="NOGPS","GPS Antiguo","En línea")</f>
      </c>
      <c r="AE377">
        <f>IF(0=0,"Sin atender", IF(0=1,"Atendida","Atendida y Reportada"))</f>
      </c>
      <c r="AF377" t="str">
        <v/>
      </c>
      <c r="AG377" t="str">
        <v/>
      </c>
      <c r="AH377" t="str">
        <v/>
      </c>
      <c r="AI377" t="str">
        <v/>
      </c>
      <c r="AJ377" t="str">
        <v>24/09/2026 10:39:48</v>
      </c>
      <c r="AK377" t="str">
        <v>10:39:48</v>
      </c>
      <c r="AL377" t="str">
        <v/>
      </c>
    </row>
    <row r="378">
      <c r="A378">
        <v>377</v>
      </c>
      <c r="B378" t="str">
        <v>MASS BSF</v>
      </c>
      <c r="C378" t="str">
        <v>F8R-810</v>
      </c>
      <c r="D378" t="str">
        <v>F8R-810</v>
      </c>
      <c r="E378" t="str">
        <v/>
      </c>
      <c r="F378" t="str">
        <v>867806078868827</v>
      </c>
      <c r="G378" t="str">
        <v>TBD</v>
      </c>
      <c r="H378" t="str">
        <v/>
      </c>
      <c r="I378" t="str">
        <v/>
      </c>
      <c r="J378" t="str">
        <v>24/09/2026</v>
      </c>
      <c r="K378" t="str">
        <v>10:39:37</v>
      </c>
      <c r="L378">
        <v>-12.228323</v>
      </c>
      <c r="M378">
        <v>-76.96891</v>
      </c>
      <c r="N378">
        <f>HYPERLINK("https://www.google.com/maps/search/?api=1&amp;query=-12.228323,-76.96891","Carretera Panamericana Sur, Villa El Salvador, Lima")</f>
      </c>
      <c r="O378" t="str">
        <v>Aceleración brusca</v>
      </c>
      <c r="P378">
        <v>1385.6</v>
      </c>
      <c r="Q378" t="str">
        <v/>
      </c>
      <c r="R378">
        <v>42.9</v>
      </c>
      <c r="S378">
        <v>55.83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85</v>
      </c>
      <c r="AB378" t="str">
        <v>24/09/2026</v>
      </c>
      <c r="AC378" t="str">
        <v>10:39:33</v>
      </c>
      <c r="AD378">
        <f>IF("ONLINE"="NOGPS","GPS Antiguo","En línea")</f>
      </c>
      <c r="AE378">
        <f>IF(0=0,"Sin atender", IF(0=1,"Atendida","Atendida y Reportada"))</f>
      </c>
      <c r="AF378" t="str">
        <v/>
      </c>
      <c r="AG378" t="str">
        <v/>
      </c>
      <c r="AH378" t="str">
        <v/>
      </c>
      <c r="AI378" t="str">
        <v/>
      </c>
      <c r="AJ378" t="str">
        <v>24/09/2026 10:39:57</v>
      </c>
      <c r="AK378" t="str">
        <v>10:39:57</v>
      </c>
      <c r="AL378" t="str">
        <v/>
      </c>
    </row>
    <row r="379">
      <c r="A379">
        <v>378</v>
      </c>
      <c r="B379" t="str">
        <v>MASS BSF</v>
      </c>
      <c r="C379" t="str">
        <v>F8R-810</v>
      </c>
      <c r="D379" t="str">
        <v>F8R-810</v>
      </c>
      <c r="E379" t="str">
        <v/>
      </c>
      <c r="F379" t="str">
        <v>867806078868827</v>
      </c>
      <c r="G379" t="str">
        <v>TBD</v>
      </c>
      <c r="H379" t="str">
        <v/>
      </c>
      <c r="I379" t="str">
        <v/>
      </c>
      <c r="J379" t="str">
        <v>24/09/2026</v>
      </c>
      <c r="K379" t="str">
        <v>10:39:54</v>
      </c>
      <c r="L379">
        <v>-12.22977</v>
      </c>
      <c r="M379">
        <v>-76.96752</v>
      </c>
      <c r="N379">
        <f>HYPERLINK("https://www.google.com/maps/search/?api=1&amp;query=-12.22977,-76.96752","Carretera Panamericana Sur, Villa El Salvador, Lima")</f>
      </c>
      <c r="O379" t="str">
        <v>Acelerado y giro brusco</v>
      </c>
      <c r="P379">
        <v>1385.8</v>
      </c>
      <c r="Q379" t="str">
        <v/>
      </c>
      <c r="R379">
        <v>57</v>
      </c>
      <c r="S379">
        <v>55.83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85</v>
      </c>
      <c r="AB379" t="str">
        <v>24/09/2026</v>
      </c>
      <c r="AC379" t="str">
        <v>10:39:49</v>
      </c>
      <c r="AD379">
        <f>IF("ONLINE"="NOGPS","GPS Antiguo","En línea")</f>
      </c>
      <c r="AE379">
        <f>IF(0=0,"Sin atender", IF(0=1,"Atendida","Atendida y Reportada"))</f>
      </c>
      <c r="AF379" t="str">
        <v/>
      </c>
      <c r="AG379" t="str">
        <v/>
      </c>
      <c r="AH379" t="str">
        <v/>
      </c>
      <c r="AI379" t="str">
        <v/>
      </c>
      <c r="AJ379" t="str">
        <v>24/09/2026 10:40:03</v>
      </c>
      <c r="AK379" t="str">
        <v>10:40:03</v>
      </c>
      <c r="AL379" t="str">
        <v/>
      </c>
    </row>
    <row r="380">
      <c r="A380">
        <v>379</v>
      </c>
      <c r="B380" t="str">
        <v>MASS BSF</v>
      </c>
      <c r="C380" t="str">
        <v>F8R-810</v>
      </c>
      <c r="D380" t="str">
        <v>F8R-810</v>
      </c>
      <c r="E380" t="str">
        <v/>
      </c>
      <c r="F380" t="str">
        <v>867806078868827</v>
      </c>
      <c r="G380" t="str">
        <v>TBD</v>
      </c>
      <c r="H380" t="str">
        <v/>
      </c>
      <c r="I380" t="str">
        <v/>
      </c>
      <c r="J380" t="str">
        <v>24/09/2026</v>
      </c>
      <c r="K380" t="str">
        <v>10:40:13</v>
      </c>
      <c r="L380">
        <v>-12.231457</v>
      </c>
      <c r="M380">
        <v>-76.96525</v>
      </c>
      <c r="N380">
        <f>HYPERLINK("https://www.google.com/maps/search/?api=1&amp;query=-12.231457,-76.96525","Carretera Panamericana Sur, Villa El Salvador, Lima")</f>
      </c>
      <c r="O380" t="str">
        <v>Acelerado y giro brusco</v>
      </c>
      <c r="P380">
        <v>1386.1</v>
      </c>
      <c r="Q380" t="str">
        <v/>
      </c>
      <c r="R380">
        <v>60.3</v>
      </c>
      <c r="S380">
        <v>55.83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85</v>
      </c>
      <c r="AB380" t="str">
        <v>24/09/2026</v>
      </c>
      <c r="AC380" t="str">
        <v>10:40:08</v>
      </c>
      <c r="AD380">
        <f>IF("ONLINE"="NOGPS","GPS Antiguo","En línea")</f>
      </c>
      <c r="AE380">
        <f>IF(0=0,"Sin atender", IF(0=1,"Atendida","Atendida y Reportada"))</f>
      </c>
      <c r="AF380" t="str">
        <v/>
      </c>
      <c r="AG380" t="str">
        <v/>
      </c>
      <c r="AH380" t="str">
        <v/>
      </c>
      <c r="AI380" t="str">
        <v/>
      </c>
      <c r="AJ380" t="str">
        <v>24/09/2026 10:40:38</v>
      </c>
      <c r="AK380" t="str">
        <v>10:40:38</v>
      </c>
      <c r="AL380" t="str">
        <v/>
      </c>
    </row>
    <row r="381">
      <c r="A381">
        <v>380</v>
      </c>
      <c r="B381" t="str">
        <v>MASS BSF</v>
      </c>
      <c r="C381" t="str">
        <v>F8R-810</v>
      </c>
      <c r="D381" t="str">
        <v>F8R-810</v>
      </c>
      <c r="E381" t="str">
        <v/>
      </c>
      <c r="F381" t="str">
        <v>867806078868827</v>
      </c>
      <c r="G381" t="str">
        <v>TBD</v>
      </c>
      <c r="H381" t="str">
        <v/>
      </c>
      <c r="I381" t="str">
        <v/>
      </c>
      <c r="J381" t="str">
        <v>24/09/2026</v>
      </c>
      <c r="K381" t="str">
        <v>10:40:26</v>
      </c>
      <c r="L381">
        <v>-12.232353</v>
      </c>
      <c r="M381">
        <v>-76.96353</v>
      </c>
      <c r="N381">
        <f>HYPERLINK("https://www.google.com/maps/search/?api=1&amp;query=-12.232353,-76.96353","Carretera Panamericana Sur, Villa El Salvador, Lima")</f>
      </c>
      <c r="O381" t="str">
        <v>Acelerado y giro brusco</v>
      </c>
      <c r="P381">
        <v>1386.3</v>
      </c>
      <c r="Q381" t="str">
        <v/>
      </c>
      <c r="R381">
        <v>55</v>
      </c>
      <c r="S381">
        <v>55.83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85</v>
      </c>
      <c r="AB381" t="str">
        <v>24/09/2026</v>
      </c>
      <c r="AC381" t="str">
        <v>10:40:21</v>
      </c>
      <c r="AD381">
        <f>IF("ONLINE"="NOGPS","GPS Antiguo","En línea")</f>
      </c>
      <c r="AE381">
        <f>IF(0=0,"Sin atender", IF(0=1,"Atendida","Atendida y Reportada"))</f>
      </c>
      <c r="AF381" t="str">
        <v/>
      </c>
      <c r="AG381" t="str">
        <v/>
      </c>
      <c r="AH381" t="str">
        <v/>
      </c>
      <c r="AI381" t="str">
        <v/>
      </c>
      <c r="AJ381" t="str">
        <v>24/09/2026 10:40:36</v>
      </c>
      <c r="AK381" t="str">
        <v>10:40:36</v>
      </c>
      <c r="AL381" t="str">
        <v/>
      </c>
    </row>
    <row r="382">
      <c r="A382">
        <v>381</v>
      </c>
      <c r="B382" t="str">
        <v>MASS BSF</v>
      </c>
      <c r="C382" t="str">
        <v>F8R-810</v>
      </c>
      <c r="D382" t="str">
        <v>F8R-810</v>
      </c>
      <c r="E382" t="str">
        <v/>
      </c>
      <c r="F382" t="str">
        <v>867806078868827</v>
      </c>
      <c r="G382" t="str">
        <v>TBD</v>
      </c>
      <c r="H382" t="str">
        <v/>
      </c>
      <c r="I382" t="str">
        <v/>
      </c>
      <c r="J382" t="str">
        <v>24/09/2026</v>
      </c>
      <c r="K382" t="str">
        <v>10:40:38</v>
      </c>
      <c r="L382">
        <v>-12.233028</v>
      </c>
      <c r="M382">
        <v>-76.96223</v>
      </c>
      <c r="N382">
        <f>HYPERLINK("https://www.google.com/maps/search/?api=1&amp;query=-12.233028,-76.96223","Carretera Panamericana Sur, Villa El Salvador, Lima")</f>
      </c>
      <c r="O382" t="str">
        <v>Aceleración brusca</v>
      </c>
      <c r="P382">
        <v>1386.5</v>
      </c>
      <c r="Q382" t="str">
        <v/>
      </c>
      <c r="R382">
        <v>44.2</v>
      </c>
      <c r="S382">
        <v>55.83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85</v>
      </c>
      <c r="AB382" t="str">
        <v>24/09/2026</v>
      </c>
      <c r="AC382" t="str">
        <v>10:40:33</v>
      </c>
      <c r="AD382">
        <f>IF("ONLINE"="NOGPS","GPS Antiguo","En línea")</f>
      </c>
      <c r="AE382">
        <f>IF(0=0,"Sin atender", IF(0=1,"Atendida","Atendida y Reportada"))</f>
      </c>
      <c r="AF382" t="str">
        <v/>
      </c>
      <c r="AG382" t="str">
        <v/>
      </c>
      <c r="AH382" t="str">
        <v/>
      </c>
      <c r="AI382" t="str">
        <v/>
      </c>
      <c r="AJ382" t="str">
        <v>24/09/2026 10:40:53</v>
      </c>
      <c r="AK382" t="str">
        <v>10:40:53</v>
      </c>
      <c r="AL382" t="str">
        <v/>
      </c>
    </row>
    <row r="383">
      <c r="A383">
        <v>382</v>
      </c>
      <c r="B383" t="str">
        <v>MASS BSF</v>
      </c>
      <c r="C383" t="str">
        <v>F8R-810</v>
      </c>
      <c r="D383" t="str">
        <v>F8R-810</v>
      </c>
      <c r="E383" t="str">
        <v/>
      </c>
      <c r="F383" t="str">
        <v>867806078868827</v>
      </c>
      <c r="G383" t="str">
        <v>TBD</v>
      </c>
      <c r="H383" t="str">
        <v/>
      </c>
      <c r="I383" t="str">
        <v/>
      </c>
      <c r="J383" t="str">
        <v>24/09/2026</v>
      </c>
      <c r="K383" t="str">
        <v>10:40:57</v>
      </c>
      <c r="L383">
        <v>-12.233956</v>
      </c>
      <c r="M383">
        <v>-76.96049</v>
      </c>
      <c r="N383">
        <f>HYPERLINK("https://www.google.com/maps/search/?api=1&amp;query=-12.233956,-76.96049","Carretera Panamericana Sur, Villa El Salvador, Lima")</f>
      </c>
      <c r="O383" t="str">
        <v>Acelerado y giro brusco</v>
      </c>
      <c r="P383">
        <v>1386.7</v>
      </c>
      <c r="Q383" t="str">
        <v/>
      </c>
      <c r="R383">
        <v>33.8</v>
      </c>
      <c r="S383">
        <v>55.83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85</v>
      </c>
      <c r="AB383" t="str">
        <v>24/09/2026</v>
      </c>
      <c r="AC383" t="str">
        <v>10:40:53</v>
      </c>
      <c r="AD383">
        <f>IF("ONLINE"="NOGPS","GPS Antiguo","En línea")</f>
      </c>
      <c r="AE383">
        <f>IF(0=0,"Sin atender", IF(0=1,"Atendida","Atendida y Reportada"))</f>
      </c>
      <c r="AF383" t="str">
        <v/>
      </c>
      <c r="AG383" t="str">
        <v/>
      </c>
      <c r="AH383" t="str">
        <v/>
      </c>
      <c r="AI383" t="str">
        <v/>
      </c>
      <c r="AJ383" t="str">
        <v>24/09/2026 10:41:07</v>
      </c>
      <c r="AK383" t="str">
        <v>10:41:07</v>
      </c>
      <c r="AL383" t="str">
        <v/>
      </c>
    </row>
    <row r="384">
      <c r="A384">
        <v>383</v>
      </c>
      <c r="B384" t="str">
        <v>MASS BSF</v>
      </c>
      <c r="C384" t="str">
        <v>F8R-810</v>
      </c>
      <c r="D384" t="str">
        <v>F8R-810</v>
      </c>
      <c r="E384" t="str">
        <v/>
      </c>
      <c r="F384" t="str">
        <v>867806078868827</v>
      </c>
      <c r="G384" t="str">
        <v>TBD</v>
      </c>
      <c r="H384" t="str">
        <v/>
      </c>
      <c r="I384" t="str">
        <v/>
      </c>
      <c r="J384" t="str">
        <v>24/09/2026</v>
      </c>
      <c r="K384" t="str">
        <v>10:41:05</v>
      </c>
      <c r="L384">
        <v>-12.23416</v>
      </c>
      <c r="M384">
        <v>-76.96007</v>
      </c>
      <c r="N384">
        <f>HYPERLINK("https://www.google.com/maps/search/?api=1&amp;query=-12.23416,-76.96007","Carretera Panamericana Sur, Villa El Salvador, Lima")</f>
      </c>
      <c r="O384" t="str">
        <v>Acelerado y giro brusco</v>
      </c>
      <c r="P384">
        <v>1386.8</v>
      </c>
      <c r="Q384" t="str">
        <v/>
      </c>
      <c r="R384">
        <v>22.9</v>
      </c>
      <c r="S384">
        <v>55.83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85</v>
      </c>
      <c r="AB384" t="str">
        <v>24/09/2026</v>
      </c>
      <c r="AC384" t="str">
        <v>10:41:00</v>
      </c>
      <c r="AD384">
        <f>IF("ONLINE"="NOGPS","GPS Antiguo","En línea")</f>
      </c>
      <c r="AE384">
        <f>IF(0=0,"Sin atender", IF(0=1,"Atendida","Atendida y Reportada"))</f>
      </c>
      <c r="AF384" t="str">
        <v/>
      </c>
      <c r="AG384" t="str">
        <v/>
      </c>
      <c r="AH384" t="str">
        <v/>
      </c>
      <c r="AI384" t="str">
        <v/>
      </c>
      <c r="AJ384" t="str">
        <v>24/09/2026 10:41:05</v>
      </c>
      <c r="AK384" t="str">
        <v>10:41:05</v>
      </c>
      <c r="AL384" t="str">
        <v/>
      </c>
    </row>
    <row r="385">
      <c r="A385">
        <v>384</v>
      </c>
      <c r="B385" t="str">
        <v>MASS BSF</v>
      </c>
      <c r="C385" t="str">
        <v>F8R-810</v>
      </c>
      <c r="D385" t="str">
        <v>F8R-810</v>
      </c>
      <c r="E385" t="str">
        <v/>
      </c>
      <c r="F385" t="str">
        <v>867806078868827</v>
      </c>
      <c r="G385" t="str">
        <v>TBD</v>
      </c>
      <c r="H385" t="str">
        <v/>
      </c>
      <c r="I385" t="str">
        <v/>
      </c>
      <c r="J385" t="str">
        <v>24/09/2026</v>
      </c>
      <c r="K385" t="str">
        <v>10:41:23</v>
      </c>
      <c r="L385">
        <v>-12.23471</v>
      </c>
      <c r="M385">
        <v>-76.958984</v>
      </c>
      <c r="N385">
        <f>HYPERLINK("https://www.google.com/maps/search/?api=1&amp;query=-12.23471,-76.958984","Carretera Panamericana Sur, Villa El Salvador, Lima")</f>
      </c>
      <c r="O385" t="str">
        <v>Aceleración brusca</v>
      </c>
      <c r="P385">
        <v>1386.9</v>
      </c>
      <c r="Q385" t="str">
        <v/>
      </c>
      <c r="R385">
        <v>32</v>
      </c>
      <c r="S385">
        <v>55.83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85</v>
      </c>
      <c r="AB385" t="str">
        <v>24/09/2026</v>
      </c>
      <c r="AC385" t="str">
        <v>10:41:18</v>
      </c>
      <c r="AD385">
        <f>IF("ONLINE"="NOGPS","GPS Antiguo","En línea")</f>
      </c>
      <c r="AE385">
        <f>IF(0=0,"Sin atender", IF(0=1,"Atendida","Atendida y Reportada"))</f>
      </c>
      <c r="AF385" t="str">
        <v/>
      </c>
      <c r="AG385" t="str">
        <v/>
      </c>
      <c r="AH385" t="str">
        <v/>
      </c>
      <c r="AI385" t="str">
        <v/>
      </c>
      <c r="AJ385" t="str">
        <v>24/09/2026 10:41:46</v>
      </c>
      <c r="AK385" t="str">
        <v>10:41:46</v>
      </c>
      <c r="AL385" t="str">
        <v/>
      </c>
    </row>
    <row r="386">
      <c r="A386">
        <v>385</v>
      </c>
      <c r="B386" t="str">
        <v>MASS BSF</v>
      </c>
      <c r="C386" t="str">
        <v>F8R-810</v>
      </c>
      <c r="D386" t="str">
        <v>F8R-810</v>
      </c>
      <c r="E386" t="str">
        <v/>
      </c>
      <c r="F386" t="str">
        <v>867806078868827</v>
      </c>
      <c r="G386" t="str">
        <v>TBD</v>
      </c>
      <c r="H386" t="str">
        <v/>
      </c>
      <c r="I386" t="str">
        <v/>
      </c>
      <c r="J386" t="str">
        <v>24/09/2026</v>
      </c>
      <c r="K386" t="str">
        <v>10:41:27</v>
      </c>
      <c r="L386">
        <v>-12.234867</v>
      </c>
      <c r="M386">
        <v>-76.95869</v>
      </c>
      <c r="N386">
        <f>HYPERLINK("https://www.google.com/maps/search/?api=1&amp;query=-12.234867,-76.95869","Carretera Panamericana Sur, Villa El Salvador, Lima")</f>
      </c>
      <c r="O386" t="str">
        <v>Acelerado y giro brusco</v>
      </c>
      <c r="P386">
        <v>1386.9</v>
      </c>
      <c r="Q386" t="str">
        <v/>
      </c>
      <c r="R386">
        <v>34.4</v>
      </c>
      <c r="S386">
        <v>55.83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85</v>
      </c>
      <c r="AB386" t="str">
        <v>24/09/2026</v>
      </c>
      <c r="AC386" t="str">
        <v>10:41:22</v>
      </c>
      <c r="AD386">
        <f>IF("ONLINE"="NOGPS","GPS Antiguo","En línea")</f>
      </c>
      <c r="AE386">
        <f>IF(0=0,"Sin atender", IF(0=1,"Atendida","Atendida y Reportada"))</f>
      </c>
      <c r="AF386" t="str">
        <v/>
      </c>
      <c r="AG386" t="str">
        <v/>
      </c>
      <c r="AH386" t="str">
        <v/>
      </c>
      <c r="AI386" t="str">
        <v/>
      </c>
      <c r="AJ386" t="str">
        <v>24/09/2026 10:41:37</v>
      </c>
      <c r="AK386" t="str">
        <v>10:41:37</v>
      </c>
      <c r="AL386" t="str">
        <v/>
      </c>
    </row>
    <row r="387">
      <c r="A387">
        <v>386</v>
      </c>
      <c r="B387" t="str">
        <v>MASS BSF</v>
      </c>
      <c r="C387" t="str">
        <v>F8R-810</v>
      </c>
      <c r="D387" t="str">
        <v>F8R-810</v>
      </c>
      <c r="E387" t="str">
        <v/>
      </c>
      <c r="F387" t="str">
        <v>867806078868827</v>
      </c>
      <c r="G387" t="str">
        <v>TBD</v>
      </c>
      <c r="H387" t="str">
        <v/>
      </c>
      <c r="I387" t="str">
        <v/>
      </c>
      <c r="J387" t="str">
        <v>24/09/2026</v>
      </c>
      <c r="K387" t="str">
        <v>10:41:39</v>
      </c>
      <c r="L387">
        <v>-12.235385</v>
      </c>
      <c r="M387">
        <v>-76.957695</v>
      </c>
      <c r="N387">
        <f>HYPERLINK("https://www.google.com/maps/search/?api=1&amp;query=-12.235385,-76.957695","Carretera Panamericana Sur, Villa El Salvador, Lima")</f>
      </c>
      <c r="O387" t="str">
        <v>Acelerado y giro brusco</v>
      </c>
      <c r="P387">
        <v>1387.1</v>
      </c>
      <c r="Q387" t="str">
        <v/>
      </c>
      <c r="R387">
        <v>38.5</v>
      </c>
      <c r="S387">
        <v>55.83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85</v>
      </c>
      <c r="AB387" t="str">
        <v>24/09/2026</v>
      </c>
      <c r="AC387" t="str">
        <v>10:41:34</v>
      </c>
      <c r="AD387">
        <f>IF("ONLINE"="NOGPS","GPS Antiguo","En línea")</f>
      </c>
      <c r="AE387">
        <f>IF(0=0,"Sin atender", IF(0=1,"Atendida","Atendida y Reportada"))</f>
      </c>
      <c r="AF387" t="str">
        <v/>
      </c>
      <c r="AG387" t="str">
        <v/>
      </c>
      <c r="AH387" t="str">
        <v/>
      </c>
      <c r="AI387" t="str">
        <v/>
      </c>
      <c r="AJ387" t="str">
        <v>24/09/2026 10:41:55</v>
      </c>
      <c r="AK387" t="str">
        <v>10:41:55</v>
      </c>
      <c r="AL387" t="str">
        <v/>
      </c>
    </row>
    <row r="388">
      <c r="A388">
        <v>387</v>
      </c>
      <c r="B388" t="str">
        <v>MASS BSF</v>
      </c>
      <c r="C388" t="str">
        <v>F8R-810</v>
      </c>
      <c r="D388" t="str">
        <v>F8R-810</v>
      </c>
      <c r="E388" t="str">
        <v/>
      </c>
      <c r="F388" t="str">
        <v>867806078868827</v>
      </c>
      <c r="G388" t="str">
        <v>TBD</v>
      </c>
      <c r="H388" t="str">
        <v/>
      </c>
      <c r="I388" t="str">
        <v/>
      </c>
      <c r="J388" t="str">
        <v>24/09/2026</v>
      </c>
      <c r="K388" t="str">
        <v>10:42:00</v>
      </c>
      <c r="L388">
        <v>-12.23643</v>
      </c>
      <c r="M388">
        <v>-76.95568</v>
      </c>
      <c r="N388">
        <f>HYPERLINK("https://www.google.com/maps/search/?api=1&amp;query=-12.23643,-76.95568","Carretera Panamericana Sur, Villa El Salvador, Lima")</f>
      </c>
      <c r="O388" t="str">
        <v>Aceleración brusca</v>
      </c>
      <c r="P388">
        <v>1387.3</v>
      </c>
      <c r="Q388" t="str">
        <v/>
      </c>
      <c r="R388">
        <v>46.4</v>
      </c>
      <c r="S388">
        <v>55.83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85</v>
      </c>
      <c r="AB388" t="str">
        <v>24/09/2026</v>
      </c>
      <c r="AC388" t="str">
        <v>10:41:56</v>
      </c>
      <c r="AD388">
        <f>IF("ONLINE"="NOGPS","GPS Antiguo","En línea")</f>
      </c>
      <c r="AE388">
        <f>IF(0=0,"Sin atender", IF(0=1,"Atendida","Atendida y Reportada"))</f>
      </c>
      <c r="AF388" t="str">
        <v/>
      </c>
      <c r="AG388" t="str">
        <v/>
      </c>
      <c r="AH388" t="str">
        <v/>
      </c>
      <c r="AI388" t="str">
        <v/>
      </c>
      <c r="AJ388" t="str">
        <v>24/09/2026 10:42:21</v>
      </c>
      <c r="AK388" t="str">
        <v>10:42:21</v>
      </c>
      <c r="AL388" t="str">
        <v/>
      </c>
    </row>
    <row r="389">
      <c r="A389">
        <v>388</v>
      </c>
      <c r="B389" t="str">
        <v>MASS BSF</v>
      </c>
      <c r="C389" t="str">
        <v>F8R-810</v>
      </c>
      <c r="D389" t="str">
        <v>F8R-810</v>
      </c>
      <c r="E389" t="str">
        <v/>
      </c>
      <c r="F389" t="str">
        <v>867806078868827</v>
      </c>
      <c r="G389" t="str">
        <v>TBD</v>
      </c>
      <c r="H389" t="str">
        <v/>
      </c>
      <c r="I389" t="str">
        <v/>
      </c>
      <c r="J389" t="str">
        <v>24/09/2026</v>
      </c>
      <c r="K389" t="str">
        <v>10:42:08</v>
      </c>
      <c r="L389">
        <v>-12.236809</v>
      </c>
      <c r="M389">
        <v>-76.954956</v>
      </c>
      <c r="N389">
        <f>HYPERLINK("https://www.google.com/maps/search/?api=1&amp;query=-12.236809,-76.954956","Carretera Panamericana Sur, Villa El Salvador, Lima")</f>
      </c>
      <c r="O389" t="str">
        <v>Aceleración brusca</v>
      </c>
      <c r="P389">
        <v>1387.4</v>
      </c>
      <c r="Q389" t="str">
        <v/>
      </c>
      <c r="R389">
        <v>46.8</v>
      </c>
      <c r="S389">
        <v>55.83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85</v>
      </c>
      <c r="AB389" t="str">
        <v>24/09/2026</v>
      </c>
      <c r="AC389" t="str">
        <v>10:42:03</v>
      </c>
      <c r="AD389">
        <f>IF("ONLINE"="NOGPS","GPS Antiguo","En línea")</f>
      </c>
      <c r="AE389">
        <f>IF(0=0,"Sin atender", IF(0=1,"Atendida","Atendida y Reportada"))</f>
      </c>
      <c r="AF389" t="str">
        <v/>
      </c>
      <c r="AG389" t="str">
        <v/>
      </c>
      <c r="AH389" t="str">
        <v/>
      </c>
      <c r="AI389" t="str">
        <v/>
      </c>
      <c r="AJ389" t="str">
        <v>24/09/2026 10:42:16</v>
      </c>
      <c r="AK389" t="str">
        <v>10:42:16</v>
      </c>
      <c r="AL389" t="str">
        <v/>
      </c>
    </row>
    <row r="390">
      <c r="A390">
        <v>389</v>
      </c>
      <c r="B390" t="str">
        <v>MASS BSF</v>
      </c>
      <c r="C390" t="str">
        <v>F8R-810</v>
      </c>
      <c r="D390" t="str">
        <v>F8R-810</v>
      </c>
      <c r="E390" t="str">
        <v/>
      </c>
      <c r="F390" t="str">
        <v>867806078868827</v>
      </c>
      <c r="G390" t="str">
        <v>TBD</v>
      </c>
      <c r="H390" t="str">
        <v/>
      </c>
      <c r="I390" t="str">
        <v/>
      </c>
      <c r="J390" t="str">
        <v>24/09/2026</v>
      </c>
      <c r="K390" t="str">
        <v>10:42:18</v>
      </c>
      <c r="L390">
        <v>-12.23735</v>
      </c>
      <c r="M390">
        <v>-76.95384</v>
      </c>
      <c r="N390">
        <f>HYPERLINK("https://www.google.com/maps/search/?api=1&amp;query=-12.23735,-76.95384","Carretera Panamericana Sur, Villa El Salvador, Lima")</f>
      </c>
      <c r="O390" t="str">
        <v>Aceleración brusca</v>
      </c>
      <c r="P390">
        <v>1387.5</v>
      </c>
      <c r="Q390" t="str">
        <v/>
      </c>
      <c r="R390">
        <v>55.1</v>
      </c>
      <c r="S390">
        <v>55.83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85</v>
      </c>
      <c r="AB390" t="str">
        <v>24/09/2026</v>
      </c>
      <c r="AC390" t="str">
        <v>10:42:13</v>
      </c>
      <c r="AD390">
        <f>IF("ONLINE"="NOGPS","GPS Antiguo","En línea")</f>
      </c>
      <c r="AE390">
        <f>IF(0=0,"Sin atender", IF(0=1,"Atendida","Atendida y Reportada"))</f>
      </c>
      <c r="AF390" t="str">
        <v/>
      </c>
      <c r="AG390" t="str">
        <v/>
      </c>
      <c r="AH390" t="str">
        <v/>
      </c>
      <c r="AI390" t="str">
        <v/>
      </c>
      <c r="AJ390" t="str">
        <v>24/09/2026 10:42:28</v>
      </c>
      <c r="AK390" t="str">
        <v>10:42:28</v>
      </c>
      <c r="AL390" t="str">
        <v/>
      </c>
    </row>
    <row r="391">
      <c r="A391">
        <v>390</v>
      </c>
      <c r="B391" t="str">
        <v>MASS BSF</v>
      </c>
      <c r="C391" t="str">
        <v>F8R-810</v>
      </c>
      <c r="D391" t="str">
        <v>F8R-810</v>
      </c>
      <c r="E391" t="str">
        <v/>
      </c>
      <c r="F391" t="str">
        <v>867806078868827</v>
      </c>
      <c r="G391" t="str">
        <v>TBD</v>
      </c>
      <c r="H391" t="str">
        <v/>
      </c>
      <c r="I391" t="str">
        <v/>
      </c>
      <c r="J391" t="str">
        <v>24/09/2026</v>
      </c>
      <c r="K391" t="str">
        <v>10:43:12</v>
      </c>
      <c r="L391">
        <v>-12.241471</v>
      </c>
      <c r="M391">
        <v>-76.94597</v>
      </c>
      <c r="N391">
        <f>HYPERLINK("https://www.google.com/maps/search/?api=1&amp;query=-12.241471,-76.94597","Carretera Panamericana Sur, Villa El Salvador, Lima")</f>
      </c>
      <c r="O391" t="str">
        <v>Acelerado y giro brusco</v>
      </c>
      <c r="P391">
        <v>1388.5</v>
      </c>
      <c r="Q391" t="str">
        <v/>
      </c>
      <c r="R391">
        <v>67.2</v>
      </c>
      <c r="S391">
        <v>55.83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85</v>
      </c>
      <c r="AB391" t="str">
        <v>24/09/2026</v>
      </c>
      <c r="AC391" t="str">
        <v>10:43:07</v>
      </c>
      <c r="AD391">
        <f>IF("ONLINE"="NOGPS","GPS Antiguo","En línea")</f>
      </c>
      <c r="AE391">
        <f>IF(0=0,"Sin atender", IF(0=1,"Atendida","Atendida y Reportada"))</f>
      </c>
      <c r="AF391" t="str">
        <v/>
      </c>
      <c r="AG391" t="str">
        <v/>
      </c>
      <c r="AH391" t="str">
        <v/>
      </c>
      <c r="AI391" t="str">
        <v/>
      </c>
      <c r="AJ391" t="str">
        <v>24/09/2026 10:43:22</v>
      </c>
      <c r="AK391" t="str">
        <v>10:43:22</v>
      </c>
      <c r="AL391" t="str">
        <v/>
      </c>
    </row>
    <row r="392">
      <c r="A392">
        <v>391</v>
      </c>
      <c r="B392" t="str">
        <v>MASS BSF</v>
      </c>
      <c r="C392" t="str">
        <v>F8R-810</v>
      </c>
      <c r="D392" t="str">
        <v>F8R-810</v>
      </c>
      <c r="E392" t="str">
        <v/>
      </c>
      <c r="F392" t="str">
        <v>867806078868827</v>
      </c>
      <c r="G392" t="str">
        <v>TBD</v>
      </c>
      <c r="H392" t="str">
        <v/>
      </c>
      <c r="I392" t="str">
        <v/>
      </c>
      <c r="J392" t="str">
        <v>24/09/2026</v>
      </c>
      <c r="K392" t="str">
        <v>10:43:40</v>
      </c>
      <c r="L392">
        <v>-12.243709</v>
      </c>
      <c r="M392">
        <v>-76.94164</v>
      </c>
      <c r="N392">
        <f>HYPERLINK("https://www.google.com/maps/search/?api=1&amp;query=-12.243709,-76.94164","Carretera Panamericana Sur, Villa El Salvador, Lima")</f>
      </c>
      <c r="O392" t="str">
        <v>Acelerado y giro brusco</v>
      </c>
      <c r="P392">
        <v>1389</v>
      </c>
      <c r="Q392" t="str">
        <v/>
      </c>
      <c r="R392">
        <v>69.4</v>
      </c>
      <c r="S392">
        <v>55.83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85</v>
      </c>
      <c r="AB392" t="str">
        <v>24/09/2026</v>
      </c>
      <c r="AC392" t="str">
        <v>10:43:35</v>
      </c>
      <c r="AD392">
        <f>IF("ONLINE"="NOGPS","GPS Antiguo","En línea")</f>
      </c>
      <c r="AE392">
        <f>IF(0=0,"Sin atender", IF(0=1,"Atendida","Atendida y Reportada"))</f>
      </c>
      <c r="AF392" t="str">
        <v/>
      </c>
      <c r="AG392" t="str">
        <v/>
      </c>
      <c r="AH392" t="str">
        <v/>
      </c>
      <c r="AI392" t="str">
        <v/>
      </c>
      <c r="AJ392" t="str">
        <v>24/09/2026 10:43:57</v>
      </c>
      <c r="AK392" t="str">
        <v>10:43:57</v>
      </c>
      <c r="AL392" t="str">
        <v/>
      </c>
    </row>
    <row r="393">
      <c r="A393">
        <v>392</v>
      </c>
      <c r="B393" t="str">
        <v>MASS BSF</v>
      </c>
      <c r="C393" t="str">
        <v>F8R-810</v>
      </c>
      <c r="D393" t="str">
        <v>F8R-810</v>
      </c>
      <c r="E393" t="str">
        <v/>
      </c>
      <c r="F393" t="str">
        <v>867806078868827</v>
      </c>
      <c r="G393" t="str">
        <v>TBD</v>
      </c>
      <c r="H393" t="str">
        <v/>
      </c>
      <c r="I393" t="str">
        <v/>
      </c>
      <c r="J393" t="str">
        <v>24/09/2026</v>
      </c>
      <c r="K393" t="str">
        <v>10:44:16</v>
      </c>
      <c r="L393">
        <v>-12.246228</v>
      </c>
      <c r="M393">
        <v>-76.936775</v>
      </c>
      <c r="N393">
        <f>HYPERLINK("https://www.google.com/maps/search/?api=1&amp;query=-12.246228,-76.936775","Carretera Panamericana Sur, Lurín, Lima")</f>
      </c>
      <c r="O393" t="str">
        <v>Acelerado y giro brusco</v>
      </c>
      <c r="P393">
        <v>1389.6</v>
      </c>
      <c r="Q393" t="str">
        <v/>
      </c>
      <c r="R393">
        <v>49.8</v>
      </c>
      <c r="S393">
        <v>55.83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85</v>
      </c>
      <c r="AB393" t="str">
        <v>24/09/2026</v>
      </c>
      <c r="AC393" t="str">
        <v>10:44:11</v>
      </c>
      <c r="AD393">
        <f>IF("ONLINE"="NOGPS","GPS Antiguo","En línea")</f>
      </c>
      <c r="AE393">
        <f>IF(0=0,"Sin atender", IF(0=1,"Atendida","Atendida y Reportada"))</f>
      </c>
      <c r="AF393" t="str">
        <v/>
      </c>
      <c r="AG393" t="str">
        <v/>
      </c>
      <c r="AH393" t="str">
        <v/>
      </c>
      <c r="AI393" t="str">
        <v/>
      </c>
      <c r="AJ393" t="str">
        <v>24/09/2026 10:44:28</v>
      </c>
      <c r="AK393" t="str">
        <v>10:44:28</v>
      </c>
      <c r="AL393" t="str">
        <v/>
      </c>
    </row>
    <row r="394">
      <c r="A394">
        <v>393</v>
      </c>
      <c r="B394" t="str">
        <v>MASS BSF</v>
      </c>
      <c r="C394" t="str">
        <v>F8R-810</v>
      </c>
      <c r="D394" t="str">
        <v>F8R-810</v>
      </c>
      <c r="E394" t="str">
        <v/>
      </c>
      <c r="F394" t="str">
        <v>867806078868827</v>
      </c>
      <c r="G394" t="str">
        <v>TBD</v>
      </c>
      <c r="H394" t="str">
        <v/>
      </c>
      <c r="I394" t="str">
        <v/>
      </c>
      <c r="J394" t="str">
        <v>24/09/2026</v>
      </c>
      <c r="K394" t="str">
        <v>10:45:08</v>
      </c>
      <c r="L394">
        <v>-12.249483</v>
      </c>
      <c r="M394">
        <v>-76.93183</v>
      </c>
      <c r="N394">
        <f>HYPERLINK("https://www.google.com/maps/search/?api=1&amp;query=-12.249483,-76.93183","Carretera Panamericana Sur, Lurín, Lima")</f>
      </c>
      <c r="O394" t="str">
        <v>Acelerado y giro brusco</v>
      </c>
      <c r="P394">
        <v>1390.2</v>
      </c>
      <c r="Q394" t="str">
        <v/>
      </c>
      <c r="R394">
        <v>43.5</v>
      </c>
      <c r="S394">
        <v>55.83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87</v>
      </c>
      <c r="AB394" t="str">
        <v>24/09/2026</v>
      </c>
      <c r="AC394" t="str">
        <v>10:45:03</v>
      </c>
      <c r="AD394">
        <f>IF("ONLINE"="NOGPS","GPS Antiguo","En línea")</f>
      </c>
      <c r="AE394">
        <f>IF(0=0,"Sin atender", IF(0=1,"Atendida","Atendida y Reportada"))</f>
      </c>
      <c r="AF394" t="str">
        <v/>
      </c>
      <c r="AG394" t="str">
        <v/>
      </c>
      <c r="AH394" t="str">
        <v/>
      </c>
      <c r="AI394" t="str">
        <v/>
      </c>
      <c r="AJ394" t="str">
        <v>24/09/2026 10:45:26</v>
      </c>
      <c r="AK394" t="str">
        <v>10:45:26</v>
      </c>
      <c r="AL394" t="str">
        <v/>
      </c>
    </row>
    <row r="395">
      <c r="A395">
        <v>394</v>
      </c>
      <c r="B395" t="str">
        <v>MASS BSF</v>
      </c>
      <c r="C395" t="str">
        <v>F8R-810</v>
      </c>
      <c r="D395" t="str">
        <v>F8R-810</v>
      </c>
      <c r="E395" t="str">
        <v/>
      </c>
      <c r="F395" t="str">
        <v>867806078868827</v>
      </c>
      <c r="G395" t="str">
        <v>TBD</v>
      </c>
      <c r="H395" t="str">
        <v/>
      </c>
      <c r="I395" t="str">
        <v/>
      </c>
      <c r="J395" t="str">
        <v>24/09/2026</v>
      </c>
      <c r="K395" t="str">
        <v>10:45:20</v>
      </c>
      <c r="L395">
        <v>-12.250303</v>
      </c>
      <c r="M395">
        <v>-76.93076</v>
      </c>
      <c r="N395">
        <f>HYPERLINK("https://www.google.com/maps/search/?api=1&amp;query=-12.250303,-76.93076","Carretera Panamericana Sur, Lurín, Lima")</f>
      </c>
      <c r="O395" t="str">
        <v>Acelerado y giro brusco</v>
      </c>
      <c r="P395">
        <v>1390.4</v>
      </c>
      <c r="Q395" t="str">
        <v/>
      </c>
      <c r="R395">
        <v>46.1</v>
      </c>
      <c r="S395">
        <v>55.83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87</v>
      </c>
      <c r="AB395" t="str">
        <v>24/09/2026</v>
      </c>
      <c r="AC395" t="str">
        <v>10:45:15</v>
      </c>
      <c r="AD395">
        <f>IF("ONLINE"="NOGPS","GPS Antiguo","En línea")</f>
      </c>
      <c r="AE395">
        <f>IF(0=0,"Sin atender", IF(0=1,"Atendida","Atendida y Reportada"))</f>
      </c>
      <c r="AF395" t="str">
        <v/>
      </c>
      <c r="AG395" t="str">
        <v/>
      </c>
      <c r="AH395" t="str">
        <v/>
      </c>
      <c r="AI395" t="str">
        <v/>
      </c>
      <c r="AJ395" t="str">
        <v>24/09/2026 10:45:32</v>
      </c>
      <c r="AK395" t="str">
        <v>10:45:32</v>
      </c>
      <c r="AL395" t="str">
        <v/>
      </c>
    </row>
    <row r="396">
      <c r="A396">
        <v>395</v>
      </c>
      <c r="B396" t="str">
        <v>MASS BSF</v>
      </c>
      <c r="C396" t="str">
        <v>F8R-810</v>
      </c>
      <c r="D396" t="str">
        <v>F8R-810</v>
      </c>
      <c r="E396" t="str">
        <v/>
      </c>
      <c r="F396" t="str">
        <v>867806078868827</v>
      </c>
      <c r="G396" t="str">
        <v>TBD</v>
      </c>
      <c r="H396" t="str">
        <v/>
      </c>
      <c r="I396" t="str">
        <v/>
      </c>
      <c r="J396" t="str">
        <v>24/09/2026</v>
      </c>
      <c r="K396" t="str">
        <v>10:45:25</v>
      </c>
      <c r="L396">
        <v>-12.250735</v>
      </c>
      <c r="M396">
        <v>-76.9302</v>
      </c>
      <c r="N396">
        <f>HYPERLINK("https://www.google.com/maps/search/?api=1&amp;query=-12.250735,-76.9302","Carretera Panamericana Sur, Lurín, Lima")</f>
      </c>
      <c r="O396" t="str">
        <v>Aceleración brusca</v>
      </c>
      <c r="P396">
        <v>1390.5</v>
      </c>
      <c r="Q396" t="str">
        <v/>
      </c>
      <c r="R396">
        <v>47.2</v>
      </c>
      <c r="S396">
        <v>55.83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87</v>
      </c>
      <c r="AB396" t="str">
        <v>24/09/2026</v>
      </c>
      <c r="AC396" t="str">
        <v>10:45:21</v>
      </c>
      <c r="AD396">
        <f>IF("ONLINE"="NOGPS","GPS Antiguo","En línea")</f>
      </c>
      <c r="AE396">
        <f>IF(0=0,"Sin atender", IF(0=1,"Atendida","Atendida y Reportada"))</f>
      </c>
      <c r="AF396" t="str">
        <v/>
      </c>
      <c r="AG396" t="str">
        <v/>
      </c>
      <c r="AH396" t="str">
        <v/>
      </c>
      <c r="AI396" t="str">
        <v/>
      </c>
      <c r="AJ396" t="str">
        <v>24/09/2026 10:45:28</v>
      </c>
      <c r="AK396" t="str">
        <v>10:45:28</v>
      </c>
      <c r="AL396" t="str">
        <v/>
      </c>
    </row>
    <row r="397">
      <c r="A397">
        <v>396</v>
      </c>
      <c r="B397" t="str">
        <v>MASS BSF</v>
      </c>
      <c r="C397" t="str">
        <v>F8R-810</v>
      </c>
      <c r="D397" t="str">
        <v>F8R-810</v>
      </c>
      <c r="E397" t="str">
        <v/>
      </c>
      <c r="F397" t="str">
        <v>867806078868827</v>
      </c>
      <c r="G397" t="str">
        <v>TBD</v>
      </c>
      <c r="H397" t="str">
        <v/>
      </c>
      <c r="I397" t="str">
        <v/>
      </c>
      <c r="J397" t="str">
        <v>24/09/2026</v>
      </c>
      <c r="K397" t="str">
        <v>10:45:31</v>
      </c>
      <c r="L397">
        <v>-12.251099</v>
      </c>
      <c r="M397">
        <v>-76.929726</v>
      </c>
      <c r="N397">
        <f>HYPERLINK("https://www.google.com/maps/search/?api=1&amp;query=-12.251099,-76.929726","Carretera Panamericana Sur, Lurín, Lima")</f>
      </c>
      <c r="O397" t="str">
        <v>Aceleración brusca</v>
      </c>
      <c r="P397">
        <v>1390.5</v>
      </c>
      <c r="Q397" t="str">
        <v/>
      </c>
      <c r="R397">
        <v>45.9</v>
      </c>
      <c r="S397">
        <v>55.83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87</v>
      </c>
      <c r="AB397" t="str">
        <v>24/09/2026</v>
      </c>
      <c r="AC397" t="str">
        <v>10:45:26</v>
      </c>
      <c r="AD397">
        <f>IF("ONLINE"="NOGPS","GPS Antiguo","En línea")</f>
      </c>
      <c r="AE397">
        <f>IF(0=0,"Sin atender", IF(0=1,"Atendida","Atendida y Reportada"))</f>
      </c>
      <c r="AF397" t="str">
        <v/>
      </c>
      <c r="AG397" t="str">
        <v/>
      </c>
      <c r="AH397" t="str">
        <v/>
      </c>
      <c r="AI397" t="str">
        <v/>
      </c>
      <c r="AJ397" t="str">
        <v>24/09/2026 10:45:38</v>
      </c>
      <c r="AK397" t="str">
        <v>10:45:38</v>
      </c>
      <c r="AL397" t="str">
        <v/>
      </c>
    </row>
    <row r="398">
      <c r="A398">
        <v>397</v>
      </c>
      <c r="B398" t="str">
        <v>MASS BSF</v>
      </c>
      <c r="C398" t="str">
        <v>F8R-810</v>
      </c>
      <c r="D398" t="str">
        <v>F8R-810</v>
      </c>
      <c r="E398" t="str">
        <v/>
      </c>
      <c r="F398" t="str">
        <v>867806078868827</v>
      </c>
      <c r="G398" t="str">
        <v>TBD</v>
      </c>
      <c r="H398" t="str">
        <v/>
      </c>
      <c r="I398" t="str">
        <v/>
      </c>
      <c r="J398" t="str">
        <v>24/09/2026</v>
      </c>
      <c r="K398" t="str">
        <v>10:45:48</v>
      </c>
      <c r="L398">
        <v>-12.252265</v>
      </c>
      <c r="M398">
        <v>-76.9282</v>
      </c>
      <c r="N398">
        <f>HYPERLINK("https://www.google.com/maps/search/?api=1&amp;query=-12.252265,-76.9282","Carretera Panamericana Sur, Lurín, Lima")</f>
      </c>
      <c r="O398" t="str">
        <v>Acelerado y giro brusco</v>
      </c>
      <c r="P398">
        <v>1390.7</v>
      </c>
      <c r="Q398" t="str">
        <v/>
      </c>
      <c r="R398">
        <v>44</v>
      </c>
      <c r="S398">
        <v>55.83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85</v>
      </c>
      <c r="AB398" t="str">
        <v>24/09/2026</v>
      </c>
      <c r="AC398" t="str">
        <v>10:45:43</v>
      </c>
      <c r="AD398">
        <f>IF("ONLINE"="NOGPS","GPS Antiguo","En línea")</f>
      </c>
      <c r="AE398">
        <f>IF(0=0,"Sin atender", IF(0=1,"Atendida","Atendida y Reportada"))</f>
      </c>
      <c r="AF398" t="str">
        <v/>
      </c>
      <c r="AG398" t="str">
        <v/>
      </c>
      <c r="AH398" t="str">
        <v/>
      </c>
      <c r="AI398" t="str">
        <v/>
      </c>
      <c r="AJ398" t="str">
        <v>24/09/2026 10:46:03</v>
      </c>
      <c r="AK398" t="str">
        <v>10:46:03</v>
      </c>
      <c r="AL398" t="str">
        <v/>
      </c>
    </row>
    <row r="399">
      <c r="A399">
        <v>398</v>
      </c>
      <c r="B399" t="str">
        <v>MASS BSF</v>
      </c>
      <c r="C399" t="str">
        <v>F8R-810</v>
      </c>
      <c r="D399" t="str">
        <v>F8R-810</v>
      </c>
      <c r="E399" t="str">
        <v/>
      </c>
      <c r="F399" t="str">
        <v>867806078868827</v>
      </c>
      <c r="G399" t="str">
        <v>TBD</v>
      </c>
      <c r="H399" t="str">
        <v/>
      </c>
      <c r="I399" t="str">
        <v/>
      </c>
      <c r="J399" t="str">
        <v>24/09/2026</v>
      </c>
      <c r="K399" t="str">
        <v>10:46:31</v>
      </c>
      <c r="L399">
        <v>-12.254804</v>
      </c>
      <c r="M399">
        <v>-76.92403</v>
      </c>
      <c r="N399">
        <f>HYPERLINK("https://www.google.com/maps/search/?api=1&amp;query=-12.254804,-76.92403","Carretera Panamericana Sur, Lurín, Lima")</f>
      </c>
      <c r="O399" t="str">
        <v>Acelerado y giro brusco</v>
      </c>
      <c r="P399">
        <v>1391.3</v>
      </c>
      <c r="Q399" t="str">
        <v/>
      </c>
      <c r="R399">
        <v>46.1</v>
      </c>
      <c r="S399">
        <v>55.83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85</v>
      </c>
      <c r="AB399" t="str">
        <v>24/09/2026</v>
      </c>
      <c r="AC399" t="str">
        <v>10:46:26</v>
      </c>
      <c r="AD399">
        <f>IF("ONLINE"="NOGPS","GPS Antiguo","En línea")</f>
      </c>
      <c r="AE399">
        <f>IF(0=0,"Sin atender", IF(0=1,"Atendida","Atendida y Reportada"))</f>
      </c>
      <c r="AF399" t="str">
        <v/>
      </c>
      <c r="AG399" t="str">
        <v/>
      </c>
      <c r="AH399" t="str">
        <v/>
      </c>
      <c r="AI399" t="str">
        <v/>
      </c>
      <c r="AJ399" t="str">
        <v>24/09/2026 10:46:45</v>
      </c>
      <c r="AK399" t="str">
        <v>10:46:45</v>
      </c>
      <c r="AL399" t="str">
        <v/>
      </c>
    </row>
    <row r="400">
      <c r="A400">
        <v>399</v>
      </c>
      <c r="B400" t="str">
        <v>MASS BSF</v>
      </c>
      <c r="C400" t="str">
        <v>F8R-810</v>
      </c>
      <c r="D400" t="str">
        <v>F8R-810</v>
      </c>
      <c r="E400" t="str">
        <v/>
      </c>
      <c r="F400" t="str">
        <v>867806078868827</v>
      </c>
      <c r="G400" t="str">
        <v>TBD</v>
      </c>
      <c r="H400" t="str">
        <v/>
      </c>
      <c r="I400" t="str">
        <v/>
      </c>
      <c r="J400" t="str">
        <v>24/09/2026</v>
      </c>
      <c r="K400" t="str">
        <v>10:46:39</v>
      </c>
      <c r="L400">
        <v>-12.255252</v>
      </c>
      <c r="M400">
        <v>-76.923225</v>
      </c>
      <c r="N400">
        <f>HYPERLINK("https://www.google.com/maps/search/?api=1&amp;query=-12.255252,-76.923225","Carretera Panamericana Sur, Lurín, Lima")</f>
      </c>
      <c r="O400" t="str">
        <v>Acelerado y giro brusco</v>
      </c>
      <c r="P400">
        <v>1391.4</v>
      </c>
      <c r="Q400" t="str">
        <v/>
      </c>
      <c r="R400">
        <v>46.6</v>
      </c>
      <c r="S400">
        <v>55.83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85</v>
      </c>
      <c r="AB400" t="str">
        <v>24/09/2026</v>
      </c>
      <c r="AC400" t="str">
        <v>10:46:34</v>
      </c>
      <c r="AD400">
        <f>IF("ONLINE"="NOGPS","GPS Antiguo","En línea")</f>
      </c>
      <c r="AE400">
        <f>IF(0=0,"Sin atender", IF(0=1,"Atendida","Atendida y Reportada"))</f>
      </c>
      <c r="AF400" t="str">
        <v/>
      </c>
      <c r="AG400" t="str">
        <v/>
      </c>
      <c r="AH400" t="str">
        <v/>
      </c>
      <c r="AI400" t="str">
        <v/>
      </c>
      <c r="AJ400" t="str">
        <v>24/09/2026 10:46:54</v>
      </c>
      <c r="AK400" t="str">
        <v>10:46:54</v>
      </c>
      <c r="AL400" t="str">
        <v/>
      </c>
    </row>
    <row r="401">
      <c r="A401">
        <v>400</v>
      </c>
      <c r="B401" t="str">
        <v>MASS BSF</v>
      </c>
      <c r="C401" t="str">
        <v>F8R-810</v>
      </c>
      <c r="D401" t="str">
        <v>F8R-810</v>
      </c>
      <c r="E401" t="str">
        <v/>
      </c>
      <c r="F401" t="str">
        <v>867806078868827</v>
      </c>
      <c r="G401" t="str">
        <v>TBD</v>
      </c>
      <c r="H401" t="str">
        <v/>
      </c>
      <c r="I401" t="str">
        <v/>
      </c>
      <c r="J401" t="str">
        <v>24/09/2026</v>
      </c>
      <c r="K401" t="str">
        <v>10:46:50</v>
      </c>
      <c r="L401">
        <v>-12.255921</v>
      </c>
      <c r="M401">
        <v>-76.92205</v>
      </c>
      <c r="N401">
        <f>HYPERLINK("https://www.google.com/maps/search/?api=1&amp;query=-12.255921,-76.92205","Carretera Panamericana Sur, Lurín, Lima")</f>
      </c>
      <c r="O401" t="str">
        <v>Aceleración brusca</v>
      </c>
      <c r="P401">
        <v>1391.5</v>
      </c>
      <c r="Q401" t="str">
        <v/>
      </c>
      <c r="R401">
        <v>49</v>
      </c>
      <c r="S401">
        <v>55.83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85</v>
      </c>
      <c r="AB401" t="str">
        <v>24/09/2026</v>
      </c>
      <c r="AC401" t="str">
        <v>10:46:45</v>
      </c>
      <c r="AD401">
        <f>IF("ONLINE"="NOGPS","GPS Antiguo","En línea")</f>
      </c>
      <c r="AE401">
        <f>IF(0=0,"Sin atender", IF(0=1,"Atendida","Atendida y Reportada"))</f>
      </c>
      <c r="AF401" t="str">
        <v/>
      </c>
      <c r="AG401" t="str">
        <v/>
      </c>
      <c r="AH401" t="str">
        <v/>
      </c>
      <c r="AI401" t="str">
        <v/>
      </c>
      <c r="AJ401" t="str">
        <v>24/09/2026 10:47:06</v>
      </c>
      <c r="AK401" t="str">
        <v>10:47:06</v>
      </c>
      <c r="AL401" t="str">
        <v/>
      </c>
    </row>
    <row r="402">
      <c r="A402">
        <v>401</v>
      </c>
      <c r="B402" t="str">
        <v>MASS BSF</v>
      </c>
      <c r="C402" t="str">
        <v>F8R-810</v>
      </c>
      <c r="D402" t="str">
        <v>F8R-810</v>
      </c>
      <c r="E402" t="str">
        <v/>
      </c>
      <c r="F402" t="str">
        <v>867806078868827</v>
      </c>
      <c r="G402" t="str">
        <v>TBD</v>
      </c>
      <c r="H402" t="str">
        <v/>
      </c>
      <c r="I402" t="str">
        <v/>
      </c>
      <c r="J402" t="str">
        <v>24/09/2026</v>
      </c>
      <c r="K402" t="str">
        <v>10:47:29</v>
      </c>
      <c r="L402">
        <v>-12.258661</v>
      </c>
      <c r="M402">
        <v>-76.91774</v>
      </c>
      <c r="N402">
        <f>HYPERLINK("https://www.google.com/maps/search/?api=1&amp;query=-12.258661,-76.91774","Carretera Panamericana Sur, Lurín, Lima")</f>
      </c>
      <c r="O402" t="str">
        <v>Acelerado y giro brusco</v>
      </c>
      <c r="P402">
        <v>1392.1</v>
      </c>
      <c r="Q402" t="str">
        <v/>
      </c>
      <c r="R402">
        <v>61.8</v>
      </c>
      <c r="S402">
        <v>55.83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85</v>
      </c>
      <c r="AB402" t="str">
        <v>24/09/2026</v>
      </c>
      <c r="AC402" t="str">
        <v>10:47:25</v>
      </c>
      <c r="AD402">
        <f>IF("ONLINE"="NOGPS","GPS Antiguo","En línea")</f>
      </c>
      <c r="AE402">
        <f>IF(0=0,"Sin atender", IF(0=1,"Atendida","Atendida y Reportada"))</f>
      </c>
      <c r="AF402" t="str">
        <v/>
      </c>
      <c r="AG402" t="str">
        <v/>
      </c>
      <c r="AH402" t="str">
        <v/>
      </c>
      <c r="AI402" t="str">
        <v/>
      </c>
      <c r="AJ402" t="str">
        <v>24/09/2026 10:47:38</v>
      </c>
      <c r="AK402" t="str">
        <v>10:47:38</v>
      </c>
      <c r="AL402" t="str">
        <v/>
      </c>
    </row>
    <row r="403">
      <c r="A403">
        <v>402</v>
      </c>
      <c r="B403" t="str">
        <v>MASS BSF</v>
      </c>
      <c r="C403" t="str">
        <v>F8R-810</v>
      </c>
      <c r="D403" t="str">
        <v>F8R-810</v>
      </c>
      <c r="E403" t="str">
        <v/>
      </c>
      <c r="F403" t="str">
        <v>867806078868827</v>
      </c>
      <c r="G403" t="str">
        <v>TBD</v>
      </c>
      <c r="H403" t="str">
        <v/>
      </c>
      <c r="I403" t="str">
        <v/>
      </c>
      <c r="J403" t="str">
        <v>24/09/2026</v>
      </c>
      <c r="K403" t="str">
        <v>10:47:41</v>
      </c>
      <c r="L403">
        <v>-12.25957</v>
      </c>
      <c r="M403">
        <v>-76.916245</v>
      </c>
      <c r="N403">
        <f>HYPERLINK("https://www.google.com/maps/search/?api=1&amp;query=-12.25957,-76.916245","Carretera Panamericana Sur, Lurín, Lima")</f>
      </c>
      <c r="O403" t="str">
        <v>Acelerado y giro brusco</v>
      </c>
      <c r="P403">
        <v>1392.3</v>
      </c>
      <c r="Q403" t="str">
        <v/>
      </c>
      <c r="R403">
        <v>65.5</v>
      </c>
      <c r="S403">
        <v>55.83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86</v>
      </c>
      <c r="AB403" t="str">
        <v>24/09/2026</v>
      </c>
      <c r="AC403" t="str">
        <v>10:47:36</v>
      </c>
      <c r="AD403">
        <f>IF("ONLINE"="NOGPS","GPS Antiguo","En línea")</f>
      </c>
      <c r="AE403">
        <f>IF(0=0,"Sin atender", IF(0=1,"Atendida","Atendida y Reportada"))</f>
      </c>
      <c r="AF403" t="str">
        <v/>
      </c>
      <c r="AG403" t="str">
        <v/>
      </c>
      <c r="AH403" t="str">
        <v/>
      </c>
      <c r="AI403" t="str">
        <v/>
      </c>
      <c r="AJ403" t="str">
        <v>24/09/2026 10:47:58</v>
      </c>
      <c r="AK403" t="str">
        <v>10:47:58</v>
      </c>
      <c r="AL403" t="str">
        <v/>
      </c>
    </row>
    <row r="404">
      <c r="A404">
        <v>403</v>
      </c>
      <c r="B404" t="str">
        <v>MASS BSF</v>
      </c>
      <c r="C404" t="str">
        <v>F8R-810</v>
      </c>
      <c r="D404" t="str">
        <v>F8R-810</v>
      </c>
      <c r="E404" t="str">
        <v/>
      </c>
      <c r="F404" t="str">
        <v>867806078868827</v>
      </c>
      <c r="G404" t="str">
        <v>TBD</v>
      </c>
      <c r="H404" t="str">
        <v/>
      </c>
      <c r="I404" t="str">
        <v/>
      </c>
      <c r="J404" t="str">
        <v>24/09/2026</v>
      </c>
      <c r="K404" t="str">
        <v>10:48:09</v>
      </c>
      <c r="L404">
        <v>-12.262267</v>
      </c>
      <c r="M404">
        <v>-76.911964</v>
      </c>
      <c r="N404">
        <f>HYPERLINK("https://www.google.com/maps/search/?api=1&amp;query=-12.262267,-76.911964","Carretera Panamericana Sur, Lurín, Lima")</f>
      </c>
      <c r="O404" t="str">
        <v>Aceleración brusca</v>
      </c>
      <c r="P404">
        <v>1392.8</v>
      </c>
      <c r="Q404" t="str">
        <v/>
      </c>
      <c r="R404">
        <v>74.8</v>
      </c>
      <c r="S404">
        <v>55.83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86</v>
      </c>
      <c r="AB404" t="str">
        <v>24/09/2026</v>
      </c>
      <c r="AC404" t="str">
        <v>10:48:04</v>
      </c>
      <c r="AD404">
        <f>IF("ONLINE"="NOGPS","GPS Antiguo","En línea")</f>
      </c>
      <c r="AE404">
        <f>IF(0=0,"Sin atender", IF(0=1,"Atendida","Atendida y Reportada"))</f>
      </c>
      <c r="AF404" t="str">
        <v/>
      </c>
      <c r="AG404" t="str">
        <v/>
      </c>
      <c r="AH404" t="str">
        <v/>
      </c>
      <c r="AI404" t="str">
        <v/>
      </c>
      <c r="AJ404" t="str">
        <v>24/09/2026 10:48:19</v>
      </c>
      <c r="AK404" t="str">
        <v>10:48:19</v>
      </c>
      <c r="AL404" t="str">
        <v/>
      </c>
    </row>
    <row r="405">
      <c r="A405">
        <v>404</v>
      </c>
      <c r="B405" t="str">
        <v>MASS BSF</v>
      </c>
      <c r="C405" t="str">
        <v>F8R-810</v>
      </c>
      <c r="D405" t="str">
        <v>F8R-810</v>
      </c>
      <c r="E405" t="str">
        <v/>
      </c>
      <c r="F405" t="str">
        <v>867806078868827</v>
      </c>
      <c r="G405" t="str">
        <v>TBD</v>
      </c>
      <c r="H405" t="str">
        <v/>
      </c>
      <c r="I405" t="str">
        <v/>
      </c>
      <c r="J405" t="str">
        <v>24/09/2026</v>
      </c>
      <c r="K405" t="str">
        <v>10:48:29</v>
      </c>
      <c r="L405">
        <v>-12.264225</v>
      </c>
      <c r="M405">
        <v>-76.90885</v>
      </c>
      <c r="N405">
        <f>HYPERLINK("https://www.google.com/maps/search/?api=1&amp;query=-12.264225,-76.90885","Carretera Panamericana Sur, Lurín, Lima")</f>
      </c>
      <c r="O405" t="str">
        <v>Acelerado y giro brusco</v>
      </c>
      <c r="P405">
        <v>1393.2</v>
      </c>
      <c r="Q405" t="str">
        <v/>
      </c>
      <c r="R405">
        <v>68.1</v>
      </c>
      <c r="S405">
        <v>55.83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86</v>
      </c>
      <c r="AB405" t="str">
        <v>24/09/2026</v>
      </c>
      <c r="AC405" t="str">
        <v>10:48:24</v>
      </c>
      <c r="AD405">
        <f>IF("ONLINE"="NOGPS","GPS Antiguo","En línea")</f>
      </c>
      <c r="AE405">
        <f>IF(0=0,"Sin atender", IF(0=1,"Atendida","Atendida y Reportada"))</f>
      </c>
      <c r="AF405" t="str">
        <v/>
      </c>
      <c r="AG405" t="str">
        <v/>
      </c>
      <c r="AH405" t="str">
        <v/>
      </c>
      <c r="AI405" t="str">
        <v/>
      </c>
      <c r="AJ405" t="str">
        <v>24/09/2026 10:48:43</v>
      </c>
      <c r="AK405" t="str">
        <v>10:48:43</v>
      </c>
      <c r="AL405" t="str">
        <v/>
      </c>
    </row>
    <row r="406">
      <c r="A406">
        <v>405</v>
      </c>
      <c r="B406" t="str">
        <v>MASS BSF</v>
      </c>
      <c r="C406" t="str">
        <v>F8R-810</v>
      </c>
      <c r="D406" t="str">
        <v>F8R-810</v>
      </c>
      <c r="E406" t="str">
        <v/>
      </c>
      <c r="F406" t="str">
        <v>867806078868827</v>
      </c>
      <c r="G406" t="str">
        <v>TBD</v>
      </c>
      <c r="H406" t="str">
        <v/>
      </c>
      <c r="I406" t="str">
        <v/>
      </c>
      <c r="J406" t="str">
        <v>24/09/2026</v>
      </c>
      <c r="K406" t="str">
        <v>10:48:38</v>
      </c>
      <c r="L406">
        <v>-12.265035</v>
      </c>
      <c r="M406">
        <v>-76.907555</v>
      </c>
      <c r="N406">
        <f>HYPERLINK("https://www.google.com/maps/search/?api=1&amp;query=-12.265035,-76.907555","Carretera Panamericana Sur, Lurín, Lima")</f>
      </c>
      <c r="O406" t="str">
        <v>Aceleración brusca</v>
      </c>
      <c r="P406">
        <v>1393.4</v>
      </c>
      <c r="Q406" t="str">
        <v/>
      </c>
      <c r="R406">
        <v>64.2</v>
      </c>
      <c r="S406">
        <v>55.83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86</v>
      </c>
      <c r="AB406" t="str">
        <v>24/09/2026</v>
      </c>
      <c r="AC406" t="str">
        <v>10:48:33</v>
      </c>
      <c r="AD406">
        <f>IF("ONLINE"="NOGPS","GPS Antiguo","En línea")</f>
      </c>
      <c r="AE406">
        <f>IF(0=0,"Sin atender", IF(0=1,"Atendida","Atendida y Reportada"))</f>
      </c>
      <c r="AF406" t="str">
        <v/>
      </c>
      <c r="AG406" t="str">
        <v/>
      </c>
      <c r="AH406" t="str">
        <v/>
      </c>
      <c r="AI406" t="str">
        <v/>
      </c>
      <c r="AJ406" t="str">
        <v>24/09/2026 10:48:58</v>
      </c>
      <c r="AK406" t="str">
        <v>10:48:58</v>
      </c>
      <c r="AL406" t="str">
        <v/>
      </c>
    </row>
    <row r="407">
      <c r="A407">
        <v>406</v>
      </c>
      <c r="B407" t="str">
        <v>MASS BSF</v>
      </c>
      <c r="C407" t="str">
        <v>F8R-810</v>
      </c>
      <c r="D407" t="str">
        <v>F8R-810</v>
      </c>
      <c r="E407" t="str">
        <v/>
      </c>
      <c r="F407" t="str">
        <v>867806078868827</v>
      </c>
      <c r="G407" t="str">
        <v>TBD</v>
      </c>
      <c r="H407" t="str">
        <v/>
      </c>
      <c r="I407" t="str">
        <v/>
      </c>
      <c r="J407" t="str">
        <v>24/09/2026</v>
      </c>
      <c r="K407" t="str">
        <v>10:49:11</v>
      </c>
      <c r="L407">
        <v>-12.267999</v>
      </c>
      <c r="M407">
        <v>-76.90283</v>
      </c>
      <c r="N407">
        <f>HYPERLINK("https://www.google.com/maps/search/?api=1&amp;query=-12.267999,-76.90283","Carretera Panamericana Sur, Lurín, Lima")</f>
      </c>
      <c r="O407" t="str">
        <v>Acelerado y giro brusco</v>
      </c>
      <c r="P407">
        <v>1394</v>
      </c>
      <c r="Q407" t="str">
        <v/>
      </c>
      <c r="R407">
        <v>62.9</v>
      </c>
      <c r="S407">
        <v>55.83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92</v>
      </c>
      <c r="AB407" t="str">
        <v>24/09/2026</v>
      </c>
      <c r="AC407" t="str">
        <v>10:49:07</v>
      </c>
      <c r="AD407">
        <f>IF("ONLINE"="NOGPS","GPS Antiguo","En línea")</f>
      </c>
      <c r="AE407">
        <f>IF(0=0,"Sin atender", IF(0=1,"Atendida","Atendida y Reportada"))</f>
      </c>
      <c r="AF407" t="str">
        <v/>
      </c>
      <c r="AG407" t="str">
        <v/>
      </c>
      <c r="AH407" t="str">
        <v/>
      </c>
      <c r="AI407" t="str">
        <v/>
      </c>
      <c r="AJ407" t="str">
        <v>24/09/2026 10:49:21</v>
      </c>
      <c r="AK407" t="str">
        <v>10:49:21</v>
      </c>
      <c r="AL407" t="str">
        <v/>
      </c>
    </row>
    <row r="408">
      <c r="A408">
        <v>407</v>
      </c>
      <c r="B408" t="str">
        <v>MASS BSF</v>
      </c>
      <c r="C408" t="str">
        <v>F8R-810</v>
      </c>
      <c r="D408" t="str">
        <v>F8R-810</v>
      </c>
      <c r="E408" t="str">
        <v/>
      </c>
      <c r="F408" t="str">
        <v>867806078868827</v>
      </c>
      <c r="G408" t="str">
        <v>TBD</v>
      </c>
      <c r="H408" t="str">
        <v/>
      </c>
      <c r="I408" t="str">
        <v/>
      </c>
      <c r="J408" t="str">
        <v>24/09/2026</v>
      </c>
      <c r="K408" t="str">
        <v>10:49:23</v>
      </c>
      <c r="L408">
        <v>-12.268915</v>
      </c>
      <c r="M408">
        <v>-76.90137</v>
      </c>
      <c r="N408">
        <f>HYPERLINK("https://www.google.com/maps/search/?api=1&amp;query=-12.268915,-76.90137","Carretera Panamericana Sur, Lurín, Lima")</f>
      </c>
      <c r="O408" t="str">
        <v>Acelerado y giro brusco</v>
      </c>
      <c r="P408">
        <v>1394.2</v>
      </c>
      <c r="Q408" t="str">
        <v/>
      </c>
      <c r="R408">
        <v>60.9</v>
      </c>
      <c r="S408">
        <v>55.83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92</v>
      </c>
      <c r="AB408" t="str">
        <v>24/09/2026</v>
      </c>
      <c r="AC408" t="str">
        <v>10:49:18</v>
      </c>
      <c r="AD408">
        <f>IF("ONLINE"="NOGPS","GPS Antiguo","En línea")</f>
      </c>
      <c r="AE408">
        <f>IF(0=0,"Sin atender", IF(0=1,"Atendida","Atendida y Reportada"))</f>
      </c>
      <c r="AF408" t="str">
        <v/>
      </c>
      <c r="AG408" t="str">
        <v/>
      </c>
      <c r="AH408" t="str">
        <v/>
      </c>
      <c r="AI408" t="str">
        <v/>
      </c>
      <c r="AJ408" t="str">
        <v>24/09/2026 10:49:33</v>
      </c>
      <c r="AK408" t="str">
        <v>10:49:33</v>
      </c>
      <c r="AL408" t="str">
        <v/>
      </c>
    </row>
    <row r="409">
      <c r="A409">
        <v>408</v>
      </c>
      <c r="B409" t="str">
        <v>MASS BSF</v>
      </c>
      <c r="C409" t="str">
        <v>F8R-810</v>
      </c>
      <c r="D409" t="str">
        <v>F8R-810</v>
      </c>
      <c r="E409" t="str">
        <v/>
      </c>
      <c r="F409" t="str">
        <v>867806078868827</v>
      </c>
      <c r="G409" t="str">
        <v>TBD</v>
      </c>
      <c r="H409" t="str">
        <v/>
      </c>
      <c r="I409" t="str">
        <v/>
      </c>
      <c r="J409" t="str">
        <v>24/09/2026</v>
      </c>
      <c r="K409" t="str">
        <v>10:49:55</v>
      </c>
      <c r="L409">
        <v>-12.271775</v>
      </c>
      <c r="M409">
        <v>-76.89682</v>
      </c>
      <c r="N409">
        <f>HYPERLINK("https://www.google.com/maps/search/?api=1&amp;query=-12.271775,-76.89682","Carretera Panamericana Sur, Lurín, Lima")</f>
      </c>
      <c r="O409" t="str">
        <v>Aceleración brusca</v>
      </c>
      <c r="P409">
        <v>1394.8</v>
      </c>
      <c r="Q409" t="str">
        <v/>
      </c>
      <c r="R409">
        <v>69.6</v>
      </c>
      <c r="S409">
        <v>55.83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87</v>
      </c>
      <c r="AB409" t="str">
        <v>24/09/2026</v>
      </c>
      <c r="AC409" t="str">
        <v>10:49:51</v>
      </c>
      <c r="AD409">
        <f>IF("ONLINE"="NOGPS","GPS Antiguo","En línea")</f>
      </c>
      <c r="AE409">
        <f>IF(0=0,"Sin atender", IF(0=1,"Atendida","Atendida y Reportada"))</f>
      </c>
      <c r="AF409" t="str">
        <v/>
      </c>
      <c r="AG409" t="str">
        <v/>
      </c>
      <c r="AH409" t="str">
        <v/>
      </c>
      <c r="AI409" t="str">
        <v/>
      </c>
      <c r="AJ409" t="str">
        <v>24/09/2026 10:50:09</v>
      </c>
      <c r="AK409" t="str">
        <v>10:50:09</v>
      </c>
      <c r="AL409" t="str">
        <v/>
      </c>
    </row>
    <row r="410">
      <c r="A410">
        <v>409</v>
      </c>
      <c r="B410" t="str">
        <v>MASS BSF</v>
      </c>
      <c r="C410" t="str">
        <v>F8R-810</v>
      </c>
      <c r="D410" t="str">
        <v>F8R-810</v>
      </c>
      <c r="E410" t="str">
        <v/>
      </c>
      <c r="F410" t="str">
        <v>867806078868827</v>
      </c>
      <c r="G410" t="str">
        <v>TBD</v>
      </c>
      <c r="H410" t="str">
        <v/>
      </c>
      <c r="I410" t="str">
        <v/>
      </c>
      <c r="J410" t="str">
        <v>24/09/2026</v>
      </c>
      <c r="K410" t="str">
        <v>10:50:02</v>
      </c>
      <c r="L410">
        <v>-12.27233</v>
      </c>
      <c r="M410">
        <v>-76.89594</v>
      </c>
      <c r="N410">
        <f>HYPERLINK("https://www.google.com/maps/search/?api=1&amp;query=-12.27233,-76.89594","Carretera Panamericana Sur, Lurín, Lima")</f>
      </c>
      <c r="O410" t="str">
        <v>Acelerado y giro brusco</v>
      </c>
      <c r="P410">
        <v>1394.9</v>
      </c>
      <c r="Q410" t="str">
        <v/>
      </c>
      <c r="R410">
        <v>67</v>
      </c>
      <c r="S410">
        <v>55.83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87</v>
      </c>
      <c r="AB410" t="str">
        <v>24/09/2026</v>
      </c>
      <c r="AC410" t="str">
        <v>10:49:57</v>
      </c>
      <c r="AD410">
        <f>IF("ONLINE"="NOGPS","GPS Antiguo","En línea")</f>
      </c>
      <c r="AE410">
        <f>IF(0=0,"Sin atender", IF(0=1,"Atendida","Atendida y Reportada"))</f>
      </c>
      <c r="AF410" t="str">
        <v/>
      </c>
      <c r="AG410" t="str">
        <v/>
      </c>
      <c r="AH410" t="str">
        <v/>
      </c>
      <c r="AI410" t="str">
        <v/>
      </c>
      <c r="AJ410" t="str">
        <v>24/09/2026 10:50:10</v>
      </c>
      <c r="AK410" t="str">
        <v>10:50:10</v>
      </c>
      <c r="AL410" t="str">
        <v/>
      </c>
    </row>
    <row r="411">
      <c r="A411">
        <v>410</v>
      </c>
      <c r="B411" t="str">
        <v>MASS BSF</v>
      </c>
      <c r="C411" t="str">
        <v>F8R-810</v>
      </c>
      <c r="D411" t="str">
        <v>F8R-810</v>
      </c>
      <c r="E411" t="str">
        <v/>
      </c>
      <c r="F411" t="str">
        <v>867806078868827</v>
      </c>
      <c r="G411" t="str">
        <v>TBD</v>
      </c>
      <c r="H411" t="str">
        <v/>
      </c>
      <c r="I411" t="str">
        <v/>
      </c>
      <c r="J411" t="str">
        <v>24/09/2026</v>
      </c>
      <c r="K411" t="str">
        <v>10:51:01</v>
      </c>
      <c r="L411">
        <v>-12.277315</v>
      </c>
      <c r="M411">
        <v>-76.88801</v>
      </c>
      <c r="N411">
        <f>HYPERLINK("https://www.google.com/maps/search/?api=1&amp;query=-12.277315,-76.88801","Carretera Panamericana Sur, Lurín, Lima")</f>
      </c>
      <c r="O411" t="str">
        <v>Aceleración brusca</v>
      </c>
      <c r="P411">
        <v>1395.9</v>
      </c>
      <c r="Q411" t="str">
        <v/>
      </c>
      <c r="R411">
        <v>63.7</v>
      </c>
      <c r="S411">
        <v>55.83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87</v>
      </c>
      <c r="AB411" t="str">
        <v>24/09/2026</v>
      </c>
      <c r="AC411" t="str">
        <v>10:50:56</v>
      </c>
      <c r="AD411">
        <f>IF("ONLINE"="NOGPS","GPS Antiguo","En línea")</f>
      </c>
      <c r="AE411">
        <f>IF(0=0,"Sin atender", IF(0=1,"Atendida","Atendida y Reportada"))</f>
      </c>
      <c r="AF411" t="str">
        <v/>
      </c>
      <c r="AG411" t="str">
        <v/>
      </c>
      <c r="AH411" t="str">
        <v/>
      </c>
      <c r="AI411" t="str">
        <v/>
      </c>
      <c r="AJ411" t="str">
        <v>24/09/2026 10:51:11</v>
      </c>
      <c r="AK411" t="str">
        <v>10:51:11</v>
      </c>
      <c r="AL411" t="str">
        <v/>
      </c>
    </row>
    <row r="412">
      <c r="A412">
        <v>411</v>
      </c>
      <c r="B412" t="str">
        <v>MASS BSF</v>
      </c>
      <c r="C412" t="str">
        <v>F8R-810</v>
      </c>
      <c r="D412" t="str">
        <v>F8R-810</v>
      </c>
      <c r="E412" t="str">
        <v/>
      </c>
      <c r="F412" t="str">
        <v>867806078868827</v>
      </c>
      <c r="G412" t="str">
        <v>TBD</v>
      </c>
      <c r="H412" t="str">
        <v/>
      </c>
      <c r="I412" t="str">
        <v/>
      </c>
      <c r="J412" t="str">
        <v>24/09/2026</v>
      </c>
      <c r="K412" t="str">
        <v>10:51:03</v>
      </c>
      <c r="L412">
        <v>-12.277574</v>
      </c>
      <c r="M412">
        <v>-76.887596</v>
      </c>
      <c r="N412">
        <f>HYPERLINK("https://www.google.com/maps/search/?api=1&amp;query=-12.277574,-76.887596","Carretera Panamericana Sur, Lurín, Lima")</f>
      </c>
      <c r="O412" t="str">
        <v>Acelerado y giro brusco</v>
      </c>
      <c r="P412">
        <v>1395.9</v>
      </c>
      <c r="Q412" t="str">
        <v/>
      </c>
      <c r="R412">
        <v>63.1</v>
      </c>
      <c r="S412">
        <v>55.83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87</v>
      </c>
      <c r="AB412" t="str">
        <v>24/09/2026</v>
      </c>
      <c r="AC412" t="str">
        <v>10:50:59</v>
      </c>
      <c r="AD412">
        <f>IF("ONLINE"="NOGPS","GPS Antiguo","En línea")</f>
      </c>
      <c r="AE412">
        <f>IF(0=0,"Sin atender", IF(0=1,"Atendida","Atendida y Reportada"))</f>
      </c>
      <c r="AF412" t="str">
        <v/>
      </c>
      <c r="AG412" t="str">
        <v/>
      </c>
      <c r="AH412" t="str">
        <v/>
      </c>
      <c r="AI412" t="str">
        <v/>
      </c>
      <c r="AJ412" t="str">
        <v>24/09/2026 10:51:12</v>
      </c>
      <c r="AK412" t="str">
        <v>10:51:12</v>
      </c>
      <c r="AL412" t="str">
        <v/>
      </c>
    </row>
    <row r="413">
      <c r="A413">
        <v>412</v>
      </c>
      <c r="B413" t="str">
        <v>MASS BSF</v>
      </c>
      <c r="C413" t="str">
        <v>F8R-810</v>
      </c>
      <c r="D413" t="str">
        <v>F8R-810</v>
      </c>
      <c r="E413" t="str">
        <v/>
      </c>
      <c r="F413" t="str">
        <v>867806078868827</v>
      </c>
      <c r="G413" t="str">
        <v>TBD</v>
      </c>
      <c r="H413" t="str">
        <v/>
      </c>
      <c r="I413" t="str">
        <v/>
      </c>
      <c r="J413" t="str">
        <v>24/09/2026</v>
      </c>
      <c r="K413" t="str">
        <v>10:51:32</v>
      </c>
      <c r="L413">
        <v>-12.280033</v>
      </c>
      <c r="M413">
        <v>-76.883675</v>
      </c>
      <c r="N413">
        <f>HYPERLINK("https://www.google.com/maps/search/?api=1&amp;query=-12.280033,-76.883675","Carretera Panamericana Sur, Lurín, Lima")</f>
      </c>
      <c r="O413" t="str">
        <v>Aceleración brusca</v>
      </c>
      <c r="P413">
        <v>1396.4</v>
      </c>
      <c r="Q413" t="str">
        <v/>
      </c>
      <c r="R413">
        <v>60</v>
      </c>
      <c r="S413">
        <v>55.83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87</v>
      </c>
      <c r="AB413" t="str">
        <v>24/09/2026</v>
      </c>
      <c r="AC413" t="str">
        <v>10:51:28</v>
      </c>
      <c r="AD413">
        <f>IF("ONLINE"="NOGPS","GPS Antiguo","En línea")</f>
      </c>
      <c r="AE413">
        <f>IF(0=0,"Sin atender", IF(0=1,"Atendida","Atendida y Reportada"))</f>
      </c>
      <c r="AF413" t="str">
        <v/>
      </c>
      <c r="AG413" t="str">
        <v/>
      </c>
      <c r="AH413" t="str">
        <v/>
      </c>
      <c r="AI413" t="str">
        <v/>
      </c>
      <c r="AJ413" t="str">
        <v>24/09/2026 10:51:36</v>
      </c>
      <c r="AK413" t="str">
        <v>10:51:36</v>
      </c>
      <c r="AL413" t="str">
        <v/>
      </c>
    </row>
    <row r="414">
      <c r="A414">
        <v>413</v>
      </c>
      <c r="B414" t="str">
        <v>MASS BSF</v>
      </c>
      <c r="C414" t="str">
        <v>F8R-810</v>
      </c>
      <c r="D414" t="str">
        <v>F8R-810</v>
      </c>
      <c r="E414" t="str">
        <v/>
      </c>
      <c r="F414" t="str">
        <v>867806078868827</v>
      </c>
      <c r="G414" t="str">
        <v>TBD</v>
      </c>
      <c r="H414" t="str">
        <v/>
      </c>
      <c r="I414" t="str">
        <v/>
      </c>
      <c r="J414" t="str">
        <v>24/09/2026</v>
      </c>
      <c r="K414" t="str">
        <v>10:52:24</v>
      </c>
      <c r="L414">
        <v>-12.283852</v>
      </c>
      <c r="M414">
        <v>-76.87763</v>
      </c>
      <c r="N414">
        <f>HYPERLINK("https://www.google.com/maps/search/?api=1&amp;query=-12.283852,-76.87763","Carretera Panamericana Sur, Lurín, Lima")</f>
      </c>
      <c r="O414" t="str">
        <v>Acelerado y giro brusco</v>
      </c>
      <c r="P414">
        <v>1397.2</v>
      </c>
      <c r="Q414" t="str">
        <v/>
      </c>
      <c r="R414">
        <v>59.6</v>
      </c>
      <c r="S414">
        <v>55.83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87</v>
      </c>
      <c r="AB414" t="str">
        <v>24/09/2026</v>
      </c>
      <c r="AC414" t="str">
        <v>10:52:20</v>
      </c>
      <c r="AD414">
        <f>IF("ONLINE"="NOGPS","GPS Antiguo","En línea")</f>
      </c>
      <c r="AE414">
        <f>IF(0=0,"Sin atender", IF(0=1,"Atendida","Atendida y Reportada"))</f>
      </c>
      <c r="AF414" t="str">
        <v/>
      </c>
      <c r="AG414" t="str">
        <v/>
      </c>
      <c r="AH414" t="str">
        <v/>
      </c>
      <c r="AI414" t="str">
        <v/>
      </c>
      <c r="AJ414" t="str">
        <v>24/09/2026 10:52:37</v>
      </c>
      <c r="AK414" t="str">
        <v>10:52:37</v>
      </c>
      <c r="AL414" t="str">
        <v/>
      </c>
    </row>
    <row r="415">
      <c r="A415">
        <v>414</v>
      </c>
      <c r="B415" t="str">
        <v>MASS BSF</v>
      </c>
      <c r="C415" t="str">
        <v>F8R-810</v>
      </c>
      <c r="D415" t="str">
        <v>F8R-810</v>
      </c>
      <c r="E415" t="str">
        <v/>
      </c>
      <c r="F415" t="str">
        <v>867806078868827</v>
      </c>
      <c r="G415" t="str">
        <v>TBD</v>
      </c>
      <c r="H415" t="str">
        <v/>
      </c>
      <c r="I415" t="str">
        <v/>
      </c>
      <c r="J415" t="str">
        <v>24/09/2026</v>
      </c>
      <c r="K415" t="str">
        <v>10:53:50</v>
      </c>
      <c r="L415">
        <v>-12.291833</v>
      </c>
      <c r="M415">
        <v>-76.86485</v>
      </c>
      <c r="N415">
        <f>HYPERLINK("https://www.google.com/maps/search/?api=1&amp;query=-12.291833,-76.86485","Carretera Panamericana Sur, Lurín, Lima")</f>
      </c>
      <c r="O415" t="str">
        <v>Aceleración brusca</v>
      </c>
      <c r="P415">
        <v>1398.9</v>
      </c>
      <c r="Q415" t="str">
        <v/>
      </c>
      <c r="R415">
        <v>69.8</v>
      </c>
      <c r="S415">
        <v>55.83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85</v>
      </c>
      <c r="AB415" t="str">
        <v>24/09/2026</v>
      </c>
      <c r="AC415" t="str">
        <v>10:53:45</v>
      </c>
      <c r="AD415">
        <f>IF("ONLINE"="NOGPS","GPS Antiguo","En línea")</f>
      </c>
      <c r="AE415">
        <f>IF(0=0,"Sin atender", IF(0=1,"Atendida","Atendida y Reportada"))</f>
      </c>
      <c r="AF415" t="str">
        <v/>
      </c>
      <c r="AG415" t="str">
        <v/>
      </c>
      <c r="AH415" t="str">
        <v/>
      </c>
      <c r="AI415" t="str">
        <v/>
      </c>
      <c r="AJ415" t="str">
        <v>24/09/2026 10:53:51</v>
      </c>
      <c r="AK415" t="str">
        <v>10:53:51</v>
      </c>
      <c r="AL415" t="str">
        <v/>
      </c>
    </row>
    <row r="416">
      <c r="A416">
        <v>415</v>
      </c>
      <c r="B416" t="str">
        <v>MASS BSF</v>
      </c>
      <c r="C416" t="str">
        <v>F8R-810</v>
      </c>
      <c r="D416" t="str">
        <v>F8R-810</v>
      </c>
      <c r="E416" t="str">
        <v/>
      </c>
      <c r="F416" t="str">
        <v>867806078868827</v>
      </c>
      <c r="G416" t="str">
        <v>TBD</v>
      </c>
      <c r="H416" t="str">
        <v/>
      </c>
      <c r="I416" t="str">
        <v/>
      </c>
      <c r="J416" t="str">
        <v>24/09/2026</v>
      </c>
      <c r="K416" t="str">
        <v>10:55:38</v>
      </c>
      <c r="L416">
        <v>-12.300237</v>
      </c>
      <c r="M416">
        <v>-76.848694</v>
      </c>
      <c r="N416">
        <f>HYPERLINK("https://www.google.com/maps/search/?api=1&amp;query=-12.300237,-76.848694","Carretera Panamericana Sur, Lurín, Lima")</f>
      </c>
      <c r="O416" t="str">
        <v>Aceleración brusca</v>
      </c>
      <c r="P416">
        <v>1400.8</v>
      </c>
      <c r="Q416" t="str">
        <v/>
      </c>
      <c r="R416">
        <v>64.6</v>
      </c>
      <c r="S416">
        <v>55.83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89</v>
      </c>
      <c r="AB416" t="str">
        <v>24/09/2026</v>
      </c>
      <c r="AC416" t="str">
        <v>10:55:33</v>
      </c>
      <c r="AD416">
        <f>IF("ONLINE"="NOGPS","GPS Antiguo","En línea")</f>
      </c>
      <c r="AE416">
        <f>IF(0=0,"Sin atender", IF(0=1,"Atendida","Atendida y Reportada"))</f>
      </c>
      <c r="AF416" t="str">
        <v/>
      </c>
      <c r="AG416" t="str">
        <v/>
      </c>
      <c r="AH416" t="str">
        <v/>
      </c>
      <c r="AI416" t="str">
        <v/>
      </c>
      <c r="AJ416" t="str">
        <v>24/09/2026 10:55:55</v>
      </c>
      <c r="AK416" t="str">
        <v>10:55:55</v>
      </c>
      <c r="AL416" t="str">
        <v/>
      </c>
    </row>
    <row r="417">
      <c r="A417">
        <v>416</v>
      </c>
      <c r="B417" t="str">
        <v>MASS BSF</v>
      </c>
      <c r="C417" t="str">
        <v>F8R-810</v>
      </c>
      <c r="D417" t="str">
        <v>F8R-810</v>
      </c>
      <c r="E417" t="str">
        <v/>
      </c>
      <c r="F417" t="str">
        <v>867806078868827</v>
      </c>
      <c r="G417" t="str">
        <v>TBD</v>
      </c>
      <c r="H417" t="str">
        <v/>
      </c>
      <c r="I417" t="str">
        <v/>
      </c>
      <c r="J417" t="str">
        <v>24/09/2026</v>
      </c>
      <c r="K417" t="str">
        <v>10:55:45</v>
      </c>
      <c r="L417">
        <v>-12.300712</v>
      </c>
      <c r="M417">
        <v>-76.84762</v>
      </c>
      <c r="N417">
        <f>HYPERLINK("https://www.google.com/maps/search/?api=1&amp;query=-12.300712,-76.84762","Carretera Panamericana Sur, Lurín, Lima")</f>
      </c>
      <c r="O417" t="str">
        <v>Acelerado y giro brusco</v>
      </c>
      <c r="P417">
        <v>1401</v>
      </c>
      <c r="Q417" t="str">
        <v/>
      </c>
      <c r="R417">
        <v>66.1</v>
      </c>
      <c r="S417">
        <v>55.83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89</v>
      </c>
      <c r="AB417" t="str">
        <v>24/09/2026</v>
      </c>
      <c r="AC417" t="str">
        <v>10:55:40</v>
      </c>
      <c r="AD417">
        <f>IF("ONLINE"="NOGPS","GPS Antiguo","En línea")</f>
      </c>
      <c r="AE417">
        <f>IF(0=0,"Sin atender", IF(0=1,"Atendida","Atendida y Reportada"))</f>
      </c>
      <c r="AF417" t="str">
        <v/>
      </c>
      <c r="AG417" t="str">
        <v/>
      </c>
      <c r="AH417" t="str">
        <v/>
      </c>
      <c r="AI417" t="str">
        <v/>
      </c>
      <c r="AJ417" t="str">
        <v>24/09/2026 10:56:01</v>
      </c>
      <c r="AK417" t="str">
        <v>10:56:01</v>
      </c>
      <c r="AL417" t="str">
        <v/>
      </c>
    </row>
    <row r="418">
      <c r="A418">
        <v>417</v>
      </c>
      <c r="B418" t="str">
        <v>MASS BSF</v>
      </c>
      <c r="C418" t="str">
        <v>F8R-810</v>
      </c>
      <c r="D418" t="str">
        <v>F8R-810</v>
      </c>
      <c r="E418" t="str">
        <v/>
      </c>
      <c r="F418" t="str">
        <v>867806078868827</v>
      </c>
      <c r="G418" t="str">
        <v>TBD</v>
      </c>
      <c r="H418" t="str">
        <v/>
      </c>
      <c r="I418" t="str">
        <v/>
      </c>
      <c r="J418" t="str">
        <v>24/09/2026</v>
      </c>
      <c r="K418" t="str">
        <v>10:55:56</v>
      </c>
      <c r="L418">
        <v>-12.301474</v>
      </c>
      <c r="M418">
        <v>-76.84592</v>
      </c>
      <c r="N418">
        <f>HYPERLINK("https://www.google.com/maps/search/?api=1&amp;query=-12.301474,-76.84592","Carretera Panamericana Sur, Lurín, Lima")</f>
      </c>
      <c r="O418" t="str">
        <v>Acelerado y giro brusco</v>
      </c>
      <c r="P418">
        <v>1401.2</v>
      </c>
      <c r="Q418" t="str">
        <v/>
      </c>
      <c r="R418">
        <v>66.6</v>
      </c>
      <c r="S418">
        <v>55.83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89</v>
      </c>
      <c r="AB418" t="str">
        <v>24/09/2026</v>
      </c>
      <c r="AC418" t="str">
        <v>10:55:51</v>
      </c>
      <c r="AD418">
        <f>IF("ONLINE"="NOGPS","GPS Antiguo","En línea")</f>
      </c>
      <c r="AE418">
        <f>IF(0=0,"Sin atender", IF(0=1,"Atendida","Atendida y Reportada"))</f>
      </c>
      <c r="AF418" t="str">
        <v/>
      </c>
      <c r="AG418" t="str">
        <v/>
      </c>
      <c r="AH418" t="str">
        <v/>
      </c>
      <c r="AI418" t="str">
        <v/>
      </c>
      <c r="AJ418" t="str">
        <v>24/09/2026 10:56:04</v>
      </c>
      <c r="AK418" t="str">
        <v>10:56:04</v>
      </c>
      <c r="AL418" t="str">
        <v/>
      </c>
    </row>
    <row r="419">
      <c r="A419">
        <v>418</v>
      </c>
      <c r="B419" t="str">
        <v>MASS BSF</v>
      </c>
      <c r="C419" t="str">
        <v>F8R-810</v>
      </c>
      <c r="D419" t="str">
        <v>F8R-810</v>
      </c>
      <c r="E419" t="str">
        <v/>
      </c>
      <c r="F419" t="str">
        <v>867806078868827</v>
      </c>
      <c r="G419" t="str">
        <v>TBD</v>
      </c>
      <c r="H419" t="str">
        <v/>
      </c>
      <c r="I419" t="str">
        <v/>
      </c>
      <c r="J419" t="str">
        <v>24/09/2026</v>
      </c>
      <c r="K419" t="str">
        <v>10:56:00</v>
      </c>
      <c r="L419">
        <v>-12.30175</v>
      </c>
      <c r="M419">
        <v>-76.84529</v>
      </c>
      <c r="N419">
        <f>HYPERLINK("https://www.google.com/maps/search/?api=1&amp;query=-12.30175,-76.84529","Carretera Panamericana Sur, Lurín, Lima")</f>
      </c>
      <c r="O419" t="str">
        <v>Acelerado y giro brusco</v>
      </c>
      <c r="P419">
        <v>1401.2</v>
      </c>
      <c r="Q419" t="str">
        <v/>
      </c>
      <c r="R419">
        <v>66.8</v>
      </c>
      <c r="S419">
        <v>55.83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89</v>
      </c>
      <c r="AB419" t="str">
        <v>24/09/2026</v>
      </c>
      <c r="AC419" t="str">
        <v>10:55:55</v>
      </c>
      <c r="AD419">
        <f>IF("ONLINE"="NOGPS","GPS Antiguo","En línea")</f>
      </c>
      <c r="AE419">
        <f>IF(0=0,"Sin atender", IF(0=1,"Atendida","Atendida y Reportada"))</f>
      </c>
      <c r="AF419" t="str">
        <v/>
      </c>
      <c r="AG419" t="str">
        <v/>
      </c>
      <c r="AH419" t="str">
        <v/>
      </c>
      <c r="AI419" t="str">
        <v/>
      </c>
      <c r="AJ419" t="str">
        <v>24/09/2026 10:56:10</v>
      </c>
      <c r="AK419" t="str">
        <v>10:56:10</v>
      </c>
      <c r="AL419" t="str">
        <v/>
      </c>
    </row>
    <row r="420">
      <c r="A420">
        <v>419</v>
      </c>
      <c r="B420" t="str">
        <v>MASS BSF</v>
      </c>
      <c r="C420" t="str">
        <v>F8R-810</v>
      </c>
      <c r="D420" t="str">
        <v>F8R-810</v>
      </c>
      <c r="E420" t="str">
        <v/>
      </c>
      <c r="F420" t="str">
        <v>867806078868827</v>
      </c>
      <c r="G420" t="str">
        <v>TBD</v>
      </c>
      <c r="H420" t="str">
        <v/>
      </c>
      <c r="I420" t="str">
        <v/>
      </c>
      <c r="J420" t="str">
        <v>24/09/2026</v>
      </c>
      <c r="K420" t="str">
        <v>10:56:15</v>
      </c>
      <c r="L420">
        <v>-12.302805</v>
      </c>
      <c r="M420">
        <v>-76.84304</v>
      </c>
      <c r="N420">
        <f>HYPERLINK("https://www.google.com/maps/search/?api=1&amp;query=-12.302805,-76.84304","Carretera Panamericana Sur, Lurín, Lima")</f>
      </c>
      <c r="O420" t="str">
        <v>Acelerado y giro brusco</v>
      </c>
      <c r="P420">
        <v>1401.5</v>
      </c>
      <c r="Q420" t="str">
        <v/>
      </c>
      <c r="R420">
        <v>63.5</v>
      </c>
      <c r="S420">
        <v>55.83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89</v>
      </c>
      <c r="AB420" t="str">
        <v>24/09/2026</v>
      </c>
      <c r="AC420" t="str">
        <v>10:56:10</v>
      </c>
      <c r="AD420">
        <f>IF("ONLINE"="NOGPS","GPS Antiguo","En línea")</f>
      </c>
      <c r="AE420">
        <f>IF(0=0,"Sin atender", IF(0=1,"Atendida","Atendida y Reportada"))</f>
      </c>
      <c r="AF420" t="str">
        <v/>
      </c>
      <c r="AG420" t="str">
        <v/>
      </c>
      <c r="AH420" t="str">
        <v/>
      </c>
      <c r="AI420" t="str">
        <v/>
      </c>
      <c r="AJ420" t="str">
        <v>24/09/2026 10:56:26</v>
      </c>
      <c r="AK420" t="str">
        <v>10:56:26</v>
      </c>
      <c r="AL420" t="str">
        <v/>
      </c>
    </row>
    <row r="421">
      <c r="A421">
        <v>420</v>
      </c>
      <c r="B421" t="str">
        <v>MASS BSF</v>
      </c>
      <c r="C421" t="str">
        <v>F8R-810</v>
      </c>
      <c r="D421" t="str">
        <v>F8R-810</v>
      </c>
      <c r="E421" t="str">
        <v/>
      </c>
      <c r="F421" t="str">
        <v>867806078868827</v>
      </c>
      <c r="G421" t="str">
        <v>TBD</v>
      </c>
      <c r="H421" t="str">
        <v/>
      </c>
      <c r="I421" t="str">
        <v/>
      </c>
      <c r="J421" t="str">
        <v>24/09/2026</v>
      </c>
      <c r="K421" t="str">
        <v>10:56:28</v>
      </c>
      <c r="L421">
        <v>-12.30385</v>
      </c>
      <c r="M421">
        <v>-76.84131</v>
      </c>
      <c r="N421">
        <f>HYPERLINK("https://www.google.com/maps/search/?api=1&amp;query=-12.30385,-76.84131","Carretera Panamericana Sur, Lurín, Lima")</f>
      </c>
      <c r="O421" t="str">
        <v>Acelerado y giro brusco</v>
      </c>
      <c r="P421">
        <v>1401.7</v>
      </c>
      <c r="Q421" t="str">
        <v/>
      </c>
      <c r="R421">
        <v>57.2</v>
      </c>
      <c r="S421">
        <v>55.83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89</v>
      </c>
      <c r="AB421" t="str">
        <v>24/09/2026</v>
      </c>
      <c r="AC421" t="str">
        <v>10:56:23</v>
      </c>
      <c r="AD421">
        <f>IF("ONLINE"="NOGPS","GPS Antiguo","En línea")</f>
      </c>
      <c r="AE421">
        <f>IF(0=0,"Sin atender", IF(0=1,"Atendida","Atendida y Reportada"))</f>
      </c>
      <c r="AF421" t="str">
        <v/>
      </c>
      <c r="AG421" t="str">
        <v/>
      </c>
      <c r="AH421" t="str">
        <v/>
      </c>
      <c r="AI421" t="str">
        <v/>
      </c>
      <c r="AJ421" t="str">
        <v>24/09/2026 10:56:49</v>
      </c>
      <c r="AK421" t="str">
        <v>10:56:49</v>
      </c>
      <c r="AL421" t="str">
        <v/>
      </c>
    </row>
    <row r="422">
      <c r="A422">
        <v>421</v>
      </c>
      <c r="B422" t="str">
        <v>MASS BSF</v>
      </c>
      <c r="C422" t="str">
        <v>F8R-810</v>
      </c>
      <c r="D422" t="str">
        <v>F8R-810</v>
      </c>
      <c r="E422" t="str">
        <v/>
      </c>
      <c r="F422" t="str">
        <v>867806078868827</v>
      </c>
      <c r="G422" t="str">
        <v>TBD</v>
      </c>
      <c r="H422" t="str">
        <v/>
      </c>
      <c r="I422" t="str">
        <v/>
      </c>
      <c r="J422" t="str">
        <v>24/09/2026</v>
      </c>
      <c r="K422" t="str">
        <v>10:57:10</v>
      </c>
      <c r="L422">
        <v>-12.307009</v>
      </c>
      <c r="M422">
        <v>-76.83779</v>
      </c>
      <c r="N422">
        <f>HYPERLINK("https://www.google.com/maps/search/?api=1&amp;query=-12.307009,-76.83779","Carretera Panamericana Sur, Punta Hermosa, Lima")</f>
      </c>
      <c r="O422" t="str">
        <v>Aceleración brusca</v>
      </c>
      <c r="P422">
        <v>1402.2</v>
      </c>
      <c r="Q422" t="str">
        <v/>
      </c>
      <c r="R422">
        <v>47</v>
      </c>
      <c r="S422">
        <v>55.83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89</v>
      </c>
      <c r="AB422" t="str">
        <v>24/09/2026</v>
      </c>
      <c r="AC422" t="str">
        <v>10:57:05</v>
      </c>
      <c r="AD422">
        <f>IF("ONLINE"="NOGPS","GPS Antiguo","En línea")</f>
      </c>
      <c r="AE422">
        <f>IF(0=0,"Sin atender", IF(0=1,"Atendida","Atendida y Reportada"))</f>
      </c>
      <c r="AF422" t="str">
        <v/>
      </c>
      <c r="AG422" t="str">
        <v/>
      </c>
      <c r="AH422" t="str">
        <v/>
      </c>
      <c r="AI422" t="str">
        <v/>
      </c>
      <c r="AJ422" t="str">
        <v>24/09/2026 10:57:29</v>
      </c>
      <c r="AK422" t="str">
        <v>10:57:29</v>
      </c>
      <c r="AL422" t="str">
        <v/>
      </c>
    </row>
    <row r="423">
      <c r="A423">
        <v>422</v>
      </c>
      <c r="B423" t="str">
        <v>MASS BSF</v>
      </c>
      <c r="C423" t="str">
        <v>F8R-810</v>
      </c>
      <c r="D423" t="str">
        <v>F8R-810</v>
      </c>
      <c r="E423" t="str">
        <v/>
      </c>
      <c r="F423" t="str">
        <v>867806078868827</v>
      </c>
      <c r="G423" t="str">
        <v>TBD</v>
      </c>
      <c r="H423" t="str">
        <v/>
      </c>
      <c r="I423" t="str">
        <v/>
      </c>
      <c r="J423" t="str">
        <v>24/09/2026</v>
      </c>
      <c r="K423" t="str">
        <v>10:59:03</v>
      </c>
      <c r="L423">
        <v>-12.315449</v>
      </c>
      <c r="M423">
        <v>-76.832</v>
      </c>
      <c r="N423">
        <f>HYPERLINK("https://www.google.com/maps/search/?api=1&amp;query=-12.315449,-76.832","Carretera Panamericana Sur, Punta Hermosa, Lima")</f>
      </c>
      <c r="O423" t="str">
        <v>Aceleración brusca</v>
      </c>
      <c r="P423">
        <v>1403.4</v>
      </c>
      <c r="Q423" t="str">
        <v/>
      </c>
      <c r="R423">
        <v>26.8</v>
      </c>
      <c r="S423">
        <v>55.83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89</v>
      </c>
      <c r="AB423" t="str">
        <v>24/09/2026</v>
      </c>
      <c r="AC423" t="str">
        <v>10:58:59</v>
      </c>
      <c r="AD423">
        <f>IF("ONLINE"="NOGPS","GPS Antiguo","En línea")</f>
      </c>
      <c r="AE423">
        <f>IF(0=0,"Sin atender", IF(0=1,"Atendida","Atendida y Reportada"))</f>
      </c>
      <c r="AF423" t="str">
        <v/>
      </c>
      <c r="AG423" t="str">
        <v/>
      </c>
      <c r="AH423" t="str">
        <v/>
      </c>
      <c r="AI423" t="str">
        <v/>
      </c>
      <c r="AJ423" t="str">
        <v>24/09/2026 10:59:19</v>
      </c>
      <c r="AK423" t="str">
        <v>10:59:19</v>
      </c>
      <c r="AL423" t="str">
        <v/>
      </c>
    </row>
    <row r="424">
      <c r="A424">
        <v>423</v>
      </c>
      <c r="B424" t="str">
        <v>MASS BSF</v>
      </c>
      <c r="C424" t="str">
        <v>F8R-810</v>
      </c>
      <c r="D424" t="str">
        <v>F8R-810</v>
      </c>
      <c r="E424" t="str">
        <v/>
      </c>
      <c r="F424" t="str">
        <v>867806078868827</v>
      </c>
      <c r="G424" t="str">
        <v>TBD</v>
      </c>
      <c r="H424" t="str">
        <v/>
      </c>
      <c r="I424" t="str">
        <v/>
      </c>
      <c r="J424" t="str">
        <v>24/09/2026</v>
      </c>
      <c r="K424" t="str">
        <v>10:59:29</v>
      </c>
      <c r="L424">
        <v>-12.31683</v>
      </c>
      <c r="M424">
        <v>-76.83108</v>
      </c>
      <c r="N424">
        <f>HYPERLINK("https://www.google.com/maps/search/?api=1&amp;query=-12.31683,-76.83108","Carretera Panamericana Sur, Punta Hermosa, Lima")</f>
      </c>
      <c r="O424" t="str">
        <v>Aceleración brusca</v>
      </c>
      <c r="P424">
        <v>1403.5</v>
      </c>
      <c r="Q424" t="str">
        <v/>
      </c>
      <c r="R424">
        <v>29.8</v>
      </c>
      <c r="S424">
        <v>55.83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89</v>
      </c>
      <c r="AB424" t="str">
        <v>24/09/2026</v>
      </c>
      <c r="AC424" t="str">
        <v>10:59:24</v>
      </c>
      <c r="AD424">
        <f>IF("ONLINE"="NOGPS","GPS Antiguo","En línea")</f>
      </c>
      <c r="AE424">
        <f>IF(0=0,"Sin atender", IF(0=1,"Atendida","Atendida y Reportada"))</f>
      </c>
      <c r="AF424" t="str">
        <v/>
      </c>
      <c r="AG424" t="str">
        <v/>
      </c>
      <c r="AH424" t="str">
        <v/>
      </c>
      <c r="AI424" t="str">
        <v/>
      </c>
      <c r="AJ424" t="str">
        <v>24/09/2026 10:59:42</v>
      </c>
      <c r="AK424" t="str">
        <v>10:59:42</v>
      </c>
      <c r="AL424" t="str">
        <v/>
      </c>
    </row>
    <row r="425">
      <c r="A425">
        <v>424</v>
      </c>
      <c r="B425" t="str">
        <v>MASS BSF</v>
      </c>
      <c r="C425" t="str">
        <v>F8R-810</v>
      </c>
      <c r="D425" t="str">
        <v>F8R-810</v>
      </c>
      <c r="E425" t="str">
        <v/>
      </c>
      <c r="F425" t="str">
        <v>867806078868827</v>
      </c>
      <c r="G425" t="str">
        <v>TBD</v>
      </c>
      <c r="H425" t="str">
        <v/>
      </c>
      <c r="I425" t="str">
        <v/>
      </c>
      <c r="J425" t="str">
        <v>24/09/2026</v>
      </c>
      <c r="K425" t="str">
        <v>10:59:40</v>
      </c>
      <c r="L425">
        <v>-12.317513</v>
      </c>
      <c r="M425">
        <v>-76.83062</v>
      </c>
      <c r="N425">
        <f>HYPERLINK("https://www.google.com/maps/search/?api=1&amp;query=-12.317513,-76.83062","Carretera Panamericana Sur, Punta Hermosa, Lima")</f>
      </c>
      <c r="O425" t="str">
        <v>Acelerado y giro brusco</v>
      </c>
      <c r="P425">
        <v>1403.6</v>
      </c>
      <c r="Q425" t="str">
        <v/>
      </c>
      <c r="R425">
        <v>30.5</v>
      </c>
      <c r="S425">
        <v>55.83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89</v>
      </c>
      <c r="AB425" t="str">
        <v>24/09/2026</v>
      </c>
      <c r="AC425" t="str">
        <v>10:59:35</v>
      </c>
      <c r="AD425">
        <f>IF("ONLINE"="NOGPS","GPS Antiguo","En línea")</f>
      </c>
      <c r="AE425">
        <f>IF(0=0,"Sin atender", IF(0=1,"Atendida","Atendida y Reportada"))</f>
      </c>
      <c r="AF425" t="str">
        <v/>
      </c>
      <c r="AG425" t="str">
        <v/>
      </c>
      <c r="AH425" t="str">
        <v/>
      </c>
      <c r="AI425" t="str">
        <v/>
      </c>
      <c r="AJ425" t="str">
        <v>24/09/2026 10:59:49</v>
      </c>
      <c r="AK425" t="str">
        <v>10:59:49</v>
      </c>
      <c r="AL425" t="str">
        <v/>
      </c>
    </row>
    <row r="426">
      <c r="A426">
        <v>425</v>
      </c>
      <c r="B426" t="str">
        <v>MASS BSF</v>
      </c>
      <c r="C426" t="str">
        <v>F8R-810</v>
      </c>
      <c r="D426" t="str">
        <v>F8R-810</v>
      </c>
      <c r="E426" t="str">
        <v/>
      </c>
      <c r="F426" t="str">
        <v>867806078868827</v>
      </c>
      <c r="G426" t="str">
        <v>TBD</v>
      </c>
      <c r="H426" t="str">
        <v/>
      </c>
      <c r="I426" t="str">
        <v/>
      </c>
      <c r="J426" t="str">
        <v>24/09/2026</v>
      </c>
      <c r="K426" t="str">
        <v>11:00:58</v>
      </c>
      <c r="L426">
        <v>-12.322429</v>
      </c>
      <c r="M426">
        <v>-76.82733</v>
      </c>
      <c r="N426">
        <f>HYPERLINK("https://www.google.com/maps/search/?api=1&amp;query=-12.322429,-76.82733","Carretera Panamericana Sur, Punta Hermosa, Lima")</f>
      </c>
      <c r="O426" t="str">
        <v>Aceleración brusca</v>
      </c>
      <c r="P426">
        <v>1404.3</v>
      </c>
      <c r="Q426" t="str">
        <v/>
      </c>
      <c r="R426">
        <v>34.4</v>
      </c>
      <c r="S426">
        <v>55.83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89</v>
      </c>
      <c r="AB426" t="str">
        <v>24/09/2026</v>
      </c>
      <c r="AC426" t="str">
        <v>11:00:53</v>
      </c>
      <c r="AD426">
        <f>IF("ONLINE"="NOGPS","GPS Antiguo","En línea")</f>
      </c>
      <c r="AE426">
        <f>IF(0=0,"Sin atender", IF(0=1,"Atendida","Atendida y Reportada"))</f>
      </c>
      <c r="AF426" t="str">
        <v/>
      </c>
      <c r="AG426" t="str">
        <v/>
      </c>
      <c r="AH426" t="str">
        <v/>
      </c>
      <c r="AI426" t="str">
        <v/>
      </c>
      <c r="AJ426" t="str">
        <v>24/09/2026 11:01:02</v>
      </c>
      <c r="AK426" t="str">
        <v>11:01:02</v>
      </c>
      <c r="AL426" t="str">
        <v/>
      </c>
    </row>
    <row r="427">
      <c r="A427">
        <v>426</v>
      </c>
      <c r="B427" t="str">
        <v>MASS BSF</v>
      </c>
      <c r="C427" t="str">
        <v>F8R-810</v>
      </c>
      <c r="D427" t="str">
        <v>F8R-810</v>
      </c>
      <c r="E427" t="str">
        <v/>
      </c>
      <c r="F427" t="str">
        <v>867806078868827</v>
      </c>
      <c r="G427" t="str">
        <v>TBD</v>
      </c>
      <c r="H427" t="str">
        <v/>
      </c>
      <c r="I427" t="str">
        <v/>
      </c>
      <c r="J427" t="str">
        <v>24/09/2026</v>
      </c>
      <c r="K427" t="str">
        <v>11:01:09</v>
      </c>
      <c r="L427">
        <v>-12.32308</v>
      </c>
      <c r="M427">
        <v>-76.8269</v>
      </c>
      <c r="N427">
        <f>HYPERLINK("https://www.google.com/maps/search/?api=1&amp;query=-12.32308,-76.8269","Carretera Panamericana Sur, Punta Hermosa, Lima")</f>
      </c>
      <c r="O427" t="str">
        <v>Acelerado y giro brusco</v>
      </c>
      <c r="P427">
        <v>1404.4</v>
      </c>
      <c r="Q427" t="str">
        <v/>
      </c>
      <c r="R427">
        <v>25</v>
      </c>
      <c r="S427">
        <v>55.83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89</v>
      </c>
      <c r="AB427" t="str">
        <v>24/09/2026</v>
      </c>
      <c r="AC427" t="str">
        <v>11:01:04</v>
      </c>
      <c r="AD427">
        <f>IF("ONLINE"="NOGPS","GPS Antiguo","En línea")</f>
      </c>
      <c r="AE427">
        <f>IF(0=0,"Sin atender", IF(0=1,"Atendida","Atendida y Reportada"))</f>
      </c>
      <c r="AF427" t="str">
        <v/>
      </c>
      <c r="AG427" t="str">
        <v/>
      </c>
      <c r="AH427" t="str">
        <v/>
      </c>
      <c r="AI427" t="str">
        <v/>
      </c>
      <c r="AJ427" t="str">
        <v>24/09/2026 11:01:13</v>
      </c>
      <c r="AK427" t="str">
        <v>11:01:13</v>
      </c>
      <c r="AL427" t="str">
        <v/>
      </c>
    </row>
    <row r="428">
      <c r="A428">
        <v>427</v>
      </c>
      <c r="B428" t="str">
        <v>MASS BSF</v>
      </c>
      <c r="C428" t="str">
        <v>F8R-810</v>
      </c>
      <c r="D428" t="str">
        <v>F8R-810</v>
      </c>
      <c r="E428" t="str">
        <v/>
      </c>
      <c r="F428" t="str">
        <v>867806078868827</v>
      </c>
      <c r="G428" t="str">
        <v>TBD</v>
      </c>
      <c r="H428" t="str">
        <v/>
      </c>
      <c r="I428" t="str">
        <v/>
      </c>
      <c r="J428" t="str">
        <v>24/09/2026</v>
      </c>
      <c r="K428" t="str">
        <v>11:02:49</v>
      </c>
      <c r="L428">
        <v>-12.330664</v>
      </c>
      <c r="M428">
        <v>-76.82184</v>
      </c>
      <c r="N428">
        <f>HYPERLINK("https://www.google.com/maps/search/?api=1&amp;query=-12.330664,-76.82184","Carretera Panamericana Sur, Punta Hermosa, Lima")</f>
      </c>
      <c r="O428" t="str">
        <v>Aceleración brusca</v>
      </c>
      <c r="P428">
        <v>1405.4</v>
      </c>
      <c r="Q428" t="str">
        <v/>
      </c>
      <c r="R428">
        <v>37.2</v>
      </c>
      <c r="S428">
        <v>55.83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86</v>
      </c>
      <c r="AB428" t="str">
        <v>24/09/2026</v>
      </c>
      <c r="AC428" t="str">
        <v>11:02:44</v>
      </c>
      <c r="AD428">
        <f>IF("ONLINE"="NOGPS","GPS Antiguo","En línea")</f>
      </c>
      <c r="AE428">
        <f>IF(0=0,"Sin atender", IF(0=1,"Atendida","Atendida y Reportada"))</f>
      </c>
      <c r="AF428" t="str">
        <v/>
      </c>
      <c r="AG428" t="str">
        <v/>
      </c>
      <c r="AH428" t="str">
        <v/>
      </c>
      <c r="AI428" t="str">
        <v/>
      </c>
      <c r="AJ428" t="str">
        <v>24/09/2026 11:02:53</v>
      </c>
      <c r="AK428" t="str">
        <v>11:02:53</v>
      </c>
      <c r="AL428" t="str">
        <v/>
      </c>
    </row>
    <row r="429">
      <c r="A429">
        <v>428</v>
      </c>
      <c r="B429" t="str">
        <v>MASS BSF</v>
      </c>
      <c r="C429" t="str">
        <v>F8R-810</v>
      </c>
      <c r="D429" t="str">
        <v>F8R-810</v>
      </c>
      <c r="E429" t="str">
        <v/>
      </c>
      <c r="F429" t="str">
        <v>867806078868827</v>
      </c>
      <c r="G429" t="str">
        <v>TBD</v>
      </c>
      <c r="H429" t="str">
        <v/>
      </c>
      <c r="I429" t="str">
        <v/>
      </c>
      <c r="J429" t="str">
        <v>24/09/2026</v>
      </c>
      <c r="K429" t="str">
        <v>11:02:57</v>
      </c>
      <c r="L429">
        <v>-12.33126</v>
      </c>
      <c r="M429">
        <v>-76.82144</v>
      </c>
      <c r="N429">
        <f>HYPERLINK("https://www.google.com/maps/search/?api=1&amp;query=-12.33126,-76.82144","Carretera Panamericana Sur, Punta Hermosa, Lima")</f>
      </c>
      <c r="O429" t="str">
        <v>Acelerado y giro brusco</v>
      </c>
      <c r="P429">
        <v>1405.4</v>
      </c>
      <c r="Q429" t="str">
        <v/>
      </c>
      <c r="R429">
        <v>36.4</v>
      </c>
      <c r="S429">
        <v>55.83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86</v>
      </c>
      <c r="AB429" t="str">
        <v>24/09/2026</v>
      </c>
      <c r="AC429" t="str">
        <v>11:02:52</v>
      </c>
      <c r="AD429">
        <f>IF("ONLINE"="NOGPS","GPS Antiguo","En línea")</f>
      </c>
      <c r="AE429">
        <f>IF(0=0,"Sin atender", IF(0=1,"Atendida","Atendida y Reportada"))</f>
      </c>
      <c r="AF429" t="str">
        <v/>
      </c>
      <c r="AG429" t="str">
        <v/>
      </c>
      <c r="AH429" t="str">
        <v/>
      </c>
      <c r="AI429" t="str">
        <v/>
      </c>
      <c r="AJ429" t="str">
        <v>24/09/2026 11:03:20</v>
      </c>
      <c r="AK429" t="str">
        <v>11:03:20</v>
      </c>
      <c r="AL429" t="str">
        <v/>
      </c>
    </row>
    <row r="430">
      <c r="A430">
        <v>429</v>
      </c>
      <c r="B430" t="str">
        <v>MASS BSF</v>
      </c>
      <c r="C430" t="str">
        <v>F8R-810</v>
      </c>
      <c r="D430" t="str">
        <v>F8R-810</v>
      </c>
      <c r="E430" t="str">
        <v/>
      </c>
      <c r="F430" t="str">
        <v>867806078868827</v>
      </c>
      <c r="G430" t="str">
        <v>TBD</v>
      </c>
      <c r="H430" t="str">
        <v/>
      </c>
      <c r="I430" t="str">
        <v/>
      </c>
      <c r="J430" t="str">
        <v>24/09/2026</v>
      </c>
      <c r="K430" t="str">
        <v>11:03:27</v>
      </c>
      <c r="L430">
        <v>-12.333555</v>
      </c>
      <c r="M430">
        <v>-76.81991</v>
      </c>
      <c r="N430">
        <f>HYPERLINK("https://www.google.com/maps/search/?api=1&amp;query=-12.333555,-76.81991","Carretera Panamericana Sur, Punta Hermosa, Lima")</f>
      </c>
      <c r="O430" t="str">
        <v>Aceleración brusca</v>
      </c>
      <c r="P430">
        <v>1405.7</v>
      </c>
      <c r="Q430" t="str">
        <v/>
      </c>
      <c r="R430">
        <v>34.8</v>
      </c>
      <c r="S430">
        <v>55.83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86</v>
      </c>
      <c r="AB430" t="str">
        <v>24/09/2026</v>
      </c>
      <c r="AC430" t="str">
        <v>11:03:23</v>
      </c>
      <c r="AD430">
        <f>IF("ONLINE"="NOGPS","GPS Antiguo","En línea")</f>
      </c>
      <c r="AE430">
        <f>IF(0=0,"Sin atender", IF(0=1,"Atendida","Atendida y Reportada"))</f>
      </c>
      <c r="AF430" t="str">
        <v/>
      </c>
      <c r="AG430" t="str">
        <v/>
      </c>
      <c r="AH430" t="str">
        <v/>
      </c>
      <c r="AI430" t="str">
        <v/>
      </c>
      <c r="AJ430" t="str">
        <v>24/09/2026 11:03:33</v>
      </c>
      <c r="AK430" t="str">
        <v>11:03:33</v>
      </c>
      <c r="AL430" t="str">
        <v/>
      </c>
    </row>
    <row r="431">
      <c r="A431">
        <v>430</v>
      </c>
      <c r="B431" t="str">
        <v>MASS BSF</v>
      </c>
      <c r="C431" t="str">
        <v>F8R-810</v>
      </c>
      <c r="D431" t="str">
        <v>F8R-810</v>
      </c>
      <c r="E431" t="str">
        <v/>
      </c>
      <c r="F431" t="str">
        <v>867806078868827</v>
      </c>
      <c r="G431" t="str">
        <v>TBD</v>
      </c>
      <c r="H431" t="str">
        <v/>
      </c>
      <c r="I431" t="str">
        <v/>
      </c>
      <c r="J431" t="str">
        <v>24/09/2026</v>
      </c>
      <c r="K431" t="str">
        <v>11:04:02</v>
      </c>
      <c r="L431">
        <v>-12.335479</v>
      </c>
      <c r="M431">
        <v>-76.81879</v>
      </c>
      <c r="N431">
        <f>HYPERLINK("https://www.google.com/maps/search/?api=1&amp;query=-12.335479,-76.81879","Carretera Panamericana Sur, Punta Hermosa, Lima")</f>
      </c>
      <c r="O431" t="str">
        <v>Aceleración brusca</v>
      </c>
      <c r="P431">
        <v>1406</v>
      </c>
      <c r="Q431" t="str">
        <v/>
      </c>
      <c r="R431">
        <v>19.8</v>
      </c>
      <c r="S431">
        <v>55.83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86</v>
      </c>
      <c r="AB431" t="str">
        <v>24/09/2026</v>
      </c>
      <c r="AC431" t="str">
        <v>11:03:58</v>
      </c>
      <c r="AD431">
        <f>IF("ONLINE"="NOGPS","GPS Antiguo","En línea")</f>
      </c>
      <c r="AE431">
        <f>IF(0=0,"Sin atender", IF(0=1,"Atendida","Atendida y Reportada"))</f>
      </c>
      <c r="AF431" t="str">
        <v/>
      </c>
      <c r="AG431" t="str">
        <v/>
      </c>
      <c r="AH431" t="str">
        <v/>
      </c>
      <c r="AI431" t="str">
        <v/>
      </c>
      <c r="AJ431" t="str">
        <v>24/09/2026 11:04:08</v>
      </c>
      <c r="AK431" t="str">
        <v>11:04:08</v>
      </c>
      <c r="AL431" t="str">
        <v/>
      </c>
    </row>
    <row r="432">
      <c r="A432">
        <v>431</v>
      </c>
      <c r="B432" t="str">
        <v>MASS BSF</v>
      </c>
      <c r="C432" t="str">
        <v>F8R-810</v>
      </c>
      <c r="D432" t="str">
        <v>F8R-810</v>
      </c>
      <c r="E432" t="str">
        <v/>
      </c>
      <c r="F432" t="str">
        <v>867806078868827</v>
      </c>
      <c r="G432" t="str">
        <v>TBD</v>
      </c>
      <c r="H432" t="str">
        <v/>
      </c>
      <c r="I432" t="str">
        <v/>
      </c>
      <c r="J432" t="str">
        <v>24/09/2026</v>
      </c>
      <c r="K432" t="str">
        <v>11:04:08</v>
      </c>
      <c r="L432">
        <v>-12.335762</v>
      </c>
      <c r="M432">
        <v>-76.818825</v>
      </c>
      <c r="N432">
        <f>HYPERLINK("https://www.google.com/maps/search/?api=1&amp;query=-12.335762,-76.818825","Punta Hermosa, Lima")</f>
      </c>
      <c r="O432" t="str">
        <v>Acelerado y giro brusco</v>
      </c>
      <c r="P432">
        <v>1406</v>
      </c>
      <c r="Q432" t="str">
        <v/>
      </c>
      <c r="R432">
        <v>17.2</v>
      </c>
      <c r="S432">
        <v>55.83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90</v>
      </c>
      <c r="AB432" t="str">
        <v>24/09/2026</v>
      </c>
      <c r="AC432" t="str">
        <v>11:04:04</v>
      </c>
      <c r="AD432">
        <f>IF("ONLINE"="NOGPS","GPS Antiguo","En línea")</f>
      </c>
      <c r="AE432">
        <f>IF(0=0,"Sin atender", IF(0=1,"Atendida","Atendida y Reportada"))</f>
      </c>
      <c r="AF432" t="str">
        <v/>
      </c>
      <c r="AG432" t="str">
        <v/>
      </c>
      <c r="AH432" t="str">
        <v/>
      </c>
      <c r="AI432" t="str">
        <v/>
      </c>
      <c r="AJ432" t="str">
        <v>24/09/2026 11:04:26</v>
      </c>
      <c r="AK432" t="str">
        <v>11:04:26</v>
      </c>
      <c r="AL432" t="str">
        <v/>
      </c>
    </row>
    <row r="433">
      <c r="A433">
        <v>432</v>
      </c>
      <c r="B433" t="str">
        <v>MASS BSF</v>
      </c>
      <c r="C433" t="str">
        <v>F8R-810</v>
      </c>
      <c r="D433" t="str">
        <v>F8R-810</v>
      </c>
      <c r="E433" t="str">
        <v/>
      </c>
      <c r="F433" t="str">
        <v>867806078868827</v>
      </c>
      <c r="G433" t="str">
        <v>TBD</v>
      </c>
      <c r="H433" t="str">
        <v/>
      </c>
      <c r="I433" t="str">
        <v/>
      </c>
      <c r="J433" t="str">
        <v>24/09/2026</v>
      </c>
      <c r="K433" t="str">
        <v>11:04:44</v>
      </c>
      <c r="L433">
        <v>-12.33528</v>
      </c>
      <c r="M433">
        <v>-76.819565</v>
      </c>
      <c r="N433">
        <f>HYPERLINK("https://www.google.com/maps/search/?api=1&amp;query=-12.33528,-76.819565","Antigua Panamericana Sur, Punta Hermosa, Lima")</f>
      </c>
      <c r="O433" t="str">
        <v>Acelerado y giro brusco</v>
      </c>
      <c r="P433">
        <v>1406.1</v>
      </c>
      <c r="Q433" t="str">
        <v/>
      </c>
      <c r="R433">
        <v>14.8</v>
      </c>
      <c r="S433">
        <v>55.83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90</v>
      </c>
      <c r="AB433" t="str">
        <v>24/09/2026</v>
      </c>
      <c r="AC433" t="str">
        <v>11:04:39</v>
      </c>
      <c r="AD433">
        <f>IF("ONLINE"="NOGPS","GPS Antiguo","En línea")</f>
      </c>
      <c r="AE433">
        <f>IF(0=0,"Sin atender", IF(0=1,"Atendida","Atendida y Reportada"))</f>
      </c>
      <c r="AF433" t="str">
        <v/>
      </c>
      <c r="AG433" t="str">
        <v/>
      </c>
      <c r="AH433" t="str">
        <v/>
      </c>
      <c r="AI433" t="str">
        <v/>
      </c>
      <c r="AJ433" t="str">
        <v>24/09/2026 11:05:04</v>
      </c>
      <c r="AK433" t="str">
        <v>11:05:04</v>
      </c>
      <c r="AL433" t="str">
        <v/>
      </c>
    </row>
    <row r="434">
      <c r="A434">
        <v>433</v>
      </c>
      <c r="B434" t="str">
        <v>MASS BSF</v>
      </c>
      <c r="C434" t="str">
        <v>F8R-810</v>
      </c>
      <c r="D434" t="str">
        <v>F8R-810</v>
      </c>
      <c r="E434" t="str">
        <v/>
      </c>
      <c r="F434" t="str">
        <v>867806078868827</v>
      </c>
      <c r="G434" t="str">
        <v>TBD</v>
      </c>
      <c r="H434" t="str">
        <v/>
      </c>
      <c r="I434" t="str">
        <v/>
      </c>
      <c r="J434" t="str">
        <v>24/09/2026</v>
      </c>
      <c r="K434" t="str">
        <v>11:04:57</v>
      </c>
      <c r="L434">
        <v>-12.334855</v>
      </c>
      <c r="M434">
        <v>-76.81982</v>
      </c>
      <c r="N434">
        <f>HYPERLINK("https://www.google.com/maps/search/?api=1&amp;query=-12.334855,-76.81982","Antigua Panamericana Sur, Punta Hermosa, Lima")</f>
      </c>
      <c r="O434" t="str">
        <v>Acelerado y giro brusco</v>
      </c>
      <c r="P434">
        <v>1406.2</v>
      </c>
      <c r="Q434" t="str">
        <v/>
      </c>
      <c r="R434">
        <v>17</v>
      </c>
      <c r="S434">
        <v>55.83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90</v>
      </c>
      <c r="AB434" t="str">
        <v>24/09/2026</v>
      </c>
      <c r="AC434" t="str">
        <v>11:04:52</v>
      </c>
      <c r="AD434">
        <f>IF("ONLINE"="NOGPS","GPS Antiguo","En línea")</f>
      </c>
      <c r="AE434">
        <f>IF(0=0,"Sin atender", IF(0=1,"Atendida","Atendida y Reportada"))</f>
      </c>
      <c r="AF434" t="str">
        <v/>
      </c>
      <c r="AG434" t="str">
        <v/>
      </c>
      <c r="AH434" t="str">
        <v/>
      </c>
      <c r="AI434" t="str">
        <v/>
      </c>
      <c r="AJ434" t="str">
        <v>24/09/2026 11:05:19</v>
      </c>
      <c r="AK434" t="str">
        <v>11:05:19</v>
      </c>
      <c r="AL434" t="str">
        <v/>
      </c>
    </row>
    <row r="435">
      <c r="A435">
        <v>434</v>
      </c>
      <c r="B435" t="str">
        <v>MASS BSF</v>
      </c>
      <c r="C435" t="str">
        <v>F8R-810</v>
      </c>
      <c r="D435" t="str">
        <v>F8R-810</v>
      </c>
      <c r="E435" t="str">
        <v/>
      </c>
      <c r="F435" t="str">
        <v>867806078868827</v>
      </c>
      <c r="G435" t="str">
        <v>TBD</v>
      </c>
      <c r="H435" t="str">
        <v/>
      </c>
      <c r="I435" t="str">
        <v/>
      </c>
      <c r="J435" t="str">
        <v>24/09/2026</v>
      </c>
      <c r="K435" t="str">
        <v>11:05:31</v>
      </c>
      <c r="L435">
        <v>-12.333709</v>
      </c>
      <c r="M435">
        <v>-76.820496</v>
      </c>
      <c r="N435">
        <f>HYPERLINK("https://www.google.com/maps/search/?api=1&amp;query=-12.333709,-76.820496","Antigua Panamericana Sur, Punta Hermosa, Lima")</f>
      </c>
      <c r="O435" t="str">
        <v>Aceleración brusca</v>
      </c>
      <c r="P435">
        <v>1406.3</v>
      </c>
      <c r="Q435" t="str">
        <v/>
      </c>
      <c r="R435">
        <v>15.1</v>
      </c>
      <c r="S435">
        <v>55.83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90</v>
      </c>
      <c r="AB435" t="str">
        <v>24/09/2026</v>
      </c>
      <c r="AC435" t="str">
        <v>11:05:26</v>
      </c>
      <c r="AD435">
        <f>IF("ONLINE"="NOGPS","GPS Antiguo","En línea")</f>
      </c>
      <c r="AE435">
        <f>IF(0=0,"Sin atender", IF(0=1,"Atendida","Atendida y Reportada"))</f>
      </c>
      <c r="AF435" t="str">
        <v/>
      </c>
      <c r="AG435" t="str">
        <v/>
      </c>
      <c r="AH435" t="str">
        <v/>
      </c>
      <c r="AI435" t="str">
        <v/>
      </c>
      <c r="AJ435" t="str">
        <v>24/09/2026 11:05:46</v>
      </c>
      <c r="AK435" t="str">
        <v>11:05:46</v>
      </c>
      <c r="AL435" t="str">
        <v/>
      </c>
    </row>
    <row r="436">
      <c r="A436">
        <v>435</v>
      </c>
      <c r="B436" t="str">
        <v>MASS BSF</v>
      </c>
      <c r="C436" t="str">
        <v>F8R-810</v>
      </c>
      <c r="D436" t="str">
        <v>F8R-810</v>
      </c>
      <c r="E436" t="str">
        <v/>
      </c>
      <c r="F436" t="str">
        <v>867806078868827</v>
      </c>
      <c r="G436" t="str">
        <v>TBD</v>
      </c>
      <c r="H436" t="str">
        <v/>
      </c>
      <c r="I436" t="str">
        <v/>
      </c>
      <c r="J436" t="str">
        <v>24/09/2026</v>
      </c>
      <c r="K436" t="str">
        <v>11:06:10</v>
      </c>
      <c r="L436">
        <v>-12.332815</v>
      </c>
      <c r="M436">
        <v>-76.81991</v>
      </c>
      <c r="N436">
        <f>HYPERLINK("https://www.google.com/maps/search/?api=1&amp;query=-12.332815,-76.81991","Punta Hermosa, Lima")</f>
      </c>
      <c r="O436" t="str">
        <v>Acelerado y giro brusco</v>
      </c>
      <c r="P436">
        <v>1406.5</v>
      </c>
      <c r="Q436" t="str">
        <v/>
      </c>
      <c r="R436">
        <v>26.1</v>
      </c>
      <c r="S436">
        <v>55.83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85</v>
      </c>
      <c r="AB436" t="str">
        <v>24/09/2026</v>
      </c>
      <c r="AC436" t="str">
        <v>11:06:05</v>
      </c>
      <c r="AD436">
        <f>IF("ONLINE"="NOGPS","GPS Antiguo","En línea")</f>
      </c>
      <c r="AE436">
        <f>IF(0=0,"Sin atender", IF(0=1,"Atendida","Atendida y Reportada"))</f>
      </c>
      <c r="AF436" t="str">
        <v/>
      </c>
      <c r="AG436" t="str">
        <v/>
      </c>
      <c r="AH436" t="str">
        <v/>
      </c>
      <c r="AI436" t="str">
        <v/>
      </c>
      <c r="AJ436" t="str">
        <v>24/09/2026 11:06:18</v>
      </c>
      <c r="AK436" t="str">
        <v>11:06:18</v>
      </c>
      <c r="AL436" t="str">
        <v/>
      </c>
    </row>
    <row r="437">
      <c r="A437">
        <v>436</v>
      </c>
      <c r="B437" t="str">
        <v>MASS BSF</v>
      </c>
      <c r="C437" t="str">
        <v>F8R-810</v>
      </c>
      <c r="D437" t="str">
        <v>F8R-810</v>
      </c>
      <c r="E437" t="str">
        <v/>
      </c>
      <c r="F437" t="str">
        <v>867806078868827</v>
      </c>
      <c r="G437" t="str">
        <v>TBD</v>
      </c>
      <c r="H437" t="str">
        <v/>
      </c>
      <c r="I437" t="str">
        <v/>
      </c>
      <c r="J437" t="str">
        <v>24/09/2026</v>
      </c>
      <c r="K437" t="str">
        <v>11:06:15</v>
      </c>
      <c r="L437">
        <v>-12.332566</v>
      </c>
      <c r="M437">
        <v>-76.82013</v>
      </c>
      <c r="N437">
        <f>HYPERLINK("https://www.google.com/maps/search/?api=1&amp;query=-12.332566,-76.82013","Carretera Panamericana Sur, Punta Hermosa, Lima")</f>
      </c>
      <c r="O437" t="str">
        <v>Acelerado y giro brusco</v>
      </c>
      <c r="P437">
        <v>1406.6</v>
      </c>
      <c r="Q437" t="str">
        <v/>
      </c>
      <c r="R437">
        <v>25.5</v>
      </c>
      <c r="S437">
        <v>55.83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85</v>
      </c>
      <c r="AB437" t="str">
        <v>24/09/2026</v>
      </c>
      <c r="AC437" t="str">
        <v>11:06:10</v>
      </c>
      <c r="AD437">
        <f>IF("ONLINE"="NOGPS","GPS Antiguo","En línea")</f>
      </c>
      <c r="AE437">
        <f>IF(0=0,"Sin atender", IF(0=1,"Atendida","Atendida y Reportada"))</f>
      </c>
      <c r="AF437" t="str">
        <v/>
      </c>
      <c r="AG437" t="str">
        <v/>
      </c>
      <c r="AH437" t="str">
        <v/>
      </c>
      <c r="AI437" t="str">
        <v/>
      </c>
      <c r="AJ437" t="str">
        <v>24/09/2026 11:06:19</v>
      </c>
      <c r="AK437" t="str">
        <v>11:06:19</v>
      </c>
      <c r="AL437" t="str">
        <v/>
      </c>
    </row>
    <row r="438">
      <c r="A438">
        <v>437</v>
      </c>
      <c r="B438" t="str">
        <v>MASS BSF</v>
      </c>
      <c r="C438" t="str">
        <v>F8R-810</v>
      </c>
      <c r="D438" t="str">
        <v>F8R-810</v>
      </c>
      <c r="E438" t="str">
        <v/>
      </c>
      <c r="F438" t="str">
        <v>867806078868827</v>
      </c>
      <c r="G438" t="str">
        <v>TBD</v>
      </c>
      <c r="H438" t="str">
        <v/>
      </c>
      <c r="I438" t="str">
        <v/>
      </c>
      <c r="J438" t="str">
        <v>24/09/2026</v>
      </c>
      <c r="K438" t="str">
        <v>11:06:36</v>
      </c>
      <c r="L438">
        <v>-12.331</v>
      </c>
      <c r="M438">
        <v>-76.82139</v>
      </c>
      <c r="N438">
        <f>HYPERLINK("https://www.google.com/maps/search/?api=1&amp;query=-12.331,-76.82139","Carretera Panamericana Sur, Punta Hermosa, Lima")</f>
      </c>
      <c r="O438" t="str">
        <v>Aceleración brusca</v>
      </c>
      <c r="P438">
        <v>1406.8</v>
      </c>
      <c r="Q438" t="str">
        <v/>
      </c>
      <c r="R438">
        <v>52.7</v>
      </c>
      <c r="S438">
        <v>55.83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85</v>
      </c>
      <c r="AB438" t="str">
        <v>24/09/2026</v>
      </c>
      <c r="AC438" t="str">
        <v>11:06:31</v>
      </c>
      <c r="AD438">
        <f>IF("ONLINE"="NOGPS","GPS Antiguo","En línea")</f>
      </c>
      <c r="AE438">
        <f>IF(0=0,"Sin atender", IF(0=1,"Atendida","Atendida y Reportada"))</f>
      </c>
      <c r="AF438" t="str">
        <v/>
      </c>
      <c r="AG438" t="str">
        <v/>
      </c>
      <c r="AH438" t="str">
        <v/>
      </c>
      <c r="AI438" t="str">
        <v/>
      </c>
      <c r="AJ438" t="str">
        <v>24/09/2026 11:06:49</v>
      </c>
      <c r="AK438" t="str">
        <v>11:06:49</v>
      </c>
      <c r="AL438" t="str">
        <v/>
      </c>
    </row>
    <row r="439">
      <c r="A439">
        <v>438</v>
      </c>
      <c r="B439" t="str">
        <v>MASS BSF</v>
      </c>
      <c r="C439" t="str">
        <v>F8R-810</v>
      </c>
      <c r="D439" t="str">
        <v>F8R-810</v>
      </c>
      <c r="E439" t="str">
        <v/>
      </c>
      <c r="F439" t="str">
        <v>867806078868827</v>
      </c>
      <c r="G439" t="str">
        <v>TBD</v>
      </c>
      <c r="H439" t="str">
        <v/>
      </c>
      <c r="I439" t="str">
        <v/>
      </c>
      <c r="J439" t="str">
        <v>24/09/2026</v>
      </c>
      <c r="K439" t="str">
        <v>11:06:41</v>
      </c>
      <c r="L439">
        <v>-12.33043</v>
      </c>
      <c r="M439">
        <v>-76.82181</v>
      </c>
      <c r="N439">
        <f>HYPERLINK("https://www.google.com/maps/search/?api=1&amp;query=-12.33043,-76.82181","Carretera Panamericana Sur, Punta Hermosa, Lima")</f>
      </c>
      <c r="O439" t="str">
        <v>Aceleración brusca</v>
      </c>
      <c r="P439">
        <v>1406.8</v>
      </c>
      <c r="Q439" t="str">
        <v/>
      </c>
      <c r="R439">
        <v>58.5</v>
      </c>
      <c r="S439">
        <v>55.83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85</v>
      </c>
      <c r="AB439" t="str">
        <v>24/09/2026</v>
      </c>
      <c r="AC439" t="str">
        <v>11:06:36</v>
      </c>
      <c r="AD439">
        <f>IF("ONLINE"="NOGPS","GPS Antiguo","En línea")</f>
      </c>
      <c r="AE439">
        <f>IF(0=0,"Sin atender", IF(0=1,"Atendida","Atendida y Reportada"))</f>
      </c>
      <c r="AF439" t="str">
        <v/>
      </c>
      <c r="AG439" t="str">
        <v/>
      </c>
      <c r="AH439" t="str">
        <v/>
      </c>
      <c r="AI439" t="str">
        <v/>
      </c>
      <c r="AJ439" t="str">
        <v>24/09/2026 11:07:08</v>
      </c>
      <c r="AK439" t="str">
        <v>11:07:08</v>
      </c>
      <c r="AL439" t="str">
        <v/>
      </c>
    </row>
    <row r="440">
      <c r="A440">
        <v>439</v>
      </c>
      <c r="B440" t="str">
        <v>MASS BSF</v>
      </c>
      <c r="C440" t="str">
        <v>F8R-810</v>
      </c>
      <c r="D440" t="str">
        <v>F8R-810</v>
      </c>
      <c r="E440" t="str">
        <v/>
      </c>
      <c r="F440" t="str">
        <v>867806078868827</v>
      </c>
      <c r="G440" t="str">
        <v>TBD</v>
      </c>
      <c r="H440" t="str">
        <v/>
      </c>
      <c r="I440" t="str">
        <v/>
      </c>
      <c r="J440" t="str">
        <v>24/09/2026</v>
      </c>
      <c r="K440" t="str">
        <v>11:06:58</v>
      </c>
      <c r="L440">
        <v>-12.32815</v>
      </c>
      <c r="M440">
        <v>-76.82336</v>
      </c>
      <c r="N440">
        <f>HYPERLINK("https://www.google.com/maps/search/?api=1&amp;query=-12.32815,-76.82336","Carretera Panamericana Sur, Punta Hermosa, Lima")</f>
      </c>
      <c r="O440" t="str">
        <v>Aceleración brusca</v>
      </c>
      <c r="P440">
        <v>1407.2</v>
      </c>
      <c r="Q440" t="str">
        <v/>
      </c>
      <c r="R440">
        <v>64</v>
      </c>
      <c r="S440">
        <v>55.83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85</v>
      </c>
      <c r="AB440" t="str">
        <v>24/09/2026</v>
      </c>
      <c r="AC440" t="str">
        <v>11:06:54</v>
      </c>
      <c r="AD440">
        <f>IF("ONLINE"="NOGPS","GPS Antiguo","En línea")</f>
      </c>
      <c r="AE440">
        <f>IF(0=0,"Sin atender", IF(0=1,"Atendida","Atendida y Reportada"))</f>
      </c>
      <c r="AF440" t="str">
        <v/>
      </c>
      <c r="AG440" t="str">
        <v/>
      </c>
      <c r="AH440" t="str">
        <v/>
      </c>
      <c r="AI440" t="str">
        <v/>
      </c>
      <c r="AJ440" t="str">
        <v>24/09/2026 11:07:00</v>
      </c>
      <c r="AK440" t="str">
        <v>11:07:00</v>
      </c>
      <c r="AL440" t="str">
        <v/>
      </c>
    </row>
    <row r="441">
      <c r="A441">
        <v>440</v>
      </c>
      <c r="B441" t="str">
        <v>MASS BSF</v>
      </c>
      <c r="C441" t="str">
        <v>F8R-810</v>
      </c>
      <c r="D441" t="str">
        <v>F8R-810</v>
      </c>
      <c r="E441" t="str">
        <v/>
      </c>
      <c r="F441" t="str">
        <v>867806078868827</v>
      </c>
      <c r="G441" t="str">
        <v>TBD</v>
      </c>
      <c r="H441" t="str">
        <v/>
      </c>
      <c r="I441" t="str">
        <v/>
      </c>
      <c r="J441" t="str">
        <v>24/09/2026</v>
      </c>
      <c r="K441" t="str">
        <v>11:07:04</v>
      </c>
      <c r="L441">
        <v>-12.327475</v>
      </c>
      <c r="M441">
        <v>-76.823814</v>
      </c>
      <c r="N441">
        <f>HYPERLINK("https://www.google.com/maps/search/?api=1&amp;query=-12.327475,-76.823814","Carretera Panamericana Sur, Punta Hermosa, Lima")</f>
      </c>
      <c r="O441" t="str">
        <v>Aceleración brusca</v>
      </c>
      <c r="P441">
        <v>1407.2</v>
      </c>
      <c r="Q441" t="str">
        <v/>
      </c>
      <c r="R441">
        <v>65.3</v>
      </c>
      <c r="S441">
        <v>55.83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85</v>
      </c>
      <c r="AB441" t="str">
        <v>24/09/2026</v>
      </c>
      <c r="AC441" t="str">
        <v>11:06:59</v>
      </c>
      <c r="AD441">
        <f>IF("ONLINE"="NOGPS","GPS Antiguo","En línea")</f>
      </c>
      <c r="AE441">
        <f>IF(0=0,"Sin atender", IF(0=1,"Atendida","Atendida y Reportada"))</f>
      </c>
      <c r="AF441" t="str">
        <v/>
      </c>
      <c r="AG441" t="str">
        <v/>
      </c>
      <c r="AH441" t="str">
        <v/>
      </c>
      <c r="AI441" t="str">
        <v/>
      </c>
      <c r="AJ441" t="str">
        <v>24/09/2026 11:07:05</v>
      </c>
      <c r="AK441" t="str">
        <v>11:07:05</v>
      </c>
      <c r="AL441" t="str">
        <v/>
      </c>
    </row>
    <row r="442">
      <c r="A442">
        <v>441</v>
      </c>
      <c r="B442" t="str">
        <v>MASS BSF</v>
      </c>
      <c r="C442" t="str">
        <v>F8R-810</v>
      </c>
      <c r="D442" t="str">
        <v>F8R-810</v>
      </c>
      <c r="E442" t="str">
        <v/>
      </c>
      <c r="F442" t="str">
        <v>867806078868827</v>
      </c>
      <c r="G442" t="str">
        <v>TBD</v>
      </c>
      <c r="H442" t="str">
        <v/>
      </c>
      <c r="I442" t="str">
        <v/>
      </c>
      <c r="J442" t="str">
        <v>24/09/2026</v>
      </c>
      <c r="K442" t="str">
        <v>11:07:15</v>
      </c>
      <c r="L442">
        <v>-12.32594</v>
      </c>
      <c r="M442">
        <v>-76.82484</v>
      </c>
      <c r="N442">
        <f>HYPERLINK("https://www.google.com/maps/search/?api=1&amp;query=-12.32594,-76.82484","Carretera Panamericana Sur, Punta Hermosa, Lima")</f>
      </c>
      <c r="O442" t="str">
        <v>Acelerado y giro brusco</v>
      </c>
      <c r="P442">
        <v>1407.4</v>
      </c>
      <c r="Q442" t="str">
        <v/>
      </c>
      <c r="R442">
        <v>67.2</v>
      </c>
      <c r="S442">
        <v>55.83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85</v>
      </c>
      <c r="AB442" t="str">
        <v>24/09/2026</v>
      </c>
      <c r="AC442" t="str">
        <v>11:07:10</v>
      </c>
      <c r="AD442">
        <f>IF("ONLINE"="NOGPS","GPS Antiguo","En línea")</f>
      </c>
      <c r="AE442">
        <f>IF(0=0,"Sin atender", IF(0=1,"Atendida","Atendida y Reportada"))</f>
      </c>
      <c r="AF442" t="str">
        <v/>
      </c>
      <c r="AG442" t="str">
        <v/>
      </c>
      <c r="AH442" t="str">
        <v/>
      </c>
      <c r="AI442" t="str">
        <v/>
      </c>
      <c r="AJ442" t="str">
        <v>24/09/2026 11:07:31</v>
      </c>
      <c r="AK442" t="str">
        <v>11:07:31</v>
      </c>
      <c r="AL442" t="str">
        <v/>
      </c>
    </row>
    <row r="443">
      <c r="A443">
        <v>442</v>
      </c>
      <c r="B443" t="str">
        <v>MASS BSF</v>
      </c>
      <c r="C443" t="str">
        <v>F8R-810</v>
      </c>
      <c r="D443" t="str">
        <v>F8R-810</v>
      </c>
      <c r="E443" t="str">
        <v/>
      </c>
      <c r="F443" t="str">
        <v>867806078868827</v>
      </c>
      <c r="G443" t="str">
        <v>TBD</v>
      </c>
      <c r="H443" t="str">
        <v/>
      </c>
      <c r="I443" t="str">
        <v/>
      </c>
      <c r="J443" t="str">
        <v>24/09/2026</v>
      </c>
      <c r="K443" t="str">
        <v>11:07:43</v>
      </c>
      <c r="L443">
        <v>-12.32194</v>
      </c>
      <c r="M443">
        <v>-76.82751</v>
      </c>
      <c r="N443">
        <f>HYPERLINK("https://www.google.com/maps/search/?api=1&amp;query=-12.32194,-76.82751","Carretera Panamericana Sur, Punta Hermosa, Lima")</f>
      </c>
      <c r="O443" t="str">
        <v>Aceleración brusca</v>
      </c>
      <c r="P443">
        <v>1408</v>
      </c>
      <c r="Q443" t="str">
        <v/>
      </c>
      <c r="R443">
        <v>70.5</v>
      </c>
      <c r="S443">
        <v>55.83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85</v>
      </c>
      <c r="AB443" t="str">
        <v>24/09/2026</v>
      </c>
      <c r="AC443" t="str">
        <v>11:07:38</v>
      </c>
      <c r="AD443">
        <f>IF("ONLINE"="NOGPS","GPS Antiguo","En línea")</f>
      </c>
      <c r="AE443">
        <f>IF(0=0,"Sin atender", IF(0=1,"Atendida","Atendida y Reportada"))</f>
      </c>
      <c r="AF443" t="str">
        <v/>
      </c>
      <c r="AG443" t="str">
        <v/>
      </c>
      <c r="AH443" t="str">
        <v/>
      </c>
      <c r="AI443" t="str">
        <v/>
      </c>
      <c r="AJ443" t="str">
        <v>24/09/2026 11:07:52</v>
      </c>
      <c r="AK443" t="str">
        <v>11:07:52</v>
      </c>
      <c r="AL443" t="str">
        <v/>
      </c>
    </row>
    <row r="444">
      <c r="A444">
        <v>443</v>
      </c>
      <c r="B444" t="str">
        <v>MASS BSF</v>
      </c>
      <c r="C444" t="str">
        <v>F8R-810</v>
      </c>
      <c r="D444" t="str">
        <v>F8R-810</v>
      </c>
      <c r="E444" t="str">
        <v/>
      </c>
      <c r="F444" t="str">
        <v>867806078868827</v>
      </c>
      <c r="G444" t="str">
        <v>TBD</v>
      </c>
      <c r="H444" t="str">
        <v/>
      </c>
      <c r="I444" t="str">
        <v/>
      </c>
      <c r="J444" t="str">
        <v>24/09/2026</v>
      </c>
      <c r="K444" t="str">
        <v>11:07:49</v>
      </c>
      <c r="L444">
        <v>-12.321049</v>
      </c>
      <c r="M444">
        <v>-76.8281</v>
      </c>
      <c r="N444">
        <f>HYPERLINK("https://www.google.com/maps/search/?api=1&amp;query=-12.321049,-76.8281","Carretera Panamericana Sur, Punta Hermosa, Lima")</f>
      </c>
      <c r="O444" t="str">
        <v>Aceleración brusca</v>
      </c>
      <c r="P444">
        <v>1408.1</v>
      </c>
      <c r="Q444" t="str">
        <v/>
      </c>
      <c r="R444">
        <v>70.5</v>
      </c>
      <c r="S444">
        <v>55.83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85</v>
      </c>
      <c r="AB444" t="str">
        <v>24/09/2026</v>
      </c>
      <c r="AC444" t="str">
        <v>11:07:44</v>
      </c>
      <c r="AD444">
        <f>IF("ONLINE"="NOGPS","GPS Antiguo","En línea")</f>
      </c>
      <c r="AE444">
        <f>IF(0=0,"Sin atender", IF(0=1,"Atendida","Atendida y Reportada"))</f>
      </c>
      <c r="AF444" t="str">
        <v/>
      </c>
      <c r="AG444" t="str">
        <v/>
      </c>
      <c r="AH444" t="str">
        <v/>
      </c>
      <c r="AI444" t="str">
        <v/>
      </c>
      <c r="AJ444" t="str">
        <v>24/09/2026 11:07:56</v>
      </c>
      <c r="AK444" t="str">
        <v>11:07:56</v>
      </c>
      <c r="AL444" t="str">
        <v/>
      </c>
    </row>
    <row r="445">
      <c r="A445">
        <v>444</v>
      </c>
      <c r="B445" t="str">
        <v>MASS BSF</v>
      </c>
      <c r="C445" t="str">
        <v>F8R-810</v>
      </c>
      <c r="D445" t="str">
        <v>F8R-810</v>
      </c>
      <c r="E445" t="str">
        <v/>
      </c>
      <c r="F445" t="str">
        <v>867806078868827</v>
      </c>
      <c r="G445" t="str">
        <v>TBD</v>
      </c>
      <c r="H445" t="str">
        <v/>
      </c>
      <c r="I445" t="str">
        <v/>
      </c>
      <c r="J445" t="str">
        <v>24/09/2026</v>
      </c>
      <c r="K445" t="str">
        <v>11:08:09</v>
      </c>
      <c r="L445">
        <v>-12.318481</v>
      </c>
      <c r="M445">
        <v>-76.82966</v>
      </c>
      <c r="N445">
        <f>HYPERLINK("https://www.google.com/maps/search/?api=1&amp;query=-12.318481,-76.82966","Carretera Panamericana Sur, Punta Hermosa, Lima")</f>
      </c>
      <c r="O445" t="str">
        <v>Acelerado y giro brusco</v>
      </c>
      <c r="P445">
        <v>1408.4</v>
      </c>
      <c r="Q445" t="str">
        <v/>
      </c>
      <c r="R445">
        <v>26.4</v>
      </c>
      <c r="S445">
        <v>55.83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85</v>
      </c>
      <c r="AB445" t="str">
        <v>24/09/2026</v>
      </c>
      <c r="AC445" t="str">
        <v>11:08:05</v>
      </c>
      <c r="AD445">
        <f>IF("ONLINE"="NOGPS","GPS Antiguo","En línea")</f>
      </c>
      <c r="AE445">
        <f>IF(0=0,"Sin atender", IF(0=1,"Atendida","Atendida y Reportada"))</f>
      </c>
      <c r="AF445" t="str">
        <v/>
      </c>
      <c r="AG445" t="str">
        <v/>
      </c>
      <c r="AH445" t="str">
        <v/>
      </c>
      <c r="AI445" t="str">
        <v/>
      </c>
      <c r="AJ445" t="str">
        <v>24/09/2026 11:08:34</v>
      </c>
      <c r="AK445" t="str">
        <v>11:08:34</v>
      </c>
      <c r="AL445" t="str">
        <v/>
      </c>
    </row>
    <row r="446">
      <c r="A446">
        <v>445</v>
      </c>
      <c r="B446" t="str">
        <v>MASS BSF</v>
      </c>
      <c r="C446" t="str">
        <v>F8R-810</v>
      </c>
      <c r="D446" t="str">
        <v>F8R-810</v>
      </c>
      <c r="E446" t="str">
        <v/>
      </c>
      <c r="F446" t="str">
        <v>867806078868827</v>
      </c>
      <c r="G446" t="str">
        <v>TBD</v>
      </c>
      <c r="H446" t="str">
        <v/>
      </c>
      <c r="I446" t="str">
        <v/>
      </c>
      <c r="J446" t="str">
        <v>24/09/2026</v>
      </c>
      <c r="K446" t="str">
        <v>11:08:47</v>
      </c>
      <c r="L446">
        <v>-12.31773</v>
      </c>
      <c r="M446">
        <v>-76.82974</v>
      </c>
      <c r="N446">
        <f>HYPERLINK("https://www.google.com/maps/search/?api=1&amp;query=-12.31773,-76.82974","Punta Hermosa, Lima")</f>
      </c>
      <c r="O446" t="str">
        <v>Acelerado y giro brusco</v>
      </c>
      <c r="P446">
        <v>1408.5</v>
      </c>
      <c r="Q446" t="str">
        <v/>
      </c>
      <c r="R446">
        <v>0</v>
      </c>
      <c r="S446">
        <v>55.83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85</v>
      </c>
      <c r="AB446" t="str">
        <v>24/09/2026</v>
      </c>
      <c r="AC446" t="str">
        <v>11:08:42</v>
      </c>
      <c r="AD446">
        <f>IF("ONLINE"="NOGPS","GPS Antiguo","En línea")</f>
      </c>
      <c r="AE446">
        <f>IF(0=0,"Sin atender", IF(0=1,"Atendida","Atendida y Reportada"))</f>
      </c>
      <c r="AF446" t="str">
        <v/>
      </c>
      <c r="AG446" t="str">
        <v/>
      </c>
      <c r="AH446" t="str">
        <v/>
      </c>
      <c r="AI446" t="str">
        <v/>
      </c>
      <c r="AJ446" t="str">
        <v>24/09/2026 11:08:56</v>
      </c>
      <c r="AK446" t="str">
        <v>11:08:56</v>
      </c>
      <c r="AL446" t="str">
        <v/>
      </c>
    </row>
    <row r="447">
      <c r="A447">
        <v>446</v>
      </c>
      <c r="B447" t="str">
        <v>MASS BSF</v>
      </c>
      <c r="C447" t="str">
        <v>F8R-810</v>
      </c>
      <c r="D447" t="str">
        <v>F8R-810</v>
      </c>
      <c r="E447" t="str">
        <v/>
      </c>
      <c r="F447" t="str">
        <v>867806078868827</v>
      </c>
      <c r="G447" t="str">
        <v>TBD</v>
      </c>
      <c r="H447" t="str">
        <v/>
      </c>
      <c r="I447" t="str">
        <v/>
      </c>
      <c r="J447" t="str">
        <v>24/09/2026</v>
      </c>
      <c r="K447" t="str">
        <v>11:08:56</v>
      </c>
      <c r="L447">
        <v>-12.31773</v>
      </c>
      <c r="M447">
        <v>-76.82974</v>
      </c>
      <c r="N447">
        <f>HYPERLINK("https://www.google.com/maps/search/?api=1&amp;query=-12.31773,-76.82974","Punta Hermosa, Lima")</f>
      </c>
      <c r="O447" t="str">
        <v>Acelerado y giro brusco</v>
      </c>
      <c r="P447">
        <v>1408.5</v>
      </c>
      <c r="Q447" t="str">
        <v/>
      </c>
      <c r="R447">
        <v>0</v>
      </c>
      <c r="S447">
        <v>55.83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85</v>
      </c>
      <c r="AB447" t="str">
        <v>24/09/2026</v>
      </c>
      <c r="AC447" t="str">
        <v>11:08:51</v>
      </c>
      <c r="AD447">
        <f>IF("ONLINE"="NOGPS","GPS Antiguo","En línea")</f>
      </c>
      <c r="AE447">
        <f>IF(0=0,"Sin atender", IF(0=1,"Atendida","Atendida y Reportada"))</f>
      </c>
      <c r="AF447" t="str">
        <v/>
      </c>
      <c r="AG447" t="str">
        <v/>
      </c>
      <c r="AH447" t="str">
        <v/>
      </c>
      <c r="AI447" t="str">
        <v/>
      </c>
      <c r="AJ447" t="str">
        <v>24/09/2026 11:09:04</v>
      </c>
      <c r="AK447" t="str">
        <v>11:09:04</v>
      </c>
      <c r="AL447" t="str">
        <v/>
      </c>
    </row>
    <row r="448">
      <c r="A448">
        <v>447</v>
      </c>
      <c r="B448" t="str">
        <v>MASS BSF</v>
      </c>
      <c r="C448" t="str">
        <v>F8R-810</v>
      </c>
      <c r="D448" t="str">
        <v>F8R-810</v>
      </c>
      <c r="E448" t="str">
        <v/>
      </c>
      <c r="F448" t="str">
        <v>867806078868827</v>
      </c>
      <c r="G448" t="str">
        <v>TBD</v>
      </c>
      <c r="H448" t="str">
        <v/>
      </c>
      <c r="I448" t="str">
        <v/>
      </c>
      <c r="J448" t="str">
        <v>24/09/2026</v>
      </c>
      <c r="K448" t="str">
        <v>11:09:08</v>
      </c>
      <c r="L448">
        <v>-12.317482</v>
      </c>
      <c r="M448">
        <v>-76.82953</v>
      </c>
      <c r="N448">
        <f>HYPERLINK("https://www.google.com/maps/search/?api=1&amp;query=-12.317482,-76.82953","Punta Hermosa, Lima")</f>
      </c>
      <c r="O448" t="str">
        <v>Acelerado y giro brusco</v>
      </c>
      <c r="P448">
        <v>1408.5</v>
      </c>
      <c r="Q448" t="str">
        <v/>
      </c>
      <c r="R448">
        <v>6.2</v>
      </c>
      <c r="S448">
        <v>55.83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85</v>
      </c>
      <c r="AB448" t="str">
        <v>24/09/2026</v>
      </c>
      <c r="AC448" t="str">
        <v>11:09:03</v>
      </c>
      <c r="AD448">
        <f>IF("ONLINE"="NOGPS","GPS Antiguo","En línea")</f>
      </c>
      <c r="AE448">
        <f>IF(0=0,"Sin atender", IF(0=1,"Atendida","Atendida y Reportada"))</f>
      </c>
      <c r="AF448" t="str">
        <v/>
      </c>
      <c r="AG448" t="str">
        <v/>
      </c>
      <c r="AH448" t="str">
        <v/>
      </c>
      <c r="AI448" t="str">
        <v/>
      </c>
      <c r="AJ448" t="str">
        <v>24/09/2026 11:09:25</v>
      </c>
      <c r="AK448" t="str">
        <v>11:09:25</v>
      </c>
      <c r="AL448" t="str">
        <v/>
      </c>
    </row>
    <row r="449">
      <c r="A449">
        <v>448</v>
      </c>
      <c r="B449" t="str">
        <v>MASS BSF</v>
      </c>
      <c r="C449" t="str">
        <v>F8R-810</v>
      </c>
      <c r="D449" t="str">
        <v>F8R-810</v>
      </c>
      <c r="E449" t="str">
        <v/>
      </c>
      <c r="F449" t="str">
        <v>867806078868827</v>
      </c>
      <c r="G449" t="str">
        <v>TBD</v>
      </c>
      <c r="H449" t="str">
        <v/>
      </c>
      <c r="I449" t="str">
        <v/>
      </c>
      <c r="J449" t="str">
        <v>24/09/2026</v>
      </c>
      <c r="K449" t="str">
        <v>11:09:14</v>
      </c>
      <c r="L449">
        <v>-12.317467</v>
      </c>
      <c r="M449">
        <v>-76.829506</v>
      </c>
      <c r="N449">
        <f>HYPERLINK("https://www.google.com/maps/search/?api=1&amp;query=-12.317467,-76.829506","Punta Hermosa, Lima")</f>
      </c>
      <c r="O449" t="str">
        <v>Acelerado y giro brusco</v>
      </c>
      <c r="P449">
        <v>1408.5</v>
      </c>
      <c r="Q449" t="str">
        <v/>
      </c>
      <c r="R449">
        <v>0</v>
      </c>
      <c r="S449">
        <v>55.83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85</v>
      </c>
      <c r="AB449" t="str">
        <v>24/09/2026</v>
      </c>
      <c r="AC449" t="str">
        <v>11:09:10</v>
      </c>
      <c r="AD449">
        <f>IF("ONLINE"="NOGPS","GPS Antiguo","En línea")</f>
      </c>
      <c r="AE449">
        <f>IF(0=0,"Sin atender", IF(0=1,"Atendida","Atendida y Reportada"))</f>
      </c>
      <c r="AF449" t="str">
        <v/>
      </c>
      <c r="AG449" t="str">
        <v/>
      </c>
      <c r="AH449" t="str">
        <v/>
      </c>
      <c r="AI449" t="str">
        <v/>
      </c>
      <c r="AJ449" t="str">
        <v>24/09/2026 11:09:22</v>
      </c>
      <c r="AK449" t="str">
        <v>11:09:22</v>
      </c>
      <c r="AL449" t="str">
        <v/>
      </c>
    </row>
    <row r="450">
      <c r="A450">
        <v>449</v>
      </c>
      <c r="B450" t="str">
        <v>MASS BSF</v>
      </c>
      <c r="C450" t="str">
        <v>F8R-810</v>
      </c>
      <c r="D450" t="str">
        <v>F8R-810</v>
      </c>
      <c r="E450" t="str">
        <v/>
      </c>
      <c r="F450" t="str">
        <v>867806078868827</v>
      </c>
      <c r="G450" t="str">
        <v>TBD</v>
      </c>
      <c r="H450" t="str">
        <v/>
      </c>
      <c r="I450" t="str">
        <v/>
      </c>
      <c r="J450" t="str">
        <v>24/09/2026</v>
      </c>
      <c r="K450" t="str">
        <v>11:09:33</v>
      </c>
      <c r="L450">
        <v>-12.317367</v>
      </c>
      <c r="M450">
        <v>-76.82932</v>
      </c>
      <c r="N450">
        <f>HYPERLINK("https://www.google.com/maps/search/?api=1&amp;query=-12.317367,-76.82932","Punta Hermosa, Lima")</f>
      </c>
      <c r="O450" t="str">
        <v>Acelerado y giro brusco</v>
      </c>
      <c r="P450">
        <v>1408.6</v>
      </c>
      <c r="Q450" t="str">
        <v/>
      </c>
      <c r="R450">
        <v>13.1</v>
      </c>
      <c r="S450">
        <v>55.83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85</v>
      </c>
      <c r="AB450" t="str">
        <v>24/09/2026</v>
      </c>
      <c r="AC450" t="str">
        <v>11:09:29</v>
      </c>
      <c r="AD450">
        <f>IF("ONLINE"="NOGPS","GPS Antiguo","En línea")</f>
      </c>
      <c r="AE450">
        <f>IF(0=0,"Sin atender", IF(0=1,"Atendida","Atendida y Reportada"))</f>
      </c>
      <c r="AF450" t="str">
        <v/>
      </c>
      <c r="AG450" t="str">
        <v/>
      </c>
      <c r="AH450" t="str">
        <v/>
      </c>
      <c r="AI450" t="str">
        <v/>
      </c>
      <c r="AJ450" t="str">
        <v>24/09/2026 11:09:45</v>
      </c>
      <c r="AK450" t="str">
        <v>11:09:45</v>
      </c>
      <c r="AL450" t="str">
        <v/>
      </c>
    </row>
    <row r="451">
      <c r="A451">
        <v>450</v>
      </c>
      <c r="B451" t="str">
        <v>MASS BSF</v>
      </c>
      <c r="C451" t="str">
        <v>F8R-810</v>
      </c>
      <c r="D451" t="str">
        <v>F8R-810</v>
      </c>
      <c r="E451" t="str">
        <v/>
      </c>
      <c r="F451" t="str">
        <v>867806078868827</v>
      </c>
      <c r="G451" t="str">
        <v>TBD</v>
      </c>
      <c r="H451" t="str">
        <v/>
      </c>
      <c r="I451" t="str">
        <v/>
      </c>
      <c r="J451" t="str">
        <v>24/09/2026</v>
      </c>
      <c r="K451" t="str">
        <v>11:09:37</v>
      </c>
      <c r="L451">
        <v>-12.317322</v>
      </c>
      <c r="M451">
        <v>-76.82922</v>
      </c>
      <c r="N451">
        <f>HYPERLINK("https://www.google.com/maps/search/?api=1&amp;query=-12.317322,-76.82922","Punta Hermosa, Lima")</f>
      </c>
      <c r="O451" t="str">
        <v>Bache</v>
      </c>
      <c r="P451">
        <v>1408.6</v>
      </c>
      <c r="Q451" t="str">
        <v/>
      </c>
      <c r="R451">
        <v>13.3</v>
      </c>
      <c r="S451">
        <v>55.83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85</v>
      </c>
      <c r="AB451" t="str">
        <v>24/09/2026</v>
      </c>
      <c r="AC451" t="str">
        <v>11:09:32</v>
      </c>
      <c r="AD451">
        <f>IF("ONLINE"="NOGPS","GPS Antiguo","En línea")</f>
      </c>
      <c r="AE451">
        <f>IF(0=0,"Sin atender", IF(0=1,"Atendida","Atendida y Reportada"))</f>
      </c>
      <c r="AF451" t="str">
        <v/>
      </c>
      <c r="AG451" t="str">
        <v/>
      </c>
      <c r="AH451" t="str">
        <v/>
      </c>
      <c r="AI451" t="str">
        <v/>
      </c>
      <c r="AJ451" t="str">
        <v>24/09/2026 11:09:58</v>
      </c>
      <c r="AK451" t="str">
        <v>11:09:58</v>
      </c>
      <c r="AL451" t="str">
        <v/>
      </c>
    </row>
    <row r="452">
      <c r="A452">
        <v>451</v>
      </c>
      <c r="B452" t="str">
        <v>MASS BSF</v>
      </c>
      <c r="C452" t="str">
        <v>F8R-810</v>
      </c>
      <c r="D452" t="str">
        <v>F8R-810</v>
      </c>
      <c r="E452" t="str">
        <v/>
      </c>
      <c r="F452" t="str">
        <v>867806078868827</v>
      </c>
      <c r="G452" t="str">
        <v>TBD</v>
      </c>
      <c r="H452" t="str">
        <v/>
      </c>
      <c r="I452" t="str">
        <v/>
      </c>
      <c r="J452" t="str">
        <v>24/09/2026</v>
      </c>
      <c r="K452" t="str">
        <v>11:09:52</v>
      </c>
      <c r="L452">
        <v>-12.31706</v>
      </c>
      <c r="M452">
        <v>-76.82878</v>
      </c>
      <c r="N452">
        <f>HYPERLINK("https://www.google.com/maps/search/?api=1&amp;query=-12.31706,-76.82878","Punta Hermosa, Lima")</f>
      </c>
      <c r="O452" t="str">
        <v>Acelerado y giro brusco</v>
      </c>
      <c r="P452">
        <v>1408.6</v>
      </c>
      <c r="Q452" t="str">
        <v/>
      </c>
      <c r="R452">
        <v>10.1</v>
      </c>
      <c r="S452">
        <v>55.83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85</v>
      </c>
      <c r="AB452" t="str">
        <v>24/09/2026</v>
      </c>
      <c r="AC452" t="str">
        <v>11:09:47</v>
      </c>
      <c r="AD452">
        <f>IF("ONLINE"="NOGPS","GPS Antiguo","En línea")</f>
      </c>
      <c r="AE452">
        <f>IF(0=0,"Sin atender", IF(0=1,"Atendida","Atendida y Reportada"))</f>
      </c>
      <c r="AF452" t="str">
        <v/>
      </c>
      <c r="AG452" t="str">
        <v/>
      </c>
      <c r="AH452" t="str">
        <v/>
      </c>
      <c r="AI452" t="str">
        <v/>
      </c>
      <c r="AJ452" t="str">
        <v>24/09/2026 11:09:55</v>
      </c>
      <c r="AK452" t="str">
        <v>11:09:55</v>
      </c>
      <c r="AL452" t="str">
        <v/>
      </c>
    </row>
    <row r="453">
      <c r="A453">
        <v>452</v>
      </c>
      <c r="B453" t="str">
        <v>MASS BSF</v>
      </c>
      <c r="C453" t="str">
        <v>F8R-810</v>
      </c>
      <c r="D453" t="str">
        <v>F8R-810</v>
      </c>
      <c r="E453" t="str">
        <v/>
      </c>
      <c r="F453" t="str">
        <v>867806078868827</v>
      </c>
      <c r="G453" t="str">
        <v>TBD</v>
      </c>
      <c r="H453" t="str">
        <v/>
      </c>
      <c r="I453" t="str">
        <v/>
      </c>
      <c r="J453" t="str">
        <v>24/09/2026</v>
      </c>
      <c r="K453" t="str">
        <v>11:10:17</v>
      </c>
      <c r="L453">
        <v>-12.31664</v>
      </c>
      <c r="M453">
        <v>-76.82807</v>
      </c>
      <c r="N453">
        <f>HYPERLINK("https://www.google.com/maps/search/?api=1&amp;query=-12.31664,-76.82807","Punta Hermosa, Lima")</f>
      </c>
      <c r="O453" t="str">
        <v>Acelerado y giro brusco</v>
      </c>
      <c r="P453">
        <v>1408.7</v>
      </c>
      <c r="Q453" t="str">
        <v/>
      </c>
      <c r="R453">
        <v>10.7</v>
      </c>
      <c r="S453">
        <v>55.83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85</v>
      </c>
      <c r="AB453" t="str">
        <v>24/09/2026</v>
      </c>
      <c r="AC453" t="str">
        <v>11:10:12</v>
      </c>
      <c r="AD453">
        <f>IF("ONLINE"="NOGPS","GPS Antiguo","En línea")</f>
      </c>
      <c r="AE453">
        <f>IF(0=0,"Sin atender", IF(0=1,"Atendida","Atendida y Reportada"))</f>
      </c>
      <c r="AF453" t="str">
        <v/>
      </c>
      <c r="AG453" t="str">
        <v/>
      </c>
      <c r="AH453" t="str">
        <v/>
      </c>
      <c r="AI453" t="str">
        <v/>
      </c>
      <c r="AJ453" t="str">
        <v>24/09/2026 11:10:29</v>
      </c>
      <c r="AK453" t="str">
        <v>11:10:29</v>
      </c>
      <c r="AL453" t="str">
        <v/>
      </c>
    </row>
    <row r="454">
      <c r="A454">
        <v>453</v>
      </c>
      <c r="B454" t="str">
        <v>MASS BSF</v>
      </c>
      <c r="C454" t="str">
        <v>F8R-810</v>
      </c>
      <c r="D454" t="str">
        <v>F8R-810</v>
      </c>
      <c r="E454" t="str">
        <v/>
      </c>
      <c r="F454" t="str">
        <v>867806078868827</v>
      </c>
      <c r="G454" t="str">
        <v>TBD</v>
      </c>
      <c r="H454" t="str">
        <v/>
      </c>
      <c r="I454" t="str">
        <v/>
      </c>
      <c r="J454" t="str">
        <v>24/09/2026</v>
      </c>
      <c r="K454" t="str">
        <v>11:10:34</v>
      </c>
      <c r="L454">
        <v>-12.316347</v>
      </c>
      <c r="M454">
        <v>-76.827576</v>
      </c>
      <c r="N454">
        <f>HYPERLINK("https://www.google.com/maps/search/?api=1&amp;query=-12.316347,-76.827576","Punta Hermosa, Lima")</f>
      </c>
      <c r="O454" t="str">
        <v>Acelerado y giro brusco</v>
      </c>
      <c r="P454">
        <v>1408.8</v>
      </c>
      <c r="Q454" t="str">
        <v/>
      </c>
      <c r="R454">
        <v>12.5</v>
      </c>
      <c r="S454">
        <v>55.83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85</v>
      </c>
      <c r="AB454" t="str">
        <v>24/09/2026</v>
      </c>
      <c r="AC454" t="str">
        <v>11:10:29</v>
      </c>
      <c r="AD454">
        <f>IF("ONLINE"="NOGPS","GPS Antiguo","En línea")</f>
      </c>
      <c r="AE454">
        <f>IF(0=0,"Sin atender", IF(0=1,"Atendida","Atendida y Reportada"))</f>
      </c>
      <c r="AF454" t="str">
        <v/>
      </c>
      <c r="AG454" t="str">
        <v/>
      </c>
      <c r="AH454" t="str">
        <v/>
      </c>
      <c r="AI454" t="str">
        <v/>
      </c>
      <c r="AJ454" t="str">
        <v>24/09/2026 11:10:49</v>
      </c>
      <c r="AK454" t="str">
        <v>11:10:49</v>
      </c>
      <c r="AL454" t="str">
        <v/>
      </c>
    </row>
    <row r="455">
      <c r="A455">
        <v>454</v>
      </c>
      <c r="B455" t="str">
        <v>MASS BSF</v>
      </c>
      <c r="C455" t="str">
        <v>F8R-810</v>
      </c>
      <c r="D455" t="str">
        <v>F8R-810</v>
      </c>
      <c r="E455" t="str">
        <v/>
      </c>
      <c r="F455" t="str">
        <v>867806078868827</v>
      </c>
      <c r="G455" t="str">
        <v>TBD</v>
      </c>
      <c r="H455" t="str">
        <v/>
      </c>
      <c r="I455" t="str">
        <v/>
      </c>
      <c r="J455" t="str">
        <v>24/09/2026</v>
      </c>
      <c r="K455" t="str">
        <v>11:10:54</v>
      </c>
      <c r="L455">
        <v>-12.316102</v>
      </c>
      <c r="M455">
        <v>-76.82717</v>
      </c>
      <c r="N455">
        <f>HYPERLINK("https://www.google.com/maps/search/?api=1&amp;query=-12.316102,-76.82717","Punta Hermosa, Lima")</f>
      </c>
      <c r="O455" t="str">
        <v>Acelerado y giro brusco</v>
      </c>
      <c r="P455">
        <v>1408.8</v>
      </c>
      <c r="Q455" t="str">
        <v/>
      </c>
      <c r="R455">
        <v>0</v>
      </c>
      <c r="S455">
        <v>55.83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85</v>
      </c>
      <c r="AB455" t="str">
        <v>24/09/2026</v>
      </c>
      <c r="AC455" t="str">
        <v>11:10:49</v>
      </c>
      <c r="AD455">
        <f>IF("ONLINE"="NOGPS","GPS Antiguo","En línea")</f>
      </c>
      <c r="AE455">
        <f>IF(0=0,"Sin atender", IF(0=1,"Atendida","Atendida y Reportada"))</f>
      </c>
      <c r="AF455" t="str">
        <v/>
      </c>
      <c r="AG455" t="str">
        <v/>
      </c>
      <c r="AH455" t="str">
        <v/>
      </c>
      <c r="AI455" t="str">
        <v/>
      </c>
      <c r="AJ455" t="str">
        <v>24/09/2026 11:11:00</v>
      </c>
      <c r="AK455" t="str">
        <v>11:11:00</v>
      </c>
      <c r="AL455" t="str">
        <v/>
      </c>
    </row>
    <row r="456">
      <c r="A456">
        <v>455</v>
      </c>
      <c r="B456" t="str">
        <v>MASS BSF</v>
      </c>
      <c r="C456" t="str">
        <v>F8R-810</v>
      </c>
      <c r="D456" t="str">
        <v>F8R-810</v>
      </c>
      <c r="E456" t="str">
        <v/>
      </c>
      <c r="F456" t="str">
        <v>867806078868827</v>
      </c>
      <c r="G456" t="str">
        <v>TBD</v>
      </c>
      <c r="H456" t="str">
        <v/>
      </c>
      <c r="I456" t="str">
        <v/>
      </c>
      <c r="J456" t="str">
        <v>24/09/2026</v>
      </c>
      <c r="K456" t="str">
        <v>11:11:04</v>
      </c>
      <c r="L456">
        <v>-12.316298</v>
      </c>
      <c r="M456">
        <v>-76.82703</v>
      </c>
      <c r="N456">
        <f>HYPERLINK("https://www.google.com/maps/search/?api=1&amp;query=-12.316298,-76.82703","Punta Hermosa, Lima")</f>
      </c>
      <c r="O456" t="str">
        <v>Acelerado y giro brusco</v>
      </c>
      <c r="P456">
        <v>1408.9</v>
      </c>
      <c r="Q456" t="str">
        <v/>
      </c>
      <c r="R456">
        <v>13.5</v>
      </c>
      <c r="S456">
        <v>55.83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85</v>
      </c>
      <c r="AB456" t="str">
        <v>24/09/2026</v>
      </c>
      <c r="AC456" t="str">
        <v>11:10:59</v>
      </c>
      <c r="AD456">
        <f>IF("ONLINE"="NOGPS","GPS Antiguo","En línea")</f>
      </c>
      <c r="AE456">
        <f>IF(0=0,"Sin atender", IF(0=1,"Atendida","Atendida y Reportada"))</f>
      </c>
      <c r="AF456" t="str">
        <v/>
      </c>
      <c r="AG456" t="str">
        <v/>
      </c>
      <c r="AH456" t="str">
        <v/>
      </c>
      <c r="AI456" t="str">
        <v/>
      </c>
      <c r="AJ456" t="str">
        <v>24/09/2026 11:11:12</v>
      </c>
      <c r="AK456" t="str">
        <v>11:11:12</v>
      </c>
      <c r="AL456" t="str">
        <v/>
      </c>
    </row>
    <row r="457">
      <c r="A457">
        <v>456</v>
      </c>
      <c r="B457" t="str">
        <v>MASS BSF</v>
      </c>
      <c r="C457" t="str">
        <v>F8R-810</v>
      </c>
      <c r="D457" t="str">
        <v>F8R-810</v>
      </c>
      <c r="E457" t="str">
        <v/>
      </c>
      <c r="F457" t="str">
        <v>867806078868827</v>
      </c>
      <c r="G457" t="str">
        <v>TBD</v>
      </c>
      <c r="H457" t="str">
        <v/>
      </c>
      <c r="I457" t="str">
        <v/>
      </c>
      <c r="J457" t="str">
        <v>24/09/2026</v>
      </c>
      <c r="K457" t="str">
        <v>11:11:39</v>
      </c>
      <c r="L457">
        <v>-12.31732</v>
      </c>
      <c r="M457">
        <v>-76.82632</v>
      </c>
      <c r="N457">
        <f>HYPERLINK("https://www.google.com/maps/search/?api=1&amp;query=-12.31732,-76.82632","Punta Hermosa, Lima")</f>
      </c>
      <c r="O457" t="str">
        <v>Aceleración brusca</v>
      </c>
      <c r="P457">
        <v>1409</v>
      </c>
      <c r="Q457" t="str">
        <v/>
      </c>
      <c r="R457">
        <v>13.7</v>
      </c>
      <c r="S457">
        <v>55.83</v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85</v>
      </c>
      <c r="AB457" t="str">
        <v>24/09/2026</v>
      </c>
      <c r="AC457" t="str">
        <v>11:11:34</v>
      </c>
      <c r="AD457">
        <f>IF("ONLINE"="NOGPS","GPS Antiguo","En línea")</f>
      </c>
      <c r="AE457">
        <f>IF(0=0,"Sin atender", IF(0=1,"Atendida","Atendida y Reportada"))</f>
      </c>
      <c r="AF457" t="str">
        <v/>
      </c>
      <c r="AG457" t="str">
        <v/>
      </c>
      <c r="AH457" t="str">
        <v/>
      </c>
      <c r="AI457" t="str">
        <v/>
      </c>
      <c r="AJ457" t="str">
        <v>24/09/2026 11:11:50</v>
      </c>
      <c r="AK457" t="str">
        <v>11:11:50</v>
      </c>
      <c r="AL457" t="str">
        <v/>
      </c>
    </row>
    <row r="458">
      <c r="A458">
        <v>457</v>
      </c>
      <c r="B458" t="str">
        <v>MASS BSF</v>
      </c>
      <c r="C458" t="str">
        <v>F8R-810</v>
      </c>
      <c r="D458" t="str">
        <v>F8R-810</v>
      </c>
      <c r="E458" t="str">
        <v/>
      </c>
      <c r="F458" t="str">
        <v>867806078868827</v>
      </c>
      <c r="G458" t="str">
        <v>TBD</v>
      </c>
      <c r="H458" t="str">
        <v/>
      </c>
      <c r="I458" t="str">
        <v/>
      </c>
      <c r="J458" t="str">
        <v>24/09/2026</v>
      </c>
      <c r="K458" t="str">
        <v>11:12:07</v>
      </c>
      <c r="L458">
        <v>-12.316936</v>
      </c>
      <c r="M458">
        <v>-76.82542</v>
      </c>
      <c r="N458">
        <f>HYPERLINK("https://www.google.com/maps/search/?api=1&amp;query=-12.316936,-76.82542","Punta Hermosa, Lima")</f>
      </c>
      <c r="O458" t="str">
        <v>Aceleración brusca</v>
      </c>
      <c r="P458">
        <v>1409.1</v>
      </c>
      <c r="Q458" t="str">
        <v/>
      </c>
      <c r="R458">
        <v>12.9</v>
      </c>
      <c r="S458">
        <v>55.83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85</v>
      </c>
      <c r="AB458" t="str">
        <v>24/09/2026</v>
      </c>
      <c r="AC458" t="str">
        <v>11:12:02</v>
      </c>
      <c r="AD458">
        <f>IF("ONLINE"="NOGPS","GPS Antiguo","En línea")</f>
      </c>
      <c r="AE458">
        <f>IF(0=0,"Sin atender", IF(0=1,"Atendida","Atendida y Reportada"))</f>
      </c>
      <c r="AF458" t="str">
        <v/>
      </c>
      <c r="AG458" t="str">
        <v/>
      </c>
      <c r="AH458" t="str">
        <v/>
      </c>
      <c r="AI458" t="str">
        <v/>
      </c>
      <c r="AJ458" t="str">
        <v>24/09/2026 11:12:24</v>
      </c>
      <c r="AK458" t="str">
        <v>11:12:24</v>
      </c>
      <c r="AL458" t="str">
        <v/>
      </c>
    </row>
    <row r="459">
      <c r="A459">
        <v>458</v>
      </c>
      <c r="B459" t="str">
        <v>MASS BSF</v>
      </c>
      <c r="C459" t="str">
        <v>F8R-810</v>
      </c>
      <c r="D459" t="str">
        <v>F8R-810</v>
      </c>
      <c r="E459" t="str">
        <v/>
      </c>
      <c r="F459" t="str">
        <v>867806078868827</v>
      </c>
      <c r="G459" t="str">
        <v>TBD</v>
      </c>
      <c r="H459" t="str">
        <v/>
      </c>
      <c r="I459" t="str">
        <v/>
      </c>
      <c r="J459" t="str">
        <v>24/09/2026</v>
      </c>
      <c r="K459" t="str">
        <v>11:12:26</v>
      </c>
      <c r="L459">
        <v>-12.316845</v>
      </c>
      <c r="M459">
        <v>-76.82494</v>
      </c>
      <c r="N459">
        <f>HYPERLINK("https://www.google.com/maps/search/?api=1&amp;query=-12.316845,-76.82494","Punta Hermosa, Lima")</f>
      </c>
      <c r="O459" t="str">
        <v>Aceleración brusca</v>
      </c>
      <c r="P459">
        <v>1409.2</v>
      </c>
      <c r="Q459" t="str">
        <v/>
      </c>
      <c r="R459">
        <v>13.5</v>
      </c>
      <c r="S459">
        <v>55.83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85</v>
      </c>
      <c r="AB459" t="str">
        <v>24/09/2026</v>
      </c>
      <c r="AC459" t="str">
        <v>11:12:21</v>
      </c>
      <c r="AD459">
        <f>IF("ONLINE"="NOGPS","GPS Antiguo","En línea")</f>
      </c>
      <c r="AE459">
        <f>IF(0=0,"Sin atender", IF(0=1,"Atendida","Atendida y Reportada"))</f>
      </c>
      <c r="AF459" t="str">
        <v/>
      </c>
      <c r="AG459" t="str">
        <v/>
      </c>
      <c r="AH459" t="str">
        <v/>
      </c>
      <c r="AI459" t="str">
        <v/>
      </c>
      <c r="AJ459" t="str">
        <v>24/09/2026 11:12:36</v>
      </c>
      <c r="AK459" t="str">
        <v>11:12:36</v>
      </c>
      <c r="AL459" t="str">
        <v/>
      </c>
    </row>
    <row r="460">
      <c r="A460">
        <v>459</v>
      </c>
      <c r="B460" t="str">
        <v>MASS BSF</v>
      </c>
      <c r="C460" t="str">
        <v>F8R-810</v>
      </c>
      <c r="D460" t="str">
        <v>F8R-810</v>
      </c>
      <c r="E460" t="str">
        <v/>
      </c>
      <c r="F460" t="str">
        <v>867806078868827</v>
      </c>
      <c r="G460" t="str">
        <v>TBD</v>
      </c>
      <c r="H460" t="str">
        <v/>
      </c>
      <c r="I460" t="str">
        <v/>
      </c>
      <c r="J460" t="str">
        <v>24/09/2026</v>
      </c>
      <c r="K460" t="str">
        <v>11:12:39</v>
      </c>
      <c r="L460">
        <v>-12.31727</v>
      </c>
      <c r="M460">
        <v>-76.82471</v>
      </c>
      <c r="N460">
        <f>HYPERLINK("https://www.google.com/maps/search/?api=1&amp;query=-12.31727,-76.82471","Punta Hermosa, Lima")</f>
      </c>
      <c r="O460" t="str">
        <v>Acelerado y giro brusco</v>
      </c>
      <c r="P460">
        <v>1409.2</v>
      </c>
      <c r="Q460" t="str">
        <v/>
      </c>
      <c r="R460">
        <v>12.2</v>
      </c>
      <c r="S460">
        <v>55.83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85</v>
      </c>
      <c r="AB460" t="str">
        <v>24/09/2026</v>
      </c>
      <c r="AC460" t="str">
        <v>11:12:35</v>
      </c>
      <c r="AD460">
        <f>IF("ONLINE"="NOGPS","GPS Antiguo","En línea")</f>
      </c>
      <c r="AE460">
        <f>IF(0=0,"Sin atender", IF(0=1,"Atendida","Atendida y Reportada"))</f>
      </c>
      <c r="AF460" t="str">
        <v/>
      </c>
      <c r="AG460" t="str">
        <v/>
      </c>
      <c r="AH460" t="str">
        <v/>
      </c>
      <c r="AI460" t="str">
        <v/>
      </c>
      <c r="AJ460" t="str">
        <v>24/09/2026 11:12:55</v>
      </c>
      <c r="AK460" t="str">
        <v>11:12:55</v>
      </c>
      <c r="AL460" t="str">
        <v/>
      </c>
    </row>
    <row r="461">
      <c r="A461">
        <v>460</v>
      </c>
      <c r="B461" t="str">
        <v>MASS BSF</v>
      </c>
      <c r="C461" t="str">
        <v>F8R-810</v>
      </c>
      <c r="D461" t="str">
        <v>F8R-810</v>
      </c>
      <c r="E461" t="str">
        <v/>
      </c>
      <c r="F461" t="str">
        <v>867806078868827</v>
      </c>
      <c r="G461" t="str">
        <v>TBD</v>
      </c>
      <c r="H461" t="str">
        <v/>
      </c>
      <c r="I461" t="str">
        <v/>
      </c>
      <c r="J461" t="str">
        <v>24/09/2026</v>
      </c>
      <c r="K461" t="str">
        <v>11:12:54</v>
      </c>
      <c r="L461">
        <v>-12.317654</v>
      </c>
      <c r="M461">
        <v>-76.824425</v>
      </c>
      <c r="N461">
        <f>HYPERLINK("https://www.google.com/maps/search/?api=1&amp;query=-12.317654,-76.824425","Punta Hermosa, Lima")</f>
      </c>
      <c r="O461" t="str">
        <v>Acelerado y giro brusco</v>
      </c>
      <c r="P461">
        <v>1409.3</v>
      </c>
      <c r="Q461" t="str">
        <v/>
      </c>
      <c r="R461">
        <v>13.7</v>
      </c>
      <c r="S461">
        <v>55.83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85</v>
      </c>
      <c r="AB461" t="str">
        <v>24/09/2026</v>
      </c>
      <c r="AC461" t="str">
        <v>11:12:49</v>
      </c>
      <c r="AD461">
        <f>IF("ONLINE"="NOGPS","GPS Antiguo","En línea")</f>
      </c>
      <c r="AE461">
        <f>IF(0=0,"Sin atender", IF(0=1,"Atendida","Atendida y Reportada"))</f>
      </c>
      <c r="AF461" t="str">
        <v/>
      </c>
      <c r="AG461" t="str">
        <v/>
      </c>
      <c r="AH461" t="str">
        <v/>
      </c>
      <c r="AI461" t="str">
        <v/>
      </c>
      <c r="AJ461" t="str">
        <v>24/09/2026 11:13:07</v>
      </c>
      <c r="AK461" t="str">
        <v>11:13:07</v>
      </c>
      <c r="AL461" t="str">
        <v/>
      </c>
    </row>
    <row r="462">
      <c r="A462">
        <v>461</v>
      </c>
      <c r="B462" t="str">
        <v>MASS BSF</v>
      </c>
      <c r="C462" t="str">
        <v>F8R-810</v>
      </c>
      <c r="D462" t="str">
        <v>F8R-810</v>
      </c>
      <c r="E462" t="str">
        <v/>
      </c>
      <c r="F462" t="str">
        <v>867806078868827</v>
      </c>
      <c r="G462" t="str">
        <v>TBD</v>
      </c>
      <c r="H462" t="str">
        <v/>
      </c>
      <c r="I462" t="str">
        <v/>
      </c>
      <c r="J462" t="str">
        <v>24/09/2026</v>
      </c>
      <c r="K462" t="str">
        <v>11:13:01</v>
      </c>
      <c r="L462">
        <v>-12.317701</v>
      </c>
      <c r="M462">
        <v>-76.824265</v>
      </c>
      <c r="N462">
        <f>HYPERLINK("https://www.google.com/maps/search/?api=1&amp;query=-12.317701,-76.824265","Punta Hermosa, Lima")</f>
      </c>
      <c r="O462" t="str">
        <v>Acelerado y giro brusco</v>
      </c>
      <c r="P462">
        <v>1409.3</v>
      </c>
      <c r="Q462" t="str">
        <v/>
      </c>
      <c r="R462">
        <v>7.2</v>
      </c>
      <c r="S462">
        <v>55.83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85</v>
      </c>
      <c r="AB462" t="str">
        <v>24/09/2026</v>
      </c>
      <c r="AC462" t="str">
        <v>11:12:56</v>
      </c>
      <c r="AD462">
        <f>IF("ONLINE"="NOGPS","GPS Antiguo","En línea")</f>
      </c>
      <c r="AE462">
        <f>IF(0=0,"Sin atender", IF(0=1,"Atendida","Atendida y Reportada"))</f>
      </c>
      <c r="AF462" t="str">
        <v/>
      </c>
      <c r="AG462" t="str">
        <v/>
      </c>
      <c r="AH462" t="str">
        <v/>
      </c>
      <c r="AI462" t="str">
        <v/>
      </c>
      <c r="AJ462" t="str">
        <v>24/09/2026 11:13:15</v>
      </c>
      <c r="AK462" t="str">
        <v>11:13:15</v>
      </c>
      <c r="AL462" t="str">
        <v/>
      </c>
    </row>
    <row r="463">
      <c r="A463">
        <v>462</v>
      </c>
      <c r="B463" t="str">
        <v>MASS BSF</v>
      </c>
      <c r="C463" t="str">
        <v>F8R-810</v>
      </c>
      <c r="D463" t="str">
        <v>F8R-810</v>
      </c>
      <c r="E463" t="str">
        <v/>
      </c>
      <c r="F463" t="str">
        <v>867806078868827</v>
      </c>
      <c r="G463" t="str">
        <v>TBD</v>
      </c>
      <c r="H463" t="str">
        <v/>
      </c>
      <c r="I463" t="str">
        <v/>
      </c>
      <c r="J463" t="str">
        <v>24/09/2026</v>
      </c>
      <c r="K463" t="str">
        <v>11:13:39</v>
      </c>
      <c r="L463">
        <v>-12.317892</v>
      </c>
      <c r="M463">
        <v>-76.824196</v>
      </c>
      <c r="N463">
        <f>HYPERLINK("https://www.google.com/maps/search/?api=1&amp;query=-12.317892,-76.824196","Punta Hermosa, Lima")</f>
      </c>
      <c r="O463" t="str">
        <v>Acelerado y giro brusco</v>
      </c>
      <c r="P463">
        <v>1409.3</v>
      </c>
      <c r="Q463" t="str">
        <v/>
      </c>
      <c r="R463">
        <v>7.2</v>
      </c>
      <c r="S463">
        <v>55.83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85</v>
      </c>
      <c r="AB463" t="str">
        <v>24/09/2026</v>
      </c>
      <c r="AC463" t="str">
        <v>11:13:35</v>
      </c>
      <c r="AD463">
        <f>IF("ONLINE"="NOGPS","GPS Antiguo","En línea")</f>
      </c>
      <c r="AE463">
        <f>IF(0=0,"Sin atender", IF(0=1,"Atendida","Atendida y Reportada"))</f>
      </c>
      <c r="AF463" t="str">
        <v/>
      </c>
      <c r="AG463" t="str">
        <v/>
      </c>
      <c r="AH463" t="str">
        <v/>
      </c>
      <c r="AI463" t="str">
        <v/>
      </c>
      <c r="AJ463" t="str">
        <v>24/09/2026 11:13:47</v>
      </c>
      <c r="AK463" t="str">
        <v>11:13:47</v>
      </c>
      <c r="AL463" t="str">
        <v/>
      </c>
    </row>
    <row r="464">
      <c r="A464">
        <v>463</v>
      </c>
      <c r="B464" t="str">
        <v>MASS BSF</v>
      </c>
      <c r="C464" t="str">
        <v>F8R-810</v>
      </c>
      <c r="D464" t="str">
        <v>F8R-810</v>
      </c>
      <c r="E464" t="str">
        <v/>
      </c>
      <c r="F464" t="str">
        <v>867806078868827</v>
      </c>
      <c r="G464" t="str">
        <v>TBD</v>
      </c>
      <c r="H464" t="str">
        <v/>
      </c>
      <c r="I464" t="str">
        <v/>
      </c>
      <c r="J464" t="str">
        <v>24/09/2026</v>
      </c>
      <c r="K464" t="str">
        <v>11:13:59</v>
      </c>
      <c r="L464">
        <v>-12.31834</v>
      </c>
      <c r="M464">
        <v>-76.824036</v>
      </c>
      <c r="N464">
        <f>HYPERLINK("https://www.google.com/maps/search/?api=1&amp;query=-12.31834,-76.824036","Punta Hermosa, Lima")</f>
      </c>
      <c r="O464" t="str">
        <v>Acelerado y giro brusco</v>
      </c>
      <c r="P464">
        <v>1409.4</v>
      </c>
      <c r="Q464" t="str">
        <v/>
      </c>
      <c r="R464">
        <v>10.3</v>
      </c>
      <c r="S464">
        <v>55.83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93</v>
      </c>
      <c r="AB464" t="str">
        <v>24/09/2026</v>
      </c>
      <c r="AC464" t="str">
        <v>11:13:55</v>
      </c>
      <c r="AD464">
        <f>IF("ONLINE"="NOGPS","GPS Antiguo","En línea")</f>
      </c>
      <c r="AE464">
        <f>IF(0=0,"Sin atender", IF(0=1,"Atendida","Atendida y Reportada"))</f>
      </c>
      <c r="AF464" t="str">
        <v/>
      </c>
      <c r="AG464" t="str">
        <v/>
      </c>
      <c r="AH464" t="str">
        <v/>
      </c>
      <c r="AI464" t="str">
        <v/>
      </c>
      <c r="AJ464" t="str">
        <v>24/09/2026 11:14:13</v>
      </c>
      <c r="AK464" t="str">
        <v>11:14:13</v>
      </c>
      <c r="AL464" t="str">
        <v/>
      </c>
    </row>
    <row r="465">
      <c r="A465">
        <v>464</v>
      </c>
      <c r="B465" t="str">
        <v>MASS BSF</v>
      </c>
      <c r="C465" t="str">
        <v>F8R-810</v>
      </c>
      <c r="D465" t="str">
        <v>F8R-810</v>
      </c>
      <c r="E465" t="str">
        <v/>
      </c>
      <c r="F465" t="str">
        <v>867806078868827</v>
      </c>
      <c r="G465" t="str">
        <v>TBD</v>
      </c>
      <c r="H465" t="str">
        <v/>
      </c>
      <c r="I465" t="str">
        <v/>
      </c>
      <c r="J465" t="str">
        <v>24/09/2026</v>
      </c>
      <c r="K465" t="str">
        <v>11:14:24</v>
      </c>
      <c r="L465">
        <v>-12.31844</v>
      </c>
      <c r="M465">
        <v>-76.82354</v>
      </c>
      <c r="N465">
        <f>HYPERLINK("https://www.google.com/maps/search/?api=1&amp;query=-12.31844,-76.82354","Punta Hermosa, Lima")</f>
      </c>
      <c r="O465" t="str">
        <v>Acelerado y giro brusco</v>
      </c>
      <c r="P465">
        <v>1409.4</v>
      </c>
      <c r="Q465" t="str">
        <v/>
      </c>
      <c r="R465">
        <v>10</v>
      </c>
      <c r="S465">
        <v>55.83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>
        <v>87</v>
      </c>
      <c r="AB465" t="str">
        <v>24/09/2026</v>
      </c>
      <c r="AC465" t="str">
        <v>11:14:19</v>
      </c>
      <c r="AD465">
        <f>IF("ONLINE"="NOGPS","GPS Antiguo","En línea")</f>
      </c>
      <c r="AE465">
        <f>IF(0=0,"Sin atender", IF(0=1,"Atendida","Atendida y Reportada"))</f>
      </c>
      <c r="AF465" t="str">
        <v/>
      </c>
      <c r="AG465" t="str">
        <v/>
      </c>
      <c r="AH465" t="str">
        <v/>
      </c>
      <c r="AI465" t="str">
        <v/>
      </c>
      <c r="AJ465" t="str">
        <v>24/09/2026 11:14:34</v>
      </c>
      <c r="AK465" t="str">
        <v>11:14:34</v>
      </c>
      <c r="AL465" t="str">
        <v/>
      </c>
    </row>
    <row r="466">
      <c r="A466">
        <v>465</v>
      </c>
      <c r="B466" t="str">
        <v>MASS BSF</v>
      </c>
      <c r="C466" t="str">
        <v>F8R-810</v>
      </c>
      <c r="D466" t="str">
        <v>F8R-810</v>
      </c>
      <c r="E466" t="str">
        <v/>
      </c>
      <c r="F466" t="str">
        <v>867806078868827</v>
      </c>
      <c r="G466" t="str">
        <v>TBD</v>
      </c>
      <c r="H466" t="str">
        <v/>
      </c>
      <c r="I466" t="str">
        <v/>
      </c>
      <c r="J466" t="str">
        <v>24/09/2026</v>
      </c>
      <c r="K466" t="str">
        <v>11:14:33</v>
      </c>
      <c r="L466">
        <v>-12.318296</v>
      </c>
      <c r="M466">
        <v>-76.82331</v>
      </c>
      <c r="N466">
        <f>HYPERLINK("https://www.google.com/maps/search/?api=1&amp;query=-12.318296,-76.82331","Punta Hermosa, Lima")</f>
      </c>
      <c r="O466" t="str">
        <v>Acelerado y giro brusco</v>
      </c>
      <c r="P466">
        <v>1409.5</v>
      </c>
      <c r="Q466" t="str">
        <v/>
      </c>
      <c r="R466">
        <v>12.2</v>
      </c>
      <c r="S466">
        <v>55.83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>
        <v>87</v>
      </c>
      <c r="AB466" t="str">
        <v>24/09/2026</v>
      </c>
      <c r="AC466" t="str">
        <v>11:14:28</v>
      </c>
      <c r="AD466">
        <f>IF("ONLINE"="NOGPS","GPS Antiguo","En línea")</f>
      </c>
      <c r="AE466">
        <f>IF(0=0,"Sin atender", IF(0=1,"Atendida","Atendida y Reportada"))</f>
      </c>
      <c r="AF466" t="str">
        <v/>
      </c>
      <c r="AG466" t="str">
        <v/>
      </c>
      <c r="AH466" t="str">
        <v/>
      </c>
      <c r="AI466" t="str">
        <v/>
      </c>
      <c r="AJ466" t="str">
        <v>24/09/2026 11:14:39</v>
      </c>
      <c r="AK466" t="str">
        <v>11:14:39</v>
      </c>
      <c r="AL466" t="str">
        <v/>
      </c>
    </row>
    <row r="467">
      <c r="A467">
        <v>466</v>
      </c>
      <c r="B467" t="str">
        <v>MASS BSF</v>
      </c>
      <c r="C467" t="str">
        <v>F8R-810</v>
      </c>
      <c r="D467" t="str">
        <v>F8R-810</v>
      </c>
      <c r="E467" t="str">
        <v/>
      </c>
      <c r="F467" t="str">
        <v>867806078868827</v>
      </c>
      <c r="G467" t="str">
        <v>TBD</v>
      </c>
      <c r="H467" t="str">
        <v/>
      </c>
      <c r="I467" t="str">
        <v/>
      </c>
      <c r="J467" t="str">
        <v>24/09/2026</v>
      </c>
      <c r="K467" t="str">
        <v>11:14:56</v>
      </c>
      <c r="L467">
        <v>-12.317777</v>
      </c>
      <c r="M467">
        <v>-76.822845</v>
      </c>
      <c r="N467">
        <f>HYPERLINK("https://www.google.com/maps/search/?api=1&amp;query=-12.317777,-76.822845","Punta Hermosa, Lima")</f>
      </c>
      <c r="O467" t="str">
        <v>Aceleración brusca</v>
      </c>
      <c r="P467">
        <v>1409.5</v>
      </c>
      <c r="Q467" t="str">
        <v/>
      </c>
      <c r="R467">
        <v>12.2</v>
      </c>
      <c r="S467">
        <v>55.83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>
        <v>87</v>
      </c>
      <c r="AB467" t="str">
        <v>24/09/2026</v>
      </c>
      <c r="AC467" t="str">
        <v>11:14:51</v>
      </c>
      <c r="AD467">
        <f>IF("ONLINE"="NOGPS","GPS Antiguo","En línea")</f>
      </c>
      <c r="AE467">
        <f>IF(0=0,"Sin atender", IF(0=1,"Atendida","Atendida y Reportada"))</f>
      </c>
      <c r="AF467" t="str">
        <v/>
      </c>
      <c r="AG467" t="str">
        <v/>
      </c>
      <c r="AH467" t="str">
        <v/>
      </c>
      <c r="AI467" t="str">
        <v/>
      </c>
      <c r="AJ467" t="str">
        <v>24/09/2026 11:15:15</v>
      </c>
      <c r="AK467" t="str">
        <v>11:15:15</v>
      </c>
      <c r="AL467" t="str">
        <v/>
      </c>
    </row>
    <row r="468">
      <c r="A468">
        <v>467</v>
      </c>
      <c r="B468" t="str">
        <v>MASS BSF</v>
      </c>
      <c r="C468" t="str">
        <v>F8R-810</v>
      </c>
      <c r="D468" t="str">
        <v>F8R-810</v>
      </c>
      <c r="E468" t="str">
        <v/>
      </c>
      <c r="F468" t="str">
        <v>867806078868827</v>
      </c>
      <c r="G468" t="str">
        <v>TBD</v>
      </c>
      <c r="H468" t="str">
        <v/>
      </c>
      <c r="I468" t="str">
        <v/>
      </c>
      <c r="J468" t="str">
        <v>24/09/2026</v>
      </c>
      <c r="K468" t="str">
        <v>11:15:02</v>
      </c>
      <c r="L468">
        <v>-12.317592</v>
      </c>
      <c r="M468">
        <v>-76.82283</v>
      </c>
      <c r="N468">
        <f>HYPERLINK("https://www.google.com/maps/search/?api=1&amp;query=-12.317592,-76.82283","Punta Hermosa, Lima")</f>
      </c>
      <c r="O468" t="str">
        <v>Acelerado y giro brusco</v>
      </c>
      <c r="P468">
        <v>1409.6</v>
      </c>
      <c r="Q468" t="str">
        <v/>
      </c>
      <c r="R468">
        <v>11.8</v>
      </c>
      <c r="S468">
        <v>55.83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>
        <v>87</v>
      </c>
      <c r="AB468" t="str">
        <v>24/09/2026</v>
      </c>
      <c r="AC468" t="str">
        <v>11:14:57</v>
      </c>
      <c r="AD468">
        <f>IF("ONLINE"="NOGPS","GPS Antiguo","En línea")</f>
      </c>
      <c r="AE468">
        <f>IF(0=0,"Sin atender", IF(0=1,"Atendida","Atendida y Reportada"))</f>
      </c>
      <c r="AF468" t="str">
        <v/>
      </c>
      <c r="AG468" t="str">
        <v/>
      </c>
      <c r="AH468" t="str">
        <v/>
      </c>
      <c r="AI468" t="str">
        <v/>
      </c>
      <c r="AJ468" t="str">
        <v>24/09/2026 11:15:10</v>
      </c>
      <c r="AK468" t="str">
        <v>11:15:10</v>
      </c>
      <c r="AL468" t="str">
        <v/>
      </c>
    </row>
    <row r="469">
      <c r="A469">
        <v>468</v>
      </c>
      <c r="B469" t="str">
        <v>MASS BSF</v>
      </c>
      <c r="C469" t="str">
        <v>F8R-810</v>
      </c>
      <c r="D469" t="str">
        <v>F8R-810</v>
      </c>
      <c r="E469" t="str">
        <v/>
      </c>
      <c r="F469" t="str">
        <v>867806078868827</v>
      </c>
      <c r="G469" t="str">
        <v>TBD</v>
      </c>
      <c r="H469" t="str">
        <v/>
      </c>
      <c r="I469" t="str">
        <v/>
      </c>
      <c r="J469" t="str">
        <v>24/09/2026</v>
      </c>
      <c r="K469" t="str">
        <v>11:15:14</v>
      </c>
      <c r="L469">
        <v>-12.3173</v>
      </c>
      <c r="M469">
        <v>-76.82296</v>
      </c>
      <c r="N469">
        <f>HYPERLINK("https://www.google.com/maps/search/?api=1&amp;query=-12.3173,-76.82296","Punta Hermosa, Lima")</f>
      </c>
      <c r="O469" t="str">
        <v>Acelerado y giro brusco</v>
      </c>
      <c r="P469">
        <v>1409.6</v>
      </c>
      <c r="Q469" t="str">
        <v/>
      </c>
      <c r="R469">
        <v>8.7</v>
      </c>
      <c r="S469">
        <v>55.83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>
        <v>85</v>
      </c>
      <c r="AB469" t="str">
        <v>24/09/2026</v>
      </c>
      <c r="AC469" t="str">
        <v>11:15:09</v>
      </c>
      <c r="AD469">
        <f>IF("ONLINE"="NOGPS","GPS Antiguo","En línea")</f>
      </c>
      <c r="AE469">
        <f>IF(0=0,"Sin atender", IF(0=1,"Atendida","Atendida y Reportada"))</f>
      </c>
      <c r="AF469" t="str">
        <v/>
      </c>
      <c r="AG469" t="str">
        <v/>
      </c>
      <c r="AH469" t="str">
        <v/>
      </c>
      <c r="AI469" t="str">
        <v/>
      </c>
      <c r="AJ469" t="str">
        <v>24/09/2026 11:15:31</v>
      </c>
      <c r="AK469" t="str">
        <v>11:15:31</v>
      </c>
      <c r="AL469" t="str">
        <v/>
      </c>
    </row>
    <row r="470">
      <c r="A470">
        <v>469</v>
      </c>
      <c r="B470" t="str">
        <v>MASS BSF</v>
      </c>
      <c r="C470" t="str">
        <v>F8R-810</v>
      </c>
      <c r="D470" t="str">
        <v>F8R-810</v>
      </c>
      <c r="E470" t="str">
        <v/>
      </c>
      <c r="F470" t="str">
        <v>867806078868827</v>
      </c>
      <c r="G470" t="str">
        <v>TBD</v>
      </c>
      <c r="H470" t="str">
        <v/>
      </c>
      <c r="I470" t="str">
        <v/>
      </c>
      <c r="J470" t="str">
        <v>24/09/2026</v>
      </c>
      <c r="K470" t="str">
        <v>11:16:52</v>
      </c>
      <c r="L470">
        <v>-12.317282</v>
      </c>
      <c r="M470">
        <v>-76.82293</v>
      </c>
      <c r="N470">
        <f>HYPERLINK("https://www.google.com/maps/search/?api=1&amp;query=-12.317282,-76.82293","Punta Hermosa, Lima")</f>
      </c>
      <c r="O470" t="str">
        <v>Acelerado y giro brusco</v>
      </c>
      <c r="P470">
        <v>1409.6</v>
      </c>
      <c r="Q470" t="str">
        <v/>
      </c>
      <c r="R470">
        <v>0</v>
      </c>
      <c r="S470">
        <v>55.83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>
        <v>85</v>
      </c>
      <c r="AB470" t="str">
        <v>24/09/2026</v>
      </c>
      <c r="AC470" t="str">
        <v>11:16:47</v>
      </c>
      <c r="AD470">
        <f>IF("ONLINE"="NOGPS","GPS Antiguo","En línea")</f>
      </c>
      <c r="AE470">
        <f>IF(0=0,"Sin atender", IF(0=1,"Atendida","Atendida y Reportada"))</f>
      </c>
      <c r="AF470" t="str">
        <v/>
      </c>
      <c r="AG470" t="str">
        <v/>
      </c>
      <c r="AH470" t="str">
        <v/>
      </c>
      <c r="AI470" t="str">
        <v/>
      </c>
      <c r="AJ470" t="str">
        <v>24/09/2026 11:17:08</v>
      </c>
      <c r="AK470" t="str">
        <v>11:17:08</v>
      </c>
      <c r="AL470" t="str">
        <v/>
      </c>
    </row>
    <row r="471">
      <c r="A471">
        <v>470</v>
      </c>
      <c r="B471" t="str">
        <v>MASS BSF</v>
      </c>
      <c r="C471" t="str">
        <v>F8R-810</v>
      </c>
      <c r="D471" t="str">
        <v>F8R-810</v>
      </c>
      <c r="E471" t="str">
        <v/>
      </c>
      <c r="F471" t="str">
        <v>867806078868827</v>
      </c>
      <c r="G471" t="str">
        <v>TBD</v>
      </c>
      <c r="H471" t="str">
        <v/>
      </c>
      <c r="I471" t="str">
        <v/>
      </c>
      <c r="J471" t="str">
        <v>24/09/2026</v>
      </c>
      <c r="K471" t="str">
        <v>11:16:56</v>
      </c>
      <c r="L471">
        <v>-12.317282</v>
      </c>
      <c r="M471">
        <v>-76.82293</v>
      </c>
      <c r="N471">
        <f>HYPERLINK("https://www.google.com/maps/search/?api=1&amp;query=-12.317282,-76.82293","Punta Hermosa, Lima")</f>
      </c>
      <c r="O471" t="str">
        <v>Acelerado y giro brusco</v>
      </c>
      <c r="P471">
        <v>1409.6</v>
      </c>
      <c r="Q471" t="str">
        <v/>
      </c>
      <c r="R471">
        <v>0</v>
      </c>
      <c r="S471">
        <v>55.83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>
        <v>85</v>
      </c>
      <c r="AB471" t="str">
        <v>24/09/2026</v>
      </c>
      <c r="AC471" t="str">
        <v>11:16:51</v>
      </c>
      <c r="AD471">
        <f>IF("ONLINE"="NOGPS","GPS Antiguo","En línea")</f>
      </c>
      <c r="AE471">
        <f>IF(0=0,"Sin atender", IF(0=1,"Atendida","Atendida y Reportada"))</f>
      </c>
      <c r="AF471" t="str">
        <v/>
      </c>
      <c r="AG471" t="str">
        <v/>
      </c>
      <c r="AH471" t="str">
        <v/>
      </c>
      <c r="AI471" t="str">
        <v/>
      </c>
      <c r="AJ471" t="str">
        <v>24/09/2026 11:17:18</v>
      </c>
      <c r="AK471" t="str">
        <v>11:17:18</v>
      </c>
      <c r="AL471" t="str">
        <v/>
      </c>
    </row>
    <row r="472">
      <c r="A472">
        <v>471</v>
      </c>
      <c r="B472" t="str">
        <v>MASS BSF</v>
      </c>
      <c r="C472" t="str">
        <v>F8R-810</v>
      </c>
      <c r="D472" t="str">
        <v>F8R-810</v>
      </c>
      <c r="E472" t="str">
        <v/>
      </c>
      <c r="F472" t="str">
        <v>867806078868827</v>
      </c>
      <c r="G472" t="str">
        <v>TBD</v>
      </c>
      <c r="H472" t="str">
        <v/>
      </c>
      <c r="I472" t="str">
        <v/>
      </c>
      <c r="J472" t="str">
        <v>24/09/2026</v>
      </c>
      <c r="K472" t="str">
        <v>11:17:33</v>
      </c>
      <c r="L472">
        <v>-12.317282</v>
      </c>
      <c r="M472">
        <v>-76.82293</v>
      </c>
      <c r="N472">
        <f>HYPERLINK("https://www.google.com/maps/search/?api=1&amp;query=-12.317282,-76.82293","Punta Hermosa, Lima")</f>
      </c>
      <c r="O472" t="str">
        <v>Vehículo apagado</v>
      </c>
      <c r="P472">
        <v>1409.6</v>
      </c>
      <c r="Q472" t="str">
        <v/>
      </c>
      <c r="R472">
        <v>0</v>
      </c>
      <c r="S472">
        <v>56.95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>
        <v>85</v>
      </c>
      <c r="AB472" t="str">
        <v>24/09/2026</v>
      </c>
      <c r="AC472" t="str">
        <v>11:17:29</v>
      </c>
      <c r="AD472">
        <f>IF("ONLINE"="NOGPS","GPS Antiguo","En línea")</f>
      </c>
      <c r="AE472">
        <f>IF(0=0,"Sin atender", IF(0=1,"Atendida","Atendida y Reportada"))</f>
      </c>
      <c r="AF472" t="str">
        <v/>
      </c>
      <c r="AG472" t="str">
        <v/>
      </c>
      <c r="AH472" t="str">
        <v/>
      </c>
      <c r="AI472" t="str">
        <v/>
      </c>
      <c r="AJ472" t="str">
        <v>24/09/2026 11:17:42</v>
      </c>
      <c r="AK472" t="str">
        <v>11:17:42</v>
      </c>
      <c r="AL472" t="str">
        <v/>
      </c>
    </row>
    <row r="473">
      <c r="A473">
        <v>472</v>
      </c>
      <c r="B473" t="str">
        <v>MASS BSF</v>
      </c>
      <c r="C473" t="str">
        <v>F8R-810</v>
      </c>
      <c r="D473" t="str">
        <v>F8R-810</v>
      </c>
      <c r="E473" t="str">
        <v/>
      </c>
      <c r="F473" t="str">
        <v>867806078868827</v>
      </c>
      <c r="G473" t="str">
        <v>TBD</v>
      </c>
      <c r="H473" t="str">
        <v/>
      </c>
      <c r="I473" t="str">
        <v/>
      </c>
      <c r="J473" t="str">
        <v>24/09/2026</v>
      </c>
      <c r="K473" t="str">
        <v>11:33:04</v>
      </c>
      <c r="L473">
        <v>-12.31737</v>
      </c>
      <c r="M473">
        <v>-76.822945</v>
      </c>
      <c r="N473">
        <f>HYPERLINK("https://www.google.com/maps/search/?api=1&amp;query=-12.31737,-76.822945","Punta Hermosa, Lima")</f>
      </c>
      <c r="O473" t="str">
        <v>Vehículo encendido</v>
      </c>
      <c r="P473">
        <v>1409.6</v>
      </c>
      <c r="Q473" t="str">
        <v/>
      </c>
      <c r="R473">
        <v>0</v>
      </c>
      <c r="S473">
        <v>56.77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>
        <v>87</v>
      </c>
      <c r="AB473" t="str">
        <v>24/09/2026</v>
      </c>
      <c r="AC473" t="str">
        <v>11:32:59</v>
      </c>
      <c r="AD473">
        <f>IF("ONLINE"="NOGPS","GPS Antiguo","En línea")</f>
      </c>
      <c r="AE473">
        <f>IF(0=0,"Sin atender", IF(0=1,"Atendida","Atendida y Reportada"))</f>
      </c>
      <c r="AF473" t="str">
        <v/>
      </c>
      <c r="AG473" t="str">
        <v/>
      </c>
      <c r="AH473" t="str">
        <v/>
      </c>
      <c r="AI473" t="str">
        <v/>
      </c>
      <c r="AJ473" t="str">
        <v>24/09/2026 11:33:19</v>
      </c>
      <c r="AK473" t="str">
        <v>11:33:19</v>
      </c>
      <c r="AL473" t="str">
        <v/>
      </c>
    </row>
    <row r="474">
      <c r="A474">
        <v>473</v>
      </c>
      <c r="B474" t="str">
        <v>MASS BSF</v>
      </c>
      <c r="C474" t="str">
        <v>F8R-810</v>
      </c>
      <c r="D474" t="str">
        <v>F8R-810</v>
      </c>
      <c r="E474" t="str">
        <v/>
      </c>
      <c r="F474" t="str">
        <v>867806078868827</v>
      </c>
      <c r="G474" t="str">
        <v>TBD</v>
      </c>
      <c r="H474" t="str">
        <v/>
      </c>
      <c r="I474" t="str">
        <v/>
      </c>
      <c r="J474" t="str">
        <v>24/09/2026</v>
      </c>
      <c r="K474" t="str">
        <v>11:33:29</v>
      </c>
      <c r="L474">
        <v>-12.317378</v>
      </c>
      <c r="M474">
        <v>-76.82289</v>
      </c>
      <c r="N474">
        <f>HYPERLINK("https://www.google.com/maps/search/?api=1&amp;query=-12.317378,-76.82289","Punta Hermosa, Lima")</f>
      </c>
      <c r="O474" t="str">
        <v>Acelerado y giro brusco</v>
      </c>
      <c r="P474">
        <v>1409.6</v>
      </c>
      <c r="Q474" t="str">
        <v/>
      </c>
      <c r="R474">
        <v>0</v>
      </c>
      <c r="S474">
        <v>56.77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>
        <v>87</v>
      </c>
      <c r="AB474" t="str">
        <v>24/09/2026</v>
      </c>
      <c r="AC474" t="str">
        <v>11:33:29</v>
      </c>
      <c r="AD474">
        <f>IF("ONLINE"="NOGPS","GPS Antiguo","En línea")</f>
      </c>
      <c r="AE474">
        <f>IF(0=0,"Sin atender", IF(0=1,"Atendida","Atendida y Reportada"))</f>
      </c>
      <c r="AF474" t="str">
        <v/>
      </c>
      <c r="AG474" t="str">
        <v/>
      </c>
      <c r="AH474" t="str">
        <v/>
      </c>
      <c r="AI474" t="str">
        <v/>
      </c>
      <c r="AJ474" t="str">
        <v>24/09/2026 11:33:43</v>
      </c>
      <c r="AK474" t="str">
        <v>11:33:43</v>
      </c>
      <c r="AL474" t="str">
        <v/>
      </c>
    </row>
    <row r="475">
      <c r="A475">
        <v>474</v>
      </c>
      <c r="B475" t="str">
        <v>MASS BSF</v>
      </c>
      <c r="C475" t="str">
        <v>F8R-810</v>
      </c>
      <c r="D475" t="str">
        <v>F8R-810</v>
      </c>
      <c r="E475" t="str">
        <v/>
      </c>
      <c r="F475" t="str">
        <v>867806078868827</v>
      </c>
      <c r="G475" t="str">
        <v>TBD</v>
      </c>
      <c r="H475" t="str">
        <v/>
      </c>
      <c r="I475" t="str">
        <v/>
      </c>
      <c r="J475" t="str">
        <v>24/09/2026</v>
      </c>
      <c r="K475" t="str">
        <v>11:33:51</v>
      </c>
      <c r="L475">
        <v>-12.317774</v>
      </c>
      <c r="M475">
        <v>-76.822876</v>
      </c>
      <c r="N475">
        <f>HYPERLINK("https://www.google.com/maps/search/?api=1&amp;query=-12.317774,-76.822876","Punta Hermosa, Lima")</f>
      </c>
      <c r="O475" t="str">
        <v>Acelerado y giro brusco</v>
      </c>
      <c r="P475">
        <v>1409.7</v>
      </c>
      <c r="Q475" t="str">
        <v/>
      </c>
      <c r="R475">
        <v>8.3</v>
      </c>
      <c r="S475">
        <v>56.77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>
        <v>87</v>
      </c>
      <c r="AB475" t="str">
        <v>24/09/2026</v>
      </c>
      <c r="AC475" t="str">
        <v>11:33:51</v>
      </c>
      <c r="AD475">
        <f>IF("ONLINE"="NOGPS","GPS Antiguo","En línea")</f>
      </c>
      <c r="AE475">
        <f>IF(0=0,"Sin atender", IF(0=1,"Atendida","Atendida y Reportada"))</f>
      </c>
      <c r="AF475" t="str">
        <v/>
      </c>
      <c r="AG475" t="str">
        <v/>
      </c>
      <c r="AH475" t="str">
        <v/>
      </c>
      <c r="AI475" t="str">
        <v/>
      </c>
      <c r="AJ475" t="str">
        <v>24/09/2026 11:34:01</v>
      </c>
      <c r="AK475" t="str">
        <v>11:34:01</v>
      </c>
      <c r="AL475" t="str">
        <v/>
      </c>
    </row>
    <row r="476">
      <c r="A476">
        <v>475</v>
      </c>
      <c r="B476" t="str">
        <v>MASS BSF</v>
      </c>
      <c r="C476" t="str">
        <v>F8R-810</v>
      </c>
      <c r="D476" t="str">
        <v>F8R-810</v>
      </c>
      <c r="E476" t="str">
        <v/>
      </c>
      <c r="F476" t="str">
        <v>867806078868827</v>
      </c>
      <c r="G476" t="str">
        <v>TBD</v>
      </c>
      <c r="H476" t="str">
        <v/>
      </c>
      <c r="I476" t="str">
        <v/>
      </c>
      <c r="J476" t="str">
        <v>24/09/2026</v>
      </c>
      <c r="K476" t="str">
        <v>11:34:25</v>
      </c>
      <c r="L476">
        <v>-12.318368</v>
      </c>
      <c r="M476">
        <v>-76.82347</v>
      </c>
      <c r="N476">
        <f>HYPERLINK("https://www.google.com/maps/search/?api=1&amp;query=-12.318368,-76.82347","Punta Hermosa, Lima")</f>
      </c>
      <c r="O476" t="str">
        <v>Aceleración brusca</v>
      </c>
      <c r="P476">
        <v>1409.8</v>
      </c>
      <c r="Q476" t="str">
        <v/>
      </c>
      <c r="R476">
        <v>10.3</v>
      </c>
      <c r="S476">
        <v>56.77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>
        <v>87</v>
      </c>
      <c r="AB476" t="str">
        <v>24/09/2026</v>
      </c>
      <c r="AC476" t="str">
        <v>11:34:26</v>
      </c>
      <c r="AD476">
        <f>IF("ONLINE"="NOGPS","GPS Antiguo","En línea")</f>
      </c>
      <c r="AE476">
        <f>IF(0=0,"Sin atender", IF(0=1,"Atendida","Atendida y Reportada"))</f>
      </c>
      <c r="AF476" t="str">
        <v/>
      </c>
      <c r="AG476" t="str">
        <v/>
      </c>
      <c r="AH476" t="str">
        <v/>
      </c>
      <c r="AI476" t="str">
        <v/>
      </c>
      <c r="AJ476" t="str">
        <v>24/09/2026 11:34:33</v>
      </c>
      <c r="AK476" t="str">
        <v>11:34:33</v>
      </c>
      <c r="AL476" t="str">
        <v/>
      </c>
    </row>
    <row r="477">
      <c r="A477">
        <v>476</v>
      </c>
      <c r="B477" t="str">
        <v>MASS BSF</v>
      </c>
      <c r="C477" t="str">
        <v>F8R-810</v>
      </c>
      <c r="D477" t="str">
        <v>F8R-810</v>
      </c>
      <c r="E477" t="str">
        <v/>
      </c>
      <c r="F477" t="str">
        <v>867806078868827</v>
      </c>
      <c r="G477" t="str">
        <v>TBD</v>
      </c>
      <c r="H477" t="str">
        <v/>
      </c>
      <c r="I477" t="str">
        <v/>
      </c>
      <c r="J477" t="str">
        <v>24/09/2026</v>
      </c>
      <c r="K477" t="str">
        <v>11:34:40</v>
      </c>
      <c r="L477">
        <v>-12.318559</v>
      </c>
      <c r="M477">
        <v>-76.82378</v>
      </c>
      <c r="N477">
        <f>HYPERLINK("https://www.google.com/maps/search/?api=1&amp;query=-12.318559,-76.82378","Punta Hermosa, Lima")</f>
      </c>
      <c r="O477" t="str">
        <v>Acelerado y giro brusco</v>
      </c>
      <c r="P477">
        <v>1409.8</v>
      </c>
      <c r="Q477" t="str">
        <v/>
      </c>
      <c r="R477">
        <v>9.8</v>
      </c>
      <c r="S477">
        <v>56.77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>
        <v>87</v>
      </c>
      <c r="AB477" t="str">
        <v>24/09/2026</v>
      </c>
      <c r="AC477" t="str">
        <v>11:34:40</v>
      </c>
      <c r="AD477">
        <f>IF("ONLINE"="NOGPS","GPS Antiguo","En línea")</f>
      </c>
      <c r="AE477">
        <f>IF(0=0,"Sin atender", IF(0=1,"Atendida","Atendida y Reportada"))</f>
      </c>
      <c r="AF477" t="str">
        <v/>
      </c>
      <c r="AG477" t="str">
        <v/>
      </c>
      <c r="AH477" t="str">
        <v/>
      </c>
      <c r="AI477" t="str">
        <v/>
      </c>
      <c r="AJ477" t="str">
        <v>24/09/2026 11:35:00</v>
      </c>
      <c r="AK477" t="str">
        <v>11:35:00</v>
      </c>
      <c r="AL477" t="str">
        <v/>
      </c>
    </row>
    <row r="478">
      <c r="A478">
        <v>477</v>
      </c>
      <c r="B478" t="str">
        <v>MASS BSF</v>
      </c>
      <c r="C478" t="str">
        <v>F8R-810</v>
      </c>
      <c r="D478" t="str">
        <v>F8R-810</v>
      </c>
      <c r="E478" t="str">
        <v/>
      </c>
      <c r="F478" t="str">
        <v>867806078868827</v>
      </c>
      <c r="G478" t="str">
        <v>TBD</v>
      </c>
      <c r="H478" t="str">
        <v/>
      </c>
      <c r="I478" t="str">
        <v/>
      </c>
      <c r="J478" t="str">
        <v>24/09/2026</v>
      </c>
      <c r="K478" t="str">
        <v>11:34:46</v>
      </c>
      <c r="L478">
        <v>-12.318548</v>
      </c>
      <c r="M478">
        <v>-76.82391</v>
      </c>
      <c r="N478">
        <f>HYPERLINK("https://www.google.com/maps/search/?api=1&amp;query=-12.318548,-76.82391","Punta Hermosa, Lima")</f>
      </c>
      <c r="O478" t="str">
        <v>Aceleración brusca</v>
      </c>
      <c r="P478">
        <v>1409.8</v>
      </c>
      <c r="Q478" t="str">
        <v/>
      </c>
      <c r="R478">
        <v>10</v>
      </c>
      <c r="S478">
        <v>56.77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>
        <v>87</v>
      </c>
      <c r="AB478" t="str">
        <v>24/09/2026</v>
      </c>
      <c r="AC478" t="str">
        <v>11:34:46</v>
      </c>
      <c r="AD478">
        <f>IF("ONLINE"="NOGPS","GPS Antiguo","En línea")</f>
      </c>
      <c r="AE478">
        <f>IF(0=0,"Sin atender", IF(0=1,"Atendida","Atendida y Reportada"))</f>
      </c>
      <c r="AF478" t="str">
        <v/>
      </c>
      <c r="AG478" t="str">
        <v/>
      </c>
      <c r="AH478" t="str">
        <v/>
      </c>
      <c r="AI478" t="str">
        <v/>
      </c>
      <c r="AJ478" t="str">
        <v>24/09/2026 11:35:06</v>
      </c>
      <c r="AK478" t="str">
        <v>11:35:06</v>
      </c>
      <c r="AL478" t="str">
        <v/>
      </c>
    </row>
    <row r="479">
      <c r="A479">
        <v>478</v>
      </c>
      <c r="B479" t="str">
        <v>MASS BSF</v>
      </c>
      <c r="C479" t="str">
        <v>F8R-810</v>
      </c>
      <c r="D479" t="str">
        <v>F8R-810</v>
      </c>
      <c r="E479" t="str">
        <v/>
      </c>
      <c r="F479" t="str">
        <v>867806078868827</v>
      </c>
      <c r="G479" t="str">
        <v>TBD</v>
      </c>
      <c r="H479" t="str">
        <v/>
      </c>
      <c r="I479" t="str">
        <v/>
      </c>
      <c r="J479" t="str">
        <v>24/09/2026</v>
      </c>
      <c r="K479" t="str">
        <v>11:35:10</v>
      </c>
      <c r="L479">
        <v>-12.318065</v>
      </c>
      <c r="M479">
        <v>-76.824265</v>
      </c>
      <c r="N479">
        <f>HYPERLINK("https://www.google.com/maps/search/?api=1&amp;query=-12.318065,-76.824265","Punta Hermosa, Lima")</f>
      </c>
      <c r="O479" t="str">
        <v>Acelerado y giro brusco</v>
      </c>
      <c r="P479">
        <v>1409.9</v>
      </c>
      <c r="Q479" t="str">
        <v/>
      </c>
      <c r="R479">
        <v>8.1</v>
      </c>
      <c r="S479">
        <v>56.77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>
        <v>87</v>
      </c>
      <c r="AB479" t="str">
        <v>24/09/2026</v>
      </c>
      <c r="AC479" t="str">
        <v>11:35:10</v>
      </c>
      <c r="AD479">
        <f>IF("ONLINE"="NOGPS","GPS Antiguo","En línea")</f>
      </c>
      <c r="AE479">
        <f>IF(0=0,"Sin atender", IF(0=1,"Atendida","Atendida y Reportada"))</f>
      </c>
      <c r="AF479" t="str">
        <v/>
      </c>
      <c r="AG479" t="str">
        <v/>
      </c>
      <c r="AH479" t="str">
        <v/>
      </c>
      <c r="AI479" t="str">
        <v/>
      </c>
      <c r="AJ479" t="str">
        <v>24/09/2026 11:35:31</v>
      </c>
      <c r="AK479" t="str">
        <v>11:35:31</v>
      </c>
      <c r="AL479" t="str">
        <v/>
      </c>
    </row>
    <row r="480">
      <c r="A480">
        <v>479</v>
      </c>
      <c r="B480" t="str">
        <v>MASS BSF</v>
      </c>
      <c r="C480" t="str">
        <v>F8R-810</v>
      </c>
      <c r="D480" t="str">
        <v>F8R-810</v>
      </c>
      <c r="E480" t="str">
        <v/>
      </c>
      <c r="F480" t="str">
        <v>867806078868827</v>
      </c>
      <c r="G480" t="str">
        <v>TBD</v>
      </c>
      <c r="H480" t="str">
        <v/>
      </c>
      <c r="I480" t="str">
        <v/>
      </c>
      <c r="J480" t="str">
        <v>24/09/2026</v>
      </c>
      <c r="K480" t="str">
        <v>11:35:27</v>
      </c>
      <c r="L480">
        <v>-12.317966</v>
      </c>
      <c r="M480">
        <v>-76.824356</v>
      </c>
      <c r="N480">
        <f>HYPERLINK("https://www.google.com/maps/search/?api=1&amp;query=-12.317966,-76.824356","Punta Hermosa, Lima")</f>
      </c>
      <c r="O480" t="str">
        <v>Aceleración brusca</v>
      </c>
      <c r="P480">
        <v>1409.9</v>
      </c>
      <c r="Q480" t="str">
        <v/>
      </c>
      <c r="R480">
        <v>0</v>
      </c>
      <c r="S480">
        <v>56.77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>
        <v>87</v>
      </c>
      <c r="AB480" t="str">
        <v>24/09/2026</v>
      </c>
      <c r="AC480" t="str">
        <v>11:35:27</v>
      </c>
      <c r="AD480">
        <f>IF("ONLINE"="NOGPS","GPS Antiguo","En línea")</f>
      </c>
      <c r="AE480">
        <f>IF(0=0,"Sin atender", IF(0=1,"Atendida","Atendida y Reportada"))</f>
      </c>
      <c r="AF480" t="str">
        <v/>
      </c>
      <c r="AG480" t="str">
        <v/>
      </c>
      <c r="AH480" t="str">
        <v/>
      </c>
      <c r="AI480" t="str">
        <v/>
      </c>
      <c r="AJ480" t="str">
        <v>24/09/2026 11:35:44</v>
      </c>
      <c r="AK480" t="str">
        <v>11:35:44</v>
      </c>
      <c r="AL480" t="str">
        <v/>
      </c>
    </row>
    <row r="481">
      <c r="A481">
        <v>480</v>
      </c>
      <c r="B481" t="str">
        <v>MASS BSF</v>
      </c>
      <c r="C481" t="str">
        <v>F8R-810</v>
      </c>
      <c r="D481" t="str">
        <v>F8R-810</v>
      </c>
      <c r="E481" t="str">
        <v/>
      </c>
      <c r="F481" t="str">
        <v>867806078868827</v>
      </c>
      <c r="G481" t="str">
        <v>TBD</v>
      </c>
      <c r="H481" t="str">
        <v/>
      </c>
      <c r="I481" t="str">
        <v/>
      </c>
      <c r="J481" t="str">
        <v>24/09/2026</v>
      </c>
      <c r="K481" t="str">
        <v>11:35:31</v>
      </c>
      <c r="L481">
        <v>-12.31796</v>
      </c>
      <c r="M481">
        <v>-76.824356</v>
      </c>
      <c r="N481">
        <f>HYPERLINK("https://www.google.com/maps/search/?api=1&amp;query=-12.31796,-76.824356","Punta Hermosa, Lima")</f>
      </c>
      <c r="O481" t="str">
        <v>Vehículo apagado</v>
      </c>
      <c r="P481">
        <v>1409.9</v>
      </c>
      <c r="Q481" t="str">
        <v/>
      </c>
      <c r="R481">
        <v>0</v>
      </c>
      <c r="S481">
        <v>56.8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>
        <v>87</v>
      </c>
      <c r="AB481" t="str">
        <v>24/09/2026</v>
      </c>
      <c r="AC481" t="str">
        <v>11:35:31</v>
      </c>
      <c r="AD481">
        <f>IF("ONLINE"="NOGPS","GPS Antiguo","En línea")</f>
      </c>
      <c r="AE481">
        <f>IF(0=0,"Sin atender", IF(0=1,"Atendida","Atendida y Reportada"))</f>
      </c>
      <c r="AF481" t="str">
        <v/>
      </c>
      <c r="AG481" t="str">
        <v/>
      </c>
      <c r="AH481" t="str">
        <v/>
      </c>
      <c r="AI481" t="str">
        <v/>
      </c>
      <c r="AJ481" t="str">
        <v>24/09/2026 11:35:51</v>
      </c>
      <c r="AK481" t="str">
        <v>11:35:51</v>
      </c>
      <c r="AL481" t="str">
        <v/>
      </c>
    </row>
    <row r="482">
      <c r="A482">
        <v>481</v>
      </c>
      <c r="B482" t="str">
        <v>MASS BSF</v>
      </c>
      <c r="C482" t="str">
        <v>F8R-810</v>
      </c>
      <c r="D482" t="str">
        <v>F8R-810</v>
      </c>
      <c r="E482" t="str">
        <v/>
      </c>
      <c r="F482" t="str">
        <v>867806078868827</v>
      </c>
      <c r="G482" t="str">
        <v>TBD</v>
      </c>
      <c r="H482" t="str">
        <v/>
      </c>
      <c r="I482" t="str">
        <v/>
      </c>
      <c r="J482" t="str">
        <v>24/09/2026</v>
      </c>
      <c r="K482" t="str">
        <v>11:38:50</v>
      </c>
      <c r="L482">
        <v>-12.31796</v>
      </c>
      <c r="M482">
        <v>-76.824356</v>
      </c>
      <c r="N482">
        <f>HYPERLINK("https://www.google.com/maps/search/?api=1&amp;query=-12.31796,-76.824356","Punta Hermosa, Lima")</f>
      </c>
      <c r="O482" t="str">
        <v>Inicio de ralentí</v>
      </c>
      <c r="P482">
        <v>1409.9</v>
      </c>
      <c r="Q482" t="str">
        <v/>
      </c>
      <c r="R482">
        <v>0</v>
      </c>
      <c r="S482">
        <v>56.8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>
        <v>87</v>
      </c>
      <c r="AB482" t="str">
        <v>24/09/2026</v>
      </c>
      <c r="AC482" t="str">
        <v>11:38:50</v>
      </c>
      <c r="AD482">
        <f>IF("ONLINE"="NOGPS","GPS Antiguo","En línea")</f>
      </c>
      <c r="AE482">
        <f>IF(0=0,"Sin atender", IF(0=1,"Atendida","Atendida y Reportada"))</f>
      </c>
      <c r="AF482" t="str">
        <v/>
      </c>
      <c r="AG482" t="str">
        <v/>
      </c>
      <c r="AH482" t="str">
        <v/>
      </c>
      <c r="AI482" t="str">
        <v/>
      </c>
      <c r="AJ482" t="str">
        <v>24/09/2026 11:39:20</v>
      </c>
      <c r="AK482" t="str">
        <v>11:39:20</v>
      </c>
      <c r="AL482" t="str">
        <v/>
      </c>
    </row>
    <row r="483">
      <c r="A483">
        <v>482</v>
      </c>
      <c r="B483" t="str">
        <v>MASS BSF</v>
      </c>
      <c r="C483" t="str">
        <v>F8R-810</v>
      </c>
      <c r="D483" t="str">
        <v>F8R-810</v>
      </c>
      <c r="E483" t="str">
        <v/>
      </c>
      <c r="F483" t="str">
        <v>867806078868827</v>
      </c>
      <c r="G483" t="str">
        <v>TBD</v>
      </c>
      <c r="H483" t="str">
        <v/>
      </c>
      <c r="I483" t="str">
        <v/>
      </c>
      <c r="J483" t="str">
        <v>24/09/2026</v>
      </c>
      <c r="K483" t="str">
        <v>11:43:08</v>
      </c>
      <c r="L483">
        <v>-12.31796</v>
      </c>
      <c r="M483">
        <v>-76.824356</v>
      </c>
      <c r="N483">
        <f>HYPERLINK("https://www.google.com/maps/search/?api=1&amp;query=-12.31796,-76.824356","Punta Hermosa, Lima")</f>
      </c>
      <c r="O483" t="str">
        <v>Se detuvo</v>
      </c>
      <c r="P483">
        <v>1409.9</v>
      </c>
      <c r="Q483" t="str">
        <v/>
      </c>
      <c r="R483">
        <v>0</v>
      </c>
      <c r="S483">
        <v>56.8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>
        <v>87</v>
      </c>
      <c r="AB483" t="str">
        <v>24/09/2026</v>
      </c>
      <c r="AC483" t="str">
        <v>11:43:08</v>
      </c>
      <c r="AD483">
        <f>IF("ONLINE"="NOGPS","GPS Antiguo","En línea")</f>
      </c>
      <c r="AE483">
        <f>IF(0=0,"Sin atender", IF(0=1,"Atendida","Atendida y Reportada"))</f>
      </c>
      <c r="AF483" t="str">
        <v/>
      </c>
      <c r="AG483" t="str">
        <v/>
      </c>
      <c r="AH483" t="str">
        <v/>
      </c>
      <c r="AI483" t="str">
        <v/>
      </c>
      <c r="AJ483" t="str">
        <v>24/09/2026 11:43:35</v>
      </c>
      <c r="AK483" t="str">
        <v>11:43:35</v>
      </c>
      <c r="AL483" t="str">
        <v/>
      </c>
    </row>
    <row r="484">
      <c r="A484">
        <v>483</v>
      </c>
      <c r="B484" t="str">
        <v>MASS BSF</v>
      </c>
      <c r="C484" t="str">
        <v>F8R-810</v>
      </c>
      <c r="D484" t="str">
        <v>F8R-810</v>
      </c>
      <c r="E484" t="str">
        <v/>
      </c>
      <c r="F484" t="str">
        <v>867806078868827</v>
      </c>
      <c r="G484" t="str">
        <v>TBD</v>
      </c>
      <c r="H484" t="str">
        <v/>
      </c>
      <c r="I484" t="str">
        <v/>
      </c>
      <c r="J484" t="str">
        <v>24/09/2026</v>
      </c>
      <c r="K484" t="str">
        <v>12:45:33</v>
      </c>
      <c r="L484">
        <v>-12.317938</v>
      </c>
      <c r="M484">
        <v>-76.82445</v>
      </c>
      <c r="N484">
        <f>HYPERLINK("https://www.google.com/maps/search/?api=1&amp;query=-12.317938,-76.82445","Punta Hermosa, Lima")</f>
      </c>
      <c r="O484" t="str">
        <v>Vehículo encendido</v>
      </c>
      <c r="P484">
        <v>1409.9</v>
      </c>
      <c r="Q484" t="str">
        <v/>
      </c>
      <c r="R484">
        <v>0</v>
      </c>
      <c r="S484">
        <v>56.8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93</v>
      </c>
      <c r="AB484" t="str">
        <v>24/09/2026</v>
      </c>
      <c r="AC484" t="str">
        <v>12:45:32</v>
      </c>
      <c r="AD484">
        <f>IF("ONLINE"="NOGPS","GPS Antiguo","En línea")</f>
      </c>
      <c r="AE484">
        <f>IF(0=0,"Sin atender", IF(0=1,"Atendida","Atendida y Reportada"))</f>
      </c>
      <c r="AF484" t="str">
        <v/>
      </c>
      <c r="AG484" t="str">
        <v/>
      </c>
      <c r="AH484" t="str">
        <v/>
      </c>
      <c r="AI484" t="str">
        <v/>
      </c>
      <c r="AJ484" t="str">
        <v>24/09/2026 12:45:43</v>
      </c>
      <c r="AK484" t="str">
        <v>12:45:43</v>
      </c>
      <c r="AL484" t="str">
        <v/>
      </c>
    </row>
    <row r="485">
      <c r="A485">
        <v>484</v>
      </c>
      <c r="B485" t="str">
        <v>MASS BSF</v>
      </c>
      <c r="C485" t="str">
        <v>F8R-810</v>
      </c>
      <c r="D485" t="str">
        <v>F8R-810</v>
      </c>
      <c r="E485" t="str">
        <v/>
      </c>
      <c r="F485" t="str">
        <v>867806078868827</v>
      </c>
      <c r="G485" t="str">
        <v>TBD</v>
      </c>
      <c r="H485" t="str">
        <v/>
      </c>
      <c r="I485" t="str">
        <v/>
      </c>
      <c r="J485" t="str">
        <v>24/09/2026</v>
      </c>
      <c r="K485" t="str">
        <v>12:45:45</v>
      </c>
      <c r="L485">
        <v>-12.317938</v>
      </c>
      <c r="M485">
        <v>-76.82445</v>
      </c>
      <c r="N485">
        <f>HYPERLINK("https://www.google.com/maps/search/?api=1&amp;query=-12.317938,-76.82445","Punta Hermosa, Lima")</f>
      </c>
      <c r="O485" t="str">
        <v>Acelerado y giro brusco</v>
      </c>
      <c r="P485">
        <v>1409.9</v>
      </c>
      <c r="Q485" t="str">
        <v/>
      </c>
      <c r="R485">
        <v>0</v>
      </c>
      <c r="S485">
        <v>56.8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>
        <v>93</v>
      </c>
      <c r="AB485" t="str">
        <v>24/09/2026</v>
      </c>
      <c r="AC485" t="str">
        <v>12:45:45</v>
      </c>
      <c r="AD485">
        <f>IF("ONLINE"="NOGPS","GPS Antiguo","En línea")</f>
      </c>
      <c r="AE485">
        <f>IF(0=0,"Sin atender", IF(0=1,"Atendida","Atendida y Reportada"))</f>
      </c>
      <c r="AF485" t="str">
        <v/>
      </c>
      <c r="AG485" t="str">
        <v/>
      </c>
      <c r="AH485" t="str">
        <v/>
      </c>
      <c r="AI485" t="str">
        <v/>
      </c>
      <c r="AJ485" t="str">
        <v>24/09/2026 12:45:58</v>
      </c>
      <c r="AK485" t="str">
        <v>12:45:58</v>
      </c>
      <c r="AL485" t="str">
        <v/>
      </c>
    </row>
    <row r="486">
      <c r="A486">
        <v>485</v>
      </c>
      <c r="B486" t="str">
        <v>MASS BSF</v>
      </c>
      <c r="C486" t="str">
        <v>F8R-810</v>
      </c>
      <c r="D486" t="str">
        <v>F8R-810</v>
      </c>
      <c r="E486" t="str">
        <v/>
      </c>
      <c r="F486" t="str">
        <v>867806078868827</v>
      </c>
      <c r="G486" t="str">
        <v>TBD</v>
      </c>
      <c r="H486" t="str">
        <v/>
      </c>
      <c r="I486" t="str">
        <v/>
      </c>
      <c r="J486" t="str">
        <v>24/09/2026</v>
      </c>
      <c r="K486" t="str">
        <v>12:45:52</v>
      </c>
      <c r="L486">
        <v>-12.317865</v>
      </c>
      <c r="M486">
        <v>-76.8244</v>
      </c>
      <c r="N486">
        <f>HYPERLINK("https://www.google.com/maps/search/?api=1&amp;query=-12.317865,-76.8244","Punta Hermosa, Lima")</f>
      </c>
      <c r="O486" t="str">
        <v>Fin de ralentí</v>
      </c>
      <c r="P486">
        <v>1409.9</v>
      </c>
      <c r="Q486" t="str">
        <v/>
      </c>
      <c r="R486">
        <v>5.9</v>
      </c>
      <c r="S486">
        <v>56.8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>
        <v>93</v>
      </c>
      <c r="AB486" t="str">
        <v>24/09/2026</v>
      </c>
      <c r="AC486" t="str">
        <v>12:45:52</v>
      </c>
      <c r="AD486">
        <f>IF("ONLINE"="NOGPS","GPS Antiguo","En línea")</f>
      </c>
      <c r="AE486">
        <f>IF(0=0,"Sin atender", IF(0=1,"Atendida","Atendida y Reportada"))</f>
      </c>
      <c r="AF486" t="str">
        <v/>
      </c>
      <c r="AG486" t="str">
        <v/>
      </c>
      <c r="AH486" t="str">
        <v/>
      </c>
      <c r="AI486" t="str">
        <v/>
      </c>
      <c r="AJ486" t="str">
        <v>24/09/2026 12:46:05</v>
      </c>
      <c r="AK486" t="str">
        <v>12:46:05</v>
      </c>
      <c r="AL486" t="str">
        <v/>
      </c>
    </row>
    <row r="487">
      <c r="A487">
        <v>486</v>
      </c>
      <c r="B487" t="str">
        <v>MASS BSF</v>
      </c>
      <c r="C487" t="str">
        <v>F8R-810</v>
      </c>
      <c r="D487" t="str">
        <v>F8R-810</v>
      </c>
      <c r="E487" t="str">
        <v/>
      </c>
      <c r="F487" t="str">
        <v>867806078868827</v>
      </c>
      <c r="G487" t="str">
        <v>TBD</v>
      </c>
      <c r="H487" t="str">
        <v/>
      </c>
      <c r="I487" t="str">
        <v/>
      </c>
      <c r="J487" t="str">
        <v>24/09/2026</v>
      </c>
      <c r="K487" t="str">
        <v>12:46:05</v>
      </c>
      <c r="L487">
        <v>-12.317721</v>
      </c>
      <c r="M487">
        <v>-76.82442</v>
      </c>
      <c r="N487">
        <f>HYPERLINK("https://www.google.com/maps/search/?api=1&amp;query=-12.317721,-76.82442","Punta Hermosa, Lima")</f>
      </c>
      <c r="O487" t="str">
        <v>Acelerado y giro brusco</v>
      </c>
      <c r="P487">
        <v>1409.9</v>
      </c>
      <c r="Q487" t="str">
        <v/>
      </c>
      <c r="R487">
        <v>0</v>
      </c>
      <c r="S487">
        <v>56.8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>
        <v>85</v>
      </c>
      <c r="AB487" t="str">
        <v>24/09/2026</v>
      </c>
      <c r="AC487" t="str">
        <v>12:46:05</v>
      </c>
      <c r="AD487">
        <f>IF("ONLINE"="NOGPS","GPS Antiguo","En línea")</f>
      </c>
      <c r="AE487">
        <f>IF(0=0,"Sin atender", IF(0=1,"Atendida","Atendida y Reportada"))</f>
      </c>
      <c r="AF487" t="str">
        <v/>
      </c>
      <c r="AG487" t="str">
        <v/>
      </c>
      <c r="AH487" t="str">
        <v/>
      </c>
      <c r="AI487" t="str">
        <v/>
      </c>
      <c r="AJ487" t="str">
        <v>24/09/2026 12:46:14</v>
      </c>
      <c r="AK487" t="str">
        <v>12:46:14</v>
      </c>
      <c r="AL487" t="str">
        <v/>
      </c>
    </row>
    <row r="488">
      <c r="A488">
        <v>487</v>
      </c>
      <c r="B488" t="str">
        <v>MASS BSF</v>
      </c>
      <c r="C488" t="str">
        <v>F8R-810</v>
      </c>
      <c r="D488" t="str">
        <v>F8R-810</v>
      </c>
      <c r="E488" t="str">
        <v/>
      </c>
      <c r="F488" t="str">
        <v>867806078868827</v>
      </c>
      <c r="G488" t="str">
        <v>TBD</v>
      </c>
      <c r="H488" t="str">
        <v/>
      </c>
      <c r="I488" t="str">
        <v/>
      </c>
      <c r="J488" t="str">
        <v>24/09/2026</v>
      </c>
      <c r="K488" t="str">
        <v>12:46:15</v>
      </c>
      <c r="L488">
        <v>-12.317777</v>
      </c>
      <c r="M488">
        <v>-76.82437</v>
      </c>
      <c r="N488">
        <f>HYPERLINK("https://www.google.com/maps/search/?api=1&amp;query=-12.317777,-76.82437","Punta Hermosa, Lima")</f>
      </c>
      <c r="O488" t="str">
        <v>Acelerado y giro brusco</v>
      </c>
      <c r="P488">
        <v>1409.9</v>
      </c>
      <c r="Q488" t="str">
        <v/>
      </c>
      <c r="R488">
        <v>3.7</v>
      </c>
      <c r="S488">
        <v>56.8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>
        <v>85</v>
      </c>
      <c r="AB488" t="str">
        <v>24/09/2026</v>
      </c>
      <c r="AC488" t="str">
        <v>12:46:15</v>
      </c>
      <c r="AD488">
        <f>IF("ONLINE"="NOGPS","GPS Antiguo","En línea")</f>
      </c>
      <c r="AE488">
        <f>IF(0=0,"Sin atender", IF(0=1,"Atendida","Atendida y Reportada"))</f>
      </c>
      <c r="AF488" t="str">
        <v/>
      </c>
      <c r="AG488" t="str">
        <v/>
      </c>
      <c r="AH488" t="str">
        <v/>
      </c>
      <c r="AI488" t="str">
        <v/>
      </c>
      <c r="AJ488" t="str">
        <v>24/09/2026 12:46:27</v>
      </c>
      <c r="AK488" t="str">
        <v>12:46:27</v>
      </c>
      <c r="AL488" t="str">
        <v/>
      </c>
    </row>
    <row r="489">
      <c r="A489">
        <v>488</v>
      </c>
      <c r="B489" t="str">
        <v>MASS BSF</v>
      </c>
      <c r="C489" t="str">
        <v>F8R-810</v>
      </c>
      <c r="D489" t="str">
        <v>F8R-810</v>
      </c>
      <c r="E489" t="str">
        <v/>
      </c>
      <c r="F489" t="str">
        <v>867806078868827</v>
      </c>
      <c r="G489" t="str">
        <v>TBD</v>
      </c>
      <c r="H489" t="str">
        <v/>
      </c>
      <c r="I489" t="str">
        <v/>
      </c>
      <c r="J489" t="str">
        <v>24/09/2026</v>
      </c>
      <c r="K489" t="str">
        <v>12:48:26</v>
      </c>
      <c r="L489">
        <v>-12.317803</v>
      </c>
      <c r="M489">
        <v>-76.82433</v>
      </c>
      <c r="N489">
        <f>HYPERLINK("https://www.google.com/maps/search/?api=1&amp;query=-12.317803,-76.82433","Punta Hermosa, Lima")</f>
      </c>
      <c r="O489" t="str">
        <v>Aceleración brusca</v>
      </c>
      <c r="P489">
        <v>1409.9</v>
      </c>
      <c r="Q489" t="str">
        <v/>
      </c>
      <c r="R489">
        <v>0</v>
      </c>
      <c r="S489">
        <v>56.8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>
        <v>85</v>
      </c>
      <c r="AB489" t="str">
        <v>24/09/2026</v>
      </c>
      <c r="AC489" t="str">
        <v>12:48:26</v>
      </c>
      <c r="AD489">
        <f>IF("ONLINE"="NOGPS","GPS Antiguo","En línea")</f>
      </c>
      <c r="AE489">
        <f>IF(0=0,"Sin atender", IF(0=1,"Atendida","Atendida y Reportada"))</f>
      </c>
      <c r="AF489" t="str">
        <v/>
      </c>
      <c r="AG489" t="str">
        <v/>
      </c>
      <c r="AH489" t="str">
        <v/>
      </c>
      <c r="AI489" t="str">
        <v/>
      </c>
      <c r="AJ489" t="str">
        <v>24/09/2026 12:48:56</v>
      </c>
      <c r="AK489" t="str">
        <v>12:48:56</v>
      </c>
      <c r="AL489" t="str">
        <v/>
      </c>
    </row>
    <row r="490">
      <c r="A490">
        <v>489</v>
      </c>
      <c r="B490" t="str">
        <v>MASS BSF</v>
      </c>
      <c r="C490" t="str">
        <v>F8R-810</v>
      </c>
      <c r="D490" t="str">
        <v>F8R-810</v>
      </c>
      <c r="E490" t="str">
        <v/>
      </c>
      <c r="F490" t="str">
        <v>867806078868827</v>
      </c>
      <c r="G490" t="str">
        <v>TBD</v>
      </c>
      <c r="H490" t="str">
        <v/>
      </c>
      <c r="I490" t="str">
        <v/>
      </c>
      <c r="J490" t="str">
        <v>24/09/2026</v>
      </c>
      <c r="K490" t="str">
        <v>12:48:53</v>
      </c>
      <c r="L490">
        <v>-12.317803</v>
      </c>
      <c r="M490">
        <v>-76.82433</v>
      </c>
      <c r="N490">
        <f>HYPERLINK("https://www.google.com/maps/search/?api=1&amp;query=-12.317803,-76.82433","Punta Hermosa, Lima")</f>
      </c>
      <c r="O490" t="str">
        <v>Vehículo apagado</v>
      </c>
      <c r="P490">
        <v>1409.9</v>
      </c>
      <c r="Q490" t="str">
        <v/>
      </c>
      <c r="R490">
        <v>0</v>
      </c>
      <c r="S490">
        <v>56.85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>
        <v>85</v>
      </c>
      <c r="AB490" t="str">
        <v>24/09/2026</v>
      </c>
      <c r="AC490" t="str">
        <v>12:48:53</v>
      </c>
      <c r="AD490">
        <f>IF("ONLINE"="NOGPS","GPS Antiguo","En línea")</f>
      </c>
      <c r="AE490">
        <f>IF(0=0,"Sin atender", IF(0=1,"Atendida","Atendida y Reportada"))</f>
      </c>
      <c r="AF490" t="str">
        <v/>
      </c>
      <c r="AG490" t="str">
        <v/>
      </c>
      <c r="AH490" t="str">
        <v/>
      </c>
      <c r="AI490" t="str">
        <v/>
      </c>
      <c r="AJ490" t="str">
        <v>24/09/2026 12:49:03</v>
      </c>
      <c r="AK490" t="str">
        <v>12:49:03</v>
      </c>
      <c r="AL490" t="str">
        <v/>
      </c>
    </row>
    <row r="491">
      <c r="A491">
        <v>490</v>
      </c>
      <c r="B491" t="str">
        <v>MASS BSF</v>
      </c>
      <c r="C491" t="str">
        <v>F8R-810</v>
      </c>
      <c r="D491" t="str">
        <v>F8R-810</v>
      </c>
      <c r="E491" t="str">
        <v/>
      </c>
      <c r="F491" t="str">
        <v>867806078868827</v>
      </c>
      <c r="G491" t="str">
        <v>TBD</v>
      </c>
      <c r="H491" t="str">
        <v/>
      </c>
      <c r="I491" t="str">
        <v/>
      </c>
      <c r="J491" t="str">
        <v>24/09/2026</v>
      </c>
      <c r="K491" t="str">
        <v>12:52:10</v>
      </c>
      <c r="L491">
        <v>-12.317759</v>
      </c>
      <c r="M491">
        <v>-76.82425</v>
      </c>
      <c r="N491">
        <f>HYPERLINK("https://www.google.com/maps/search/?api=1&amp;query=-12.317759,-76.82425","Punta Hermosa, Lima")</f>
      </c>
      <c r="O491" t="str">
        <v>Inicio de ralentí</v>
      </c>
      <c r="P491">
        <v>1409.9</v>
      </c>
      <c r="Q491" t="str">
        <v/>
      </c>
      <c r="R491">
        <v>0</v>
      </c>
      <c r="S491">
        <v>56.85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>
        <v>85</v>
      </c>
      <c r="AB491" t="str">
        <v>24/09/2026</v>
      </c>
      <c r="AC491" t="str">
        <v>12:52:09</v>
      </c>
      <c r="AD491">
        <f>IF("ONLINE"="NOGPS","GPS Antiguo","En línea")</f>
      </c>
      <c r="AE491">
        <f>IF(0=0,"Sin atender", IF(0=1,"Atendida","Atendida y Reportada"))</f>
      </c>
      <c r="AF491" t="str">
        <v/>
      </c>
      <c r="AG491" t="str">
        <v/>
      </c>
      <c r="AH491" t="str">
        <v/>
      </c>
      <c r="AI491" t="str">
        <v/>
      </c>
      <c r="AJ491" t="str">
        <v>24/09/2026 12:52:18</v>
      </c>
      <c r="AK491" t="str">
        <v>12:52:18</v>
      </c>
      <c r="AL491" t="str">
        <v/>
      </c>
    </row>
    <row r="492">
      <c r="A492">
        <v>491</v>
      </c>
      <c r="B492" t="str">
        <v>MASS BSF</v>
      </c>
      <c r="C492" t="str">
        <v>F8R-810</v>
      </c>
      <c r="D492" t="str">
        <v>F8R-810</v>
      </c>
      <c r="E492" t="str">
        <v/>
      </c>
      <c r="F492" t="str">
        <v>867806078868827</v>
      </c>
      <c r="G492" t="str">
        <v>TBD</v>
      </c>
      <c r="H492" t="str">
        <v/>
      </c>
      <c r="I492" t="str">
        <v/>
      </c>
      <c r="J492" t="str">
        <v>24/09/2026</v>
      </c>
      <c r="K492" t="str">
        <v>12:55:36</v>
      </c>
      <c r="L492">
        <v>-12.317759</v>
      </c>
      <c r="M492">
        <v>-76.82425</v>
      </c>
      <c r="N492">
        <f>HYPERLINK("https://www.google.com/maps/search/?api=1&amp;query=-12.317759,-76.82425","Punta Hermosa, Lima")</f>
      </c>
      <c r="O492" t="str">
        <v>Se detuvo</v>
      </c>
      <c r="P492">
        <v>1409.9</v>
      </c>
      <c r="Q492" t="str">
        <v/>
      </c>
      <c r="R492">
        <v>0</v>
      </c>
      <c r="S492">
        <v>56.85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>
        <v>85</v>
      </c>
      <c r="AB492" t="str">
        <v>24/09/2026</v>
      </c>
      <c r="AC492" t="str">
        <v>12:55:35</v>
      </c>
      <c r="AD492">
        <f>IF("ONLINE"="NOGPS","GPS Antiguo","En línea")</f>
      </c>
      <c r="AE492">
        <f>IF(0=0,"Sin atender", IF(0=1,"Atendida","Atendida y Reportada"))</f>
      </c>
      <c r="AF492" t="str">
        <v/>
      </c>
      <c r="AG492" t="str">
        <v/>
      </c>
      <c r="AH492" t="str">
        <v/>
      </c>
      <c r="AI492" t="str">
        <v/>
      </c>
      <c r="AJ492" t="str">
        <v>24/09/2026 12:55:42</v>
      </c>
      <c r="AK492" t="str">
        <v>12:55:42</v>
      </c>
      <c r="AL492" t="str">
        <v/>
      </c>
    </row>
    <row r="493">
      <c r="A493">
        <v>492</v>
      </c>
      <c r="B493" t="str">
        <v>MASS BSF</v>
      </c>
      <c r="C493" t="str">
        <v>F8R-810</v>
      </c>
      <c r="D493" t="str">
        <v>F8R-810</v>
      </c>
      <c r="E493" t="str">
        <v/>
      </c>
      <c r="F493" t="str">
        <v>867806078868827</v>
      </c>
      <c r="G493" t="str">
        <v>TBD</v>
      </c>
      <c r="H493" t="str">
        <v/>
      </c>
      <c r="I493" t="str">
        <v/>
      </c>
      <c r="J493" t="str">
        <v>24/09/2026</v>
      </c>
      <c r="K493" t="str">
        <v>13:24:59</v>
      </c>
      <c r="L493">
        <v>-12.317832</v>
      </c>
      <c r="M493">
        <v>-76.824196</v>
      </c>
      <c r="N493">
        <f>HYPERLINK("https://www.google.com/maps/search/?api=1&amp;query=-12.317832,-76.824196","Punta Hermosa, Lima")</f>
      </c>
      <c r="O493" t="str">
        <v>Se detuvo</v>
      </c>
      <c r="P493">
        <v>1409.9</v>
      </c>
      <c r="Q493" t="str">
        <v/>
      </c>
      <c r="R493">
        <v>0</v>
      </c>
      <c r="S493">
        <v>56.85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>
        <v>85</v>
      </c>
      <c r="AB493" t="str">
        <v>24/09/2026</v>
      </c>
      <c r="AC493" t="str">
        <v>13:24:58</v>
      </c>
      <c r="AD493">
        <f>IF("ONLINE"="NOGPS","GPS Antiguo","En línea")</f>
      </c>
      <c r="AE493">
        <f>IF(0=0,"Sin atender", IF(0=1,"Atendida","Atendida y Reportada"))</f>
      </c>
      <c r="AF493" t="str">
        <v/>
      </c>
      <c r="AG493" t="str">
        <v/>
      </c>
      <c r="AH493" t="str">
        <v/>
      </c>
      <c r="AI493" t="str">
        <v/>
      </c>
      <c r="AJ493" t="str">
        <v>24/09/2026 13:25:17</v>
      </c>
      <c r="AK493" t="str">
        <v>13:25:17</v>
      </c>
      <c r="AL493" t="str">
        <v/>
      </c>
    </row>
    <row r="494">
      <c r="A494">
        <v>493</v>
      </c>
      <c r="B494" t="str">
        <v>MASS BSF</v>
      </c>
      <c r="C494" t="str">
        <v>F8R-810</v>
      </c>
      <c r="D494" t="str">
        <v>F8R-810</v>
      </c>
      <c r="E494" t="str">
        <v/>
      </c>
      <c r="F494" t="str">
        <v>867806078868827</v>
      </c>
      <c r="G494" t="str">
        <v>TBD</v>
      </c>
      <c r="H494" t="str">
        <v/>
      </c>
      <c r="I494" t="str">
        <v/>
      </c>
      <c r="J494" t="str">
        <v>24/09/2026</v>
      </c>
      <c r="K494" t="str">
        <v>13:40:45</v>
      </c>
      <c r="L494">
        <v>-12.317832</v>
      </c>
      <c r="M494">
        <v>-76.824196</v>
      </c>
      <c r="N494">
        <f>HYPERLINK("https://www.google.com/maps/search/?api=1&amp;query=-12.317832,-76.824196","Punta Hermosa, Lima")</f>
      </c>
      <c r="O494" t="str">
        <v>Encendido o Entró en cobertura</v>
      </c>
      <c r="P494">
        <v>1409.9</v>
      </c>
      <c r="Q494" t="str">
        <v/>
      </c>
      <c r="R494">
        <v>0</v>
      </c>
      <c r="S494">
        <v>56.85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>
        <v>98</v>
      </c>
      <c r="AB494" t="str">
        <v>24/09/2026</v>
      </c>
      <c r="AC494" t="str">
        <v>13:38:52</v>
      </c>
      <c r="AD494">
        <f>IF("ONLINE"="NOGPS","GPS Antiguo","En línea")</f>
      </c>
      <c r="AE494">
        <f>IF(0=0,"Sin atender", IF(0=1,"Atendida","Atendida y Reportada"))</f>
      </c>
      <c r="AF494" t="str">
        <v/>
      </c>
      <c r="AG494" t="str">
        <v/>
      </c>
      <c r="AH494" t="str">
        <v/>
      </c>
      <c r="AI494" t="str">
        <v/>
      </c>
      <c r="AJ494" t="str">
        <v>24/09/2026 13:40:50</v>
      </c>
      <c r="AK494" t="str">
        <v>13:40:50</v>
      </c>
      <c r="AL494" t="str">
        <v/>
      </c>
    </row>
    <row r="495">
      <c r="A495">
        <v>494</v>
      </c>
      <c r="B495" t="str">
        <v>MASS BSF</v>
      </c>
      <c r="C495" t="str">
        <v>F8R-810</v>
      </c>
      <c r="D495" t="str">
        <v>F8R-810</v>
      </c>
      <c r="E495" t="str">
        <v/>
      </c>
      <c r="F495" t="str">
        <v>867806078868827</v>
      </c>
      <c r="G495" t="str">
        <v>TBD</v>
      </c>
      <c r="H495" t="str">
        <v/>
      </c>
      <c r="I495" t="str">
        <v/>
      </c>
      <c r="J495" t="str">
        <v>24/09/2026</v>
      </c>
      <c r="K495" t="str">
        <v>13:41:59</v>
      </c>
      <c r="L495">
        <v>-12.317832</v>
      </c>
      <c r="M495">
        <v>-76.824196</v>
      </c>
      <c r="N495">
        <f>HYPERLINK("https://www.google.com/maps/search/?api=1&amp;query=-12.317832,-76.824196","Punta Hermosa, Lima")</f>
      </c>
      <c r="O495" t="str">
        <v>Vehículo encendido</v>
      </c>
      <c r="P495">
        <v>1409.9</v>
      </c>
      <c r="Q495" t="str">
        <v/>
      </c>
      <c r="R495">
        <v>0</v>
      </c>
      <c r="S495">
        <v>56.85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>
        <v>98</v>
      </c>
      <c r="AB495" t="str">
        <v>24/09/2026</v>
      </c>
      <c r="AC495" t="str">
        <v>13:41:58</v>
      </c>
      <c r="AD495">
        <f>IF("ONLINE"="NOGPS","GPS Antiguo","En línea")</f>
      </c>
      <c r="AE495">
        <f>IF(0=0,"Sin atender", IF(0=1,"Atendida","Atendida y Reportada"))</f>
      </c>
      <c r="AF495" t="str">
        <v/>
      </c>
      <c r="AG495" t="str">
        <v/>
      </c>
      <c r="AH495" t="str">
        <v/>
      </c>
      <c r="AI495" t="str">
        <v/>
      </c>
      <c r="AJ495" t="str">
        <v>24/09/2026 13:42:12</v>
      </c>
      <c r="AK495" t="str">
        <v>13:42:12</v>
      </c>
      <c r="AL495" t="str">
        <v/>
      </c>
    </row>
    <row r="496">
      <c r="A496">
        <v>495</v>
      </c>
      <c r="B496" t="str">
        <v>MASS BSF</v>
      </c>
      <c r="C496" t="str">
        <v>F8R-810</v>
      </c>
      <c r="D496" t="str">
        <v>F8R-810</v>
      </c>
      <c r="E496" t="str">
        <v/>
      </c>
      <c r="F496" t="str">
        <v>867806078868827</v>
      </c>
      <c r="G496" t="str">
        <v>TBD</v>
      </c>
      <c r="H496" t="str">
        <v/>
      </c>
      <c r="I496" t="str">
        <v/>
      </c>
      <c r="J496" t="str">
        <v>24/09/2026</v>
      </c>
      <c r="K496" t="str">
        <v>13:44:17</v>
      </c>
      <c r="L496">
        <v>-12.317826</v>
      </c>
      <c r="M496">
        <v>-76.82433</v>
      </c>
      <c r="N496">
        <f>HYPERLINK("https://www.google.com/maps/search/?api=1&amp;query=-12.317826,-76.82433","Punta Hermosa, Lima")</f>
      </c>
      <c r="O496" t="str">
        <v>Fin de ralentí</v>
      </c>
      <c r="P496">
        <v>1410</v>
      </c>
      <c r="Q496" t="str">
        <v/>
      </c>
      <c r="R496">
        <v>5.9</v>
      </c>
      <c r="S496">
        <v>56.85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>
        <v>98</v>
      </c>
      <c r="AB496" t="str">
        <v>24/09/2026</v>
      </c>
      <c r="AC496" t="str">
        <v>13:44:17</v>
      </c>
      <c r="AD496">
        <f>IF("ONLINE"="NOGPS","GPS Antiguo","En línea")</f>
      </c>
      <c r="AE496">
        <f>IF(0=0,"Sin atender", IF(0=1,"Atendida","Atendida y Reportada"))</f>
      </c>
      <c r="AF496" t="str">
        <v/>
      </c>
      <c r="AG496" t="str">
        <v/>
      </c>
      <c r="AH496" t="str">
        <v/>
      </c>
      <c r="AI496" t="str">
        <v/>
      </c>
      <c r="AJ496" t="str">
        <v>24/09/2026 13:44:35</v>
      </c>
      <c r="AK496" t="str">
        <v>13:44:35</v>
      </c>
      <c r="AL496" t="str">
        <v/>
      </c>
    </row>
    <row r="497">
      <c r="A497">
        <v>496</v>
      </c>
      <c r="B497" t="str">
        <v>MASS BSF</v>
      </c>
      <c r="C497" t="str">
        <v>F8R-810</v>
      </c>
      <c r="D497" t="str">
        <v>F8R-810</v>
      </c>
      <c r="E497" t="str">
        <v/>
      </c>
      <c r="F497" t="str">
        <v>867806078868827</v>
      </c>
      <c r="G497" t="str">
        <v>TBD</v>
      </c>
      <c r="H497" t="str">
        <v/>
      </c>
      <c r="I497" t="str">
        <v/>
      </c>
      <c r="J497" t="str">
        <v>24/09/2026</v>
      </c>
      <c r="K497" t="str">
        <v>13:44:24</v>
      </c>
      <c r="L497">
        <v>-12.317741</v>
      </c>
      <c r="M497">
        <v>-76.824394</v>
      </c>
      <c r="N497">
        <f>HYPERLINK("https://www.google.com/maps/search/?api=1&amp;query=-12.317741,-76.824394","Punta Hermosa, Lima")</f>
      </c>
      <c r="O497" t="str">
        <v>Aceleración brusca</v>
      </c>
      <c r="P497">
        <v>1410</v>
      </c>
      <c r="Q497" t="str">
        <v/>
      </c>
      <c r="R497">
        <v>6.2</v>
      </c>
      <c r="S497">
        <v>56.85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>
        <v>98</v>
      </c>
      <c r="AB497" t="str">
        <v>24/09/2026</v>
      </c>
      <c r="AC497" t="str">
        <v>13:44:23</v>
      </c>
      <c r="AD497">
        <f>IF("ONLINE"="NOGPS","GPS Antiguo","En línea")</f>
      </c>
      <c r="AE497">
        <f>IF(0=0,"Sin atender", IF(0=1,"Atendida","Atendida y Reportada"))</f>
      </c>
      <c r="AF497" t="str">
        <v/>
      </c>
      <c r="AG497" t="str">
        <v/>
      </c>
      <c r="AH497" t="str">
        <v/>
      </c>
      <c r="AI497" t="str">
        <v/>
      </c>
      <c r="AJ497" t="str">
        <v>24/09/2026 13:44:38</v>
      </c>
      <c r="AK497" t="str">
        <v>13:44:38</v>
      </c>
      <c r="AL497" t="str">
        <v/>
      </c>
    </row>
    <row r="498">
      <c r="A498">
        <v>497</v>
      </c>
      <c r="B498" t="str">
        <v>MASS BSF</v>
      </c>
      <c r="C498" t="str">
        <v>F8R-810</v>
      </c>
      <c r="D498" t="str">
        <v>F8R-810</v>
      </c>
      <c r="E498" t="str">
        <v/>
      </c>
      <c r="F498" t="str">
        <v>867806078868827</v>
      </c>
      <c r="G498" t="str">
        <v>TBD</v>
      </c>
      <c r="H498" t="str">
        <v/>
      </c>
      <c r="I498" t="str">
        <v/>
      </c>
      <c r="J498" t="str">
        <v>24/09/2026</v>
      </c>
      <c r="K498" t="str">
        <v>13:44:37</v>
      </c>
      <c r="L498">
        <v>-12.317485</v>
      </c>
      <c r="M498">
        <v>-76.824524</v>
      </c>
      <c r="N498">
        <f>HYPERLINK("https://www.google.com/maps/search/?api=1&amp;query=-12.317485,-76.824524","Punta Hermosa, Lima")</f>
      </c>
      <c r="O498" t="str">
        <v>Aceleración brusca</v>
      </c>
      <c r="P498">
        <v>1410</v>
      </c>
      <c r="Q498" t="str">
        <v/>
      </c>
      <c r="R498">
        <v>7.9</v>
      </c>
      <c r="S498">
        <v>56.85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>
        <v>98</v>
      </c>
      <c r="AB498" t="str">
        <v>24/09/2026</v>
      </c>
      <c r="AC498" t="str">
        <v>13:44:37</v>
      </c>
      <c r="AD498">
        <f>IF("ONLINE"="NOGPS","GPS Antiguo","En línea")</f>
      </c>
      <c r="AE498">
        <f>IF(0=0,"Sin atender", IF(0=1,"Atendida","Atendida y Reportada"))</f>
      </c>
      <c r="AF498" t="str">
        <v/>
      </c>
      <c r="AG498" t="str">
        <v/>
      </c>
      <c r="AH498" t="str">
        <v/>
      </c>
      <c r="AI498" t="str">
        <v/>
      </c>
      <c r="AJ498" t="str">
        <v>24/09/2026 13:44:50</v>
      </c>
      <c r="AK498" t="str">
        <v>13:44:50</v>
      </c>
      <c r="AL498" t="str">
        <v/>
      </c>
    </row>
    <row r="499">
      <c r="A499">
        <v>498</v>
      </c>
      <c r="B499" t="str">
        <v>MASS BSF</v>
      </c>
      <c r="C499" t="str">
        <v>F8R-810</v>
      </c>
      <c r="D499" t="str">
        <v>F8R-810</v>
      </c>
      <c r="E499" t="str">
        <v/>
      </c>
      <c r="F499" t="str">
        <v>867806078868827</v>
      </c>
      <c r="G499" t="str">
        <v>TBD</v>
      </c>
      <c r="H499" t="str">
        <v/>
      </c>
      <c r="I499" t="str">
        <v/>
      </c>
      <c r="J499" t="str">
        <v>24/09/2026</v>
      </c>
      <c r="K499" t="str">
        <v>13:44:44</v>
      </c>
      <c r="L499">
        <v>-12.317368</v>
      </c>
      <c r="M499">
        <v>-76.82459</v>
      </c>
      <c r="N499">
        <f>HYPERLINK("https://www.google.com/maps/search/?api=1&amp;query=-12.317368,-76.82459","Punta Hermosa, Lima")</f>
      </c>
      <c r="O499" t="str">
        <v>Aceleración brusca</v>
      </c>
      <c r="P499">
        <v>1410</v>
      </c>
      <c r="Q499" t="str">
        <v/>
      </c>
      <c r="R499">
        <v>8.3</v>
      </c>
      <c r="S499">
        <v>56.85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>
        <v>98</v>
      </c>
      <c r="AB499" t="str">
        <v>24/09/2026</v>
      </c>
      <c r="AC499" t="str">
        <v>13:44:43</v>
      </c>
      <c r="AD499">
        <f>IF("ONLINE"="NOGPS","GPS Antiguo","En línea")</f>
      </c>
      <c r="AE499">
        <f>IF(0=0,"Sin atender", IF(0=1,"Atendida","Atendida y Reportada"))</f>
      </c>
      <c r="AF499" t="str">
        <v/>
      </c>
      <c r="AG499" t="str">
        <v/>
      </c>
      <c r="AH499" t="str">
        <v/>
      </c>
      <c r="AI499" t="str">
        <v/>
      </c>
      <c r="AJ499" t="str">
        <v>24/09/2026 13:44:56</v>
      </c>
      <c r="AK499" t="str">
        <v>13:44:56</v>
      </c>
      <c r="AL499" t="str">
        <v/>
      </c>
    </row>
    <row r="500">
      <c r="A500">
        <v>499</v>
      </c>
      <c r="B500" t="str">
        <v>MASS BSF</v>
      </c>
      <c r="C500" t="str">
        <v>F8R-810</v>
      </c>
      <c r="D500" t="str">
        <v>F8R-810</v>
      </c>
      <c r="E500" t="str">
        <v/>
      </c>
      <c r="F500" t="str">
        <v>867806078868827</v>
      </c>
      <c r="G500" t="str">
        <v>TBD</v>
      </c>
      <c r="H500" t="str">
        <v/>
      </c>
      <c r="I500" t="str">
        <v/>
      </c>
      <c r="J500" t="str">
        <v>24/09/2026</v>
      </c>
      <c r="K500" t="str">
        <v>13:45:43</v>
      </c>
      <c r="L500">
        <v>-12.316123</v>
      </c>
      <c r="M500">
        <v>-76.82537</v>
      </c>
      <c r="N500">
        <f>HYPERLINK("https://www.google.com/maps/search/?api=1&amp;query=-12.316123,-76.82537","Punta Hermosa, Lima")</f>
      </c>
      <c r="O500" t="str">
        <v>Aceleración brusca</v>
      </c>
      <c r="P500">
        <v>1410.2</v>
      </c>
      <c r="Q500" t="str">
        <v/>
      </c>
      <c r="R500">
        <v>10.7</v>
      </c>
      <c r="S500">
        <v>56.85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>
        <v>85</v>
      </c>
      <c r="AB500" t="str">
        <v>24/09/2026</v>
      </c>
      <c r="AC500" t="str">
        <v>13:45:43</v>
      </c>
      <c r="AD500">
        <f>IF("ONLINE"="NOGPS","GPS Antiguo","En línea")</f>
      </c>
      <c r="AE500">
        <f>IF(0=0,"Sin atender", IF(0=1,"Atendida","Atendida y Reportada"))</f>
      </c>
      <c r="AF500" t="str">
        <v/>
      </c>
      <c r="AG500" t="str">
        <v/>
      </c>
      <c r="AH500" t="str">
        <v/>
      </c>
      <c r="AI500" t="str">
        <v/>
      </c>
      <c r="AJ500" t="str">
        <v>24/09/2026 13:45:59</v>
      </c>
      <c r="AK500" t="str">
        <v>13:45:59</v>
      </c>
      <c r="AL500" t="str">
        <v/>
      </c>
    </row>
    <row r="501">
      <c r="A501">
        <v>500</v>
      </c>
      <c r="B501" t="str">
        <v>MASS BSF</v>
      </c>
      <c r="C501" t="str">
        <v>F8R-810</v>
      </c>
      <c r="D501" t="str">
        <v>F8R-810</v>
      </c>
      <c r="E501" t="str">
        <v/>
      </c>
      <c r="F501" t="str">
        <v>867806078868827</v>
      </c>
      <c r="G501" t="str">
        <v>TBD</v>
      </c>
      <c r="H501" t="str">
        <v/>
      </c>
      <c r="I501" t="str">
        <v/>
      </c>
      <c r="J501" t="str">
        <v>24/09/2026</v>
      </c>
      <c r="K501" t="str">
        <v>13:45:57</v>
      </c>
      <c r="L501">
        <v>-12.315805</v>
      </c>
      <c r="M501">
        <v>-76.82557</v>
      </c>
      <c r="N501">
        <f>HYPERLINK("https://www.google.com/maps/search/?api=1&amp;query=-12.315805,-76.82557","Punta Hermosa, Lima")</f>
      </c>
      <c r="O501" t="str">
        <v>Acelerado y giro brusco</v>
      </c>
      <c r="P501">
        <v>1410.2</v>
      </c>
      <c r="Q501" t="str">
        <v/>
      </c>
      <c r="R501">
        <v>10.5</v>
      </c>
      <c r="S501">
        <v>56.85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>
        <v>85</v>
      </c>
      <c r="AB501" t="str">
        <v>24/09/2026</v>
      </c>
      <c r="AC501" t="str">
        <v>13:45:57</v>
      </c>
      <c r="AD501">
        <f>IF("ONLINE"="NOGPS","GPS Antiguo","En línea")</f>
      </c>
      <c r="AE501">
        <f>IF(0=0,"Sin atender", IF(0=1,"Atendida","Atendida y Reportada"))</f>
      </c>
      <c r="AF501" t="str">
        <v/>
      </c>
      <c r="AG501" t="str">
        <v/>
      </c>
      <c r="AH501" t="str">
        <v/>
      </c>
      <c r="AI501" t="str">
        <v/>
      </c>
      <c r="AJ501" t="str">
        <v>24/09/2026 13:46:16</v>
      </c>
      <c r="AK501" t="str">
        <v>13:46:16</v>
      </c>
      <c r="AL501" t="str">
        <v/>
      </c>
    </row>
    <row r="502">
      <c r="A502">
        <v>501</v>
      </c>
      <c r="B502" t="str">
        <v>MASS BSF</v>
      </c>
      <c r="C502" t="str">
        <v>F8R-810</v>
      </c>
      <c r="D502" t="str">
        <v>F8R-810</v>
      </c>
      <c r="E502" t="str">
        <v/>
      </c>
      <c r="F502" t="str">
        <v>867806078868827</v>
      </c>
      <c r="G502" t="str">
        <v>TBD</v>
      </c>
      <c r="H502" t="str">
        <v/>
      </c>
      <c r="I502" t="str">
        <v/>
      </c>
      <c r="J502" t="str">
        <v>24/09/2026</v>
      </c>
      <c r="K502" t="str">
        <v>13:46:04</v>
      </c>
      <c r="L502">
        <v>-12.315647</v>
      </c>
      <c r="M502">
        <v>-76.825676</v>
      </c>
      <c r="N502">
        <f>HYPERLINK("https://www.google.com/maps/search/?api=1&amp;query=-12.315647,-76.825676","Punta Hermosa, Lima")</f>
      </c>
      <c r="O502" t="str">
        <v>Aceleración brusca</v>
      </c>
      <c r="P502">
        <v>1410.2</v>
      </c>
      <c r="Q502" t="str">
        <v/>
      </c>
      <c r="R502">
        <v>9.6</v>
      </c>
      <c r="S502">
        <v>56.85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>
        <v>85</v>
      </c>
      <c r="AB502" t="str">
        <v>24/09/2026</v>
      </c>
      <c r="AC502" t="str">
        <v>13:46:04</v>
      </c>
      <c r="AD502">
        <f>IF("ONLINE"="NOGPS","GPS Antiguo","En línea")</f>
      </c>
      <c r="AE502">
        <f>IF(0=0,"Sin atender", IF(0=1,"Atendida","Atendida y Reportada"))</f>
      </c>
      <c r="AF502" t="str">
        <v/>
      </c>
      <c r="AG502" t="str">
        <v/>
      </c>
      <c r="AH502" t="str">
        <v/>
      </c>
      <c r="AI502" t="str">
        <v/>
      </c>
      <c r="AJ502" t="str">
        <v>24/09/2026 13:46:14</v>
      </c>
      <c r="AK502" t="str">
        <v>13:46:14</v>
      </c>
      <c r="AL502" t="str">
        <v/>
      </c>
    </row>
    <row r="503">
      <c r="A503">
        <v>502</v>
      </c>
      <c r="B503" t="str">
        <v>MASS BSF</v>
      </c>
      <c r="C503" t="str">
        <v>F8R-810</v>
      </c>
      <c r="D503" t="str">
        <v>F8R-810</v>
      </c>
      <c r="E503" t="str">
        <v/>
      </c>
      <c r="F503" t="str">
        <v>867806078868827</v>
      </c>
      <c r="G503" t="str">
        <v>TBD</v>
      </c>
      <c r="H503" t="str">
        <v/>
      </c>
      <c r="I503" t="str">
        <v/>
      </c>
      <c r="J503" t="str">
        <v>24/09/2026</v>
      </c>
      <c r="K503" t="str">
        <v>13:47:10</v>
      </c>
      <c r="L503">
        <v>-12.315837</v>
      </c>
      <c r="M503">
        <v>-76.82687</v>
      </c>
      <c r="N503">
        <f>HYPERLINK("https://www.google.com/maps/search/?api=1&amp;query=-12.315837,-76.82687","Punta Hermosa, Lima")</f>
      </c>
      <c r="O503" t="str">
        <v>Acelerado y giro brusco</v>
      </c>
      <c r="P503">
        <v>1410.4</v>
      </c>
      <c r="Q503" t="str">
        <v/>
      </c>
      <c r="R503">
        <v>10.3</v>
      </c>
      <c r="S503">
        <v>56.85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>
        <v>87</v>
      </c>
      <c r="AB503" t="str">
        <v>24/09/2026</v>
      </c>
      <c r="AC503" t="str">
        <v>13:47:10</v>
      </c>
      <c r="AD503">
        <f>IF("ONLINE"="NOGPS","GPS Antiguo","En línea")</f>
      </c>
      <c r="AE503">
        <f>IF(0=0,"Sin atender", IF(0=1,"Atendida","Atendida y Reportada"))</f>
      </c>
      <c r="AF503" t="str">
        <v/>
      </c>
      <c r="AG503" t="str">
        <v/>
      </c>
      <c r="AH503" t="str">
        <v/>
      </c>
      <c r="AI503" t="str">
        <v/>
      </c>
      <c r="AJ503" t="str">
        <v>24/09/2026 13:47:28</v>
      </c>
      <c r="AK503" t="str">
        <v>13:47:28</v>
      </c>
      <c r="AL503" t="str">
        <v/>
      </c>
    </row>
    <row r="504">
      <c r="A504">
        <v>503</v>
      </c>
      <c r="B504" t="str">
        <v>MASS BSF</v>
      </c>
      <c r="C504" t="str">
        <v>F8R-810</v>
      </c>
      <c r="D504" t="str">
        <v>F8R-810</v>
      </c>
      <c r="E504" t="str">
        <v/>
      </c>
      <c r="F504" t="str">
        <v>867806078868827</v>
      </c>
      <c r="G504" t="str">
        <v>TBD</v>
      </c>
      <c r="H504" t="str">
        <v/>
      </c>
      <c r="I504" t="str">
        <v/>
      </c>
      <c r="J504" t="str">
        <v>24/09/2026</v>
      </c>
      <c r="K504" t="str">
        <v>13:47:27</v>
      </c>
      <c r="L504">
        <v>-12.316063</v>
      </c>
      <c r="M504">
        <v>-76.827286</v>
      </c>
      <c r="N504">
        <f>HYPERLINK("https://www.google.com/maps/search/?api=1&amp;query=-12.316063,-76.827286","Punta Hermosa, Lima")</f>
      </c>
      <c r="O504" t="str">
        <v>Acelerado y giro brusco</v>
      </c>
      <c r="P504">
        <v>1410.4</v>
      </c>
      <c r="Q504" t="str">
        <v/>
      </c>
      <c r="R504">
        <v>11.2</v>
      </c>
      <c r="S504">
        <v>56.85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>
        <v>87</v>
      </c>
      <c r="AB504" t="str">
        <v>24/09/2026</v>
      </c>
      <c r="AC504" t="str">
        <v>13:47:27</v>
      </c>
      <c r="AD504">
        <f>IF("ONLINE"="NOGPS","GPS Antiguo","En línea")</f>
      </c>
      <c r="AE504">
        <f>IF(0=0,"Sin atender", IF(0=1,"Atendida","Atendida y Reportada"))</f>
      </c>
      <c r="AF504" t="str">
        <v/>
      </c>
      <c r="AG504" t="str">
        <v/>
      </c>
      <c r="AH504" t="str">
        <v/>
      </c>
      <c r="AI504" t="str">
        <v/>
      </c>
      <c r="AJ504" t="str">
        <v>24/09/2026 13:47:37</v>
      </c>
      <c r="AK504" t="str">
        <v>13:47:37</v>
      </c>
      <c r="AL504" t="str">
        <v/>
      </c>
    </row>
    <row r="505">
      <c r="A505">
        <v>504</v>
      </c>
      <c r="B505" t="str">
        <v>MASS BSF</v>
      </c>
      <c r="C505" t="str">
        <v>F8R-810</v>
      </c>
      <c r="D505" t="str">
        <v>F8R-810</v>
      </c>
      <c r="E505" t="str">
        <v/>
      </c>
      <c r="F505" t="str">
        <v>867806078868827</v>
      </c>
      <c r="G505" t="str">
        <v>TBD</v>
      </c>
      <c r="H505" t="str">
        <v/>
      </c>
      <c r="I505" t="str">
        <v/>
      </c>
      <c r="J505" t="str">
        <v>24/09/2026</v>
      </c>
      <c r="K505" t="str">
        <v>13:47:36</v>
      </c>
      <c r="L505">
        <v>-12.31618</v>
      </c>
      <c r="M505">
        <v>-76.82747</v>
      </c>
      <c r="N505">
        <f>HYPERLINK("https://www.google.com/maps/search/?api=1&amp;query=-12.31618,-76.82747","Punta Hermosa, Lima")</f>
      </c>
      <c r="O505" t="str">
        <v>Acelerado y giro brusco</v>
      </c>
      <c r="P505">
        <v>1410.5</v>
      </c>
      <c r="Q505" t="str">
        <v/>
      </c>
      <c r="R505">
        <v>10.1</v>
      </c>
      <c r="S505">
        <v>56.85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>
        <v>87</v>
      </c>
      <c r="AB505" t="str">
        <v>24/09/2026</v>
      </c>
      <c r="AC505" t="str">
        <v>13:47:35</v>
      </c>
      <c r="AD505">
        <f>IF("ONLINE"="NOGPS","GPS Antiguo","En línea")</f>
      </c>
      <c r="AE505">
        <f>IF(0=0,"Sin atender", IF(0=1,"Atendida","Atendida y Reportada"))</f>
      </c>
      <c r="AF505" t="str">
        <v/>
      </c>
      <c r="AG505" t="str">
        <v/>
      </c>
      <c r="AH505" t="str">
        <v/>
      </c>
      <c r="AI505" t="str">
        <v/>
      </c>
      <c r="AJ505" t="str">
        <v>24/09/2026 13:47:56</v>
      </c>
      <c r="AK505" t="str">
        <v>13:47:56</v>
      </c>
      <c r="AL505" t="str">
        <v/>
      </c>
    </row>
    <row r="506">
      <c r="A506">
        <v>505</v>
      </c>
      <c r="B506" t="str">
        <v>MASS BSF</v>
      </c>
      <c r="C506" t="str">
        <v>F8R-810</v>
      </c>
      <c r="D506" t="str">
        <v>F8R-810</v>
      </c>
      <c r="E506" t="str">
        <v/>
      </c>
      <c r="F506" t="str">
        <v>867806078868827</v>
      </c>
      <c r="G506" t="str">
        <v>TBD</v>
      </c>
      <c r="H506" t="str">
        <v/>
      </c>
      <c r="I506" t="str">
        <v/>
      </c>
      <c r="J506" t="str">
        <v>24/09/2026</v>
      </c>
      <c r="K506" t="str">
        <v>13:48:03</v>
      </c>
      <c r="L506">
        <v>-12.316605</v>
      </c>
      <c r="M506">
        <v>-76.82815</v>
      </c>
      <c r="N506">
        <f>HYPERLINK("https://www.google.com/maps/search/?api=1&amp;query=-12.316605,-76.82815","Punta Hermosa, Lima")</f>
      </c>
      <c r="O506" t="str">
        <v>Aceleración brusca</v>
      </c>
      <c r="P506">
        <v>1410.6</v>
      </c>
      <c r="Q506" t="str">
        <v/>
      </c>
      <c r="R506">
        <v>10.5</v>
      </c>
      <c r="S506">
        <v>56.85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>
        <v>87</v>
      </c>
      <c r="AB506" t="str">
        <v>24/09/2026</v>
      </c>
      <c r="AC506" t="str">
        <v>13:48:03</v>
      </c>
      <c r="AD506">
        <f>IF("ONLINE"="NOGPS","GPS Antiguo","En línea")</f>
      </c>
      <c r="AE506">
        <f>IF(0=0,"Sin atender", IF(0=1,"Atendida","Atendida y Reportada"))</f>
      </c>
      <c r="AF506" t="str">
        <v/>
      </c>
      <c r="AG506" t="str">
        <v/>
      </c>
      <c r="AH506" t="str">
        <v/>
      </c>
      <c r="AI506" t="str">
        <v/>
      </c>
      <c r="AJ506" t="str">
        <v>24/09/2026 13:48:19</v>
      </c>
      <c r="AK506" t="str">
        <v>13:48:19</v>
      </c>
      <c r="AL506" t="str">
        <v/>
      </c>
    </row>
    <row r="507">
      <c r="A507">
        <v>506</v>
      </c>
      <c r="B507" t="str">
        <v>MASS BSF</v>
      </c>
      <c r="C507" t="str">
        <v>F8R-810</v>
      </c>
      <c r="D507" t="str">
        <v>F8R-810</v>
      </c>
      <c r="E507" t="str">
        <v/>
      </c>
      <c r="F507" t="str">
        <v>867806078868827</v>
      </c>
      <c r="G507" t="str">
        <v>TBD</v>
      </c>
      <c r="H507" t="str">
        <v/>
      </c>
      <c r="I507" t="str">
        <v/>
      </c>
      <c r="J507" t="str">
        <v>24/09/2026</v>
      </c>
      <c r="K507" t="str">
        <v>13:48:15</v>
      </c>
      <c r="L507">
        <v>-12.316782</v>
      </c>
      <c r="M507">
        <v>-76.82846</v>
      </c>
      <c r="N507">
        <f>HYPERLINK("https://www.google.com/maps/search/?api=1&amp;query=-12.316782,-76.82846","Punta Hermosa, Lima")</f>
      </c>
      <c r="O507" t="str">
        <v>Acelerado y giro brusco</v>
      </c>
      <c r="P507">
        <v>1410.6</v>
      </c>
      <c r="Q507" t="str">
        <v/>
      </c>
      <c r="R507">
        <v>12</v>
      </c>
      <c r="S507">
        <v>56.85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>
        <v>87</v>
      </c>
      <c r="AB507" t="str">
        <v>24/09/2026</v>
      </c>
      <c r="AC507" t="str">
        <v>13:48:15</v>
      </c>
      <c r="AD507">
        <f>IF("ONLINE"="NOGPS","GPS Antiguo","En línea")</f>
      </c>
      <c r="AE507">
        <f>IF(0=0,"Sin atender", IF(0=1,"Atendida","Atendida y Reportada"))</f>
      </c>
      <c r="AF507" t="str">
        <v/>
      </c>
      <c r="AG507" t="str">
        <v/>
      </c>
      <c r="AH507" t="str">
        <v/>
      </c>
      <c r="AI507" t="str">
        <v/>
      </c>
      <c r="AJ507" t="str">
        <v>24/09/2026 13:48:28</v>
      </c>
      <c r="AK507" t="str">
        <v>13:48:28</v>
      </c>
      <c r="AL507" t="str">
        <v/>
      </c>
    </row>
    <row r="508">
      <c r="A508">
        <v>507</v>
      </c>
      <c r="B508" t="str">
        <v>MASS BSF</v>
      </c>
      <c r="C508" t="str">
        <v>F8R-810</v>
      </c>
      <c r="D508" t="str">
        <v>F8R-810</v>
      </c>
      <c r="E508" t="str">
        <v/>
      </c>
      <c r="F508" t="str">
        <v>867806078868827</v>
      </c>
      <c r="G508" t="str">
        <v>TBD</v>
      </c>
      <c r="H508" t="str">
        <v/>
      </c>
      <c r="I508" t="str">
        <v/>
      </c>
      <c r="J508" t="str">
        <v>24/09/2026</v>
      </c>
      <c r="K508" t="str">
        <v>13:48:48</v>
      </c>
      <c r="L508">
        <v>-12.317163</v>
      </c>
      <c r="M508">
        <v>-76.82907</v>
      </c>
      <c r="N508">
        <f>HYPERLINK("https://www.google.com/maps/search/?api=1&amp;query=-12.317163,-76.82907","Punta Hermosa, Lima")</f>
      </c>
      <c r="O508" t="str">
        <v>Acelerado y giro brusco</v>
      </c>
      <c r="P508">
        <v>1410.7</v>
      </c>
      <c r="Q508" t="str">
        <v/>
      </c>
      <c r="R508">
        <v>11.2</v>
      </c>
      <c r="S508">
        <v>56.85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>
        <v>87</v>
      </c>
      <c r="AB508" t="str">
        <v>24/09/2026</v>
      </c>
      <c r="AC508" t="str">
        <v>13:48:47</v>
      </c>
      <c r="AD508">
        <f>IF("ONLINE"="NOGPS","GPS Antiguo","En línea")</f>
      </c>
      <c r="AE508">
        <f>IF(0=0,"Sin atender", IF(0=1,"Atendida","Atendida y Reportada"))</f>
      </c>
      <c r="AF508" t="str">
        <v/>
      </c>
      <c r="AG508" t="str">
        <v/>
      </c>
      <c r="AH508" t="str">
        <v/>
      </c>
      <c r="AI508" t="str">
        <v/>
      </c>
      <c r="AJ508" t="str">
        <v>24/09/2026 13:49:07</v>
      </c>
      <c r="AK508" t="str">
        <v>13:49:07</v>
      </c>
      <c r="AL508" t="str">
        <v/>
      </c>
    </row>
    <row r="509">
      <c r="A509">
        <v>508</v>
      </c>
      <c r="B509" t="str">
        <v>MASS BSF</v>
      </c>
      <c r="C509" t="str">
        <v>F8R-810</v>
      </c>
      <c r="D509" t="str">
        <v>F8R-810</v>
      </c>
      <c r="E509" t="str">
        <v/>
      </c>
      <c r="F509" t="str">
        <v>867806078868827</v>
      </c>
      <c r="G509" t="str">
        <v>TBD</v>
      </c>
      <c r="H509" t="str">
        <v/>
      </c>
      <c r="I509" t="str">
        <v/>
      </c>
      <c r="J509" t="str">
        <v>24/09/2026</v>
      </c>
      <c r="K509" t="str">
        <v>13:49:08</v>
      </c>
      <c r="L509">
        <v>-12.317456</v>
      </c>
      <c r="M509">
        <v>-76.82951</v>
      </c>
      <c r="N509">
        <f>HYPERLINK("https://www.google.com/maps/search/?api=1&amp;query=-12.317456,-76.82951","Punta Hermosa, Lima")</f>
      </c>
      <c r="O509" t="str">
        <v>Acelerado y giro brusco</v>
      </c>
      <c r="P509">
        <v>1410.7</v>
      </c>
      <c r="Q509" t="str">
        <v/>
      </c>
      <c r="R509">
        <v>3.7</v>
      </c>
      <c r="S509">
        <v>56.85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>
        <v>87</v>
      </c>
      <c r="AB509" t="str">
        <v>24/09/2026</v>
      </c>
      <c r="AC509" t="str">
        <v>13:49:08</v>
      </c>
      <c r="AD509">
        <f>IF("ONLINE"="NOGPS","GPS Antiguo","En línea")</f>
      </c>
      <c r="AE509">
        <f>IF(0=0,"Sin atender", IF(0=1,"Atendida","Atendida y Reportada"))</f>
      </c>
      <c r="AF509" t="str">
        <v/>
      </c>
      <c r="AG509" t="str">
        <v/>
      </c>
      <c r="AH509" t="str">
        <v/>
      </c>
      <c r="AI509" t="str">
        <v/>
      </c>
      <c r="AJ509" t="str">
        <v>24/09/2026 13:49:15</v>
      </c>
      <c r="AK509" t="str">
        <v>13:49:15</v>
      </c>
      <c r="AL509" t="str">
        <v/>
      </c>
    </row>
    <row r="510">
      <c r="A510">
        <v>509</v>
      </c>
      <c r="B510" t="str">
        <v>MASS BSF</v>
      </c>
      <c r="C510" t="str">
        <v>F8R-810</v>
      </c>
      <c r="D510" t="str">
        <v>F8R-810</v>
      </c>
      <c r="E510" t="str">
        <v/>
      </c>
      <c r="F510" t="str">
        <v>867806078868827</v>
      </c>
      <c r="G510" t="str">
        <v>TBD</v>
      </c>
      <c r="H510" t="str">
        <v/>
      </c>
      <c r="I510" t="str">
        <v/>
      </c>
      <c r="J510" t="str">
        <v>24/09/2026</v>
      </c>
      <c r="K510" t="str">
        <v>13:49:44</v>
      </c>
      <c r="L510">
        <v>-12.31759</v>
      </c>
      <c r="M510">
        <v>-76.82989</v>
      </c>
      <c r="N510">
        <f>HYPERLINK("https://www.google.com/maps/search/?api=1&amp;query=-12.31759,-76.82989","Punta Hermosa, Lima")</f>
      </c>
      <c r="O510" t="str">
        <v>Aceleración brusca</v>
      </c>
      <c r="P510">
        <v>1410.8</v>
      </c>
      <c r="Q510" t="str">
        <v/>
      </c>
      <c r="R510">
        <v>13.1</v>
      </c>
      <c r="S510">
        <v>56.85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>
        <v>87</v>
      </c>
      <c r="AB510" t="str">
        <v>24/09/2026</v>
      </c>
      <c r="AC510" t="str">
        <v>13:49:43</v>
      </c>
      <c r="AD510">
        <f>IF("ONLINE"="NOGPS","GPS Antiguo","En línea")</f>
      </c>
      <c r="AE510">
        <f>IF(0=0,"Sin atender", IF(0=1,"Atendida","Atendida y Reportada"))</f>
      </c>
      <c r="AF510" t="str">
        <v/>
      </c>
      <c r="AG510" t="str">
        <v/>
      </c>
      <c r="AH510" t="str">
        <v/>
      </c>
      <c r="AI510" t="str">
        <v/>
      </c>
      <c r="AJ510" t="str">
        <v>24/09/2026 13:49:54</v>
      </c>
      <c r="AK510" t="str">
        <v>13:49:54</v>
      </c>
      <c r="AL510" t="str">
        <v/>
      </c>
    </row>
    <row r="511">
      <c r="A511">
        <v>510</v>
      </c>
      <c r="B511" t="str">
        <v>MASS BSF</v>
      </c>
      <c r="C511" t="str">
        <v>F8R-810</v>
      </c>
      <c r="D511" t="str">
        <v>F8R-810</v>
      </c>
      <c r="E511" t="str">
        <v/>
      </c>
      <c r="F511" t="str">
        <v>867806078868827</v>
      </c>
      <c r="G511" t="str">
        <v>TBD</v>
      </c>
      <c r="H511" t="str">
        <v/>
      </c>
      <c r="I511" t="str">
        <v/>
      </c>
      <c r="J511" t="str">
        <v>24/09/2026</v>
      </c>
      <c r="K511" t="str">
        <v>13:49:48</v>
      </c>
      <c r="L511">
        <v>-12.317562</v>
      </c>
      <c r="M511">
        <v>-76.83004</v>
      </c>
      <c r="N511">
        <f>HYPERLINK("https://www.google.com/maps/search/?api=1&amp;query=-12.317562,-76.83004","Punta Hermosa, Lima")</f>
      </c>
      <c r="O511" t="str">
        <v>Acelerado y giro brusco</v>
      </c>
      <c r="P511">
        <v>1410.8</v>
      </c>
      <c r="Q511" t="str">
        <v/>
      </c>
      <c r="R511">
        <v>14.6</v>
      </c>
      <c r="S511">
        <v>56.85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>
        <v>91</v>
      </c>
      <c r="AB511" t="str">
        <v>24/09/2026</v>
      </c>
      <c r="AC511" t="str">
        <v>13:49:47</v>
      </c>
      <c r="AD511">
        <f>IF("ONLINE"="NOGPS","GPS Antiguo","En línea")</f>
      </c>
      <c r="AE511">
        <f>IF(0=0,"Sin atender", IF(0=1,"Atendida","Atendida y Reportada"))</f>
      </c>
      <c r="AF511" t="str">
        <v/>
      </c>
      <c r="AG511" t="str">
        <v/>
      </c>
      <c r="AH511" t="str">
        <v/>
      </c>
      <c r="AI511" t="str">
        <v/>
      </c>
      <c r="AJ511" t="str">
        <v>24/09/2026 13:50:13</v>
      </c>
      <c r="AK511" t="str">
        <v>13:50:13</v>
      </c>
      <c r="AL511" t="str">
        <v/>
      </c>
    </row>
    <row r="512">
      <c r="A512">
        <v>511</v>
      </c>
      <c r="B512" t="str">
        <v>MASS BSF</v>
      </c>
      <c r="C512" t="str">
        <v>F8R-810</v>
      </c>
      <c r="D512" t="str">
        <v>F8R-810</v>
      </c>
      <c r="E512" t="str">
        <v/>
      </c>
      <c r="F512" t="str">
        <v>867806078868827</v>
      </c>
      <c r="G512" t="str">
        <v>TBD</v>
      </c>
      <c r="H512" t="str">
        <v/>
      </c>
      <c r="I512" t="str">
        <v/>
      </c>
      <c r="J512" t="str">
        <v>24/09/2026</v>
      </c>
      <c r="K512" t="str">
        <v>13:49:53</v>
      </c>
      <c r="L512">
        <v>-12.317475</v>
      </c>
      <c r="M512">
        <v>-76.83026</v>
      </c>
      <c r="N512">
        <f>HYPERLINK("https://www.google.com/maps/search/?api=1&amp;query=-12.317475,-76.83026","Carretera Panamericana Sur, Punta Hermosa, Lima")</f>
      </c>
      <c r="O512" t="str">
        <v>Acelerado y giro brusco</v>
      </c>
      <c r="P512">
        <v>1410.8</v>
      </c>
      <c r="Q512" t="str">
        <v/>
      </c>
      <c r="R512">
        <v>22.4</v>
      </c>
      <c r="S512">
        <v>56.85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>
        <v>91</v>
      </c>
      <c r="AB512" t="str">
        <v>24/09/2026</v>
      </c>
      <c r="AC512" t="str">
        <v>13:49:52</v>
      </c>
      <c r="AD512">
        <f>IF("ONLINE"="NOGPS","GPS Antiguo","En línea")</f>
      </c>
      <c r="AE512">
        <f>IF(0=0,"Sin atender", IF(0=1,"Atendida","Atendida y Reportada"))</f>
      </c>
      <c r="AF512" t="str">
        <v/>
      </c>
      <c r="AG512" t="str">
        <v/>
      </c>
      <c r="AH512" t="str">
        <v/>
      </c>
      <c r="AI512" t="str">
        <v/>
      </c>
      <c r="AJ512" t="str">
        <v>24/09/2026 13:50:24</v>
      </c>
      <c r="AK512" t="str">
        <v>13:50:24</v>
      </c>
      <c r="AL512" t="str">
        <v/>
      </c>
    </row>
    <row r="513">
      <c r="A513">
        <v>512</v>
      </c>
      <c r="B513" t="str">
        <v>MASS BSF</v>
      </c>
      <c r="C513" t="str">
        <v>F8R-810</v>
      </c>
      <c r="D513" t="str">
        <v>F8R-810</v>
      </c>
      <c r="E513" t="str">
        <v/>
      </c>
      <c r="F513" t="str">
        <v>867806078868827</v>
      </c>
      <c r="G513" t="str">
        <v>TBD</v>
      </c>
      <c r="H513" t="str">
        <v/>
      </c>
      <c r="I513" t="str">
        <v/>
      </c>
      <c r="J513" t="str">
        <v>24/09/2026</v>
      </c>
      <c r="K513" t="str">
        <v>13:49:58</v>
      </c>
      <c r="L513">
        <v>-12.317265</v>
      </c>
      <c r="M513">
        <v>-76.83048</v>
      </c>
      <c r="N513">
        <f>HYPERLINK("https://www.google.com/maps/search/?api=1&amp;query=-12.317265,-76.83048","Carretera Panamericana Sur, Punta Hermosa, Lima")</f>
      </c>
      <c r="O513" t="str">
        <v>Acelerado y giro brusco</v>
      </c>
      <c r="P513">
        <v>1410.8</v>
      </c>
      <c r="Q513" t="str">
        <v/>
      </c>
      <c r="R513">
        <v>26.4</v>
      </c>
      <c r="S513">
        <v>56.85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>
        <v>91</v>
      </c>
      <c r="AB513" t="str">
        <v>24/09/2026</v>
      </c>
      <c r="AC513" t="str">
        <v>13:49:57</v>
      </c>
      <c r="AD513">
        <f>IF("ONLINE"="NOGPS","GPS Antiguo","En línea")</f>
      </c>
      <c r="AE513">
        <f>IF(0=0,"Sin atender", IF(0=1,"Atendida","Atendida y Reportada"))</f>
      </c>
      <c r="AF513" t="str">
        <v/>
      </c>
      <c r="AG513" t="str">
        <v/>
      </c>
      <c r="AH513" t="str">
        <v/>
      </c>
      <c r="AI513" t="str">
        <v/>
      </c>
      <c r="AJ513" t="str">
        <v>24/09/2026 13:50:24</v>
      </c>
      <c r="AK513" t="str">
        <v>13:50:24</v>
      </c>
      <c r="AL513" t="str">
        <v/>
      </c>
    </row>
    <row r="514">
      <c r="A514">
        <v>513</v>
      </c>
      <c r="B514" t="str">
        <v>MASS BSF</v>
      </c>
      <c r="C514" t="str">
        <v>F8R-810</v>
      </c>
      <c r="D514" t="str">
        <v>F8R-810</v>
      </c>
      <c r="E514" t="str">
        <v/>
      </c>
      <c r="F514" t="str">
        <v>867806078868827</v>
      </c>
      <c r="G514" t="str">
        <v>TBD</v>
      </c>
      <c r="H514" t="str">
        <v/>
      </c>
      <c r="I514" t="str">
        <v/>
      </c>
      <c r="J514" t="str">
        <v>24/09/2026</v>
      </c>
      <c r="K514" t="str">
        <v>13:50:02</v>
      </c>
      <c r="L514">
        <v>-12.317052</v>
      </c>
      <c r="M514">
        <v>-76.83068</v>
      </c>
      <c r="N514">
        <f>HYPERLINK("https://www.google.com/maps/search/?api=1&amp;query=-12.317052,-76.83068","Carretera Panamericana Sur, Punta Hermosa, Lima")</f>
      </c>
      <c r="O514" t="str">
        <v>Acelerado y giro brusco</v>
      </c>
      <c r="P514">
        <v>1410.9</v>
      </c>
      <c r="Q514" t="str">
        <v/>
      </c>
      <c r="R514">
        <v>29.4</v>
      </c>
      <c r="S514">
        <v>56.85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>
        <v>91</v>
      </c>
      <c r="AB514" t="str">
        <v>24/09/2026</v>
      </c>
      <c r="AC514" t="str">
        <v>13:50:01</v>
      </c>
      <c r="AD514">
        <f>IF("ONLINE"="NOGPS","GPS Antiguo","En línea")</f>
      </c>
      <c r="AE514">
        <f>IF(0=0,"Sin atender", IF(0=1,"Atendida","Atendida y Reportada"))</f>
      </c>
      <c r="AF514" t="str">
        <v/>
      </c>
      <c r="AG514" t="str">
        <v/>
      </c>
      <c r="AH514" t="str">
        <v/>
      </c>
      <c r="AI514" t="str">
        <v/>
      </c>
      <c r="AJ514" t="str">
        <v>24/09/2026 13:50:12</v>
      </c>
      <c r="AK514" t="str">
        <v>13:50:12</v>
      </c>
      <c r="AL514" t="str">
        <v/>
      </c>
    </row>
    <row r="515">
      <c r="A515">
        <v>514</v>
      </c>
      <c r="B515" t="str">
        <v>MASS BSF</v>
      </c>
      <c r="C515" t="str">
        <v>F8R-810</v>
      </c>
      <c r="D515" t="str">
        <v>F8R-810</v>
      </c>
      <c r="E515" t="str">
        <v/>
      </c>
      <c r="F515" t="str">
        <v>867806078868827</v>
      </c>
      <c r="G515" t="str">
        <v>TBD</v>
      </c>
      <c r="H515" t="str">
        <v/>
      </c>
      <c r="I515" t="str">
        <v/>
      </c>
      <c r="J515" t="str">
        <v>24/09/2026</v>
      </c>
      <c r="K515" t="str">
        <v>13:50:11</v>
      </c>
      <c r="L515">
        <v>-12.316397</v>
      </c>
      <c r="M515">
        <v>-76.83121</v>
      </c>
      <c r="N515">
        <f>HYPERLINK("https://www.google.com/maps/search/?api=1&amp;query=-12.316397,-76.83121","Carretera Panamericana Sur, Punta Hermosa, Lima")</f>
      </c>
      <c r="O515" t="str">
        <v>Acelerado y giro brusco</v>
      </c>
      <c r="P515">
        <v>1411</v>
      </c>
      <c r="Q515" t="str">
        <v/>
      </c>
      <c r="R515">
        <v>42.2</v>
      </c>
      <c r="S515">
        <v>56.85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>
        <v>91</v>
      </c>
      <c r="AB515" t="str">
        <v>24/09/2026</v>
      </c>
      <c r="AC515" t="str">
        <v>13:50:10</v>
      </c>
      <c r="AD515">
        <f>IF("ONLINE"="NOGPS","GPS Antiguo","En línea")</f>
      </c>
      <c r="AE515">
        <f>IF(0=0,"Sin atender", IF(0=1,"Atendida","Atendida y Reportada"))</f>
      </c>
      <c r="AF515" t="str">
        <v/>
      </c>
      <c r="AG515" t="str">
        <v/>
      </c>
      <c r="AH515" t="str">
        <v/>
      </c>
      <c r="AI515" t="str">
        <v/>
      </c>
      <c r="AJ515" t="str">
        <v>24/09/2026 13:50:32</v>
      </c>
      <c r="AK515" t="str">
        <v>13:50:32</v>
      </c>
      <c r="AL515" t="str">
        <v/>
      </c>
    </row>
    <row r="516">
      <c r="A516">
        <v>515</v>
      </c>
      <c r="B516" t="str">
        <v>MASS BSF</v>
      </c>
      <c r="C516" t="str">
        <v>F8R-810</v>
      </c>
      <c r="D516" t="str">
        <v>F8R-810</v>
      </c>
      <c r="E516" t="str">
        <v/>
      </c>
      <c r="F516" t="str">
        <v>867806078868827</v>
      </c>
      <c r="G516" t="str">
        <v>TBD</v>
      </c>
      <c r="H516" t="str">
        <v/>
      </c>
      <c r="I516" t="str">
        <v/>
      </c>
      <c r="J516" t="str">
        <v>24/09/2026</v>
      </c>
      <c r="K516" t="str">
        <v>13:50:19</v>
      </c>
      <c r="L516">
        <v>-12.315659</v>
      </c>
      <c r="M516">
        <v>-76.831696</v>
      </c>
      <c r="N516">
        <f>HYPERLINK("https://www.google.com/maps/search/?api=1&amp;query=-12.315659,-76.831696","Carretera Panamericana Sur, Punta Hermosa, Lima")</f>
      </c>
      <c r="O516" t="str">
        <v>Aceleración brusca</v>
      </c>
      <c r="P516">
        <v>1411.1</v>
      </c>
      <c r="Q516" t="str">
        <v/>
      </c>
      <c r="R516">
        <v>44.2</v>
      </c>
      <c r="S516">
        <v>56.85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91</v>
      </c>
      <c r="AB516" t="str">
        <v>24/09/2026</v>
      </c>
      <c r="AC516" t="str">
        <v>13:50:18</v>
      </c>
      <c r="AD516">
        <f>IF("ONLINE"="NOGPS","GPS Antiguo","En línea")</f>
      </c>
      <c r="AE516">
        <f>IF(0=0,"Sin atender", IF(0=1,"Atendida","Atendida y Reportada"))</f>
      </c>
      <c r="AF516" t="str">
        <v/>
      </c>
      <c r="AG516" t="str">
        <v/>
      </c>
      <c r="AH516" t="str">
        <v/>
      </c>
      <c r="AI516" t="str">
        <v/>
      </c>
      <c r="AJ516" t="str">
        <v>24/09/2026 13:50:33</v>
      </c>
      <c r="AK516" t="str">
        <v>13:50:33</v>
      </c>
      <c r="AL516" t="str">
        <v/>
      </c>
    </row>
    <row r="517">
      <c r="A517">
        <v>516</v>
      </c>
      <c r="B517" t="str">
        <v>MASS BSF</v>
      </c>
      <c r="C517" t="str">
        <v>F8R-810</v>
      </c>
      <c r="D517" t="str">
        <v>F8R-810</v>
      </c>
      <c r="E517" t="str">
        <v/>
      </c>
      <c r="F517" t="str">
        <v>867806078868827</v>
      </c>
      <c r="G517" t="str">
        <v>TBD</v>
      </c>
      <c r="H517" t="str">
        <v/>
      </c>
      <c r="I517" t="str">
        <v/>
      </c>
      <c r="J517" t="str">
        <v>24/09/2026</v>
      </c>
      <c r="K517" t="str">
        <v>13:50:47</v>
      </c>
      <c r="L517">
        <v>-12.312572</v>
      </c>
      <c r="M517">
        <v>-76.83376</v>
      </c>
      <c r="N517">
        <f>HYPERLINK("https://www.google.com/maps/search/?api=1&amp;query=-12.312572,-76.83376","Carretera Panamericana Sur, Punta Hermosa, Lima")</f>
      </c>
      <c r="O517" t="str">
        <v>Aceleración brusca</v>
      </c>
      <c r="P517">
        <v>1411.5</v>
      </c>
      <c r="Q517" t="str">
        <v/>
      </c>
      <c r="R517">
        <v>57</v>
      </c>
      <c r="S517">
        <v>56.85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91</v>
      </c>
      <c r="AB517" t="str">
        <v>24/09/2026</v>
      </c>
      <c r="AC517" t="str">
        <v>13:50:46</v>
      </c>
      <c r="AD517">
        <f>IF("ONLINE"="NOGPS","GPS Antiguo","En línea")</f>
      </c>
      <c r="AE517">
        <f>IF(0=0,"Sin atender", IF(0=1,"Atendida","Atendida y Reportada"))</f>
      </c>
      <c r="AF517" t="str">
        <v/>
      </c>
      <c r="AG517" t="str">
        <v/>
      </c>
      <c r="AH517" t="str">
        <v/>
      </c>
      <c r="AI517" t="str">
        <v/>
      </c>
      <c r="AJ517" t="str">
        <v>24/09/2026 13:50:55</v>
      </c>
      <c r="AK517" t="str">
        <v>13:50:55</v>
      </c>
      <c r="AL517" t="str">
        <v/>
      </c>
    </row>
    <row r="518">
      <c r="A518">
        <v>517</v>
      </c>
      <c r="B518" t="str">
        <v>MASS BSF</v>
      </c>
      <c r="C518" t="str">
        <v>F8R-810</v>
      </c>
      <c r="D518" t="str">
        <v>F8R-810</v>
      </c>
      <c r="E518" t="str">
        <v/>
      </c>
      <c r="F518" t="str">
        <v>867806078868827</v>
      </c>
      <c r="G518" t="str">
        <v>TBD</v>
      </c>
      <c r="H518" t="str">
        <v/>
      </c>
      <c r="I518" t="str">
        <v/>
      </c>
      <c r="J518" t="str">
        <v>24/09/2026</v>
      </c>
      <c r="K518" t="str">
        <v>13:51:56</v>
      </c>
      <c r="L518">
        <v>-12.304195</v>
      </c>
      <c r="M518">
        <v>-76.84059</v>
      </c>
      <c r="N518">
        <f>HYPERLINK("https://www.google.com/maps/search/?api=1&amp;query=-12.304195,-76.84059","Carretera Panamericana Sur, Lurín, Lima")</f>
      </c>
      <c r="O518" t="str">
        <v>Aceleración brusca</v>
      </c>
      <c r="P518">
        <v>1412.7</v>
      </c>
      <c r="Q518" t="str">
        <v/>
      </c>
      <c r="R518">
        <v>67.5</v>
      </c>
      <c r="S518">
        <v>56.85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85</v>
      </c>
      <c r="AB518" t="str">
        <v>24/09/2026</v>
      </c>
      <c r="AC518" t="str">
        <v>13:51:55</v>
      </c>
      <c r="AD518">
        <f>IF("ONLINE"="NOGPS","GPS Antiguo","En línea")</f>
      </c>
      <c r="AE518">
        <f>IF(0=0,"Sin atender", IF(0=1,"Atendida","Atendida y Reportada"))</f>
      </c>
      <c r="AF518" t="str">
        <v/>
      </c>
      <c r="AG518" t="str">
        <v/>
      </c>
      <c r="AH518" t="str">
        <v/>
      </c>
      <c r="AI518" t="str">
        <v/>
      </c>
      <c r="AJ518" t="str">
        <v>24/09/2026 13:52:05</v>
      </c>
      <c r="AK518" t="str">
        <v>13:52:05</v>
      </c>
      <c r="AL518" t="str">
        <v/>
      </c>
    </row>
    <row r="519">
      <c r="A519">
        <v>518</v>
      </c>
      <c r="B519" t="str">
        <v>MASS BSF</v>
      </c>
      <c r="C519" t="str">
        <v>F8R-810</v>
      </c>
      <c r="D519" t="str">
        <v>F8R-810</v>
      </c>
      <c r="E519" t="str">
        <v/>
      </c>
      <c r="F519" t="str">
        <v>867806078868827</v>
      </c>
      <c r="G519" t="str">
        <v>TBD</v>
      </c>
      <c r="H519" t="str">
        <v/>
      </c>
      <c r="I519" t="str">
        <v/>
      </c>
      <c r="J519" t="str">
        <v>24/09/2026</v>
      </c>
      <c r="K519" t="str">
        <v>13:52:42</v>
      </c>
      <c r="L519">
        <v>-12.300322</v>
      </c>
      <c r="M519">
        <v>-76.84818</v>
      </c>
      <c r="N519">
        <f>HYPERLINK("https://www.google.com/maps/search/?api=1&amp;query=-12.300322,-76.84818","Carretera Panamericana Sur, Lurín, Lima")</f>
      </c>
      <c r="O519" t="str">
        <v>Aceleración brusca</v>
      </c>
      <c r="P519">
        <v>1413.6</v>
      </c>
      <c r="Q519" t="str">
        <v/>
      </c>
      <c r="R519">
        <v>67.9</v>
      </c>
      <c r="S519">
        <v>56.85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85</v>
      </c>
      <c r="AB519" t="str">
        <v>24/09/2026</v>
      </c>
      <c r="AC519" t="str">
        <v>13:52:41</v>
      </c>
      <c r="AD519">
        <f>IF("ONLINE"="NOGPS","GPS Antiguo","En línea")</f>
      </c>
      <c r="AE519">
        <f>IF(0=0,"Sin atender", IF(0=1,"Atendida","Atendida y Reportada"))</f>
      </c>
      <c r="AF519" t="str">
        <v/>
      </c>
      <c r="AG519" t="str">
        <v/>
      </c>
      <c r="AH519" t="str">
        <v/>
      </c>
      <c r="AI519" t="str">
        <v/>
      </c>
      <c r="AJ519" t="str">
        <v>24/09/2026 13:52:54</v>
      </c>
      <c r="AK519" t="str">
        <v>13:52:54</v>
      </c>
      <c r="AL519" t="str">
        <v/>
      </c>
    </row>
    <row r="520">
      <c r="A520">
        <v>519</v>
      </c>
      <c r="B520" t="str">
        <v>MASS BSF</v>
      </c>
      <c r="C520" t="str">
        <v>F8R-810</v>
      </c>
      <c r="D520" t="str">
        <v>F8R-810</v>
      </c>
      <c r="E520" t="str">
        <v/>
      </c>
      <c r="F520" t="str">
        <v>867806078868827</v>
      </c>
      <c r="G520" t="str">
        <v>TBD</v>
      </c>
      <c r="H520" t="str">
        <v/>
      </c>
      <c r="I520" t="str">
        <v/>
      </c>
      <c r="J520" t="str">
        <v>24/09/2026</v>
      </c>
      <c r="K520" t="str">
        <v>13:52:50</v>
      </c>
      <c r="L520">
        <v>-12.299785</v>
      </c>
      <c r="M520">
        <v>-76.84938</v>
      </c>
      <c r="N520">
        <f>HYPERLINK("https://www.google.com/maps/search/?api=1&amp;query=-12.299785,-76.84938","Carretera Panamericana Sur, Lurín, Lima")</f>
      </c>
      <c r="O520" t="str">
        <v>Acelerado y giro brusco</v>
      </c>
      <c r="P520">
        <v>1413.7</v>
      </c>
      <c r="Q520" t="str">
        <v/>
      </c>
      <c r="R520">
        <v>53.3</v>
      </c>
      <c r="S520">
        <v>56.85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85</v>
      </c>
      <c r="AB520" t="str">
        <v>24/09/2026</v>
      </c>
      <c r="AC520" t="str">
        <v>13:52:50</v>
      </c>
      <c r="AD520">
        <f>IF("ONLINE"="NOGPS","GPS Antiguo","En línea")</f>
      </c>
      <c r="AE520">
        <f>IF(0=0,"Sin atender", IF(0=1,"Atendida","Atendida y Reportada"))</f>
      </c>
      <c r="AF520" t="str">
        <v/>
      </c>
      <c r="AG520" t="str">
        <v/>
      </c>
      <c r="AH520" t="str">
        <v/>
      </c>
      <c r="AI520" t="str">
        <v/>
      </c>
      <c r="AJ520" t="str">
        <v>24/09/2026 13:53:09</v>
      </c>
      <c r="AK520" t="str">
        <v>13:53:09</v>
      </c>
      <c r="AL520" t="str">
        <v/>
      </c>
    </row>
    <row r="521">
      <c r="A521">
        <v>520</v>
      </c>
      <c r="B521" t="str">
        <v>MASS BSF</v>
      </c>
      <c r="C521" t="str">
        <v>F8R-810</v>
      </c>
      <c r="D521" t="str">
        <v>F8R-810</v>
      </c>
      <c r="E521" t="str">
        <v/>
      </c>
      <c r="F521" t="str">
        <v>867806078868827</v>
      </c>
      <c r="G521" t="str">
        <v>TBD</v>
      </c>
      <c r="H521" t="str">
        <v/>
      </c>
      <c r="I521" t="str">
        <v/>
      </c>
      <c r="J521" t="str">
        <v>24/09/2026</v>
      </c>
      <c r="K521" t="str">
        <v>13:52:54</v>
      </c>
      <c r="L521">
        <v>-12.29956</v>
      </c>
      <c r="M521">
        <v>-76.849884</v>
      </c>
      <c r="N521">
        <f>HYPERLINK("https://www.google.com/maps/search/?api=1&amp;query=-12.29956,-76.849884","Carretera Panamericana Sur, Lurín, Lima")</f>
      </c>
      <c r="O521" t="str">
        <v>Acelerado y giro brusco</v>
      </c>
      <c r="P521">
        <v>1413.8</v>
      </c>
      <c r="Q521" t="str">
        <v/>
      </c>
      <c r="R521">
        <v>55</v>
      </c>
      <c r="S521">
        <v>56.85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85</v>
      </c>
      <c r="AB521" t="str">
        <v>24/09/2026</v>
      </c>
      <c r="AC521" t="str">
        <v>13:52:54</v>
      </c>
      <c r="AD521">
        <f>IF("ONLINE"="NOGPS","GPS Antiguo","En línea")</f>
      </c>
      <c r="AE521">
        <f>IF(0=0,"Sin atender", IF(0=1,"Atendida","Atendida y Reportada"))</f>
      </c>
      <c r="AF521" t="str">
        <v/>
      </c>
      <c r="AG521" t="str">
        <v/>
      </c>
      <c r="AH521" t="str">
        <v/>
      </c>
      <c r="AI521" t="str">
        <v/>
      </c>
      <c r="AJ521" t="str">
        <v>24/09/2026 13:53:00</v>
      </c>
      <c r="AK521" t="str">
        <v>13:53:00</v>
      </c>
      <c r="AL521" t="str">
        <v/>
      </c>
    </row>
    <row r="522">
      <c r="A522">
        <v>521</v>
      </c>
      <c r="B522" t="str">
        <v>MASS BSF</v>
      </c>
      <c r="C522" t="str">
        <v>F8R-810</v>
      </c>
      <c r="D522" t="str">
        <v>F8R-810</v>
      </c>
      <c r="E522" t="str">
        <v/>
      </c>
      <c r="F522" t="str">
        <v>867806078868827</v>
      </c>
      <c r="G522" t="str">
        <v>TBD</v>
      </c>
      <c r="H522" t="str">
        <v/>
      </c>
      <c r="I522" t="str">
        <v/>
      </c>
      <c r="J522" t="str">
        <v>24/09/2026</v>
      </c>
      <c r="K522" t="str">
        <v>13:53:35</v>
      </c>
      <c r="L522">
        <v>-12.296683</v>
      </c>
      <c r="M522">
        <v>-76.85637</v>
      </c>
      <c r="N522">
        <f>HYPERLINK("https://www.google.com/maps/search/?api=1&amp;query=-12.296683,-76.85637","Carretera Panamericana Sur, Lurín, Lima")</f>
      </c>
      <c r="O522" t="str">
        <v>Aceleración brusca</v>
      </c>
      <c r="P522">
        <v>1414.6</v>
      </c>
      <c r="Q522" t="str">
        <v/>
      </c>
      <c r="R522">
        <v>74</v>
      </c>
      <c r="S522">
        <v>56.85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85</v>
      </c>
      <c r="AB522" t="str">
        <v>24/09/2026</v>
      </c>
      <c r="AC522" t="str">
        <v>13:53:34</v>
      </c>
      <c r="AD522">
        <f>IF("ONLINE"="NOGPS","GPS Antiguo","En línea")</f>
      </c>
      <c r="AE522">
        <f>IF(0=0,"Sin atender", IF(0=1,"Atendida","Atendida y Reportada"))</f>
      </c>
      <c r="AF522" t="str">
        <v/>
      </c>
      <c r="AG522" t="str">
        <v/>
      </c>
      <c r="AH522" t="str">
        <v/>
      </c>
      <c r="AI522" t="str">
        <v/>
      </c>
      <c r="AJ522" t="str">
        <v>24/09/2026 13:53:49</v>
      </c>
      <c r="AK522" t="str">
        <v>13:53:49</v>
      </c>
      <c r="AL522" t="str">
        <v/>
      </c>
    </row>
    <row r="523">
      <c r="A523">
        <v>522</v>
      </c>
      <c r="B523" t="str">
        <v>MASS BSF</v>
      </c>
      <c r="C523" t="str">
        <v>F8R-810</v>
      </c>
      <c r="D523" t="str">
        <v>F8R-810</v>
      </c>
      <c r="E523" t="str">
        <v/>
      </c>
      <c r="F523" t="str">
        <v>867806078868827</v>
      </c>
      <c r="G523" t="str">
        <v>TBD</v>
      </c>
      <c r="H523" t="str">
        <v/>
      </c>
      <c r="I523" t="str">
        <v/>
      </c>
      <c r="J523" t="str">
        <v>24/09/2026</v>
      </c>
      <c r="K523" t="str">
        <v>13:55:52</v>
      </c>
      <c r="L523">
        <v>-12.283733</v>
      </c>
      <c r="M523">
        <v>-76.87753</v>
      </c>
      <c r="N523">
        <f>HYPERLINK("https://www.google.com/maps/search/?api=1&amp;query=-12.283733,-76.87753","Carretera Panamericana Sur, Lurín, Lima")</f>
      </c>
      <c r="O523" t="str">
        <v>Aceleración brusca</v>
      </c>
      <c r="P523">
        <v>1417.3</v>
      </c>
      <c r="Q523" t="str">
        <v/>
      </c>
      <c r="R523">
        <v>71.6</v>
      </c>
      <c r="S523">
        <v>56.85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94</v>
      </c>
      <c r="AB523" t="str">
        <v>24/09/2026</v>
      </c>
      <c r="AC523" t="str">
        <v>13:55:51</v>
      </c>
      <c r="AD523">
        <f>IF("ONLINE"="NOGPS","GPS Antiguo","En línea")</f>
      </c>
      <c r="AE523">
        <f>IF(0=0,"Sin atender", IF(0=1,"Atendida","Atendida y Reportada"))</f>
      </c>
      <c r="AF523" t="str">
        <v/>
      </c>
      <c r="AG523" t="str">
        <v/>
      </c>
      <c r="AH523" t="str">
        <v/>
      </c>
      <c r="AI523" t="str">
        <v/>
      </c>
      <c r="AJ523" t="str">
        <v>24/09/2026 13:56:15</v>
      </c>
      <c r="AK523" t="str">
        <v>13:56:15</v>
      </c>
      <c r="AL523" t="str">
        <v/>
      </c>
    </row>
    <row r="524">
      <c r="A524">
        <v>523</v>
      </c>
      <c r="B524" t="str">
        <v>MASS BSF</v>
      </c>
      <c r="C524" t="str">
        <v>F8R-810</v>
      </c>
      <c r="D524" t="str">
        <v>F8R-810</v>
      </c>
      <c r="E524" t="str">
        <v/>
      </c>
      <c r="F524" t="str">
        <v>867806078868827</v>
      </c>
      <c r="G524" t="str">
        <v>TBD</v>
      </c>
      <c r="H524" t="str">
        <v/>
      </c>
      <c r="I524" t="str">
        <v/>
      </c>
      <c r="J524" t="str">
        <v>24/09/2026</v>
      </c>
      <c r="K524" t="str">
        <v>13:56:21</v>
      </c>
      <c r="L524">
        <v>-12.280962</v>
      </c>
      <c r="M524">
        <v>-76.88196</v>
      </c>
      <c r="N524">
        <f>HYPERLINK("https://www.google.com/maps/search/?api=1&amp;query=-12.280962,-76.88196","Carretera Panamericana Sur, Lurín, Lima")</f>
      </c>
      <c r="O524" t="str">
        <v>Acelerado y giro brusco</v>
      </c>
      <c r="P524">
        <v>1417.8</v>
      </c>
      <c r="Q524" t="str">
        <v/>
      </c>
      <c r="R524">
        <v>67.4</v>
      </c>
      <c r="S524">
        <v>56.85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94</v>
      </c>
      <c r="AB524" t="str">
        <v>24/09/2026</v>
      </c>
      <c r="AC524" t="str">
        <v>13:56:20</v>
      </c>
      <c r="AD524">
        <f>IF("ONLINE"="NOGPS","GPS Antiguo","En línea")</f>
      </c>
      <c r="AE524">
        <f>IF(0=0,"Sin atender", IF(0=1,"Atendida","Atendida y Reportada"))</f>
      </c>
      <c r="AF524" t="str">
        <v/>
      </c>
      <c r="AG524" t="str">
        <v/>
      </c>
      <c r="AH524" t="str">
        <v/>
      </c>
      <c r="AI524" t="str">
        <v/>
      </c>
      <c r="AJ524" t="str">
        <v>24/09/2026 13:56:36</v>
      </c>
      <c r="AK524" t="str">
        <v>13:56:36</v>
      </c>
      <c r="AL524" t="str">
        <v/>
      </c>
    </row>
    <row r="525">
      <c r="A525">
        <v>524</v>
      </c>
      <c r="B525" t="str">
        <v>MASS BSF</v>
      </c>
      <c r="C525" t="str">
        <v>F8R-810</v>
      </c>
      <c r="D525" t="str">
        <v>F8R-810</v>
      </c>
      <c r="E525" t="str">
        <v/>
      </c>
      <c r="F525" t="str">
        <v>867806078868827</v>
      </c>
      <c r="G525" t="str">
        <v>TBD</v>
      </c>
      <c r="H525" t="str">
        <v/>
      </c>
      <c r="I525" t="str">
        <v/>
      </c>
      <c r="J525" t="str">
        <v>24/09/2026</v>
      </c>
      <c r="K525" t="str">
        <v>13:56:49</v>
      </c>
      <c r="L525">
        <v>-12.278307</v>
      </c>
      <c r="M525">
        <v>-76.88613</v>
      </c>
      <c r="N525">
        <f>HYPERLINK("https://www.google.com/maps/search/?api=1&amp;query=-12.278307,-76.88613","Carretera Panamericana Sur, Lurín, Lima")</f>
      </c>
      <c r="O525" t="str">
        <v>Acelerado y giro brusco</v>
      </c>
      <c r="P525">
        <v>1418.4</v>
      </c>
      <c r="Q525" t="str">
        <v/>
      </c>
      <c r="R525">
        <v>68.8</v>
      </c>
      <c r="S525">
        <v>56.85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94</v>
      </c>
      <c r="AB525" t="str">
        <v>24/09/2026</v>
      </c>
      <c r="AC525" t="str">
        <v>13:56:49</v>
      </c>
      <c r="AD525">
        <f>IF("ONLINE"="NOGPS","GPS Antiguo","En línea")</f>
      </c>
      <c r="AE525">
        <f>IF(0=0,"Sin atender", IF(0=1,"Atendida","Atendida y Reportada"))</f>
      </c>
      <c r="AF525" t="str">
        <v/>
      </c>
      <c r="AG525" t="str">
        <v/>
      </c>
      <c r="AH525" t="str">
        <v/>
      </c>
      <c r="AI525" t="str">
        <v/>
      </c>
      <c r="AJ525" t="str">
        <v>24/09/2026 13:56:53</v>
      </c>
      <c r="AK525" t="str">
        <v>13:56:53</v>
      </c>
      <c r="AL525" t="str">
        <v/>
      </c>
    </row>
    <row r="526">
      <c r="A526">
        <v>525</v>
      </c>
      <c r="B526" t="str">
        <v>MASS BSF</v>
      </c>
      <c r="C526" t="str">
        <v>F8R-810</v>
      </c>
      <c r="D526" t="str">
        <v>F8R-810</v>
      </c>
      <c r="E526" t="str">
        <v/>
      </c>
      <c r="F526" t="str">
        <v>867806078868827</v>
      </c>
      <c r="G526" t="str">
        <v>TBD</v>
      </c>
      <c r="H526" t="str">
        <v/>
      </c>
      <c r="I526" t="str">
        <v/>
      </c>
      <c r="J526" t="str">
        <v>24/09/2026</v>
      </c>
      <c r="K526" t="str">
        <v>13:57:23</v>
      </c>
      <c r="L526">
        <v>-12.275858</v>
      </c>
      <c r="M526">
        <v>-76.89004</v>
      </c>
      <c r="N526">
        <f>HYPERLINK("https://www.google.com/maps/search/?api=1&amp;query=-12.275858,-76.89004","Carretera Panamericana Sur, Lurín, Lima")</f>
      </c>
      <c r="O526" t="str">
        <v>Aceleración brusca</v>
      </c>
      <c r="P526">
        <v>1418.9</v>
      </c>
      <c r="Q526" t="str">
        <v/>
      </c>
      <c r="R526">
        <v>52.4</v>
      </c>
      <c r="S526">
        <v>56.85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94</v>
      </c>
      <c r="AB526" t="str">
        <v>24/09/2026</v>
      </c>
      <c r="AC526" t="str">
        <v>13:57:22</v>
      </c>
      <c r="AD526">
        <f>IF("ONLINE"="NOGPS","GPS Antiguo","En línea")</f>
      </c>
      <c r="AE526">
        <f>IF(0=0,"Sin atender", IF(0=1,"Atendida","Atendida y Reportada"))</f>
      </c>
      <c r="AF526" t="str">
        <v/>
      </c>
      <c r="AG526" t="str">
        <v/>
      </c>
      <c r="AH526" t="str">
        <v/>
      </c>
      <c r="AI526" t="str">
        <v/>
      </c>
      <c r="AJ526" t="str">
        <v>24/09/2026 13:57:34</v>
      </c>
      <c r="AK526" t="str">
        <v>13:57:34</v>
      </c>
      <c r="AL526" t="str">
        <v/>
      </c>
    </row>
    <row r="527">
      <c r="A527">
        <v>526</v>
      </c>
      <c r="B527" t="str">
        <v>MASS BSF</v>
      </c>
      <c r="C527" t="str">
        <v>F8R-810</v>
      </c>
      <c r="D527" t="str">
        <v>F8R-810</v>
      </c>
      <c r="E527" t="str">
        <v/>
      </c>
      <c r="F527" t="str">
        <v>867806078868827</v>
      </c>
      <c r="G527" t="str">
        <v>TBD</v>
      </c>
      <c r="H527" t="str">
        <v/>
      </c>
      <c r="I527" t="str">
        <v/>
      </c>
      <c r="J527" t="str">
        <v>24/09/2026</v>
      </c>
      <c r="K527" t="str">
        <v>13:57:39</v>
      </c>
      <c r="L527">
        <v>-12.274593</v>
      </c>
      <c r="M527">
        <v>-76.892105</v>
      </c>
      <c r="N527">
        <f>HYPERLINK("https://www.google.com/maps/search/?api=1&amp;query=-12.274593,-76.892105","Carretera Panamericana Sur, Lurín, Lima")</f>
      </c>
      <c r="O527" t="str">
        <v>Aceleración brusca</v>
      </c>
      <c r="P527">
        <v>1419.1</v>
      </c>
      <c r="Q527" t="str">
        <v/>
      </c>
      <c r="R527">
        <v>58.5</v>
      </c>
      <c r="S527">
        <v>56.85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94</v>
      </c>
      <c r="AB527" t="str">
        <v>24/09/2026</v>
      </c>
      <c r="AC527" t="str">
        <v>13:57:39</v>
      </c>
      <c r="AD527">
        <f>IF("ONLINE"="NOGPS","GPS Antiguo","En línea")</f>
      </c>
      <c r="AE527">
        <f>IF(0=0,"Sin atender", IF(0=1,"Atendida","Atendida y Reportada"))</f>
      </c>
      <c r="AF527" t="str">
        <v/>
      </c>
      <c r="AG527" t="str">
        <v/>
      </c>
      <c r="AH527" t="str">
        <v/>
      </c>
      <c r="AI527" t="str">
        <v/>
      </c>
      <c r="AJ527" t="str">
        <v>24/09/2026 13:57:57</v>
      </c>
      <c r="AK527" t="str">
        <v>13:57:57</v>
      </c>
      <c r="AL527" t="str">
        <v/>
      </c>
    </row>
    <row r="528">
      <c r="A528">
        <v>527</v>
      </c>
      <c r="B528" t="str">
        <v>MASS BSF</v>
      </c>
      <c r="C528" t="str">
        <v>F8R-810</v>
      </c>
      <c r="D528" t="str">
        <v>F8R-810</v>
      </c>
      <c r="E528" t="str">
        <v/>
      </c>
      <c r="F528" t="str">
        <v>867806078868827</v>
      </c>
      <c r="G528" t="str">
        <v>TBD</v>
      </c>
      <c r="H528" t="str">
        <v/>
      </c>
      <c r="I528" t="str">
        <v/>
      </c>
      <c r="J528" t="str">
        <v>24/09/2026</v>
      </c>
      <c r="K528" t="str">
        <v>13:59:04</v>
      </c>
      <c r="L528">
        <v>-12.26664</v>
      </c>
      <c r="M528">
        <v>-76.90476</v>
      </c>
      <c r="N528">
        <f>HYPERLINK("https://www.google.com/maps/search/?api=1&amp;query=-12.26664,-76.90476","Carretera Panamericana Sur, Lurín, Lima")</f>
      </c>
      <c r="O528" t="str">
        <v>Aceleración brusca</v>
      </c>
      <c r="P528">
        <v>1420.8</v>
      </c>
      <c r="Q528" t="str">
        <v/>
      </c>
      <c r="R528">
        <v>72.4</v>
      </c>
      <c r="S528">
        <v>56.85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94</v>
      </c>
      <c r="AB528" t="str">
        <v>24/09/2026</v>
      </c>
      <c r="AC528" t="str">
        <v>13:59:03</v>
      </c>
      <c r="AD528">
        <f>IF("ONLINE"="NOGPS","GPS Antiguo","En línea")</f>
      </c>
      <c r="AE528">
        <f>IF(0=0,"Sin atender", IF(0=1,"Atendida","Atendida y Reportada"))</f>
      </c>
      <c r="AF528" t="str">
        <v/>
      </c>
      <c r="AG528" t="str">
        <v/>
      </c>
      <c r="AH528" t="str">
        <v/>
      </c>
      <c r="AI528" t="str">
        <v/>
      </c>
      <c r="AJ528" t="str">
        <v>24/09/2026 13:59:11</v>
      </c>
      <c r="AK528" t="str">
        <v>13:59:11</v>
      </c>
      <c r="AL528" t="str">
        <v/>
      </c>
    </row>
    <row r="529">
      <c r="A529">
        <v>528</v>
      </c>
      <c r="B529" t="str">
        <v>MASS BSF</v>
      </c>
      <c r="C529" t="str">
        <v>F8R-810</v>
      </c>
      <c r="D529" t="str">
        <v>F8R-810</v>
      </c>
      <c r="E529" t="str">
        <v/>
      </c>
      <c r="F529" t="str">
        <v>867806078868827</v>
      </c>
      <c r="G529" t="str">
        <v>TBD</v>
      </c>
      <c r="H529" t="str">
        <v/>
      </c>
      <c r="I529" t="str">
        <v/>
      </c>
      <c r="J529" t="str">
        <v>24/09/2026</v>
      </c>
      <c r="K529" t="str">
        <v>13:59:33</v>
      </c>
      <c r="L529">
        <v>-12.263842</v>
      </c>
      <c r="M529">
        <v>-76.9092</v>
      </c>
      <c r="N529">
        <f>HYPERLINK("https://www.google.com/maps/search/?api=1&amp;query=-12.263842,-76.9092","Carretera Panamericana Sur, Lurín, Lima")</f>
      </c>
      <c r="O529" t="str">
        <v>Aceleración brusca</v>
      </c>
      <c r="P529">
        <v>1421.3</v>
      </c>
      <c r="Q529" t="str">
        <v/>
      </c>
      <c r="R529">
        <v>67.2</v>
      </c>
      <c r="S529">
        <v>56.85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94</v>
      </c>
      <c r="AB529" t="str">
        <v>24/09/2026</v>
      </c>
      <c r="AC529" t="str">
        <v>13:59:32</v>
      </c>
      <c r="AD529">
        <f>IF("ONLINE"="NOGPS","GPS Antiguo","En línea")</f>
      </c>
      <c r="AE529">
        <f>IF(0=0,"Sin atender", IF(0=1,"Atendida","Atendida y Reportada"))</f>
      </c>
      <c r="AF529" t="str">
        <v/>
      </c>
      <c r="AG529" t="str">
        <v/>
      </c>
      <c r="AH529" t="str">
        <v/>
      </c>
      <c r="AI529" t="str">
        <v/>
      </c>
      <c r="AJ529" t="str">
        <v>24/09/2026 13:59:49</v>
      </c>
      <c r="AK529" t="str">
        <v>13:59:49</v>
      </c>
      <c r="AL529" t="str">
        <v/>
      </c>
    </row>
    <row r="530">
      <c r="A530">
        <v>529</v>
      </c>
      <c r="B530" t="str">
        <v>MASS BSF</v>
      </c>
      <c r="C530" t="str">
        <v>F8R-810</v>
      </c>
      <c r="D530" t="str">
        <v>F8R-810</v>
      </c>
      <c r="E530" t="str">
        <v/>
      </c>
      <c r="F530" t="str">
        <v>867806078868827</v>
      </c>
      <c r="G530" t="str">
        <v>TBD</v>
      </c>
      <c r="H530" t="str">
        <v/>
      </c>
      <c r="I530" t="str">
        <v/>
      </c>
      <c r="J530" t="str">
        <v>24/09/2026</v>
      </c>
      <c r="K530" t="str">
        <v>14:00:33</v>
      </c>
      <c r="L530">
        <v>-12.258668</v>
      </c>
      <c r="M530">
        <v>-76.91743</v>
      </c>
      <c r="N530">
        <f>HYPERLINK("https://www.google.com/maps/search/?api=1&amp;query=-12.258668,-76.91743","Carretera Panamericana Sur, Lurín, Lima")</f>
      </c>
      <c r="O530" t="str">
        <v>Aceleración brusca</v>
      </c>
      <c r="P530">
        <v>1422.4</v>
      </c>
      <c r="Q530" t="str">
        <v/>
      </c>
      <c r="R530">
        <v>62.9</v>
      </c>
      <c r="S530">
        <v>56.85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94</v>
      </c>
      <c r="AB530" t="str">
        <v>24/09/2026</v>
      </c>
      <c r="AC530" t="str">
        <v>14:00:32</v>
      </c>
      <c r="AD530">
        <f>IF("ONLINE"="NOGPS","GPS Antiguo","En línea")</f>
      </c>
      <c r="AE530">
        <f>IF(0=0,"Sin atender", IF(0=1,"Atendida","Atendida y Reportada"))</f>
      </c>
      <c r="AF530" t="str">
        <v/>
      </c>
      <c r="AG530" t="str">
        <v/>
      </c>
      <c r="AH530" t="str">
        <v/>
      </c>
      <c r="AI530" t="str">
        <v/>
      </c>
      <c r="AJ530" t="str">
        <v>24/09/2026 14:00:37</v>
      </c>
      <c r="AK530" t="str">
        <v>14:00:37</v>
      </c>
      <c r="AL530" t="str">
        <v/>
      </c>
    </row>
    <row r="531">
      <c r="A531">
        <v>530</v>
      </c>
      <c r="B531" t="str">
        <v>MASS BSF</v>
      </c>
      <c r="C531" t="str">
        <v>F8R-810</v>
      </c>
      <c r="D531" t="str">
        <v>F8R-810</v>
      </c>
      <c r="E531" t="str">
        <v/>
      </c>
      <c r="F531" t="str">
        <v>867806078868827</v>
      </c>
      <c r="G531" t="str">
        <v>TBD</v>
      </c>
      <c r="H531" t="str">
        <v/>
      </c>
      <c r="I531" t="str">
        <v/>
      </c>
      <c r="J531" t="str">
        <v>24/09/2026</v>
      </c>
      <c r="K531" t="str">
        <v>14:01:17</v>
      </c>
      <c r="L531">
        <v>-12.255012</v>
      </c>
      <c r="M531">
        <v>-76.92333</v>
      </c>
      <c r="N531">
        <f>HYPERLINK("https://www.google.com/maps/search/?api=1&amp;query=-12.255012,-76.92333","Carretera Panamericana Sur, Lurín, Lima")</f>
      </c>
      <c r="O531" t="str">
        <v>Aceleración brusca</v>
      </c>
      <c r="P531">
        <v>1423.1</v>
      </c>
      <c r="Q531" t="str">
        <v/>
      </c>
      <c r="R531">
        <v>67.2</v>
      </c>
      <c r="S531">
        <v>56.85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94</v>
      </c>
      <c r="AB531" t="str">
        <v>24/09/2026</v>
      </c>
      <c r="AC531" t="str">
        <v>14:01:16</v>
      </c>
      <c r="AD531">
        <f>IF("ONLINE"="NOGPS","GPS Antiguo","En línea")</f>
      </c>
      <c r="AE531">
        <f>IF(0=0,"Sin atender", IF(0=1,"Atendida","Atendida y Reportada"))</f>
      </c>
      <c r="AF531" t="str">
        <v/>
      </c>
      <c r="AG531" t="str">
        <v/>
      </c>
      <c r="AH531" t="str">
        <v/>
      </c>
      <c r="AI531" t="str">
        <v/>
      </c>
      <c r="AJ531" t="str">
        <v>24/09/2026 14:01:23</v>
      </c>
      <c r="AK531" t="str">
        <v>14:01:23</v>
      </c>
      <c r="AL531" t="str">
        <v/>
      </c>
    </row>
    <row r="532">
      <c r="A532">
        <v>531</v>
      </c>
      <c r="B532" t="str">
        <v>MASS BSF</v>
      </c>
      <c r="C532" t="str">
        <v>F8R-810</v>
      </c>
      <c r="D532" t="str">
        <v>F8R-810</v>
      </c>
      <c r="E532" t="str">
        <v/>
      </c>
      <c r="F532" t="str">
        <v>867806078868827</v>
      </c>
      <c r="G532" t="str">
        <v>TBD</v>
      </c>
      <c r="H532" t="str">
        <v/>
      </c>
      <c r="I532" t="str">
        <v/>
      </c>
      <c r="J532" t="str">
        <v>24/09/2026</v>
      </c>
      <c r="K532" t="str">
        <v>14:01:41</v>
      </c>
      <c r="L532">
        <v>-12.253038</v>
      </c>
      <c r="M532">
        <v>-76.92683</v>
      </c>
      <c r="N532">
        <f>HYPERLINK("https://www.google.com/maps/search/?api=1&amp;query=-12.253038,-76.92683","Carretera Panamericana Sur, Lurín, Lima")</f>
      </c>
      <c r="O532" t="str">
        <v>Aceleración brusca</v>
      </c>
      <c r="P532">
        <v>1423.6</v>
      </c>
      <c r="Q532" t="str">
        <v/>
      </c>
      <c r="R532">
        <v>63.5</v>
      </c>
      <c r="S532">
        <v>56.85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94</v>
      </c>
      <c r="AB532" t="str">
        <v>24/09/2026</v>
      </c>
      <c r="AC532" t="str">
        <v>14:01:40</v>
      </c>
      <c r="AD532">
        <f>IF("ONLINE"="NOGPS","GPS Antiguo","En línea")</f>
      </c>
      <c r="AE532">
        <f>IF(0=0,"Sin atender", IF(0=1,"Atendida","Atendida y Reportada"))</f>
      </c>
      <c r="AF532" t="str">
        <v/>
      </c>
      <c r="AG532" t="str">
        <v/>
      </c>
      <c r="AH532" t="str">
        <v/>
      </c>
      <c r="AI532" t="str">
        <v/>
      </c>
      <c r="AJ532" t="str">
        <v>24/09/2026 14:02:01</v>
      </c>
      <c r="AK532" t="str">
        <v>14:02:01</v>
      </c>
      <c r="AL532" t="str">
        <v/>
      </c>
    </row>
    <row r="533">
      <c r="A533">
        <v>532</v>
      </c>
      <c r="B533" t="str">
        <v>MASS BSF</v>
      </c>
      <c r="C533" t="str">
        <v>F8R-810</v>
      </c>
      <c r="D533" t="str">
        <v>F8R-810</v>
      </c>
      <c r="E533" t="str">
        <v/>
      </c>
      <c r="F533" t="str">
        <v>867806078868827</v>
      </c>
      <c r="G533" t="str">
        <v>TBD</v>
      </c>
      <c r="H533" t="str">
        <v/>
      </c>
      <c r="I533" t="str">
        <v/>
      </c>
      <c r="J533" t="str">
        <v>24/09/2026</v>
      </c>
      <c r="K533" t="str">
        <v>14:02:32</v>
      </c>
      <c r="L533">
        <v>-12.248733</v>
      </c>
      <c r="M533">
        <v>-76.93255</v>
      </c>
      <c r="N533">
        <f>HYPERLINK("https://www.google.com/maps/search/?api=1&amp;query=-12.248733,-76.93255","Carretera Panamericana Sur, Villa El Salvador, Lima")</f>
      </c>
      <c r="O533" t="str">
        <v>Acelerado y giro brusco</v>
      </c>
      <c r="P533">
        <v>1424.3</v>
      </c>
      <c r="Q533" t="str">
        <v/>
      </c>
      <c r="R533">
        <v>61.3</v>
      </c>
      <c r="S533">
        <v>56.85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85</v>
      </c>
      <c r="AB533" t="str">
        <v>24/09/2026</v>
      </c>
      <c r="AC533" t="str">
        <v>14:02:31</v>
      </c>
      <c r="AD533">
        <f>IF("ONLINE"="NOGPS","GPS Antiguo","En línea")</f>
      </c>
      <c r="AE533">
        <f>IF(0=0,"Sin atender", IF(0=1,"Atendida","Atendida y Reportada"))</f>
      </c>
      <c r="AF533" t="str">
        <v/>
      </c>
      <c r="AG533" t="str">
        <v/>
      </c>
      <c r="AH533" t="str">
        <v/>
      </c>
      <c r="AI533" t="str">
        <v/>
      </c>
      <c r="AJ533" t="str">
        <v>24/09/2026 14:02:38</v>
      </c>
      <c r="AK533" t="str">
        <v>14:02:38</v>
      </c>
      <c r="AL533" t="str">
        <v/>
      </c>
    </row>
    <row r="534">
      <c r="A534">
        <v>533</v>
      </c>
      <c r="B534" t="str">
        <v>MASS BSF</v>
      </c>
      <c r="C534" t="str">
        <v>F8R-810</v>
      </c>
      <c r="D534" t="str">
        <v>F8R-810</v>
      </c>
      <c r="E534" t="str">
        <v/>
      </c>
      <c r="F534" t="str">
        <v>867806078868827</v>
      </c>
      <c r="G534" t="str">
        <v>TBD</v>
      </c>
      <c r="H534" t="str">
        <v/>
      </c>
      <c r="I534" t="str">
        <v/>
      </c>
      <c r="J534" t="str">
        <v>24/09/2026</v>
      </c>
      <c r="K534" t="str">
        <v>14:04:04</v>
      </c>
      <c r="L534">
        <v>-12.241642</v>
      </c>
      <c r="M534">
        <v>-76.94526</v>
      </c>
      <c r="N534">
        <f>HYPERLINK("https://www.google.com/maps/search/?api=1&amp;query=-12.241642,-76.94526","Carretera Panamericana Sur, Villa El Salvador, Lima")</f>
      </c>
      <c r="O534" t="str">
        <v>Aceleración brusca</v>
      </c>
      <c r="P534">
        <v>1425.9</v>
      </c>
      <c r="Q534" t="str">
        <v/>
      </c>
      <c r="R534">
        <v>72</v>
      </c>
      <c r="S534">
        <v>56.85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85</v>
      </c>
      <c r="AB534" t="str">
        <v>24/09/2026</v>
      </c>
      <c r="AC534" t="str">
        <v>14:04:04</v>
      </c>
      <c r="AD534">
        <f>IF("ONLINE"="NOGPS","GPS Antiguo","En línea")</f>
      </c>
      <c r="AE534">
        <f>IF(0=0,"Sin atender", IF(0=1,"Atendida","Atendida y Reportada"))</f>
      </c>
      <c r="AF534" t="str">
        <v/>
      </c>
      <c r="AG534" t="str">
        <v/>
      </c>
      <c r="AH534" t="str">
        <v/>
      </c>
      <c r="AI534" t="str">
        <v/>
      </c>
      <c r="AJ534" t="str">
        <v>24/09/2026 14:04:21</v>
      </c>
      <c r="AK534" t="str">
        <v>14:04:21</v>
      </c>
      <c r="AL534" t="str">
        <v/>
      </c>
    </row>
    <row r="535">
      <c r="A535">
        <v>534</v>
      </c>
      <c r="B535" t="str">
        <v>MASS BSF</v>
      </c>
      <c r="C535" t="str">
        <v>F8R-810</v>
      </c>
      <c r="D535" t="str">
        <v>F8R-810</v>
      </c>
      <c r="E535" t="str">
        <v/>
      </c>
      <c r="F535" t="str">
        <v>867806078868827</v>
      </c>
      <c r="G535" t="str">
        <v>TBD</v>
      </c>
      <c r="H535" t="str">
        <v/>
      </c>
      <c r="I535" t="str">
        <v/>
      </c>
      <c r="J535" t="str">
        <v>24/09/2026</v>
      </c>
      <c r="K535" t="str">
        <v>14:04:20</v>
      </c>
      <c r="L535">
        <v>-12.2403</v>
      </c>
      <c r="M535">
        <v>-76.947845</v>
      </c>
      <c r="N535">
        <f>HYPERLINK("https://www.google.com/maps/search/?api=1&amp;query=-12.2403,-76.947845","Carretera Panamericana Sur, Villa El Salvador, Lima")</f>
      </c>
      <c r="O535" t="str">
        <v>Aceleración brusca</v>
      </c>
      <c r="P535">
        <v>1426.2</v>
      </c>
      <c r="Q535" t="str">
        <v/>
      </c>
      <c r="R535">
        <v>71.1</v>
      </c>
      <c r="S535">
        <v>56.85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85</v>
      </c>
      <c r="AB535" t="str">
        <v>24/09/2026</v>
      </c>
      <c r="AC535" t="str">
        <v>14:04:20</v>
      </c>
      <c r="AD535">
        <f>IF("ONLINE"="NOGPS","GPS Antiguo","En línea")</f>
      </c>
      <c r="AE535">
        <f>IF(0=0,"Sin atender", IF(0=1,"Atendida","Atendida y Reportada"))</f>
      </c>
      <c r="AF535" t="str">
        <v/>
      </c>
      <c r="AG535" t="str">
        <v/>
      </c>
      <c r="AH535" t="str">
        <v/>
      </c>
      <c r="AI535" t="str">
        <v/>
      </c>
      <c r="AJ535" t="str">
        <v>24/09/2026 14:04:43</v>
      </c>
      <c r="AK535" t="str">
        <v>14:04:43</v>
      </c>
      <c r="AL535" t="str">
        <v/>
      </c>
    </row>
    <row r="536">
      <c r="A536">
        <v>535</v>
      </c>
      <c r="B536" t="str">
        <v>MASS BSF</v>
      </c>
      <c r="C536" t="str">
        <v>F8R-810</v>
      </c>
      <c r="D536" t="str">
        <v>F8R-810</v>
      </c>
      <c r="E536" t="str">
        <v/>
      </c>
      <c r="F536" t="str">
        <v>867806078868827</v>
      </c>
      <c r="G536" t="str">
        <v>TBD</v>
      </c>
      <c r="H536" t="str">
        <v/>
      </c>
      <c r="I536" t="str">
        <v/>
      </c>
      <c r="J536" t="str">
        <v>24/09/2026</v>
      </c>
      <c r="K536" t="str">
        <v>14:04:26</v>
      </c>
      <c r="L536">
        <v>-12.239883</v>
      </c>
      <c r="M536">
        <v>-76.94865</v>
      </c>
      <c r="N536">
        <f>HYPERLINK("https://www.google.com/maps/search/?api=1&amp;query=-12.239883,-76.94865","Carretera Panamericana Sur, Villa El Salvador, Lima")</f>
      </c>
      <c r="O536" t="str">
        <v>Aceleración brusca</v>
      </c>
      <c r="P536">
        <v>1426.3</v>
      </c>
      <c r="Q536" t="str">
        <v/>
      </c>
      <c r="R536">
        <v>71.4</v>
      </c>
      <c r="S536">
        <v>56.85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85</v>
      </c>
      <c r="AB536" t="str">
        <v>24/09/2026</v>
      </c>
      <c r="AC536" t="str">
        <v>14:04:25</v>
      </c>
      <c r="AD536">
        <f>IF("ONLINE"="NOGPS","GPS Antiguo","En línea")</f>
      </c>
      <c r="AE536">
        <f>IF(0=0,"Sin atender", IF(0=1,"Atendida","Atendida y Reportada"))</f>
      </c>
      <c r="AF536" t="str">
        <v/>
      </c>
      <c r="AG536" t="str">
        <v/>
      </c>
      <c r="AH536" t="str">
        <v/>
      </c>
      <c r="AI536" t="str">
        <v/>
      </c>
      <c r="AJ536" t="str">
        <v>24/09/2026 14:04:44</v>
      </c>
      <c r="AK536" t="str">
        <v>14:04:44</v>
      </c>
      <c r="AL536" t="str">
        <v/>
      </c>
    </row>
    <row r="537">
      <c r="A537">
        <v>536</v>
      </c>
      <c r="B537" t="str">
        <v>MASS BSF</v>
      </c>
      <c r="C537" t="str">
        <v>F8R-810</v>
      </c>
      <c r="D537" t="str">
        <v>F8R-810</v>
      </c>
      <c r="E537" t="str">
        <v/>
      </c>
      <c r="F537" t="str">
        <v>867806078868827</v>
      </c>
      <c r="G537" t="str">
        <v>TBD</v>
      </c>
      <c r="H537" t="str">
        <v/>
      </c>
      <c r="I537" t="str">
        <v/>
      </c>
      <c r="J537" t="str">
        <v>24/09/2026</v>
      </c>
      <c r="K537" t="str">
        <v>14:04:37</v>
      </c>
      <c r="L537">
        <v>-12.238958</v>
      </c>
      <c r="M537">
        <v>-76.95045</v>
      </c>
      <c r="N537">
        <f>HYPERLINK("https://www.google.com/maps/search/?api=1&amp;query=-12.238958,-76.95045","Carretera Panamericana Sur, Villa El Salvador, Lima")</f>
      </c>
      <c r="O537" t="str">
        <v>Aceleración brusca</v>
      </c>
      <c r="P537">
        <v>1426.6</v>
      </c>
      <c r="Q537" t="str">
        <v/>
      </c>
      <c r="R537">
        <v>73.1</v>
      </c>
      <c r="S537">
        <v>56.85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85</v>
      </c>
      <c r="AB537" t="str">
        <v>24/09/2026</v>
      </c>
      <c r="AC537" t="str">
        <v>14:04:36</v>
      </c>
      <c r="AD537">
        <f>IF("ONLINE"="NOGPS","GPS Antiguo","En línea")</f>
      </c>
      <c r="AE537">
        <f>IF(0=0,"Sin atender", IF(0=1,"Atendida","Atendida y Reportada"))</f>
      </c>
      <c r="AF537" t="str">
        <v/>
      </c>
      <c r="AG537" t="str">
        <v/>
      </c>
      <c r="AH537" t="str">
        <v/>
      </c>
      <c r="AI537" t="str">
        <v/>
      </c>
      <c r="AJ537" t="str">
        <v>24/09/2026 14:05:04</v>
      </c>
      <c r="AK537" t="str">
        <v>14:05:04</v>
      </c>
      <c r="AL537" t="str">
        <v/>
      </c>
    </row>
    <row r="538">
      <c r="A538">
        <v>537</v>
      </c>
      <c r="B538" t="str">
        <v>MASS BSF</v>
      </c>
      <c r="C538" t="str">
        <v>F8R-810</v>
      </c>
      <c r="D538" t="str">
        <v>F8R-810</v>
      </c>
      <c r="E538" t="str">
        <v/>
      </c>
      <c r="F538" t="str">
        <v>867806078868827</v>
      </c>
      <c r="G538" t="str">
        <v>TBD</v>
      </c>
      <c r="H538" t="str">
        <v/>
      </c>
      <c r="I538" t="str">
        <v/>
      </c>
      <c r="J538" t="str">
        <v>24/09/2026</v>
      </c>
      <c r="K538" t="str">
        <v>14:05:33</v>
      </c>
      <c r="L538">
        <v>-12.234303</v>
      </c>
      <c r="M538">
        <v>-76.959404</v>
      </c>
      <c r="N538">
        <f>HYPERLINK("https://www.google.com/maps/search/?api=1&amp;query=-12.234303,-76.959404","Carretera Panamericana Sur, Villa El Salvador, Lima")</f>
      </c>
      <c r="O538" t="str">
        <v>Aceleración brusca</v>
      </c>
      <c r="P538">
        <v>1427.7</v>
      </c>
      <c r="Q538" t="str">
        <v/>
      </c>
      <c r="R538">
        <v>70</v>
      </c>
      <c r="S538">
        <v>56.85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85</v>
      </c>
      <c r="AB538" t="str">
        <v>24/09/2026</v>
      </c>
      <c r="AC538" t="str">
        <v>14:05:32</v>
      </c>
      <c r="AD538">
        <f>IF("ONLINE"="NOGPS","GPS Antiguo","En línea")</f>
      </c>
      <c r="AE538">
        <f>IF(0=0,"Sin atender", IF(0=1,"Atendida","Atendida y Reportada"))</f>
      </c>
      <c r="AF538" t="str">
        <v/>
      </c>
      <c r="AG538" t="str">
        <v/>
      </c>
      <c r="AH538" t="str">
        <v/>
      </c>
      <c r="AI538" t="str">
        <v/>
      </c>
      <c r="AJ538" t="str">
        <v>24/09/2026 14:05:59</v>
      </c>
      <c r="AK538" t="str">
        <v>14:05:59</v>
      </c>
      <c r="AL538" t="str">
        <v/>
      </c>
    </row>
    <row r="539">
      <c r="A539">
        <v>538</v>
      </c>
      <c r="B539" t="str">
        <v>MASS BSF</v>
      </c>
      <c r="C539" t="str">
        <v>F8R-810</v>
      </c>
      <c r="D539" t="str">
        <v>F8R-810</v>
      </c>
      <c r="E539" t="str">
        <v/>
      </c>
      <c r="F539" t="str">
        <v>867806078868827</v>
      </c>
      <c r="G539" t="str">
        <v>TBD</v>
      </c>
      <c r="H539" t="str">
        <v/>
      </c>
      <c r="I539" t="str">
        <v/>
      </c>
      <c r="J539" t="str">
        <v>24/09/2026</v>
      </c>
      <c r="K539" t="str">
        <v>14:06:33</v>
      </c>
      <c r="L539">
        <v>-12.22863</v>
      </c>
      <c r="M539">
        <v>-76.96843</v>
      </c>
      <c r="N539">
        <f>HYPERLINK("https://www.google.com/maps/search/?api=1&amp;query=-12.22863,-76.96843","Carretera Panamericana Sur, Villa El Salvador, Lima")</f>
      </c>
      <c r="O539" t="str">
        <v>Acelerado y giro brusco</v>
      </c>
      <c r="P539">
        <v>1428.8</v>
      </c>
      <c r="Q539" t="str">
        <v/>
      </c>
      <c r="R539">
        <v>67.4</v>
      </c>
      <c r="S539">
        <v>56.85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85</v>
      </c>
      <c r="AB539" t="str">
        <v>24/09/2026</v>
      </c>
      <c r="AC539" t="str">
        <v>14:06:33</v>
      </c>
      <c r="AD539">
        <f>IF("ONLINE"="NOGPS","GPS Antiguo","En línea")</f>
      </c>
      <c r="AE539">
        <f>IF(0=0,"Sin atender", IF(0=1,"Atendida","Atendida y Reportada"))</f>
      </c>
      <c r="AF539" t="str">
        <v/>
      </c>
      <c r="AG539" t="str">
        <v/>
      </c>
      <c r="AH539" t="str">
        <v/>
      </c>
      <c r="AI539" t="str">
        <v/>
      </c>
      <c r="AJ539" t="str">
        <v>24/09/2026 14:06:51</v>
      </c>
      <c r="AK539" t="str">
        <v>14:06:51</v>
      </c>
      <c r="AL539" t="str">
        <v/>
      </c>
    </row>
    <row r="540">
      <c r="A540">
        <v>539</v>
      </c>
      <c r="B540" t="str">
        <v>MASS BSF</v>
      </c>
      <c r="C540" t="str">
        <v>F8R-810</v>
      </c>
      <c r="D540" t="str">
        <v>F8R-810</v>
      </c>
      <c r="E540" t="str">
        <v/>
      </c>
      <c r="F540" t="str">
        <v>867806078868827</v>
      </c>
      <c r="G540" t="str">
        <v>TBD</v>
      </c>
      <c r="H540" t="str">
        <v/>
      </c>
      <c r="I540" t="str">
        <v/>
      </c>
      <c r="J540" t="str">
        <v>24/09/2026</v>
      </c>
      <c r="K540" t="str">
        <v>14:06:58</v>
      </c>
      <c r="L540">
        <v>-12.225763</v>
      </c>
      <c r="M540">
        <v>-76.97124</v>
      </c>
      <c r="N540">
        <f>HYPERLINK("https://www.google.com/maps/search/?api=1&amp;query=-12.225763,-76.97124","Carretera Panamericana Sur, Villa El Salvador, Lima")</f>
      </c>
      <c r="O540" t="str">
        <v>Acelerado y giro brusco</v>
      </c>
      <c r="P540">
        <v>1429.3</v>
      </c>
      <c r="Q540" t="str">
        <v/>
      </c>
      <c r="R540">
        <v>65.9</v>
      </c>
      <c r="S540">
        <v>56.85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85</v>
      </c>
      <c r="AB540" t="str">
        <v>24/09/2026</v>
      </c>
      <c r="AC540" t="str">
        <v>14:06:57</v>
      </c>
      <c r="AD540">
        <f>IF("ONLINE"="NOGPS","GPS Antiguo","En línea")</f>
      </c>
      <c r="AE540">
        <f>IF(0=0,"Sin atender", IF(0=1,"Atendida","Atendida y Reportada"))</f>
      </c>
      <c r="AF540" t="str">
        <v/>
      </c>
      <c r="AG540" t="str">
        <v/>
      </c>
      <c r="AH540" t="str">
        <v/>
      </c>
      <c r="AI540" t="str">
        <v/>
      </c>
      <c r="AJ540" t="str">
        <v>24/09/2026 14:07:10</v>
      </c>
      <c r="AK540" t="str">
        <v>14:07:10</v>
      </c>
      <c r="AL540" t="str">
        <v/>
      </c>
    </row>
    <row r="541">
      <c r="A541">
        <v>540</v>
      </c>
      <c r="B541" t="str">
        <v>MASS BSF</v>
      </c>
      <c r="C541" t="str">
        <v>F8R-810</v>
      </c>
      <c r="D541" t="str">
        <v>F8R-810</v>
      </c>
      <c r="E541" t="str">
        <v/>
      </c>
      <c r="F541" t="str">
        <v>867806078868827</v>
      </c>
      <c r="G541" t="str">
        <v>TBD</v>
      </c>
      <c r="H541" t="str">
        <v/>
      </c>
      <c r="I541" t="str">
        <v/>
      </c>
      <c r="J541" t="str">
        <v>24/09/2026</v>
      </c>
      <c r="K541" t="str">
        <v>14:07:44</v>
      </c>
      <c r="L541">
        <v>-12.220388</v>
      </c>
      <c r="M541">
        <v>-76.97599</v>
      </c>
      <c r="N541">
        <f>HYPERLINK("https://www.google.com/maps/search/?api=1&amp;query=-12.220388,-76.97599","Antigua Panamericana Sur, Villa El Salvador, Lima")</f>
      </c>
      <c r="O541" t="str">
        <v>Aceleración brusca</v>
      </c>
      <c r="P541">
        <v>1430.1</v>
      </c>
      <c r="Q541" t="str">
        <v/>
      </c>
      <c r="R541">
        <v>49</v>
      </c>
      <c r="S541">
        <v>56.85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85</v>
      </c>
      <c r="AB541" t="str">
        <v>24/09/2026</v>
      </c>
      <c r="AC541" t="str">
        <v>14:07:43</v>
      </c>
      <c r="AD541">
        <f>IF("ONLINE"="NOGPS","GPS Antiguo","En línea")</f>
      </c>
      <c r="AE541">
        <f>IF(0=0,"Sin atender", IF(0=1,"Atendida","Atendida y Reportada"))</f>
      </c>
      <c r="AF541" t="str">
        <v/>
      </c>
      <c r="AG541" t="str">
        <v/>
      </c>
      <c r="AH541" t="str">
        <v/>
      </c>
      <c r="AI541" t="str">
        <v/>
      </c>
      <c r="AJ541" t="str">
        <v>24/09/2026 14:07:53</v>
      </c>
      <c r="AK541" t="str">
        <v>14:07:53</v>
      </c>
      <c r="AL541" t="str">
        <v/>
      </c>
    </row>
    <row r="542">
      <c r="A542">
        <v>541</v>
      </c>
      <c r="B542" t="str">
        <v>MASS BSF</v>
      </c>
      <c r="C542" t="str">
        <v>F8R-810</v>
      </c>
      <c r="D542" t="str">
        <v>F8R-810</v>
      </c>
      <c r="E542" t="str">
        <v/>
      </c>
      <c r="F542" t="str">
        <v>867806078868827</v>
      </c>
      <c r="G542" t="str">
        <v>TBD</v>
      </c>
      <c r="H542" t="str">
        <v/>
      </c>
      <c r="I542" t="str">
        <v/>
      </c>
      <c r="J542" t="str">
        <v>24/09/2026</v>
      </c>
      <c r="K542" t="str">
        <v>14:07:55</v>
      </c>
      <c r="L542">
        <v>-12.219173</v>
      </c>
      <c r="M542">
        <v>-76.9758</v>
      </c>
      <c r="N542">
        <f>HYPERLINK("https://www.google.com/maps/search/?api=1&amp;query=-12.219173,-76.9758","Villa El Salvador, Lima")</f>
      </c>
      <c r="O542" t="str">
        <v>Acelerado y giro brusco</v>
      </c>
      <c r="P542">
        <v>1430.2</v>
      </c>
      <c r="Q542" t="str">
        <v/>
      </c>
      <c r="R542">
        <v>39.2</v>
      </c>
      <c r="S542">
        <v>56.85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85</v>
      </c>
      <c r="AB542" t="str">
        <v>24/09/2026</v>
      </c>
      <c r="AC542" t="str">
        <v>14:07:54</v>
      </c>
      <c r="AD542">
        <f>IF("ONLINE"="NOGPS","GPS Antiguo","En línea")</f>
      </c>
      <c r="AE542">
        <f>IF(0=0,"Sin atender", IF(0=1,"Atendida","Atendida y Reportada"))</f>
      </c>
      <c r="AF542" t="str">
        <v/>
      </c>
      <c r="AG542" t="str">
        <v/>
      </c>
      <c r="AH542" t="str">
        <v/>
      </c>
      <c r="AI542" t="str">
        <v/>
      </c>
      <c r="AJ542" t="str">
        <v>24/09/2026 14:08:14</v>
      </c>
      <c r="AK542" t="str">
        <v>14:08:14</v>
      </c>
      <c r="AL542" t="str">
        <v/>
      </c>
    </row>
    <row r="543">
      <c r="A543">
        <v>542</v>
      </c>
      <c r="B543" t="str">
        <v>MASS BSF</v>
      </c>
      <c r="C543" t="str">
        <v>F8R-810</v>
      </c>
      <c r="D543" t="str">
        <v>F8R-810</v>
      </c>
      <c r="E543" t="str">
        <v/>
      </c>
      <c r="F543" t="str">
        <v>867806078868827</v>
      </c>
      <c r="G543" t="str">
        <v>TBD</v>
      </c>
      <c r="H543" t="str">
        <v/>
      </c>
      <c r="I543" t="str">
        <v/>
      </c>
      <c r="J543" t="str">
        <v>24/09/2026</v>
      </c>
      <c r="K543" t="str">
        <v>14:10:09</v>
      </c>
      <c r="L543">
        <v>-12.217958</v>
      </c>
      <c r="M543">
        <v>-76.978485</v>
      </c>
      <c r="N543">
        <f>HYPERLINK("https://www.google.com/maps/search/?api=1&amp;query=-12.217958,-76.978485","Avenida Caminos del Inca, Chorrillos, Lima")</f>
      </c>
      <c r="O543" t="str">
        <v>Aceleración brusca</v>
      </c>
      <c r="P543">
        <v>1431.3</v>
      </c>
      <c r="Q543" t="str">
        <v/>
      </c>
      <c r="R543">
        <v>28.1</v>
      </c>
      <c r="S543">
        <v>56.85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>
        <v>85</v>
      </c>
      <c r="AB543" t="str">
        <v>24/09/2026</v>
      </c>
      <c r="AC543" t="str">
        <v>14:10:08</v>
      </c>
      <c r="AD543">
        <f>IF("ONLINE"="NOGPS","GPS Antiguo","En línea")</f>
      </c>
      <c r="AE543">
        <f>IF(0=0,"Sin atender", IF(0=1,"Atendida","Atendida y Reportada"))</f>
      </c>
      <c r="AF543" t="str">
        <v/>
      </c>
      <c r="AG543" t="str">
        <v/>
      </c>
      <c r="AH543" t="str">
        <v/>
      </c>
      <c r="AI543" t="str">
        <v/>
      </c>
      <c r="AJ543" t="str">
        <v>24/09/2026 14:10:29</v>
      </c>
      <c r="AK543" t="str">
        <v>14:10:29</v>
      </c>
      <c r="AL543" t="str">
        <v/>
      </c>
    </row>
    <row r="544">
      <c r="A544">
        <v>543</v>
      </c>
      <c r="B544" t="str">
        <v>MASS BSF</v>
      </c>
      <c r="C544" t="str">
        <v>F8R-810</v>
      </c>
      <c r="D544" t="str">
        <v>F8R-810</v>
      </c>
      <c r="E544" t="str">
        <v/>
      </c>
      <c r="F544" t="str">
        <v>867806078868827</v>
      </c>
      <c r="G544" t="str">
        <v>TBD</v>
      </c>
      <c r="H544" t="str">
        <v/>
      </c>
      <c r="I544" t="str">
        <v/>
      </c>
      <c r="J544" t="str">
        <v>24/09/2026</v>
      </c>
      <c r="K544" t="str">
        <v>14:10:15</v>
      </c>
      <c r="L544">
        <v>-12.21801</v>
      </c>
      <c r="M544">
        <v>-76.97817</v>
      </c>
      <c r="N544">
        <f>HYPERLINK("https://www.google.com/maps/search/?api=1&amp;query=-12.21801,-76.97817","Avenida Caminos del Inca, Chorrillos, Lima")</f>
      </c>
      <c r="O544" t="str">
        <v>Bache</v>
      </c>
      <c r="P544">
        <v>1431.4</v>
      </c>
      <c r="Q544" t="str">
        <v/>
      </c>
      <c r="R544">
        <v>6.2</v>
      </c>
      <c r="S544">
        <v>56.85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>
        <v>85</v>
      </c>
      <c r="AB544" t="str">
        <v>24/09/2026</v>
      </c>
      <c r="AC544" t="str">
        <v>14:10:14</v>
      </c>
      <c r="AD544">
        <f>IF("ONLINE"="NOGPS","GPS Antiguo","En línea")</f>
      </c>
      <c r="AE544">
        <f>IF(0=0,"Sin atender", IF(0=1,"Atendida","Atendida y Reportada"))</f>
      </c>
      <c r="AF544" t="str">
        <v/>
      </c>
      <c r="AG544" t="str">
        <v/>
      </c>
      <c r="AH544" t="str">
        <v/>
      </c>
      <c r="AI544" t="str">
        <v/>
      </c>
      <c r="AJ544" t="str">
        <v>24/09/2026 14:10:23</v>
      </c>
      <c r="AK544" t="str">
        <v>14:10:23</v>
      </c>
      <c r="AL544" t="str">
        <v/>
      </c>
    </row>
    <row r="545">
      <c r="A545">
        <v>544</v>
      </c>
      <c r="B545" t="str">
        <v>MASS BSF</v>
      </c>
      <c r="C545" t="str">
        <v>F8R-810</v>
      </c>
      <c r="D545" t="str">
        <v>F8R-810</v>
      </c>
      <c r="E545" t="str">
        <v/>
      </c>
      <c r="F545" t="str">
        <v>867806078868827</v>
      </c>
      <c r="G545" t="str">
        <v>TBD</v>
      </c>
      <c r="H545" t="str">
        <v/>
      </c>
      <c r="I545" t="str">
        <v/>
      </c>
      <c r="J545" t="str">
        <v>24/09/2026</v>
      </c>
      <c r="K545" t="str">
        <v>14:11:13</v>
      </c>
      <c r="L545">
        <v>-12.218123</v>
      </c>
      <c r="M545">
        <v>-76.97644</v>
      </c>
      <c r="N545">
        <f>HYPERLINK("https://www.google.com/maps/search/?api=1&amp;query=-12.218123,-76.97644","Villa El Salvador, Lima")</f>
      </c>
      <c r="O545" t="str">
        <v>Acelerado y giro brusco</v>
      </c>
      <c r="P545">
        <v>1431.6</v>
      </c>
      <c r="Q545" t="str">
        <v/>
      </c>
      <c r="R545">
        <v>22</v>
      </c>
      <c r="S545">
        <v>56.85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>
        <v>85</v>
      </c>
      <c r="AB545" t="str">
        <v>24/09/2026</v>
      </c>
      <c r="AC545" t="str">
        <v>14:11:12</v>
      </c>
      <c r="AD545">
        <f>IF("ONLINE"="NOGPS","GPS Antiguo","En línea")</f>
      </c>
      <c r="AE545">
        <f>IF(0=0,"Sin atender", IF(0=1,"Atendida","Atendida y Reportada"))</f>
      </c>
      <c r="AF545" t="str">
        <v/>
      </c>
      <c r="AG545" t="str">
        <v/>
      </c>
      <c r="AH545" t="str">
        <v/>
      </c>
      <c r="AI545" t="str">
        <v/>
      </c>
      <c r="AJ545" t="str">
        <v>24/09/2026 14:11:31</v>
      </c>
      <c r="AK545" t="str">
        <v>14:11:31</v>
      </c>
      <c r="AL545" t="str">
        <v/>
      </c>
    </row>
    <row r="546">
      <c r="A546">
        <v>545</v>
      </c>
      <c r="B546" t="str">
        <v>MASS BSF</v>
      </c>
      <c r="C546" t="str">
        <v>F8R-810</v>
      </c>
      <c r="D546" t="str">
        <v>F8R-810</v>
      </c>
      <c r="E546" t="str">
        <v/>
      </c>
      <c r="F546" t="str">
        <v>867806078868827</v>
      </c>
      <c r="G546" t="str">
        <v>TBD</v>
      </c>
      <c r="H546" t="str">
        <v/>
      </c>
      <c r="I546" t="str">
        <v/>
      </c>
      <c r="J546" t="str">
        <v>24/09/2026</v>
      </c>
      <c r="K546" t="str">
        <v>14:11:26</v>
      </c>
      <c r="L546">
        <v>-12.21837</v>
      </c>
      <c r="M546">
        <v>-76.97608</v>
      </c>
      <c r="N546">
        <f>HYPERLINK("https://www.google.com/maps/search/?api=1&amp;query=-12.21837,-76.97608","Villa El Salvador, Lima")</f>
      </c>
      <c r="O546" t="str">
        <v>Aceleración brusca</v>
      </c>
      <c r="P546">
        <v>1431.6</v>
      </c>
      <c r="Q546" t="str">
        <v/>
      </c>
      <c r="R546">
        <v>12.5</v>
      </c>
      <c r="S546">
        <v>56.85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>
        <v>89</v>
      </c>
      <c r="AB546" t="str">
        <v>24/09/2026</v>
      </c>
      <c r="AC546" t="str">
        <v>14:11:26</v>
      </c>
      <c r="AD546">
        <f>IF("ONLINE"="NOGPS","GPS Antiguo","En línea")</f>
      </c>
      <c r="AE546">
        <f>IF(0=0,"Sin atender", IF(0=1,"Atendida","Atendida y Reportada"))</f>
      </c>
      <c r="AF546" t="str">
        <v/>
      </c>
      <c r="AG546" t="str">
        <v/>
      </c>
      <c r="AH546" t="str">
        <v/>
      </c>
      <c r="AI546" t="str">
        <v/>
      </c>
      <c r="AJ546" t="str">
        <v>24/09/2026 14:11:48</v>
      </c>
      <c r="AK546" t="str">
        <v>14:11:48</v>
      </c>
      <c r="AL546" t="str">
        <v/>
      </c>
    </row>
    <row r="547">
      <c r="A547">
        <v>546</v>
      </c>
      <c r="B547" t="str">
        <v>MASS BSF</v>
      </c>
      <c r="C547" t="str">
        <v>F8R-810</v>
      </c>
      <c r="D547" t="str">
        <v>F8R-810</v>
      </c>
      <c r="E547" t="str">
        <v/>
      </c>
      <c r="F547" t="str">
        <v>867806078868827</v>
      </c>
      <c r="G547" t="str">
        <v>TBD</v>
      </c>
      <c r="H547" t="str">
        <v/>
      </c>
      <c r="I547" t="str">
        <v/>
      </c>
      <c r="J547" t="str">
        <v>24/09/2026</v>
      </c>
      <c r="K547" t="str">
        <v>14:11:55</v>
      </c>
      <c r="L547">
        <v>-12.219233</v>
      </c>
      <c r="M547">
        <v>-76.97607</v>
      </c>
      <c r="N547">
        <f>HYPERLINK("https://www.google.com/maps/search/?api=1&amp;query=-12.219233,-76.97607","Villa El Salvador, Lima")</f>
      </c>
      <c r="O547" t="str">
        <v>Acelerado y giro brusco</v>
      </c>
      <c r="P547">
        <v>1431.7</v>
      </c>
      <c r="Q547" t="str">
        <v/>
      </c>
      <c r="R547">
        <v>13.3</v>
      </c>
      <c r="S547">
        <v>56.85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>
        <v>85</v>
      </c>
      <c r="AB547" t="str">
        <v>24/09/2026</v>
      </c>
      <c r="AC547" t="str">
        <v>14:11:54</v>
      </c>
      <c r="AD547">
        <f>IF("ONLINE"="NOGPS","GPS Antiguo","En línea")</f>
      </c>
      <c r="AE547">
        <f>IF(0=0,"Sin atender", IF(0=1,"Atendida","Atendida y Reportada"))</f>
      </c>
      <c r="AF547" t="str">
        <v/>
      </c>
      <c r="AG547" t="str">
        <v/>
      </c>
      <c r="AH547" t="str">
        <v/>
      </c>
      <c r="AI547" t="str">
        <v/>
      </c>
      <c r="AJ547" t="str">
        <v>24/09/2026 14:12:07</v>
      </c>
      <c r="AK547" t="str">
        <v>14:12:07</v>
      </c>
      <c r="AL547" t="str">
        <v/>
      </c>
    </row>
    <row r="548">
      <c r="A548">
        <v>547</v>
      </c>
      <c r="B548" t="str">
        <v>MASS BSF</v>
      </c>
      <c r="C548" t="str">
        <v>F8R-810</v>
      </c>
      <c r="D548" t="str">
        <v>F8R-810</v>
      </c>
      <c r="E548" t="str">
        <v/>
      </c>
      <c r="F548" t="str">
        <v>867806078868827</v>
      </c>
      <c r="G548" t="str">
        <v>TBD</v>
      </c>
      <c r="H548" t="str">
        <v/>
      </c>
      <c r="I548" t="str">
        <v/>
      </c>
      <c r="J548" t="str">
        <v>24/09/2026</v>
      </c>
      <c r="K548" t="str">
        <v>14:13:14</v>
      </c>
      <c r="L548">
        <v>-12.217685</v>
      </c>
      <c r="M548">
        <v>-76.97677</v>
      </c>
      <c r="N548">
        <f>HYPERLINK("https://www.google.com/maps/search/?api=1&amp;query=-12.217685,-76.97677","Carretera Panamericana Sur, Villa El Salvador, Lima")</f>
      </c>
      <c r="O548" t="str">
        <v>Acelerado y giro brusco</v>
      </c>
      <c r="P548">
        <v>1432</v>
      </c>
      <c r="Q548" t="str">
        <v/>
      </c>
      <c r="R548">
        <v>15.7</v>
      </c>
      <c r="S548">
        <v>56.85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>
        <v>90</v>
      </c>
      <c r="AB548" t="str">
        <v>24/09/2026</v>
      </c>
      <c r="AC548" t="str">
        <v>14:13:13</v>
      </c>
      <c r="AD548">
        <f>IF("ONLINE"="NOGPS","GPS Antiguo","En línea")</f>
      </c>
      <c r="AE548">
        <f>IF(0=0,"Sin atender", IF(0=1,"Atendida","Atendida y Reportada"))</f>
      </c>
      <c r="AF548" t="str">
        <v/>
      </c>
      <c r="AG548" t="str">
        <v/>
      </c>
      <c r="AH548" t="str">
        <v/>
      </c>
      <c r="AI548" t="str">
        <v/>
      </c>
      <c r="AJ548" t="str">
        <v>24/09/2026 14:13:21</v>
      </c>
      <c r="AK548" t="str">
        <v>14:13:21</v>
      </c>
      <c r="AL548" t="str">
        <v/>
      </c>
    </row>
    <row r="549">
      <c r="A549">
        <v>548</v>
      </c>
      <c r="B549" t="str">
        <v>MASS BSF</v>
      </c>
      <c r="C549" t="str">
        <v>F8R-810</v>
      </c>
      <c r="D549" t="str">
        <v>F8R-810</v>
      </c>
      <c r="E549" t="str">
        <v/>
      </c>
      <c r="F549" t="str">
        <v>867806078868827</v>
      </c>
      <c r="G549" t="str">
        <v>TBD</v>
      </c>
      <c r="H549" t="str">
        <v/>
      </c>
      <c r="I549" t="str">
        <v/>
      </c>
      <c r="J549" t="str">
        <v>24/09/2026</v>
      </c>
      <c r="K549" t="str">
        <v>14:13:20</v>
      </c>
      <c r="L549">
        <v>-12.217608</v>
      </c>
      <c r="M549">
        <v>-76.97654</v>
      </c>
      <c r="N549">
        <f>HYPERLINK("https://www.google.com/maps/search/?api=1&amp;query=-12.217608,-76.97654","Antigua Panamericana Sur, Villa El Salvador, Lima")</f>
      </c>
      <c r="O549" t="str">
        <v>Acelerado y giro brusco</v>
      </c>
      <c r="P549">
        <v>1432</v>
      </c>
      <c r="Q549" t="str">
        <v/>
      </c>
      <c r="R549">
        <v>18.1</v>
      </c>
      <c r="S549">
        <v>56.85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>
        <v>90</v>
      </c>
      <c r="AB549" t="str">
        <v>24/09/2026</v>
      </c>
      <c r="AC549" t="str">
        <v>14:13:19</v>
      </c>
      <c r="AD549">
        <f>IF("ONLINE"="NOGPS","GPS Antiguo","En línea")</f>
      </c>
      <c r="AE549">
        <f>IF(0=0,"Sin atender", IF(0=1,"Atendida","Atendida y Reportada"))</f>
      </c>
      <c r="AF549" t="str">
        <v/>
      </c>
      <c r="AG549" t="str">
        <v/>
      </c>
      <c r="AH549" t="str">
        <v/>
      </c>
      <c r="AI549" t="str">
        <v/>
      </c>
      <c r="AJ549" t="str">
        <v>24/09/2026 14:13:25</v>
      </c>
      <c r="AK549" t="str">
        <v>14:13:25</v>
      </c>
      <c r="AL549" t="str">
        <v/>
      </c>
    </row>
    <row r="550">
      <c r="A550">
        <v>549</v>
      </c>
      <c r="B550" t="str">
        <v>MASS BSF</v>
      </c>
      <c r="C550" t="str">
        <v>F8R-810</v>
      </c>
      <c r="D550" t="str">
        <v>F8R-810</v>
      </c>
      <c r="E550" t="str">
        <v/>
      </c>
      <c r="F550" t="str">
        <v>867806078868827</v>
      </c>
      <c r="G550" t="str">
        <v>TBD</v>
      </c>
      <c r="H550" t="str">
        <v/>
      </c>
      <c r="I550" t="str">
        <v/>
      </c>
      <c r="J550" t="str">
        <v>24/09/2026</v>
      </c>
      <c r="K550" t="str">
        <v>14:13:23</v>
      </c>
      <c r="L550">
        <v>-12.217684</v>
      </c>
      <c r="M550">
        <v>-76.9764</v>
      </c>
      <c r="N550">
        <f>HYPERLINK("https://www.google.com/maps/search/?api=1&amp;query=-12.217684,-76.9764","Antigua Panamericana Sur, Villa El Salvador, Lima")</f>
      </c>
      <c r="O550" t="str">
        <v>Acelerado y giro brusco</v>
      </c>
      <c r="P550">
        <v>1432</v>
      </c>
      <c r="Q550" t="str">
        <v/>
      </c>
      <c r="R550">
        <v>23.5</v>
      </c>
      <c r="S550">
        <v>56.85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>
        <v>90</v>
      </c>
      <c r="AB550" t="str">
        <v>24/09/2026</v>
      </c>
      <c r="AC550" t="str">
        <v>14:13:22</v>
      </c>
      <c r="AD550">
        <f>IF("ONLINE"="NOGPS","GPS Antiguo","En línea")</f>
      </c>
      <c r="AE550">
        <f>IF(0=0,"Sin atender", IF(0=1,"Atendida","Atendida y Reportada"))</f>
      </c>
      <c r="AF550" t="str">
        <v/>
      </c>
      <c r="AG550" t="str">
        <v/>
      </c>
      <c r="AH550" t="str">
        <v/>
      </c>
      <c r="AI550" t="str">
        <v/>
      </c>
      <c r="AJ550" t="str">
        <v>24/09/2026 14:13:34</v>
      </c>
      <c r="AK550" t="str">
        <v>14:13:34</v>
      </c>
      <c r="AL550" t="str">
        <v/>
      </c>
    </row>
    <row r="551">
      <c r="A551">
        <v>550</v>
      </c>
      <c r="B551" t="str">
        <v>MASS BSF</v>
      </c>
      <c r="C551" t="str">
        <v>F8R-810</v>
      </c>
      <c r="D551" t="str">
        <v>F8R-810</v>
      </c>
      <c r="E551" t="str">
        <v/>
      </c>
      <c r="F551" t="str">
        <v>867806078868827</v>
      </c>
      <c r="G551" t="str">
        <v>TBD</v>
      </c>
      <c r="H551" t="str">
        <v/>
      </c>
      <c r="I551" t="str">
        <v/>
      </c>
      <c r="J551" t="str">
        <v>24/09/2026</v>
      </c>
      <c r="K551" t="str">
        <v>14:13:43</v>
      </c>
      <c r="L551">
        <v>-12.219005</v>
      </c>
      <c r="M551">
        <v>-76.97559</v>
      </c>
      <c r="N551">
        <f>HYPERLINK("https://www.google.com/maps/search/?api=1&amp;query=-12.219005,-76.97559","Antigua Panamericana Sur, Villa El Salvador, Lima")</f>
      </c>
      <c r="O551" t="str">
        <v>Acelerado y giro brusco</v>
      </c>
      <c r="P551">
        <v>1432.2</v>
      </c>
      <c r="Q551" t="str">
        <v/>
      </c>
      <c r="R551">
        <v>35.7</v>
      </c>
      <c r="S551">
        <v>56.85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>
        <v>90</v>
      </c>
      <c r="AB551" t="str">
        <v>24/09/2026</v>
      </c>
      <c r="AC551" t="str">
        <v>14:13:42</v>
      </c>
      <c r="AD551">
        <f>IF("ONLINE"="NOGPS","GPS Antiguo","En línea")</f>
      </c>
      <c r="AE551">
        <f>IF(0=0,"Sin atender", IF(0=1,"Atendida","Atendida y Reportada"))</f>
      </c>
      <c r="AF551" t="str">
        <v/>
      </c>
      <c r="AG551" t="str">
        <v/>
      </c>
      <c r="AH551" t="str">
        <v/>
      </c>
      <c r="AI551" t="str">
        <v/>
      </c>
      <c r="AJ551" t="str">
        <v>24/09/2026 14:13:58</v>
      </c>
      <c r="AK551" t="str">
        <v>14:13:58</v>
      </c>
      <c r="AL551" t="str">
        <v/>
      </c>
    </row>
    <row r="552">
      <c r="A552">
        <v>551</v>
      </c>
      <c r="B552" t="str">
        <v>MASS BSF</v>
      </c>
      <c r="C552" t="str">
        <v>F8R-810</v>
      </c>
      <c r="D552" t="str">
        <v>F8R-810</v>
      </c>
      <c r="E552" t="str">
        <v/>
      </c>
      <c r="F552" t="str">
        <v>867806078868827</v>
      </c>
      <c r="G552" t="str">
        <v>TBD</v>
      </c>
      <c r="H552" t="str">
        <v/>
      </c>
      <c r="I552" t="str">
        <v/>
      </c>
      <c r="J552" t="str">
        <v>24/09/2026</v>
      </c>
      <c r="K552" t="str">
        <v>14:14:14</v>
      </c>
      <c r="L552">
        <v>-12.22162</v>
      </c>
      <c r="M552">
        <v>-76.97501</v>
      </c>
      <c r="N552">
        <f>HYPERLINK("https://www.google.com/maps/search/?api=1&amp;query=-12.22162,-76.97501","Antigua Panamericana Sur, Villa El Salvador, Lima")</f>
      </c>
      <c r="O552" t="str">
        <v>Aceleración brusca</v>
      </c>
      <c r="P552">
        <v>1432.5</v>
      </c>
      <c r="Q552" t="str">
        <v/>
      </c>
      <c r="R552">
        <v>33.1</v>
      </c>
      <c r="S552">
        <v>56.85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>
        <v>90</v>
      </c>
      <c r="AB552" t="str">
        <v>24/09/2026</v>
      </c>
      <c r="AC552" t="str">
        <v>14:14:13</v>
      </c>
      <c r="AD552">
        <f>IF("ONLINE"="NOGPS","GPS Antiguo","En línea")</f>
      </c>
      <c r="AE552">
        <f>IF(0=0,"Sin atender", IF(0=1,"Atendida","Atendida y Reportada"))</f>
      </c>
      <c r="AF552" t="str">
        <v/>
      </c>
      <c r="AG552" t="str">
        <v/>
      </c>
      <c r="AH552" t="str">
        <v/>
      </c>
      <c r="AI552" t="str">
        <v/>
      </c>
      <c r="AJ552" t="str">
        <v>24/09/2026 14:14:21</v>
      </c>
      <c r="AK552" t="str">
        <v>14:14:21</v>
      </c>
      <c r="AL552" t="str">
        <v/>
      </c>
    </row>
    <row r="553">
      <c r="A553">
        <v>552</v>
      </c>
      <c r="B553" t="str">
        <v>MASS BSF</v>
      </c>
      <c r="C553" t="str">
        <v>F8R-810</v>
      </c>
      <c r="D553" t="str">
        <v>F8R-810</v>
      </c>
      <c r="E553" t="str">
        <v/>
      </c>
      <c r="F553" t="str">
        <v>867806078868827</v>
      </c>
      <c r="G553" t="str">
        <v>TBD</v>
      </c>
      <c r="H553" t="str">
        <v/>
      </c>
      <c r="I553" t="str">
        <v/>
      </c>
      <c r="J553" t="str">
        <v>24/09/2026</v>
      </c>
      <c r="K553" t="str">
        <v>14:14:19</v>
      </c>
      <c r="L553">
        <v>-12.221862</v>
      </c>
      <c r="M553">
        <v>-76.97478</v>
      </c>
      <c r="N553">
        <f>HYPERLINK("https://www.google.com/maps/search/?api=1&amp;query=-12.221862,-76.97478","Antigua Panamericana Sur, Villa El Salvador, Lima")</f>
      </c>
      <c r="O553" t="str">
        <v>Acelerado y giro brusco</v>
      </c>
      <c r="P553">
        <v>1432.5</v>
      </c>
      <c r="Q553" t="str">
        <v/>
      </c>
      <c r="R553">
        <v>20.7</v>
      </c>
      <c r="S553">
        <v>56.85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>
        <v>90</v>
      </c>
      <c r="AB553" t="str">
        <v>24/09/2026</v>
      </c>
      <c r="AC553" t="str">
        <v>14:14:18</v>
      </c>
      <c r="AD553">
        <f>IF("ONLINE"="NOGPS","GPS Antiguo","En línea")</f>
      </c>
      <c r="AE553">
        <f>IF(0=0,"Sin atender", IF(0=1,"Atendida","Atendida y Reportada"))</f>
      </c>
      <c r="AF553" t="str">
        <v/>
      </c>
      <c r="AG553" t="str">
        <v/>
      </c>
      <c r="AH553" t="str">
        <v/>
      </c>
      <c r="AI553" t="str">
        <v/>
      </c>
      <c r="AJ553" t="str">
        <v>24/09/2026 14:14:23</v>
      </c>
      <c r="AK553" t="str">
        <v>14:14:23</v>
      </c>
      <c r="AL553" t="str">
        <v/>
      </c>
    </row>
    <row r="554">
      <c r="A554">
        <v>553</v>
      </c>
      <c r="B554" t="str">
        <v>MASS BSF</v>
      </c>
      <c r="C554" t="str">
        <v>F8R-810</v>
      </c>
      <c r="D554" t="str">
        <v>F8R-810</v>
      </c>
      <c r="E554" t="str">
        <v/>
      </c>
      <c r="F554" t="str">
        <v>867806078868827</v>
      </c>
      <c r="G554" t="str">
        <v>TBD</v>
      </c>
      <c r="H554" t="str">
        <v/>
      </c>
      <c r="I554" t="str">
        <v/>
      </c>
      <c r="J554" t="str">
        <v>24/09/2026</v>
      </c>
      <c r="K554" t="str">
        <v>14:14:40</v>
      </c>
      <c r="L554">
        <v>-12.222095</v>
      </c>
      <c r="M554">
        <v>-76.974266</v>
      </c>
      <c r="N554">
        <f>HYPERLINK("https://www.google.com/maps/search/?api=1&amp;query=-12.222095,-76.974266","Avenida El Sol, Villa El Salvador, Lima")</f>
      </c>
      <c r="O554" t="str">
        <v>Acelerado y giro brusco</v>
      </c>
      <c r="P554">
        <v>1432.6</v>
      </c>
      <c r="Q554" t="str">
        <v/>
      </c>
      <c r="R554">
        <v>13.8</v>
      </c>
      <c r="S554">
        <v>56.85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>
        <v>90</v>
      </c>
      <c r="AB554" t="str">
        <v>24/09/2026</v>
      </c>
      <c r="AC554" t="str">
        <v>14:14:39</v>
      </c>
      <c r="AD554">
        <f>IF("ONLINE"="NOGPS","GPS Antiguo","En línea")</f>
      </c>
      <c r="AE554">
        <f>IF(0=0,"Sin atender", IF(0=1,"Atendida","Atendida y Reportada"))</f>
      </c>
      <c r="AF554" t="str">
        <v/>
      </c>
      <c r="AG554" t="str">
        <v/>
      </c>
      <c r="AH554" t="str">
        <v/>
      </c>
      <c r="AI554" t="str">
        <v/>
      </c>
      <c r="AJ554" t="str">
        <v>24/09/2026 14:15:00</v>
      </c>
      <c r="AK554" t="str">
        <v>14:15:00</v>
      </c>
      <c r="AL554" t="str">
        <v/>
      </c>
    </row>
    <row r="555">
      <c r="A555">
        <v>554</v>
      </c>
      <c r="B555" t="str">
        <v>MASS BSF</v>
      </c>
      <c r="C555" t="str">
        <v>F8R-810</v>
      </c>
      <c r="D555" t="str">
        <v>F8R-810</v>
      </c>
      <c r="E555" t="str">
        <v/>
      </c>
      <c r="F555" t="str">
        <v>867806078868827</v>
      </c>
      <c r="G555" t="str">
        <v>TBD</v>
      </c>
      <c r="H555" t="str">
        <v/>
      </c>
      <c r="I555" t="str">
        <v/>
      </c>
      <c r="J555" t="str">
        <v>24/09/2026</v>
      </c>
      <c r="K555" t="str">
        <v>14:14:52</v>
      </c>
      <c r="L555">
        <v>-12.221702</v>
      </c>
      <c r="M555">
        <v>-76.97389</v>
      </c>
      <c r="N555">
        <f>HYPERLINK("https://www.google.com/maps/search/?api=1&amp;query=-12.221702,-76.97389","Avenida El Sol, Villa El Salvador, Lima")</f>
      </c>
      <c r="O555" t="str">
        <v>Acelerado y giro brusco</v>
      </c>
      <c r="P555">
        <v>1432.7</v>
      </c>
      <c r="Q555" t="str">
        <v/>
      </c>
      <c r="R555">
        <v>27.4</v>
      </c>
      <c r="S555">
        <v>56.85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>
        <v>90</v>
      </c>
      <c r="AB555" t="str">
        <v>24/09/2026</v>
      </c>
      <c r="AC555" t="str">
        <v>14:14:51</v>
      </c>
      <c r="AD555">
        <f>IF("ONLINE"="NOGPS","GPS Antiguo","En línea")</f>
      </c>
      <c r="AE555">
        <f>IF(0=0,"Sin atender", IF(0=1,"Atendida","Atendida y Reportada"))</f>
      </c>
      <c r="AF555" t="str">
        <v/>
      </c>
      <c r="AG555" t="str">
        <v/>
      </c>
      <c r="AH555" t="str">
        <v/>
      </c>
      <c r="AI555" t="str">
        <v/>
      </c>
      <c r="AJ555" t="str">
        <v>24/09/2026 14:15:01</v>
      </c>
      <c r="AK555" t="str">
        <v>14:15:01</v>
      </c>
      <c r="AL555" t="str">
        <v/>
      </c>
    </row>
    <row r="556">
      <c r="A556">
        <v>555</v>
      </c>
      <c r="B556" t="str">
        <v>MASS BSF</v>
      </c>
      <c r="C556" t="str">
        <v>F8R-810</v>
      </c>
      <c r="D556" t="str">
        <v>F8R-810</v>
      </c>
      <c r="E556" t="str">
        <v/>
      </c>
      <c r="F556" t="str">
        <v>867806078868827</v>
      </c>
      <c r="G556" t="str">
        <v>TBD</v>
      </c>
      <c r="H556" t="str">
        <v/>
      </c>
      <c r="I556" t="str">
        <v/>
      </c>
      <c r="J556" t="str">
        <v>24/09/2026</v>
      </c>
      <c r="K556" t="str">
        <v>14:15:48</v>
      </c>
      <c r="L556">
        <v>-12.219249</v>
      </c>
      <c r="M556">
        <v>-76.97133</v>
      </c>
      <c r="N556">
        <f>HYPERLINK("https://www.google.com/maps/search/?api=1&amp;query=-12.219249,-76.97133","Avenida El Sol, Villa El Salvador, Lima")</f>
      </c>
      <c r="O556" t="str">
        <v>Acelerado y giro brusco</v>
      </c>
      <c r="P556">
        <v>1433</v>
      </c>
      <c r="Q556" t="str">
        <v/>
      </c>
      <c r="R556">
        <v>15.1</v>
      </c>
      <c r="S556">
        <v>56.85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>
        <v>85</v>
      </c>
      <c r="AB556" t="str">
        <v>24/09/2026</v>
      </c>
      <c r="AC556" t="str">
        <v>14:15:47</v>
      </c>
      <c r="AD556">
        <f>IF("ONLINE"="NOGPS","GPS Antiguo","En línea")</f>
      </c>
      <c r="AE556">
        <f>IF(0=0,"Sin atender", IF(0=1,"Atendida","Atendida y Reportada"))</f>
      </c>
      <c r="AF556" t="str">
        <v/>
      </c>
      <c r="AG556" t="str">
        <v/>
      </c>
      <c r="AH556" t="str">
        <v/>
      </c>
      <c r="AI556" t="str">
        <v/>
      </c>
      <c r="AJ556" t="str">
        <v>24/09/2026 14:15:59</v>
      </c>
      <c r="AK556" t="str">
        <v>14:15:59</v>
      </c>
      <c r="AL556" t="str">
        <v/>
      </c>
    </row>
    <row r="557">
      <c r="A557">
        <v>556</v>
      </c>
      <c r="B557" t="str">
        <v>MASS BSF</v>
      </c>
      <c r="C557" t="str">
        <v>F8R-810</v>
      </c>
      <c r="D557" t="str">
        <v>F8R-810</v>
      </c>
      <c r="E557" t="str">
        <v/>
      </c>
      <c r="F557" t="str">
        <v>867806078868827</v>
      </c>
      <c r="G557" t="str">
        <v>TBD</v>
      </c>
      <c r="H557" t="str">
        <v/>
      </c>
      <c r="I557" t="str">
        <v/>
      </c>
      <c r="J557" t="str">
        <v>24/09/2026</v>
      </c>
      <c r="K557" t="str">
        <v>14:16:01</v>
      </c>
      <c r="L557">
        <v>-12.218935</v>
      </c>
      <c r="M557">
        <v>-76.97099</v>
      </c>
      <c r="N557">
        <f>HYPERLINK("https://www.google.com/maps/search/?api=1&amp;query=-12.218935,-76.97099","Avenida El Sol, Villa El Salvador, Lima")</f>
      </c>
      <c r="O557" t="str">
        <v>Acelerado y giro brusco</v>
      </c>
      <c r="P557">
        <v>1433.1</v>
      </c>
      <c r="Q557" t="str">
        <v/>
      </c>
      <c r="R557">
        <v>16.2</v>
      </c>
      <c r="S557">
        <v>56.85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>
        <v>85</v>
      </c>
      <c r="AB557" t="str">
        <v>24/09/2026</v>
      </c>
      <c r="AC557" t="str">
        <v>14:16:00</v>
      </c>
      <c r="AD557">
        <f>IF("ONLINE"="NOGPS","GPS Antiguo","En línea")</f>
      </c>
      <c r="AE557">
        <f>IF(0=0,"Sin atender", IF(0=1,"Atendida","Atendida y Reportada"))</f>
      </c>
      <c r="AF557" t="str">
        <v/>
      </c>
      <c r="AG557" t="str">
        <v/>
      </c>
      <c r="AH557" t="str">
        <v/>
      </c>
      <c r="AI557" t="str">
        <v/>
      </c>
      <c r="AJ557" t="str">
        <v>24/09/2026 14:16:14</v>
      </c>
      <c r="AK557" t="str">
        <v>14:16:14</v>
      </c>
      <c r="AL557" t="str">
        <v/>
      </c>
    </row>
    <row r="558">
      <c r="A558">
        <v>557</v>
      </c>
      <c r="B558" t="str">
        <v>MASS BSF</v>
      </c>
      <c r="C558" t="str">
        <v>F8R-810</v>
      </c>
      <c r="D558" t="str">
        <v>F8R-810</v>
      </c>
      <c r="E558" t="str">
        <v/>
      </c>
      <c r="F558" t="str">
        <v>867806078868827</v>
      </c>
      <c r="G558" t="str">
        <v>TBD</v>
      </c>
      <c r="H558" t="str">
        <v/>
      </c>
      <c r="I558" t="str">
        <v/>
      </c>
      <c r="J558" t="str">
        <v>24/09/2026</v>
      </c>
      <c r="K558" t="str">
        <v>14:16:41</v>
      </c>
      <c r="L558">
        <v>-12.217838</v>
      </c>
      <c r="M558">
        <v>-76.96983</v>
      </c>
      <c r="N558">
        <f>HYPERLINK("https://www.google.com/maps/search/?api=1&amp;query=-12.217838,-76.96983","Avenida El Sol, Villa El Salvador, Lima")</f>
      </c>
      <c r="O558" t="str">
        <v>Aceleración brusca</v>
      </c>
      <c r="P558">
        <v>1433.3</v>
      </c>
      <c r="Q558" t="str">
        <v/>
      </c>
      <c r="R558">
        <v>15.9</v>
      </c>
      <c r="S558">
        <v>56.85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>
        <v>85</v>
      </c>
      <c r="AB558" t="str">
        <v>24/09/2026</v>
      </c>
      <c r="AC558" t="str">
        <v>14:16:40</v>
      </c>
      <c r="AD558">
        <f>IF("ONLINE"="NOGPS","GPS Antiguo","En línea")</f>
      </c>
      <c r="AE558">
        <f>IF(0=0,"Sin atender", IF(0=1,"Atendida","Atendida y Reportada"))</f>
      </c>
      <c r="AF558" t="str">
        <v/>
      </c>
      <c r="AG558" t="str">
        <v/>
      </c>
      <c r="AH558" t="str">
        <v/>
      </c>
      <c r="AI558" t="str">
        <v/>
      </c>
      <c r="AJ558" t="str">
        <v>24/09/2026 14:16:59</v>
      </c>
      <c r="AK558" t="str">
        <v>14:16:59</v>
      </c>
      <c r="AL558" t="str">
        <v/>
      </c>
    </row>
    <row r="559">
      <c r="A559">
        <v>558</v>
      </c>
      <c r="B559" t="str">
        <v>MASS BSF</v>
      </c>
      <c r="C559" t="str">
        <v>F8R-810</v>
      </c>
      <c r="D559" t="str">
        <v>F8R-810</v>
      </c>
      <c r="E559" t="str">
        <v/>
      </c>
      <c r="F559" t="str">
        <v>867806078868827</v>
      </c>
      <c r="G559" t="str">
        <v>TBD</v>
      </c>
      <c r="H559" t="str">
        <v/>
      </c>
      <c r="I559" t="str">
        <v/>
      </c>
      <c r="J559" t="str">
        <v>24/09/2026</v>
      </c>
      <c r="K559" t="str">
        <v>14:17:04</v>
      </c>
      <c r="L559">
        <v>-12.217154</v>
      </c>
      <c r="M559">
        <v>-76.96909</v>
      </c>
      <c r="N559">
        <f>HYPERLINK("https://www.google.com/maps/search/?api=1&amp;query=-12.217154,-76.96909","Avenida El Sol, Villa El Salvador, Lima")</f>
      </c>
      <c r="O559" t="str">
        <v>Aceleración brusca</v>
      </c>
      <c r="P559">
        <v>1433.4</v>
      </c>
      <c r="Q559" t="str">
        <v/>
      </c>
      <c r="R559">
        <v>21.1</v>
      </c>
      <c r="S559">
        <v>56.85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>
        <v>85</v>
      </c>
      <c r="AB559" t="str">
        <v>24/09/2026</v>
      </c>
      <c r="AC559" t="str">
        <v>14:17:03</v>
      </c>
      <c r="AD559">
        <f>IF("ONLINE"="NOGPS","GPS Antiguo","En línea")</f>
      </c>
      <c r="AE559">
        <f>IF(0=0,"Sin atender", IF(0=1,"Atendida","Atendida y Reportada"))</f>
      </c>
      <c r="AF559" t="str">
        <v/>
      </c>
      <c r="AG559" t="str">
        <v/>
      </c>
      <c r="AH559" t="str">
        <v/>
      </c>
      <c r="AI559" t="str">
        <v/>
      </c>
      <c r="AJ559" t="str">
        <v>24/09/2026 14:17:29</v>
      </c>
      <c r="AK559" t="str">
        <v>14:17:29</v>
      </c>
      <c r="AL559" t="str">
        <v/>
      </c>
    </row>
    <row r="560">
      <c r="A560">
        <v>559</v>
      </c>
      <c r="B560" t="str">
        <v>MASS BSF</v>
      </c>
      <c r="C560" t="str">
        <v>F8R-810</v>
      </c>
      <c r="D560" t="str">
        <v>F8R-810</v>
      </c>
      <c r="E560" t="str">
        <v/>
      </c>
      <c r="F560" t="str">
        <v>867806078868827</v>
      </c>
      <c r="G560" t="str">
        <v>TBD</v>
      </c>
      <c r="H560" t="str">
        <v/>
      </c>
      <c r="I560" t="str">
        <v/>
      </c>
      <c r="J560" t="str">
        <v>24/09/2026</v>
      </c>
      <c r="K560" t="str">
        <v>14:17:12</v>
      </c>
      <c r="L560">
        <v>-12.216937</v>
      </c>
      <c r="M560">
        <v>-76.96885</v>
      </c>
      <c r="N560">
        <f>HYPERLINK("https://www.google.com/maps/search/?api=1&amp;query=-12.216937,-76.96885","Avenida El Sol, Villa El Salvador, Lima")</f>
      </c>
      <c r="O560" t="str">
        <v>Bache</v>
      </c>
      <c r="P560">
        <v>1433.4</v>
      </c>
      <c r="Q560" t="str">
        <v/>
      </c>
      <c r="R560">
        <v>5.7</v>
      </c>
      <c r="S560">
        <v>56.85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>
        <v>85</v>
      </c>
      <c r="AB560" t="str">
        <v>24/09/2026</v>
      </c>
      <c r="AC560" t="str">
        <v>14:17:11</v>
      </c>
      <c r="AD560">
        <f>IF("ONLINE"="NOGPS","GPS Antiguo","En línea")</f>
      </c>
      <c r="AE560">
        <f>IF(0=0,"Sin atender", IF(0=1,"Atendida","Atendida y Reportada"))</f>
      </c>
      <c r="AF560" t="str">
        <v/>
      </c>
      <c r="AG560" t="str">
        <v/>
      </c>
      <c r="AH560" t="str">
        <v/>
      </c>
      <c r="AI560" t="str">
        <v/>
      </c>
      <c r="AJ560" t="str">
        <v>24/09/2026 14:17:42</v>
      </c>
      <c r="AK560" t="str">
        <v>14:17:42</v>
      </c>
      <c r="AL560" t="str">
        <v/>
      </c>
    </row>
    <row r="561">
      <c r="A561">
        <v>560</v>
      </c>
      <c r="B561" t="str">
        <v>MASS BSF</v>
      </c>
      <c r="C561" t="str">
        <v>F8R-810</v>
      </c>
      <c r="D561" t="str">
        <v>F8R-810</v>
      </c>
      <c r="E561" t="str">
        <v/>
      </c>
      <c r="F561" t="str">
        <v>867806078868827</v>
      </c>
      <c r="G561" t="str">
        <v>TBD</v>
      </c>
      <c r="H561" t="str">
        <v/>
      </c>
      <c r="I561" t="str">
        <v/>
      </c>
      <c r="J561" t="str">
        <v>24/09/2026</v>
      </c>
      <c r="K561" t="str">
        <v>14:17:47</v>
      </c>
      <c r="L561">
        <v>-12.215667</v>
      </c>
      <c r="M561">
        <v>-76.96764</v>
      </c>
      <c r="N561">
        <f>HYPERLINK("https://www.google.com/maps/search/?api=1&amp;query=-12.215667,-76.96764","Avenida El Sol, Villa El Salvador, Lima")</f>
      </c>
      <c r="O561" t="str">
        <v>Acelerado y giro brusco</v>
      </c>
      <c r="P561">
        <v>1433.6</v>
      </c>
      <c r="Q561" t="str">
        <v/>
      </c>
      <c r="R561">
        <v>32.2</v>
      </c>
      <c r="S561">
        <v>56.85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>
        <v>85</v>
      </c>
      <c r="AB561" t="str">
        <v>24/09/2026</v>
      </c>
      <c r="AC561" t="str">
        <v>14:17:47</v>
      </c>
      <c r="AD561">
        <f>IF("ONLINE"="NOGPS","GPS Antiguo","En línea")</f>
      </c>
      <c r="AE561">
        <f>IF(0=0,"Sin atender", IF(0=1,"Atendida","Atendida y Reportada"))</f>
      </c>
      <c r="AF561" t="str">
        <v/>
      </c>
      <c r="AG561" t="str">
        <v/>
      </c>
      <c r="AH561" t="str">
        <v/>
      </c>
      <c r="AI561" t="str">
        <v/>
      </c>
      <c r="AJ561" t="str">
        <v>24/09/2026 14:18:03</v>
      </c>
      <c r="AK561" t="str">
        <v>14:18:03</v>
      </c>
      <c r="AL561" t="str">
        <v/>
      </c>
    </row>
    <row r="562">
      <c r="A562">
        <v>561</v>
      </c>
      <c r="B562" t="str">
        <v>MASS BSF</v>
      </c>
      <c r="C562" t="str">
        <v>F8R-810</v>
      </c>
      <c r="D562" t="str">
        <v>F8R-810</v>
      </c>
      <c r="E562" t="str">
        <v/>
      </c>
      <c r="F562" t="str">
        <v>867806078868827</v>
      </c>
      <c r="G562" t="str">
        <v>TBD</v>
      </c>
      <c r="H562" t="str">
        <v/>
      </c>
      <c r="I562" t="str">
        <v/>
      </c>
      <c r="J562" t="str">
        <v>24/09/2026</v>
      </c>
      <c r="K562" t="str">
        <v>14:18:10</v>
      </c>
      <c r="L562">
        <v>-12.21418</v>
      </c>
      <c r="M562">
        <v>-76.96649</v>
      </c>
      <c r="N562">
        <f>HYPERLINK("https://www.google.com/maps/search/?api=1&amp;query=-12.21418,-76.96649","Avenida El Sol, Villa El Salvador, Lima")</f>
      </c>
      <c r="O562" t="str">
        <v>Aceleración brusca</v>
      </c>
      <c r="P562">
        <v>1433.8</v>
      </c>
      <c r="Q562" t="str">
        <v/>
      </c>
      <c r="R562">
        <v>34</v>
      </c>
      <c r="S562">
        <v>56.85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>
        <v>85</v>
      </c>
      <c r="AB562" t="str">
        <v>24/09/2026</v>
      </c>
      <c r="AC562" t="str">
        <v>14:18:09</v>
      </c>
      <c r="AD562">
        <f>IF("ONLINE"="NOGPS","GPS Antiguo","En línea")</f>
      </c>
      <c r="AE562">
        <f>IF(0=0,"Sin atender", IF(0=1,"Atendida","Atendida y Reportada"))</f>
      </c>
      <c r="AF562" t="str">
        <v/>
      </c>
      <c r="AG562" t="str">
        <v/>
      </c>
      <c r="AH562" t="str">
        <v/>
      </c>
      <c r="AI562" t="str">
        <v/>
      </c>
      <c r="AJ562" t="str">
        <v>24/09/2026 14:18:31</v>
      </c>
      <c r="AK562" t="str">
        <v>14:18:31</v>
      </c>
      <c r="AL562" t="str">
        <v/>
      </c>
    </row>
    <row r="563">
      <c r="A563">
        <v>562</v>
      </c>
      <c r="B563" t="str">
        <v>MASS BSF</v>
      </c>
      <c r="C563" t="str">
        <v>F8R-810</v>
      </c>
      <c r="D563" t="str">
        <v>F8R-810</v>
      </c>
      <c r="E563" t="str">
        <v/>
      </c>
      <c r="F563" t="str">
        <v>867806078868827</v>
      </c>
      <c r="G563" t="str">
        <v>TBD</v>
      </c>
      <c r="H563" t="str">
        <v/>
      </c>
      <c r="I563" t="str">
        <v/>
      </c>
      <c r="J563" t="str">
        <v>24/09/2026</v>
      </c>
      <c r="K563" t="str">
        <v>14:18:19</v>
      </c>
      <c r="L563">
        <v>-12.213676</v>
      </c>
      <c r="M563">
        <v>-76.96599</v>
      </c>
      <c r="N563">
        <f>HYPERLINK("https://www.google.com/maps/search/?api=1&amp;query=-12.213676,-76.96599","Avenida El Sol, Villa El Salvador, Lima")</f>
      </c>
      <c r="O563" t="str">
        <v>Acelerado y giro brusco</v>
      </c>
      <c r="P563">
        <v>1433.9</v>
      </c>
      <c r="Q563" t="str">
        <v/>
      </c>
      <c r="R563">
        <v>27.5</v>
      </c>
      <c r="S563">
        <v>56.85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>
        <v>85</v>
      </c>
      <c r="AB563" t="str">
        <v>24/09/2026</v>
      </c>
      <c r="AC563" t="str">
        <v>14:18:18</v>
      </c>
      <c r="AD563">
        <f>IF("ONLINE"="NOGPS","GPS Antiguo","En línea")</f>
      </c>
      <c r="AE563">
        <f>IF(0=0,"Sin atender", IF(0=1,"Atendida","Atendida y Reportada"))</f>
      </c>
      <c r="AF563" t="str">
        <v/>
      </c>
      <c r="AG563" t="str">
        <v/>
      </c>
      <c r="AH563" t="str">
        <v/>
      </c>
      <c r="AI563" t="str">
        <v/>
      </c>
      <c r="AJ563" t="str">
        <v>24/09/2026 14:18:27</v>
      </c>
      <c r="AK563" t="str">
        <v>14:18:27</v>
      </c>
      <c r="AL563" t="str">
        <v/>
      </c>
    </row>
    <row r="564">
      <c r="A564">
        <v>563</v>
      </c>
      <c r="B564" t="str">
        <v>MASS BSF</v>
      </c>
      <c r="C564" t="str">
        <v>F8R-810</v>
      </c>
      <c r="D564" t="str">
        <v>F8R-810</v>
      </c>
      <c r="E564" t="str">
        <v/>
      </c>
      <c r="F564" t="str">
        <v>867806078868827</v>
      </c>
      <c r="G564" t="str">
        <v>TBD</v>
      </c>
      <c r="H564" t="str">
        <v/>
      </c>
      <c r="I564" t="str">
        <v/>
      </c>
      <c r="J564" t="str">
        <v>24/09/2026</v>
      </c>
      <c r="K564" t="str">
        <v>14:19:16</v>
      </c>
      <c r="L564">
        <v>-12.211228</v>
      </c>
      <c r="M564">
        <v>-76.962</v>
      </c>
      <c r="N564">
        <f>HYPERLINK("https://www.google.com/maps/search/?api=1&amp;query=-12.211228,-76.962","Avenida El Sol, Villa El Salvador, Lima")</f>
      </c>
      <c r="O564" t="str">
        <v>Acelerado y giro brusco</v>
      </c>
      <c r="P564">
        <v>1434.4</v>
      </c>
      <c r="Q564" t="str">
        <v/>
      </c>
      <c r="R564">
        <v>10.3</v>
      </c>
      <c r="S564">
        <v>56.85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>
        <v>91</v>
      </c>
      <c r="AB564" t="str">
        <v>24/09/2026</v>
      </c>
      <c r="AC564" t="str">
        <v>14:19:15</v>
      </c>
      <c r="AD564">
        <f>IF("ONLINE"="NOGPS","GPS Antiguo","En línea")</f>
      </c>
      <c r="AE564">
        <f>IF(0=0,"Sin atender", IF(0=1,"Atendida","Atendida y Reportada"))</f>
      </c>
      <c r="AF564" t="str">
        <v/>
      </c>
      <c r="AG564" t="str">
        <v/>
      </c>
      <c r="AH564" t="str">
        <v/>
      </c>
      <c r="AI564" t="str">
        <v/>
      </c>
      <c r="AJ564" t="str">
        <v>24/09/2026 14:19:41</v>
      </c>
      <c r="AK564" t="str">
        <v>14:19:41</v>
      </c>
      <c r="AL564" t="str">
        <v/>
      </c>
    </row>
    <row r="565">
      <c r="A565">
        <v>564</v>
      </c>
      <c r="B565" t="str">
        <v>MASS BSF</v>
      </c>
      <c r="C565" t="str">
        <v>F8R-810</v>
      </c>
      <c r="D565" t="str">
        <v>F8R-810</v>
      </c>
      <c r="E565" t="str">
        <v/>
      </c>
      <c r="F565" t="str">
        <v>867806078868827</v>
      </c>
      <c r="G565" t="str">
        <v>TBD</v>
      </c>
      <c r="H565" t="str">
        <v/>
      </c>
      <c r="I565" t="str">
        <v/>
      </c>
      <c r="J565" t="str">
        <v>24/09/2026</v>
      </c>
      <c r="K565" t="str">
        <v>14:19:24</v>
      </c>
      <c r="L565">
        <v>-12.211335</v>
      </c>
      <c r="M565">
        <v>-76.96194</v>
      </c>
      <c r="N565">
        <f>HYPERLINK("https://www.google.com/maps/search/?api=1&amp;query=-12.211335,-76.96194","Calle 1, Villa El Salvador, Lima")</f>
      </c>
      <c r="O565" t="str">
        <v>Aceleración brusca</v>
      </c>
      <c r="P565">
        <v>1434.4</v>
      </c>
      <c r="Q565" t="str">
        <v/>
      </c>
      <c r="R565">
        <v>8.5</v>
      </c>
      <c r="S565">
        <v>56.85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>
        <v>91</v>
      </c>
      <c r="AB565" t="str">
        <v>24/09/2026</v>
      </c>
      <c r="AC565" t="str">
        <v>14:19:23</v>
      </c>
      <c r="AD565">
        <f>IF("ONLINE"="NOGPS","GPS Antiguo","En línea")</f>
      </c>
      <c r="AE565">
        <f>IF(0=0,"Sin atender", IF(0=1,"Atendida","Atendida y Reportada"))</f>
      </c>
      <c r="AF565" t="str">
        <v/>
      </c>
      <c r="AG565" t="str">
        <v/>
      </c>
      <c r="AH565" t="str">
        <v/>
      </c>
      <c r="AI565" t="str">
        <v/>
      </c>
      <c r="AJ565" t="str">
        <v>24/09/2026 14:19:43</v>
      </c>
      <c r="AK565" t="str">
        <v>14:19:43</v>
      </c>
      <c r="AL565" t="str">
        <v/>
      </c>
    </row>
    <row r="566">
      <c r="A566">
        <v>565</v>
      </c>
      <c r="B566" t="str">
        <v>MASS BSF</v>
      </c>
      <c r="C566" t="str">
        <v>F8R-810</v>
      </c>
      <c r="D566" t="str">
        <v>F8R-810</v>
      </c>
      <c r="E566" t="str">
        <v/>
      </c>
      <c r="F566" t="str">
        <v>867806078868827</v>
      </c>
      <c r="G566" t="str">
        <v>TBD</v>
      </c>
      <c r="H566" t="str">
        <v/>
      </c>
      <c r="I566" t="str">
        <v/>
      </c>
      <c r="J566" t="str">
        <v>24/09/2026</v>
      </c>
      <c r="K566" t="str">
        <v>14:19:27</v>
      </c>
      <c r="L566">
        <v>-12.21139</v>
      </c>
      <c r="M566">
        <v>-76.96193</v>
      </c>
      <c r="N566">
        <f>HYPERLINK("https://www.google.com/maps/search/?api=1&amp;query=-12.21139,-76.96193","Calle 1, Villa El Salvador, Lima")</f>
      </c>
      <c r="O566" t="str">
        <v>Giro brusco</v>
      </c>
      <c r="P566">
        <v>1434.4</v>
      </c>
      <c r="Q566" t="str">
        <v/>
      </c>
      <c r="R566">
        <v>6.2</v>
      </c>
      <c r="S566">
        <v>56.85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>
        <v>91</v>
      </c>
      <c r="AB566" t="str">
        <v>24/09/2026</v>
      </c>
      <c r="AC566" t="str">
        <v>14:19:26</v>
      </c>
      <c r="AD566">
        <f>IF("ONLINE"="NOGPS","GPS Antiguo","En línea")</f>
      </c>
      <c r="AE566">
        <f>IF(0=0,"Sin atender", IF(0=1,"Atendida","Atendida y Reportada"))</f>
      </c>
      <c r="AF566" t="str">
        <v/>
      </c>
      <c r="AG566" t="str">
        <v/>
      </c>
      <c r="AH566" t="str">
        <v/>
      </c>
      <c r="AI566" t="str">
        <v/>
      </c>
      <c r="AJ566" t="str">
        <v>24/09/2026 14:19:50</v>
      </c>
      <c r="AK566" t="str">
        <v>14:19:50</v>
      </c>
      <c r="AL566" t="str">
        <v/>
      </c>
    </row>
    <row r="567">
      <c r="A567">
        <v>566</v>
      </c>
      <c r="B567" t="str">
        <v>MASS BSF</v>
      </c>
      <c r="C567" t="str">
        <v>F8R-810</v>
      </c>
      <c r="D567" t="str">
        <v>F8R-810</v>
      </c>
      <c r="E567" t="str">
        <v/>
      </c>
      <c r="F567" t="str">
        <v>867806078868827</v>
      </c>
      <c r="G567" t="str">
        <v>TBD</v>
      </c>
      <c r="H567" t="str">
        <v/>
      </c>
      <c r="I567" t="str">
        <v/>
      </c>
      <c r="J567" t="str">
        <v>24/09/2026</v>
      </c>
      <c r="K567" t="str">
        <v>14:20:02</v>
      </c>
      <c r="L567">
        <v>-12.212103</v>
      </c>
      <c r="M567">
        <v>-76.96142</v>
      </c>
      <c r="N567">
        <f>HYPERLINK("https://www.google.com/maps/search/?api=1&amp;query=-12.212103,-76.96142","Calle 1, Villa El Salvador, Lima")</f>
      </c>
      <c r="O567" t="str">
        <v>Acelerado y giro brusco</v>
      </c>
      <c r="P567">
        <v>1434.5</v>
      </c>
      <c r="Q567" t="str">
        <v/>
      </c>
      <c r="R567">
        <v>11.4</v>
      </c>
      <c r="S567">
        <v>56.85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>
        <v>91</v>
      </c>
      <c r="AB567" t="str">
        <v>24/09/2026</v>
      </c>
      <c r="AC567" t="str">
        <v>14:20:01</v>
      </c>
      <c r="AD567">
        <f>IF("ONLINE"="NOGPS","GPS Antiguo","En línea")</f>
      </c>
      <c r="AE567">
        <f>IF(0=0,"Sin atender", IF(0=1,"Atendida","Atendida y Reportada"))</f>
      </c>
      <c r="AF567" t="str">
        <v/>
      </c>
      <c r="AG567" t="str">
        <v/>
      </c>
      <c r="AH567" t="str">
        <v/>
      </c>
      <c r="AI567" t="str">
        <v/>
      </c>
      <c r="AJ567" t="str">
        <v>24/09/2026 14:20:16</v>
      </c>
      <c r="AK567" t="str">
        <v>14:20:16</v>
      </c>
      <c r="AL567" t="str">
        <v/>
      </c>
    </row>
    <row r="568">
      <c r="A568">
        <v>567</v>
      </c>
      <c r="B568" t="str">
        <v>MASS BSF</v>
      </c>
      <c r="C568" t="str">
        <v>F8R-810</v>
      </c>
      <c r="D568" t="str">
        <v>F8R-810</v>
      </c>
      <c r="E568" t="str">
        <v/>
      </c>
      <c r="F568" t="str">
        <v>867806078868827</v>
      </c>
      <c r="G568" t="str">
        <v>TBD</v>
      </c>
      <c r="H568" t="str">
        <v/>
      </c>
      <c r="I568" t="str">
        <v/>
      </c>
      <c r="J568" t="str">
        <v>24/09/2026</v>
      </c>
      <c r="K568" t="str">
        <v>14:20:13</v>
      </c>
      <c r="L568">
        <v>-12.212361</v>
      </c>
      <c r="M568">
        <v>-76.96125</v>
      </c>
      <c r="N568">
        <f>HYPERLINK("https://www.google.com/maps/search/?api=1&amp;query=-12.212361,-76.96125","Calle 1, Villa El Salvador, Lima")</f>
      </c>
      <c r="O568" t="str">
        <v>Acelerado y giro brusco</v>
      </c>
      <c r="P568">
        <v>1434.5</v>
      </c>
      <c r="Q568" t="str">
        <v/>
      </c>
      <c r="R568">
        <v>11.6</v>
      </c>
      <c r="S568">
        <v>56.85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>
        <v>91</v>
      </c>
      <c r="AB568" t="str">
        <v>24/09/2026</v>
      </c>
      <c r="AC568" t="str">
        <v>14:20:12</v>
      </c>
      <c r="AD568">
        <f>IF("ONLINE"="NOGPS","GPS Antiguo","En línea")</f>
      </c>
      <c r="AE568">
        <f>IF(0=0,"Sin atender", IF(0=1,"Atendida","Atendida y Reportada"))</f>
      </c>
      <c r="AF568" t="str">
        <v/>
      </c>
      <c r="AG568" t="str">
        <v/>
      </c>
      <c r="AH568" t="str">
        <v/>
      </c>
      <c r="AI568" t="str">
        <v/>
      </c>
      <c r="AJ568" t="str">
        <v>24/09/2026 14:20:24</v>
      </c>
      <c r="AK568" t="str">
        <v>14:20:24</v>
      </c>
      <c r="AL568" t="str">
        <v/>
      </c>
    </row>
    <row r="569">
      <c r="A569">
        <v>568</v>
      </c>
      <c r="B569" t="str">
        <v>MASS BSF</v>
      </c>
      <c r="C569" t="str">
        <v>F8R-810</v>
      </c>
      <c r="D569" t="str">
        <v>F8R-810</v>
      </c>
      <c r="E569" t="str">
        <v/>
      </c>
      <c r="F569" t="str">
        <v>867806078868827</v>
      </c>
      <c r="G569" t="str">
        <v>TBD</v>
      </c>
      <c r="H569" t="str">
        <v/>
      </c>
      <c r="I569" t="str">
        <v/>
      </c>
      <c r="J569" t="str">
        <v>24/09/2026</v>
      </c>
      <c r="K569" t="str">
        <v>14:20:19</v>
      </c>
      <c r="L569">
        <v>-12.212515</v>
      </c>
      <c r="M569">
        <v>-76.961174</v>
      </c>
      <c r="N569">
        <f>HYPERLINK("https://www.google.com/maps/search/?api=1&amp;query=-12.212515,-76.961174","Calle 1, Villa El Salvador, Lima")</f>
      </c>
      <c r="O569" t="str">
        <v>Acelerado y giro brusco</v>
      </c>
      <c r="P569">
        <v>1434.6</v>
      </c>
      <c r="Q569" t="str">
        <v/>
      </c>
      <c r="R569">
        <v>10.9</v>
      </c>
      <c r="S569">
        <v>56.85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>
        <v>91</v>
      </c>
      <c r="AB569" t="str">
        <v>24/09/2026</v>
      </c>
      <c r="AC569" t="str">
        <v>14:20:18</v>
      </c>
      <c r="AD569">
        <f>IF("ONLINE"="NOGPS","GPS Antiguo","En línea")</f>
      </c>
      <c r="AE569">
        <f>IF(0=0,"Sin atender", IF(0=1,"Atendida","Atendida y Reportada"))</f>
      </c>
      <c r="AF569" t="str">
        <v/>
      </c>
      <c r="AG569" t="str">
        <v/>
      </c>
      <c r="AH569" t="str">
        <v/>
      </c>
      <c r="AI569" t="str">
        <v/>
      </c>
      <c r="AJ569" t="str">
        <v>24/09/2026 14:20:35</v>
      </c>
      <c r="AK569" t="str">
        <v>14:20:35</v>
      </c>
      <c r="AL569" t="str">
        <v/>
      </c>
    </row>
    <row r="570">
      <c r="A570">
        <v>569</v>
      </c>
      <c r="B570" t="str">
        <v>MASS BSF</v>
      </c>
      <c r="C570" t="str">
        <v>F8R-810</v>
      </c>
      <c r="D570" t="str">
        <v>F8R-810</v>
      </c>
      <c r="E570" t="str">
        <v/>
      </c>
      <c r="F570" t="str">
        <v>867806078868827</v>
      </c>
      <c r="G570" t="str">
        <v>TBD</v>
      </c>
      <c r="H570" t="str">
        <v/>
      </c>
      <c r="I570" t="str">
        <v/>
      </c>
      <c r="J570" t="str">
        <v>24/09/2026</v>
      </c>
      <c r="K570" t="str">
        <v>14:20:33</v>
      </c>
      <c r="L570">
        <v>-12.212836</v>
      </c>
      <c r="M570">
        <v>-76.960945</v>
      </c>
      <c r="N570">
        <f>HYPERLINK("https://www.google.com/maps/search/?api=1&amp;query=-12.212836,-76.960945","Calle 1, Villa El Salvador, Lima")</f>
      </c>
      <c r="O570" t="str">
        <v>Acelerado y giro brusco</v>
      </c>
      <c r="P570">
        <v>1434.6</v>
      </c>
      <c r="Q570" t="str">
        <v/>
      </c>
      <c r="R570">
        <v>11.6</v>
      </c>
      <c r="S570">
        <v>56.85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>
        <v>91</v>
      </c>
      <c r="AB570" t="str">
        <v>24/09/2026</v>
      </c>
      <c r="AC570" t="str">
        <v>14:20:32</v>
      </c>
      <c r="AD570">
        <f>IF("ONLINE"="NOGPS","GPS Antiguo","En línea")</f>
      </c>
      <c r="AE570">
        <f>IF(0=0,"Sin atender", IF(0=1,"Atendida","Atendida y Reportada"))</f>
      </c>
      <c r="AF570" t="str">
        <v/>
      </c>
      <c r="AG570" t="str">
        <v/>
      </c>
      <c r="AH570" t="str">
        <v/>
      </c>
      <c r="AI570" t="str">
        <v/>
      </c>
      <c r="AJ570" t="str">
        <v>24/09/2026 14:20:52</v>
      </c>
      <c r="AK570" t="str">
        <v>14:20:52</v>
      </c>
      <c r="AL570" t="str">
        <v/>
      </c>
    </row>
    <row r="571">
      <c r="A571">
        <v>570</v>
      </c>
      <c r="B571" t="str">
        <v>MASS BSF</v>
      </c>
      <c r="C571" t="str">
        <v>F8R-810</v>
      </c>
      <c r="D571" t="str">
        <v>F8R-810</v>
      </c>
      <c r="E571" t="str">
        <v/>
      </c>
      <c r="F571" t="str">
        <v>867806078868827</v>
      </c>
      <c r="G571" t="str">
        <v>TBD</v>
      </c>
      <c r="H571" t="str">
        <v/>
      </c>
      <c r="I571" t="str">
        <v/>
      </c>
      <c r="J571" t="str">
        <v>24/09/2026</v>
      </c>
      <c r="K571" t="str">
        <v>14:20:47</v>
      </c>
      <c r="L571">
        <v>-12.213192</v>
      </c>
      <c r="M571">
        <v>-76.96077</v>
      </c>
      <c r="N571">
        <f>HYPERLINK("https://www.google.com/maps/search/?api=1&amp;query=-12.213192,-76.96077","Calle 1, Villa El Salvador, Lima")</f>
      </c>
      <c r="O571" t="str">
        <v>Aceleración brusca</v>
      </c>
      <c r="P571">
        <v>1434.6</v>
      </c>
      <c r="Q571" t="str">
        <v/>
      </c>
      <c r="R571">
        <v>11.2</v>
      </c>
      <c r="S571">
        <v>56.85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>
        <v>87</v>
      </c>
      <c r="AB571" t="str">
        <v>24/09/2026</v>
      </c>
      <c r="AC571" t="str">
        <v>14:20:46</v>
      </c>
      <c r="AD571">
        <f>IF("ONLINE"="NOGPS","GPS Antiguo","En línea")</f>
      </c>
      <c r="AE571">
        <f>IF(0=0,"Sin atender", IF(0=1,"Atendida","Atendida y Reportada"))</f>
      </c>
      <c r="AF571" t="str">
        <v/>
      </c>
      <c r="AG571" t="str">
        <v/>
      </c>
      <c r="AH571" t="str">
        <v/>
      </c>
      <c r="AI571" t="str">
        <v/>
      </c>
      <c r="AJ571" t="str">
        <v>24/09/2026 14:20:59</v>
      </c>
      <c r="AK571" t="str">
        <v>14:20:59</v>
      </c>
      <c r="AL571" t="str">
        <v/>
      </c>
    </row>
    <row r="572">
      <c r="A572">
        <v>571</v>
      </c>
      <c r="B572" t="str">
        <v>MASS BSF</v>
      </c>
      <c r="C572" t="str">
        <v>F8R-810</v>
      </c>
      <c r="D572" t="str">
        <v>F8R-810</v>
      </c>
      <c r="E572" t="str">
        <v/>
      </c>
      <c r="F572" t="str">
        <v>867806078868827</v>
      </c>
      <c r="G572" t="str">
        <v>TBD</v>
      </c>
      <c r="H572" t="str">
        <v/>
      </c>
      <c r="I572" t="str">
        <v/>
      </c>
      <c r="J572" t="str">
        <v>24/09/2026</v>
      </c>
      <c r="K572" t="str">
        <v>14:20:52</v>
      </c>
      <c r="L572">
        <v>-12.2133</v>
      </c>
      <c r="M572">
        <v>-76.96072</v>
      </c>
      <c r="N572">
        <f>HYPERLINK("https://www.google.com/maps/search/?api=1&amp;query=-12.2133,-76.96072","Calle 1, Villa El Salvador, Lima")</f>
      </c>
      <c r="O572" t="str">
        <v>Acelerado y giro brusco</v>
      </c>
      <c r="P572">
        <v>1434.7</v>
      </c>
      <c r="Q572" t="str">
        <v/>
      </c>
      <c r="R572">
        <v>8.5</v>
      </c>
      <c r="S572">
        <v>56.85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>
        <v>87</v>
      </c>
      <c r="AB572" t="str">
        <v>24/09/2026</v>
      </c>
      <c r="AC572" t="str">
        <v>14:20:51</v>
      </c>
      <c r="AD572">
        <f>IF("ONLINE"="NOGPS","GPS Antiguo","En línea")</f>
      </c>
      <c r="AE572">
        <f>IF(0=0,"Sin atender", IF(0=1,"Atendida","Atendida y Reportada"))</f>
      </c>
      <c r="AF572" t="str">
        <v/>
      </c>
      <c r="AG572" t="str">
        <v/>
      </c>
      <c r="AH572" t="str">
        <v/>
      </c>
      <c r="AI572" t="str">
        <v/>
      </c>
      <c r="AJ572" t="str">
        <v>24/09/2026 14:21:06</v>
      </c>
      <c r="AK572" t="str">
        <v>14:21:06</v>
      </c>
      <c r="AL572" t="str">
        <v/>
      </c>
    </row>
    <row r="573">
      <c r="A573">
        <v>572</v>
      </c>
      <c r="B573" t="str">
        <v>MASS BSF</v>
      </c>
      <c r="C573" t="str">
        <v>F8R-810</v>
      </c>
      <c r="D573" t="str">
        <v>F8R-810</v>
      </c>
      <c r="E573" t="str">
        <v/>
      </c>
      <c r="F573" t="str">
        <v>867806078868827</v>
      </c>
      <c r="G573" t="str">
        <v>TBD</v>
      </c>
      <c r="H573" t="str">
        <v/>
      </c>
      <c r="I573" t="str">
        <v/>
      </c>
      <c r="J573" t="str">
        <v>24/09/2026</v>
      </c>
      <c r="K573" t="str">
        <v>14:21:04</v>
      </c>
      <c r="L573">
        <v>-12.213538</v>
      </c>
      <c r="M573">
        <v>-76.960556</v>
      </c>
      <c r="N573">
        <f>HYPERLINK("https://www.google.com/maps/search/?api=1&amp;query=-12.213538,-76.960556","Calle 1, Villa El Salvador, Lima")</f>
      </c>
      <c r="O573" t="str">
        <v>Acelerado y giro brusco</v>
      </c>
      <c r="P573">
        <v>1434.7</v>
      </c>
      <c r="Q573" t="str">
        <v/>
      </c>
      <c r="R573">
        <v>9.2</v>
      </c>
      <c r="S573">
        <v>56.85</v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>
        <v>87</v>
      </c>
      <c r="AB573" t="str">
        <v>24/09/2026</v>
      </c>
      <c r="AC573" t="str">
        <v>14:21:03</v>
      </c>
      <c r="AD573">
        <f>IF("ONLINE"="NOGPS","GPS Antiguo","En línea")</f>
      </c>
      <c r="AE573">
        <f>IF(0=0,"Sin atender", IF(0=1,"Atendida","Atendida y Reportada"))</f>
      </c>
      <c r="AF573" t="str">
        <v/>
      </c>
      <c r="AG573" t="str">
        <v/>
      </c>
      <c r="AH573" t="str">
        <v/>
      </c>
      <c r="AI573" t="str">
        <v/>
      </c>
      <c r="AJ573" t="str">
        <v>24/09/2026 14:21:18</v>
      </c>
      <c r="AK573" t="str">
        <v>14:21:18</v>
      </c>
      <c r="AL573" t="str">
        <v/>
      </c>
    </row>
    <row r="574">
      <c r="A574">
        <v>573</v>
      </c>
      <c r="B574" t="str">
        <v>MASS BSF</v>
      </c>
      <c r="C574" t="str">
        <v>F8R-810</v>
      </c>
      <c r="D574" t="str">
        <v>F8R-810</v>
      </c>
      <c r="E574" t="str">
        <v/>
      </c>
      <c r="F574" t="str">
        <v>867806078868827</v>
      </c>
      <c r="G574" t="str">
        <v>TBD</v>
      </c>
      <c r="H574" t="str">
        <v/>
      </c>
      <c r="I574" t="str">
        <v/>
      </c>
      <c r="J574" t="str">
        <v>24/09/2026</v>
      </c>
      <c r="K574" t="str">
        <v>14:21:09</v>
      </c>
      <c r="L574">
        <v>-12.213575</v>
      </c>
      <c r="M574">
        <v>-76.96045</v>
      </c>
      <c r="N574">
        <f>HYPERLINK("https://www.google.com/maps/search/?api=1&amp;query=-12.213575,-76.96045","Avenida Villa del Mar, Villa El Salvador, Lima")</f>
      </c>
      <c r="O574" t="str">
        <v>Acelerado y giro brusco</v>
      </c>
      <c r="P574">
        <v>1434.7</v>
      </c>
      <c r="Q574" t="str">
        <v/>
      </c>
      <c r="R574">
        <v>8.5</v>
      </c>
      <c r="S574">
        <v>56.85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>
        <v>87</v>
      </c>
      <c r="AB574" t="str">
        <v>24/09/2026</v>
      </c>
      <c r="AC574" t="str">
        <v>14:21:08</v>
      </c>
      <c r="AD574">
        <f>IF("ONLINE"="NOGPS","GPS Antiguo","En línea")</f>
      </c>
      <c r="AE574">
        <f>IF(0=0,"Sin atender", IF(0=1,"Atendida","Atendida y Reportada"))</f>
      </c>
      <c r="AF574" t="str">
        <v/>
      </c>
      <c r="AG574" t="str">
        <v/>
      </c>
      <c r="AH574" t="str">
        <v/>
      </c>
      <c r="AI574" t="str">
        <v/>
      </c>
      <c r="AJ574" t="str">
        <v>24/09/2026 14:21:33</v>
      </c>
      <c r="AK574" t="str">
        <v>14:21:33</v>
      </c>
      <c r="AL574" t="str">
        <v/>
      </c>
    </row>
    <row r="575">
      <c r="A575">
        <v>574</v>
      </c>
      <c r="B575" t="str">
        <v>MASS BSF</v>
      </c>
      <c r="C575" t="str">
        <v>F8R-810</v>
      </c>
      <c r="D575" t="str">
        <v>F8R-810</v>
      </c>
      <c r="E575" t="str">
        <v/>
      </c>
      <c r="F575" t="str">
        <v>867806078868827</v>
      </c>
      <c r="G575" t="str">
        <v>TBD</v>
      </c>
      <c r="H575" t="str">
        <v/>
      </c>
      <c r="I575" t="str">
        <v/>
      </c>
      <c r="J575" t="str">
        <v>24/09/2026</v>
      </c>
      <c r="K575" t="str">
        <v>14:21:13</v>
      </c>
      <c r="L575">
        <v>-12.213536</v>
      </c>
      <c r="M575">
        <v>-76.96036</v>
      </c>
      <c r="N575">
        <f>HYPERLINK("https://www.google.com/maps/search/?api=1&amp;query=-12.213536,-76.96036","Avenida Villa del Mar, Villa El Salvador, Lima")</f>
      </c>
      <c r="O575" t="str">
        <v>Acelerado y giro brusco</v>
      </c>
      <c r="P575">
        <v>1434.7</v>
      </c>
      <c r="Q575" t="str">
        <v/>
      </c>
      <c r="R575">
        <v>12</v>
      </c>
      <c r="S575">
        <v>56.85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>
        <v>87</v>
      </c>
      <c r="AB575" t="str">
        <v>24/09/2026</v>
      </c>
      <c r="AC575" t="str">
        <v>14:21:12</v>
      </c>
      <c r="AD575">
        <f>IF("ONLINE"="NOGPS","GPS Antiguo","En línea")</f>
      </c>
      <c r="AE575">
        <f>IF(0=0,"Sin atender", IF(0=1,"Atendida","Atendida y Reportada"))</f>
      </c>
      <c r="AF575" t="str">
        <v/>
      </c>
      <c r="AG575" t="str">
        <v/>
      </c>
      <c r="AH575" t="str">
        <v/>
      </c>
      <c r="AI575" t="str">
        <v/>
      </c>
      <c r="AJ575" t="str">
        <v>24/09/2026 14:21:24</v>
      </c>
      <c r="AK575" t="str">
        <v>14:21:24</v>
      </c>
      <c r="AL575" t="str">
        <v/>
      </c>
    </row>
    <row r="576">
      <c r="A576">
        <v>575</v>
      </c>
      <c r="B576" t="str">
        <v>MASS BSF</v>
      </c>
      <c r="C576" t="str">
        <v>F8R-810</v>
      </c>
      <c r="D576" t="str">
        <v>F8R-810</v>
      </c>
      <c r="E576" t="str">
        <v/>
      </c>
      <c r="F576" t="str">
        <v>867806078868827</v>
      </c>
      <c r="G576" t="str">
        <v>TBD</v>
      </c>
      <c r="H576" t="str">
        <v/>
      </c>
      <c r="I576" t="str">
        <v/>
      </c>
      <c r="J576" t="str">
        <v>24/09/2026</v>
      </c>
      <c r="K576" t="str">
        <v>14:21:31</v>
      </c>
      <c r="L576">
        <v>-12.213284</v>
      </c>
      <c r="M576">
        <v>-76.95998</v>
      </c>
      <c r="N576">
        <f>HYPERLINK("https://www.google.com/maps/search/?api=1&amp;query=-12.213284,-76.95998","Avenida Villa del Mar, Villa El Salvador, Lima")</f>
      </c>
      <c r="O576" t="str">
        <v>Acelerado y giro brusco</v>
      </c>
      <c r="P576">
        <v>1434.8</v>
      </c>
      <c r="Q576" t="str">
        <v/>
      </c>
      <c r="R576">
        <v>11.1</v>
      </c>
      <c r="S576">
        <v>56.85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>
        <v>87</v>
      </c>
      <c r="AB576" t="str">
        <v>24/09/2026</v>
      </c>
      <c r="AC576" t="str">
        <v>14:21:30</v>
      </c>
      <c r="AD576">
        <f>IF("ONLINE"="NOGPS","GPS Antiguo","En línea")</f>
      </c>
      <c r="AE576">
        <f>IF(0=0,"Sin atender", IF(0=1,"Atendida","Atendida y Reportada"))</f>
      </c>
      <c r="AF576" t="str">
        <v/>
      </c>
      <c r="AG576" t="str">
        <v/>
      </c>
      <c r="AH576" t="str">
        <v/>
      </c>
      <c r="AI576" t="str">
        <v/>
      </c>
      <c r="AJ576" t="str">
        <v>24/09/2026 14:21:50</v>
      </c>
      <c r="AK576" t="str">
        <v>14:21:50</v>
      </c>
      <c r="AL576" t="str">
        <v/>
      </c>
    </row>
    <row r="577">
      <c r="A577">
        <v>576</v>
      </c>
      <c r="B577" t="str">
        <v>MASS BSF</v>
      </c>
      <c r="C577" t="str">
        <v>F8R-810</v>
      </c>
      <c r="D577" t="str">
        <v>F8R-810</v>
      </c>
      <c r="E577" t="str">
        <v/>
      </c>
      <c r="F577" t="str">
        <v>867806078868827</v>
      </c>
      <c r="G577" t="str">
        <v>TBD</v>
      </c>
      <c r="H577" t="str">
        <v/>
      </c>
      <c r="I577" t="str">
        <v/>
      </c>
      <c r="J577" t="str">
        <v>24/09/2026</v>
      </c>
      <c r="K577" t="str">
        <v>14:21:50</v>
      </c>
      <c r="L577">
        <v>-12.212988</v>
      </c>
      <c r="M577">
        <v>-76.95954</v>
      </c>
      <c r="N577">
        <f>HYPERLINK("https://www.google.com/maps/search/?api=1&amp;query=-12.212988,-76.95954","Avenida Villa del Mar, Villa El Salvador, Lima")</f>
      </c>
      <c r="O577" t="str">
        <v>Acelerado y giro brusco</v>
      </c>
      <c r="P577">
        <v>1434.8</v>
      </c>
      <c r="Q577" t="str">
        <v/>
      </c>
      <c r="R577">
        <v>10.7</v>
      </c>
      <c r="S577">
        <v>56.85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>
        <v>87</v>
      </c>
      <c r="AB577" t="str">
        <v>24/09/2026</v>
      </c>
      <c r="AC577" t="str">
        <v>14:21:49</v>
      </c>
      <c r="AD577">
        <f>IF("ONLINE"="NOGPS","GPS Antiguo","En línea")</f>
      </c>
      <c r="AE577">
        <f>IF(0=0,"Sin atender", IF(0=1,"Atendida","Atendida y Reportada"))</f>
      </c>
      <c r="AF577" t="str">
        <v/>
      </c>
      <c r="AG577" t="str">
        <v/>
      </c>
      <c r="AH577" t="str">
        <v/>
      </c>
      <c r="AI577" t="str">
        <v/>
      </c>
      <c r="AJ577" t="str">
        <v>24/09/2026 14:22:14</v>
      </c>
      <c r="AK577" t="str">
        <v>14:22:14</v>
      </c>
      <c r="AL577" t="str">
        <v/>
      </c>
    </row>
    <row r="578">
      <c r="A578">
        <v>577</v>
      </c>
      <c r="B578" t="str">
        <v>MASS BSF</v>
      </c>
      <c r="C578" t="str">
        <v>F8R-810</v>
      </c>
      <c r="D578" t="str">
        <v>F8R-810</v>
      </c>
      <c r="E578" t="str">
        <v/>
      </c>
      <c r="F578" t="str">
        <v>867806078868827</v>
      </c>
      <c r="G578" t="str">
        <v>TBD</v>
      </c>
      <c r="H578" t="str">
        <v/>
      </c>
      <c r="I578" t="str">
        <v/>
      </c>
      <c r="J578" t="str">
        <v>24/09/2026</v>
      </c>
      <c r="K578" t="str">
        <v>14:22:09</v>
      </c>
      <c r="L578">
        <v>-12.21287</v>
      </c>
      <c r="M578">
        <v>-76.959236</v>
      </c>
      <c r="N578">
        <f>HYPERLINK("https://www.google.com/maps/search/?api=1&amp;query=-12.21287,-76.959236","Avenida Villa del Mar, Villa El Salvador, Lima")</f>
      </c>
      <c r="O578" t="str">
        <v>Acelerado y giro brusco</v>
      </c>
      <c r="P578">
        <v>1434.9</v>
      </c>
      <c r="Q578" t="str">
        <v/>
      </c>
      <c r="R578">
        <v>4.8</v>
      </c>
      <c r="S578">
        <v>56.85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>
        <v>87</v>
      </c>
      <c r="AB578" t="str">
        <v>24/09/2026</v>
      </c>
      <c r="AC578" t="str">
        <v>14:22:08</v>
      </c>
      <c r="AD578">
        <f>IF("ONLINE"="NOGPS","GPS Antiguo","En línea")</f>
      </c>
      <c r="AE578">
        <f>IF(0=0,"Sin atender", IF(0=1,"Atendida","Atendida y Reportada"))</f>
      </c>
      <c r="AF578" t="str">
        <v/>
      </c>
      <c r="AG578" t="str">
        <v/>
      </c>
      <c r="AH578" t="str">
        <v/>
      </c>
      <c r="AI578" t="str">
        <v/>
      </c>
      <c r="AJ578" t="str">
        <v>24/09/2026 14:22:18</v>
      </c>
      <c r="AK578" t="str">
        <v>14:22:18</v>
      </c>
      <c r="AL578" t="str">
        <v/>
      </c>
    </row>
    <row r="579">
      <c r="A579">
        <v>578</v>
      </c>
      <c r="B579" t="str">
        <v>MASS BSF</v>
      </c>
      <c r="C579" t="str">
        <v>F8R-810</v>
      </c>
      <c r="D579" t="str">
        <v>F8R-810</v>
      </c>
      <c r="E579" t="str">
        <v/>
      </c>
      <c r="F579" t="str">
        <v>867806078868827</v>
      </c>
      <c r="G579" t="str">
        <v>TBD</v>
      </c>
      <c r="H579" t="str">
        <v/>
      </c>
      <c r="I579" t="str">
        <v/>
      </c>
      <c r="J579" t="str">
        <v>24/09/2026</v>
      </c>
      <c r="K579" t="str">
        <v>14:25:08</v>
      </c>
      <c r="L579">
        <v>-12.212885</v>
      </c>
      <c r="M579">
        <v>-76.95922</v>
      </c>
      <c r="N579">
        <f>HYPERLINK("https://www.google.com/maps/search/?api=1&amp;query=-12.212885,-76.95922","Avenida Villa del Mar, Villa El Salvador, Lima")</f>
      </c>
      <c r="O579" t="str">
        <v>Inicio de ralentí</v>
      </c>
      <c r="P579">
        <v>1434.9</v>
      </c>
      <c r="Q579" t="str">
        <v/>
      </c>
      <c r="R579">
        <v>0</v>
      </c>
      <c r="S579">
        <v>56.85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>
        <v>87</v>
      </c>
      <c r="AB579" t="str">
        <v>24/09/2026</v>
      </c>
      <c r="AC579" t="str">
        <v>14:25:07</v>
      </c>
      <c r="AD579">
        <f>IF("ONLINE"="NOGPS","GPS Antiguo","En línea")</f>
      </c>
      <c r="AE579">
        <f>IF(0=0,"Sin atender", IF(0=1,"Atendida","Atendida y Reportada"))</f>
      </c>
      <c r="AF579" t="str">
        <v/>
      </c>
      <c r="AG579" t="str">
        <v/>
      </c>
      <c r="AH579" t="str">
        <v/>
      </c>
      <c r="AI579" t="str">
        <v/>
      </c>
      <c r="AJ579" t="str">
        <v>24/09/2026 14:25:32</v>
      </c>
      <c r="AK579" t="str">
        <v>14:25:32</v>
      </c>
      <c r="AL579" t="str">
        <v/>
      </c>
    </row>
    <row r="580">
      <c r="A580">
        <v>579</v>
      </c>
      <c r="B580" t="str">
        <v>MASS BSF</v>
      </c>
      <c r="C580" t="str">
        <v>F8R-810</v>
      </c>
      <c r="D580" t="str">
        <v>F8R-810</v>
      </c>
      <c r="E580" t="str">
        <v/>
      </c>
      <c r="F580" t="str">
        <v>867806078868827</v>
      </c>
      <c r="G580" t="str">
        <v>TBD</v>
      </c>
      <c r="H580" t="str">
        <v/>
      </c>
      <c r="I580" t="str">
        <v/>
      </c>
      <c r="J580" t="str">
        <v>24/09/2026</v>
      </c>
      <c r="K580" t="str">
        <v>14:26:02</v>
      </c>
      <c r="L580">
        <v>-12.212885</v>
      </c>
      <c r="M580">
        <v>-76.95922</v>
      </c>
      <c r="N580">
        <f>HYPERLINK("https://www.google.com/maps/search/?api=1&amp;query=-12.212885,-76.95922","Avenida Villa del Mar, Villa El Salvador, Lima")</f>
      </c>
      <c r="O580" t="str">
        <v>Vehículo apagado</v>
      </c>
      <c r="P580">
        <v>1434.9</v>
      </c>
      <c r="Q580" t="str">
        <v/>
      </c>
      <c r="R580">
        <v>0</v>
      </c>
      <c r="S580">
        <v>57.58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>
        <v>87</v>
      </c>
      <c r="AB580" t="str">
        <v>24/09/2026</v>
      </c>
      <c r="AC580" t="str">
        <v>14:26:01</v>
      </c>
      <c r="AD580">
        <f>IF("ONLINE"="NOGPS","GPS Antiguo","En línea")</f>
      </c>
      <c r="AE580">
        <f>IF(0=0,"Sin atender", IF(0=1,"Atendida","Atendida y Reportada"))</f>
      </c>
      <c r="AF580" t="str">
        <v/>
      </c>
      <c r="AG580" t="str">
        <v/>
      </c>
      <c r="AH580" t="str">
        <v/>
      </c>
      <c r="AI580" t="str">
        <v/>
      </c>
      <c r="AJ580" t="str">
        <v>24/09/2026 14:26:12</v>
      </c>
      <c r="AK580" t="str">
        <v>14:26:12</v>
      </c>
      <c r="AL580" t="str">
        <v/>
      </c>
    </row>
    <row r="581">
      <c r="A581">
        <v>580</v>
      </c>
      <c r="B581" t="str">
        <v>MASS BSF</v>
      </c>
      <c r="C581" t="str">
        <v>F8R-810</v>
      </c>
      <c r="D581" t="str">
        <v>F8R-810</v>
      </c>
      <c r="E581" t="str">
        <v/>
      </c>
      <c r="F581" t="str">
        <v>867806078868827</v>
      </c>
      <c r="G581" t="str">
        <v>TBD</v>
      </c>
      <c r="H581" t="str">
        <v/>
      </c>
      <c r="I581" t="str">
        <v/>
      </c>
      <c r="J581" t="str">
        <v>24/09/2026</v>
      </c>
      <c r="K581" t="str">
        <v>14:26:02</v>
      </c>
      <c r="L581">
        <v>-12.212885</v>
      </c>
      <c r="M581">
        <v>-76.95922</v>
      </c>
      <c r="N581">
        <f>HYPERLINK("https://www.google.com/maps/search/?api=1&amp;query=-12.212885,-76.95922","Avenida Villa del Mar, Villa El Salvador, Lima")</f>
      </c>
      <c r="O581" t="str">
        <v>Fin de ralentí</v>
      </c>
      <c r="P581">
        <v>1434.9</v>
      </c>
      <c r="Q581" t="str">
        <v/>
      </c>
      <c r="R581">
        <v>0</v>
      </c>
      <c r="S581">
        <v>56.85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>
        <v>87</v>
      </c>
      <c r="AB581" t="str">
        <v>24/09/2026</v>
      </c>
      <c r="AC581" t="str">
        <v>14:26:01</v>
      </c>
      <c r="AD581">
        <f>IF("ONLINE"="NOGPS","GPS Antiguo","En línea")</f>
      </c>
      <c r="AE581">
        <f>IF(0=0,"Sin atender", IF(0=1,"Atendida","Atendida y Reportada"))</f>
      </c>
      <c r="AF581" t="str">
        <v/>
      </c>
      <c r="AG581" t="str">
        <v/>
      </c>
      <c r="AH581" t="str">
        <v/>
      </c>
      <c r="AI581" t="str">
        <v/>
      </c>
      <c r="AJ581" t="str">
        <v>24/09/2026 14:26:17</v>
      </c>
      <c r="AK581" t="str">
        <v>14:26:17</v>
      </c>
      <c r="AL581" t="str">
        <v/>
      </c>
    </row>
    <row r="582">
      <c r="A582">
        <v>581</v>
      </c>
      <c r="B582" t="str">
        <v>MASS BSF</v>
      </c>
      <c r="C582" t="str">
        <v>F8R-810</v>
      </c>
      <c r="D582" t="str">
        <v>F8R-810</v>
      </c>
      <c r="E582" t="str">
        <v/>
      </c>
      <c r="F582" t="str">
        <v>867806078868827</v>
      </c>
      <c r="G582" t="str">
        <v>TBD</v>
      </c>
      <c r="H582" t="str">
        <v/>
      </c>
      <c r="I582" t="str">
        <v/>
      </c>
      <c r="J582" t="str">
        <v>24/09/2026</v>
      </c>
      <c r="K582" t="str">
        <v>14:29:38</v>
      </c>
      <c r="L582">
        <v>-12.212885</v>
      </c>
      <c r="M582">
        <v>-76.95922</v>
      </c>
      <c r="N582">
        <f>HYPERLINK("https://www.google.com/maps/search/?api=1&amp;query=-12.212885,-76.95922","Avenida Villa del Mar, Villa El Salvador, Lima")</f>
      </c>
      <c r="O582" t="str">
        <v>Se detuvo</v>
      </c>
      <c r="P582">
        <v>1434.9</v>
      </c>
      <c r="Q582" t="str">
        <v/>
      </c>
      <c r="R582">
        <v>0</v>
      </c>
      <c r="S582">
        <v>57.58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>
        <v>87</v>
      </c>
      <c r="AB582" t="str">
        <v>24/09/2026</v>
      </c>
      <c r="AC582" t="str">
        <v>14:29:37</v>
      </c>
      <c r="AD582">
        <f>IF("ONLINE"="NOGPS","GPS Antiguo","En línea")</f>
      </c>
      <c r="AE582">
        <f>IF(0=0,"Sin atender", IF(0=1,"Atendida","Atendida y Reportada"))</f>
      </c>
      <c r="AF582" t="str">
        <v/>
      </c>
      <c r="AG582" t="str">
        <v/>
      </c>
      <c r="AH582" t="str">
        <v/>
      </c>
      <c r="AI582" t="str">
        <v/>
      </c>
      <c r="AJ582" t="str">
        <v>24/09/2026 14:29:54</v>
      </c>
      <c r="AK582" t="str">
        <v>14:29:54</v>
      </c>
      <c r="AL582" t="str">
        <v/>
      </c>
    </row>
    <row r="583">
      <c r="A583">
        <v>582</v>
      </c>
      <c r="B583" t="str">
        <v>MASS BSF</v>
      </c>
      <c r="C583" t="str">
        <v>F8R-810</v>
      </c>
      <c r="D583" t="str">
        <v>F8R-810</v>
      </c>
      <c r="E583" t="str">
        <v/>
      </c>
      <c r="F583" t="str">
        <v>867806078868827</v>
      </c>
      <c r="G583" t="str">
        <v>TBD</v>
      </c>
      <c r="H583" t="str">
        <v/>
      </c>
      <c r="I583" t="str">
        <v/>
      </c>
      <c r="J583" t="str">
        <v>24/09/2026</v>
      </c>
      <c r="K583" t="str">
        <v>14:29:52</v>
      </c>
      <c r="L583">
        <v>-12.212885</v>
      </c>
      <c r="M583">
        <v>-76.95922</v>
      </c>
      <c r="N583">
        <f>HYPERLINK("https://www.google.com/maps/search/?api=1&amp;query=-12.212885,-76.95922","Avenida Villa del Mar, Villa El Salvador, Lima")</f>
      </c>
      <c r="O583" t="str">
        <v>Vehículo encendido</v>
      </c>
      <c r="P583">
        <v>1434.9</v>
      </c>
      <c r="Q583" t="str">
        <v/>
      </c>
      <c r="R583">
        <v>0</v>
      </c>
      <c r="S583">
        <v>57.58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>
        <v>87</v>
      </c>
      <c r="AB583" t="str">
        <v>24/09/2026</v>
      </c>
      <c r="AC583" t="str">
        <v>14:29:51</v>
      </c>
      <c r="AD583">
        <f>IF("ONLINE"="NOGPS","GPS Antiguo","En línea")</f>
      </c>
      <c r="AE583">
        <f>IF(0=0,"Sin atender", IF(0=1,"Atendida","Atendida y Reportada"))</f>
      </c>
      <c r="AF583" t="str">
        <v/>
      </c>
      <c r="AG583" t="str">
        <v/>
      </c>
      <c r="AH583" t="str">
        <v/>
      </c>
      <c r="AI583" t="str">
        <v/>
      </c>
      <c r="AJ583" t="str">
        <v>24/09/2026 14:30:07</v>
      </c>
      <c r="AK583" t="str">
        <v>14:30:07</v>
      </c>
      <c r="AL583" t="str">
        <v/>
      </c>
    </row>
    <row r="584">
      <c r="A584">
        <v>583</v>
      </c>
      <c r="B584" t="str">
        <v>MASS BSF</v>
      </c>
      <c r="C584" t="str">
        <v>F8R-810</v>
      </c>
      <c r="D584" t="str">
        <v>F8R-810</v>
      </c>
      <c r="E584" t="str">
        <v/>
      </c>
      <c r="F584" t="str">
        <v>867806078868827</v>
      </c>
      <c r="G584" t="str">
        <v>TBD</v>
      </c>
      <c r="H584" t="str">
        <v/>
      </c>
      <c r="I584" t="str">
        <v/>
      </c>
      <c r="J584" t="str">
        <v>24/09/2026</v>
      </c>
      <c r="K584" t="str">
        <v>14:30:46</v>
      </c>
      <c r="L584">
        <v>-12.213068</v>
      </c>
      <c r="M584">
        <v>-76.95912</v>
      </c>
      <c r="N584">
        <f>HYPERLINK("https://www.google.com/maps/search/?api=1&amp;query=-12.213068,-76.95912","Avenida Villa del Mar, Villa El Salvador, Lima")</f>
      </c>
      <c r="O584" t="str">
        <v>Vehículo apagado</v>
      </c>
      <c r="P584">
        <v>1434.9</v>
      </c>
      <c r="Q584" t="str">
        <v/>
      </c>
      <c r="R584">
        <v>0</v>
      </c>
      <c r="S584">
        <v>57.6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>
        <v>85</v>
      </c>
      <c r="AB584" t="str">
        <v>24/09/2026</v>
      </c>
      <c r="AC584" t="str">
        <v>14:30:45</v>
      </c>
      <c r="AD584">
        <f>IF("ONLINE"="NOGPS","GPS Antiguo","En línea")</f>
      </c>
      <c r="AE584">
        <f>IF(0=0,"Sin atender", IF(0=1,"Atendida","Atendida y Reportada"))</f>
      </c>
      <c r="AF584" t="str">
        <v/>
      </c>
      <c r="AG584" t="str">
        <v/>
      </c>
      <c r="AH584" t="str">
        <v/>
      </c>
      <c r="AI584" t="str">
        <v/>
      </c>
      <c r="AJ584" t="str">
        <v>24/09/2026 14:31:10</v>
      </c>
      <c r="AK584" t="str">
        <v>14:31:10</v>
      </c>
      <c r="AL584" t="str">
        <v/>
      </c>
    </row>
    <row r="585">
      <c r="A585">
        <v>584</v>
      </c>
      <c r="B585" t="str">
        <v>MASS BSF</v>
      </c>
      <c r="C585" t="str">
        <v>F8R-810</v>
      </c>
      <c r="D585" t="str">
        <v>F8R-810</v>
      </c>
      <c r="E585" t="str">
        <v/>
      </c>
      <c r="F585" t="str">
        <v>867806078868827</v>
      </c>
      <c r="G585" t="str">
        <v>TBD</v>
      </c>
      <c r="H585" t="str">
        <v/>
      </c>
      <c r="I585" t="str">
        <v/>
      </c>
      <c r="J585" t="str">
        <v>24/09/2026</v>
      </c>
      <c r="K585" t="str">
        <v>14:38:14</v>
      </c>
      <c r="L585">
        <v>-12.213068</v>
      </c>
      <c r="M585">
        <v>-76.95912</v>
      </c>
      <c r="N585">
        <f>HYPERLINK("https://www.google.com/maps/search/?api=1&amp;query=-12.213068,-76.95912","Avenida Villa del Mar, Villa El Salvador, Lima")</f>
      </c>
      <c r="O585" t="str">
        <v>Se detuvo</v>
      </c>
      <c r="P585">
        <v>1434.9</v>
      </c>
      <c r="Q585" t="str">
        <v/>
      </c>
      <c r="R585">
        <v>0</v>
      </c>
      <c r="S585">
        <v>57.6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>
        <v>85</v>
      </c>
      <c r="AB585" t="str">
        <v>24/09/2026</v>
      </c>
      <c r="AC585" t="str">
        <v>14:38:12</v>
      </c>
      <c r="AD585">
        <f>IF("ONLINE"="NOGPS","GPS Antiguo","En línea")</f>
      </c>
      <c r="AE585">
        <f>IF(0=0,"Sin atender", IF(0=1,"Atendida","Atendida y Reportada"))</f>
      </c>
      <c r="AF585" t="str">
        <v/>
      </c>
      <c r="AG585" t="str">
        <v/>
      </c>
      <c r="AH585" t="str">
        <v/>
      </c>
      <c r="AI585" t="str">
        <v/>
      </c>
      <c r="AJ585" t="str">
        <v>24/09/2026 14:38:22</v>
      </c>
      <c r="AK585" t="str">
        <v>14:38:22</v>
      </c>
      <c r="AL585" t="str">
        <v/>
      </c>
    </row>
  </sheetData>
  <ignoredErrors>
    <ignoredError numberStoredAsText="1" sqref="A1:AL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