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/>
      </c>
      <c r="J2" t="str">
        <v>24/09/2026</v>
      </c>
      <c r="K2" t="str">
        <v>01:19:53</v>
      </c>
      <c r="L2">
        <v>-12.213015</v>
      </c>
      <c r="M2">
        <v>-76.95884</v>
      </c>
      <c r="N2">
        <f>HYPERLINK("https://www.google.com/maps/search/?api=1&amp;query=-12.213015,-76.95884","Villa El Salvador, Lima")</f>
      </c>
      <c r="O2" t="str">
        <v>Fin de ralentí</v>
      </c>
      <c r="P2">
        <v>134698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94</v>
      </c>
      <c r="AB2" t="str">
        <v>24/09/2026</v>
      </c>
      <c r="AC2" t="str">
        <v>01:19:51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01:20:37</v>
      </c>
      <c r="AK2" t="str">
        <v>01:20:37</v>
      </c>
      <c r="AL2" t="str">
        <v/>
      </c>
    </row>
    <row r="3">
      <c r="A3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/>
      </c>
      <c r="J3" t="str">
        <v>24/09/2026</v>
      </c>
      <c r="K3" t="str">
        <v>05:42:45</v>
      </c>
      <c r="L3">
        <v>-12.213015</v>
      </c>
      <c r="M3">
        <v>-76.95884</v>
      </c>
      <c r="N3">
        <f>HYPERLINK("https://www.google.com/maps/search/?api=1&amp;query=-12.213015,-76.95884","Villa El Salvador, Lima")</f>
      </c>
      <c r="O3" t="str">
        <v>Vehículo encendido</v>
      </c>
      <c r="P3">
        <v>134698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94</v>
      </c>
      <c r="AB3" t="str">
        <v>24/09/2026</v>
      </c>
      <c r="AC3" t="str">
        <v>05:42:42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05:43:05</v>
      </c>
      <c r="AK3" t="str">
        <v>05:43:05</v>
      </c>
      <c r="AL3" t="str">
        <v/>
      </c>
    </row>
    <row r="4">
      <c r="A4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/>
      </c>
      <c r="J4" t="str">
        <v>24/09/2026</v>
      </c>
      <c r="K4" t="str">
        <v>05:42:59</v>
      </c>
      <c r="L4">
        <v>-12.213015</v>
      </c>
      <c r="M4">
        <v>-76.95884</v>
      </c>
      <c r="N4">
        <f>HYPERLINK("https://www.google.com/maps/search/?api=1&amp;query=-12.213015,-76.95884","Villa El Salvador, Lima")</f>
      </c>
      <c r="O4" t="str">
        <v>Vehículo apagado</v>
      </c>
      <c r="P4">
        <v>134698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94</v>
      </c>
      <c r="AB4" t="str">
        <v>24/09/2026</v>
      </c>
      <c r="AC4" t="str">
        <v>05:42:55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05:43:24</v>
      </c>
      <c r="AK4" t="str">
        <v>05:43:24</v>
      </c>
      <c r="AL4" t="str">
        <v/>
      </c>
    </row>
    <row r="5">
      <c r="A5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/>
      </c>
      <c r="J5" t="str">
        <v>24/09/2026</v>
      </c>
      <c r="K5" t="str">
        <v>05:43:05</v>
      </c>
      <c r="L5">
        <v>-12.213015</v>
      </c>
      <c r="M5">
        <v>-76.95884</v>
      </c>
      <c r="N5">
        <f>HYPERLINK("https://www.google.com/maps/search/?api=1&amp;query=-12.213015,-76.95884","Villa El Salvador, Lima")</f>
      </c>
      <c r="O5" t="str">
        <v>Vehículo encendido</v>
      </c>
      <c r="P5">
        <v>134698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94</v>
      </c>
      <c r="AB5" t="str">
        <v>24/09/2026</v>
      </c>
      <c r="AC5" t="str">
        <v>05:43:01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05:43:17</v>
      </c>
      <c r="AK5" t="str">
        <v>05:43:17</v>
      </c>
      <c r="AL5" t="str">
        <v/>
      </c>
    </row>
    <row r="6">
      <c r="A6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/>
      </c>
      <c r="J6" t="str">
        <v>24/09/2026</v>
      </c>
      <c r="K6" t="str">
        <v>05:46:23</v>
      </c>
      <c r="L6">
        <v>-12.212975</v>
      </c>
      <c r="M6">
        <v>-76.95911</v>
      </c>
      <c r="N6">
        <f>HYPERLINK("https://www.google.com/maps/search/?api=1&amp;query=-12.212975,-76.95911","Avenida Villa del Mar, Villa El Salvador, Lima")</f>
      </c>
      <c r="O6" t="str">
        <v>Inicio de ralentí</v>
      </c>
      <c r="P6">
        <v>134698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24/09/2026</v>
      </c>
      <c r="AC6" t="str">
        <v>05:46:19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05:46:30</v>
      </c>
      <c r="AK6" t="str">
        <v>05:46:30</v>
      </c>
      <c r="AL6" t="str">
        <v/>
      </c>
    </row>
    <row r="7">
      <c r="A7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/>
      </c>
      <c r="J7" t="str">
        <v>24/09/2026</v>
      </c>
      <c r="K7" t="str">
        <v>05:48:20</v>
      </c>
      <c r="L7">
        <v>-12.212892</v>
      </c>
      <c r="M7">
        <v>-76.95928</v>
      </c>
      <c r="N7">
        <f>HYPERLINK("https://www.google.com/maps/search/?api=1&amp;query=-12.212892,-76.95928","Avenida Villa del Mar, Villa El Salvador, Lima")</f>
      </c>
      <c r="O7" t="str">
        <v>Fin de ralentí</v>
      </c>
      <c r="P7">
        <v>134698.1</v>
      </c>
      <c r="Q7" t="str">
        <v/>
      </c>
      <c r="R7">
        <v>6.4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24/09/2026</v>
      </c>
      <c r="AC7" t="str">
        <v>05:48:17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05:48:40</v>
      </c>
      <c r="AK7" t="str">
        <v>05:48:40</v>
      </c>
      <c r="AL7" t="str">
        <v/>
      </c>
    </row>
    <row r="8">
      <c r="A8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/>
      </c>
      <c r="J8" t="str">
        <v>24/09/2026</v>
      </c>
      <c r="K8" t="str">
        <v>05:49:39</v>
      </c>
      <c r="L8">
        <v>-12.213551</v>
      </c>
      <c r="M8">
        <v>-76.960526</v>
      </c>
      <c r="N8">
        <f>HYPERLINK("https://www.google.com/maps/search/?api=1&amp;query=-12.213551,-76.960526","Calle 1, Villa El Salvador, Lima")</f>
      </c>
      <c r="O8" t="str">
        <v>Se movio</v>
      </c>
      <c r="P8">
        <v>134698.2</v>
      </c>
      <c r="Q8" t="str">
        <v/>
      </c>
      <c r="R8">
        <v>7.7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24/09/2026</v>
      </c>
      <c r="AC8" t="str">
        <v>05:49:35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05:49:44</v>
      </c>
      <c r="AK8" t="str">
        <v>05:49:44</v>
      </c>
      <c r="AL8" t="str">
        <v/>
      </c>
    </row>
    <row r="9">
      <c r="A9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/>
      </c>
      <c r="J9" t="str">
        <v>24/09/2026</v>
      </c>
      <c r="K9" t="str">
        <v>05:52:03</v>
      </c>
      <c r="L9">
        <v>-12.211277</v>
      </c>
      <c r="M9">
        <v>-76.96196</v>
      </c>
      <c r="N9">
        <f>HYPERLINK("https://www.google.com/maps/search/?api=1&amp;query=-12.211277,-76.96196","Calle 1, Villa El Salvador, Lima")</f>
      </c>
      <c r="O9" t="str">
        <v>Acelerado y giro brusco</v>
      </c>
      <c r="P9">
        <v>134698.5</v>
      </c>
      <c r="Q9" t="str">
        <v/>
      </c>
      <c r="R9">
        <v>4.8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24/09/2026</v>
      </c>
      <c r="AC9" t="str">
        <v>05:52:00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05:52:12</v>
      </c>
      <c r="AK9" t="str">
        <v>05:52:12</v>
      </c>
      <c r="AL9" t="str">
        <v/>
      </c>
    </row>
    <row r="10">
      <c r="A10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/>
      </c>
      <c r="J10" t="str">
        <v>24/09/2026</v>
      </c>
      <c r="K10" t="str">
        <v>05:56:31</v>
      </c>
      <c r="L10">
        <v>-12.206103</v>
      </c>
      <c r="M10">
        <v>-76.95341</v>
      </c>
      <c r="N10">
        <f>HYPERLINK("https://www.google.com/maps/search/?api=1&amp;query=-12.206103,-76.95341","Avenida El Sol, Villa El Salvador, Lima")</f>
      </c>
      <c r="O10" t="str">
        <v>Bache</v>
      </c>
      <c r="P10">
        <v>134699.6</v>
      </c>
      <c r="Q10" t="str">
        <v/>
      </c>
      <c r="R10">
        <v>15.9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24/09/2026</v>
      </c>
      <c r="AC10" t="str">
        <v>05:56:27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05:56:40</v>
      </c>
      <c r="AK10" t="str">
        <v>05:56:40</v>
      </c>
      <c r="AL10" t="str">
        <v/>
      </c>
    </row>
    <row r="11">
      <c r="A11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/>
      </c>
      <c r="J11" t="str">
        <v>24/09/2026</v>
      </c>
      <c r="K11" t="str">
        <v>06:00:01</v>
      </c>
      <c r="L11">
        <v>-12.201485</v>
      </c>
      <c r="M11">
        <v>-76.95543</v>
      </c>
      <c r="N11">
        <f>HYPERLINK("https://www.google.com/maps/search/?api=1&amp;query=-12.201485,-76.95543","Avenida Mariano Pastor Sevilla, Villa El Salvador, Lima")</f>
      </c>
      <c r="O11" t="str">
        <v>Bache</v>
      </c>
      <c r="P11">
        <v>134700.2</v>
      </c>
      <c r="Q11" t="str">
        <v/>
      </c>
      <c r="R11">
        <v>39.2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97</v>
      </c>
      <c r="AB11" t="str">
        <v>24/09/2026</v>
      </c>
      <c r="AC11" t="str">
        <v>05:59:57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06:00:08</v>
      </c>
      <c r="AK11" t="str">
        <v>06:00:08</v>
      </c>
      <c r="AL11" t="str">
        <v/>
      </c>
    </row>
    <row r="12">
      <c r="A12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/>
      </c>
      <c r="J12" t="str">
        <v>24/09/2026</v>
      </c>
      <c r="K12" t="str">
        <v>06:06:16</v>
      </c>
      <c r="L12">
        <v>-12.193352</v>
      </c>
      <c r="M12">
        <v>-76.96034</v>
      </c>
      <c r="N12">
        <f>HYPERLINK("https://www.google.com/maps/search/?api=1&amp;query=-12.193352,-76.96034","Avenida Mariano Pastor Sevilla, Villa El Salvador, Lima")</f>
      </c>
      <c r="O12" t="str">
        <v>Inicio de ralentí</v>
      </c>
      <c r="P12">
        <v>134701.2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97</v>
      </c>
      <c r="AB12" t="str">
        <v>24/09/2026</v>
      </c>
      <c r="AC12" t="str">
        <v>06:06:12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06:06:21</v>
      </c>
      <c r="AK12" t="str">
        <v>06:06:21</v>
      </c>
      <c r="AL12" t="str">
        <v/>
      </c>
    </row>
    <row r="13">
      <c r="A13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/>
      </c>
      <c r="J13" t="str">
        <v>24/09/2026</v>
      </c>
      <c r="K13" t="str">
        <v>06:07:53</v>
      </c>
      <c r="L13">
        <v>-12.193024</v>
      </c>
      <c r="M13">
        <v>-76.96054</v>
      </c>
      <c r="N13">
        <f>HYPERLINK("https://www.google.com/maps/search/?api=1&amp;query=-12.193024,-76.96054","Avenida Mariano Pastor Sevilla, Villa El Salvador, Lima")</f>
      </c>
      <c r="O13" t="str">
        <v>Fin de ralentí</v>
      </c>
      <c r="P13">
        <v>134701.3</v>
      </c>
      <c r="Q13" t="str">
        <v/>
      </c>
      <c r="R13">
        <v>6.2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97</v>
      </c>
      <c r="AB13" t="str">
        <v>24/09/2026</v>
      </c>
      <c r="AC13" t="str">
        <v>06:07:50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06:08:21</v>
      </c>
      <c r="AK13" t="str">
        <v>06:08:21</v>
      </c>
      <c r="AL13" t="str">
        <v/>
      </c>
    </row>
    <row r="14">
      <c r="A14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/>
      </c>
      <c r="J14" t="str">
        <v>24/09/2026</v>
      </c>
      <c r="K14" t="str">
        <v>06:29:16</v>
      </c>
      <c r="L14">
        <v>-12.158564</v>
      </c>
      <c r="M14">
        <v>-76.95777</v>
      </c>
      <c r="N14">
        <f>HYPERLINK("https://www.google.com/maps/search/?api=1&amp;query=-12.158564,-76.95777","Jirón Francisco Bolognesi, San Juan de Miraflores, Lima")</f>
      </c>
      <c r="O14" t="str">
        <v>Bache</v>
      </c>
      <c r="P14">
        <v>134706.5</v>
      </c>
      <c r="Q14" t="str">
        <v/>
      </c>
      <c r="R14">
        <v>6.4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97</v>
      </c>
      <c r="AB14" t="str">
        <v>24/09/2026</v>
      </c>
      <c r="AC14" t="str">
        <v>06:29:12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06:29:29</v>
      </c>
      <c r="AK14" t="str">
        <v>06:29:29</v>
      </c>
      <c r="AL14" t="str">
        <v/>
      </c>
    </row>
    <row r="15">
      <c r="A15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/>
      </c>
      <c r="J15" t="str">
        <v>24/09/2026</v>
      </c>
      <c r="K15" t="str">
        <v>06:32:35</v>
      </c>
      <c r="L15">
        <v>-12.164739</v>
      </c>
      <c r="M15">
        <v>-76.95185</v>
      </c>
      <c r="N15">
        <f>HYPERLINK("https://www.google.com/maps/search/?api=1&amp;query=-12.164739,-76.95185","Avenida Nicolás de Piérola, Villa María del Triunfo, Lima")</f>
      </c>
      <c r="O15" t="str">
        <v>Bache</v>
      </c>
      <c r="P15">
        <v>134707.5</v>
      </c>
      <c r="Q15" t="str">
        <v/>
      </c>
      <c r="R15">
        <v>10.7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96</v>
      </c>
      <c r="AB15" t="str">
        <v>24/09/2026</v>
      </c>
      <c r="AC15" t="str">
        <v>06:32:31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06:32:56</v>
      </c>
      <c r="AK15" t="str">
        <v>06:32:56</v>
      </c>
      <c r="AL15" t="str">
        <v/>
      </c>
    </row>
    <row r="16">
      <c r="A16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/>
      </c>
      <c r="J16" t="str">
        <v>24/09/2026</v>
      </c>
      <c r="K16" t="str">
        <v>06:36:41</v>
      </c>
      <c r="L16">
        <v>-12.166687</v>
      </c>
      <c r="M16">
        <v>-76.95125</v>
      </c>
      <c r="N16">
        <f>HYPERLINK("https://www.google.com/maps/search/?api=1&amp;query=-12.166687,-76.95125","Avenida Villa María, Villa María del Triunfo, Lima")</f>
      </c>
      <c r="O16" t="str">
        <v>Vehículo apagado</v>
      </c>
      <c r="P16">
        <v>134707.8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24/09/2026</v>
      </c>
      <c r="AC16" t="str">
        <v>06:36:37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06:36:49</v>
      </c>
      <c r="AK16" t="str">
        <v>06:36:49</v>
      </c>
      <c r="AL16" t="str">
        <v/>
      </c>
    </row>
    <row r="17">
      <c r="A17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/>
      </c>
      <c r="J17" t="str">
        <v>24/09/2026</v>
      </c>
      <c r="K17" t="str">
        <v>06:57:12</v>
      </c>
      <c r="L17">
        <v>-12.166687</v>
      </c>
      <c r="M17">
        <v>-76.95125</v>
      </c>
      <c r="N17">
        <f>HYPERLINK("https://www.google.com/maps/search/?api=1&amp;query=-12.166687,-76.95125","Avenida Villa María, Villa María del Triunfo, Lima")</f>
      </c>
      <c r="O17" t="str">
        <v>Vehículo encendido</v>
      </c>
      <c r="P17">
        <v>134707.8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24/09/2026</v>
      </c>
      <c r="AC17" t="str">
        <v>06:57:07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06:57:19</v>
      </c>
      <c r="AK17" t="str">
        <v>06:57:19</v>
      </c>
      <c r="AL17" t="str">
        <v/>
      </c>
    </row>
    <row r="18">
      <c r="A18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/>
      </c>
      <c r="J18" t="str">
        <v>24/09/2026</v>
      </c>
      <c r="K18" t="str">
        <v>06:59:25</v>
      </c>
      <c r="L18">
        <v>-12.166717</v>
      </c>
      <c r="M18">
        <v>-76.951256</v>
      </c>
      <c r="N18">
        <f>HYPERLINK("https://www.google.com/maps/search/?api=1&amp;query=-12.166717,-76.951256","Avenida Villa María, Villa María del Triunfo, Lima")</f>
      </c>
      <c r="O18" t="str">
        <v>Vehículo apagado</v>
      </c>
      <c r="P18">
        <v>134707.8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24/09/2026</v>
      </c>
      <c r="AC18" t="str">
        <v>06:59:20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06:59:36</v>
      </c>
      <c r="AK18" t="str">
        <v>06:59:36</v>
      </c>
      <c r="AL18" t="str">
        <v/>
      </c>
    </row>
    <row r="19">
      <c r="A19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/>
      </c>
      <c r="J19" t="str">
        <v>24/09/2026</v>
      </c>
      <c r="K19" t="str">
        <v>07:52:28</v>
      </c>
      <c r="L19">
        <v>-12.166717</v>
      </c>
      <c r="M19">
        <v>-76.951256</v>
      </c>
      <c r="N19">
        <f>HYPERLINK("https://www.google.com/maps/search/?api=1&amp;query=-12.166717,-76.951256","Avenida Villa María, Villa María del Triunfo, Lima")</f>
      </c>
      <c r="O19" t="str">
        <v>Vehículo encendido</v>
      </c>
      <c r="P19">
        <v>134707.8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96</v>
      </c>
      <c r="AB19" t="str">
        <v>24/09/2026</v>
      </c>
      <c r="AC19" t="str">
        <v>07:52:23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07:52:38</v>
      </c>
      <c r="AK19" t="str">
        <v>07:52:38</v>
      </c>
      <c r="AL19" t="str">
        <v/>
      </c>
    </row>
    <row r="20">
      <c r="A20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/>
      </c>
      <c r="J20" t="str">
        <v>24/09/2026</v>
      </c>
      <c r="K20" t="str">
        <v>07:55:45</v>
      </c>
      <c r="L20">
        <v>-12.166852</v>
      </c>
      <c r="M20">
        <v>-76.95161</v>
      </c>
      <c r="N20">
        <f>HYPERLINK("https://www.google.com/maps/search/?api=1&amp;query=-12.166852,-76.95161","Avenida Pachacútec, Villa María del Triunfo, Lima")</f>
      </c>
      <c r="O20" t="str">
        <v>Se movio</v>
      </c>
      <c r="P20">
        <v>134707.8</v>
      </c>
      <c r="Q20" t="str">
        <v/>
      </c>
      <c r="R20">
        <v>10.5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96</v>
      </c>
      <c r="AB20" t="str">
        <v>24/09/2026</v>
      </c>
      <c r="AC20" t="str">
        <v>07:55:41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07:55:50</v>
      </c>
      <c r="AK20" t="str">
        <v>07:55:50</v>
      </c>
      <c r="AL20" t="str">
        <v/>
      </c>
    </row>
    <row r="21">
      <c r="A21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/>
      </c>
      <c r="J21" t="str">
        <v>24/09/2026</v>
      </c>
      <c r="K21" t="str">
        <v>07:57:49</v>
      </c>
      <c r="L21">
        <v>-12.164429</v>
      </c>
      <c r="M21">
        <v>-76.94972</v>
      </c>
      <c r="N21">
        <f>HYPERLINK("https://www.google.com/maps/search/?api=1&amp;query=-12.164429,-76.94972","Avenida San José, Villa María del Triunfo, Lima")</f>
      </c>
      <c r="O21" t="str">
        <v>Aceleración brusca</v>
      </c>
      <c r="P21">
        <v>134708.2</v>
      </c>
      <c r="Q21" t="str">
        <v/>
      </c>
      <c r="R21">
        <v>13.5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24/09/2026</v>
      </c>
      <c r="AC21" t="str">
        <v>07:57:45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07:57:55</v>
      </c>
      <c r="AK21" t="str">
        <v>07:57:55</v>
      </c>
      <c r="AL21" t="str">
        <v/>
      </c>
    </row>
    <row r="22">
      <c r="A22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/>
      </c>
      <c r="J22" t="str">
        <v>24/09/2026</v>
      </c>
      <c r="K22" t="str">
        <v>07:57:55</v>
      </c>
      <c r="L22">
        <v>-12.164313</v>
      </c>
      <c r="M22">
        <v>-76.949554</v>
      </c>
      <c r="N22">
        <f>HYPERLINK("https://www.google.com/maps/search/?api=1&amp;query=-12.164313,-76.949554","Avenida San José, Villa María del Triunfo, Lima")</f>
      </c>
      <c r="O22" t="str">
        <v>Bache</v>
      </c>
      <c r="P22">
        <v>134708.3</v>
      </c>
      <c r="Q22" t="str">
        <v/>
      </c>
      <c r="R22">
        <v>21.8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24/09/2026</v>
      </c>
      <c r="AC22" t="str">
        <v>07:57:50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07:58:06</v>
      </c>
      <c r="AK22" t="str">
        <v>07:58:06</v>
      </c>
      <c r="AL22" t="str">
        <v/>
      </c>
    </row>
    <row r="23">
      <c r="A23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/>
      </c>
      <c r="J23" t="str">
        <v>24/09/2026</v>
      </c>
      <c r="K23" t="str">
        <v>07:58:23</v>
      </c>
      <c r="L23">
        <v>-12.163345</v>
      </c>
      <c r="M23">
        <v>-76.948105</v>
      </c>
      <c r="N23">
        <f>HYPERLINK("https://www.google.com/maps/search/?api=1&amp;query=-12.163345,-76.948105","Avenida San José, Villa María del Triunfo, Lima")</f>
      </c>
      <c r="O23" t="str">
        <v>Acelerado y giro brusco</v>
      </c>
      <c r="P23">
        <v>134708.4</v>
      </c>
      <c r="Q23" t="str">
        <v/>
      </c>
      <c r="R23">
        <v>9.2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24/09/2026</v>
      </c>
      <c r="AC23" t="str">
        <v>07:58:19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07:58:30</v>
      </c>
      <c r="AK23" t="str">
        <v>07:58:30</v>
      </c>
      <c r="AL23" t="str">
        <v/>
      </c>
    </row>
    <row r="24">
      <c r="A24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/>
      </c>
      <c r="J24" t="str">
        <v>24/09/2026</v>
      </c>
      <c r="K24" t="str">
        <v>07:58:45</v>
      </c>
      <c r="L24">
        <v>-12.16296</v>
      </c>
      <c r="M24">
        <v>-76.9476</v>
      </c>
      <c r="N24">
        <f>HYPERLINK("https://www.google.com/maps/search/?api=1&amp;query=-12.16296,-76.9476","Avenida San José, Villa María del Triunfo, Lima")</f>
      </c>
      <c r="O24" t="str">
        <v>Acelerado y giro brusco</v>
      </c>
      <c r="P24">
        <v>134708.5</v>
      </c>
      <c r="Q24" t="str">
        <v/>
      </c>
      <c r="R24">
        <v>0.1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24/09/2026</v>
      </c>
      <c r="AC24" t="str">
        <v>07:58:40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07:59:08</v>
      </c>
      <c r="AK24" t="str">
        <v>07:59:08</v>
      </c>
      <c r="AL24" t="str">
        <v/>
      </c>
    </row>
    <row r="25">
      <c r="A25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/>
      </c>
      <c r="J25" t="str">
        <v>24/09/2026</v>
      </c>
      <c r="K25" t="str">
        <v>08:00:36</v>
      </c>
      <c r="L25">
        <v>-12.162867</v>
      </c>
      <c r="M25">
        <v>-76.94583</v>
      </c>
      <c r="N25">
        <f>HYPERLINK("https://www.google.com/maps/search/?api=1&amp;query=-12.162867,-76.94583","Calle Mariano Melgar, Villa María del Triunfo, Lima")</f>
      </c>
      <c r="O25" t="str">
        <v>Aceleración brusca</v>
      </c>
      <c r="P25">
        <v>134708.8</v>
      </c>
      <c r="Q25" t="str">
        <v/>
      </c>
      <c r="R25">
        <v>0.1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96</v>
      </c>
      <c r="AB25" t="str">
        <v>24/09/2026</v>
      </c>
      <c r="AC25" t="str">
        <v>08:00:31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08:00:45</v>
      </c>
      <c r="AK25" t="str">
        <v>08:00:45</v>
      </c>
      <c r="AL25" t="str">
        <v/>
      </c>
    </row>
    <row r="26">
      <c r="A26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/>
      </c>
      <c r="J26" t="str">
        <v>24/09/2026</v>
      </c>
      <c r="K26" t="str">
        <v>08:03:31</v>
      </c>
      <c r="L26">
        <v>-12.163635</v>
      </c>
      <c r="M26">
        <v>-76.946785</v>
      </c>
      <c r="N26">
        <f>HYPERLINK("https://www.google.com/maps/search/?api=1&amp;query=-12.163635,-76.946785","Avenida Villa María, Villa María del Triunfo, Lima")</f>
      </c>
      <c r="O26" t="str">
        <v>Vehículo apagado</v>
      </c>
      <c r="P26">
        <v>134708.9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97</v>
      </c>
      <c r="AB26" t="str">
        <v>24/09/2026</v>
      </c>
      <c r="AC26" t="str">
        <v>08:03:26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08:03:46</v>
      </c>
      <c r="AK26" t="str">
        <v>08:03:46</v>
      </c>
      <c r="AL26" t="str">
        <v/>
      </c>
    </row>
    <row r="27">
      <c r="A27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/>
      </c>
      <c r="J27" t="str">
        <v>24/09/2026</v>
      </c>
      <c r="K27" t="str">
        <v>08:20:47</v>
      </c>
      <c r="L27">
        <v>-12.163635</v>
      </c>
      <c r="M27">
        <v>-76.946785</v>
      </c>
      <c r="N27">
        <f>HYPERLINK("https://www.google.com/maps/search/?api=1&amp;query=-12.163635,-76.946785","Avenida Villa María, Villa María del Triunfo, Lima")</f>
      </c>
      <c r="O27" t="str">
        <v>Vehículo encendido</v>
      </c>
      <c r="P27">
        <v>134708.9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97</v>
      </c>
      <c r="AB27" t="str">
        <v>24/09/2026</v>
      </c>
      <c r="AC27" t="str">
        <v>08:20:43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08:21:08</v>
      </c>
      <c r="AK27" t="str">
        <v>08:21:08</v>
      </c>
      <c r="AL27" t="str">
        <v/>
      </c>
    </row>
    <row r="28">
      <c r="A28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/>
      </c>
      <c r="J28" t="str">
        <v>24/09/2026</v>
      </c>
      <c r="K28" t="str">
        <v>08:21:26</v>
      </c>
      <c r="L28">
        <v>-12.163742</v>
      </c>
      <c r="M28">
        <v>-76.9469</v>
      </c>
      <c r="N28">
        <f>HYPERLINK("https://www.google.com/maps/search/?api=1&amp;query=-12.163742,-76.9469","Avenida Villa María, Villa María del Triunfo, Lima")</f>
      </c>
      <c r="O28" t="str">
        <v>Se movio</v>
      </c>
      <c r="P28">
        <v>134708.9</v>
      </c>
      <c r="Q28" t="str">
        <v/>
      </c>
      <c r="R28">
        <v>15.3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97</v>
      </c>
      <c r="AB28" t="str">
        <v>24/09/2026</v>
      </c>
      <c r="AC28" t="str">
        <v>08:21:21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08:21:32</v>
      </c>
      <c r="AK28" t="str">
        <v>08:21:32</v>
      </c>
      <c r="AL28" t="str">
        <v/>
      </c>
    </row>
    <row r="29">
      <c r="A29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/>
      </c>
      <c r="J29" t="str">
        <v>24/09/2026</v>
      </c>
      <c r="K29" t="str">
        <v>08:22:11</v>
      </c>
      <c r="L29">
        <v>-12.164396</v>
      </c>
      <c r="M29">
        <v>-76.9479</v>
      </c>
      <c r="N29">
        <f>HYPERLINK("https://www.google.com/maps/search/?api=1&amp;query=-12.164396,-76.9479","Avenida Villa María, Villa María del Triunfo, Lima")</f>
      </c>
      <c r="O29" t="str">
        <v>Vehículo apagado</v>
      </c>
      <c r="P29">
        <v>134709.1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97</v>
      </c>
      <c r="AB29" t="str">
        <v>24/09/2026</v>
      </c>
      <c r="AC29" t="str">
        <v>08:22:06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08:22:22</v>
      </c>
      <c r="AK29" t="str">
        <v>08:22:22</v>
      </c>
      <c r="AL29" t="str">
        <v/>
      </c>
    </row>
    <row r="30">
      <c r="A30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/>
      </c>
      <c r="J30" t="str">
        <v>24/09/2026</v>
      </c>
      <c r="K30" t="str">
        <v>08:30:01</v>
      </c>
      <c r="L30">
        <v>-12.164396</v>
      </c>
      <c r="M30">
        <v>-76.9479</v>
      </c>
      <c r="N30">
        <f>HYPERLINK("https://www.google.com/maps/search/?api=1&amp;query=-12.164396,-76.9479","Avenida Villa María, Villa María del Triunfo, Lima")</f>
      </c>
      <c r="O30" t="str">
        <v>Vehículo encendido</v>
      </c>
      <c r="P30">
        <v>134709.1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97</v>
      </c>
      <c r="AB30" t="str">
        <v>24/09/2026</v>
      </c>
      <c r="AC30" t="str">
        <v>08:29:56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08:30:19</v>
      </c>
      <c r="AK30" t="str">
        <v>08:30:19</v>
      </c>
      <c r="AL30" t="str">
        <v/>
      </c>
    </row>
    <row r="31">
      <c r="A31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/>
      </c>
      <c r="J31" t="str">
        <v>24/09/2026</v>
      </c>
      <c r="K31" t="str">
        <v>08:30:45</v>
      </c>
      <c r="L31">
        <v>-12.164541</v>
      </c>
      <c r="M31">
        <v>-76.94807</v>
      </c>
      <c r="N31">
        <f>HYPERLINK("https://www.google.com/maps/search/?api=1&amp;query=-12.164541,-76.94807","Avenida Villa María, Villa María del Triunfo, Lima")</f>
      </c>
      <c r="O31" t="str">
        <v>Se movio</v>
      </c>
      <c r="P31">
        <v>134709.1</v>
      </c>
      <c r="Q31" t="str">
        <v/>
      </c>
      <c r="R31">
        <v>17.7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97</v>
      </c>
      <c r="AB31" t="str">
        <v>24/09/2026</v>
      </c>
      <c r="AC31" t="str">
        <v>08:30:41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08:30:57</v>
      </c>
      <c r="AK31" t="str">
        <v>08:30:57</v>
      </c>
      <c r="AL31" t="str">
        <v/>
      </c>
    </row>
    <row r="32">
      <c r="A32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/>
      </c>
      <c r="J32" t="str">
        <v>24/09/2026</v>
      </c>
      <c r="K32" t="str">
        <v>08:31:42</v>
      </c>
      <c r="L32">
        <v>-12.162895</v>
      </c>
      <c r="M32">
        <v>-76.94932</v>
      </c>
      <c r="N32">
        <f>HYPERLINK("https://www.google.com/maps/search/?api=1&amp;query=-12.162895,-76.94932","Avenida El Carmen, Villa María del Triunfo, Lima")</f>
      </c>
      <c r="O32" t="str">
        <v>Bache</v>
      </c>
      <c r="P32">
        <v>134709.3</v>
      </c>
      <c r="Q32" t="str">
        <v/>
      </c>
      <c r="R32">
        <v>8.5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97</v>
      </c>
      <c r="AB32" t="str">
        <v>24/09/2026</v>
      </c>
      <c r="AC32" t="str">
        <v>08:31:37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08:32:01</v>
      </c>
      <c r="AK32" t="str">
        <v>08:32:01</v>
      </c>
      <c r="AL32" t="str">
        <v/>
      </c>
    </row>
    <row r="33">
      <c r="A33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/>
      </c>
      <c r="J33" t="str">
        <v>24/09/2026</v>
      </c>
      <c r="K33" t="str">
        <v>08:33:14</v>
      </c>
      <c r="L33">
        <v>-12.160212</v>
      </c>
      <c r="M33">
        <v>-76.950165</v>
      </c>
      <c r="N33">
        <f>HYPERLINK("https://www.google.com/maps/search/?api=1&amp;query=-12.160212,-76.950165","Jirón Progreso, Villa María del Triunfo, Lima")</f>
      </c>
      <c r="O33" t="str">
        <v>Bache</v>
      </c>
      <c r="P33">
        <v>134709.7</v>
      </c>
      <c r="Q33" t="str">
        <v/>
      </c>
      <c r="R33">
        <v>22.4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97</v>
      </c>
      <c r="AB33" t="str">
        <v>24/09/2026</v>
      </c>
      <c r="AC33" t="str">
        <v>08:33:09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08:33:26</v>
      </c>
      <c r="AK33" t="str">
        <v>08:33:26</v>
      </c>
      <c r="AL33" t="str">
        <v/>
      </c>
    </row>
    <row r="34">
      <c r="A34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/>
      </c>
      <c r="J34" t="str">
        <v>24/09/2026</v>
      </c>
      <c r="K34" t="str">
        <v>08:36:50</v>
      </c>
      <c r="L34">
        <v>-12.158644</v>
      </c>
      <c r="M34">
        <v>-76.95207</v>
      </c>
      <c r="N34">
        <f>HYPERLINK("https://www.google.com/maps/search/?api=1&amp;query=-12.158644,-76.95207","Jirón Miraflores, Villa María del Triunfo, Lima")</f>
      </c>
      <c r="O34" t="str">
        <v>Vehículo apagado</v>
      </c>
      <c r="P34">
        <v>134710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97</v>
      </c>
      <c r="AB34" t="str">
        <v>24/09/2026</v>
      </c>
      <c r="AC34" t="str">
        <v>08:36:45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08:37:02</v>
      </c>
      <c r="AK34" t="str">
        <v>08:37:02</v>
      </c>
      <c r="AL34" t="str">
        <v/>
      </c>
    </row>
    <row r="35">
      <c r="A35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/>
      </c>
      <c r="J35" t="str">
        <v>24/09/2026</v>
      </c>
      <c r="K35" t="str">
        <v>08:45:42</v>
      </c>
      <c r="L35">
        <v>-12.158644</v>
      </c>
      <c r="M35">
        <v>-76.95207</v>
      </c>
      <c r="N35">
        <f>HYPERLINK("https://www.google.com/maps/search/?api=1&amp;query=-12.158644,-76.95207","Jirón Miraflores, Villa María del Triunfo, Lima")</f>
      </c>
      <c r="O35" t="str">
        <v>Vehículo encendido</v>
      </c>
      <c r="P35">
        <v>134710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97</v>
      </c>
      <c r="AB35" t="str">
        <v>24/09/2026</v>
      </c>
      <c r="AC35" t="str">
        <v>08:45:37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08:45:56</v>
      </c>
      <c r="AK35" t="str">
        <v>08:45:56</v>
      </c>
      <c r="AL35" t="str">
        <v/>
      </c>
    </row>
    <row r="36">
      <c r="A36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/>
      </c>
      <c r="J36" t="str">
        <v>24/09/2026</v>
      </c>
      <c r="K36" t="str">
        <v>08:46:14</v>
      </c>
      <c r="L36">
        <v>-12.159123</v>
      </c>
      <c r="M36">
        <v>-76.95274</v>
      </c>
      <c r="N36">
        <f>HYPERLINK("https://www.google.com/maps/search/?api=1&amp;query=-12.159123,-76.95274","Jirón Miraflores, Villa María del Triunfo, Lima")</f>
      </c>
      <c r="O36" t="str">
        <v>Se movio</v>
      </c>
      <c r="P36">
        <v>134710.1</v>
      </c>
      <c r="Q36" t="str">
        <v/>
      </c>
      <c r="R36">
        <v>19.4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96</v>
      </c>
      <c r="AB36" t="str">
        <v>24/09/2026</v>
      </c>
      <c r="AC36" t="str">
        <v>08:46:09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08:46:28</v>
      </c>
      <c r="AK36" t="str">
        <v>08:46:28</v>
      </c>
      <c r="AL36" t="str">
        <v/>
      </c>
    </row>
    <row r="37">
      <c r="A37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/>
      </c>
      <c r="J37" t="str">
        <v>24/09/2026</v>
      </c>
      <c r="K37" t="str">
        <v>08:46:53</v>
      </c>
      <c r="L37">
        <v>-12.160332</v>
      </c>
      <c r="M37">
        <v>-76.954254</v>
      </c>
      <c r="N37">
        <f>HYPERLINK("https://www.google.com/maps/search/?api=1&amp;query=-12.160332,-76.954254","Jirón Miraflores, Villa María del Triunfo, Lima")</f>
      </c>
      <c r="O37" t="str">
        <v>Bache</v>
      </c>
      <c r="P37">
        <v>134710.3</v>
      </c>
      <c r="Q37" t="str">
        <v/>
      </c>
      <c r="R37">
        <v>7.4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96</v>
      </c>
      <c r="AB37" t="str">
        <v>24/09/2026</v>
      </c>
      <c r="AC37" t="str">
        <v>08:46:48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08:47:10</v>
      </c>
      <c r="AK37" t="str">
        <v>08:47:10</v>
      </c>
      <c r="AL37" t="str">
        <v/>
      </c>
    </row>
    <row r="38">
      <c r="A38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/>
      </c>
      <c r="J38" t="str">
        <v>24/09/2026</v>
      </c>
      <c r="K38" t="str">
        <v>08:47:17</v>
      </c>
      <c r="L38">
        <v>-12.160842</v>
      </c>
      <c r="M38">
        <v>-76.95491</v>
      </c>
      <c r="N38">
        <f>HYPERLINK("https://www.google.com/maps/search/?api=1&amp;query=-12.160842,-76.95491","Jirón Miraflores, Villa María del Triunfo, Lima")</f>
      </c>
      <c r="O38" t="str">
        <v>Bache</v>
      </c>
      <c r="P38">
        <v>134710.4</v>
      </c>
      <c r="Q38" t="str">
        <v/>
      </c>
      <c r="R38">
        <v>10.7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96</v>
      </c>
      <c r="AB38" t="str">
        <v>24/09/2026</v>
      </c>
      <c r="AC38" t="str">
        <v>08:47:12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08:47:32</v>
      </c>
      <c r="AK38" t="str">
        <v>08:47:32</v>
      </c>
      <c r="AL38" t="str">
        <v/>
      </c>
    </row>
    <row r="39">
      <c r="A39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/>
      </c>
      <c r="J39" t="str">
        <v>24/09/2026</v>
      </c>
      <c r="K39" t="str">
        <v>08:47:43</v>
      </c>
      <c r="L39">
        <v>-12.161603</v>
      </c>
      <c r="M39">
        <v>-76.95453</v>
      </c>
      <c r="N39">
        <f>HYPERLINK("https://www.google.com/maps/search/?api=1&amp;query=-12.161603,-76.95453","Avenida Nicolás de Piérola, Villa María del Triunfo, Lima")</f>
      </c>
      <c r="O39" t="str">
        <v>Bache</v>
      </c>
      <c r="P39">
        <v>134710.5</v>
      </c>
      <c r="Q39" t="str">
        <v/>
      </c>
      <c r="R39">
        <v>16.1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96</v>
      </c>
      <c r="AB39" t="str">
        <v>24/09/2026</v>
      </c>
      <c r="AC39" t="str">
        <v>08:47:38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08:47:51</v>
      </c>
      <c r="AK39" t="str">
        <v>08:47:51</v>
      </c>
      <c r="AL39" t="str">
        <v/>
      </c>
    </row>
    <row r="40">
      <c r="A40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/>
      </c>
      <c r="J40" t="str">
        <v>24/09/2026</v>
      </c>
      <c r="K40" t="str">
        <v>08:48:30</v>
      </c>
      <c r="L40">
        <v>-12.163789</v>
      </c>
      <c r="M40">
        <v>-76.952675</v>
      </c>
      <c r="N40">
        <f>HYPERLINK("https://www.google.com/maps/search/?api=1&amp;query=-12.163789,-76.952675","Avenida Nicolás de Piérola, Villa María del Triunfo, Lima")</f>
      </c>
      <c r="O40" t="str">
        <v>Bache</v>
      </c>
      <c r="P40">
        <v>134710.8</v>
      </c>
      <c r="Q40" t="str">
        <v/>
      </c>
      <c r="R40">
        <v>27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97</v>
      </c>
      <c r="AB40" t="str">
        <v>24/09/2026</v>
      </c>
      <c r="AC40" t="str">
        <v>08:48:25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08:48:42</v>
      </c>
      <c r="AK40" t="str">
        <v>08:48:42</v>
      </c>
      <c r="AL40" t="str">
        <v/>
      </c>
    </row>
    <row r="41">
      <c r="A41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/>
      </c>
      <c r="J41" t="str">
        <v>24/09/2026</v>
      </c>
      <c r="K41" t="str">
        <v>08:50:04</v>
      </c>
      <c r="L41">
        <v>-12.167195</v>
      </c>
      <c r="M41">
        <v>-76.949814</v>
      </c>
      <c r="N41">
        <f>HYPERLINK("https://www.google.com/maps/search/?api=1&amp;query=-12.167195,-76.949814","Avenida Nicolás de Piérola, Villa María del Triunfo, Lima")</f>
      </c>
      <c r="O41" t="str">
        <v>Bache</v>
      </c>
      <c r="P41">
        <v>134711.3</v>
      </c>
      <c r="Q41" t="str">
        <v/>
      </c>
      <c r="R41">
        <v>10.9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99</v>
      </c>
      <c r="AB41" t="str">
        <v>24/09/2026</v>
      </c>
      <c r="AC41" t="str">
        <v>08:50:04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08:50:22</v>
      </c>
      <c r="AK41" t="str">
        <v>08:50:22</v>
      </c>
      <c r="AL41" t="str">
        <v/>
      </c>
    </row>
    <row r="42">
      <c r="A42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/>
      </c>
      <c r="J42" t="str">
        <v>24/09/2026</v>
      </c>
      <c r="K42" t="str">
        <v>08:50:21</v>
      </c>
      <c r="L42">
        <v>-12.167798</v>
      </c>
      <c r="M42">
        <v>-76.94929</v>
      </c>
      <c r="N42">
        <f>HYPERLINK("https://www.google.com/maps/search/?api=1&amp;query=-12.167798,-76.94929","Avenida Nicolás de Piérola, Villa María del Triunfo, Lima")</f>
      </c>
      <c r="O42" t="str">
        <v>Bache</v>
      </c>
      <c r="P42">
        <v>134711.4</v>
      </c>
      <c r="Q42" t="str">
        <v/>
      </c>
      <c r="R42">
        <v>6.8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99</v>
      </c>
      <c r="AB42" t="str">
        <v>24/09/2026</v>
      </c>
      <c r="AC42" t="str">
        <v>08:50:21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08:50:42</v>
      </c>
      <c r="AK42" t="str">
        <v>08:50:42</v>
      </c>
      <c r="AL42" t="str">
        <v/>
      </c>
    </row>
    <row r="43">
      <c r="A43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/>
      </c>
      <c r="J43" t="str">
        <v>24/09/2026</v>
      </c>
      <c r="K43" t="str">
        <v>08:51:13</v>
      </c>
      <c r="L43">
        <v>-12.169432</v>
      </c>
      <c r="M43">
        <v>-76.94786</v>
      </c>
      <c r="N43">
        <f>HYPERLINK("https://www.google.com/maps/search/?api=1&amp;query=-12.169432,-76.94786","Avenida Nicolás de Piérola, Villa María del Triunfo, Lima")</f>
      </c>
      <c r="O43" t="str">
        <v>Bache</v>
      </c>
      <c r="P43">
        <v>134711.6</v>
      </c>
      <c r="Q43" t="str">
        <v/>
      </c>
      <c r="R43">
        <v>12.7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97</v>
      </c>
      <c r="AB43" t="str">
        <v>24/09/2026</v>
      </c>
      <c r="AC43" t="str">
        <v>08:51:13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08:51:30</v>
      </c>
      <c r="AK43" t="str">
        <v>08:51:30</v>
      </c>
      <c r="AL43" t="str">
        <v/>
      </c>
    </row>
    <row r="44">
      <c r="A44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/>
      </c>
      <c r="J44" t="str">
        <v>24/09/2026</v>
      </c>
      <c r="K44" t="str">
        <v>08:52:20</v>
      </c>
      <c r="L44">
        <v>-12.172387</v>
      </c>
      <c r="M44">
        <v>-76.94529</v>
      </c>
      <c r="N44">
        <f>HYPERLINK("https://www.google.com/maps/search/?api=1&amp;query=-12.172387,-76.94529","Avenida Nicolás de Piérola, Villa María del Triunfo, Lima")</f>
      </c>
      <c r="O44" t="str">
        <v>Bache</v>
      </c>
      <c r="P44">
        <v>134712</v>
      </c>
      <c r="Q44" t="str">
        <v/>
      </c>
      <c r="R44">
        <v>7.5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97</v>
      </c>
      <c r="AB44" t="str">
        <v>24/09/2026</v>
      </c>
      <c r="AC44" t="str">
        <v>08:52:20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08:52:31</v>
      </c>
      <c r="AK44" t="str">
        <v>08:52:31</v>
      </c>
      <c r="AL44" t="str">
        <v/>
      </c>
    </row>
    <row r="45">
      <c r="A45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/>
      </c>
      <c r="J45" t="str">
        <v>24/09/2026</v>
      </c>
      <c r="K45" t="str">
        <v>08:52:48</v>
      </c>
      <c r="L45">
        <v>-12.173482</v>
      </c>
      <c r="M45">
        <v>-76.9442</v>
      </c>
      <c r="N45">
        <f>HYPERLINK("https://www.google.com/maps/search/?api=1&amp;query=-12.173482,-76.9442","Avenida Nicolás de Piérola, Villa María del Triunfo, Lima")</f>
      </c>
      <c r="O45" t="str">
        <v>Bache</v>
      </c>
      <c r="P45">
        <v>134712.2</v>
      </c>
      <c r="Q45" t="str">
        <v/>
      </c>
      <c r="R45">
        <v>7.2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97</v>
      </c>
      <c r="AB45" t="str">
        <v>24/09/2026</v>
      </c>
      <c r="AC45" t="str">
        <v>08:52:48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08:53:01</v>
      </c>
      <c r="AK45" t="str">
        <v>08:53:01</v>
      </c>
      <c r="AL45" t="str">
        <v/>
      </c>
    </row>
    <row r="46">
      <c r="A46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/>
      </c>
      <c r="J46" t="str">
        <v>24/09/2026</v>
      </c>
      <c r="K46" t="str">
        <v>08:53:29</v>
      </c>
      <c r="L46">
        <v>-12.17443</v>
      </c>
      <c r="M46">
        <v>-76.94571</v>
      </c>
      <c r="N46">
        <f>HYPERLINK("https://www.google.com/maps/search/?api=1&amp;query=-12.17443,-76.94571","Calle 8 de Octubre, Villa María del Triunfo, Lima")</f>
      </c>
      <c r="O46" t="str">
        <v>Bache</v>
      </c>
      <c r="P46">
        <v>134712.4</v>
      </c>
      <c r="Q46" t="str">
        <v/>
      </c>
      <c r="R46">
        <v>18.8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97</v>
      </c>
      <c r="AB46" t="str">
        <v>24/09/2026</v>
      </c>
      <c r="AC46" t="str">
        <v>08:53:29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08:53:37</v>
      </c>
      <c r="AK46" t="str">
        <v>08:53:37</v>
      </c>
      <c r="AL46" t="str">
        <v/>
      </c>
    </row>
    <row r="47">
      <c r="A47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/>
      </c>
      <c r="J47" t="str">
        <v>24/09/2026</v>
      </c>
      <c r="K47" t="str">
        <v>08:54:14</v>
      </c>
      <c r="L47">
        <v>-12.175065</v>
      </c>
      <c r="M47">
        <v>-76.94656</v>
      </c>
      <c r="N47">
        <f>HYPERLINK("https://www.google.com/maps/search/?api=1&amp;query=-12.175065,-76.94656","Calle 8 de Octubre, Villa María del Triunfo, Lima")</f>
      </c>
      <c r="O47" t="str">
        <v>Aceleración brusca</v>
      </c>
      <c r="P47">
        <v>134712.5</v>
      </c>
      <c r="Q47" t="str">
        <v/>
      </c>
      <c r="R47">
        <v>1.2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96</v>
      </c>
      <c r="AB47" t="str">
        <v>24/09/2026</v>
      </c>
      <c r="AC47" t="str">
        <v>08:54:14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08:54:46</v>
      </c>
      <c r="AK47" t="str">
        <v>08:54:46</v>
      </c>
      <c r="AL47" t="str">
        <v/>
      </c>
    </row>
    <row r="48">
      <c r="A48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/>
      </c>
      <c r="J48" t="str">
        <v>24/09/2026</v>
      </c>
      <c r="K48" t="str">
        <v>08:56:21</v>
      </c>
      <c r="L48">
        <v>-12.179597</v>
      </c>
      <c r="M48">
        <v>-76.94406</v>
      </c>
      <c r="N48">
        <f>HYPERLINK("https://www.google.com/maps/search/?api=1&amp;query=-12.179597,-76.94406","Avenida Pachacútec, Villa María del Triunfo, Lima")</f>
      </c>
      <c r="O48" t="str">
        <v>Bache</v>
      </c>
      <c r="P48">
        <v>134713.1</v>
      </c>
      <c r="Q48" t="str">
        <v/>
      </c>
      <c r="R48">
        <v>43.8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96</v>
      </c>
      <c r="AB48" t="str">
        <v>24/09/2026</v>
      </c>
      <c r="AC48" t="str">
        <v>08:56:21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08:56:37</v>
      </c>
      <c r="AK48" t="str">
        <v>08:56:37</v>
      </c>
      <c r="AL48" t="str">
        <v/>
      </c>
    </row>
    <row r="49">
      <c r="A49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/>
      </c>
      <c r="J49" t="str">
        <v>24/09/2026</v>
      </c>
      <c r="K49" t="str">
        <v>08:56:36</v>
      </c>
      <c r="L49">
        <v>-12.180872</v>
      </c>
      <c r="M49">
        <v>-76.94329</v>
      </c>
      <c r="N49">
        <f>HYPERLINK("https://www.google.com/maps/search/?api=1&amp;query=-12.180872,-76.94329","Avenida Pachacútec, Villa María del Triunfo, Lima")</f>
      </c>
      <c r="O49" t="str">
        <v>Aceleración brusca</v>
      </c>
      <c r="P49">
        <v>134713.3</v>
      </c>
      <c r="Q49" t="str">
        <v/>
      </c>
      <c r="R49">
        <v>20.3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96</v>
      </c>
      <c r="AB49" t="str">
        <v>24/09/2026</v>
      </c>
      <c r="AC49" t="str">
        <v>08:56:36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08:56:42</v>
      </c>
      <c r="AK49" t="str">
        <v>08:56:42</v>
      </c>
      <c r="AL49" t="str">
        <v/>
      </c>
    </row>
    <row r="50">
      <c r="A50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/>
      </c>
      <c r="J50" t="str">
        <v>24/09/2026</v>
      </c>
      <c r="K50" t="str">
        <v>08:58:24</v>
      </c>
      <c r="L50">
        <v>-12.186147</v>
      </c>
      <c r="M50">
        <v>-76.9404</v>
      </c>
      <c r="N50">
        <f>HYPERLINK("https://www.google.com/maps/search/?api=1&amp;query=-12.186147,-76.9404","Avenida Pachacútec, Villa El Salvador, Lima")</f>
      </c>
      <c r="O50" t="str">
        <v>Aceleración brusca</v>
      </c>
      <c r="P50">
        <v>134713.9</v>
      </c>
      <c r="Q50" t="str">
        <v/>
      </c>
      <c r="R50">
        <v>9.8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96</v>
      </c>
      <c r="AB50" t="str">
        <v>24/09/2026</v>
      </c>
      <c r="AC50" t="str">
        <v>08:58:24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08:58:44</v>
      </c>
      <c r="AK50" t="str">
        <v>08:58:44</v>
      </c>
      <c r="AL50" t="str">
        <v/>
      </c>
    </row>
    <row r="51">
      <c r="A51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/>
      </c>
      <c r="J51" t="str">
        <v>24/09/2026</v>
      </c>
      <c r="K51" t="str">
        <v>08:58:25</v>
      </c>
      <c r="L51">
        <v>-12.186163</v>
      </c>
      <c r="M51">
        <v>-76.94039</v>
      </c>
      <c r="N51">
        <f>HYPERLINK("https://www.google.com/maps/search/?api=1&amp;query=-12.186163,-76.94039","Avenida Pachacútec, Villa El Salvador, Lima")</f>
      </c>
      <c r="O51" t="str">
        <v>Bache</v>
      </c>
      <c r="P51">
        <v>134713.9</v>
      </c>
      <c r="Q51" t="str">
        <v/>
      </c>
      <c r="R51">
        <v>6.6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96</v>
      </c>
      <c r="AB51" t="str">
        <v>24/09/2026</v>
      </c>
      <c r="AC51" t="str">
        <v>08:58:25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08:58:44</v>
      </c>
      <c r="AK51" t="str">
        <v>08:58:44</v>
      </c>
      <c r="AL51" t="str">
        <v/>
      </c>
    </row>
    <row r="52">
      <c r="A52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/>
      </c>
      <c r="J52" t="str">
        <v>24/09/2026</v>
      </c>
      <c r="K52" t="str">
        <v>08:58:43</v>
      </c>
      <c r="L52">
        <v>-12.186785</v>
      </c>
      <c r="M52">
        <v>-76.94007</v>
      </c>
      <c r="N52">
        <f>HYPERLINK("https://www.google.com/maps/search/?api=1&amp;query=-12.186785,-76.94007","Avenida Pachacútec, Villa El Salvador, Lima")</f>
      </c>
      <c r="O52" t="str">
        <v>Aceleración brusca</v>
      </c>
      <c r="P52">
        <v>134714</v>
      </c>
      <c r="Q52" t="str">
        <v/>
      </c>
      <c r="R52">
        <v>17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96</v>
      </c>
      <c r="AB52" t="str">
        <v>24/09/2026</v>
      </c>
      <c r="AC52" t="str">
        <v>08:58:43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08:59:00</v>
      </c>
      <c r="AK52" t="str">
        <v>08:59:00</v>
      </c>
      <c r="AL52" t="str">
        <v/>
      </c>
    </row>
    <row r="53">
      <c r="A53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/>
      </c>
      <c r="J53" t="str">
        <v>24/09/2026</v>
      </c>
      <c r="K53" t="str">
        <v>08:58:46</v>
      </c>
      <c r="L53">
        <v>-12.186851</v>
      </c>
      <c r="M53">
        <v>-76.94003</v>
      </c>
      <c r="N53">
        <f>HYPERLINK("https://www.google.com/maps/search/?api=1&amp;query=-12.186851,-76.94003","Avenida Pachacútec, Villa El Salvador, Lima")</f>
      </c>
      <c r="O53" t="str">
        <v>Bache</v>
      </c>
      <c r="P53">
        <v>134714</v>
      </c>
      <c r="Q53" t="str">
        <v/>
      </c>
      <c r="R53">
        <v>6.8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96</v>
      </c>
      <c r="AB53" t="str">
        <v>24/09/2026</v>
      </c>
      <c r="AC53" t="str">
        <v>08:58:46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08:59:03</v>
      </c>
      <c r="AK53" t="str">
        <v>08:59:03</v>
      </c>
      <c r="AL53" t="str">
        <v/>
      </c>
    </row>
    <row r="54">
      <c r="A54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/>
      </c>
      <c r="J54" t="str">
        <v>24/09/2026</v>
      </c>
      <c r="K54" t="str">
        <v>08:59:02</v>
      </c>
      <c r="L54">
        <v>-12.187293</v>
      </c>
      <c r="M54">
        <v>-76.93978</v>
      </c>
      <c r="N54">
        <f>HYPERLINK("https://www.google.com/maps/search/?api=1&amp;query=-12.187293,-76.93978","Avenida Pachacútec, Villa El Salvador, Lima")</f>
      </c>
      <c r="O54" t="str">
        <v>Aceleración brusca</v>
      </c>
      <c r="P54">
        <v>134714.1</v>
      </c>
      <c r="Q54" t="str">
        <v/>
      </c>
      <c r="R54">
        <v>4.8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96</v>
      </c>
      <c r="AB54" t="str">
        <v>24/09/2026</v>
      </c>
      <c r="AC54" t="str">
        <v>08:59:02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08:59:22</v>
      </c>
      <c r="AK54" t="str">
        <v>08:59:22</v>
      </c>
      <c r="AL54" t="str">
        <v/>
      </c>
    </row>
    <row r="55">
      <c r="A55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/>
      </c>
      <c r="J55" t="str">
        <v>24/09/2026</v>
      </c>
      <c r="K55" t="str">
        <v>08:59:43</v>
      </c>
      <c r="L55">
        <v>-12.1873</v>
      </c>
      <c r="M55">
        <v>-76.93977</v>
      </c>
      <c r="N55">
        <f>HYPERLINK("https://www.google.com/maps/search/?api=1&amp;query=-12.1873,-76.93977","Avenida Pachacútec, Villa El Salvador, Lima")</f>
      </c>
      <c r="O55" t="str">
        <v>Vehículo apagado</v>
      </c>
      <c r="P55">
        <v>134714.1</v>
      </c>
      <c r="Q55" t="str">
        <v/>
      </c>
      <c r="R55">
        <v>0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96</v>
      </c>
      <c r="AB55" t="str">
        <v>24/09/2026</v>
      </c>
      <c r="AC55" t="str">
        <v>08:59:43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09:00:03</v>
      </c>
      <c r="AK55" t="str">
        <v>09:00:03</v>
      </c>
      <c r="AL55" t="str">
        <v/>
      </c>
    </row>
    <row r="56">
      <c r="A56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/>
      </c>
      <c r="J56" t="str">
        <v>24/09/2026</v>
      </c>
      <c r="K56" t="str">
        <v>09:03:13</v>
      </c>
      <c r="L56">
        <v>-12.1873</v>
      </c>
      <c r="M56">
        <v>-76.93977</v>
      </c>
      <c r="N56">
        <f>HYPERLINK("https://www.google.com/maps/search/?api=1&amp;query=-12.1873,-76.93977","Avenida Pachacútec, Villa El Salvador, Lima")</f>
      </c>
      <c r="O56" t="str">
        <v>Vehículo encendido</v>
      </c>
      <c r="P56">
        <v>134714.1</v>
      </c>
      <c r="Q56" t="str">
        <v/>
      </c>
      <c r="R56">
        <v>0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96</v>
      </c>
      <c r="AB56" t="str">
        <v>24/09/2026</v>
      </c>
      <c r="AC56" t="str">
        <v>09:03:13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09:03:38</v>
      </c>
      <c r="AK56" t="str">
        <v>09:03:38</v>
      </c>
      <c r="AL56" t="str">
        <v/>
      </c>
    </row>
    <row r="57">
      <c r="A57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/>
      </c>
      <c r="J57" t="str">
        <v>24/09/2026</v>
      </c>
      <c r="K57" t="str">
        <v>09:07:41</v>
      </c>
      <c r="L57">
        <v>-12.195586</v>
      </c>
      <c r="M57">
        <v>-76.93494</v>
      </c>
      <c r="N57">
        <f>HYPERLINK("https://www.google.com/maps/search/?api=1&amp;query=-12.195586,-76.93494","Avenida Pachacútec, Villa El Salvador, Lima")</f>
      </c>
      <c r="O57" t="str">
        <v>Bache</v>
      </c>
      <c r="P57">
        <v>134715.1</v>
      </c>
      <c r="Q57" t="str">
        <v/>
      </c>
      <c r="R57">
        <v>38.8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97</v>
      </c>
      <c r="AB57" t="str">
        <v>24/09/2026</v>
      </c>
      <c r="AC57" t="str">
        <v>09:07:41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09:07:57</v>
      </c>
      <c r="AK57" t="str">
        <v>09:07:57</v>
      </c>
      <c r="AL57" t="str">
        <v/>
      </c>
    </row>
    <row r="58">
      <c r="A58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/>
      </c>
      <c r="J58" t="str">
        <v>24/09/2026</v>
      </c>
      <c r="K58" t="str">
        <v>09:07:44</v>
      </c>
      <c r="L58">
        <v>-12.195791</v>
      </c>
      <c r="M58">
        <v>-76.93481</v>
      </c>
      <c r="N58">
        <f>HYPERLINK("https://www.google.com/maps/search/?api=1&amp;query=-12.195791,-76.93481","Avenida Pachacútec, Villa El Salvador, Lima")</f>
      </c>
      <c r="O58" t="str">
        <v>Aceleración brusca</v>
      </c>
      <c r="P58">
        <v>134715.1</v>
      </c>
      <c r="Q58" t="str">
        <v/>
      </c>
      <c r="R58">
        <v>24.8</v>
      </c>
      <c r="S58">
        <v>0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97</v>
      </c>
      <c r="AB58" t="str">
        <v>24/09/2026</v>
      </c>
      <c r="AC58" t="str">
        <v>09:07:44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09:08:01</v>
      </c>
      <c r="AK58" t="str">
        <v>09:08:01</v>
      </c>
      <c r="AL58" t="str">
        <v/>
      </c>
    </row>
    <row r="59">
      <c r="A59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/>
      </c>
      <c r="J59" t="str">
        <v>24/09/2026</v>
      </c>
      <c r="K59" t="str">
        <v>09:08:18</v>
      </c>
      <c r="L59">
        <v>-12.197467</v>
      </c>
      <c r="M59">
        <v>-76.933495</v>
      </c>
      <c r="N59">
        <f>HYPERLINK("https://www.google.com/maps/search/?api=1&amp;query=-12.197467,-76.933495","Avenida Pachacútec, Villa El Salvador, Lima")</f>
      </c>
      <c r="O59" t="str">
        <v>Aceleración brusca</v>
      </c>
      <c r="P59">
        <v>134715.4</v>
      </c>
      <c r="Q59" t="str">
        <v/>
      </c>
      <c r="R59">
        <v>9.8</v>
      </c>
      <c r="S59">
        <v>0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97</v>
      </c>
      <c r="AB59" t="str">
        <v>24/09/2026</v>
      </c>
      <c r="AC59" t="str">
        <v>09:08:18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09:08:36</v>
      </c>
      <c r="AK59" t="str">
        <v>09:08:36</v>
      </c>
      <c r="AL59" t="str">
        <v/>
      </c>
    </row>
    <row r="60">
      <c r="A60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/>
      </c>
      <c r="J60" t="str">
        <v>24/09/2026</v>
      </c>
      <c r="K60" t="str">
        <v>09:12:14</v>
      </c>
      <c r="L60">
        <v>-12.214825</v>
      </c>
      <c r="M60">
        <v>-76.92234</v>
      </c>
      <c r="N60">
        <f>HYPERLINK("https://www.google.com/maps/search/?api=1&amp;query=-12.214825,-76.92234","Avenida José Carlos Mariátegui, Villa El Salvador, Lima")</f>
      </c>
      <c r="O60" t="str">
        <v>Aceleración brusca</v>
      </c>
      <c r="P60">
        <v>134717.6</v>
      </c>
      <c r="Q60" t="str">
        <v/>
      </c>
      <c r="R60">
        <v>20.7</v>
      </c>
      <c r="S60">
        <v>0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97</v>
      </c>
      <c r="AB60" t="str">
        <v>24/09/2026</v>
      </c>
      <c r="AC60" t="str">
        <v>09:12:14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09:12:41</v>
      </c>
      <c r="AK60" t="str">
        <v>09:12:41</v>
      </c>
      <c r="AL60" t="str">
        <v/>
      </c>
    </row>
    <row r="61">
      <c r="A61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/>
      </c>
      <c r="J61" t="str">
        <v>24/09/2026</v>
      </c>
      <c r="K61" t="str">
        <v>09:13:00</v>
      </c>
      <c r="L61">
        <v>-12.21624</v>
      </c>
      <c r="M61">
        <v>-76.92458</v>
      </c>
      <c r="N61">
        <f>HYPERLINK("https://www.google.com/maps/search/?api=1&amp;query=-12.21624,-76.92458","Avenida José Carlos Mariátegui, Villa El Salvador, Lima")</f>
      </c>
      <c r="O61" t="str">
        <v>Bache</v>
      </c>
      <c r="P61">
        <v>134717.9</v>
      </c>
      <c r="Q61" t="str">
        <v/>
      </c>
      <c r="R61">
        <v>11.6</v>
      </c>
      <c r="S61">
        <v>0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97</v>
      </c>
      <c r="AB61" t="str">
        <v>24/09/2026</v>
      </c>
      <c r="AC61" t="str">
        <v>09:13:00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09:13:21</v>
      </c>
      <c r="AK61" t="str">
        <v>09:13:21</v>
      </c>
      <c r="AL61" t="str">
        <v/>
      </c>
    </row>
    <row r="62">
      <c r="A62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/>
      </c>
      <c r="J62" t="str">
        <v>24/09/2026</v>
      </c>
      <c r="K62" t="str">
        <v>09:13:42</v>
      </c>
      <c r="L62">
        <v>-12.217538</v>
      </c>
      <c r="M62">
        <v>-76.92682</v>
      </c>
      <c r="N62">
        <f>HYPERLINK("https://www.google.com/maps/search/?api=1&amp;query=-12.217538,-76.92682","Avenida José Carlos Mariátegui, Villa El Salvador, Lima")</f>
      </c>
      <c r="O62" t="str">
        <v>Bache</v>
      </c>
      <c r="P62">
        <v>134718.2</v>
      </c>
      <c r="Q62" t="str">
        <v/>
      </c>
      <c r="R62">
        <v>7.4</v>
      </c>
      <c r="S62">
        <v>0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98</v>
      </c>
      <c r="AB62" t="str">
        <v>24/09/2026</v>
      </c>
      <c r="AC62" t="str">
        <v>09:13:42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09:13:56</v>
      </c>
      <c r="AK62" t="str">
        <v>09:13:56</v>
      </c>
      <c r="AL62" t="str">
        <v/>
      </c>
    </row>
    <row r="63">
      <c r="A63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/>
      </c>
      <c r="J63" t="str">
        <v>24/09/2026</v>
      </c>
      <c r="K63" t="str">
        <v>09:15:41</v>
      </c>
      <c r="L63">
        <v>-12.22532</v>
      </c>
      <c r="M63">
        <v>-76.92277</v>
      </c>
      <c r="N63">
        <f>HYPERLINK("https://www.google.com/maps/search/?api=1&amp;query=-12.22532,-76.92277","Avenida Separadora Industrial, Villa El Salvador, Lima")</f>
      </c>
      <c r="O63" t="str">
        <v>Bache</v>
      </c>
      <c r="P63">
        <v>134719.2</v>
      </c>
      <c r="Q63" t="str">
        <v/>
      </c>
      <c r="R63">
        <v>15.7</v>
      </c>
      <c r="S63">
        <v>0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98</v>
      </c>
      <c r="AB63" t="str">
        <v>24/09/2026</v>
      </c>
      <c r="AC63" t="str">
        <v>09:15:41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09:16:01</v>
      </c>
      <c r="AK63" t="str">
        <v>09:16:01</v>
      </c>
      <c r="AL63" t="str">
        <v/>
      </c>
    </row>
    <row r="64">
      <c r="A64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/>
      </c>
      <c r="J64" t="str">
        <v>24/09/2026</v>
      </c>
      <c r="K64" t="str">
        <v>09:16:23</v>
      </c>
      <c r="L64">
        <v>-12.229585</v>
      </c>
      <c r="M64">
        <v>-76.92024</v>
      </c>
      <c r="N64">
        <f>HYPERLINK("https://www.google.com/maps/search/?api=1&amp;query=-12.229585,-76.92024","Avenida Separadora Industrial, Villa El Salvador, Lima")</f>
      </c>
      <c r="O64" t="str">
        <v>Ingreso a camino vecinal</v>
      </c>
      <c r="P64">
        <v>134719.7</v>
      </c>
      <c r="Q64" t="str">
        <v/>
      </c>
      <c r="R64">
        <v>57.5</v>
      </c>
      <c r="S64">
        <v>0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98</v>
      </c>
      <c r="AB64" t="str">
        <v>24/09/2026</v>
      </c>
      <c r="AC64" t="str">
        <v>09:16:23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09:16:42</v>
      </c>
      <c r="AK64" t="str">
        <v>09:16:42</v>
      </c>
      <c r="AL64" t="str">
        <v/>
      </c>
    </row>
    <row r="65">
      <c r="A65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/>
      </c>
      <c r="J65" t="str">
        <v>24/09/2026</v>
      </c>
      <c r="K65" t="str">
        <v>09:17:23</v>
      </c>
      <c r="L65">
        <v>-12.234939</v>
      </c>
      <c r="M65">
        <v>-76.91706</v>
      </c>
      <c r="N65">
        <f>HYPERLINK("https://www.google.com/maps/search/?api=1&amp;query=-12.234939,-76.91706","Avenida Separadora Industrial, Villa El Salvador, Lima")</f>
      </c>
      <c r="O65" t="str">
        <v>Salida de camino vecinal</v>
      </c>
      <c r="P65">
        <v>134720.4</v>
      </c>
      <c r="Q65" t="str">
        <v/>
      </c>
      <c r="R65">
        <v>43.8</v>
      </c>
      <c r="S65">
        <v>0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97</v>
      </c>
      <c r="AB65" t="str">
        <v>24/09/2026</v>
      </c>
      <c r="AC65" t="str">
        <v>09:17:23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24/09/2026 09:17:38</v>
      </c>
      <c r="AK65" t="str">
        <v>09:17:38</v>
      </c>
      <c r="AL65" t="str">
        <v/>
      </c>
    </row>
    <row r="66">
      <c r="A66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/>
      </c>
      <c r="J66" t="str">
        <v>24/09/2026</v>
      </c>
      <c r="K66" t="str">
        <v>09:19:09</v>
      </c>
      <c r="L66">
        <v>-12.241656</v>
      </c>
      <c r="M66">
        <v>-76.911064</v>
      </c>
      <c r="N66">
        <f>HYPERLINK("https://www.google.com/maps/search/?api=1&amp;query=-12.241656,-76.911064","Avenida Lima, Lurín")</f>
      </c>
      <c r="O66" t="str">
        <v>Bache</v>
      </c>
      <c r="P66">
        <v>134721.5</v>
      </c>
      <c r="Q66" t="str">
        <v/>
      </c>
      <c r="R66">
        <v>51.1</v>
      </c>
      <c r="S66">
        <v>0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99</v>
      </c>
      <c r="AB66" t="str">
        <v>24/09/2026</v>
      </c>
      <c r="AC66" t="str">
        <v>09:19:08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24/09/2026 09:19:28</v>
      </c>
      <c r="AK66" t="str">
        <v>09:19:28</v>
      </c>
      <c r="AL66" t="str">
        <v/>
      </c>
    </row>
    <row r="67">
      <c r="A67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/>
      </c>
      <c r="J67" t="str">
        <v>24/09/2026</v>
      </c>
      <c r="K67" t="str">
        <v>09:19:23</v>
      </c>
      <c r="L67">
        <v>-12.243208</v>
      </c>
      <c r="M67">
        <v>-76.91004</v>
      </c>
      <c r="N67">
        <f>HYPERLINK("https://www.google.com/maps/search/?api=1&amp;query=-12.243208,-76.91004","Avenida Lima, Lurín")</f>
      </c>
      <c r="O67" t="str">
        <v>Ingreso a camino vecinal</v>
      </c>
      <c r="P67">
        <v>134721.7</v>
      </c>
      <c r="Q67" t="str">
        <v/>
      </c>
      <c r="R67">
        <v>52.4</v>
      </c>
      <c r="S67">
        <v>0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99</v>
      </c>
      <c r="AB67" t="str">
        <v>24/09/2026</v>
      </c>
      <c r="AC67" t="str">
        <v>09:19:23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24/09/2026 09:19:35</v>
      </c>
      <c r="AK67" t="str">
        <v>09:19:35</v>
      </c>
      <c r="AL67" t="str">
        <v/>
      </c>
    </row>
    <row r="68">
      <c r="A68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/>
      </c>
      <c r="J68" t="str">
        <v>24/09/2026</v>
      </c>
      <c r="K68" t="str">
        <v>09:20:23</v>
      </c>
      <c r="L68">
        <v>-12.246377</v>
      </c>
      <c r="M68">
        <v>-76.90793</v>
      </c>
      <c r="N68">
        <f>HYPERLINK("https://www.google.com/maps/search/?api=1&amp;query=-12.246377,-76.90793","Avenida Lima, Lurín")</f>
      </c>
      <c r="O68" t="str">
        <v>Salida de camino vecinal</v>
      </c>
      <c r="P68">
        <v>134722.2</v>
      </c>
      <c r="Q68" t="str">
        <v/>
      </c>
      <c r="R68">
        <v>22.2</v>
      </c>
      <c r="S68">
        <v>0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99</v>
      </c>
      <c r="AB68" t="str">
        <v>24/09/2026</v>
      </c>
      <c r="AC68" t="str">
        <v>09:20:23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24/09/2026 09:20:36</v>
      </c>
      <c r="AK68" t="str">
        <v>09:20:36</v>
      </c>
      <c r="AL68" t="str">
        <v/>
      </c>
    </row>
    <row r="69">
      <c r="A69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/>
      </c>
      <c r="J69" t="str">
        <v>24/09/2026</v>
      </c>
      <c r="K69" t="str">
        <v>09:30:30</v>
      </c>
      <c r="L69">
        <v>-12.255095</v>
      </c>
      <c r="M69">
        <v>-76.9082</v>
      </c>
      <c r="N69">
        <f>HYPERLINK("https://www.google.com/maps/search/?api=1&amp;query=-12.255095,-76.9082","Antigua Panamericana Sur, Lurín, Lima")</f>
      </c>
      <c r="O69" t="str">
        <v>Bache</v>
      </c>
      <c r="P69">
        <v>134723.5</v>
      </c>
      <c r="Q69" t="str">
        <v/>
      </c>
      <c r="R69">
        <v>52.5</v>
      </c>
      <c r="S69">
        <v>0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24/09/2026</v>
      </c>
      <c r="AC69" t="str">
        <v>09:30:30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24/09/2026 09:30:48</v>
      </c>
      <c r="AK69" t="str">
        <v>09:30:48</v>
      </c>
      <c r="AL69" t="str">
        <v/>
      </c>
    </row>
    <row r="70">
      <c r="A70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/>
      </c>
      <c r="J70" t="str">
        <v>24/09/2026</v>
      </c>
      <c r="K70" t="str">
        <v>09:31:50</v>
      </c>
      <c r="L70">
        <v>-12.254785</v>
      </c>
      <c r="M70">
        <v>-76.915596</v>
      </c>
      <c r="N70">
        <f>HYPERLINK("https://www.google.com/maps/search/?api=1&amp;query=-12.254785,-76.915596","Antigua Panamericana Sur, Lurín, Lima")</f>
      </c>
      <c r="O70" t="str">
        <v>Bache</v>
      </c>
      <c r="P70">
        <v>134724.3</v>
      </c>
      <c r="Q70" t="str">
        <v/>
      </c>
      <c r="R70">
        <v>15.5</v>
      </c>
      <c r="S70">
        <v>0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24/09/2026</v>
      </c>
      <c r="AC70" t="str">
        <v>09:31:50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24/09/2026 09:32:01</v>
      </c>
      <c r="AK70" t="str">
        <v>09:32:01</v>
      </c>
      <c r="AL70" t="str">
        <v/>
      </c>
    </row>
    <row r="71">
      <c r="A71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/>
      </c>
      <c r="J71" t="str">
        <v>24/09/2026</v>
      </c>
      <c r="K71" t="str">
        <v>09:33:09</v>
      </c>
      <c r="L71">
        <v>-12.254585</v>
      </c>
      <c r="M71">
        <v>-76.92067</v>
      </c>
      <c r="N71">
        <f>HYPERLINK("https://www.google.com/maps/search/?api=1&amp;query=-12.254585,-76.92067","Lurín, Lima")</f>
      </c>
      <c r="O71" t="str">
        <v>Bache</v>
      </c>
      <c r="P71">
        <v>134724.8</v>
      </c>
      <c r="Q71" t="str">
        <v/>
      </c>
      <c r="R71">
        <v>17.9</v>
      </c>
      <c r="S71">
        <v>0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100</v>
      </c>
      <c r="AB71" t="str">
        <v>24/09/2026</v>
      </c>
      <c r="AC71" t="str">
        <v>09:33:09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24/09/2026 09:33:25</v>
      </c>
      <c r="AK71" t="str">
        <v>09:33:25</v>
      </c>
      <c r="AL71" t="str">
        <v/>
      </c>
    </row>
    <row r="72">
      <c r="A72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/>
      </c>
      <c r="J72" t="str">
        <v>24/09/2026</v>
      </c>
      <c r="K72" t="str">
        <v>09:33:19</v>
      </c>
      <c r="L72">
        <v>-12.255135</v>
      </c>
      <c r="M72">
        <v>-76.920944</v>
      </c>
      <c r="N72">
        <f>HYPERLINK("https://www.google.com/maps/search/?api=1&amp;query=-12.255135,-76.920944","Lurín, Lima")</f>
      </c>
      <c r="O72" t="str">
        <v>Bache</v>
      </c>
      <c r="P72">
        <v>134724.9</v>
      </c>
      <c r="Q72" t="str">
        <v/>
      </c>
      <c r="R72">
        <v>26.6</v>
      </c>
      <c r="S72">
        <v>0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100</v>
      </c>
      <c r="AB72" t="str">
        <v>24/09/2026</v>
      </c>
      <c r="AC72" t="str">
        <v>09:33:19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24/09/2026 09:33:26</v>
      </c>
      <c r="AK72" t="str">
        <v>09:33:26</v>
      </c>
      <c r="AL72" t="str">
        <v/>
      </c>
    </row>
    <row r="73">
      <c r="A73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 xml:space="preserve"> </v>
      </c>
      <c r="J73" t="str">
        <v>24/09/2026</v>
      </c>
      <c r="K73" t="str">
        <v>09:52:40</v>
      </c>
      <c r="L73">
        <v>-12.317572</v>
      </c>
      <c r="M73">
        <v>-76.829666</v>
      </c>
      <c r="N73">
        <f>HYPERLINK("https://www.google.com/maps/search/?api=1&amp;query=-12.317572,-76.829666","Punta Hermosa, Lima")</f>
      </c>
      <c r="O73" t="str">
        <v>Llegó a la zona</v>
      </c>
      <c r="P73">
        <v>134742.6</v>
      </c>
      <c r="Q73" t="str">
        <v>MASS BSF 1</v>
      </c>
      <c r="R73">
        <v>5.9</v>
      </c>
      <c r="S73">
        <v>0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98</v>
      </c>
      <c r="AB73" t="str">
        <v>24/09/2026</v>
      </c>
      <c r="AC73" t="str">
        <v>09:52:40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24/09/2026 09:53:03</v>
      </c>
      <c r="AK73" t="str">
        <v>09:53:03</v>
      </c>
      <c r="AL73" t="str">
        <v/>
      </c>
    </row>
    <row r="74">
      <c r="A74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/>
      </c>
      <c r="J74" t="str">
        <v>24/09/2026</v>
      </c>
      <c r="K74" t="str">
        <v>09:56:50</v>
      </c>
      <c r="L74">
        <v>-12.317232</v>
      </c>
      <c r="M74">
        <v>-76.82593</v>
      </c>
      <c r="N74">
        <f>HYPERLINK("https://www.google.com/maps/search/?api=1&amp;query=-12.317232,-76.82593","Punta Hermosa, Lima")</f>
      </c>
      <c r="O74" t="str">
        <v>Bache</v>
      </c>
      <c r="P74">
        <v>134743.1</v>
      </c>
      <c r="Q74" t="str">
        <v/>
      </c>
      <c r="R74">
        <v>19.2</v>
      </c>
      <c r="S74">
        <v>0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99</v>
      </c>
      <c r="AB74" t="str">
        <v>24/09/2026</v>
      </c>
      <c r="AC74" t="str">
        <v>09:56:50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24/09/2026 09:57:08</v>
      </c>
      <c r="AK74" t="str">
        <v>09:57:08</v>
      </c>
      <c r="AL74" t="str">
        <v/>
      </c>
    </row>
    <row r="75">
      <c r="A75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/>
      </c>
      <c r="J75" t="str">
        <v>24/09/2026</v>
      </c>
      <c r="K75" t="str">
        <v>10:00:14</v>
      </c>
      <c r="L75">
        <v>-12.317413</v>
      </c>
      <c r="M75">
        <v>-76.82289</v>
      </c>
      <c r="N75">
        <f>HYPERLINK("https://www.google.com/maps/search/?api=1&amp;query=-12.317413,-76.82289","Punta Hermosa, Lima")</f>
      </c>
      <c r="O75" t="str">
        <v>Vehículo apagado</v>
      </c>
      <c r="P75">
        <v>134743.7</v>
      </c>
      <c r="Q75" t="str">
        <v/>
      </c>
      <c r="R75">
        <v>0</v>
      </c>
      <c r="S75">
        <v>0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99</v>
      </c>
      <c r="AB75" t="str">
        <v>24/09/2026</v>
      </c>
      <c r="AC75" t="str">
        <v>10:00:14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24/09/2026 10:00:26</v>
      </c>
      <c r="AK75" t="str">
        <v>10:00:26</v>
      </c>
      <c r="AL75" t="str">
        <v/>
      </c>
    </row>
    <row r="76">
      <c r="A76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/>
      </c>
      <c r="J76" t="str">
        <v>24/09/2026</v>
      </c>
      <c r="K76" t="str">
        <v>10:09:39</v>
      </c>
      <c r="L76">
        <v>-12.317413</v>
      </c>
      <c r="M76">
        <v>-76.82289</v>
      </c>
      <c r="N76">
        <f>HYPERLINK("https://www.google.com/maps/search/?api=1&amp;query=-12.317413,-76.82289","Punta Hermosa, Lima")</f>
      </c>
      <c r="O76" t="str">
        <v>Vehículo encendido</v>
      </c>
      <c r="P76">
        <v>134743.7</v>
      </c>
      <c r="Q76" t="str">
        <v/>
      </c>
      <c r="R76">
        <v>0</v>
      </c>
      <c r="S76">
        <v>0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99</v>
      </c>
      <c r="AB76" t="str">
        <v>24/09/2026</v>
      </c>
      <c r="AC76" t="str">
        <v>10:09:38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24/09/2026 10:09:46</v>
      </c>
      <c r="AK76" t="str">
        <v>10:09:46</v>
      </c>
      <c r="AL76" t="str">
        <v/>
      </c>
    </row>
    <row r="77">
      <c r="A77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/>
      </c>
      <c r="J77" t="str">
        <v>24/09/2026</v>
      </c>
      <c r="K77" t="str">
        <v>10:12:31</v>
      </c>
      <c r="L77">
        <v>-12.318552</v>
      </c>
      <c r="M77">
        <v>-76.82389</v>
      </c>
      <c r="N77">
        <f>HYPERLINK("https://www.google.com/maps/search/?api=1&amp;query=-12.318552,-76.82389","Punta Hermosa, Lima")</f>
      </c>
      <c r="O77" t="str">
        <v>Aceleración brusca</v>
      </c>
      <c r="P77">
        <v>134743.8</v>
      </c>
      <c r="Q77" t="str">
        <v/>
      </c>
      <c r="R77">
        <v>7.5</v>
      </c>
      <c r="S77">
        <v>0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97</v>
      </c>
      <c r="AB77" t="str">
        <v>24/09/2026</v>
      </c>
      <c r="AC77" t="str">
        <v>10:12:31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24/09/2026 10:12:52</v>
      </c>
      <c r="AK77" t="str">
        <v>10:12:52</v>
      </c>
      <c r="AL77" t="str">
        <v/>
      </c>
    </row>
    <row r="78">
      <c r="A78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/>
      </c>
      <c r="J78" t="str">
        <v>24/09/2026</v>
      </c>
      <c r="K78" t="str">
        <v>10:13:43</v>
      </c>
      <c r="L78">
        <v>-12.317409</v>
      </c>
      <c r="M78">
        <v>-76.82439</v>
      </c>
      <c r="N78">
        <f>HYPERLINK("https://www.google.com/maps/search/?api=1&amp;query=-12.317409,-76.82439","Punta Hermosa, Lima")</f>
      </c>
      <c r="O78" t="str">
        <v>Vehículo apagado</v>
      </c>
      <c r="P78">
        <v>134744</v>
      </c>
      <c r="Q78" t="str">
        <v/>
      </c>
      <c r="R78">
        <v>0</v>
      </c>
      <c r="S78">
        <v>0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97</v>
      </c>
      <c r="AB78" t="str">
        <v>24/09/2026</v>
      </c>
      <c r="AC78" t="str">
        <v>10:13:42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24/09/2026 10:13:52</v>
      </c>
      <c r="AK78" t="str">
        <v>10:13:52</v>
      </c>
      <c r="AL78" t="str">
        <v/>
      </c>
    </row>
    <row r="79">
      <c r="A79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/>
      </c>
      <c r="J79" t="str">
        <v>24/09/2026</v>
      </c>
      <c r="K79" t="str">
        <v>10:55:46</v>
      </c>
      <c r="L79">
        <v>-12.317377</v>
      </c>
      <c r="M79">
        <v>-76.824295</v>
      </c>
      <c r="N79">
        <f>HYPERLINK("https://www.google.com/maps/search/?api=1&amp;query=-12.317377,-76.824295","Punta Hermosa, Lima")</f>
      </c>
      <c r="O79" t="str">
        <v>Vehículo encendido</v>
      </c>
      <c r="P79">
        <v>134744</v>
      </c>
      <c r="Q79" t="str">
        <v/>
      </c>
      <c r="R79">
        <v>0</v>
      </c>
      <c r="S79">
        <v>0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100</v>
      </c>
      <c r="AB79" t="str">
        <v>24/09/2026</v>
      </c>
      <c r="AC79" t="str">
        <v>10:55:45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24/09/2026 10:56:04</v>
      </c>
      <c r="AK79" t="str">
        <v>10:56:04</v>
      </c>
      <c r="AL79" t="str">
        <v/>
      </c>
    </row>
    <row r="80">
      <c r="A80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/>
      </c>
      <c r="J80" t="str">
        <v>24/09/2026</v>
      </c>
      <c r="K80" t="str">
        <v>10:56:42</v>
      </c>
      <c r="L80">
        <v>-12.317799</v>
      </c>
      <c r="M80">
        <v>-76.824265</v>
      </c>
      <c r="N80">
        <f>HYPERLINK("https://www.google.com/maps/search/?api=1&amp;query=-12.317799,-76.824265","Punta Hermosa, Lima")</f>
      </c>
      <c r="O80" t="str">
        <v>Se movio</v>
      </c>
      <c r="P80">
        <v>134744.1</v>
      </c>
      <c r="Q80" t="str">
        <v/>
      </c>
      <c r="R80">
        <v>5</v>
      </c>
      <c r="S80">
        <v>0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98</v>
      </c>
      <c r="AB80" t="str">
        <v>24/09/2026</v>
      </c>
      <c r="AC80" t="str">
        <v>10:56:42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24/09/2026 10:57:02</v>
      </c>
      <c r="AK80" t="str">
        <v>10:57:02</v>
      </c>
      <c r="AL80" t="str">
        <v/>
      </c>
    </row>
    <row r="81">
      <c r="A81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/>
      </c>
      <c r="J81" t="str">
        <v>24/09/2026</v>
      </c>
      <c r="K81" t="str">
        <v>10:56:42</v>
      </c>
      <c r="L81">
        <v>-12.317799</v>
      </c>
      <c r="M81">
        <v>-76.824265</v>
      </c>
      <c r="N81">
        <f>HYPERLINK("https://www.google.com/maps/search/?api=1&amp;query=-12.317799,-76.824265","Punta Hermosa, Lima")</f>
      </c>
      <c r="O81" t="str">
        <v>Aceleración brusca</v>
      </c>
      <c r="P81">
        <v>134744.1</v>
      </c>
      <c r="Q81" t="str">
        <v/>
      </c>
      <c r="R81">
        <v>5</v>
      </c>
      <c r="S81">
        <v>0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98</v>
      </c>
      <c r="AB81" t="str">
        <v>24/09/2026</v>
      </c>
      <c r="AC81" t="str">
        <v>10:56:42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24/09/2026 10:56:59</v>
      </c>
      <c r="AK81" t="str">
        <v>10:56:59</v>
      </c>
      <c r="AL81" t="str">
        <v/>
      </c>
    </row>
    <row r="82">
      <c r="A82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/>
      </c>
      <c r="J82" t="str">
        <v>24/09/2026</v>
      </c>
      <c r="K82" t="str">
        <v>10:57:45</v>
      </c>
      <c r="L82">
        <v>-12.317685</v>
      </c>
      <c r="M82">
        <v>-76.82434</v>
      </c>
      <c r="N82">
        <f>HYPERLINK("https://www.google.com/maps/search/?api=1&amp;query=-12.317685,-76.82434","Punta Hermosa, Lima")</f>
      </c>
      <c r="O82" t="str">
        <v>Vehículo apagado</v>
      </c>
      <c r="P82">
        <v>134744.1</v>
      </c>
      <c r="Q82" t="str">
        <v/>
      </c>
      <c r="R82">
        <v>0</v>
      </c>
      <c r="S82">
        <v>0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97</v>
      </c>
      <c r="AB82" t="str">
        <v>24/09/2026</v>
      </c>
      <c r="AC82" t="str">
        <v>10:57:45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24/09/2026 10:58:09</v>
      </c>
      <c r="AK82" t="str">
        <v>10:58:09</v>
      </c>
      <c r="AL82" t="str">
        <v/>
      </c>
    </row>
    <row r="83">
      <c r="A83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/>
      </c>
      <c r="J83" t="str">
        <v>24/09/2026</v>
      </c>
      <c r="K83" t="str">
        <v>10:58:49</v>
      </c>
      <c r="L83">
        <v>-12.317685</v>
      </c>
      <c r="M83">
        <v>-76.82434</v>
      </c>
      <c r="N83">
        <f>HYPERLINK("https://www.google.com/maps/search/?api=1&amp;query=-12.317685,-76.82434","Punta Hermosa, Lima")</f>
      </c>
      <c r="O83" t="str">
        <v>Vehículo encendido</v>
      </c>
      <c r="P83">
        <v>134744.1</v>
      </c>
      <c r="Q83" t="str">
        <v/>
      </c>
      <c r="R83">
        <v>0</v>
      </c>
      <c r="S83">
        <v>0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97</v>
      </c>
      <c r="AB83" t="str">
        <v>24/09/2026</v>
      </c>
      <c r="AC83" t="str">
        <v>10:58:49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24/09/2026 10:59:07</v>
      </c>
      <c r="AK83" t="str">
        <v>10:59:07</v>
      </c>
      <c r="AL83" t="str">
        <v/>
      </c>
    </row>
    <row r="84">
      <c r="A84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/>
      </c>
      <c r="J84" t="str">
        <v>24/09/2026</v>
      </c>
      <c r="K84" t="str">
        <v>11:02:09</v>
      </c>
      <c r="L84">
        <v>-12.317808</v>
      </c>
      <c r="M84">
        <v>-76.824196</v>
      </c>
      <c r="N84">
        <f>HYPERLINK("https://www.google.com/maps/search/?api=1&amp;query=-12.317808,-76.824196","Punta Hermosa, Lima")</f>
      </c>
      <c r="O84" t="str">
        <v>Inicio de ralentí</v>
      </c>
      <c r="P84">
        <v>134744.2</v>
      </c>
      <c r="Q84" t="str">
        <v/>
      </c>
      <c r="R84">
        <v>0</v>
      </c>
      <c r="S84">
        <v>0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98</v>
      </c>
      <c r="AB84" t="str">
        <v>24/09/2026</v>
      </c>
      <c r="AC84" t="str">
        <v>11:02:08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24/09/2026 11:02:29</v>
      </c>
      <c r="AK84" t="str">
        <v>11:02:29</v>
      </c>
      <c r="AL84" t="str">
        <v/>
      </c>
    </row>
    <row r="85">
      <c r="A85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/>
      </c>
      <c r="J85" t="str">
        <v>24/09/2026</v>
      </c>
      <c r="K85" t="str">
        <v>11:02:13</v>
      </c>
      <c r="L85">
        <v>-12.317808</v>
      </c>
      <c r="M85">
        <v>-76.824196</v>
      </c>
      <c r="N85">
        <f>HYPERLINK("https://www.google.com/maps/search/?api=1&amp;query=-12.317808,-76.824196","Punta Hermosa, Lima")</f>
      </c>
      <c r="O85" t="str">
        <v>Vehículo apagado</v>
      </c>
      <c r="P85">
        <v>134744.2</v>
      </c>
      <c r="Q85" t="str">
        <v/>
      </c>
      <c r="R85">
        <v>0</v>
      </c>
      <c r="S85">
        <v>0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98</v>
      </c>
      <c r="AB85" t="str">
        <v>24/09/2026</v>
      </c>
      <c r="AC85" t="str">
        <v>11:02:12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24/09/2026 11:02:21</v>
      </c>
      <c r="AK85" t="str">
        <v>11:02:21</v>
      </c>
      <c r="AL85" t="str">
        <v/>
      </c>
    </row>
    <row r="86">
      <c r="A86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/>
      </c>
      <c r="J86" t="str">
        <v>24/09/2026</v>
      </c>
      <c r="K86" t="str">
        <v>11:02:13</v>
      </c>
      <c r="L86">
        <v>-12.317808</v>
      </c>
      <c r="M86">
        <v>-76.824196</v>
      </c>
      <c r="N86">
        <f>HYPERLINK("https://www.google.com/maps/search/?api=1&amp;query=-12.317808,-76.824196","Punta Hermosa, Lima")</f>
      </c>
      <c r="O86" t="str">
        <v>Fin de ralentí</v>
      </c>
      <c r="P86">
        <v>134744.2</v>
      </c>
      <c r="Q86" t="str">
        <v/>
      </c>
      <c r="R86">
        <v>0</v>
      </c>
      <c r="S86">
        <v>0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98</v>
      </c>
      <c r="AB86" t="str">
        <v>24/09/2026</v>
      </c>
      <c r="AC86" t="str">
        <v>11:02:12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24/09/2026 11:02:21</v>
      </c>
      <c r="AK86" t="str">
        <v>11:02:21</v>
      </c>
      <c r="AL86" t="str">
        <v/>
      </c>
    </row>
    <row r="87">
      <c r="A87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/>
      </c>
      <c r="J87" t="str">
        <v>24/09/2026</v>
      </c>
      <c r="K87" t="str">
        <v>11:50:18</v>
      </c>
      <c r="L87">
        <v>-12.317808</v>
      </c>
      <c r="M87">
        <v>-76.824196</v>
      </c>
      <c r="N87">
        <f>HYPERLINK("https://www.google.com/maps/search/?api=1&amp;query=-12.317808,-76.824196","Punta Hermosa, Lima")</f>
      </c>
      <c r="O87" t="str">
        <v>Vehículo encendido</v>
      </c>
      <c r="P87">
        <v>134744.2</v>
      </c>
      <c r="Q87" t="str">
        <v/>
      </c>
      <c r="R87">
        <v>0</v>
      </c>
      <c r="S87">
        <v>0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98</v>
      </c>
      <c r="AB87" t="str">
        <v>24/09/2026</v>
      </c>
      <c r="AC87" t="str">
        <v>11:50:16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24/09/2026 11:50:24</v>
      </c>
      <c r="AK87" t="str">
        <v>11:50:24</v>
      </c>
      <c r="AL87" t="str">
        <v/>
      </c>
    </row>
    <row r="88">
      <c r="A88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/>
      </c>
      <c r="J88" t="str">
        <v>24/09/2026</v>
      </c>
      <c r="K88" t="str">
        <v>11:50:37</v>
      </c>
      <c r="L88">
        <v>-12.31782</v>
      </c>
      <c r="M88">
        <v>-76.82424</v>
      </c>
      <c r="N88">
        <f>HYPERLINK("https://www.google.com/maps/search/?api=1&amp;query=-12.31782,-76.82424","Punta Hermosa, Lima")</f>
      </c>
      <c r="O88" t="str">
        <v>Vehículo apagado</v>
      </c>
      <c r="P88">
        <v>134744.2</v>
      </c>
      <c r="Q88" t="str">
        <v/>
      </c>
      <c r="R88">
        <v>0</v>
      </c>
      <c r="S88">
        <v>0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98</v>
      </c>
      <c r="AB88" t="str">
        <v>24/09/2026</v>
      </c>
      <c r="AC88" t="str">
        <v>11:50:36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24/09/2026 11:50:48</v>
      </c>
      <c r="AK88" t="str">
        <v>11:50:48</v>
      </c>
      <c r="AL88" t="str">
        <v/>
      </c>
    </row>
    <row r="89">
      <c r="A89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/>
      </c>
      <c r="J89" t="str">
        <v>24/09/2026</v>
      </c>
      <c r="K89" t="str">
        <v>11:53:03</v>
      </c>
      <c r="L89">
        <v>-12.31782</v>
      </c>
      <c r="M89">
        <v>-76.82424</v>
      </c>
      <c r="N89">
        <f>HYPERLINK("https://www.google.com/maps/search/?api=1&amp;query=-12.31782,-76.82424","Punta Hermosa, Lima")</f>
      </c>
      <c r="O89" t="str">
        <v>Vehículo encendido</v>
      </c>
      <c r="P89">
        <v>134744.2</v>
      </c>
      <c r="Q89" t="str">
        <v/>
      </c>
      <c r="R89">
        <v>0</v>
      </c>
      <c r="S89">
        <v>0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98</v>
      </c>
      <c r="AB89" t="str">
        <v>24/09/2026</v>
      </c>
      <c r="AC89" t="str">
        <v>11:53:02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24/09/2026 11:53:19</v>
      </c>
      <c r="AK89" t="str">
        <v>11:53:19</v>
      </c>
      <c r="AL89" t="str">
        <v/>
      </c>
    </row>
    <row r="90">
      <c r="A90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/>
      </c>
      <c r="J90" t="str">
        <v>24/09/2026</v>
      </c>
      <c r="K90" t="str">
        <v>11:53:44</v>
      </c>
      <c r="L90">
        <v>-12.317833</v>
      </c>
      <c r="M90">
        <v>-76.82425</v>
      </c>
      <c r="N90">
        <f>HYPERLINK("https://www.google.com/maps/search/?api=1&amp;query=-12.317833,-76.82425","Punta Hermosa, Lima")</f>
      </c>
      <c r="O90" t="str">
        <v>Se movio</v>
      </c>
      <c r="P90">
        <v>134744.2</v>
      </c>
      <c r="Q90" t="str">
        <v/>
      </c>
      <c r="R90">
        <v>4.4</v>
      </c>
      <c r="S90">
        <v>0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98</v>
      </c>
      <c r="AB90" t="str">
        <v>24/09/2026</v>
      </c>
      <c r="AC90" t="str">
        <v>11:53:43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24/09/2026 11:53:59</v>
      </c>
      <c r="AK90" t="str">
        <v>11:53:59</v>
      </c>
      <c r="AL90" t="str">
        <v/>
      </c>
    </row>
    <row r="91">
      <c r="A91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 xml:space="preserve"> </v>
      </c>
      <c r="J91" t="str">
        <v>24/09/2026</v>
      </c>
      <c r="K91" t="str">
        <v>11:58:37</v>
      </c>
      <c r="L91">
        <v>-12.317516</v>
      </c>
      <c r="M91">
        <v>-76.83005</v>
      </c>
      <c r="N91">
        <f>HYPERLINK("https://www.google.com/maps/search/?api=1&amp;query=-12.317516,-76.83005","Punta Hermosa, Lima")</f>
      </c>
      <c r="O91" t="str">
        <v>Salió de zona</v>
      </c>
      <c r="P91">
        <v>134745</v>
      </c>
      <c r="Q91" t="str">
        <v>MASS BSF 1</v>
      </c>
      <c r="R91">
        <v>22</v>
      </c>
      <c r="S91">
        <v>0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100</v>
      </c>
      <c r="AB91" t="str">
        <v>24/09/2026</v>
      </c>
      <c r="AC91" t="str">
        <v>11:58:36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24/09/2026 11:58:43</v>
      </c>
      <c r="AK91" t="str">
        <v>11:58:43</v>
      </c>
      <c r="AL91" t="str">
        <v/>
      </c>
    </row>
    <row r="92">
      <c r="A92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/>
      </c>
      <c r="J92" t="str">
        <v>24/09/2026</v>
      </c>
      <c r="K92" t="str">
        <v>12:21:07</v>
      </c>
      <c r="L92">
        <v>-12.218046</v>
      </c>
      <c r="M92">
        <v>-76.97817</v>
      </c>
      <c r="N92">
        <f>HYPERLINK("https://www.google.com/maps/search/?api=1&amp;query=-12.218046,-76.97817","Avenida Caminos del Inca, Chorrillos, Lima")</f>
      </c>
      <c r="O92" t="str">
        <v>Bache</v>
      </c>
      <c r="P92">
        <v>134765.6</v>
      </c>
      <c r="Q92" t="str">
        <v/>
      </c>
      <c r="R92">
        <v>9.6</v>
      </c>
      <c r="S92">
        <v>0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98</v>
      </c>
      <c r="AB92" t="str">
        <v>24/09/2026</v>
      </c>
      <c r="AC92" t="str">
        <v>12:21:05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24/09/2026 12:21:21</v>
      </c>
      <c r="AK92" t="str">
        <v>12:21:21</v>
      </c>
      <c r="AL92" t="str">
        <v/>
      </c>
    </row>
    <row r="93">
      <c r="A93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/>
      </c>
      <c r="J93" t="str">
        <v>24/09/2026</v>
      </c>
      <c r="K93" t="str">
        <v>12:27:30</v>
      </c>
      <c r="L93">
        <v>-12.216978</v>
      </c>
      <c r="M93">
        <v>-76.96886</v>
      </c>
      <c r="N93">
        <f>HYPERLINK("https://www.google.com/maps/search/?api=1&amp;query=-12.216978,-76.96886","Avenida El Sol, Villa El Salvador, Lima")</f>
      </c>
      <c r="O93" t="str">
        <v>Bache</v>
      </c>
      <c r="P93">
        <v>134767.6</v>
      </c>
      <c r="Q93" t="str">
        <v/>
      </c>
      <c r="R93">
        <v>5.3</v>
      </c>
      <c r="S93">
        <v>0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100</v>
      </c>
      <c r="AB93" t="str">
        <v>24/09/2026</v>
      </c>
      <c r="AC93" t="str">
        <v>12:27:28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24/09/2026 12:27:39</v>
      </c>
      <c r="AK93" t="str">
        <v>12:27:39</v>
      </c>
      <c r="AL93" t="str">
        <v/>
      </c>
    </row>
    <row r="94">
      <c r="A94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/>
      </c>
      <c r="J94" t="str">
        <v>24/09/2026</v>
      </c>
      <c r="K94" t="str">
        <v>12:29:20</v>
      </c>
      <c r="L94">
        <v>-12.212225</v>
      </c>
      <c r="M94">
        <v>-76.96377</v>
      </c>
      <c r="N94">
        <f>HYPERLINK("https://www.google.com/maps/search/?api=1&amp;query=-12.212225,-76.96377","Avenida El Sol, Villa El Salvador, Lima")</f>
      </c>
      <c r="O94" t="str">
        <v>Aceleración brusca</v>
      </c>
      <c r="P94">
        <v>134768.4</v>
      </c>
      <c r="Q94" t="str">
        <v/>
      </c>
      <c r="R94">
        <v>10.7</v>
      </c>
      <c r="S94">
        <v>0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100</v>
      </c>
      <c r="AB94" t="str">
        <v>24/09/2026</v>
      </c>
      <c r="AC94" t="str">
        <v>12:29:18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24/09/2026 12:29:31</v>
      </c>
      <c r="AK94" t="str">
        <v>12:29:31</v>
      </c>
      <c r="AL94" t="str">
        <v/>
      </c>
    </row>
    <row r="95">
      <c r="A95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/>
      </c>
      <c r="J95" t="str">
        <v>24/09/2026</v>
      </c>
      <c r="K95" t="str">
        <v>12:34:52</v>
      </c>
      <c r="L95">
        <v>-12.212869</v>
      </c>
      <c r="M95">
        <v>-76.95895</v>
      </c>
      <c r="N95">
        <f>HYPERLINK("https://www.google.com/maps/search/?api=1&amp;query=-12.212869,-76.95895","Avenida Villa del Mar, Villa El Salvador, Lima")</f>
      </c>
      <c r="O95" t="str">
        <v>Vehículo apagado</v>
      </c>
      <c r="P95">
        <v>134769.1</v>
      </c>
      <c r="Q95" t="str">
        <v/>
      </c>
      <c r="R95">
        <v>0</v>
      </c>
      <c r="S95">
        <v>0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97</v>
      </c>
      <c r="AB95" t="str">
        <v>24/09/2026</v>
      </c>
      <c r="AC95" t="str">
        <v>12:34:51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24/09/2026 12:35:00</v>
      </c>
      <c r="AK95" t="str">
        <v>12:35:00</v>
      </c>
      <c r="AL95" t="str">
        <v/>
      </c>
    </row>
    <row r="96">
      <c r="A96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/>
      </c>
      <c r="J96" t="str">
        <v>24/09/2026</v>
      </c>
      <c r="K96" t="str">
        <v>12:38:08</v>
      </c>
      <c r="L96">
        <v>-12.212869</v>
      </c>
      <c r="M96">
        <v>-76.95895</v>
      </c>
      <c r="N96">
        <f>HYPERLINK("https://www.google.com/maps/search/?api=1&amp;query=-12.212869,-76.95895","Avenida Villa del Mar, Villa El Salvador, Lima")</f>
      </c>
      <c r="O96" t="str">
        <v>Inicio de ralentí</v>
      </c>
      <c r="P96">
        <v>134769.1</v>
      </c>
      <c r="Q96" t="str">
        <v/>
      </c>
      <c r="R96">
        <v>0</v>
      </c>
      <c r="S96">
        <v>0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97</v>
      </c>
      <c r="AB96" t="str">
        <v>24/09/2026</v>
      </c>
      <c r="AC96" t="str">
        <v>12:38:06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24/09/2026 12:38:25</v>
      </c>
      <c r="AK96" t="str">
        <v>12:38:25</v>
      </c>
      <c r="AL96" t="str">
        <v/>
      </c>
    </row>
    <row r="97">
      <c r="A97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/>
      </c>
      <c r="J97" t="str">
        <v>24/09/2026</v>
      </c>
      <c r="K97" t="str">
        <v>12:41:20</v>
      </c>
      <c r="L97">
        <v>-12.212869</v>
      </c>
      <c r="M97">
        <v>-76.95895</v>
      </c>
      <c r="N97">
        <f>HYPERLINK("https://www.google.com/maps/search/?api=1&amp;query=-12.212869,-76.95895","Avenida Villa del Mar, Villa El Salvador, Lima")</f>
      </c>
      <c r="O97" t="str">
        <v>Vehículo encendido</v>
      </c>
      <c r="P97">
        <v>134769.1</v>
      </c>
      <c r="Q97" t="str">
        <v/>
      </c>
      <c r="R97">
        <v>0</v>
      </c>
      <c r="S97">
        <v>0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97</v>
      </c>
      <c r="AB97" t="str">
        <v>24/09/2026</v>
      </c>
      <c r="AC97" t="str">
        <v>12:41:19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24/09/2026 12:41:26</v>
      </c>
      <c r="AK97" t="str">
        <v>12:41:26</v>
      </c>
      <c r="AL97" t="str">
        <v/>
      </c>
    </row>
    <row r="98">
      <c r="A98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/>
      </c>
      <c r="J98" t="str">
        <v>24/09/2026</v>
      </c>
      <c r="K98" t="str">
        <v>12:43:01</v>
      </c>
      <c r="L98">
        <v>-12.21302</v>
      </c>
      <c r="M98">
        <v>-76.95888</v>
      </c>
      <c r="N98">
        <f>HYPERLINK("https://www.google.com/maps/search/?api=1&amp;query=-12.21302,-76.95888","Villa El Salvador, Lima")</f>
      </c>
      <c r="O98" t="str">
        <v>Vehículo apagado</v>
      </c>
      <c r="P98">
        <v>134769.1</v>
      </c>
      <c r="Q98" t="str">
        <v/>
      </c>
      <c r="R98">
        <v>0</v>
      </c>
      <c r="S98">
        <v>0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97</v>
      </c>
      <c r="AB98" t="str">
        <v>24/09/2026</v>
      </c>
      <c r="AC98" t="str">
        <v>12:43:00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24/09/2026 12:43:19</v>
      </c>
      <c r="AK98" t="str">
        <v>12:43:19</v>
      </c>
      <c r="AL98" t="str">
        <v/>
      </c>
    </row>
    <row r="99">
      <c r="A99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/>
      </c>
      <c r="J99" t="str">
        <v>24/09/2026</v>
      </c>
      <c r="K99" t="str">
        <v>12:43:01</v>
      </c>
      <c r="L99">
        <v>-12.21302</v>
      </c>
      <c r="M99">
        <v>-76.95888</v>
      </c>
      <c r="N99">
        <f>HYPERLINK("https://www.google.com/maps/search/?api=1&amp;query=-12.21302,-76.95888","Villa El Salvador, Lima")</f>
      </c>
      <c r="O99" t="str">
        <v>Fin de ralentí</v>
      </c>
      <c r="P99">
        <v>134769.1</v>
      </c>
      <c r="Q99" t="str">
        <v/>
      </c>
      <c r="R99">
        <v>0</v>
      </c>
      <c r="S99">
        <v>0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97</v>
      </c>
      <c r="AB99" t="str">
        <v>24/09/2026</v>
      </c>
      <c r="AC99" t="str">
        <v>12:43:00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24/09/2026 12:43:16</v>
      </c>
      <c r="AK99" t="str">
        <v>12:43:16</v>
      </c>
      <c r="AL99" t="str">
        <v/>
      </c>
    </row>
    <row r="100">
      <c r="A100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/>
      </c>
      <c r="J100" t="str">
        <v>24/09/2026</v>
      </c>
      <c r="K100" t="str">
        <v>12:46:18</v>
      </c>
      <c r="L100">
        <v>-12.21302</v>
      </c>
      <c r="M100">
        <v>-76.95888</v>
      </c>
      <c r="N100">
        <f>HYPERLINK("https://www.google.com/maps/search/?api=1&amp;query=-12.21302,-76.95888","Villa El Salvador, Lima")</f>
      </c>
      <c r="O100" t="str">
        <v>Inicio de ralentí</v>
      </c>
      <c r="P100">
        <v>134769.1</v>
      </c>
      <c r="Q100" t="str">
        <v/>
      </c>
      <c r="R100">
        <v>0</v>
      </c>
      <c r="S100">
        <v>0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97</v>
      </c>
      <c r="AB100" t="str">
        <v>24/09/2026</v>
      </c>
      <c r="AC100" t="str">
        <v>12:46:16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24/09/2026 12:46:34</v>
      </c>
      <c r="AK100" t="str">
        <v>12:46:34</v>
      </c>
      <c r="AL100" t="str">
        <v/>
      </c>
    </row>
  </sheetData>
  <ignoredErrors>
    <ignoredError numberStoredAsText="1" sqref="A1:AL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