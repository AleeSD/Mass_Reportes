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Empresa</v>
      </c>
      <c r="H1" t="str">
        <v>Conductor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Alerta</v>
      </c>
      <c r="O1" t="str">
        <v>Odómetro (Km)</v>
      </c>
      <c r="P1" t="str">
        <v>Zona</v>
      </c>
      <c r="Q1" t="str">
        <v>Velocidad (Km/h)</v>
      </c>
      <c r="R1" t="str">
        <v>Horómetro (Hrs)</v>
      </c>
      <c r="S1" t="str">
        <v>Velocidad máxima permitida</v>
      </c>
      <c r="T1" t="str">
        <v>Velocidad máxima alcanzada</v>
      </c>
      <c r="U1" t="str">
        <v>Velocidad promedio</v>
      </c>
      <c r="V1" t="str">
        <v>Duración (segundos)</v>
      </c>
      <c r="W1" t="str">
        <v>Severidad de la alerta</v>
      </c>
      <c r="X1" t="str">
        <v>Fecha y hora de inicio del exceso</v>
      </c>
      <c r="Y1" t="str">
        <v>Fecha y hora de fin del exceso</v>
      </c>
      <c r="Z1" t="str">
        <v>% Batería</v>
      </c>
      <c r="AA1" t="str">
        <v>Fecha GPS</v>
      </c>
      <c r="AB1" t="str">
        <v>Hora GPS</v>
      </c>
      <c r="AC1" t="str">
        <v>Estado GPS</v>
      </c>
      <c r="AD1" t="str">
        <v>Atención Alerta</v>
      </c>
      <c r="AE1" t="str">
        <v>Reporte de Alerta</v>
      </c>
      <c r="AF1" t="str">
        <v>Fecha Reporte Al.</v>
      </c>
      <c r="AG1" t="str">
        <v>Hora Reporte Al.</v>
      </c>
      <c r="AH1" t="str">
        <v>Registro de Atención</v>
      </c>
      <c r="AI1" t="str">
        <v>Fecha Registro At.</v>
      </c>
      <c r="AJ1" t="str">
        <v>Hora Registro At.</v>
      </c>
      <c r="AK1" t="str">
        <v>Notas</v>
      </c>
    </row>
    <row r="2">
      <c r="A2">
        <v>1</v>
      </c>
      <c r="B2" t="str">
        <v>MASS BSF</v>
      </c>
      <c r="C2" t="str">
        <v>F2F-768</v>
      </c>
      <c r="D2" t="str">
        <v>F2F-768</v>
      </c>
      <c r="E2" t="str">
        <v/>
      </c>
      <c r="F2" t="str">
        <v>867162029832136</v>
      </c>
      <c r="G2" t="str">
        <v/>
      </c>
      <c r="H2" t="str">
        <v/>
      </c>
      <c r="I2" t="str">
        <v>24/09/2026</v>
      </c>
      <c r="J2" t="str">
        <v>05:15:40</v>
      </c>
      <c r="K2">
        <v>-12.213082</v>
      </c>
      <c r="L2">
        <v>-76.95907</v>
      </c>
      <c r="M2">
        <f>HYPERLINK("https://www.google.com/maps/search/?api=1&amp;query=-12.213082,-76.95907","Avenida Villa del Mar, Villa El Salvador, Lima")</f>
      </c>
      <c r="N2" t="str">
        <v>Vehículo encendido</v>
      </c>
      <c r="O2">
        <v>2734.4</v>
      </c>
      <c r="P2" t="str">
        <v/>
      </c>
      <c r="Q2">
        <v>0</v>
      </c>
      <c r="R2">
        <v>101.5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100</v>
      </c>
      <c r="AA2" t="str">
        <v>24/09/2026</v>
      </c>
      <c r="AB2" t="str">
        <v>04:59:43</v>
      </c>
      <c r="AC2">
        <f>IF("NOGPS"="NOGPS","GPS Antiguo","En línea")</f>
      </c>
      <c r="AD2">
        <f>IF(0=0,"Sin atender", IF(0=1,"Atendida","Atendida y Reportada"))</f>
      </c>
      <c r="AE2" t="str">
        <v/>
      </c>
      <c r="AF2" t="str">
        <v/>
      </c>
      <c r="AG2" t="str">
        <v/>
      </c>
      <c r="AH2" t="str">
        <v/>
      </c>
      <c r="AI2" t="str">
        <v>24/09/2026 05:16:00</v>
      </c>
      <c r="AJ2" t="str">
        <v>05:16:00</v>
      </c>
      <c r="AK2" t="str">
        <v/>
      </c>
    </row>
    <row r="3">
      <c r="A3">
        <v>2</v>
      </c>
      <c r="B3" t="str">
        <v>MASS BSF</v>
      </c>
      <c r="C3" t="str">
        <v>F2F-768</v>
      </c>
      <c r="D3" t="str">
        <v>F2F-768</v>
      </c>
      <c r="E3" t="str">
        <v/>
      </c>
      <c r="F3" t="str">
        <v>867162029832136</v>
      </c>
      <c r="G3" t="str">
        <v/>
      </c>
      <c r="H3" t="str">
        <v/>
      </c>
      <c r="I3" t="str">
        <v>24/09/2026</v>
      </c>
      <c r="J3" t="str">
        <v>05:17:10</v>
      </c>
      <c r="K3">
        <v>-12.213126</v>
      </c>
      <c r="L3">
        <v>-76.958954</v>
      </c>
      <c r="M3">
        <f>HYPERLINK("https://www.google.com/maps/search/?api=1&amp;query=-12.213126,-76.958954","Villa El Salvador, Lima")</f>
      </c>
      <c r="N3" t="str">
        <v>Vehículo apagado</v>
      </c>
      <c r="O3">
        <v>2734.4</v>
      </c>
      <c r="P3" t="str">
        <v/>
      </c>
      <c r="Q3">
        <v>0</v>
      </c>
      <c r="R3">
        <v>101.53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100</v>
      </c>
      <c r="AA3" t="str">
        <v>24/09/2026</v>
      </c>
      <c r="AB3" t="str">
        <v>05:16:38</v>
      </c>
      <c r="AC3">
        <f>IF("ONLINE"="NOGPS","GPS Antiguo","En línea")</f>
      </c>
      <c r="AD3">
        <f>IF(0=0,"Sin atender", IF(0=1,"Atendida","Atendida y Reportada"))</f>
      </c>
      <c r="AE3" t="str">
        <v/>
      </c>
      <c r="AF3" t="str">
        <v/>
      </c>
      <c r="AG3" t="str">
        <v/>
      </c>
      <c r="AH3" t="str">
        <v/>
      </c>
      <c r="AI3" t="str">
        <v>24/09/2026 05:17:17</v>
      </c>
      <c r="AJ3" t="str">
        <v>05:17:17</v>
      </c>
      <c r="AK3" t="str">
        <v/>
      </c>
    </row>
    <row r="4">
      <c r="A4">
        <v>3</v>
      </c>
      <c r="B4" t="str">
        <v>MASS BSF</v>
      </c>
      <c r="C4" t="str">
        <v>F2F-768</v>
      </c>
      <c r="D4" t="str">
        <v>F2F-768</v>
      </c>
      <c r="E4" t="str">
        <v/>
      </c>
      <c r="F4" t="str">
        <v>867162029832136</v>
      </c>
      <c r="G4" t="str">
        <v/>
      </c>
      <c r="H4" t="str">
        <v/>
      </c>
      <c r="I4" t="str">
        <v>24/09/2026</v>
      </c>
      <c r="J4" t="str">
        <v>05:20:32</v>
      </c>
      <c r="K4">
        <v>-12.213089</v>
      </c>
      <c r="L4">
        <v>-76.95935</v>
      </c>
      <c r="M4">
        <f>HYPERLINK("https://www.google.com/maps/search/?api=1&amp;query=-12.213089,-76.95935","Avenida Villa del Mar, Villa El Salvador, Lima")</f>
      </c>
      <c r="N4" t="str">
        <v>Vehículo encendido</v>
      </c>
      <c r="O4">
        <v>2734.5</v>
      </c>
      <c r="P4" t="str">
        <v/>
      </c>
      <c r="Q4">
        <v>0</v>
      </c>
      <c r="R4">
        <v>101.53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100</v>
      </c>
      <c r="AA4" t="str">
        <v>24/09/2026</v>
      </c>
      <c r="AB4" t="str">
        <v>05:17:13</v>
      </c>
      <c r="AC4">
        <f>IF("ONLINE"="NOGPS","GPS Antiguo","En línea")</f>
      </c>
      <c r="AD4">
        <f>IF(0=0,"Sin atender", IF(0=1,"Atendida","Atendida y Reportada"))</f>
      </c>
      <c r="AE4" t="str">
        <v/>
      </c>
      <c r="AF4" t="str">
        <v/>
      </c>
      <c r="AG4" t="str">
        <v/>
      </c>
      <c r="AH4" t="str">
        <v/>
      </c>
      <c r="AI4" t="str">
        <v>24/09/2026 05:20:56</v>
      </c>
      <c r="AJ4" t="str">
        <v>05:20:56</v>
      </c>
      <c r="AK4" t="str">
        <v/>
      </c>
    </row>
    <row r="5">
      <c r="A5">
        <v>4</v>
      </c>
      <c r="B5" t="str">
        <v>MASS BSF</v>
      </c>
      <c r="C5" t="str">
        <v>F2F-768</v>
      </c>
      <c r="D5" t="str">
        <v>F2F-768</v>
      </c>
      <c r="E5" t="str">
        <v/>
      </c>
      <c r="F5" t="str">
        <v>867162029832136</v>
      </c>
      <c r="G5" t="str">
        <v/>
      </c>
      <c r="H5" t="str">
        <v/>
      </c>
      <c r="I5" t="str">
        <v>24/09/2026</v>
      </c>
      <c r="J5" t="str">
        <v>05:50:50</v>
      </c>
      <c r="K5">
        <v>-12.153863</v>
      </c>
      <c r="L5">
        <v>-76.95235</v>
      </c>
      <c r="M5">
        <f>HYPERLINK("https://www.google.com/maps/search/?api=1&amp;query=-12.153863,-76.95235","Jirón Jose Santos Chocano, Villa María del Triunfo, Lima")</f>
      </c>
      <c r="N5" t="str">
        <v>Vehículo apagado</v>
      </c>
      <c r="O5">
        <v>2743</v>
      </c>
      <c r="P5" t="str">
        <v/>
      </c>
      <c r="Q5">
        <v>0</v>
      </c>
      <c r="R5">
        <v>102.03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100</v>
      </c>
      <c r="AA5" t="str">
        <v>24/09/2026</v>
      </c>
      <c r="AB5" t="str">
        <v>05:50:53</v>
      </c>
      <c r="AC5">
        <f>IF("ONLINE"="NOGPS","GPS Antiguo","En línea")</f>
      </c>
      <c r="AD5">
        <f>IF(0=0,"Sin atender", IF(0=1,"Atendida","Atendida y Reportada"))</f>
      </c>
      <c r="AE5" t="str">
        <v/>
      </c>
      <c r="AF5" t="str">
        <v/>
      </c>
      <c r="AG5" t="str">
        <v/>
      </c>
      <c r="AH5" t="str">
        <v/>
      </c>
      <c r="AI5" t="str">
        <v>24/09/2026 05:51:15</v>
      </c>
      <c r="AJ5" t="str">
        <v>05:51:15</v>
      </c>
      <c r="AK5" t="str">
        <v/>
      </c>
    </row>
    <row r="6">
      <c r="A6">
        <v>5</v>
      </c>
      <c r="B6" t="str">
        <v>MASS BSF</v>
      </c>
      <c r="C6" t="str">
        <v>F2F-768</v>
      </c>
      <c r="D6" t="str">
        <v>F2F-768</v>
      </c>
      <c r="E6" t="str">
        <v/>
      </c>
      <c r="F6" t="str">
        <v>867162029832136</v>
      </c>
      <c r="G6" t="str">
        <v/>
      </c>
      <c r="H6" t="str">
        <v/>
      </c>
      <c r="I6" t="str">
        <v>24/09/2026</v>
      </c>
      <c r="J6" t="str">
        <v>06:31:41</v>
      </c>
      <c r="K6">
        <v>-12.153863</v>
      </c>
      <c r="L6">
        <v>-76.95235</v>
      </c>
      <c r="M6">
        <f>HYPERLINK("https://www.google.com/maps/search/?api=1&amp;query=-12.153863,-76.95235","Jirón Jose Santos Chocano, Villa María del Triunfo, Lima")</f>
      </c>
      <c r="N6" t="str">
        <v>Vehículo encendido</v>
      </c>
      <c r="O6">
        <v>2743</v>
      </c>
      <c r="P6" t="str">
        <v/>
      </c>
      <c r="Q6">
        <v>0</v>
      </c>
      <c r="R6">
        <v>102.03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100</v>
      </c>
      <c r="AA6" t="str">
        <v>24/09/2026</v>
      </c>
      <c r="AB6" t="str">
        <v>06:18:35</v>
      </c>
      <c r="AC6">
        <f>IF("NOGPS"="NOGPS","GPS Antiguo","En línea")</f>
      </c>
      <c r="AD6">
        <f>IF(0=0,"Sin atender", IF(0=1,"Atendida","Atendida y Reportada"))</f>
      </c>
      <c r="AE6" t="str">
        <v/>
      </c>
      <c r="AF6" t="str">
        <v/>
      </c>
      <c r="AG6" t="str">
        <v/>
      </c>
      <c r="AH6" t="str">
        <v/>
      </c>
      <c r="AI6" t="str">
        <v>24/09/2026 06:32:00</v>
      </c>
      <c r="AJ6" t="str">
        <v>06:32:00</v>
      </c>
      <c r="AK6" t="str">
        <v/>
      </c>
    </row>
    <row r="7">
      <c r="A7">
        <v>6</v>
      </c>
      <c r="B7" t="str">
        <v>MASS BSF</v>
      </c>
      <c r="C7" t="str">
        <v>F2F-768</v>
      </c>
      <c r="D7" t="str">
        <v>F2F-768</v>
      </c>
      <c r="E7" t="str">
        <v/>
      </c>
      <c r="F7" t="str">
        <v>867162029832136</v>
      </c>
      <c r="G7" t="str">
        <v/>
      </c>
      <c r="H7" t="str">
        <v/>
      </c>
      <c r="I7" t="str">
        <v>24/09/2026</v>
      </c>
      <c r="J7" t="str">
        <v>06:36:12</v>
      </c>
      <c r="K7">
        <v>-12.154238</v>
      </c>
      <c r="L7">
        <v>-76.95239</v>
      </c>
      <c r="M7">
        <f>HYPERLINK("https://www.google.com/maps/search/?api=1&amp;query=-12.154238,-76.95239","Avenida José Carlos Mariátegui, Villa María del Triunfo, Lima")</f>
      </c>
      <c r="N7" t="str">
        <v>Vehículo apagado</v>
      </c>
      <c r="O7">
        <v>2743.5</v>
      </c>
      <c r="P7" t="str">
        <v/>
      </c>
      <c r="Q7">
        <v>0</v>
      </c>
      <c r="R7">
        <v>102.12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100</v>
      </c>
      <c r="AA7" t="str">
        <v>24/09/2026</v>
      </c>
      <c r="AB7" t="str">
        <v>06:36:14</v>
      </c>
      <c r="AC7">
        <f>IF("ONLINE"="NOGPS","GPS Antiguo","En línea")</f>
      </c>
      <c r="AD7">
        <f>IF(0=0,"Sin atender", IF(0=1,"Atendida","Atendida y Reportada"))</f>
      </c>
      <c r="AE7" t="str">
        <v/>
      </c>
      <c r="AF7" t="str">
        <v/>
      </c>
      <c r="AG7" t="str">
        <v/>
      </c>
      <c r="AH7" t="str">
        <v/>
      </c>
      <c r="AI7" t="str">
        <v>24/09/2026 06:36:35</v>
      </c>
      <c r="AJ7" t="str">
        <v>06:36:35</v>
      </c>
      <c r="AK7" t="str">
        <v/>
      </c>
    </row>
    <row r="8">
      <c r="A8">
        <v>7</v>
      </c>
      <c r="B8" t="str">
        <v>MASS BSF</v>
      </c>
      <c r="C8" t="str">
        <v>F2F-768</v>
      </c>
      <c r="D8" t="str">
        <v>F2F-768</v>
      </c>
      <c r="E8" t="str">
        <v/>
      </c>
      <c r="F8" t="str">
        <v>867162029832136</v>
      </c>
      <c r="G8" t="str">
        <v/>
      </c>
      <c r="H8" t="str">
        <v/>
      </c>
      <c r="I8" t="str">
        <v>24/09/2026</v>
      </c>
      <c r="J8" t="str">
        <v>06:38:08</v>
      </c>
      <c r="K8">
        <v>-12.154209</v>
      </c>
      <c r="L8">
        <v>-76.952354</v>
      </c>
      <c r="M8">
        <f>HYPERLINK("https://www.google.com/maps/search/?api=1&amp;query=-12.154209,-76.952354","Avenida José Carlos Mariátegui, Villa María del Triunfo, Lima")</f>
      </c>
      <c r="N8" t="str">
        <v>Vehículo encendido</v>
      </c>
      <c r="O8">
        <v>2743.5</v>
      </c>
      <c r="P8" t="str">
        <v/>
      </c>
      <c r="Q8">
        <v>0</v>
      </c>
      <c r="R8">
        <v>102.12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100</v>
      </c>
      <c r="AA8" t="str">
        <v>24/09/2026</v>
      </c>
      <c r="AB8" t="str">
        <v>06:38:13</v>
      </c>
      <c r="AC8">
        <f>IF("ONLINE"="NOGPS","GPS Antiguo","En línea")</f>
      </c>
      <c r="AD8">
        <f>IF(0=0,"Sin atender", IF(0=1,"Atendida","Atendida y Reportada"))</f>
      </c>
      <c r="AE8" t="str">
        <v/>
      </c>
      <c r="AF8" t="str">
        <v/>
      </c>
      <c r="AG8" t="str">
        <v/>
      </c>
      <c r="AH8" t="str">
        <v/>
      </c>
      <c r="AI8" t="str">
        <v>24/09/2026 06:38:38</v>
      </c>
      <c r="AJ8" t="str">
        <v>06:38:38</v>
      </c>
      <c r="AK8" t="str">
        <v/>
      </c>
    </row>
    <row r="9">
      <c r="A9">
        <v>8</v>
      </c>
      <c r="B9" t="str">
        <v>MASS BSF</v>
      </c>
      <c r="C9" t="str">
        <v>F2F-768</v>
      </c>
      <c r="D9" t="str">
        <v>F2F-768</v>
      </c>
      <c r="E9" t="str">
        <v/>
      </c>
      <c r="F9" t="str">
        <v>867162029832136</v>
      </c>
      <c r="G9" t="str">
        <v/>
      </c>
      <c r="H9" t="str">
        <v/>
      </c>
      <c r="I9" t="str">
        <v>24/09/2026</v>
      </c>
      <c r="J9" t="str">
        <v>06:38:23</v>
      </c>
      <c r="K9">
        <v>-12.154209</v>
      </c>
      <c r="L9">
        <v>-76.952354</v>
      </c>
      <c r="M9">
        <f>HYPERLINK("https://www.google.com/maps/search/?api=1&amp;query=-12.154209,-76.952354","Avenida José Carlos Mariátegui, Villa María del Triunfo, Lima")</f>
      </c>
      <c r="N9" t="str">
        <v>Vehículo apagado</v>
      </c>
      <c r="O9">
        <v>2743.5</v>
      </c>
      <c r="P9" t="str">
        <v/>
      </c>
      <c r="Q9">
        <v>1.5</v>
      </c>
      <c r="R9">
        <v>102.12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100</v>
      </c>
      <c r="AA9" t="str">
        <v>24/09/2026</v>
      </c>
      <c r="AB9" t="str">
        <v>06:38:13</v>
      </c>
      <c r="AC9">
        <f>IF("ONLINE"="NOGPS","GPS Antiguo","En línea")</f>
      </c>
      <c r="AD9">
        <f>IF(0=0,"Sin atender", IF(0=1,"Atendida","Atendida y Reportada"))</f>
      </c>
      <c r="AE9" t="str">
        <v/>
      </c>
      <c r="AF9" t="str">
        <v/>
      </c>
      <c r="AG9" t="str">
        <v/>
      </c>
      <c r="AH9" t="str">
        <v/>
      </c>
      <c r="AI9" t="str">
        <v>24/09/2026 06:38:39</v>
      </c>
      <c r="AJ9" t="str">
        <v>06:38:39</v>
      </c>
      <c r="AK9" t="str">
        <v/>
      </c>
    </row>
    <row r="10">
      <c r="A10">
        <v>9</v>
      </c>
      <c r="B10" t="str">
        <v>MASS BSF</v>
      </c>
      <c r="C10" t="str">
        <v>F2F-768</v>
      </c>
      <c r="D10" t="str">
        <v>F2F-768</v>
      </c>
      <c r="E10" t="str">
        <v/>
      </c>
      <c r="F10" t="str">
        <v>867162029832136</v>
      </c>
      <c r="G10" t="str">
        <v/>
      </c>
      <c r="H10" t="str">
        <v/>
      </c>
      <c r="I10" t="str">
        <v>24/09/2026</v>
      </c>
      <c r="J10" t="str">
        <v>07:37:49</v>
      </c>
      <c r="K10">
        <v>-12.154209</v>
      </c>
      <c r="L10">
        <v>-76.952354</v>
      </c>
      <c r="M10">
        <f>HYPERLINK("https://www.google.com/maps/search/?api=1&amp;query=-12.154209,-76.952354","Avenida José Carlos Mariátegui, Villa María del Triunfo, Lima")</f>
      </c>
      <c r="N10" t="str">
        <v>Vehículo encendido</v>
      </c>
      <c r="O10">
        <v>2743.5</v>
      </c>
      <c r="P10" t="str">
        <v/>
      </c>
      <c r="Q10">
        <v>0</v>
      </c>
      <c r="R10">
        <v>102.12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100</v>
      </c>
      <c r="AA10" t="str">
        <v>24/09/2026</v>
      </c>
      <c r="AB10" t="str">
        <v>07:36:02</v>
      </c>
      <c r="AC10">
        <f>IF("ONLINE"="NOGPS","GPS Antiguo","En línea")</f>
      </c>
      <c r="AD10">
        <f>IF(0=0,"Sin atender", IF(0=1,"Atendida","Atendida y Reportada"))</f>
      </c>
      <c r="AE10" t="str">
        <v/>
      </c>
      <c r="AF10" t="str">
        <v/>
      </c>
      <c r="AG10" t="str">
        <v/>
      </c>
      <c r="AH10" t="str">
        <v/>
      </c>
      <c r="AI10" t="str">
        <v>24/09/2026 07:40:10</v>
      </c>
      <c r="AJ10" t="str">
        <v>07:40:10</v>
      </c>
      <c r="AK10" t="str">
        <v/>
      </c>
    </row>
    <row r="11">
      <c r="A11">
        <v>10</v>
      </c>
      <c r="B11" t="str">
        <v>MASS BSF</v>
      </c>
      <c r="C11" t="str">
        <v>F2F-768</v>
      </c>
      <c r="D11" t="str">
        <v>F2F-768</v>
      </c>
      <c r="E11" t="str">
        <v/>
      </c>
      <c r="F11" t="str">
        <v>867162029832136</v>
      </c>
      <c r="G11" t="str">
        <v/>
      </c>
      <c r="H11" t="str">
        <v/>
      </c>
      <c r="I11" t="str">
        <v>24/09/2026</v>
      </c>
      <c r="J11" t="str">
        <v>07:40:55</v>
      </c>
      <c r="K11">
        <v>-12.148183</v>
      </c>
      <c r="L11">
        <v>-76.95063</v>
      </c>
      <c r="M11">
        <f>HYPERLINK("https://www.google.com/maps/search/?api=1&amp;query=-12.148183,-76.95063","Avenida José Carlos Mariátegui, Villa María del Triunfo, Lima")</f>
      </c>
      <c r="N11" t="str">
        <v>Vehículo apagado</v>
      </c>
      <c r="O11">
        <v>2744.2</v>
      </c>
      <c r="P11" t="str">
        <v/>
      </c>
      <c r="Q11">
        <v>0</v>
      </c>
      <c r="R11">
        <v>102.17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100</v>
      </c>
      <c r="AA11" t="str">
        <v>24/09/2026</v>
      </c>
      <c r="AB11" t="str">
        <v>07:40:48</v>
      </c>
      <c r="AC11">
        <f>IF("ONLINE"="NOGPS","GPS Antiguo","En línea")</f>
      </c>
      <c r="AD11">
        <f>IF(0=0,"Sin atender", IF(0=1,"Atendida","Atendida y Reportada"))</f>
      </c>
      <c r="AE11" t="str">
        <v/>
      </c>
      <c r="AF11" t="str">
        <v/>
      </c>
      <c r="AG11" t="str">
        <v/>
      </c>
      <c r="AH11" t="str">
        <v/>
      </c>
      <c r="AI11" t="str">
        <v>24/09/2026 07:41:04</v>
      </c>
      <c r="AJ11" t="str">
        <v>07:41:04</v>
      </c>
      <c r="AK11" t="str">
        <v/>
      </c>
    </row>
    <row r="12">
      <c r="A12">
        <v>11</v>
      </c>
      <c r="B12" t="str">
        <v>MASS BSF</v>
      </c>
      <c r="C12" t="str">
        <v>F2F-768</v>
      </c>
      <c r="D12" t="str">
        <v>F2F-768</v>
      </c>
      <c r="E12" t="str">
        <v/>
      </c>
      <c r="F12" t="str">
        <v>867162029832136</v>
      </c>
      <c r="G12" t="str">
        <v/>
      </c>
      <c r="H12" t="str">
        <v/>
      </c>
      <c r="I12" t="str">
        <v>24/09/2026</v>
      </c>
      <c r="J12" t="str">
        <v>07:54:47</v>
      </c>
      <c r="K12">
        <v>-12.148183</v>
      </c>
      <c r="L12">
        <v>-76.95063</v>
      </c>
      <c r="M12">
        <f>HYPERLINK("https://www.google.com/maps/search/?api=1&amp;query=-12.148183,-76.95063","Avenida José Carlos Mariátegui, Villa María del Triunfo, Lima")</f>
      </c>
      <c r="N12" t="str">
        <v>Vehículo encendido</v>
      </c>
      <c r="O12">
        <v>2744.2</v>
      </c>
      <c r="P12" t="str">
        <v/>
      </c>
      <c r="Q12">
        <v>0</v>
      </c>
      <c r="R12">
        <v>102.17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100</v>
      </c>
      <c r="AA12" t="str">
        <v>24/09/2026</v>
      </c>
      <c r="AB12" t="str">
        <v>07:40:59</v>
      </c>
      <c r="AC12">
        <f>IF("NOGPS"="NOGPS","GPS Antiguo","En línea")</f>
      </c>
      <c r="AD12">
        <f>IF(0=0,"Sin atender", IF(0=1,"Atendida","Atendida y Reportada"))</f>
      </c>
      <c r="AE12" t="str">
        <v/>
      </c>
      <c r="AF12" t="str">
        <v/>
      </c>
      <c r="AG12" t="str">
        <v/>
      </c>
      <c r="AH12" t="str">
        <v/>
      </c>
      <c r="AI12" t="str">
        <v>24/09/2026 07:55:03</v>
      </c>
      <c r="AJ12" t="str">
        <v>07:55:03</v>
      </c>
      <c r="AK12" t="str">
        <v/>
      </c>
    </row>
    <row r="13">
      <c r="A13">
        <v>12</v>
      </c>
      <c r="B13" t="str">
        <v>MASS BSF</v>
      </c>
      <c r="C13" t="str">
        <v>F2F-768</v>
      </c>
      <c r="D13" t="str">
        <v>F2F-768</v>
      </c>
      <c r="E13" t="str">
        <v/>
      </c>
      <c r="F13" t="str">
        <v>867162029832136</v>
      </c>
      <c r="G13" t="str">
        <v/>
      </c>
      <c r="H13" t="str">
        <v/>
      </c>
      <c r="I13" t="str">
        <v>24/09/2026</v>
      </c>
      <c r="J13" t="str">
        <v>07:58:45</v>
      </c>
      <c r="K13">
        <v>-12.141724</v>
      </c>
      <c r="L13">
        <v>-76.94971</v>
      </c>
      <c r="M13">
        <f>HYPERLINK("https://www.google.com/maps/search/?api=1&amp;query=-12.141724,-76.94971","Avenida Primavera, Villa María del Triunfo, Lima")</f>
      </c>
      <c r="N13" t="str">
        <v>Vehículo apagado</v>
      </c>
      <c r="O13">
        <v>2745</v>
      </c>
      <c r="P13" t="str">
        <v/>
      </c>
      <c r="Q13">
        <v>8.3</v>
      </c>
      <c r="R13">
        <v>102.23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100</v>
      </c>
      <c r="AA13" t="str">
        <v>24/09/2026</v>
      </c>
      <c r="AB13" t="str">
        <v>07:57:51</v>
      </c>
      <c r="AC13">
        <f>IF("ONLINE"="NOGPS","GPS Antiguo","En línea")</f>
      </c>
      <c r="AD13">
        <f>IF(0=0,"Sin atender", IF(0=1,"Atendida","Atendida y Reportada"))</f>
      </c>
      <c r="AE13" t="str">
        <v/>
      </c>
      <c r="AF13" t="str">
        <v/>
      </c>
      <c r="AG13" t="str">
        <v/>
      </c>
      <c r="AH13" t="str">
        <v/>
      </c>
      <c r="AI13" t="str">
        <v>24/09/2026 07:58:57</v>
      </c>
      <c r="AJ13" t="str">
        <v>07:58:57</v>
      </c>
      <c r="AK13" t="str">
        <v/>
      </c>
    </row>
    <row r="14">
      <c r="A14">
        <v>13</v>
      </c>
      <c r="B14" t="str">
        <v>MASS BSF</v>
      </c>
      <c r="C14" t="str">
        <v>F2F-768</v>
      </c>
      <c r="D14" t="str">
        <v>F2F-768</v>
      </c>
      <c r="E14" t="str">
        <v/>
      </c>
      <c r="F14" t="str">
        <v>867162029832136</v>
      </c>
      <c r="G14" t="str">
        <v/>
      </c>
      <c r="H14" t="str">
        <v/>
      </c>
      <c r="I14" t="str">
        <v>24/09/2026</v>
      </c>
      <c r="J14" t="str">
        <v>08:08:32</v>
      </c>
      <c r="K14">
        <v>-12.141944</v>
      </c>
      <c r="L14">
        <v>-76.94975</v>
      </c>
      <c r="M14">
        <f>HYPERLINK("https://www.google.com/maps/search/?api=1&amp;query=-12.141944,-76.94975","Avenida Primavera, Villa María del Triunfo, Lima")</f>
      </c>
      <c r="N14" t="str">
        <v>Vehículo encendido</v>
      </c>
      <c r="O14">
        <v>2745</v>
      </c>
      <c r="P14" t="str">
        <v/>
      </c>
      <c r="Q14">
        <v>0</v>
      </c>
      <c r="R14">
        <v>102.23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100</v>
      </c>
      <c r="AA14" t="str">
        <v>24/09/2026</v>
      </c>
      <c r="AB14" t="str">
        <v>07:58:47</v>
      </c>
      <c r="AC14">
        <f>IF("NOGPS"="NOGPS","GPS Antiguo","En línea")</f>
      </c>
      <c r="AD14">
        <f>IF(0=0,"Sin atender", IF(0=1,"Atendida","Atendida y Reportada"))</f>
      </c>
      <c r="AE14" t="str">
        <v/>
      </c>
      <c r="AF14" t="str">
        <v/>
      </c>
      <c r="AG14" t="str">
        <v/>
      </c>
      <c r="AH14" t="str">
        <v/>
      </c>
      <c r="AI14" t="str">
        <v>24/09/2026 08:08:41</v>
      </c>
      <c r="AJ14" t="str">
        <v>08:08:41</v>
      </c>
      <c r="AK14" t="str">
        <v/>
      </c>
    </row>
    <row r="15">
      <c r="A15">
        <v>14</v>
      </c>
      <c r="B15" t="str">
        <v>MASS BSF</v>
      </c>
      <c r="C15" t="str">
        <v>F2F-768</v>
      </c>
      <c r="D15" t="str">
        <v>F2F-768</v>
      </c>
      <c r="E15" t="str">
        <v/>
      </c>
      <c r="F15" t="str">
        <v>867162029832136</v>
      </c>
      <c r="G15" t="str">
        <v/>
      </c>
      <c r="H15" t="str">
        <v/>
      </c>
      <c r="I15" t="str">
        <v>24/09/2026</v>
      </c>
      <c r="J15" t="str">
        <v>08:24:00</v>
      </c>
      <c r="K15">
        <v>-12.163638</v>
      </c>
      <c r="L15">
        <v>-76.95017</v>
      </c>
      <c r="M15">
        <f>HYPERLINK("https://www.google.com/maps/search/?api=1&amp;query=-12.163638,-76.95017","Jirón Santa Cruz, Villa María del Triunfo, Lima")</f>
      </c>
      <c r="N15" t="str">
        <v>Giro brusco</v>
      </c>
      <c r="O15">
        <v>2748.4</v>
      </c>
      <c r="P15" t="str">
        <v/>
      </c>
      <c r="Q15">
        <v>14.1</v>
      </c>
      <c r="R15">
        <v>102.23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100</v>
      </c>
      <c r="AA15" t="str">
        <v>24/09/2026</v>
      </c>
      <c r="AB15" t="str">
        <v>08:23:57</v>
      </c>
      <c r="AC15">
        <f>IF("ONLINE"="NOGPS","GPS Antiguo","En línea")</f>
      </c>
      <c r="AD15">
        <f>IF(0=0,"Sin atender", IF(0=1,"Atendida","Atendida y Reportada"))</f>
      </c>
      <c r="AE15" t="str">
        <v/>
      </c>
      <c r="AF15" t="str">
        <v/>
      </c>
      <c r="AG15" t="str">
        <v/>
      </c>
      <c r="AH15" t="str">
        <v/>
      </c>
      <c r="AI15" t="str">
        <v>24/09/2026 08:24:13</v>
      </c>
      <c r="AJ15" t="str">
        <v>08:24:13</v>
      </c>
      <c r="AK15" t="str">
        <v/>
      </c>
    </row>
    <row r="16">
      <c r="A16">
        <v>15</v>
      </c>
      <c r="B16" t="str">
        <v>MASS BSF</v>
      </c>
      <c r="C16" t="str">
        <v>F2F-768</v>
      </c>
      <c r="D16" t="str">
        <v>F2F-768</v>
      </c>
      <c r="E16" t="str">
        <v/>
      </c>
      <c r="F16" t="str">
        <v>867162029832136</v>
      </c>
      <c r="G16" t="str">
        <v/>
      </c>
      <c r="H16" t="str">
        <v/>
      </c>
      <c r="I16" t="str">
        <v>24/09/2026</v>
      </c>
      <c r="J16" t="str">
        <v>08:59:55</v>
      </c>
      <c r="K16">
        <v>-12.266297</v>
      </c>
      <c r="L16">
        <v>-76.905525</v>
      </c>
      <c r="M16">
        <f>HYPERLINK("https://www.google.com/maps/search/?api=1&amp;query=-12.266297,-76.905525","Carretera Panamericana Sur, Lurín, Lima")</f>
      </c>
      <c r="N16" t="str">
        <v>Excedió el límite de velocidad</v>
      </c>
      <c r="O16">
        <v>2765.3</v>
      </c>
      <c r="P16" t="str">
        <v/>
      </c>
      <c r="Q16">
        <v>84.2</v>
      </c>
      <c r="R16">
        <v>102.23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100</v>
      </c>
      <c r="AA16" t="str">
        <v>24/09/2026</v>
      </c>
      <c r="AB16" t="str">
        <v>08:59:54</v>
      </c>
      <c r="AC16">
        <f>IF("ONLINE"="NOGPS","GPS Antiguo","En línea")</f>
      </c>
      <c r="AD16">
        <f>IF(0=0,"Sin atender", IF(0=1,"Atendida","Atendida y Reportada"))</f>
      </c>
      <c r="AE16" t="str">
        <v/>
      </c>
      <c r="AF16" t="str">
        <v/>
      </c>
      <c r="AG16" t="str">
        <v/>
      </c>
      <c r="AH16" t="str">
        <v/>
      </c>
      <c r="AI16" t="str">
        <v>24/09/2026 09:00:19</v>
      </c>
      <c r="AJ16" t="str">
        <v>09:00:19</v>
      </c>
      <c r="AK16" t="str">
        <v/>
      </c>
    </row>
    <row r="17">
      <c r="A17">
        <v>16</v>
      </c>
      <c r="B17" t="str">
        <v>MASS BSF</v>
      </c>
      <c r="C17" t="str">
        <v>F2F-768</v>
      </c>
      <c r="D17" t="str">
        <v>F2F-768</v>
      </c>
      <c r="E17" t="str">
        <v/>
      </c>
      <c r="F17" t="str">
        <v>867162029832136</v>
      </c>
      <c r="G17" t="str">
        <v/>
      </c>
      <c r="H17" t="str">
        <v/>
      </c>
      <c r="I17" t="str">
        <v>24/09/2026</v>
      </c>
      <c r="J17" t="str">
        <v>09:00:16</v>
      </c>
      <c r="K17">
        <v>-12.268571</v>
      </c>
      <c r="L17">
        <v>-76.901886</v>
      </c>
      <c r="M17">
        <f>HYPERLINK("https://www.google.com/maps/search/?api=1&amp;query=-12.268571,-76.901886","Carretera Panamericana Sur, Lurín, Lima")</f>
      </c>
      <c r="N17" t="str">
        <v>Excedió el límite de velocidad</v>
      </c>
      <c r="O17">
        <v>2765.8</v>
      </c>
      <c r="P17" t="str">
        <v/>
      </c>
      <c r="Q17">
        <v>84.8</v>
      </c>
      <c r="R17">
        <v>102.23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v>100</v>
      </c>
      <c r="AA17" t="str">
        <v>24/09/2026</v>
      </c>
      <c r="AB17" t="str">
        <v>09:00:15</v>
      </c>
      <c r="AC17">
        <f>IF("ONLINE"="NOGPS","GPS Antiguo","En línea")</f>
      </c>
      <c r="AD17">
        <f>IF(0=0,"Sin atender", IF(0=1,"Atendida","Atendida y Reportada"))</f>
      </c>
      <c r="AE17" t="str">
        <v/>
      </c>
      <c r="AF17" t="str">
        <v/>
      </c>
      <c r="AG17" t="str">
        <v/>
      </c>
      <c r="AH17" t="str">
        <v/>
      </c>
      <c r="AI17" t="str">
        <v>24/09/2026 09:00:30</v>
      </c>
      <c r="AJ17" t="str">
        <v>09:00:30</v>
      </c>
      <c r="AK17" t="str">
        <v/>
      </c>
    </row>
    <row r="18">
      <c r="A18">
        <v>17</v>
      </c>
      <c r="B18" t="str">
        <v>MASS BSF</v>
      </c>
      <c r="C18" t="str">
        <v>F2F-768</v>
      </c>
      <c r="D18" t="str">
        <v>F2F-768</v>
      </c>
      <c r="E18" t="str">
        <v/>
      </c>
      <c r="F18" t="str">
        <v>867162029832136</v>
      </c>
      <c r="G18" t="str">
        <v/>
      </c>
      <c r="H18" t="str">
        <v/>
      </c>
      <c r="I18" t="str">
        <v>24/09/2026</v>
      </c>
      <c r="J18" t="str">
        <v>09:00:49</v>
      </c>
      <c r="K18">
        <v>-12.272277</v>
      </c>
      <c r="L18">
        <v>-76.89602</v>
      </c>
      <c r="M18">
        <f>HYPERLINK("https://www.google.com/maps/search/?api=1&amp;query=-12.272277,-76.89602","Carretera Panamericana Sur, Lurín, Lima")</f>
      </c>
      <c r="N18" t="str">
        <v>Excedió el límite de velocidad</v>
      </c>
      <c r="O18">
        <v>2766.6</v>
      </c>
      <c r="P18" t="str">
        <v/>
      </c>
      <c r="Q18">
        <v>86</v>
      </c>
      <c r="R18">
        <v>102.23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v>100</v>
      </c>
      <c r="AA18" t="str">
        <v>24/09/2026</v>
      </c>
      <c r="AB18" t="str">
        <v>09:00:48</v>
      </c>
      <c r="AC18">
        <f>IF("ONLINE"="NOGPS","GPS Antiguo","En línea")</f>
      </c>
      <c r="AD18">
        <f>IF(0=0,"Sin atender", IF(0=1,"Atendida","Atendida y Reportada"))</f>
      </c>
      <c r="AE18" t="str">
        <v/>
      </c>
      <c r="AF18" t="str">
        <v/>
      </c>
      <c r="AG18" t="str">
        <v/>
      </c>
      <c r="AH18" t="str">
        <v/>
      </c>
      <c r="AI18" t="str">
        <v>24/09/2026 09:01:15</v>
      </c>
      <c r="AJ18" t="str">
        <v>09:01:15</v>
      </c>
      <c r="AK18" t="str">
        <v/>
      </c>
    </row>
    <row r="19">
      <c r="A19">
        <v>18</v>
      </c>
      <c r="B19" t="str">
        <v>MASS BSF</v>
      </c>
      <c r="C19" t="str">
        <v>F2F-768</v>
      </c>
      <c r="D19" t="str">
        <v>F2F-768</v>
      </c>
      <c r="E19" t="str">
        <v/>
      </c>
      <c r="F19" t="str">
        <v>867162029832136</v>
      </c>
      <c r="G19" t="str">
        <v/>
      </c>
      <c r="H19" t="str">
        <v/>
      </c>
      <c r="I19" t="str">
        <v>24/09/2026</v>
      </c>
      <c r="J19" t="str">
        <v>09:06:28</v>
      </c>
      <c r="K19">
        <v>-12.29236</v>
      </c>
      <c r="L19">
        <v>-76.86399</v>
      </c>
      <c r="M19">
        <f>HYPERLINK("https://www.google.com/maps/search/?api=1&amp;query=-12.29236,-76.86399","Carretera Panamericana Sur, Lurín, Lima")</f>
      </c>
      <c r="N19" t="str">
        <v>Excedió el límite de velocidad</v>
      </c>
      <c r="O19">
        <v>2770.7</v>
      </c>
      <c r="P19" t="str">
        <v/>
      </c>
      <c r="Q19">
        <v>83.8</v>
      </c>
      <c r="R19">
        <v>102.23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100</v>
      </c>
      <c r="AA19" t="str">
        <v>24/09/2026</v>
      </c>
      <c r="AB19" t="str">
        <v>09:06:27</v>
      </c>
      <c r="AC19">
        <f>IF("ONLINE"="NOGPS","GPS Antiguo","En línea")</f>
      </c>
      <c r="AD19">
        <f>IF(0=0,"Sin atender", IF(0=1,"Atendida","Atendida y Reportada"))</f>
      </c>
      <c r="AE19" t="str">
        <v/>
      </c>
      <c r="AF19" t="str">
        <v/>
      </c>
      <c r="AG19" t="str">
        <v/>
      </c>
      <c r="AH19" t="str">
        <v/>
      </c>
      <c r="AI19" t="str">
        <v>24/09/2026 09:06:56</v>
      </c>
      <c r="AJ19" t="str">
        <v>09:06:56</v>
      </c>
      <c r="AK19" t="str">
        <v/>
      </c>
    </row>
    <row r="20">
      <c r="A20">
        <v>19</v>
      </c>
      <c r="B20" t="str">
        <v>MASS BSF</v>
      </c>
      <c r="C20" t="str">
        <v>F2F-768</v>
      </c>
      <c r="D20" t="str">
        <v>F2F-768</v>
      </c>
      <c r="E20" t="str">
        <v/>
      </c>
      <c r="F20" t="str">
        <v>867162029832136</v>
      </c>
      <c r="G20" t="str">
        <v/>
      </c>
      <c r="H20" t="str">
        <v/>
      </c>
      <c r="I20" t="str">
        <v>24/09/2026</v>
      </c>
      <c r="J20" t="str">
        <v>09:08:43</v>
      </c>
      <c r="K20">
        <v>-12.303802</v>
      </c>
      <c r="L20">
        <v>-76.841354</v>
      </c>
      <c r="M20">
        <f>HYPERLINK("https://www.google.com/maps/search/?api=1&amp;query=-12.303802,-76.841354","Carretera Panamericana Sur, Lurín, Lima")</f>
      </c>
      <c r="N20" t="str">
        <v>Excedió el límite de velocidad</v>
      </c>
      <c r="O20">
        <v>2773.5</v>
      </c>
      <c r="P20" t="str">
        <v/>
      </c>
      <c r="Q20">
        <v>80.8</v>
      </c>
      <c r="R20">
        <v>102.23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100</v>
      </c>
      <c r="AA20" t="str">
        <v>24/09/2026</v>
      </c>
      <c r="AB20" t="str">
        <v>09:08:42</v>
      </c>
      <c r="AC20">
        <f>IF("ONLINE"="NOGPS","GPS Antiguo","En línea")</f>
      </c>
      <c r="AD20">
        <f>IF(0=0,"Sin atender", IF(0=1,"Atendida","Atendida y Reportada"))</f>
      </c>
      <c r="AE20" t="str">
        <v/>
      </c>
      <c r="AF20" t="str">
        <v/>
      </c>
      <c r="AG20" t="str">
        <v/>
      </c>
      <c r="AH20" t="str">
        <v/>
      </c>
      <c r="AI20" t="str">
        <v>24/09/2026 09:09:08</v>
      </c>
      <c r="AJ20" t="str">
        <v>09:09:08</v>
      </c>
      <c r="AK20" t="str">
        <v/>
      </c>
    </row>
    <row r="21">
      <c r="A21">
        <v>20</v>
      </c>
      <c r="B21" t="str">
        <v>MASS BSF</v>
      </c>
      <c r="C21" t="str">
        <v>F2F-768</v>
      </c>
      <c r="D21" t="str">
        <v>F2F-768</v>
      </c>
      <c r="E21" t="str">
        <v/>
      </c>
      <c r="F21" t="str">
        <v>867162029832136</v>
      </c>
      <c r="G21" t="str">
        <v/>
      </c>
      <c r="H21" t="str">
        <v/>
      </c>
      <c r="I21" t="str">
        <v>24/09/2026</v>
      </c>
      <c r="J21" t="str">
        <v>09:09:24</v>
      </c>
      <c r="K21">
        <v>-12.302834</v>
      </c>
      <c r="L21">
        <v>-76.842926</v>
      </c>
      <c r="M21">
        <f>HYPERLINK("https://www.google.com/maps/search/?api=1&amp;query=-12.302834,-76.842926","Carretera Panamericana Sur, Lurín, Lima")</f>
      </c>
      <c r="N21" t="str">
        <v>Exceso de velocidad en segmento vial</v>
      </c>
      <c r="O21">
        <v>2774.2</v>
      </c>
      <c r="P21" t="str">
        <v/>
      </c>
      <c r="Q21">
        <v>80.4</v>
      </c>
      <c r="R21">
        <v>102.23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100</v>
      </c>
      <c r="AA21" t="str">
        <v>24/09/2026</v>
      </c>
      <c r="AB21" t="str">
        <v>09:08:33</v>
      </c>
      <c r="AC21">
        <f>IF("ONLINE"="NOGPS","GPS Antiguo","En línea")</f>
      </c>
      <c r="AD21">
        <f>IF(0=0,"Sin atender", IF(0=1,"Atendida","Atendida y Reportada"))</f>
      </c>
      <c r="AE21" t="str">
        <v/>
      </c>
      <c r="AF21" t="str">
        <v/>
      </c>
      <c r="AG21" t="str">
        <v/>
      </c>
      <c r="AH21" t="str">
        <v/>
      </c>
      <c r="AI21" t="str">
        <v>24/09/2026 09:09:31</v>
      </c>
      <c r="AJ21" t="str">
        <v>09:09:31</v>
      </c>
      <c r="AK21" t="str">
        <v/>
      </c>
    </row>
    <row r="22">
      <c r="A22">
        <v>21</v>
      </c>
      <c r="B22" t="str">
        <v>MASS BSF</v>
      </c>
      <c r="C22" t="str">
        <v>F2F-768</v>
      </c>
      <c r="D22" t="str">
        <v>F2F-768</v>
      </c>
      <c r="E22" t="str">
        <v/>
      </c>
      <c r="F22" t="str">
        <v>867162029832136</v>
      </c>
      <c r="G22" t="str">
        <v/>
      </c>
      <c r="H22" t="str">
        <v/>
      </c>
      <c r="I22" t="str">
        <v>24/09/2026</v>
      </c>
      <c r="J22" t="str">
        <v>09:11:19</v>
      </c>
      <c r="K22">
        <v>-12.325458</v>
      </c>
      <c r="L22">
        <v>-76.825294</v>
      </c>
      <c r="M22">
        <f>HYPERLINK("https://www.google.com/maps/search/?api=1&amp;query=-12.325458,-76.825294","Carretera Panamericana Sur, Punta Hermosa, Lima")</f>
      </c>
      <c r="N22" t="str">
        <v>Excedió el límite de velocidad</v>
      </c>
      <c r="O22">
        <v>2776.5</v>
      </c>
      <c r="P22" t="str">
        <v/>
      </c>
      <c r="Q22">
        <v>80.8</v>
      </c>
      <c r="R22">
        <v>102.23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100</v>
      </c>
      <c r="AA22" t="str">
        <v>24/09/2026</v>
      </c>
      <c r="AB22" t="str">
        <v>09:11:18</v>
      </c>
      <c r="AC22">
        <f>IF("ONLINE"="NOGPS","GPS Antiguo","En línea")</f>
      </c>
      <c r="AD22">
        <f>IF(0=0,"Sin atender", IF(0=1,"Atendida","Atendida y Reportada"))</f>
      </c>
      <c r="AE22" t="str">
        <v/>
      </c>
      <c r="AF22" t="str">
        <v/>
      </c>
      <c r="AG22" t="str">
        <v/>
      </c>
      <c r="AH22" t="str">
        <v/>
      </c>
      <c r="AI22" t="str">
        <v>24/09/2026 09:11:37</v>
      </c>
      <c r="AJ22" t="str">
        <v>09:11:37</v>
      </c>
      <c r="AK22" t="str">
        <v/>
      </c>
    </row>
    <row r="23">
      <c r="A23">
        <v>22</v>
      </c>
      <c r="B23" t="str">
        <v>MASS BSF</v>
      </c>
      <c r="C23" t="str">
        <v>F2F-768</v>
      </c>
      <c r="D23" t="str">
        <v>F2F-768</v>
      </c>
      <c r="E23" t="str">
        <v/>
      </c>
      <c r="F23" t="str">
        <v>867162029832136</v>
      </c>
      <c r="G23" t="str">
        <v/>
      </c>
      <c r="H23" t="str">
        <v/>
      </c>
      <c r="I23" t="str">
        <v>24/09/2026</v>
      </c>
      <c r="J23" t="str">
        <v>09:14:25</v>
      </c>
      <c r="K23">
        <v>-12.325951</v>
      </c>
      <c r="L23">
        <v>-76.824814</v>
      </c>
      <c r="M23">
        <f>HYPERLINK("https://www.google.com/maps/search/?api=1&amp;query=-12.325951,-76.824814","Carretera Panamericana Sur, Punta Hermosa, Lima")</f>
      </c>
      <c r="N23" t="str">
        <v>Excedió el límite de velocidad</v>
      </c>
      <c r="O23">
        <v>2779.3</v>
      </c>
      <c r="P23" t="str">
        <v/>
      </c>
      <c r="Q23">
        <v>84.4</v>
      </c>
      <c r="R23">
        <v>102.23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100</v>
      </c>
      <c r="AA23" t="str">
        <v>24/09/2026</v>
      </c>
      <c r="AB23" t="str">
        <v>09:14:24</v>
      </c>
      <c r="AC23">
        <f>IF("ONLINE"="NOGPS","GPS Antiguo","En línea")</f>
      </c>
      <c r="AD23">
        <f>IF(0=0,"Sin atender", IF(0=1,"Atendida","Atendida y Reportada"))</f>
      </c>
      <c r="AE23" t="str">
        <v/>
      </c>
      <c r="AF23" t="str">
        <v/>
      </c>
      <c r="AG23" t="str">
        <v/>
      </c>
      <c r="AH23" t="str">
        <v/>
      </c>
      <c r="AI23" t="str">
        <v>24/09/2026 09:14:38</v>
      </c>
      <c r="AJ23" t="str">
        <v>09:14:38</v>
      </c>
      <c r="AK23" t="str">
        <v/>
      </c>
    </row>
    <row r="24">
      <c r="A24">
        <v>23</v>
      </c>
      <c r="B24" t="str">
        <v>MASS BSF</v>
      </c>
      <c r="C24" t="str">
        <v>F2F-768</v>
      </c>
      <c r="D24" t="str">
        <v>F2F-768</v>
      </c>
      <c r="E24" t="str">
        <v/>
      </c>
      <c r="F24" t="str">
        <v>867162029832136</v>
      </c>
      <c r="G24" t="str">
        <v/>
      </c>
      <c r="H24" t="str">
        <v/>
      </c>
      <c r="I24" t="str">
        <v>24/09/2026</v>
      </c>
      <c r="J24" t="str">
        <v>09:21:10</v>
      </c>
      <c r="K24">
        <v>-12.317344</v>
      </c>
      <c r="L24">
        <v>-76.8229</v>
      </c>
      <c r="M24">
        <f>HYPERLINK("https://www.google.com/maps/search/?api=1&amp;query=-12.317344,-76.8229","Punta Hermosa, Lima")</f>
      </c>
      <c r="N24" t="str">
        <v>Vehículo apagado</v>
      </c>
      <c r="O24">
        <v>2781.4</v>
      </c>
      <c r="P24" t="str">
        <v/>
      </c>
      <c r="Q24">
        <v>0</v>
      </c>
      <c r="R24">
        <v>103.45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100</v>
      </c>
      <c r="AA24" t="str">
        <v>24/09/2026</v>
      </c>
      <c r="AB24" t="str">
        <v>09:21:14</v>
      </c>
      <c r="AC24">
        <f>IF("ONLINE"="NOGPS","GPS Antiguo","En línea")</f>
      </c>
      <c r="AD24">
        <f>IF(0=0,"Sin atender", IF(0=1,"Atendida","Atendida y Reportada"))</f>
      </c>
      <c r="AE24" t="str">
        <v/>
      </c>
      <c r="AF24" t="str">
        <v/>
      </c>
      <c r="AG24" t="str">
        <v/>
      </c>
      <c r="AH24" t="str">
        <v/>
      </c>
      <c r="AI24" t="str">
        <v>24/09/2026 09:21:35</v>
      </c>
      <c r="AJ24" t="str">
        <v>09:21:35</v>
      </c>
      <c r="AK24" t="str">
        <v/>
      </c>
    </row>
    <row r="25">
      <c r="A25">
        <v>24</v>
      </c>
      <c r="B25" t="str">
        <v>MASS BSF</v>
      </c>
      <c r="C25" t="str">
        <v>F2F-768</v>
      </c>
      <c r="D25" t="str">
        <v>F2F-768</v>
      </c>
      <c r="E25" t="str">
        <v/>
      </c>
      <c r="F25" t="str">
        <v>867162029832136</v>
      </c>
      <c r="G25" t="str">
        <v/>
      </c>
      <c r="H25" t="str">
        <v/>
      </c>
      <c r="I25" t="str">
        <v>24/09/2026</v>
      </c>
      <c r="J25" t="str">
        <v>09:36:23</v>
      </c>
      <c r="K25">
        <v>-12.317344</v>
      </c>
      <c r="L25">
        <v>-76.8229</v>
      </c>
      <c r="M25">
        <f>HYPERLINK("https://www.google.com/maps/search/?api=1&amp;query=-12.317344,-76.8229","Punta Hermosa, Lima")</f>
      </c>
      <c r="N25" t="str">
        <v>Vehículo encendido</v>
      </c>
      <c r="O25">
        <v>2781.4</v>
      </c>
      <c r="P25" t="str">
        <v/>
      </c>
      <c r="Q25">
        <v>0</v>
      </c>
      <c r="R25">
        <v>103.45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100</v>
      </c>
      <c r="AA25" t="str">
        <v>24/09/2026</v>
      </c>
      <c r="AB25" t="str">
        <v>09:21:14</v>
      </c>
      <c r="AC25">
        <f>IF("NOGPS"="NOGPS","GPS Antiguo","En línea")</f>
      </c>
      <c r="AD25">
        <f>IF(0=0,"Sin atender", IF(0=1,"Atendida","Atendida y Reportada"))</f>
      </c>
      <c r="AE25" t="str">
        <v/>
      </c>
      <c r="AF25" t="str">
        <v/>
      </c>
      <c r="AG25" t="str">
        <v/>
      </c>
      <c r="AH25" t="str">
        <v/>
      </c>
      <c r="AI25" t="str">
        <v>24/09/2026 09:36:29</v>
      </c>
      <c r="AJ25" t="str">
        <v>09:36:29</v>
      </c>
      <c r="AK25" t="str">
        <v/>
      </c>
    </row>
    <row r="26">
      <c r="A26">
        <v>25</v>
      </c>
      <c r="B26" t="str">
        <v>MASS BSF</v>
      </c>
      <c r="C26" t="str">
        <v>F2F-768</v>
      </c>
      <c r="D26" t="str">
        <v>F2F-768</v>
      </c>
      <c r="E26" t="str">
        <v/>
      </c>
      <c r="F26" t="str">
        <v>867162029832136</v>
      </c>
      <c r="G26" t="str">
        <v/>
      </c>
      <c r="H26" t="str">
        <v/>
      </c>
      <c r="I26" t="str">
        <v>24/09/2026</v>
      </c>
      <c r="J26" t="str">
        <v>09:38:45</v>
      </c>
      <c r="K26">
        <v>-12.317777</v>
      </c>
      <c r="L26">
        <v>-76.82432</v>
      </c>
      <c r="M26">
        <f>HYPERLINK("https://www.google.com/maps/search/?api=1&amp;query=-12.317777,-76.82432","Punta Hermosa, Lima")</f>
      </c>
      <c r="N26" t="str">
        <v>Vehículo apagado</v>
      </c>
      <c r="O26">
        <v>2781.7</v>
      </c>
      <c r="P26" t="str">
        <v/>
      </c>
      <c r="Q26">
        <v>0</v>
      </c>
      <c r="R26">
        <v>103.48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100</v>
      </c>
      <c r="AA26" t="str">
        <v>24/09/2026</v>
      </c>
      <c r="AB26" t="str">
        <v>09:38:47</v>
      </c>
      <c r="AC26">
        <f>IF("ONLINE"="NOGPS","GPS Antiguo","En línea")</f>
      </c>
      <c r="AD26">
        <f>IF(0=0,"Sin atender", IF(0=1,"Atendida","Atendida y Reportada"))</f>
      </c>
      <c r="AE26" t="str">
        <v/>
      </c>
      <c r="AF26" t="str">
        <v/>
      </c>
      <c r="AG26" t="str">
        <v/>
      </c>
      <c r="AH26" t="str">
        <v/>
      </c>
      <c r="AI26" t="str">
        <v>24/09/2026 09:39:08</v>
      </c>
      <c r="AJ26" t="str">
        <v>09:39:08</v>
      </c>
      <c r="AK26" t="str">
        <v/>
      </c>
    </row>
    <row r="27">
      <c r="A27">
        <v>26</v>
      </c>
      <c r="B27" t="str">
        <v>MASS BSF</v>
      </c>
      <c r="C27" t="str">
        <v>F2F-768</v>
      </c>
      <c r="D27" t="str">
        <v>F2F-768</v>
      </c>
      <c r="E27" t="str">
        <v/>
      </c>
      <c r="F27" t="str">
        <v>867162029832136</v>
      </c>
      <c r="G27" t="str">
        <v/>
      </c>
      <c r="H27" t="str">
        <v/>
      </c>
      <c r="I27" t="str">
        <v>24/09/2026</v>
      </c>
      <c r="J27" t="str">
        <v>10:46:35</v>
      </c>
      <c r="K27">
        <v>-12.317777</v>
      </c>
      <c r="L27">
        <v>-76.82432</v>
      </c>
      <c r="M27">
        <f>HYPERLINK("https://www.google.com/maps/search/?api=1&amp;query=-12.317777,-76.82432","Punta Hermosa, Lima")</f>
      </c>
      <c r="N27" t="str">
        <v>Vehículo encendido</v>
      </c>
      <c r="O27">
        <v>2781.7</v>
      </c>
      <c r="P27" t="str">
        <v/>
      </c>
      <c r="Q27">
        <v>0</v>
      </c>
      <c r="R27">
        <v>103.48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100</v>
      </c>
      <c r="AA27" t="str">
        <v>24/09/2026</v>
      </c>
      <c r="AB27" t="str">
        <v>10:36:17</v>
      </c>
      <c r="AC27">
        <f>IF("NOGPS"="NOGPS","GPS Antiguo","En línea")</f>
      </c>
      <c r="AD27">
        <f>IF(0=0,"Sin atender", IF(0=1,"Atendida","Atendida y Reportada"))</f>
      </c>
      <c r="AE27" t="str">
        <v/>
      </c>
      <c r="AF27" t="str">
        <v/>
      </c>
      <c r="AG27" t="str">
        <v/>
      </c>
      <c r="AH27" t="str">
        <v/>
      </c>
      <c r="AI27" t="str">
        <v>24/09/2026 10:46:57</v>
      </c>
      <c r="AJ27" t="str">
        <v>10:46:57</v>
      </c>
      <c r="AK27" t="str">
        <v/>
      </c>
    </row>
    <row r="28">
      <c r="A28">
        <v>27</v>
      </c>
      <c r="B28" t="str">
        <v>MASS BSF</v>
      </c>
      <c r="C28" t="str">
        <v>F2F-768</v>
      </c>
      <c r="D28" t="str">
        <v>F2F-768</v>
      </c>
      <c r="E28" t="str">
        <v/>
      </c>
      <c r="F28" t="str">
        <v>867162029832136</v>
      </c>
      <c r="G28" t="str">
        <v/>
      </c>
      <c r="H28" t="str">
        <v/>
      </c>
      <c r="I28" t="str">
        <v>24/09/2026</v>
      </c>
      <c r="J28" t="str">
        <v>10:51:37</v>
      </c>
      <c r="K28">
        <v>-12.317939</v>
      </c>
      <c r="L28">
        <v>-76.82433</v>
      </c>
      <c r="M28">
        <f>HYPERLINK("https://www.google.com/maps/search/?api=1&amp;query=-12.317939,-76.82433","Punta Hermosa, Lima")</f>
      </c>
      <c r="N28" t="str">
        <v>Vehículo apagado</v>
      </c>
      <c r="O28">
        <v>2781.7</v>
      </c>
      <c r="P28" t="str">
        <v/>
      </c>
      <c r="Q28">
        <v>0</v>
      </c>
      <c r="R28">
        <v>103.57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100</v>
      </c>
      <c r="AA28" t="str">
        <v>24/09/2026</v>
      </c>
      <c r="AB28" t="str">
        <v>10:50:32</v>
      </c>
      <c r="AC28">
        <f>IF("ONLINE"="NOGPS","GPS Antiguo","En línea")</f>
      </c>
      <c r="AD28">
        <f>IF(0=0,"Sin atender", IF(0=1,"Atendida","Atendida y Reportada"))</f>
      </c>
      <c r="AE28" t="str">
        <v/>
      </c>
      <c r="AF28" t="str">
        <v/>
      </c>
      <c r="AG28" t="str">
        <v/>
      </c>
      <c r="AH28" t="str">
        <v/>
      </c>
      <c r="AI28" t="str">
        <v>24/09/2026 10:51:54</v>
      </c>
      <c r="AJ28" t="str">
        <v>10:51:54</v>
      </c>
      <c r="AK28" t="str">
        <v/>
      </c>
    </row>
    <row r="29">
      <c r="A29">
        <v>28</v>
      </c>
      <c r="B29" t="str">
        <v>MASS BSF</v>
      </c>
      <c r="C29" t="str">
        <v>F2F-768</v>
      </c>
      <c r="D29" t="str">
        <v>F2F-768</v>
      </c>
      <c r="E29" t="str">
        <v/>
      </c>
      <c r="F29" t="str">
        <v>867162029832136</v>
      </c>
      <c r="G29" t="str">
        <v/>
      </c>
      <c r="H29" t="str">
        <v/>
      </c>
      <c r="I29" t="str">
        <v>24/09/2026</v>
      </c>
      <c r="J29" t="str">
        <v>11:56:41</v>
      </c>
      <c r="K29">
        <v>-12.317939</v>
      </c>
      <c r="L29">
        <v>-76.82433</v>
      </c>
      <c r="M29">
        <f>HYPERLINK("https://www.google.com/maps/search/?api=1&amp;query=-12.317939,-76.82433","Punta Hermosa, Lima")</f>
      </c>
      <c r="N29" t="str">
        <v>Vehículo encendido</v>
      </c>
      <c r="O29">
        <v>2781.7</v>
      </c>
      <c r="P29" t="str">
        <v/>
      </c>
      <c r="Q29">
        <v>0</v>
      </c>
      <c r="R29">
        <v>103.57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100</v>
      </c>
      <c r="AA29" t="str">
        <v>24/09/2026</v>
      </c>
      <c r="AB29" t="str">
        <v>11:49:11</v>
      </c>
      <c r="AC29">
        <f>IF("NOGPS"="NOGPS","GPS Antiguo","En línea")</f>
      </c>
      <c r="AD29">
        <f>IF(0=0,"Sin atender", IF(0=1,"Atendida","Atendida y Reportada"))</f>
      </c>
      <c r="AE29" t="str">
        <v/>
      </c>
      <c r="AF29" t="str">
        <v/>
      </c>
      <c r="AG29" t="str">
        <v/>
      </c>
      <c r="AH29" t="str">
        <v/>
      </c>
      <c r="AI29" t="str">
        <v>24/09/2026 11:57:01</v>
      </c>
      <c r="AJ29" t="str">
        <v>11:57:01</v>
      </c>
      <c r="AK29" t="str">
        <v/>
      </c>
    </row>
    <row r="30">
      <c r="A30">
        <v>29</v>
      </c>
      <c r="B30" t="str">
        <v>MASS BSF</v>
      </c>
      <c r="C30" t="str">
        <v>F2F-768</v>
      </c>
      <c r="D30" t="str">
        <v>F2F-768</v>
      </c>
      <c r="E30" t="str">
        <v/>
      </c>
      <c r="F30" t="str">
        <v>867162029832136</v>
      </c>
      <c r="G30" t="str">
        <v/>
      </c>
      <c r="H30" t="str">
        <v/>
      </c>
      <c r="I30" t="str">
        <v>24/09/2026</v>
      </c>
      <c r="J30" t="str">
        <v>11:56:55</v>
      </c>
      <c r="K30">
        <v>-12.317939</v>
      </c>
      <c r="L30">
        <v>-76.82433</v>
      </c>
      <c r="M30">
        <f>HYPERLINK("https://www.google.com/maps/search/?api=1&amp;query=-12.317939,-76.82433","Punta Hermosa, Lima")</f>
      </c>
      <c r="N30" t="str">
        <v>Vehículo apagado</v>
      </c>
      <c r="O30">
        <v>2781.7</v>
      </c>
      <c r="P30" t="str">
        <v/>
      </c>
      <c r="Q30">
        <v>0</v>
      </c>
      <c r="R30">
        <v>103.57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100</v>
      </c>
      <c r="AA30" t="str">
        <v>24/09/2026</v>
      </c>
      <c r="AB30" t="str">
        <v>11:49:11</v>
      </c>
      <c r="AC30">
        <f>IF("NOGPS"="NOGPS","GPS Antiguo","En línea")</f>
      </c>
      <c r="AD30">
        <f>IF(0=0,"Sin atender", IF(0=1,"Atendida","Atendida y Reportada"))</f>
      </c>
      <c r="AE30" t="str">
        <v/>
      </c>
      <c r="AF30" t="str">
        <v/>
      </c>
      <c r="AG30" t="str">
        <v/>
      </c>
      <c r="AH30" t="str">
        <v/>
      </c>
      <c r="AI30" t="str">
        <v>24/09/2026 11:57:07</v>
      </c>
      <c r="AJ30" t="str">
        <v>11:57:07</v>
      </c>
      <c r="AK30" t="str">
        <v/>
      </c>
    </row>
    <row r="31">
      <c r="A31">
        <v>30</v>
      </c>
      <c r="B31" t="str">
        <v>MASS BSF</v>
      </c>
      <c r="C31" t="str">
        <v>F2F-768</v>
      </c>
      <c r="D31" t="str">
        <v>F2F-768</v>
      </c>
      <c r="E31" t="str">
        <v/>
      </c>
      <c r="F31" t="str">
        <v>867162029832136</v>
      </c>
      <c r="G31" t="str">
        <v/>
      </c>
      <c r="H31" t="str">
        <v/>
      </c>
      <c r="I31" t="str">
        <v>24/09/2026</v>
      </c>
      <c r="J31" t="str">
        <v>12:02:10</v>
      </c>
      <c r="K31">
        <v>-12.317849</v>
      </c>
      <c r="L31">
        <v>-76.8242</v>
      </c>
      <c r="M31">
        <f>HYPERLINK("https://www.google.com/maps/search/?api=1&amp;query=-12.317849,-76.8242","Punta Hermosa, Lima")</f>
      </c>
      <c r="N31" t="str">
        <v>Vehículo encendido</v>
      </c>
      <c r="O31">
        <v>2781.7</v>
      </c>
      <c r="P31" t="str">
        <v/>
      </c>
      <c r="Q31">
        <v>0</v>
      </c>
      <c r="R31">
        <v>103.57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v>100</v>
      </c>
      <c r="AA31" t="str">
        <v>24/09/2026</v>
      </c>
      <c r="AB31" t="str">
        <v>11:56:57</v>
      </c>
      <c r="AC31">
        <f>IF("NOGPS"="NOGPS","GPS Antiguo","En línea")</f>
      </c>
      <c r="AD31">
        <f>IF(0=0,"Sin atender", IF(0=1,"Atendida","Atendida y Reportada"))</f>
      </c>
      <c r="AE31" t="str">
        <v/>
      </c>
      <c r="AF31" t="str">
        <v/>
      </c>
      <c r="AG31" t="str">
        <v/>
      </c>
      <c r="AH31" t="str">
        <v/>
      </c>
      <c r="AI31" t="str">
        <v>24/09/2026 12:02:23</v>
      </c>
      <c r="AJ31" t="str">
        <v>12:02:23</v>
      </c>
      <c r="AK31" t="str">
        <v/>
      </c>
    </row>
    <row r="32">
      <c r="A32">
        <v>31</v>
      </c>
      <c r="B32" t="str">
        <v>MASS BSF</v>
      </c>
      <c r="C32" t="str">
        <v>F2F-768</v>
      </c>
      <c r="D32" t="str">
        <v>F2F-768</v>
      </c>
      <c r="E32" t="str">
        <v/>
      </c>
      <c r="F32" t="str">
        <v>867162029832136</v>
      </c>
      <c r="G32" t="str">
        <v/>
      </c>
      <c r="H32" t="str">
        <v/>
      </c>
      <c r="I32" t="str">
        <v>24/09/2026</v>
      </c>
      <c r="J32" t="str">
        <v>12:12:35</v>
      </c>
      <c r="K32">
        <v>-12.297199</v>
      </c>
      <c r="L32">
        <v>-76.85525</v>
      </c>
      <c r="M32">
        <f>HYPERLINK("https://www.google.com/maps/search/?api=1&amp;query=-12.297199,-76.85525","Carretera Panamericana Sur, Lurín, Lima")</f>
      </c>
      <c r="N32" t="str">
        <v>Excedió el límite de velocidad</v>
      </c>
      <c r="O32">
        <v>2786.2</v>
      </c>
      <c r="P32" t="str">
        <v/>
      </c>
      <c r="Q32">
        <v>82.3</v>
      </c>
      <c r="R32">
        <v>103.57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100</v>
      </c>
      <c r="AA32" t="str">
        <v>24/09/2026</v>
      </c>
      <c r="AB32" t="str">
        <v>12:12:34</v>
      </c>
      <c r="AC32">
        <f>IF("ONLINE"="NOGPS","GPS Antiguo","En línea")</f>
      </c>
      <c r="AD32">
        <f>IF(0=0,"Sin atender", IF(0=1,"Atendida","Atendida y Reportada"))</f>
      </c>
      <c r="AE32" t="str">
        <v/>
      </c>
      <c r="AF32" t="str">
        <v/>
      </c>
      <c r="AG32" t="str">
        <v/>
      </c>
      <c r="AH32" t="str">
        <v/>
      </c>
      <c r="AI32" t="str">
        <v>24/09/2026 12:12:52</v>
      </c>
      <c r="AJ32" t="str">
        <v>12:12:52</v>
      </c>
      <c r="AK32" t="str">
        <v/>
      </c>
    </row>
    <row r="33">
      <c r="A33">
        <v>32</v>
      </c>
      <c r="B33" t="str">
        <v>MASS BSF</v>
      </c>
      <c r="C33" t="str">
        <v>F2F-768</v>
      </c>
      <c r="D33" t="str">
        <v>F2F-768</v>
      </c>
      <c r="E33" t="str">
        <v/>
      </c>
      <c r="F33" t="str">
        <v>867162029832136</v>
      </c>
      <c r="G33" t="str">
        <v/>
      </c>
      <c r="H33" t="str">
        <v/>
      </c>
      <c r="I33" t="str">
        <v>24/09/2026</v>
      </c>
      <c r="J33" t="str">
        <v>12:46:17</v>
      </c>
      <c r="K33">
        <v>-12.199797</v>
      </c>
      <c r="L33">
        <v>-76.927055</v>
      </c>
      <c r="M33">
        <f>HYPERLINK("https://www.google.com/maps/search/?api=1&amp;query=-12.199797,-76.927055","Avenida Unión, Villa María del Triunfo, Lima")</f>
      </c>
      <c r="N33" t="str">
        <v>Vehículo apagado</v>
      </c>
      <c r="O33">
        <v>2804.1</v>
      </c>
      <c r="P33" t="str">
        <v/>
      </c>
      <c r="Q33">
        <v>0</v>
      </c>
      <c r="R33">
        <v>104.3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v>100</v>
      </c>
      <c r="AA33" t="str">
        <v>24/09/2026</v>
      </c>
      <c r="AB33" t="str">
        <v>12:45:10</v>
      </c>
      <c r="AC33">
        <f>IF("ONLINE"="NOGPS","GPS Antiguo","En línea")</f>
      </c>
      <c r="AD33">
        <f>IF(0=0,"Sin atender", IF(0=1,"Atendida","Atendida y Reportada"))</f>
      </c>
      <c r="AE33" t="str">
        <v/>
      </c>
      <c r="AF33" t="str">
        <v/>
      </c>
      <c r="AG33" t="str">
        <v/>
      </c>
      <c r="AH33" t="str">
        <v/>
      </c>
      <c r="AI33" t="str">
        <v>24/09/2026 12:46:27</v>
      </c>
      <c r="AJ33" t="str">
        <v>12:46:27</v>
      </c>
      <c r="AK33" t="str">
        <v/>
      </c>
    </row>
    <row r="34">
      <c r="A34">
        <v>33</v>
      </c>
      <c r="B34" t="str">
        <v>MASS BSF</v>
      </c>
      <c r="C34" t="str">
        <v>F2F-768</v>
      </c>
      <c r="D34" t="str">
        <v>F2F-768</v>
      </c>
      <c r="E34" t="str">
        <v/>
      </c>
      <c r="F34" t="str">
        <v>867162029832136</v>
      </c>
      <c r="G34" t="str">
        <v/>
      </c>
      <c r="H34" t="str">
        <v/>
      </c>
      <c r="I34" t="str">
        <v>24/09/2026</v>
      </c>
      <c r="J34" t="str">
        <v>13:09:08</v>
      </c>
      <c r="K34">
        <v>-12.199797</v>
      </c>
      <c r="L34">
        <v>-76.927055</v>
      </c>
      <c r="M34">
        <f>HYPERLINK("https://www.google.com/maps/search/?api=1&amp;query=-12.199797,-76.927055","Avenida Unión, Villa María del Triunfo, Lima")</f>
      </c>
      <c r="N34" t="str">
        <v>Vehículo encendido</v>
      </c>
      <c r="O34">
        <v>2804.1</v>
      </c>
      <c r="P34" t="str">
        <v/>
      </c>
      <c r="Q34">
        <v>0</v>
      </c>
      <c r="R34">
        <v>104.3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v>100</v>
      </c>
      <c r="AA34" t="str">
        <v>24/09/2026</v>
      </c>
      <c r="AB34" t="str">
        <v>12:46:21</v>
      </c>
      <c r="AC34">
        <f>IF("NOGPS"="NOGPS","GPS Antiguo","En línea")</f>
      </c>
      <c r="AD34">
        <f>IF(0=0,"Sin atender", IF(0=1,"Atendida","Atendida y Reportada"))</f>
      </c>
      <c r="AE34" t="str">
        <v/>
      </c>
      <c r="AF34" t="str">
        <v/>
      </c>
      <c r="AG34" t="str">
        <v/>
      </c>
      <c r="AH34" t="str">
        <v/>
      </c>
      <c r="AI34" t="str">
        <v>24/09/2026 13:09:17</v>
      </c>
      <c r="AJ34" t="str">
        <v>13:09:17</v>
      </c>
      <c r="AK34" t="str">
        <v/>
      </c>
    </row>
    <row r="35">
      <c r="A35">
        <v>34</v>
      </c>
      <c r="B35" t="str">
        <v>MASS BSF</v>
      </c>
      <c r="C35" t="str">
        <v>F2F-768</v>
      </c>
      <c r="D35" t="str">
        <v>F2F-768</v>
      </c>
      <c r="E35" t="str">
        <v/>
      </c>
      <c r="F35" t="str">
        <v>867162029832136</v>
      </c>
      <c r="G35" t="str">
        <v/>
      </c>
      <c r="H35" t="str">
        <v/>
      </c>
      <c r="I35" t="str">
        <v>24/09/2026</v>
      </c>
      <c r="J35" t="str">
        <v>13:19:33</v>
      </c>
      <c r="K35">
        <v>-12.189641</v>
      </c>
      <c r="L35">
        <v>-76.92271</v>
      </c>
      <c r="M35">
        <f>HYPERLINK("https://www.google.com/maps/search/?api=1&amp;query=-12.189641,-76.92271","Jirón Ayacucho, Villa María del Triunfo, Lima")</f>
      </c>
      <c r="N35" t="str">
        <v>Vehículo apagado</v>
      </c>
      <c r="O35">
        <v>2806</v>
      </c>
      <c r="P35" t="str">
        <v/>
      </c>
      <c r="Q35">
        <v>11.8</v>
      </c>
      <c r="R35">
        <v>104.47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100</v>
      </c>
      <c r="AA35" t="str">
        <v>24/09/2026</v>
      </c>
      <c r="AB35" t="str">
        <v>13:19:05</v>
      </c>
      <c r="AC35">
        <f>IF("ONLINE"="NOGPS","GPS Antiguo","En línea")</f>
      </c>
      <c r="AD35">
        <f>IF(0=0,"Sin atender", IF(0=1,"Atendida","Atendida y Reportada"))</f>
      </c>
      <c r="AE35" t="str">
        <v/>
      </c>
      <c r="AF35" t="str">
        <v/>
      </c>
      <c r="AG35" t="str">
        <v/>
      </c>
      <c r="AH35" t="str">
        <v/>
      </c>
      <c r="AI35" t="str">
        <v>24/09/2026 13:19:50</v>
      </c>
      <c r="AJ35" t="str">
        <v>13:19:50</v>
      </c>
      <c r="AK35" t="str">
        <v/>
      </c>
    </row>
    <row r="36">
      <c r="A36">
        <v>35</v>
      </c>
      <c r="B36" t="str">
        <v>MASS BSF</v>
      </c>
      <c r="C36" t="str">
        <v>F2F-768</v>
      </c>
      <c r="D36" t="str">
        <v>F2F-768</v>
      </c>
      <c r="E36" t="str">
        <v/>
      </c>
      <c r="F36" t="str">
        <v>867162029832136</v>
      </c>
      <c r="G36" t="str">
        <v/>
      </c>
      <c r="H36" t="str">
        <v/>
      </c>
      <c r="I36" t="str">
        <v>24/09/2026</v>
      </c>
      <c r="J36" t="str">
        <v>13:31:57</v>
      </c>
      <c r="K36">
        <v>-12.189795</v>
      </c>
      <c r="L36">
        <v>-76.922615</v>
      </c>
      <c r="M36">
        <f>HYPERLINK("https://www.google.com/maps/search/?api=1&amp;query=-12.189795,-76.922615","Jirón Ayacucho, Villa María del Triunfo, Lima")</f>
      </c>
      <c r="N36" t="str">
        <v>Vehículo encendido</v>
      </c>
      <c r="O36">
        <v>2806</v>
      </c>
      <c r="P36" t="str">
        <v/>
      </c>
      <c r="Q36">
        <v>0</v>
      </c>
      <c r="R36">
        <v>104.47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100</v>
      </c>
      <c r="AA36" t="str">
        <v>24/09/2026</v>
      </c>
      <c r="AB36" t="str">
        <v>13:19:37</v>
      </c>
      <c r="AC36">
        <f>IF("NOGPS"="NOGPS","GPS Antiguo","En línea")</f>
      </c>
      <c r="AD36">
        <f>IF(0=0,"Sin atender", IF(0=1,"Atendida","Atendida y Reportada"))</f>
      </c>
      <c r="AE36" t="str">
        <v/>
      </c>
      <c r="AF36" t="str">
        <v/>
      </c>
      <c r="AG36" t="str">
        <v/>
      </c>
      <c r="AH36" t="str">
        <v/>
      </c>
      <c r="AI36" t="str">
        <v>24/09/2026 13:32:08</v>
      </c>
      <c r="AJ36" t="str">
        <v>13:32:08</v>
      </c>
      <c r="AK36" t="str">
        <v/>
      </c>
    </row>
    <row r="37">
      <c r="A37">
        <v>36</v>
      </c>
      <c r="B37" t="str">
        <v>MASS BSF</v>
      </c>
      <c r="C37" t="str">
        <v>F2F-768</v>
      </c>
      <c r="D37" t="str">
        <v>F2F-768</v>
      </c>
      <c r="E37" t="str">
        <v/>
      </c>
      <c r="F37" t="str">
        <v>867162029832136</v>
      </c>
      <c r="G37" t="str">
        <v/>
      </c>
      <c r="H37" t="str">
        <v/>
      </c>
      <c r="I37" t="str">
        <v>24/09/2026</v>
      </c>
      <c r="J37" t="str">
        <v>13:37:19</v>
      </c>
      <c r="K37">
        <v>-12.181204</v>
      </c>
      <c r="L37">
        <v>-76.92585</v>
      </c>
      <c r="M37">
        <f>HYPERLINK("https://www.google.com/maps/search/?api=1&amp;query=-12.181204,-76.92585","Avenida Los Incas, Villa María del Triunfo, Lima")</f>
      </c>
      <c r="N37" t="str">
        <v>Vehículo apagado</v>
      </c>
      <c r="O37">
        <v>2807.1</v>
      </c>
      <c r="P37" t="str">
        <v/>
      </c>
      <c r="Q37">
        <v>0</v>
      </c>
      <c r="R37">
        <v>104.55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v>100</v>
      </c>
      <c r="AA37" t="str">
        <v>24/09/2026</v>
      </c>
      <c r="AB37" t="str">
        <v>13:37:22</v>
      </c>
      <c r="AC37">
        <f>IF("ONLINE"="NOGPS","GPS Antiguo","En línea")</f>
      </c>
      <c r="AD37">
        <f>IF(0=0,"Sin atender", IF(0=1,"Atendida","Atendida y Reportada"))</f>
      </c>
      <c r="AE37" t="str">
        <v/>
      </c>
      <c r="AF37" t="str">
        <v/>
      </c>
      <c r="AG37" t="str">
        <v/>
      </c>
      <c r="AH37" t="str">
        <v/>
      </c>
      <c r="AI37" t="str">
        <v>24/09/2026 13:37:52</v>
      </c>
      <c r="AJ37" t="str">
        <v>13:37:52</v>
      </c>
      <c r="AK37" t="str">
        <v/>
      </c>
    </row>
    <row r="38">
      <c r="A38">
        <v>37</v>
      </c>
      <c r="B38" t="str">
        <v>MASS BSF</v>
      </c>
      <c r="C38" t="str">
        <v>F2F-768</v>
      </c>
      <c r="D38" t="str">
        <v>F2F-768</v>
      </c>
      <c r="E38" t="str">
        <v/>
      </c>
      <c r="F38" t="str">
        <v>867162029832136</v>
      </c>
      <c r="G38" t="str">
        <v/>
      </c>
      <c r="H38" t="str">
        <v/>
      </c>
      <c r="I38" t="str">
        <v>24/09/2026</v>
      </c>
      <c r="J38" t="str">
        <v>14:02:45</v>
      </c>
      <c r="K38">
        <v>-12.181204</v>
      </c>
      <c r="L38">
        <v>-76.92585</v>
      </c>
      <c r="M38">
        <f>HYPERLINK("https://www.google.com/maps/search/?api=1&amp;query=-12.181204,-76.92585","Avenida Los Incas, Villa María del Triunfo, Lima")</f>
      </c>
      <c r="N38" t="str">
        <v>Vehículo encendido</v>
      </c>
      <c r="O38">
        <v>2807.1</v>
      </c>
      <c r="P38" t="str">
        <v/>
      </c>
      <c r="Q38">
        <v>0</v>
      </c>
      <c r="R38">
        <v>104.55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v>100</v>
      </c>
      <c r="AA38" t="str">
        <v>24/09/2026</v>
      </c>
      <c r="AB38" t="str">
        <v>13:37:22</v>
      </c>
      <c r="AC38">
        <f>IF("NOGPS"="NOGPS","GPS Antiguo","En línea")</f>
      </c>
      <c r="AD38">
        <f>IF(0=0,"Sin atender", IF(0=1,"Atendida","Atendida y Reportada"))</f>
      </c>
      <c r="AE38" t="str">
        <v/>
      </c>
      <c r="AF38" t="str">
        <v/>
      </c>
      <c r="AG38" t="str">
        <v/>
      </c>
      <c r="AH38" t="str">
        <v/>
      </c>
      <c r="AI38" t="str">
        <v>24/09/2026 14:03:04</v>
      </c>
      <c r="AJ38" t="str">
        <v>14:03:04</v>
      </c>
      <c r="AK38" t="str">
        <v/>
      </c>
    </row>
    <row r="39">
      <c r="A39">
        <v>38</v>
      </c>
      <c r="B39" t="str">
        <v>MASS BSF</v>
      </c>
      <c r="C39" t="str">
        <v>F2F-768</v>
      </c>
      <c r="D39" t="str">
        <v>F2F-768</v>
      </c>
      <c r="E39" t="str">
        <v/>
      </c>
      <c r="F39" t="str">
        <v>867162029832136</v>
      </c>
      <c r="G39" t="str">
        <v/>
      </c>
      <c r="H39" t="str">
        <v/>
      </c>
      <c r="I39" t="str">
        <v>24/09/2026</v>
      </c>
      <c r="J39" t="str">
        <v>14:02:49</v>
      </c>
      <c r="K39">
        <v>-12.181204</v>
      </c>
      <c r="L39">
        <v>-76.92585</v>
      </c>
      <c r="M39">
        <f>HYPERLINK("https://www.google.com/maps/search/?api=1&amp;query=-12.181204,-76.92585","Avenida Los Incas, Villa María del Triunfo, Lima")</f>
      </c>
      <c r="N39" t="str">
        <v>Vehículo apagado</v>
      </c>
      <c r="O39">
        <v>2807.1</v>
      </c>
      <c r="P39" t="str">
        <v/>
      </c>
      <c r="Q39">
        <v>0</v>
      </c>
      <c r="R39">
        <v>104.55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v>100</v>
      </c>
      <c r="AA39" t="str">
        <v>24/09/2026</v>
      </c>
      <c r="AB39" t="str">
        <v>13:37:22</v>
      </c>
      <c r="AC39">
        <f>IF("NOGPS"="NOGPS","GPS Antiguo","En línea")</f>
      </c>
      <c r="AD39">
        <f>IF(0=0,"Sin atender", IF(0=1,"Atendida","Atendida y Reportada"))</f>
      </c>
      <c r="AE39" t="str">
        <v/>
      </c>
      <c r="AF39" t="str">
        <v/>
      </c>
      <c r="AG39" t="str">
        <v/>
      </c>
      <c r="AH39" t="str">
        <v/>
      </c>
      <c r="AI39" t="str">
        <v>24/09/2026 14:02:56</v>
      </c>
      <c r="AJ39" t="str">
        <v>14:02:56</v>
      </c>
      <c r="AK39" t="str">
        <v/>
      </c>
    </row>
    <row r="40">
      <c r="A40">
        <v>39</v>
      </c>
      <c r="B40" t="str">
        <v>MASS BSF</v>
      </c>
      <c r="C40" t="str">
        <v>F2F-768</v>
      </c>
      <c r="D40" t="str">
        <v>F2F-768</v>
      </c>
      <c r="E40" t="str">
        <v/>
      </c>
      <c r="F40" t="str">
        <v>867162029832136</v>
      </c>
      <c r="G40" t="str">
        <v/>
      </c>
      <c r="H40" t="str">
        <v/>
      </c>
      <c r="I40" t="str">
        <v>24/09/2026</v>
      </c>
      <c r="J40" t="str">
        <v>14:03:13</v>
      </c>
      <c r="K40">
        <v>-12.18114</v>
      </c>
      <c r="L40">
        <v>-76.92592</v>
      </c>
      <c r="M40">
        <f>HYPERLINK("https://www.google.com/maps/search/?api=1&amp;query=-12.18114,-76.92592","Avenida Los Incas, Villa María del Triunfo, Lima")</f>
      </c>
      <c r="N40" t="str">
        <v>Vehículo encendido</v>
      </c>
      <c r="O40">
        <v>2807.1</v>
      </c>
      <c r="P40" t="str">
        <v/>
      </c>
      <c r="Q40">
        <v>0</v>
      </c>
      <c r="R40">
        <v>104.55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v>100</v>
      </c>
      <c r="AA40" t="str">
        <v>24/09/2026</v>
      </c>
      <c r="AB40" t="str">
        <v>14:02:53</v>
      </c>
      <c r="AC40">
        <f>IF("ONLINE"="NOGPS","GPS Antiguo","En línea")</f>
      </c>
      <c r="AD40">
        <f>IF(0=0,"Sin atender", IF(0=1,"Atendida","Atendida y Reportada"))</f>
      </c>
      <c r="AE40" t="str">
        <v/>
      </c>
      <c r="AF40" t="str">
        <v/>
      </c>
      <c r="AG40" t="str">
        <v/>
      </c>
      <c r="AH40" t="str">
        <v/>
      </c>
      <c r="AI40" t="str">
        <v>24/09/2026 14:03:21</v>
      </c>
      <c r="AJ40" t="str">
        <v>14:03:21</v>
      </c>
      <c r="AK40" t="str">
        <v/>
      </c>
    </row>
    <row r="41">
      <c r="A41">
        <v>40</v>
      </c>
      <c r="B41" t="str">
        <v>MASS BSF</v>
      </c>
      <c r="C41" t="str">
        <v>F2F-768</v>
      </c>
      <c r="D41" t="str">
        <v>F2F-768</v>
      </c>
      <c r="E41" t="str">
        <v/>
      </c>
      <c r="F41" t="str">
        <v>867162029832136</v>
      </c>
      <c r="G41" t="str">
        <v/>
      </c>
      <c r="H41" t="str">
        <v/>
      </c>
      <c r="I41" t="str">
        <v>24/09/2026</v>
      </c>
      <c r="J41" t="str">
        <v>14:03:16</v>
      </c>
      <c r="K41">
        <v>-12.181162</v>
      </c>
      <c r="L41">
        <v>-76.92588</v>
      </c>
      <c r="M41">
        <f>HYPERLINK("https://www.google.com/maps/search/?api=1&amp;query=-12.181162,-76.92588","Avenida Los Incas, Villa María del Triunfo, Lima")</f>
      </c>
      <c r="N41" t="str">
        <v>Vehículo apagado</v>
      </c>
      <c r="O41">
        <v>2807.2</v>
      </c>
      <c r="P41" t="str">
        <v/>
      </c>
      <c r="Q41">
        <v>0</v>
      </c>
      <c r="R41">
        <v>104.55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100</v>
      </c>
      <c r="AA41" t="str">
        <v>24/09/2026</v>
      </c>
      <c r="AB41" t="str">
        <v>14:03:20</v>
      </c>
      <c r="AC41">
        <f>IF("ONLINE"="NOGPS","GPS Antiguo","En línea")</f>
      </c>
      <c r="AD41">
        <f>IF(0=0,"Sin atender", IF(0=1,"Atendida","Atendida y Reportada"))</f>
      </c>
      <c r="AE41" t="str">
        <v/>
      </c>
      <c r="AF41" t="str">
        <v/>
      </c>
      <c r="AG41" t="str">
        <v/>
      </c>
      <c r="AH41" t="str">
        <v/>
      </c>
      <c r="AI41" t="str">
        <v>24/09/2026 14:03:39</v>
      </c>
      <c r="AJ41" t="str">
        <v>14:03:39</v>
      </c>
      <c r="AK41" t="str">
        <v/>
      </c>
    </row>
    <row r="42">
      <c r="A42">
        <v>41</v>
      </c>
      <c r="B42" t="str">
        <v>MASS BSF</v>
      </c>
      <c r="C42" t="str">
        <v>F2F-768</v>
      </c>
      <c r="D42" t="str">
        <v>F2F-768</v>
      </c>
      <c r="E42" t="str">
        <v/>
      </c>
      <c r="F42" t="str">
        <v>867162029832136</v>
      </c>
      <c r="G42" t="str">
        <v/>
      </c>
      <c r="H42" t="str">
        <v/>
      </c>
      <c r="I42" t="str">
        <v>24/09/2026</v>
      </c>
      <c r="J42" t="str">
        <v>14:03:58</v>
      </c>
      <c r="K42">
        <v>-12.181205</v>
      </c>
      <c r="L42">
        <v>-76.925865</v>
      </c>
      <c r="M42">
        <f>HYPERLINK("https://www.google.com/maps/search/?api=1&amp;query=-12.181205,-76.925865","Avenida Los Incas, Villa María del Triunfo, Lima")</f>
      </c>
      <c r="N42" t="str">
        <v>Vehículo encendido</v>
      </c>
      <c r="O42">
        <v>2807.2</v>
      </c>
      <c r="P42" t="str">
        <v/>
      </c>
      <c r="Q42">
        <v>0</v>
      </c>
      <c r="R42">
        <v>104.55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v>100</v>
      </c>
      <c r="AA42" t="str">
        <v>24/09/2026</v>
      </c>
      <c r="AB42" t="str">
        <v>14:04:03</v>
      </c>
      <c r="AC42">
        <f>IF("ONLINE"="NOGPS","GPS Antiguo","En línea")</f>
      </c>
      <c r="AD42">
        <f>IF(0=0,"Sin atender", IF(0=1,"Atendida","Atendida y Reportada"))</f>
      </c>
      <c r="AE42" t="str">
        <v/>
      </c>
      <c r="AF42" t="str">
        <v/>
      </c>
      <c r="AG42" t="str">
        <v/>
      </c>
      <c r="AH42" t="str">
        <v/>
      </c>
      <c r="AI42" t="str">
        <v>24/09/2026 14:04:24</v>
      </c>
      <c r="AJ42" t="str">
        <v>14:04:24</v>
      </c>
      <c r="AK42" t="str">
        <v/>
      </c>
    </row>
    <row r="43">
      <c r="A43">
        <v>42</v>
      </c>
      <c r="B43" t="str">
        <v>MASS BSF</v>
      </c>
      <c r="C43" t="str">
        <v>F2F-768</v>
      </c>
      <c r="D43" t="str">
        <v>F2F-768</v>
      </c>
      <c r="E43" t="str">
        <v/>
      </c>
      <c r="F43" t="str">
        <v>867162029832136</v>
      </c>
      <c r="G43" t="str">
        <v/>
      </c>
      <c r="H43" t="str">
        <v/>
      </c>
      <c r="I43" t="str">
        <v>24/09/2026</v>
      </c>
      <c r="J43" t="str">
        <v>14:04:00</v>
      </c>
      <c r="K43">
        <v>-12.181162</v>
      </c>
      <c r="L43">
        <v>-76.92588</v>
      </c>
      <c r="M43">
        <f>HYPERLINK("https://www.google.com/maps/search/?api=1&amp;query=-12.181162,-76.92588","Avenida Los Incas, Villa María del Triunfo, Lima")</f>
      </c>
      <c r="N43" t="str">
        <v>Vehículo apagado</v>
      </c>
      <c r="O43">
        <v>2807.2</v>
      </c>
      <c r="P43" t="str">
        <v/>
      </c>
      <c r="Q43">
        <v>0</v>
      </c>
      <c r="R43">
        <v>104.55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100</v>
      </c>
      <c r="AA43" t="str">
        <v>24/09/2026</v>
      </c>
      <c r="AB43" t="str">
        <v>14:03:20</v>
      </c>
      <c r="AC43">
        <f>IF("ONLINE"="NOGPS","GPS Antiguo","En línea")</f>
      </c>
      <c r="AD43">
        <f>IF(0=0,"Sin atender", IF(0=1,"Atendida","Atendida y Reportada"))</f>
      </c>
      <c r="AE43" t="str">
        <v/>
      </c>
      <c r="AF43" t="str">
        <v/>
      </c>
      <c r="AG43" t="str">
        <v/>
      </c>
      <c r="AH43" t="str">
        <v/>
      </c>
      <c r="AI43" t="str">
        <v>24/09/2026 14:04:13</v>
      </c>
      <c r="AJ43" t="str">
        <v>14:04:13</v>
      </c>
      <c r="AK43" t="str">
        <v/>
      </c>
    </row>
    <row r="44">
      <c r="A44">
        <v>43</v>
      </c>
      <c r="B44" t="str">
        <v>MASS BSF</v>
      </c>
      <c r="C44" t="str">
        <v>F2F-768</v>
      </c>
      <c r="D44" t="str">
        <v>F2F-768</v>
      </c>
      <c r="E44" t="str">
        <v/>
      </c>
      <c r="F44" t="str">
        <v>867162029832136</v>
      </c>
      <c r="G44" t="str">
        <v/>
      </c>
      <c r="H44" t="str">
        <v/>
      </c>
      <c r="I44" t="str">
        <v>24/09/2026</v>
      </c>
      <c r="J44" t="str">
        <v>14:04:20</v>
      </c>
      <c r="K44">
        <v>-12.181205</v>
      </c>
      <c r="L44">
        <v>-76.925865</v>
      </c>
      <c r="M44">
        <f>HYPERLINK("https://www.google.com/maps/search/?api=1&amp;query=-12.181205,-76.925865","Avenida Los Incas, Villa María del Triunfo, Lima")</f>
      </c>
      <c r="N44" t="str">
        <v>Vehículo encendido</v>
      </c>
      <c r="O44">
        <v>2807.2</v>
      </c>
      <c r="P44" t="str">
        <v/>
      </c>
      <c r="Q44">
        <v>0</v>
      </c>
      <c r="R44">
        <v>104.55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v>100</v>
      </c>
      <c r="AA44" t="str">
        <v>24/09/2026</v>
      </c>
      <c r="AB44" t="str">
        <v>14:04:03</v>
      </c>
      <c r="AC44">
        <f>IF("ONLINE"="NOGPS","GPS Antiguo","En línea")</f>
      </c>
      <c r="AD44">
        <f>IF(0=0,"Sin atender", IF(0=1,"Atendida","Atendida y Reportada"))</f>
      </c>
      <c r="AE44" t="str">
        <v/>
      </c>
      <c r="AF44" t="str">
        <v/>
      </c>
      <c r="AG44" t="str">
        <v/>
      </c>
      <c r="AH44" t="str">
        <v/>
      </c>
      <c r="AI44" t="str">
        <v>24/09/2026 14:04:33</v>
      </c>
      <c r="AJ44" t="str">
        <v>14:04:33</v>
      </c>
      <c r="AK44" t="str">
        <v/>
      </c>
    </row>
    <row r="45">
      <c r="A45">
        <v>44</v>
      </c>
      <c r="B45" t="str">
        <v>MASS BSF</v>
      </c>
      <c r="C45" t="str">
        <v>F2F-768</v>
      </c>
      <c r="D45" t="str">
        <v>F2F-768</v>
      </c>
      <c r="E45" t="str">
        <v/>
      </c>
      <c r="F45" t="str">
        <v>867162029832136</v>
      </c>
      <c r="G45" t="str">
        <v/>
      </c>
      <c r="H45" t="str">
        <v/>
      </c>
      <c r="I45" t="str">
        <v>24/09/2026</v>
      </c>
      <c r="J45" t="str">
        <v>14:12:17</v>
      </c>
      <c r="K45">
        <v>-12.193385</v>
      </c>
      <c r="L45">
        <v>-76.926636</v>
      </c>
      <c r="M45">
        <f>HYPERLINK("https://www.google.com/maps/search/?api=1&amp;query=-12.193385,-76.926636","Avenida La Mariscala, Villa María del Triunfo, Lima")</f>
      </c>
      <c r="N45" t="str">
        <v>Vehículo apagado</v>
      </c>
      <c r="O45">
        <v>2808.9</v>
      </c>
      <c r="P45" t="str">
        <v/>
      </c>
      <c r="Q45">
        <v>0</v>
      </c>
      <c r="R45">
        <v>104.68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100</v>
      </c>
      <c r="AA45" t="str">
        <v>24/09/2026</v>
      </c>
      <c r="AB45" t="str">
        <v>14:12:21</v>
      </c>
      <c r="AC45">
        <f>IF("ONLINE"="NOGPS","GPS Antiguo","En línea")</f>
      </c>
      <c r="AD45">
        <f>IF(0=0,"Sin atender", IF(0=1,"Atendida","Atendida y Reportada"))</f>
      </c>
      <c r="AE45" t="str">
        <v/>
      </c>
      <c r="AF45" t="str">
        <v/>
      </c>
      <c r="AG45" t="str">
        <v/>
      </c>
      <c r="AH45" t="str">
        <v/>
      </c>
      <c r="AI45" t="str">
        <v>24/09/2026 14:12:28</v>
      </c>
      <c r="AJ45" t="str">
        <v>14:12:28</v>
      </c>
      <c r="AK45" t="str">
        <v/>
      </c>
    </row>
    <row r="46">
      <c r="A46">
        <v>45</v>
      </c>
      <c r="B46" t="str">
        <v>MASS BSF</v>
      </c>
      <c r="C46" t="str">
        <v>F2F-768</v>
      </c>
      <c r="D46" t="str">
        <v>F2F-768</v>
      </c>
      <c r="E46" t="str">
        <v/>
      </c>
      <c r="F46" t="str">
        <v>867162029832136</v>
      </c>
      <c r="G46" t="str">
        <v/>
      </c>
      <c r="H46" t="str">
        <v/>
      </c>
      <c r="I46" t="str">
        <v>24/09/2026</v>
      </c>
      <c r="J46" t="str">
        <v>14:28:42</v>
      </c>
      <c r="K46">
        <v>-12.193385</v>
      </c>
      <c r="L46">
        <v>-76.926636</v>
      </c>
      <c r="M46">
        <f>HYPERLINK("https://www.google.com/maps/search/?api=1&amp;query=-12.193385,-76.926636","Avenida La Mariscala, Villa María del Triunfo, Lima")</f>
      </c>
      <c r="N46" t="str">
        <v>Vehículo encendido</v>
      </c>
      <c r="O46">
        <v>2808.9</v>
      </c>
      <c r="P46" t="str">
        <v/>
      </c>
      <c r="Q46">
        <v>0</v>
      </c>
      <c r="R46">
        <v>104.68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100</v>
      </c>
      <c r="AA46" t="str">
        <v>24/09/2026</v>
      </c>
      <c r="AB46" t="str">
        <v>14:12:21</v>
      </c>
      <c r="AC46">
        <f>IF("NOGPS"="NOGPS","GPS Antiguo","En línea")</f>
      </c>
      <c r="AD46">
        <f>IF(0=0,"Sin atender", IF(0=1,"Atendida","Atendida y Reportada"))</f>
      </c>
      <c r="AE46" t="str">
        <v/>
      </c>
      <c r="AF46" t="str">
        <v/>
      </c>
      <c r="AG46" t="str">
        <v/>
      </c>
      <c r="AH46" t="str">
        <v/>
      </c>
      <c r="AI46" t="str">
        <v>24/09/2026 14:30:56</v>
      </c>
      <c r="AJ46" t="str">
        <v>14:30:56</v>
      </c>
      <c r="AK46" t="str">
        <v/>
      </c>
    </row>
    <row r="47">
      <c r="A47">
        <v>46</v>
      </c>
      <c r="B47" t="str">
        <v>MASS BSF</v>
      </c>
      <c r="C47" t="str">
        <v>F2F-768</v>
      </c>
      <c r="D47" t="str">
        <v>F2F-768</v>
      </c>
      <c r="E47" t="str">
        <v/>
      </c>
      <c r="F47" t="str">
        <v>867162029832136</v>
      </c>
      <c r="G47" t="str">
        <v/>
      </c>
      <c r="H47" t="str">
        <v/>
      </c>
      <c r="I47" t="str">
        <v>24/09/2026</v>
      </c>
      <c r="J47" t="str">
        <v>14:29:56</v>
      </c>
      <c r="K47">
        <v>-12.193374</v>
      </c>
      <c r="L47">
        <v>-76.92666</v>
      </c>
      <c r="M47">
        <f>HYPERLINK("https://www.google.com/maps/search/?api=1&amp;query=-12.193374,-76.92666","Avenida La Mariscala, Villa María del Triunfo, Lima")</f>
      </c>
      <c r="N47" t="str">
        <v>Vehículo apagado</v>
      </c>
      <c r="O47">
        <v>2808.9</v>
      </c>
      <c r="P47" t="str">
        <v/>
      </c>
      <c r="Q47">
        <v>0.9</v>
      </c>
      <c r="R47">
        <v>104.7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100</v>
      </c>
      <c r="AA47" t="str">
        <v>24/09/2026</v>
      </c>
      <c r="AB47" t="str">
        <v>14:28:48</v>
      </c>
      <c r="AC47">
        <f>IF("ONLINE"="NOGPS","GPS Antiguo","En línea")</f>
      </c>
      <c r="AD47">
        <f>IF(0=0,"Sin atender", IF(0=1,"Atendida","Atendida y Reportada"))</f>
      </c>
      <c r="AE47" t="str">
        <v/>
      </c>
      <c r="AF47" t="str">
        <v/>
      </c>
      <c r="AG47" t="str">
        <v/>
      </c>
      <c r="AH47" t="str">
        <v/>
      </c>
      <c r="AI47" t="str">
        <v>24/09/2026 14:30:52</v>
      </c>
      <c r="AJ47" t="str">
        <v>14:30:52</v>
      </c>
      <c r="AK47" t="str">
        <v/>
      </c>
    </row>
    <row r="48">
      <c r="A48">
        <v>47</v>
      </c>
      <c r="B48" t="str">
        <v>MASS BSF</v>
      </c>
      <c r="C48" t="str">
        <v>F2F-768</v>
      </c>
      <c r="D48" t="str">
        <v>F2F-768</v>
      </c>
      <c r="E48" t="str">
        <v/>
      </c>
      <c r="F48" t="str">
        <v>867162029832136</v>
      </c>
      <c r="G48" t="str">
        <v/>
      </c>
      <c r="H48" t="str">
        <v/>
      </c>
      <c r="I48" t="str">
        <v>24/09/2026</v>
      </c>
      <c r="J48" t="str">
        <v>14:56:27</v>
      </c>
      <c r="K48">
        <v>-12.193406</v>
      </c>
      <c r="L48">
        <v>-76.92677</v>
      </c>
      <c r="M48">
        <f>HYPERLINK("https://www.google.com/maps/search/?api=1&amp;query=-12.193406,-76.92677","Avenida La Mariscala, Villa María del Triunfo, Lima")</f>
      </c>
      <c r="N48" t="str">
        <v>Vehículo encendido</v>
      </c>
      <c r="O48">
        <v>2808.9</v>
      </c>
      <c r="P48" t="str">
        <v/>
      </c>
      <c r="Q48">
        <v>0</v>
      </c>
      <c r="R48">
        <v>104.7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v>100</v>
      </c>
      <c r="AA48" t="str">
        <v>24/09/2026</v>
      </c>
      <c r="AB48" t="str">
        <v>14:29:59</v>
      </c>
      <c r="AC48">
        <f>IF("NOGPS"="NOGPS","GPS Antiguo","En línea")</f>
      </c>
      <c r="AD48">
        <f>IF(0=0,"Sin atender", IF(0=1,"Atendida","Atendida y Reportada"))</f>
      </c>
      <c r="AE48" t="str">
        <v/>
      </c>
      <c r="AF48" t="str">
        <v/>
      </c>
      <c r="AG48" t="str">
        <v/>
      </c>
      <c r="AH48" t="str">
        <v/>
      </c>
      <c r="AI48" t="str">
        <v>24/09/2026 14:56:48</v>
      </c>
      <c r="AJ48" t="str">
        <v>14:56:48</v>
      </c>
      <c r="AK48" t="str">
        <v/>
      </c>
    </row>
    <row r="49">
      <c r="A49">
        <v>48</v>
      </c>
      <c r="B49" t="str">
        <v>MASS BSF</v>
      </c>
      <c r="C49" t="str">
        <v>F2F-768</v>
      </c>
      <c r="D49" t="str">
        <v>F2F-768</v>
      </c>
      <c r="E49" t="str">
        <v/>
      </c>
      <c r="F49" t="str">
        <v>867162029832136</v>
      </c>
      <c r="G49" t="str">
        <v/>
      </c>
      <c r="H49" t="str">
        <v/>
      </c>
      <c r="I49" t="str">
        <v>24/09/2026</v>
      </c>
      <c r="J49" t="str">
        <v>15:01:31</v>
      </c>
      <c r="K49">
        <v>-12.193314</v>
      </c>
      <c r="L49">
        <v>-76.927055</v>
      </c>
      <c r="M49">
        <f>HYPERLINK("https://www.google.com/maps/search/?api=1&amp;query=-12.193314,-76.927055","Jirón Ramón Castilla, Villa María del Triunfo, Lima")</f>
      </c>
      <c r="N49" t="str">
        <v>Vehículo apagado</v>
      </c>
      <c r="O49">
        <v>2809</v>
      </c>
      <c r="P49" t="str">
        <v/>
      </c>
      <c r="Q49">
        <v>0</v>
      </c>
      <c r="R49">
        <v>104.78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v>100</v>
      </c>
      <c r="AA49" t="str">
        <v>24/09/2026</v>
      </c>
      <c r="AB49" t="str">
        <v>15:01:33</v>
      </c>
      <c r="AC49">
        <f>IF("ONLINE"="NOGPS","GPS Antiguo","En línea")</f>
      </c>
      <c r="AD49">
        <f>IF(0=0,"Sin atender", IF(0=1,"Atendida","Atendida y Reportada"))</f>
      </c>
      <c r="AE49" t="str">
        <v/>
      </c>
      <c r="AF49" t="str">
        <v/>
      </c>
      <c r="AG49" t="str">
        <v/>
      </c>
      <c r="AH49" t="str">
        <v/>
      </c>
      <c r="AI49" t="str">
        <v>24/09/2026 15:01:45</v>
      </c>
      <c r="AJ49" t="str">
        <v>15:01:45</v>
      </c>
      <c r="AK49" t="str">
        <v/>
      </c>
    </row>
  </sheetData>
  <ignoredErrors>
    <ignoredError numberStoredAsText="1" sqref="A1:AK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