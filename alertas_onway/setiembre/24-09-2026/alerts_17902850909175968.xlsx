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F3I-769</v>
      </c>
      <c r="D2" t="str">
        <v>F3I-769</v>
      </c>
      <c r="E2" t="str">
        <v/>
      </c>
      <c r="F2" t="str">
        <v>867806075758377</v>
      </c>
      <c r="G2" t="str">
        <v>TBD</v>
      </c>
      <c r="H2" t="str">
        <v/>
      </c>
      <c r="I2" t="str">
        <v/>
      </c>
      <c r="J2" t="str">
        <v>24/09/2026</v>
      </c>
      <c r="K2" t="str">
        <v>05:02:30</v>
      </c>
      <c r="L2">
        <v>-12.193327</v>
      </c>
      <c r="M2">
        <v>-76.92703</v>
      </c>
      <c r="N2">
        <f>HYPERLINK("https://www.google.com/maps/search/?api=1&amp;query=-12.193327,-76.92703","Avenida La Mariscala, Villa María del Triunfo, Lima")</f>
      </c>
      <c r="O2" t="str">
        <v>Vehículo encendido</v>
      </c>
      <c r="P2">
        <v>1363</v>
      </c>
      <c r="Q2" t="str">
        <v/>
      </c>
      <c r="R2">
        <v>0</v>
      </c>
      <c r="S2">
        <v>50.4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84</v>
      </c>
      <c r="AB2" t="str">
        <v>24/09/2026</v>
      </c>
      <c r="AC2" t="str">
        <v>05:02:27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05:03:13</v>
      </c>
      <c r="AK2" t="str">
        <v>05:03:13</v>
      </c>
      <c r="AL2" t="str">
        <v/>
      </c>
    </row>
    <row r="3">
      <c r="A3">
        <v>2</v>
      </c>
      <c r="B3" t="str">
        <v>MASS BSF</v>
      </c>
      <c r="C3" t="str">
        <v>F3I-769</v>
      </c>
      <c r="D3" t="str">
        <v>F3I-769</v>
      </c>
      <c r="E3" t="str">
        <v/>
      </c>
      <c r="F3" t="str">
        <v>867806075758377</v>
      </c>
      <c r="G3" t="str">
        <v>TBD</v>
      </c>
      <c r="H3" t="str">
        <v/>
      </c>
      <c r="I3" t="str">
        <v/>
      </c>
      <c r="J3" t="str">
        <v>24/09/2026</v>
      </c>
      <c r="K3" t="str">
        <v>05:03:21</v>
      </c>
      <c r="L3">
        <v>-12.19336</v>
      </c>
      <c r="M3">
        <v>-76.92723</v>
      </c>
      <c r="N3">
        <f>HYPERLINK("https://www.google.com/maps/search/?api=1&amp;query=-12.19336,-76.92723","Jirón Ramón Castilla, Villa María del Triunfo, Lima")</f>
      </c>
      <c r="O3" t="str">
        <v>Se movio</v>
      </c>
      <c r="P3">
        <v>1363.1</v>
      </c>
      <c r="Q3" t="str">
        <v/>
      </c>
      <c r="R3">
        <v>4.8</v>
      </c>
      <c r="S3">
        <v>50.4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90</v>
      </c>
      <c r="AB3" t="str">
        <v>24/09/2026</v>
      </c>
      <c r="AC3" t="str">
        <v>05:03:17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05:03:38</v>
      </c>
      <c r="AK3" t="str">
        <v>05:03:38</v>
      </c>
      <c r="AL3" t="str">
        <v/>
      </c>
    </row>
    <row r="4">
      <c r="A4">
        <v>3</v>
      </c>
      <c r="B4" t="str">
        <v>MASS BSF</v>
      </c>
      <c r="C4" t="str">
        <v>F3I-769</v>
      </c>
      <c r="D4" t="str">
        <v>F3I-769</v>
      </c>
      <c r="E4" t="str">
        <v/>
      </c>
      <c r="F4" t="str">
        <v>867806075758377</v>
      </c>
      <c r="G4" t="str">
        <v>TBD</v>
      </c>
      <c r="H4" t="str">
        <v/>
      </c>
      <c r="I4" t="str">
        <v/>
      </c>
      <c r="J4" t="str">
        <v>24/09/2026</v>
      </c>
      <c r="K4" t="str">
        <v>05:05:34</v>
      </c>
      <c r="L4">
        <v>-12.19477</v>
      </c>
      <c r="M4">
        <v>-76.93178</v>
      </c>
      <c r="N4">
        <f>HYPERLINK("https://www.google.com/maps/search/?api=1&amp;query=-12.19477,-76.93178","Jirón Independencia, Villa María del Triunfo, Lima")</f>
      </c>
      <c r="O4" t="str">
        <v>Bache</v>
      </c>
      <c r="P4">
        <v>1363.7</v>
      </c>
      <c r="Q4" t="str">
        <v/>
      </c>
      <c r="R4">
        <v>7.7</v>
      </c>
      <c r="S4">
        <v>50.4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83</v>
      </c>
      <c r="AB4" t="str">
        <v>24/09/2026</v>
      </c>
      <c r="AC4" t="str">
        <v>05:05:30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05:05:44</v>
      </c>
      <c r="AK4" t="str">
        <v>05:05:44</v>
      </c>
      <c r="AL4" t="str">
        <v/>
      </c>
    </row>
    <row r="5">
      <c r="A5">
        <v>4</v>
      </c>
      <c r="B5" t="str">
        <v>MASS BSF</v>
      </c>
      <c r="C5" t="str">
        <v>F3I-769</v>
      </c>
      <c r="D5" t="str">
        <v>F3I-769</v>
      </c>
      <c r="E5" t="str">
        <v/>
      </c>
      <c r="F5" t="str">
        <v>867806075758377</v>
      </c>
      <c r="G5" t="str">
        <v>TBD</v>
      </c>
      <c r="H5" t="str">
        <v/>
      </c>
      <c r="I5" t="str">
        <v/>
      </c>
      <c r="J5" t="str">
        <v>24/09/2026</v>
      </c>
      <c r="K5" t="str">
        <v>05:06:26</v>
      </c>
      <c r="L5">
        <v>-12.196397</v>
      </c>
      <c r="M5">
        <v>-76.933716</v>
      </c>
      <c r="N5">
        <f>HYPERLINK("https://www.google.com/maps/search/?api=1&amp;query=-12.196397,-76.933716","Avenida Mariscal Andrés Avelino Cáceres, Villa María del Triunfo, Lima")</f>
      </c>
      <c r="O5" t="str">
        <v>Frenado y giro brusco</v>
      </c>
      <c r="P5">
        <v>1364</v>
      </c>
      <c r="Q5" t="str">
        <v/>
      </c>
      <c r="R5">
        <v>14.8</v>
      </c>
      <c r="S5">
        <v>50.4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83</v>
      </c>
      <c r="AB5" t="str">
        <v>24/09/2026</v>
      </c>
      <c r="AC5" t="str">
        <v>05:06:22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05:07:00</v>
      </c>
      <c r="AK5" t="str">
        <v>05:07:00</v>
      </c>
      <c r="AL5" t="str">
        <v/>
      </c>
    </row>
    <row r="6">
      <c r="A6">
        <v>5</v>
      </c>
      <c r="B6" t="str">
        <v>MASS BSF</v>
      </c>
      <c r="C6" t="str">
        <v>F3I-769</v>
      </c>
      <c r="D6" t="str">
        <v>F3I-769</v>
      </c>
      <c r="E6" t="str">
        <v/>
      </c>
      <c r="F6" t="str">
        <v>867806075758377</v>
      </c>
      <c r="G6" t="str">
        <v>TBD</v>
      </c>
      <c r="H6" t="str">
        <v/>
      </c>
      <c r="I6" t="str">
        <v/>
      </c>
      <c r="J6" t="str">
        <v>24/09/2026</v>
      </c>
      <c r="K6" t="str">
        <v>05:10:29</v>
      </c>
      <c r="L6">
        <v>-12.205773</v>
      </c>
      <c r="M6">
        <v>-76.92855</v>
      </c>
      <c r="N6">
        <f>HYPERLINK("https://www.google.com/maps/search/?api=1&amp;query=-12.205773,-76.92855","Avenida Pachacútec, Villa María del Triunfo, Lima")</f>
      </c>
      <c r="O6" t="str">
        <v>Aceleración brusca</v>
      </c>
      <c r="P6">
        <v>1365.2</v>
      </c>
      <c r="Q6" t="str">
        <v/>
      </c>
      <c r="R6">
        <v>4.8</v>
      </c>
      <c r="S6">
        <v>50.4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83</v>
      </c>
      <c r="AB6" t="str">
        <v>24/09/2026</v>
      </c>
      <c r="AC6" t="str">
        <v>05:10:25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05:10:53</v>
      </c>
      <c r="AK6" t="str">
        <v>05:10:53</v>
      </c>
      <c r="AL6" t="str">
        <v/>
      </c>
    </row>
    <row r="7">
      <c r="A7">
        <v>6</v>
      </c>
      <c r="B7" t="str">
        <v>MASS BSF</v>
      </c>
      <c r="C7" t="str">
        <v>F3I-769</v>
      </c>
      <c r="D7" t="str">
        <v>F3I-769</v>
      </c>
      <c r="E7" t="str">
        <v/>
      </c>
      <c r="F7" t="str">
        <v>867806075758377</v>
      </c>
      <c r="G7" t="str">
        <v>TBD</v>
      </c>
      <c r="H7" t="str">
        <v/>
      </c>
      <c r="I7" t="str">
        <v/>
      </c>
      <c r="J7" t="str">
        <v>24/09/2026</v>
      </c>
      <c r="K7" t="str">
        <v>05:12:14</v>
      </c>
      <c r="L7">
        <v>-12.210883</v>
      </c>
      <c r="M7">
        <v>-76.92484</v>
      </c>
      <c r="N7">
        <f>HYPERLINK("https://www.google.com/maps/search/?api=1&amp;query=-12.210883,-76.92484","Avenida Pachacútec, Villa María del Triunfo, Lima")</f>
      </c>
      <c r="O7" t="str">
        <v>Aceleración brusca</v>
      </c>
      <c r="P7">
        <v>1365.9</v>
      </c>
      <c r="Q7" t="str">
        <v/>
      </c>
      <c r="R7">
        <v>11.8</v>
      </c>
      <c r="S7">
        <v>50.4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83</v>
      </c>
      <c r="AB7" t="str">
        <v>24/09/2026</v>
      </c>
      <c r="AC7" t="str">
        <v>05:12:10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05:12:18</v>
      </c>
      <c r="AK7" t="str">
        <v>05:12:18</v>
      </c>
      <c r="AL7" t="str">
        <v/>
      </c>
    </row>
    <row r="8">
      <c r="A8">
        <v>7</v>
      </c>
      <c r="B8" t="str">
        <v>MASS BSF</v>
      </c>
      <c r="C8" t="str">
        <v>F3I-769</v>
      </c>
      <c r="D8" t="str">
        <v>F3I-769</v>
      </c>
      <c r="E8" t="str">
        <v/>
      </c>
      <c r="F8" t="str">
        <v>867806075758377</v>
      </c>
      <c r="G8" t="str">
        <v>TBD</v>
      </c>
      <c r="H8" t="str">
        <v/>
      </c>
      <c r="I8" t="str">
        <v/>
      </c>
      <c r="J8" t="str">
        <v>24/09/2026</v>
      </c>
      <c r="K8" t="str">
        <v>05:12:15</v>
      </c>
      <c r="L8">
        <v>-12.210927</v>
      </c>
      <c r="M8">
        <v>-76.92481</v>
      </c>
      <c r="N8">
        <f>HYPERLINK("https://www.google.com/maps/search/?api=1&amp;query=-12.210927,-76.92481","Avenida Pachacútec, Villa María del Triunfo, Lima")</f>
      </c>
      <c r="O8" t="str">
        <v>Bache</v>
      </c>
      <c r="P8">
        <v>1365.9</v>
      </c>
      <c r="Q8" t="str">
        <v/>
      </c>
      <c r="R8">
        <v>10.1</v>
      </c>
      <c r="S8">
        <v>50.4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83</v>
      </c>
      <c r="AB8" t="str">
        <v>24/09/2026</v>
      </c>
      <c r="AC8" t="str">
        <v>05:12:12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05:12:33</v>
      </c>
      <c r="AK8" t="str">
        <v>05:12:33</v>
      </c>
      <c r="AL8" t="str">
        <v/>
      </c>
    </row>
    <row r="9">
      <c r="A9">
        <v>8</v>
      </c>
      <c r="B9" t="str">
        <v>MASS BSF</v>
      </c>
      <c r="C9" t="str">
        <v>F3I-769</v>
      </c>
      <c r="D9" t="str">
        <v>F3I-769</v>
      </c>
      <c r="E9" t="str">
        <v/>
      </c>
      <c r="F9" t="str">
        <v>867806075758377</v>
      </c>
      <c r="G9" t="str">
        <v>TBD</v>
      </c>
      <c r="H9" t="str">
        <v/>
      </c>
      <c r="I9" t="str">
        <v/>
      </c>
      <c r="J9" t="str">
        <v>24/09/2026</v>
      </c>
      <c r="K9" t="str">
        <v>05:13:38</v>
      </c>
      <c r="L9">
        <v>-12.220754</v>
      </c>
      <c r="M9">
        <v>-76.92083</v>
      </c>
      <c r="N9">
        <f>HYPERLINK("https://www.google.com/maps/search/?api=1&amp;query=-12.220754,-76.92083","Avenida Pachacútec, Villa El Salvador, Lima")</f>
      </c>
      <c r="O9" t="str">
        <v>Bache</v>
      </c>
      <c r="P9">
        <v>1367.1</v>
      </c>
      <c r="Q9" t="str">
        <v/>
      </c>
      <c r="R9">
        <v>53.3</v>
      </c>
      <c r="S9">
        <v>50.4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83</v>
      </c>
      <c r="AB9" t="str">
        <v>24/09/2026</v>
      </c>
      <c r="AC9" t="str">
        <v>05:13:35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05:13:52</v>
      </c>
      <c r="AK9" t="str">
        <v>05:13:52</v>
      </c>
      <c r="AL9" t="str">
        <v/>
      </c>
    </row>
    <row r="10">
      <c r="A10">
        <v>9</v>
      </c>
      <c r="B10" t="str">
        <v>MASS BSF</v>
      </c>
      <c r="C10" t="str">
        <v>F3I-769</v>
      </c>
      <c r="D10" t="str">
        <v>F3I-769</v>
      </c>
      <c r="E10" t="str">
        <v/>
      </c>
      <c r="F10" t="str">
        <v>867806075758377</v>
      </c>
      <c r="G10" t="str">
        <v>TBD</v>
      </c>
      <c r="H10" t="str">
        <v/>
      </c>
      <c r="I10" t="str">
        <v/>
      </c>
      <c r="J10" t="str">
        <v>24/09/2026</v>
      </c>
      <c r="K10" t="str">
        <v>05:14:38</v>
      </c>
      <c r="L10">
        <v>-12.2252</v>
      </c>
      <c r="M10">
        <v>-76.922134</v>
      </c>
      <c r="N10">
        <f>HYPERLINK("https://www.google.com/maps/search/?api=1&amp;query=-12.2252,-76.922134","Avenida 200 Millas, Villa El Salvador, Lima")</f>
      </c>
      <c r="O10" t="str">
        <v>Aceleración brusca</v>
      </c>
      <c r="P10">
        <v>1367.7</v>
      </c>
      <c r="Q10" t="str">
        <v/>
      </c>
      <c r="R10">
        <v>9.8</v>
      </c>
      <c r="S10">
        <v>50.4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91</v>
      </c>
      <c r="AB10" t="str">
        <v>24/09/2026</v>
      </c>
      <c r="AC10" t="str">
        <v>05:14:35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05:14:46</v>
      </c>
      <c r="AK10" t="str">
        <v>05:14:46</v>
      </c>
      <c r="AL10" t="str">
        <v/>
      </c>
    </row>
    <row r="11">
      <c r="A11">
        <v>10</v>
      </c>
      <c r="B11" t="str">
        <v>MASS BSF</v>
      </c>
      <c r="C11" t="str">
        <v>F3I-769</v>
      </c>
      <c r="D11" t="str">
        <v>F3I-769</v>
      </c>
      <c r="E11" t="str">
        <v/>
      </c>
      <c r="F11" t="str">
        <v>867806075758377</v>
      </c>
      <c r="G11" t="str">
        <v>TBD</v>
      </c>
      <c r="H11" t="str">
        <v/>
      </c>
      <c r="I11" t="str">
        <v/>
      </c>
      <c r="J11" t="str">
        <v>24/09/2026</v>
      </c>
      <c r="K11" t="str">
        <v>05:16:02</v>
      </c>
      <c r="L11">
        <v>-12.23311</v>
      </c>
      <c r="M11">
        <v>-76.91822</v>
      </c>
      <c r="N11">
        <f>HYPERLINK("https://www.google.com/maps/search/?api=1&amp;query=-12.23311,-76.91822","Ovalo Chama, Villa El Salvador, Lima")</f>
      </c>
      <c r="O11" t="str">
        <v>Acelerado y giro brusco</v>
      </c>
      <c r="P11">
        <v>1368.7</v>
      </c>
      <c r="Q11" t="str">
        <v/>
      </c>
      <c r="R11">
        <v>37.9</v>
      </c>
      <c r="S11">
        <v>50.4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91</v>
      </c>
      <c r="AB11" t="str">
        <v>24/09/2026</v>
      </c>
      <c r="AC11" t="str">
        <v>05:15:58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05:16:12</v>
      </c>
      <c r="AK11" t="str">
        <v>05:16:12</v>
      </c>
      <c r="AL11" t="str">
        <v/>
      </c>
    </row>
    <row r="12">
      <c r="A12">
        <v>11</v>
      </c>
      <c r="B12" t="str">
        <v>MASS BSF</v>
      </c>
      <c r="C12" t="str">
        <v>F3I-769</v>
      </c>
      <c r="D12" t="str">
        <v>F3I-769</v>
      </c>
      <c r="E12" t="str">
        <v/>
      </c>
      <c r="F12" t="str">
        <v>867806075758377</v>
      </c>
      <c r="G12" t="str">
        <v>TBD</v>
      </c>
      <c r="H12" t="str">
        <v/>
      </c>
      <c r="I12" t="str">
        <v/>
      </c>
      <c r="J12" t="str">
        <v>24/09/2026</v>
      </c>
      <c r="K12" t="str">
        <v>05:20:18</v>
      </c>
      <c r="L12">
        <v>-12.251853</v>
      </c>
      <c r="M12">
        <v>-76.905365</v>
      </c>
      <c r="N12">
        <f>HYPERLINK("https://www.google.com/maps/search/?api=1&amp;query=-12.251853,-76.905365","Avenida Lima, Lurín")</f>
      </c>
      <c r="O12" t="str">
        <v>Aceleración brusca</v>
      </c>
      <c r="P12">
        <v>1371.3</v>
      </c>
      <c r="Q12" t="str">
        <v/>
      </c>
      <c r="R12">
        <v>12</v>
      </c>
      <c r="S12">
        <v>50.4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89</v>
      </c>
      <c r="AB12" t="str">
        <v>24/09/2026</v>
      </c>
      <c r="AC12" t="str">
        <v>05:20:14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05:20:49</v>
      </c>
      <c r="AK12" t="str">
        <v>05:20:49</v>
      </c>
      <c r="AL12" t="str">
        <v/>
      </c>
    </row>
    <row r="13">
      <c r="A13">
        <v>12</v>
      </c>
      <c r="B13" t="str">
        <v>MASS BSF</v>
      </c>
      <c r="C13" t="str">
        <v>F3I-769</v>
      </c>
      <c r="D13" t="str">
        <v>F3I-769</v>
      </c>
      <c r="E13" t="str">
        <v/>
      </c>
      <c r="F13" t="str">
        <v>867806075758377</v>
      </c>
      <c r="G13" t="str">
        <v>TBD</v>
      </c>
      <c r="H13" t="str">
        <v/>
      </c>
      <c r="I13" t="str">
        <v/>
      </c>
      <c r="J13" t="str">
        <v>24/09/2026</v>
      </c>
      <c r="K13" t="str">
        <v>05:22:00</v>
      </c>
      <c r="L13">
        <v>-12.255074</v>
      </c>
      <c r="M13">
        <v>-76.90817</v>
      </c>
      <c r="N13">
        <f>HYPERLINK("https://www.google.com/maps/search/?api=1&amp;query=-12.255074,-76.90817","Antigua Panamericana Sur, Lurín, Lima")</f>
      </c>
      <c r="O13" t="str">
        <v>Bache</v>
      </c>
      <c r="P13">
        <v>1372</v>
      </c>
      <c r="Q13" t="str">
        <v/>
      </c>
      <c r="R13">
        <v>43.8</v>
      </c>
      <c r="S13">
        <v>50.4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89</v>
      </c>
      <c r="AB13" t="str">
        <v>24/09/2026</v>
      </c>
      <c r="AC13" t="str">
        <v>05:21:56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05:22:11</v>
      </c>
      <c r="AK13" t="str">
        <v>05:22:11</v>
      </c>
      <c r="AL13" t="str">
        <v/>
      </c>
    </row>
    <row r="14">
      <c r="A14">
        <v>13</v>
      </c>
      <c r="B14" t="str">
        <v>MASS BSF</v>
      </c>
      <c r="C14" t="str">
        <v>F3I-769</v>
      </c>
      <c r="D14" t="str">
        <v>F3I-769</v>
      </c>
      <c r="E14" t="str">
        <v/>
      </c>
      <c r="F14" t="str">
        <v>867806075758377</v>
      </c>
      <c r="G14" t="str">
        <v>TBD</v>
      </c>
      <c r="H14" t="str">
        <v/>
      </c>
      <c r="I14" t="str">
        <v/>
      </c>
      <c r="J14" t="str">
        <v>24/09/2026</v>
      </c>
      <c r="K14" t="str">
        <v>05:23:23</v>
      </c>
      <c r="L14">
        <v>-12.254762</v>
      </c>
      <c r="M14">
        <v>-76.91555</v>
      </c>
      <c r="N14">
        <f>HYPERLINK("https://www.google.com/maps/search/?api=1&amp;query=-12.254762,-76.91555","Antigua Panamericana Sur, Lurín, Lima")</f>
      </c>
      <c r="O14" t="str">
        <v>Bache</v>
      </c>
      <c r="P14">
        <v>1372.8</v>
      </c>
      <c r="Q14" t="str">
        <v/>
      </c>
      <c r="R14">
        <v>14.6</v>
      </c>
      <c r="S14">
        <v>50.4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83</v>
      </c>
      <c r="AB14" t="str">
        <v>24/09/2026</v>
      </c>
      <c r="AC14" t="str">
        <v>05:23:19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05:23:38</v>
      </c>
      <c r="AK14" t="str">
        <v>05:23:38</v>
      </c>
      <c r="AL14" t="str">
        <v/>
      </c>
    </row>
    <row r="15">
      <c r="A15">
        <v>14</v>
      </c>
      <c r="B15" t="str">
        <v>MASS BSF</v>
      </c>
      <c r="C15" t="str">
        <v>F3I-769</v>
      </c>
      <c r="D15" t="str">
        <v>F3I-769</v>
      </c>
      <c r="E15" t="str">
        <v/>
      </c>
      <c r="F15" t="str">
        <v>867806075758377</v>
      </c>
      <c r="G15" t="str">
        <v>TBD</v>
      </c>
      <c r="H15" t="str">
        <v/>
      </c>
      <c r="I15" t="str">
        <v/>
      </c>
      <c r="J15" t="str">
        <v>24/09/2026</v>
      </c>
      <c r="K15" t="str">
        <v>05:24:33</v>
      </c>
      <c r="L15">
        <v>-12.254543</v>
      </c>
      <c r="M15">
        <v>-76.92067</v>
      </c>
      <c r="N15">
        <f>HYPERLINK("https://www.google.com/maps/search/?api=1&amp;query=-12.254543,-76.92067","Lurín, Lima")</f>
      </c>
      <c r="O15" t="str">
        <v>Bache</v>
      </c>
      <c r="P15">
        <v>1373.4</v>
      </c>
      <c r="Q15" t="str">
        <v/>
      </c>
      <c r="R15">
        <v>32.9</v>
      </c>
      <c r="S15">
        <v>50.4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89</v>
      </c>
      <c r="AB15" t="str">
        <v>24/09/2026</v>
      </c>
      <c r="AC15" t="str">
        <v>05:24:29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05:24:41</v>
      </c>
      <c r="AK15" t="str">
        <v>05:24:41</v>
      </c>
      <c r="AL15" t="str">
        <v/>
      </c>
    </row>
    <row r="16">
      <c r="A16">
        <v>15</v>
      </c>
      <c r="B16" t="str">
        <v>MASS BSF</v>
      </c>
      <c r="C16" t="str">
        <v>F3I-769</v>
      </c>
      <c r="D16" t="str">
        <v>F3I-769</v>
      </c>
      <c r="E16" t="str">
        <v/>
      </c>
      <c r="F16" t="str">
        <v>867806075758377</v>
      </c>
      <c r="G16" t="str">
        <v>TBD</v>
      </c>
      <c r="H16" t="str">
        <v/>
      </c>
      <c r="I16" t="str">
        <v/>
      </c>
      <c r="J16" t="str">
        <v>24/09/2026</v>
      </c>
      <c r="K16" t="str">
        <v>05:24:43</v>
      </c>
      <c r="L16">
        <v>-12.255345</v>
      </c>
      <c r="M16">
        <v>-76.92108</v>
      </c>
      <c r="N16">
        <f>HYPERLINK("https://www.google.com/maps/search/?api=1&amp;query=-12.255345,-76.92108","Lurín, Lima")</f>
      </c>
      <c r="O16" t="str">
        <v>Bache</v>
      </c>
      <c r="P16">
        <v>1373.5</v>
      </c>
      <c r="Q16" t="str">
        <v/>
      </c>
      <c r="R16">
        <v>37.4</v>
      </c>
      <c r="S16">
        <v>50.4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89</v>
      </c>
      <c r="AB16" t="str">
        <v>24/09/2026</v>
      </c>
      <c r="AC16" t="str">
        <v>05:24:39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05:24:51</v>
      </c>
      <c r="AK16" t="str">
        <v>05:24:51</v>
      </c>
      <c r="AL16" t="str">
        <v/>
      </c>
    </row>
    <row r="17">
      <c r="A17">
        <v>16</v>
      </c>
      <c r="B17" t="str">
        <v>MASS BSF</v>
      </c>
      <c r="C17" t="str">
        <v>F3I-769</v>
      </c>
      <c r="D17" t="str">
        <v>F3I-769</v>
      </c>
      <c r="E17" t="str">
        <v/>
      </c>
      <c r="F17" t="str">
        <v>867806075758377</v>
      </c>
      <c r="G17" t="str">
        <v>TBD</v>
      </c>
      <c r="H17" t="str">
        <v/>
      </c>
      <c r="I17" t="str">
        <v/>
      </c>
      <c r="J17" t="str">
        <v>24/09/2026</v>
      </c>
      <c r="K17" t="str">
        <v>05:24:58</v>
      </c>
      <c r="L17">
        <v>-12.256652</v>
      </c>
      <c r="M17">
        <v>-76.92184</v>
      </c>
      <c r="N17">
        <f>HYPERLINK("https://www.google.com/maps/search/?api=1&amp;query=-12.256652,-76.92184","Lurín, Lima")</f>
      </c>
      <c r="O17" t="str">
        <v>Bache</v>
      </c>
      <c r="P17">
        <v>1373.7</v>
      </c>
      <c r="Q17" t="str">
        <v/>
      </c>
      <c r="R17">
        <v>43.3</v>
      </c>
      <c r="S17">
        <v>50.4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89</v>
      </c>
      <c r="AB17" t="str">
        <v>24/09/2026</v>
      </c>
      <c r="AC17" t="str">
        <v>05:24:54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05:25:08</v>
      </c>
      <c r="AK17" t="str">
        <v>05:25:08</v>
      </c>
      <c r="AL17" t="str">
        <v/>
      </c>
    </row>
    <row r="18">
      <c r="A18">
        <v>17</v>
      </c>
      <c r="B18" t="str">
        <v>MASS BSF</v>
      </c>
      <c r="C18" t="str">
        <v>F3I-769</v>
      </c>
      <c r="D18" t="str">
        <v>F3I-769</v>
      </c>
      <c r="E18" t="str">
        <v/>
      </c>
      <c r="F18" t="str">
        <v>867806075758377</v>
      </c>
      <c r="G18" t="str">
        <v>TBD</v>
      </c>
      <c r="H18" t="str">
        <v/>
      </c>
      <c r="I18" t="str">
        <v/>
      </c>
      <c r="J18" t="str">
        <v>24/09/2026</v>
      </c>
      <c r="K18" t="str">
        <v>05:37:21</v>
      </c>
      <c r="L18">
        <v>-12.334875</v>
      </c>
      <c r="M18">
        <v>-76.81914</v>
      </c>
      <c r="N18">
        <f>HYPERLINK("https://www.google.com/maps/search/?api=1&amp;query=-12.334875,-76.81914","Carretera Panamericana Sur, Punta Hermosa, Lima")</f>
      </c>
      <c r="O18" t="str">
        <v>Bache</v>
      </c>
      <c r="P18">
        <v>1388.5</v>
      </c>
      <c r="Q18" t="str">
        <v/>
      </c>
      <c r="R18">
        <v>57.5</v>
      </c>
      <c r="S18">
        <v>50.4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89</v>
      </c>
      <c r="AB18" t="str">
        <v>24/09/2026</v>
      </c>
      <c r="AC18" t="str">
        <v>05:37:17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05:37:38</v>
      </c>
      <c r="AK18" t="str">
        <v>05:37:38</v>
      </c>
      <c r="AL18" t="str">
        <v/>
      </c>
    </row>
    <row r="19">
      <c r="A19">
        <v>18</v>
      </c>
      <c r="B19" t="str">
        <v>MASS BSF</v>
      </c>
      <c r="C19" t="str">
        <v>F3I-769</v>
      </c>
      <c r="D19" t="str">
        <v>F3I-769</v>
      </c>
      <c r="E19" t="str">
        <v/>
      </c>
      <c r="F19" t="str">
        <v>867806075758377</v>
      </c>
      <c r="G19" t="str">
        <v>TBD</v>
      </c>
      <c r="H19" t="str">
        <v/>
      </c>
      <c r="I19" t="str">
        <v/>
      </c>
      <c r="J19" t="str">
        <v>24/09/2026</v>
      </c>
      <c r="K19" t="str">
        <v>05:41:05</v>
      </c>
      <c r="L19">
        <v>-12.318835</v>
      </c>
      <c r="M19">
        <v>-76.829475</v>
      </c>
      <c r="N19">
        <f>HYPERLINK("https://www.google.com/maps/search/?api=1&amp;query=-12.318835,-76.829475","Carretera Panamericana Sur, Punta Hermosa, Lima")</f>
      </c>
      <c r="O19" t="str">
        <v>Bache</v>
      </c>
      <c r="P19">
        <v>1391</v>
      </c>
      <c r="Q19" t="str">
        <v/>
      </c>
      <c r="R19">
        <v>40.9</v>
      </c>
      <c r="S19">
        <v>50.4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86</v>
      </c>
      <c r="AB19" t="str">
        <v>24/09/2026</v>
      </c>
      <c r="AC19" t="str">
        <v>05:41:01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05:41:20</v>
      </c>
      <c r="AK19" t="str">
        <v>05:41:20</v>
      </c>
      <c r="AL19" t="str">
        <v/>
      </c>
    </row>
    <row r="20">
      <c r="A20">
        <v>19</v>
      </c>
      <c r="B20" t="str">
        <v>MASS BSF</v>
      </c>
      <c r="C20" t="str">
        <v>F3I-769</v>
      </c>
      <c r="D20" t="str">
        <v>F3I-769</v>
      </c>
      <c r="E20" t="str">
        <v/>
      </c>
      <c r="F20" t="str">
        <v>867806075758377</v>
      </c>
      <c r="G20" t="str">
        <v>TBD</v>
      </c>
      <c r="H20" t="str">
        <v/>
      </c>
      <c r="I20" t="str">
        <v/>
      </c>
      <c r="J20" t="str">
        <v>24/09/2026</v>
      </c>
      <c r="K20" t="str">
        <v>05:44:11</v>
      </c>
      <c r="L20">
        <v>-12.315385</v>
      </c>
      <c r="M20">
        <v>-76.826</v>
      </c>
      <c r="N20">
        <f>HYPERLINK("https://www.google.com/maps/search/?api=1&amp;query=-12.315385,-76.826","Punta Hermosa, Lima")</f>
      </c>
      <c r="O20" t="str">
        <v>Bache</v>
      </c>
      <c r="P20">
        <v>1391.6</v>
      </c>
      <c r="Q20" t="str">
        <v/>
      </c>
      <c r="R20">
        <v>8.5</v>
      </c>
      <c r="S20">
        <v>50.4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85</v>
      </c>
      <c r="AB20" t="str">
        <v>24/09/2026</v>
      </c>
      <c r="AC20" t="str">
        <v>05:44:07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05:44:24</v>
      </c>
      <c r="AK20" t="str">
        <v>05:44:24</v>
      </c>
      <c r="AL20" t="str">
        <v/>
      </c>
    </row>
    <row r="21">
      <c r="A21">
        <v>20</v>
      </c>
      <c r="B21" t="str">
        <v>MASS BSF</v>
      </c>
      <c r="C21" t="str">
        <v>F3I-769</v>
      </c>
      <c r="D21" t="str">
        <v>F3I-769</v>
      </c>
      <c r="E21" t="str">
        <v/>
      </c>
      <c r="F21" t="str">
        <v>867806075758377</v>
      </c>
      <c r="G21" t="str">
        <v>TBD</v>
      </c>
      <c r="H21" t="str">
        <v/>
      </c>
      <c r="I21" t="str">
        <v/>
      </c>
      <c r="J21" t="str">
        <v>24/09/2026</v>
      </c>
      <c r="K21" t="str">
        <v>05:44:48</v>
      </c>
      <c r="L21">
        <v>-12.31684</v>
      </c>
      <c r="M21">
        <v>-76.82501</v>
      </c>
      <c r="N21">
        <f>HYPERLINK("https://www.google.com/maps/search/?api=1&amp;query=-12.31684,-76.82501","Punta Hermosa, Lima")</f>
      </c>
      <c r="O21" t="str">
        <v>Bache</v>
      </c>
      <c r="P21">
        <v>1391.8</v>
      </c>
      <c r="Q21" t="str">
        <v/>
      </c>
      <c r="R21">
        <v>23.8</v>
      </c>
      <c r="S21">
        <v>50.4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90</v>
      </c>
      <c r="AB21" t="str">
        <v>24/09/2026</v>
      </c>
      <c r="AC21" t="str">
        <v>05:44:44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05:45:10</v>
      </c>
      <c r="AK21" t="str">
        <v>05:45:10</v>
      </c>
      <c r="AL21" t="str">
        <v/>
      </c>
    </row>
    <row r="22">
      <c r="A22">
        <v>21</v>
      </c>
      <c r="B22" t="str">
        <v>MASS BSF</v>
      </c>
      <c r="C22" t="str">
        <v>F3I-769</v>
      </c>
      <c r="D22" t="str">
        <v>F3I-769</v>
      </c>
      <c r="E22" t="str">
        <v/>
      </c>
      <c r="F22" t="str">
        <v>867806075758377</v>
      </c>
      <c r="G22" t="str">
        <v>TBD</v>
      </c>
      <c r="H22" t="str">
        <v/>
      </c>
      <c r="I22" t="str">
        <v/>
      </c>
      <c r="J22" t="str">
        <v>24/09/2026</v>
      </c>
      <c r="K22" t="str">
        <v>05:49:12</v>
      </c>
      <c r="L22">
        <v>-12.3174</v>
      </c>
      <c r="M22">
        <v>-76.82294</v>
      </c>
      <c r="N22">
        <f>HYPERLINK("https://www.google.com/maps/search/?api=1&amp;query=-12.3174,-76.82294","Punta Hermosa, Lima")</f>
      </c>
      <c r="O22" t="str">
        <v>Vehículo apagado</v>
      </c>
      <c r="P22">
        <v>1392.2</v>
      </c>
      <c r="Q22" t="str">
        <v/>
      </c>
      <c r="R22">
        <v>0</v>
      </c>
      <c r="S22">
        <v>51.18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90</v>
      </c>
      <c r="AB22" t="str">
        <v>24/09/2026</v>
      </c>
      <c r="AC22" t="str">
        <v>05:49:08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05:49:18</v>
      </c>
      <c r="AK22" t="str">
        <v>05:49:18</v>
      </c>
      <c r="AL22" t="str">
        <v/>
      </c>
    </row>
    <row r="23">
      <c r="A23">
        <v>22</v>
      </c>
      <c r="B23" t="str">
        <v>MASS BSF</v>
      </c>
      <c r="C23" t="str">
        <v>F3I-769</v>
      </c>
      <c r="D23" t="str">
        <v>F3I-769</v>
      </c>
      <c r="E23" t="str">
        <v/>
      </c>
      <c r="F23" t="str">
        <v>867806075758377</v>
      </c>
      <c r="G23" t="str">
        <v>TBD</v>
      </c>
      <c r="H23" t="str">
        <v/>
      </c>
      <c r="I23" t="str">
        <v/>
      </c>
      <c r="J23" t="str">
        <v>24/09/2026</v>
      </c>
      <c r="K23" t="str">
        <v>06:03:37</v>
      </c>
      <c r="L23">
        <v>-12.3174</v>
      </c>
      <c r="M23">
        <v>-76.82294</v>
      </c>
      <c r="N23">
        <f>HYPERLINK("https://www.google.com/maps/search/?api=1&amp;query=-12.3174,-76.82294","Punta Hermosa, Lima")</f>
      </c>
      <c r="O23" t="str">
        <v>Vehículo encendido</v>
      </c>
      <c r="P23">
        <v>1392.2</v>
      </c>
      <c r="Q23" t="str">
        <v/>
      </c>
      <c r="R23">
        <v>0</v>
      </c>
      <c r="S23">
        <v>51.18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90</v>
      </c>
      <c r="AB23" t="str">
        <v>24/09/2026</v>
      </c>
      <c r="AC23" t="str">
        <v>06:03:33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06:03:54</v>
      </c>
      <c r="AK23" t="str">
        <v>06:03:54</v>
      </c>
      <c r="AL23" t="str">
        <v/>
      </c>
    </row>
    <row r="24">
      <c r="A24">
        <v>23</v>
      </c>
      <c r="B24" t="str">
        <v>MASS BSF</v>
      </c>
      <c r="C24" t="str">
        <v>F3I-769</v>
      </c>
      <c r="D24" t="str">
        <v>F3I-769</v>
      </c>
      <c r="E24" t="str">
        <v/>
      </c>
      <c r="F24" t="str">
        <v>867806075758377</v>
      </c>
      <c r="G24" t="str">
        <v>TBD</v>
      </c>
      <c r="H24" t="str">
        <v/>
      </c>
      <c r="I24" t="str">
        <v/>
      </c>
      <c r="J24" t="str">
        <v>24/09/2026</v>
      </c>
      <c r="K24" t="str">
        <v>06:03:44</v>
      </c>
      <c r="L24">
        <v>-12.3174</v>
      </c>
      <c r="M24">
        <v>-76.82294</v>
      </c>
      <c r="N24">
        <f>HYPERLINK("https://www.google.com/maps/search/?api=1&amp;query=-12.3174,-76.82294","Punta Hermosa, Lima")</f>
      </c>
      <c r="O24" t="str">
        <v>Se movio</v>
      </c>
      <c r="P24">
        <v>1392.2</v>
      </c>
      <c r="Q24" t="str">
        <v/>
      </c>
      <c r="R24">
        <v>0</v>
      </c>
      <c r="S24">
        <v>51.18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90</v>
      </c>
      <c r="AB24" t="str">
        <v>24/09/2026</v>
      </c>
      <c r="AC24" t="str">
        <v>06:03:40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06:03:54</v>
      </c>
      <c r="AK24" t="str">
        <v>06:03:54</v>
      </c>
      <c r="AL24" t="str">
        <v/>
      </c>
    </row>
    <row r="25">
      <c r="A25">
        <v>24</v>
      </c>
      <c r="B25" t="str">
        <v>MASS BSF</v>
      </c>
      <c r="C25" t="str">
        <v>F3I-769</v>
      </c>
      <c r="D25" t="str">
        <v>F3I-769</v>
      </c>
      <c r="E25" t="str">
        <v/>
      </c>
      <c r="F25" t="str">
        <v>867806075758377</v>
      </c>
      <c r="G25" t="str">
        <v>TBD</v>
      </c>
      <c r="H25" t="str">
        <v/>
      </c>
      <c r="I25" t="str">
        <v/>
      </c>
      <c r="J25" t="str">
        <v>24/09/2026</v>
      </c>
      <c r="K25" t="str">
        <v>06:05:56</v>
      </c>
      <c r="L25">
        <v>-12.317892</v>
      </c>
      <c r="M25">
        <v>-76.82414</v>
      </c>
      <c r="N25">
        <f>HYPERLINK("https://www.google.com/maps/search/?api=1&amp;query=-12.317892,-76.82414","Punta Hermosa, Lima")</f>
      </c>
      <c r="O25" t="str">
        <v>Vehículo apagado</v>
      </c>
      <c r="P25">
        <v>1392.5</v>
      </c>
      <c r="Q25" t="str">
        <v/>
      </c>
      <c r="R25">
        <v>0</v>
      </c>
      <c r="S25">
        <v>51.22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85</v>
      </c>
      <c r="AB25" t="str">
        <v>24/09/2026</v>
      </c>
      <c r="AC25" t="str">
        <v>06:05:51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06:06:08</v>
      </c>
      <c r="AK25" t="str">
        <v>06:06:08</v>
      </c>
      <c r="AL25" t="str">
        <v/>
      </c>
    </row>
    <row r="26">
      <c r="A26">
        <v>25</v>
      </c>
      <c r="B26" t="str">
        <v>MASS BSF</v>
      </c>
      <c r="C26" t="str">
        <v>F3I-769</v>
      </c>
      <c r="D26" t="str">
        <v>F3I-769</v>
      </c>
      <c r="E26" t="str">
        <v/>
      </c>
      <c r="F26" t="str">
        <v>867806075758377</v>
      </c>
      <c r="G26" t="str">
        <v>TBD</v>
      </c>
      <c r="H26" t="str">
        <v/>
      </c>
      <c r="I26" t="str">
        <v/>
      </c>
      <c r="J26" t="str">
        <v>24/09/2026</v>
      </c>
      <c r="K26" t="str">
        <v>06:10:34</v>
      </c>
      <c r="L26">
        <v>-12.317892</v>
      </c>
      <c r="M26">
        <v>-76.82414</v>
      </c>
      <c r="N26">
        <f>HYPERLINK("https://www.google.com/maps/search/?api=1&amp;query=-12.317892,-76.82414","Punta Hermosa, Lima")</f>
      </c>
      <c r="O26" t="str">
        <v>Vehículo encendido</v>
      </c>
      <c r="P26">
        <v>1392.5</v>
      </c>
      <c r="Q26" t="str">
        <v/>
      </c>
      <c r="R26">
        <v>0</v>
      </c>
      <c r="S26">
        <v>51.22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85</v>
      </c>
      <c r="AB26" t="str">
        <v>24/09/2026</v>
      </c>
      <c r="AC26" t="str">
        <v>06:10:30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06:11:00</v>
      </c>
      <c r="AK26" t="str">
        <v>06:11:00</v>
      </c>
      <c r="AL26" t="str">
        <v/>
      </c>
    </row>
    <row r="27">
      <c r="A27">
        <v>26</v>
      </c>
      <c r="B27" t="str">
        <v>MASS BSF</v>
      </c>
      <c r="C27" t="str">
        <v>F3I-769</v>
      </c>
      <c r="D27" t="str">
        <v>F3I-769</v>
      </c>
      <c r="E27" t="str">
        <v/>
      </c>
      <c r="F27" t="str">
        <v>867806075758377</v>
      </c>
      <c r="G27" t="str">
        <v>TBD</v>
      </c>
      <c r="H27" t="str">
        <v/>
      </c>
      <c r="I27" t="str">
        <v/>
      </c>
      <c r="J27" t="str">
        <v>24/09/2026</v>
      </c>
      <c r="K27" t="str">
        <v>06:12:12</v>
      </c>
      <c r="L27">
        <v>-12.317892</v>
      </c>
      <c r="M27">
        <v>-76.82414</v>
      </c>
      <c r="N27">
        <f>HYPERLINK("https://www.google.com/maps/search/?api=1&amp;query=-12.317892,-76.82414","Punta Hermosa, Lima")</f>
      </c>
      <c r="O27" t="str">
        <v>Vehículo apagado</v>
      </c>
      <c r="P27">
        <v>1392.5</v>
      </c>
      <c r="Q27" t="str">
        <v/>
      </c>
      <c r="R27">
        <v>0</v>
      </c>
      <c r="S27">
        <v>51.25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83</v>
      </c>
      <c r="AB27" t="str">
        <v>24/09/2026</v>
      </c>
      <c r="AC27" t="str">
        <v>06:12:08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06:12:23</v>
      </c>
      <c r="AK27" t="str">
        <v>06:12:23</v>
      </c>
      <c r="AL27" t="str">
        <v/>
      </c>
    </row>
    <row r="28">
      <c r="A28">
        <v>27</v>
      </c>
      <c r="B28" t="str">
        <v>MASS BSF</v>
      </c>
      <c r="C28" t="str">
        <v>F3I-769</v>
      </c>
      <c r="D28" t="str">
        <v>F3I-769</v>
      </c>
      <c r="E28" t="str">
        <v/>
      </c>
      <c r="F28" t="str">
        <v>867806075758377</v>
      </c>
      <c r="G28" t="str">
        <v>TBD</v>
      </c>
      <c r="H28" t="str">
        <v/>
      </c>
      <c r="I28" t="str">
        <v/>
      </c>
      <c r="J28" t="str">
        <v>24/09/2026</v>
      </c>
      <c r="K28" t="str">
        <v>06:44:53</v>
      </c>
      <c r="L28">
        <v>-12.317892</v>
      </c>
      <c r="M28">
        <v>-76.82414</v>
      </c>
      <c r="N28">
        <f>HYPERLINK("https://www.google.com/maps/search/?api=1&amp;query=-12.317892,-76.82414","Punta Hermosa, Lima")</f>
      </c>
      <c r="O28" t="str">
        <v>Vehículo encendido</v>
      </c>
      <c r="P28">
        <v>1392.5</v>
      </c>
      <c r="Q28" t="str">
        <v/>
      </c>
      <c r="R28">
        <v>0</v>
      </c>
      <c r="S28">
        <v>51.25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90</v>
      </c>
      <c r="AB28" t="str">
        <v>24/09/2026</v>
      </c>
      <c r="AC28" t="str">
        <v>06:44:48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06:45:08</v>
      </c>
      <c r="AK28" t="str">
        <v>06:45:08</v>
      </c>
      <c r="AL28" t="str">
        <v/>
      </c>
    </row>
    <row r="29">
      <c r="A29">
        <v>28</v>
      </c>
      <c r="B29" t="str">
        <v>MASS BSF</v>
      </c>
      <c r="C29" t="str">
        <v>F3I-769</v>
      </c>
      <c r="D29" t="str">
        <v>F3I-769</v>
      </c>
      <c r="E29" t="str">
        <v/>
      </c>
      <c r="F29" t="str">
        <v>867806075758377</v>
      </c>
      <c r="G29" t="str">
        <v>TBD</v>
      </c>
      <c r="H29" t="str">
        <v/>
      </c>
      <c r="I29" t="str">
        <v/>
      </c>
      <c r="J29" t="str">
        <v>24/09/2026</v>
      </c>
      <c r="K29" t="str">
        <v>06:46:52</v>
      </c>
      <c r="L29">
        <v>-12.317825</v>
      </c>
      <c r="M29">
        <v>-76.82429</v>
      </c>
      <c r="N29">
        <f>HYPERLINK("https://www.google.com/maps/search/?api=1&amp;query=-12.317825,-76.82429","Punta Hermosa, Lima")</f>
      </c>
      <c r="O29" t="str">
        <v>Se movio</v>
      </c>
      <c r="P29">
        <v>1392.5</v>
      </c>
      <c r="Q29" t="str">
        <v/>
      </c>
      <c r="R29">
        <v>11.6</v>
      </c>
      <c r="S29">
        <v>51.25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90</v>
      </c>
      <c r="AB29" t="str">
        <v>24/09/2026</v>
      </c>
      <c r="AC29" t="str">
        <v>06:46:48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06:47:02</v>
      </c>
      <c r="AK29" t="str">
        <v>06:47:02</v>
      </c>
      <c r="AL29" t="str">
        <v/>
      </c>
    </row>
    <row r="30">
      <c r="A30">
        <v>29</v>
      </c>
      <c r="B30" t="str">
        <v>MASS BSF</v>
      </c>
      <c r="C30" t="str">
        <v>F3I-769</v>
      </c>
      <c r="D30" t="str">
        <v>F3I-769</v>
      </c>
      <c r="E30" t="str">
        <v/>
      </c>
      <c r="F30" t="str">
        <v>867806075758377</v>
      </c>
      <c r="G30" t="str">
        <v>TBD</v>
      </c>
      <c r="H30" t="str">
        <v/>
      </c>
      <c r="I30" t="str">
        <v/>
      </c>
      <c r="J30" t="str">
        <v>24/09/2026</v>
      </c>
      <c r="K30" t="str">
        <v>07:12:31</v>
      </c>
      <c r="L30">
        <v>-12.19711</v>
      </c>
      <c r="M30">
        <v>-76.97286</v>
      </c>
      <c r="N30">
        <f>HYPERLINK("https://www.google.com/maps/search/?api=1&amp;query=-12.19711,-76.97286","Antigua Panamericana Sur, Villa El Salvador, Lima")</f>
      </c>
      <c r="O30" t="str">
        <v>Bache</v>
      </c>
      <c r="P30">
        <v>1415.3</v>
      </c>
      <c r="Q30" t="str">
        <v/>
      </c>
      <c r="R30">
        <v>11.1</v>
      </c>
      <c r="S30">
        <v>51.25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83</v>
      </c>
      <c r="AB30" t="str">
        <v>24/09/2026</v>
      </c>
      <c r="AC30" t="str">
        <v>07:12:26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07:12:38</v>
      </c>
      <c r="AK30" t="str">
        <v>07:12:38</v>
      </c>
      <c r="AL30" t="str">
        <v/>
      </c>
    </row>
    <row r="31">
      <c r="A31">
        <v>30</v>
      </c>
      <c r="B31" t="str">
        <v>MASS BSF</v>
      </c>
      <c r="C31" t="str">
        <v>F3I-769</v>
      </c>
      <c r="D31" t="str">
        <v>F3I-769</v>
      </c>
      <c r="E31" t="str">
        <v/>
      </c>
      <c r="F31" t="str">
        <v>867806075758377</v>
      </c>
      <c r="G31" t="str">
        <v>TBD</v>
      </c>
      <c r="H31" t="str">
        <v/>
      </c>
      <c r="I31" t="str">
        <v/>
      </c>
      <c r="J31" t="str">
        <v>24/09/2026</v>
      </c>
      <c r="K31" t="str">
        <v>07:22:46</v>
      </c>
      <c r="L31">
        <v>-12.193397</v>
      </c>
      <c r="M31">
        <v>-76.94902</v>
      </c>
      <c r="N31">
        <f>HYPERLINK("https://www.google.com/maps/search/?api=1&amp;query=-12.193397,-76.94902","Avenida Primero de Mayo, Villa El Salvador, Lima")</f>
      </c>
      <c r="O31" t="str">
        <v>Aceleración brusca</v>
      </c>
      <c r="P31">
        <v>1418.1</v>
      </c>
      <c r="Q31" t="str">
        <v/>
      </c>
      <c r="R31">
        <v>4.6</v>
      </c>
      <c r="S31">
        <v>51.25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90</v>
      </c>
      <c r="AB31" t="str">
        <v>24/09/2026</v>
      </c>
      <c r="AC31" t="str">
        <v>07:22:42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07:23:09</v>
      </c>
      <c r="AK31" t="str">
        <v>07:23:09</v>
      </c>
      <c r="AL31" t="str">
        <v/>
      </c>
    </row>
    <row r="32">
      <c r="A32">
        <v>31</v>
      </c>
      <c r="B32" t="str">
        <v>MASS BSF</v>
      </c>
      <c r="C32" t="str">
        <v>F3I-769</v>
      </c>
      <c r="D32" t="str">
        <v>F3I-769</v>
      </c>
      <c r="E32" t="str">
        <v/>
      </c>
      <c r="F32" t="str">
        <v>867806075758377</v>
      </c>
      <c r="G32" t="str">
        <v>TBD</v>
      </c>
      <c r="H32" t="str">
        <v/>
      </c>
      <c r="I32" t="str">
        <v/>
      </c>
      <c r="J32" t="str">
        <v>24/09/2026</v>
      </c>
      <c r="K32" t="str">
        <v>07:23:30</v>
      </c>
      <c r="L32">
        <v>-12.192072</v>
      </c>
      <c r="M32">
        <v>-76.946754</v>
      </c>
      <c r="N32">
        <f>HYPERLINK("https://www.google.com/maps/search/?api=1&amp;query=-12.192072,-76.946754","Avenida Primero de Mayo, Villa El Salvador, Lima")</f>
      </c>
      <c r="O32" t="str">
        <v>Bache</v>
      </c>
      <c r="P32">
        <v>1418.3</v>
      </c>
      <c r="Q32" t="str">
        <v/>
      </c>
      <c r="R32">
        <v>32.9</v>
      </c>
      <c r="S32">
        <v>51.25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90</v>
      </c>
      <c r="AB32" t="str">
        <v>24/09/2026</v>
      </c>
      <c r="AC32" t="str">
        <v>07:23:25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07:23:42</v>
      </c>
      <c r="AK32" t="str">
        <v>07:23:42</v>
      </c>
      <c r="AL32" t="str">
        <v/>
      </c>
    </row>
    <row r="33">
      <c r="A33">
        <v>32</v>
      </c>
      <c r="B33" t="str">
        <v>MASS BSF</v>
      </c>
      <c r="C33" t="str">
        <v>F3I-769</v>
      </c>
      <c r="D33" t="str">
        <v>F3I-769</v>
      </c>
      <c r="E33" t="str">
        <v/>
      </c>
      <c r="F33" t="str">
        <v>867806075758377</v>
      </c>
      <c r="G33" t="str">
        <v>TBD</v>
      </c>
      <c r="H33" t="str">
        <v/>
      </c>
      <c r="I33" t="str">
        <v/>
      </c>
      <c r="J33" t="str">
        <v>24/09/2026</v>
      </c>
      <c r="K33" t="str">
        <v>07:23:35</v>
      </c>
      <c r="L33">
        <v>-12.191896</v>
      </c>
      <c r="M33">
        <v>-76.946465</v>
      </c>
      <c r="N33">
        <f>HYPERLINK("https://www.google.com/maps/search/?api=1&amp;query=-12.191896,-76.946465","Avenida Primero de Mayo, Villa El Salvador, Lima")</f>
      </c>
      <c r="O33" t="str">
        <v>Aceleración brusca</v>
      </c>
      <c r="P33">
        <v>1418.4</v>
      </c>
      <c r="Q33" t="str">
        <v/>
      </c>
      <c r="R33">
        <v>11.4</v>
      </c>
      <c r="S33">
        <v>51.25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90</v>
      </c>
      <c r="AB33" t="str">
        <v>24/09/2026</v>
      </c>
      <c r="AC33" t="str">
        <v>07:23:31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07:23:42</v>
      </c>
      <c r="AK33" t="str">
        <v>07:23:42</v>
      </c>
      <c r="AL33" t="str">
        <v/>
      </c>
    </row>
    <row r="34">
      <c r="A34">
        <v>33</v>
      </c>
      <c r="B34" t="str">
        <v>MASS BSF</v>
      </c>
      <c r="C34" t="str">
        <v>F3I-769</v>
      </c>
      <c r="D34" t="str">
        <v>F3I-769</v>
      </c>
      <c r="E34" t="str">
        <v/>
      </c>
      <c r="F34" t="str">
        <v>867806075758377</v>
      </c>
      <c r="G34" t="str">
        <v>TBD</v>
      </c>
      <c r="H34" t="str">
        <v/>
      </c>
      <c r="I34" t="str">
        <v/>
      </c>
      <c r="J34" t="str">
        <v>24/09/2026</v>
      </c>
      <c r="K34" t="str">
        <v>07:24:01</v>
      </c>
      <c r="L34">
        <v>-12.191268</v>
      </c>
      <c r="M34">
        <v>-76.94537</v>
      </c>
      <c r="N34">
        <f>HYPERLINK("https://www.google.com/maps/search/?api=1&amp;query=-12.191268,-76.94537","Avenida Primero de Mayo, Villa El Salvador, Lima")</f>
      </c>
      <c r="O34" t="str">
        <v>Aceleración brusca</v>
      </c>
      <c r="P34">
        <v>1418.5</v>
      </c>
      <c r="Q34" t="str">
        <v/>
      </c>
      <c r="R34">
        <v>10.5</v>
      </c>
      <c r="S34">
        <v>51.25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90</v>
      </c>
      <c r="AB34" t="str">
        <v>24/09/2026</v>
      </c>
      <c r="AC34" t="str">
        <v>07:23:56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07:24:13</v>
      </c>
      <c r="AK34" t="str">
        <v>07:24:13</v>
      </c>
      <c r="AL34" t="str">
        <v/>
      </c>
    </row>
    <row r="35">
      <c r="A35">
        <v>34</v>
      </c>
      <c r="B35" t="str">
        <v>MASS BSF</v>
      </c>
      <c r="C35" t="str">
        <v>F3I-769</v>
      </c>
      <c r="D35" t="str">
        <v>F3I-769</v>
      </c>
      <c r="E35" t="str">
        <v/>
      </c>
      <c r="F35" t="str">
        <v>867806075758377</v>
      </c>
      <c r="G35" t="str">
        <v>TBD</v>
      </c>
      <c r="H35" t="str">
        <v/>
      </c>
      <c r="I35" t="str">
        <v/>
      </c>
      <c r="J35" t="str">
        <v>24/09/2026</v>
      </c>
      <c r="K35" t="str">
        <v>07:24:40</v>
      </c>
      <c r="L35">
        <v>-12.19011</v>
      </c>
      <c r="M35">
        <v>-76.94377</v>
      </c>
      <c r="N35">
        <f>HYPERLINK("https://www.google.com/maps/search/?api=1&amp;query=-12.19011,-76.94377","Avenida Separadora Industrial, Villa El Salvador, Lima")</f>
      </c>
      <c r="O35" t="str">
        <v>Acelerado y giro brusco</v>
      </c>
      <c r="P35">
        <v>1418.7</v>
      </c>
      <c r="Q35" t="str">
        <v/>
      </c>
      <c r="R35">
        <v>27.7</v>
      </c>
      <c r="S35">
        <v>51.25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90</v>
      </c>
      <c r="AB35" t="str">
        <v>24/09/2026</v>
      </c>
      <c r="AC35" t="str">
        <v>07:24:35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07:24:52</v>
      </c>
      <c r="AK35" t="str">
        <v>07:24:52</v>
      </c>
      <c r="AL35" t="str">
        <v/>
      </c>
    </row>
    <row r="36">
      <c r="A36">
        <v>35</v>
      </c>
      <c r="B36" t="str">
        <v>MASS BSF</v>
      </c>
      <c r="C36" t="str">
        <v>F3I-769</v>
      </c>
      <c r="D36" t="str">
        <v>F3I-769</v>
      </c>
      <c r="E36" t="str">
        <v/>
      </c>
      <c r="F36" t="str">
        <v>867806075758377</v>
      </c>
      <c r="G36" t="str">
        <v>TBD</v>
      </c>
      <c r="H36" t="str">
        <v/>
      </c>
      <c r="I36" t="str">
        <v/>
      </c>
      <c r="J36" t="str">
        <v>24/09/2026</v>
      </c>
      <c r="K36" t="str">
        <v>07:25:06</v>
      </c>
      <c r="L36">
        <v>-12.18798</v>
      </c>
      <c r="M36">
        <v>-76.94501</v>
      </c>
      <c r="N36">
        <f>HYPERLINK("https://www.google.com/maps/search/?api=1&amp;query=-12.18798,-76.94501","Avenida Separadora Industrial, Villa El Salvador, Lima")</f>
      </c>
      <c r="O36" t="str">
        <v>Aceleración brusca</v>
      </c>
      <c r="P36">
        <v>1419</v>
      </c>
      <c r="Q36" t="str">
        <v/>
      </c>
      <c r="R36">
        <v>15.7</v>
      </c>
      <c r="S36">
        <v>51.25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90</v>
      </c>
      <c r="AB36" t="str">
        <v>24/09/2026</v>
      </c>
      <c r="AC36" t="str">
        <v>07:25:01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07:25:23</v>
      </c>
      <c r="AK36" t="str">
        <v>07:25:23</v>
      </c>
      <c r="AL36" t="str">
        <v/>
      </c>
    </row>
    <row r="37">
      <c r="A37">
        <v>36</v>
      </c>
      <c r="B37" t="str">
        <v>MASS BSF</v>
      </c>
      <c r="C37" t="str">
        <v>F3I-769</v>
      </c>
      <c r="D37" t="str">
        <v>F3I-769</v>
      </c>
      <c r="E37" t="str">
        <v/>
      </c>
      <c r="F37" t="str">
        <v>867806075758377</v>
      </c>
      <c r="G37" t="str">
        <v>TBD</v>
      </c>
      <c r="H37" t="str">
        <v/>
      </c>
      <c r="I37" t="str">
        <v/>
      </c>
      <c r="J37" t="str">
        <v>24/09/2026</v>
      </c>
      <c r="K37" t="str">
        <v>07:25:22</v>
      </c>
      <c r="L37">
        <v>-12.187645</v>
      </c>
      <c r="M37">
        <v>-76.94521</v>
      </c>
      <c r="N37">
        <f>HYPERLINK("https://www.google.com/maps/search/?api=1&amp;query=-12.187645,-76.94521","Avenida Separadora Industrial, Villa El Salvador, Lima")</f>
      </c>
      <c r="O37" t="str">
        <v>Aceleración brusca</v>
      </c>
      <c r="P37">
        <v>1419</v>
      </c>
      <c r="Q37" t="str">
        <v/>
      </c>
      <c r="R37">
        <v>3.8</v>
      </c>
      <c r="S37">
        <v>51.25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90</v>
      </c>
      <c r="AB37" t="str">
        <v>24/09/2026</v>
      </c>
      <c r="AC37" t="str">
        <v>07:25:17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07:25:40</v>
      </c>
      <c r="AK37" t="str">
        <v>07:25:40</v>
      </c>
      <c r="AL37" t="str">
        <v/>
      </c>
    </row>
    <row r="38">
      <c r="A38">
        <v>37</v>
      </c>
      <c r="B38" t="str">
        <v>MASS BSF</v>
      </c>
      <c r="C38" t="str">
        <v>F3I-769</v>
      </c>
      <c r="D38" t="str">
        <v>F3I-769</v>
      </c>
      <c r="E38" t="str">
        <v/>
      </c>
      <c r="F38" t="str">
        <v>867806075758377</v>
      </c>
      <c r="G38" t="str">
        <v>TBD</v>
      </c>
      <c r="H38" t="str">
        <v/>
      </c>
      <c r="I38" t="str">
        <v/>
      </c>
      <c r="J38" t="str">
        <v>24/09/2026</v>
      </c>
      <c r="K38" t="str">
        <v>07:26:49</v>
      </c>
      <c r="L38">
        <v>-12.18294</v>
      </c>
      <c r="M38">
        <v>-76.94668</v>
      </c>
      <c r="N38">
        <f>HYPERLINK("https://www.google.com/maps/search/?api=1&amp;query=-12.18294,-76.94668","Avenida La Unión, Villa María del Triunfo, Lima")</f>
      </c>
      <c r="O38" t="str">
        <v>Aceleración brusca</v>
      </c>
      <c r="P38">
        <v>1419.6</v>
      </c>
      <c r="Q38" t="str">
        <v/>
      </c>
      <c r="R38">
        <v>7.5</v>
      </c>
      <c r="S38">
        <v>51.25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90</v>
      </c>
      <c r="AB38" t="str">
        <v>24/09/2026</v>
      </c>
      <c r="AC38" t="str">
        <v>07:26:45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07:26:53</v>
      </c>
      <c r="AK38" t="str">
        <v>07:26:53</v>
      </c>
      <c r="AL38" t="str">
        <v/>
      </c>
    </row>
    <row r="39">
      <c r="A39">
        <v>38</v>
      </c>
      <c r="B39" t="str">
        <v>MASS BSF</v>
      </c>
      <c r="C39" t="str">
        <v>F3I-769</v>
      </c>
      <c r="D39" t="str">
        <v>F3I-769</v>
      </c>
      <c r="E39" t="str">
        <v/>
      </c>
      <c r="F39" t="str">
        <v>867806075758377</v>
      </c>
      <c r="G39" t="str">
        <v>TBD</v>
      </c>
      <c r="H39" t="str">
        <v/>
      </c>
      <c r="I39" t="str">
        <v/>
      </c>
      <c r="J39" t="str">
        <v>24/09/2026</v>
      </c>
      <c r="K39" t="str">
        <v>07:32:45</v>
      </c>
      <c r="L39">
        <v>-12.169942</v>
      </c>
      <c r="M39">
        <v>-76.94328</v>
      </c>
      <c r="N39">
        <f>HYPERLINK("https://www.google.com/maps/search/?api=1&amp;query=-12.169942,-76.94328","Jirón Progreso, Villa María del Triunfo, Lima")</f>
      </c>
      <c r="O39" t="str">
        <v>Bache</v>
      </c>
      <c r="P39">
        <v>1421.3</v>
      </c>
      <c r="Q39" t="str">
        <v/>
      </c>
      <c r="R39">
        <v>0.1</v>
      </c>
      <c r="S39">
        <v>51.25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83</v>
      </c>
      <c r="AB39" t="str">
        <v>24/09/2026</v>
      </c>
      <c r="AC39" t="str">
        <v>07:32:40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07:32:48</v>
      </c>
      <c r="AK39" t="str">
        <v>07:32:48</v>
      </c>
      <c r="AL39" t="str">
        <v/>
      </c>
    </row>
    <row r="40">
      <c r="A40">
        <v>39</v>
      </c>
      <c r="B40" t="str">
        <v>MASS BSF</v>
      </c>
      <c r="C40" t="str">
        <v>F3I-769</v>
      </c>
      <c r="D40" t="str">
        <v>F3I-769</v>
      </c>
      <c r="E40" t="str">
        <v/>
      </c>
      <c r="F40" t="str">
        <v>867806075758377</v>
      </c>
      <c r="G40" t="str">
        <v>TBD</v>
      </c>
      <c r="H40" t="str">
        <v/>
      </c>
      <c r="I40" t="str">
        <v/>
      </c>
      <c r="J40" t="str">
        <v>24/09/2026</v>
      </c>
      <c r="K40" t="str">
        <v>07:36:26</v>
      </c>
      <c r="L40">
        <v>-12.163056</v>
      </c>
      <c r="M40">
        <v>-76.94809</v>
      </c>
      <c r="N40">
        <f>HYPERLINK("https://www.google.com/maps/search/?api=1&amp;query=-12.163056,-76.94809","Jirón Progreso, Villa María del Triunfo, Lima")</f>
      </c>
      <c r="O40" t="str">
        <v>Bache</v>
      </c>
      <c r="P40">
        <v>1422.2</v>
      </c>
      <c r="Q40" t="str">
        <v/>
      </c>
      <c r="R40">
        <v>6.2</v>
      </c>
      <c r="S40">
        <v>51.25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83</v>
      </c>
      <c r="AB40" t="str">
        <v>24/09/2026</v>
      </c>
      <c r="AC40" t="str">
        <v>07:36:22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07:36:31</v>
      </c>
      <c r="AK40" t="str">
        <v>07:36:31</v>
      </c>
      <c r="AL40" t="str">
        <v/>
      </c>
    </row>
    <row r="41">
      <c r="A41">
        <v>40</v>
      </c>
      <c r="B41" t="str">
        <v>MASS BSF</v>
      </c>
      <c r="C41" t="str">
        <v>F3I-769</v>
      </c>
      <c r="D41" t="str">
        <v>F3I-769</v>
      </c>
      <c r="E41" t="str">
        <v/>
      </c>
      <c r="F41" t="str">
        <v>867806075758377</v>
      </c>
      <c r="G41" t="str">
        <v>TBD</v>
      </c>
      <c r="H41" t="str">
        <v/>
      </c>
      <c r="I41" t="str">
        <v/>
      </c>
      <c r="J41" t="str">
        <v>24/09/2026</v>
      </c>
      <c r="K41" t="str">
        <v>07:43:31</v>
      </c>
      <c r="L41">
        <v>-12.156527</v>
      </c>
      <c r="M41">
        <v>-76.95814</v>
      </c>
      <c r="N41">
        <f>HYPERLINK("https://www.google.com/maps/search/?api=1&amp;query=-12.156527,-76.95814","Calle María Parado de Bellido, Villa María del Triunfo, Lima")</f>
      </c>
      <c r="O41" t="str">
        <v>Vehículo apagado</v>
      </c>
      <c r="P41">
        <v>1423.8</v>
      </c>
      <c r="Q41" t="str">
        <v/>
      </c>
      <c r="R41">
        <v>0</v>
      </c>
      <c r="S41">
        <v>52.23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89</v>
      </c>
      <c r="AB41" t="str">
        <v>24/09/2026</v>
      </c>
      <c r="AC41" t="str">
        <v>07:43:26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07:43:45</v>
      </c>
      <c r="AK41" t="str">
        <v>07:43:45</v>
      </c>
      <c r="AL41" t="str">
        <v/>
      </c>
    </row>
    <row r="42">
      <c r="A42">
        <v>41</v>
      </c>
      <c r="B42" t="str">
        <v>MASS BSF</v>
      </c>
      <c r="C42" t="str">
        <v>F3I-769</v>
      </c>
      <c r="D42" t="str">
        <v>F3I-769</v>
      </c>
      <c r="E42" t="str">
        <v/>
      </c>
      <c r="F42" t="str">
        <v>867806075758377</v>
      </c>
      <c r="G42" t="str">
        <v>TBD</v>
      </c>
      <c r="H42" t="str">
        <v/>
      </c>
      <c r="I42" t="str">
        <v/>
      </c>
      <c r="J42" t="str">
        <v>24/09/2026</v>
      </c>
      <c r="K42" t="str">
        <v>07:59:11</v>
      </c>
      <c r="L42">
        <v>-12.156482</v>
      </c>
      <c r="M42">
        <v>-76.95822</v>
      </c>
      <c r="N42">
        <f>HYPERLINK("https://www.google.com/maps/search/?api=1&amp;query=-12.156482,-76.95822","Jirón San Antonio, Villa María del Triunfo, Lima")</f>
      </c>
      <c r="O42" t="str">
        <v>Vehículo encendido</v>
      </c>
      <c r="P42">
        <v>1423.8</v>
      </c>
      <c r="Q42" t="str">
        <v/>
      </c>
      <c r="R42">
        <v>0</v>
      </c>
      <c r="S42">
        <v>52.23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89</v>
      </c>
      <c r="AB42" t="str">
        <v>24/09/2026</v>
      </c>
      <c r="AC42" t="str">
        <v>07:59:06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07:59:23</v>
      </c>
      <c r="AK42" t="str">
        <v>07:59:23</v>
      </c>
      <c r="AL42" t="str">
        <v/>
      </c>
    </row>
    <row r="43">
      <c r="A43">
        <v>42</v>
      </c>
      <c r="B43" t="str">
        <v>MASS BSF</v>
      </c>
      <c r="C43" t="str">
        <v>F3I-769</v>
      </c>
      <c r="D43" t="str">
        <v>F3I-769</v>
      </c>
      <c r="E43" t="str">
        <v/>
      </c>
      <c r="F43" t="str">
        <v>867806075758377</v>
      </c>
      <c r="G43" t="str">
        <v>TBD</v>
      </c>
      <c r="H43" t="str">
        <v/>
      </c>
      <c r="I43" t="str">
        <v/>
      </c>
      <c r="J43" t="str">
        <v>24/09/2026</v>
      </c>
      <c r="K43" t="str">
        <v>08:02:06</v>
      </c>
      <c r="L43">
        <v>-12.155443</v>
      </c>
      <c r="M43">
        <v>-76.95821</v>
      </c>
      <c r="N43">
        <f>HYPERLINK("https://www.google.com/maps/search/?api=1&amp;query=-12.155443,-76.95821","Jirón San Alberto, Villa María del Triunfo, Lima")</f>
      </c>
      <c r="O43" t="str">
        <v>Se movio</v>
      </c>
      <c r="P43">
        <v>1424</v>
      </c>
      <c r="Q43" t="str">
        <v/>
      </c>
      <c r="R43">
        <v>17</v>
      </c>
      <c r="S43">
        <v>52.23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89</v>
      </c>
      <c r="AB43" t="str">
        <v>24/09/2026</v>
      </c>
      <c r="AC43" t="str">
        <v>08:02:01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08:02:11</v>
      </c>
      <c r="AK43" t="str">
        <v>08:02:11</v>
      </c>
      <c r="AL43" t="str">
        <v/>
      </c>
    </row>
    <row r="44">
      <c r="A44">
        <v>43</v>
      </c>
      <c r="B44" t="str">
        <v>MASS BSF</v>
      </c>
      <c r="C44" t="str">
        <v>F3I-769</v>
      </c>
      <c r="D44" t="str">
        <v>F3I-769</v>
      </c>
      <c r="E44" t="str">
        <v/>
      </c>
      <c r="F44" t="str">
        <v>867806075758377</v>
      </c>
      <c r="G44" t="str">
        <v>TBD</v>
      </c>
      <c r="H44" t="str">
        <v/>
      </c>
      <c r="I44" t="str">
        <v/>
      </c>
      <c r="J44" t="str">
        <v>24/09/2026</v>
      </c>
      <c r="K44" t="str">
        <v>08:11:34</v>
      </c>
      <c r="L44">
        <v>-12.153668</v>
      </c>
      <c r="M44">
        <v>-76.956245</v>
      </c>
      <c r="N44">
        <f>HYPERLINK("https://www.google.com/maps/search/?api=1&amp;query=-12.153668,-76.956245","Avenida Julio César Tello, Villa María del Triunfo, Lima")</f>
      </c>
      <c r="O44" t="str">
        <v>Inicio de ralentí</v>
      </c>
      <c r="P44">
        <v>1425.2</v>
      </c>
      <c r="Q44" t="str">
        <v/>
      </c>
      <c r="R44">
        <v>0</v>
      </c>
      <c r="S44">
        <v>52.23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85</v>
      </c>
      <c r="AB44" t="str">
        <v>24/09/2026</v>
      </c>
      <c r="AC44" t="str">
        <v>08:11:29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08:11:47</v>
      </c>
      <c r="AK44" t="str">
        <v>08:11:47</v>
      </c>
      <c r="AL44" t="str">
        <v/>
      </c>
    </row>
    <row r="45">
      <c r="A45">
        <v>44</v>
      </c>
      <c r="B45" t="str">
        <v>MASS BSF</v>
      </c>
      <c r="C45" t="str">
        <v>F3I-769</v>
      </c>
      <c r="D45" t="str">
        <v>F3I-769</v>
      </c>
      <c r="E45" t="str">
        <v/>
      </c>
      <c r="F45" t="str">
        <v>867806075758377</v>
      </c>
      <c r="G45" t="str">
        <v>TBD</v>
      </c>
      <c r="H45" t="str">
        <v/>
      </c>
      <c r="I45" t="str">
        <v/>
      </c>
      <c r="J45" t="str">
        <v>24/09/2026</v>
      </c>
      <c r="K45" t="str">
        <v>08:16:45</v>
      </c>
      <c r="L45">
        <v>-12.153668</v>
      </c>
      <c r="M45">
        <v>-76.956245</v>
      </c>
      <c r="N45">
        <f>HYPERLINK("https://www.google.com/maps/search/?api=1&amp;query=-12.153668,-76.956245","Avenida Julio César Tello, Villa María del Triunfo, Lima")</f>
      </c>
      <c r="O45" t="str">
        <v>Fin de ralentí</v>
      </c>
      <c r="P45">
        <v>1425.2</v>
      </c>
      <c r="Q45" t="str">
        <v/>
      </c>
      <c r="R45">
        <v>0</v>
      </c>
      <c r="S45">
        <v>52.23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85</v>
      </c>
      <c r="AB45" t="str">
        <v>24/09/2026</v>
      </c>
      <c r="AC45" t="str">
        <v>08:16:40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08:16:47</v>
      </c>
      <c r="AK45" t="str">
        <v>08:16:47</v>
      </c>
      <c r="AL45" t="str">
        <v/>
      </c>
    </row>
    <row r="46">
      <c r="A46">
        <v>45</v>
      </c>
      <c r="B46" t="str">
        <v>MASS BSF</v>
      </c>
      <c r="C46" t="str">
        <v>F3I-769</v>
      </c>
      <c r="D46" t="str">
        <v>F3I-769</v>
      </c>
      <c r="E46" t="str">
        <v/>
      </c>
      <c r="F46" t="str">
        <v>867806075758377</v>
      </c>
      <c r="G46" t="str">
        <v>TBD</v>
      </c>
      <c r="H46" t="str">
        <v/>
      </c>
      <c r="I46" t="str">
        <v/>
      </c>
      <c r="J46" t="str">
        <v>24/09/2026</v>
      </c>
      <c r="K46" t="str">
        <v>08:17:34</v>
      </c>
      <c r="L46">
        <v>-12.15373</v>
      </c>
      <c r="M46">
        <v>-76.95635</v>
      </c>
      <c r="N46">
        <f>HYPERLINK("https://www.google.com/maps/search/?api=1&amp;query=-12.15373,-76.95635","Avenida Julio César Tello, Villa María del Triunfo, Lima")</f>
      </c>
      <c r="O46" t="str">
        <v>Se movio</v>
      </c>
      <c r="P46">
        <v>1425.2</v>
      </c>
      <c r="Q46" t="str">
        <v/>
      </c>
      <c r="R46">
        <v>10.5</v>
      </c>
      <c r="S46">
        <v>52.23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85</v>
      </c>
      <c r="AB46" t="str">
        <v>24/09/2026</v>
      </c>
      <c r="AC46" t="str">
        <v>08:17:30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08:17:47</v>
      </c>
      <c r="AK46" t="str">
        <v>08:17:47</v>
      </c>
      <c r="AL46" t="str">
        <v/>
      </c>
    </row>
    <row r="47">
      <c r="A47">
        <v>46</v>
      </c>
      <c r="B47" t="str">
        <v>MASS BSF</v>
      </c>
      <c r="C47" t="str">
        <v>F3I-769</v>
      </c>
      <c r="D47" t="str">
        <v>F3I-769</v>
      </c>
      <c r="E47" t="str">
        <v/>
      </c>
      <c r="F47" t="str">
        <v>867806075758377</v>
      </c>
      <c r="G47" t="str">
        <v>TBD</v>
      </c>
      <c r="H47" t="str">
        <v/>
      </c>
      <c r="I47" t="str">
        <v/>
      </c>
      <c r="J47" t="str">
        <v>24/09/2026</v>
      </c>
      <c r="K47" t="str">
        <v>08:22:38</v>
      </c>
      <c r="L47">
        <v>-12.158644</v>
      </c>
      <c r="M47">
        <v>-76.952156</v>
      </c>
      <c r="N47">
        <f>HYPERLINK("https://www.google.com/maps/search/?api=1&amp;query=-12.158644,-76.952156","Jirón Miraflores, Villa María del Triunfo, Lima")</f>
      </c>
      <c r="O47" t="str">
        <v>Vehículo apagado</v>
      </c>
      <c r="P47">
        <v>1426.1</v>
      </c>
      <c r="Q47" t="str">
        <v/>
      </c>
      <c r="R47">
        <v>0</v>
      </c>
      <c r="S47">
        <v>52.62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90</v>
      </c>
      <c r="AB47" t="str">
        <v>24/09/2026</v>
      </c>
      <c r="AC47" t="str">
        <v>08:22:33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24/09/2026 08:22:44</v>
      </c>
      <c r="AK47" t="str">
        <v>08:22:44</v>
      </c>
      <c r="AL47" t="str">
        <v/>
      </c>
    </row>
    <row r="48">
      <c r="A48">
        <v>47</v>
      </c>
      <c r="B48" t="str">
        <v>MASS BSF</v>
      </c>
      <c r="C48" t="str">
        <v>F3I-769</v>
      </c>
      <c r="D48" t="str">
        <v>F3I-769</v>
      </c>
      <c r="E48" t="str">
        <v/>
      </c>
      <c r="F48" t="str">
        <v>867806075758377</v>
      </c>
      <c r="G48" t="str">
        <v>TBD</v>
      </c>
      <c r="H48" t="str">
        <v/>
      </c>
      <c r="I48" t="str">
        <v/>
      </c>
      <c r="J48" t="str">
        <v>24/09/2026</v>
      </c>
      <c r="K48" t="str">
        <v>08:36:55</v>
      </c>
      <c r="L48">
        <v>-12.158644</v>
      </c>
      <c r="M48">
        <v>-76.952156</v>
      </c>
      <c r="N48">
        <f>HYPERLINK("https://www.google.com/maps/search/?api=1&amp;query=-12.158644,-76.952156","Jirón Miraflores, Villa María del Triunfo, Lima")</f>
      </c>
      <c r="O48" t="str">
        <v>Vehículo encendido</v>
      </c>
      <c r="P48">
        <v>1426.1</v>
      </c>
      <c r="Q48" t="str">
        <v/>
      </c>
      <c r="R48">
        <v>0</v>
      </c>
      <c r="S48">
        <v>52.62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90</v>
      </c>
      <c r="AB48" t="str">
        <v>24/09/2026</v>
      </c>
      <c r="AC48" t="str">
        <v>08:36:55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24/09/2026 08:37:06</v>
      </c>
      <c r="AK48" t="str">
        <v>08:37:06</v>
      </c>
      <c r="AL48" t="str">
        <v/>
      </c>
    </row>
    <row r="49">
      <c r="A49">
        <v>48</v>
      </c>
      <c r="B49" t="str">
        <v>MASS BSF</v>
      </c>
      <c r="C49" t="str">
        <v>F3I-769</v>
      </c>
      <c r="D49" t="str">
        <v>F3I-769</v>
      </c>
      <c r="E49" t="str">
        <v/>
      </c>
      <c r="F49" t="str">
        <v>867806075758377</v>
      </c>
      <c r="G49" t="str">
        <v>TBD</v>
      </c>
      <c r="H49" t="str">
        <v/>
      </c>
      <c r="I49" t="str">
        <v/>
      </c>
      <c r="J49" t="str">
        <v>24/09/2026</v>
      </c>
      <c r="K49" t="str">
        <v>08:37:00</v>
      </c>
      <c r="L49">
        <v>-12.158644</v>
      </c>
      <c r="M49">
        <v>-76.952156</v>
      </c>
      <c r="N49">
        <f>HYPERLINK("https://www.google.com/maps/search/?api=1&amp;query=-12.158644,-76.952156","Jirón Miraflores, Villa María del Triunfo, Lima")</f>
      </c>
      <c r="O49" t="str">
        <v>Se movio</v>
      </c>
      <c r="P49">
        <v>1426.1</v>
      </c>
      <c r="Q49" t="str">
        <v/>
      </c>
      <c r="R49">
        <v>0</v>
      </c>
      <c r="S49">
        <v>52.62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90</v>
      </c>
      <c r="AB49" t="str">
        <v>24/09/2026</v>
      </c>
      <c r="AC49" t="str">
        <v>08:37:00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24/09/2026 08:37:15</v>
      </c>
      <c r="AK49" t="str">
        <v>08:37:15</v>
      </c>
      <c r="AL49" t="str">
        <v/>
      </c>
    </row>
    <row r="50">
      <c r="A50">
        <v>49</v>
      </c>
      <c r="B50" t="str">
        <v>MASS BSF</v>
      </c>
      <c r="C50" t="str">
        <v>F3I-769</v>
      </c>
      <c r="D50" t="str">
        <v>F3I-769</v>
      </c>
      <c r="E50" t="str">
        <v/>
      </c>
      <c r="F50" t="str">
        <v>867806075758377</v>
      </c>
      <c r="G50" t="str">
        <v>TBD</v>
      </c>
      <c r="H50" t="str">
        <v/>
      </c>
      <c r="I50" t="str">
        <v/>
      </c>
      <c r="J50" t="str">
        <v>24/09/2026</v>
      </c>
      <c r="K50" t="str">
        <v>08:55:10</v>
      </c>
      <c r="L50">
        <v>-12.16875</v>
      </c>
      <c r="M50">
        <v>-76.95086</v>
      </c>
      <c r="N50">
        <f>HYPERLINK("https://www.google.com/maps/search/?api=1&amp;query=-12.16875,-76.95086","Avenida Pachacútec, Villa María del Triunfo, Lima")</f>
      </c>
      <c r="O50" t="str">
        <v>Vehículo apagado</v>
      </c>
      <c r="P50">
        <v>1428.8</v>
      </c>
      <c r="Q50" t="str">
        <v/>
      </c>
      <c r="R50">
        <v>0</v>
      </c>
      <c r="S50">
        <v>52.92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91</v>
      </c>
      <c r="AB50" t="str">
        <v>24/09/2026</v>
      </c>
      <c r="AC50" t="str">
        <v>08:55:10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24/09/2026 08:55:41</v>
      </c>
      <c r="AK50" t="str">
        <v>08:55:41</v>
      </c>
      <c r="AL50" t="str">
        <v/>
      </c>
    </row>
    <row r="51">
      <c r="A51">
        <v>50</v>
      </c>
      <c r="B51" t="str">
        <v>MASS BSF</v>
      </c>
      <c r="C51" t="str">
        <v>F3I-769</v>
      </c>
      <c r="D51" t="str">
        <v>F3I-769</v>
      </c>
      <c r="E51" t="str">
        <v/>
      </c>
      <c r="F51" t="str">
        <v>867806075758377</v>
      </c>
      <c r="G51" t="str">
        <v>TBD</v>
      </c>
      <c r="H51" t="str">
        <v/>
      </c>
      <c r="I51" t="str">
        <v/>
      </c>
      <c r="J51" t="str">
        <v>24/09/2026</v>
      </c>
      <c r="K51" t="str">
        <v>09:16:30</v>
      </c>
      <c r="L51">
        <v>-12.16875</v>
      </c>
      <c r="M51">
        <v>-76.95086</v>
      </c>
      <c r="N51">
        <f>HYPERLINK("https://www.google.com/maps/search/?api=1&amp;query=-12.16875,-76.95086","Avenida Pachacútec, Villa María del Triunfo, Lima")</f>
      </c>
      <c r="O51" t="str">
        <v>Se movio</v>
      </c>
      <c r="P51">
        <v>1428.8</v>
      </c>
      <c r="Q51" t="str">
        <v/>
      </c>
      <c r="R51">
        <v>0</v>
      </c>
      <c r="S51">
        <v>52.92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91</v>
      </c>
      <c r="AB51" t="str">
        <v>24/09/2026</v>
      </c>
      <c r="AC51" t="str">
        <v>09:16:30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24/09/2026 09:16:50</v>
      </c>
      <c r="AK51" t="str">
        <v>09:16:50</v>
      </c>
      <c r="AL51" t="str">
        <v/>
      </c>
    </row>
    <row r="52">
      <c r="A52">
        <v>51</v>
      </c>
      <c r="B52" t="str">
        <v>MASS BSF</v>
      </c>
      <c r="C52" t="str">
        <v>F3I-769</v>
      </c>
      <c r="D52" t="str">
        <v>F3I-769</v>
      </c>
      <c r="E52" t="str">
        <v/>
      </c>
      <c r="F52" t="str">
        <v>867806075758377</v>
      </c>
      <c r="G52" t="str">
        <v>TBD</v>
      </c>
      <c r="H52" t="str">
        <v/>
      </c>
      <c r="I52" t="str">
        <v/>
      </c>
      <c r="J52" t="str">
        <v>24/09/2026</v>
      </c>
      <c r="K52" t="str">
        <v>09:18:21</v>
      </c>
      <c r="L52">
        <v>-12.16875</v>
      </c>
      <c r="M52">
        <v>-76.95086</v>
      </c>
      <c r="N52">
        <f>HYPERLINK("https://www.google.com/maps/search/?api=1&amp;query=-12.16875,-76.95086","Avenida Pachacútec, Villa María del Triunfo, Lima")</f>
      </c>
      <c r="O52" t="str">
        <v>Vehículo encendido</v>
      </c>
      <c r="P52">
        <v>1428.8</v>
      </c>
      <c r="Q52" t="str">
        <v/>
      </c>
      <c r="R52">
        <v>0</v>
      </c>
      <c r="S52">
        <v>52.92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91</v>
      </c>
      <c r="AB52" t="str">
        <v>24/09/2026</v>
      </c>
      <c r="AC52" t="str">
        <v>09:18:21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24/09/2026 09:18:37</v>
      </c>
      <c r="AK52" t="str">
        <v>09:18:37</v>
      </c>
      <c r="AL52" t="str">
        <v/>
      </c>
    </row>
    <row r="53">
      <c r="A53">
        <v>52</v>
      </c>
      <c r="B53" t="str">
        <v>MASS BSF</v>
      </c>
      <c r="C53" t="str">
        <v>F3I-769</v>
      </c>
      <c r="D53" t="str">
        <v>F3I-769</v>
      </c>
      <c r="E53" t="str">
        <v/>
      </c>
      <c r="F53" t="str">
        <v>867806075758377</v>
      </c>
      <c r="G53" t="str">
        <v>TBD</v>
      </c>
      <c r="H53" t="str">
        <v/>
      </c>
      <c r="I53" t="str">
        <v/>
      </c>
      <c r="J53" t="str">
        <v>24/09/2026</v>
      </c>
      <c r="K53" t="str">
        <v>09:19:40</v>
      </c>
      <c r="L53">
        <v>-12.171465</v>
      </c>
      <c r="M53">
        <v>-76.949326</v>
      </c>
      <c r="N53">
        <f>HYPERLINK("https://www.google.com/maps/search/?api=1&amp;query=-12.171465,-76.949326","Avenida Pachacútec, Villa María del Triunfo, Lima")</f>
      </c>
      <c r="O53" t="str">
        <v>Aceleración brusca</v>
      </c>
      <c r="P53">
        <v>1429.1</v>
      </c>
      <c r="Q53" t="str">
        <v/>
      </c>
      <c r="R53">
        <v>22.5</v>
      </c>
      <c r="S53">
        <v>52.92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91</v>
      </c>
      <c r="AB53" t="str">
        <v>24/09/2026</v>
      </c>
      <c r="AC53" t="str">
        <v>09:19:39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24/09/2026 09:19:56</v>
      </c>
      <c r="AK53" t="str">
        <v>09:19:56</v>
      </c>
      <c r="AL53" t="str">
        <v/>
      </c>
    </row>
    <row r="54">
      <c r="A54">
        <v>53</v>
      </c>
      <c r="B54" t="str">
        <v>MASS BSF</v>
      </c>
      <c r="C54" t="str">
        <v>F3I-769</v>
      </c>
      <c r="D54" t="str">
        <v>F3I-769</v>
      </c>
      <c r="E54" t="str">
        <v/>
      </c>
      <c r="F54" t="str">
        <v>867806075758377</v>
      </c>
      <c r="G54" t="str">
        <v>TBD</v>
      </c>
      <c r="H54" t="str">
        <v/>
      </c>
      <c r="I54" t="str">
        <v/>
      </c>
      <c r="J54" t="str">
        <v>24/09/2026</v>
      </c>
      <c r="K54" t="str">
        <v>09:20:01</v>
      </c>
      <c r="L54">
        <v>-12.172635</v>
      </c>
      <c r="M54">
        <v>-76.9496</v>
      </c>
      <c r="N54">
        <f>HYPERLINK("https://www.google.com/maps/search/?api=1&amp;query=-12.172635,-76.9496","Avenida La Unión, Villa María del Triunfo, Lima")</f>
      </c>
      <c r="O54" t="str">
        <v>Exceso de velocidad en segmento vial</v>
      </c>
      <c r="P54">
        <v>1429.3</v>
      </c>
      <c r="Q54" t="str">
        <v/>
      </c>
      <c r="R54">
        <v>40.3</v>
      </c>
      <c r="S54">
        <v>52.92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91</v>
      </c>
      <c r="AB54" t="str">
        <v>24/09/2026</v>
      </c>
      <c r="AC54" t="str">
        <v>09:20:01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24/09/2026 09:20:26</v>
      </c>
      <c r="AK54" t="str">
        <v>09:20:26</v>
      </c>
      <c r="AL54" t="str">
        <v/>
      </c>
    </row>
    <row r="55">
      <c r="A55">
        <v>54</v>
      </c>
      <c r="B55" t="str">
        <v>MASS BSF</v>
      </c>
      <c r="C55" t="str">
        <v>F3I-769</v>
      </c>
      <c r="D55" t="str">
        <v>F3I-769</v>
      </c>
      <c r="E55" t="str">
        <v/>
      </c>
      <c r="F55" t="str">
        <v>867806075758377</v>
      </c>
      <c r="G55" t="str">
        <v>TBD</v>
      </c>
      <c r="H55" t="str">
        <v/>
      </c>
      <c r="I55" t="str">
        <v/>
      </c>
      <c r="J55" t="str">
        <v>24/09/2026</v>
      </c>
      <c r="K55" t="str">
        <v>09:20:25</v>
      </c>
      <c r="L55">
        <v>-12.175656</v>
      </c>
      <c r="M55">
        <v>-76.9494</v>
      </c>
      <c r="N55">
        <f>HYPERLINK("https://www.google.com/maps/search/?api=1&amp;query=-12.175656,-76.9494","Avenida La Unión, Villa María del Triunfo, Lima")</f>
      </c>
      <c r="O55" t="str">
        <v>Exceso de velocidad en segmento vial</v>
      </c>
      <c r="P55">
        <v>1429.6</v>
      </c>
      <c r="Q55" t="str">
        <v/>
      </c>
      <c r="R55">
        <v>45</v>
      </c>
      <c r="S55">
        <v>52.92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91</v>
      </c>
      <c r="AB55" t="str">
        <v>24/09/2026</v>
      </c>
      <c r="AC55" t="str">
        <v>09:20:25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24/09/2026 09:20:37</v>
      </c>
      <c r="AK55" t="str">
        <v>09:20:37</v>
      </c>
      <c r="AL55" t="str">
        <v/>
      </c>
    </row>
    <row r="56">
      <c r="A56">
        <v>55</v>
      </c>
      <c r="B56" t="str">
        <v>MASS BSF</v>
      </c>
      <c r="C56" t="str">
        <v>F3I-769</v>
      </c>
      <c r="D56" t="str">
        <v>F3I-769</v>
      </c>
      <c r="E56" t="str">
        <v/>
      </c>
      <c r="F56" t="str">
        <v>867806075758377</v>
      </c>
      <c r="G56" t="str">
        <v>TBD</v>
      </c>
      <c r="H56" t="str">
        <v/>
      </c>
      <c r="I56" t="str">
        <v/>
      </c>
      <c r="J56" t="str">
        <v>24/09/2026</v>
      </c>
      <c r="K56" t="str">
        <v>09:21:14</v>
      </c>
      <c r="L56">
        <v>-12.179644</v>
      </c>
      <c r="M56">
        <v>-76.94744</v>
      </c>
      <c r="N56">
        <f>HYPERLINK("https://www.google.com/maps/search/?api=1&amp;query=-12.179644,-76.94744","Avenida La Unión, Villa María del Triunfo, Lima")</f>
      </c>
      <c r="O56" t="str">
        <v>Exceso de velocidad en segmento vial</v>
      </c>
      <c r="P56">
        <v>1430.1</v>
      </c>
      <c r="Q56" t="str">
        <v/>
      </c>
      <c r="R56">
        <v>40</v>
      </c>
      <c r="S56">
        <v>52.92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90</v>
      </c>
      <c r="AB56" t="str">
        <v>24/09/2026</v>
      </c>
      <c r="AC56" t="str">
        <v>09:21:14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24/09/2026 09:21:25</v>
      </c>
      <c r="AK56" t="str">
        <v>09:21:25</v>
      </c>
      <c r="AL56" t="str">
        <v/>
      </c>
    </row>
    <row r="57">
      <c r="A57">
        <v>56</v>
      </c>
      <c r="B57" t="str">
        <v>MASS BSF</v>
      </c>
      <c r="C57" t="str">
        <v>F3I-769</v>
      </c>
      <c r="D57" t="str">
        <v>F3I-769</v>
      </c>
      <c r="E57" t="str">
        <v/>
      </c>
      <c r="F57" t="str">
        <v>867806075758377</v>
      </c>
      <c r="G57" t="str">
        <v>TBD</v>
      </c>
      <c r="H57" t="str">
        <v/>
      </c>
      <c r="I57" t="str">
        <v/>
      </c>
      <c r="J57" t="str">
        <v>24/09/2026</v>
      </c>
      <c r="K57" t="str">
        <v>09:24:33</v>
      </c>
      <c r="L57">
        <v>-12.19051</v>
      </c>
      <c r="M57">
        <v>-76.944626</v>
      </c>
      <c r="N57">
        <f>HYPERLINK("https://www.google.com/maps/search/?api=1&amp;query=-12.19051,-76.944626","Avenida Primero de Mayo, Villa El Salvador, Lima")</f>
      </c>
      <c r="O57" t="str">
        <v>Bache</v>
      </c>
      <c r="P57">
        <v>1431.4</v>
      </c>
      <c r="Q57" t="str">
        <v/>
      </c>
      <c r="R57">
        <v>41.2</v>
      </c>
      <c r="S57">
        <v>52.92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88</v>
      </c>
      <c r="AB57" t="str">
        <v>24/09/2026</v>
      </c>
      <c r="AC57" t="str">
        <v>09:24:33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24/09/2026 09:24:58</v>
      </c>
      <c r="AK57" t="str">
        <v>09:24:58</v>
      </c>
      <c r="AL57" t="str">
        <v/>
      </c>
    </row>
    <row r="58">
      <c r="A58">
        <v>57</v>
      </c>
      <c r="B58" t="str">
        <v>MASS BSF</v>
      </c>
      <c r="C58" t="str">
        <v>F3I-769</v>
      </c>
      <c r="D58" t="str">
        <v>F3I-769</v>
      </c>
      <c r="E58" t="str">
        <v/>
      </c>
      <c r="F58" t="str">
        <v>867806075758377</v>
      </c>
      <c r="G58" t="str">
        <v>TBD</v>
      </c>
      <c r="H58" t="str">
        <v/>
      </c>
      <c r="I58" t="str">
        <v/>
      </c>
      <c r="J58" t="str">
        <v>24/09/2026</v>
      </c>
      <c r="K58" t="str">
        <v>09:24:40</v>
      </c>
      <c r="L58">
        <v>-12.19075</v>
      </c>
      <c r="M58">
        <v>-76.94505</v>
      </c>
      <c r="N58">
        <f>HYPERLINK("https://www.google.com/maps/search/?api=1&amp;query=-12.19075,-76.94505","Avenida Primero de Mayo, Villa El Salvador, Lima")</f>
      </c>
      <c r="O58" t="str">
        <v>Aceleración brusca</v>
      </c>
      <c r="P58">
        <v>1431.5</v>
      </c>
      <c r="Q58" t="str">
        <v/>
      </c>
      <c r="R58">
        <v>14.6</v>
      </c>
      <c r="S58">
        <v>52.92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88</v>
      </c>
      <c r="AB58" t="str">
        <v>24/09/2026</v>
      </c>
      <c r="AC58" t="str">
        <v>09:24:39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24/09/2026 09:24:53</v>
      </c>
      <c r="AK58" t="str">
        <v>09:24:53</v>
      </c>
      <c r="AL58" t="str">
        <v/>
      </c>
    </row>
    <row r="59">
      <c r="A59">
        <v>58</v>
      </c>
      <c r="B59" t="str">
        <v>MASS BSF</v>
      </c>
      <c r="C59" t="str">
        <v>F3I-769</v>
      </c>
      <c r="D59" t="str">
        <v>F3I-769</v>
      </c>
      <c r="E59" t="str">
        <v/>
      </c>
      <c r="F59" t="str">
        <v>867806075758377</v>
      </c>
      <c r="G59" t="str">
        <v>TBD</v>
      </c>
      <c r="H59" t="str">
        <v/>
      </c>
      <c r="I59" t="str">
        <v/>
      </c>
      <c r="J59" t="str">
        <v>24/09/2026</v>
      </c>
      <c r="K59" t="str">
        <v>09:24:42</v>
      </c>
      <c r="L59">
        <v>-12.190772</v>
      </c>
      <c r="M59">
        <v>-76.94509</v>
      </c>
      <c r="N59">
        <f>HYPERLINK("https://www.google.com/maps/search/?api=1&amp;query=-12.190772,-76.94509","Avenida Primero de Mayo, Villa El Salvador, Lima")</f>
      </c>
      <c r="O59" t="str">
        <v>Bache</v>
      </c>
      <c r="P59">
        <v>1431.5</v>
      </c>
      <c r="Q59" t="str">
        <v/>
      </c>
      <c r="R59">
        <v>5</v>
      </c>
      <c r="S59">
        <v>52.92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88</v>
      </c>
      <c r="AB59" t="str">
        <v>24/09/2026</v>
      </c>
      <c r="AC59" t="str">
        <v>09:24:42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24/09/2026 09:25:03</v>
      </c>
      <c r="AK59" t="str">
        <v>09:25:03</v>
      </c>
      <c r="AL59" t="str">
        <v/>
      </c>
    </row>
    <row r="60">
      <c r="A60">
        <v>59</v>
      </c>
      <c r="B60" t="str">
        <v>MASS BSF</v>
      </c>
      <c r="C60" t="str">
        <v>F3I-769</v>
      </c>
      <c r="D60" t="str">
        <v>F3I-769</v>
      </c>
      <c r="E60" t="str">
        <v/>
      </c>
      <c r="F60" t="str">
        <v>867806075758377</v>
      </c>
      <c r="G60" t="str">
        <v>TBD</v>
      </c>
      <c r="H60" t="str">
        <v/>
      </c>
      <c r="I60" t="str">
        <v/>
      </c>
      <c r="J60" t="str">
        <v>24/09/2026</v>
      </c>
      <c r="K60" t="str">
        <v>09:24:58</v>
      </c>
      <c r="L60">
        <v>-12.191315</v>
      </c>
      <c r="M60">
        <v>-76.94605</v>
      </c>
      <c r="N60">
        <f>HYPERLINK("https://www.google.com/maps/search/?api=1&amp;query=-12.191315,-76.94605","Avenida Primero de Mayo, Villa El Salvador, Lima")</f>
      </c>
      <c r="O60" t="str">
        <v>Acelerado y giro brusco</v>
      </c>
      <c r="P60">
        <v>1431.6</v>
      </c>
      <c r="Q60" t="str">
        <v/>
      </c>
      <c r="R60">
        <v>30.9</v>
      </c>
      <c r="S60">
        <v>52.92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88</v>
      </c>
      <c r="AB60" t="str">
        <v>24/09/2026</v>
      </c>
      <c r="AC60" t="str">
        <v>09:24:58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24/09/2026 09:25:15</v>
      </c>
      <c r="AK60" t="str">
        <v>09:25:15</v>
      </c>
      <c r="AL60" t="str">
        <v/>
      </c>
    </row>
    <row r="61">
      <c r="A61">
        <v>60</v>
      </c>
      <c r="B61" t="str">
        <v>MASS BSF</v>
      </c>
      <c r="C61" t="str">
        <v>F3I-769</v>
      </c>
      <c r="D61" t="str">
        <v>F3I-769</v>
      </c>
      <c r="E61" t="str">
        <v/>
      </c>
      <c r="F61" t="str">
        <v>867806075758377</v>
      </c>
      <c r="G61" t="str">
        <v>TBD</v>
      </c>
      <c r="H61" t="str">
        <v/>
      </c>
      <c r="I61" t="str">
        <v/>
      </c>
      <c r="J61" t="str">
        <v>24/09/2026</v>
      </c>
      <c r="K61" t="str">
        <v>09:25:05</v>
      </c>
      <c r="L61">
        <v>-12.191453</v>
      </c>
      <c r="M61">
        <v>-76.94635</v>
      </c>
      <c r="N61">
        <f>HYPERLINK("https://www.google.com/maps/search/?api=1&amp;query=-12.191453,-76.94635","Avenida Primero de Mayo, Villa El Salvador, Lima")</f>
      </c>
      <c r="O61" t="str">
        <v>Aceleración brusca</v>
      </c>
      <c r="P61">
        <v>1431.6</v>
      </c>
      <c r="Q61" t="str">
        <v/>
      </c>
      <c r="R61">
        <v>5.5</v>
      </c>
      <c r="S61">
        <v>52.92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88</v>
      </c>
      <c r="AB61" t="str">
        <v>24/09/2026</v>
      </c>
      <c r="AC61" t="str">
        <v>09:25:05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24/09/2026 09:25:30</v>
      </c>
      <c r="AK61" t="str">
        <v>09:25:30</v>
      </c>
      <c r="AL61" t="str">
        <v/>
      </c>
    </row>
    <row r="62">
      <c r="A62">
        <v>61</v>
      </c>
      <c r="B62" t="str">
        <v>MASS BSF</v>
      </c>
      <c r="C62" t="str">
        <v>F3I-769</v>
      </c>
      <c r="D62" t="str">
        <v>F3I-769</v>
      </c>
      <c r="E62" t="str">
        <v/>
      </c>
      <c r="F62" t="str">
        <v>867806075758377</v>
      </c>
      <c r="G62" t="str">
        <v>TBD</v>
      </c>
      <c r="H62" t="str">
        <v/>
      </c>
      <c r="I62" t="str">
        <v/>
      </c>
      <c r="J62" t="str">
        <v>24/09/2026</v>
      </c>
      <c r="K62" t="str">
        <v>09:26:17</v>
      </c>
      <c r="L62">
        <v>-12.193503</v>
      </c>
      <c r="M62">
        <v>-76.94984</v>
      </c>
      <c r="N62">
        <f>HYPERLINK("https://www.google.com/maps/search/?api=1&amp;query=-12.193503,-76.94984","Avenida Primero de Mayo, Villa El Salvador, Lima")</f>
      </c>
      <c r="O62" t="str">
        <v>Bache</v>
      </c>
      <c r="P62">
        <v>1432.1</v>
      </c>
      <c r="Q62" t="str">
        <v/>
      </c>
      <c r="R62">
        <v>40.7</v>
      </c>
      <c r="S62">
        <v>52.92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88</v>
      </c>
      <c r="AB62" t="str">
        <v>24/09/2026</v>
      </c>
      <c r="AC62" t="str">
        <v>09:26:16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24/09/2026 09:26:22</v>
      </c>
      <c r="AK62" t="str">
        <v>09:26:22</v>
      </c>
      <c r="AL62" t="str">
        <v/>
      </c>
    </row>
    <row r="63">
      <c r="A63">
        <v>62</v>
      </c>
      <c r="B63" t="str">
        <v>MASS BSF</v>
      </c>
      <c r="C63" t="str">
        <v>F3I-769</v>
      </c>
      <c r="D63" t="str">
        <v>F3I-769</v>
      </c>
      <c r="E63" t="str">
        <v/>
      </c>
      <c r="F63" t="str">
        <v>867806075758377</v>
      </c>
      <c r="G63" t="str">
        <v>TBD</v>
      </c>
      <c r="H63" t="str">
        <v/>
      </c>
      <c r="I63" t="str">
        <v/>
      </c>
      <c r="J63" t="str">
        <v>24/09/2026</v>
      </c>
      <c r="K63" t="str">
        <v>09:26:31</v>
      </c>
      <c r="L63">
        <v>-12.194248</v>
      </c>
      <c r="M63">
        <v>-76.951096</v>
      </c>
      <c r="N63">
        <f>HYPERLINK("https://www.google.com/maps/search/?api=1&amp;query=-12.194248,-76.951096","Avenida Primero de Mayo, Villa El Salvador, Lima")</f>
      </c>
      <c r="O63" t="str">
        <v>Aceleración brusca</v>
      </c>
      <c r="P63">
        <v>1432.2</v>
      </c>
      <c r="Q63" t="str">
        <v/>
      </c>
      <c r="R63">
        <v>18.8</v>
      </c>
      <c r="S63">
        <v>52.92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88</v>
      </c>
      <c r="AB63" t="str">
        <v>24/09/2026</v>
      </c>
      <c r="AC63" t="str">
        <v>09:26:30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24/09/2026 09:26:39</v>
      </c>
      <c r="AK63" t="str">
        <v>09:26:39</v>
      </c>
      <c r="AL63" t="str">
        <v/>
      </c>
    </row>
    <row r="64">
      <c r="A64">
        <v>63</v>
      </c>
      <c r="B64" t="str">
        <v>MASS BSF</v>
      </c>
      <c r="C64" t="str">
        <v>F3I-769</v>
      </c>
      <c r="D64" t="str">
        <v>F3I-769</v>
      </c>
      <c r="E64" t="str">
        <v/>
      </c>
      <c r="F64" t="str">
        <v>867806075758377</v>
      </c>
      <c r="G64" t="str">
        <v>TBD</v>
      </c>
      <c r="H64" t="str">
        <v/>
      </c>
      <c r="I64" t="str">
        <v/>
      </c>
      <c r="J64" t="str">
        <v>24/09/2026</v>
      </c>
      <c r="K64" t="str">
        <v>09:26:33</v>
      </c>
      <c r="L64">
        <v>-12.194282</v>
      </c>
      <c r="M64">
        <v>-76.95115</v>
      </c>
      <c r="N64">
        <f>HYPERLINK("https://www.google.com/maps/search/?api=1&amp;query=-12.194282,-76.95115","Avenida Primero de Mayo, Villa El Salvador, Lima")</f>
      </c>
      <c r="O64" t="str">
        <v>Bache</v>
      </c>
      <c r="P64">
        <v>1432.2</v>
      </c>
      <c r="Q64" t="str">
        <v/>
      </c>
      <c r="R64">
        <v>5</v>
      </c>
      <c r="S64">
        <v>52.92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88</v>
      </c>
      <c r="AB64" t="str">
        <v>24/09/2026</v>
      </c>
      <c r="AC64" t="str">
        <v>09:26:33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24/09/2026 09:26:47</v>
      </c>
      <c r="AK64" t="str">
        <v>09:26:47</v>
      </c>
      <c r="AL64" t="str">
        <v/>
      </c>
    </row>
    <row r="65">
      <c r="A65">
        <v>64</v>
      </c>
      <c r="B65" t="str">
        <v>MASS BSF</v>
      </c>
      <c r="C65" t="str">
        <v>F3I-769</v>
      </c>
      <c r="D65" t="str">
        <v>F3I-769</v>
      </c>
      <c r="E65" t="str">
        <v/>
      </c>
      <c r="F65" t="str">
        <v>867806075758377</v>
      </c>
      <c r="G65" t="str">
        <v>TBD</v>
      </c>
      <c r="H65" t="str">
        <v/>
      </c>
      <c r="I65" t="str">
        <v/>
      </c>
      <c r="J65" t="str">
        <v>24/09/2026</v>
      </c>
      <c r="K65" t="str">
        <v>09:26:56</v>
      </c>
      <c r="L65">
        <v>-12.195028</v>
      </c>
      <c r="M65">
        <v>-76.95244</v>
      </c>
      <c r="N65">
        <f>HYPERLINK("https://www.google.com/maps/search/?api=1&amp;query=-12.195028,-76.95244","Avenida Primero de Mayo, Villa El Salvador, Lima")</f>
      </c>
      <c r="O65" t="str">
        <v>Aceleración brusca</v>
      </c>
      <c r="P65">
        <v>1432.4</v>
      </c>
      <c r="Q65" t="str">
        <v/>
      </c>
      <c r="R65">
        <v>15.5</v>
      </c>
      <c r="S65">
        <v>52.92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88</v>
      </c>
      <c r="AB65" t="str">
        <v>24/09/2026</v>
      </c>
      <c r="AC65" t="str">
        <v>09:26:55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24/09/2026 09:27:09</v>
      </c>
      <c r="AK65" t="str">
        <v>09:27:09</v>
      </c>
      <c r="AL65" t="str">
        <v/>
      </c>
    </row>
    <row r="66">
      <c r="A66">
        <v>65</v>
      </c>
      <c r="B66" t="str">
        <v>MASS BSF</v>
      </c>
      <c r="C66" t="str">
        <v>F3I-769</v>
      </c>
      <c r="D66" t="str">
        <v>F3I-769</v>
      </c>
      <c r="E66" t="str">
        <v/>
      </c>
      <c r="F66" t="str">
        <v>867806075758377</v>
      </c>
      <c r="G66" t="str">
        <v>TBD</v>
      </c>
      <c r="H66" t="str">
        <v/>
      </c>
      <c r="I66" t="str">
        <v/>
      </c>
      <c r="J66" t="str">
        <v>24/09/2026</v>
      </c>
      <c r="K66" t="str">
        <v>09:27:19</v>
      </c>
      <c r="L66">
        <v>-12.195666</v>
      </c>
      <c r="M66">
        <v>-76.95354</v>
      </c>
      <c r="N66">
        <f>HYPERLINK("https://www.google.com/maps/search/?api=1&amp;query=-12.195666,-76.95354","Avenida Primero de Mayo, Villa El Salvador, Lima")</f>
      </c>
      <c r="O66" t="str">
        <v>Aceleración brusca</v>
      </c>
      <c r="P66">
        <v>1432.5</v>
      </c>
      <c r="Q66" t="str">
        <v/>
      </c>
      <c r="R66">
        <v>6.6</v>
      </c>
      <c r="S66">
        <v>52.92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88</v>
      </c>
      <c r="AB66" t="str">
        <v>24/09/2026</v>
      </c>
      <c r="AC66" t="str">
        <v>09:27:19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24/09/2026 09:27:36</v>
      </c>
      <c r="AK66" t="str">
        <v>09:27:36</v>
      </c>
      <c r="AL66" t="str">
        <v/>
      </c>
    </row>
    <row r="67">
      <c r="A67">
        <v>66</v>
      </c>
      <c r="B67" t="str">
        <v>MASS BSF</v>
      </c>
      <c r="C67" t="str">
        <v>F3I-769</v>
      </c>
      <c r="D67" t="str">
        <v>F3I-769</v>
      </c>
      <c r="E67" t="str">
        <v/>
      </c>
      <c r="F67" t="str">
        <v>867806075758377</v>
      </c>
      <c r="G67" t="str">
        <v>TBD</v>
      </c>
      <c r="H67" t="str">
        <v/>
      </c>
      <c r="I67" t="str">
        <v/>
      </c>
      <c r="J67" t="str">
        <v>24/09/2026</v>
      </c>
      <c r="K67" t="str">
        <v>09:28:29</v>
      </c>
      <c r="L67">
        <v>-12.1964</v>
      </c>
      <c r="M67">
        <v>-76.95483</v>
      </c>
      <c r="N67">
        <f>HYPERLINK("https://www.google.com/maps/search/?api=1&amp;query=-12.1964,-76.95483","Avenida Primero de Mayo, Villa El Salvador, Lima")</f>
      </c>
      <c r="O67" t="str">
        <v>Bache</v>
      </c>
      <c r="P67">
        <v>1432.7</v>
      </c>
      <c r="Q67" t="str">
        <v/>
      </c>
      <c r="R67">
        <v>49.8</v>
      </c>
      <c r="S67">
        <v>52.92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88</v>
      </c>
      <c r="AB67" t="str">
        <v>24/09/2026</v>
      </c>
      <c r="AC67" t="str">
        <v>09:28:29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24/09/2026 09:28:56</v>
      </c>
      <c r="AK67" t="str">
        <v>09:28:56</v>
      </c>
      <c r="AL67" t="str">
        <v/>
      </c>
    </row>
    <row r="68">
      <c r="A68">
        <v>67</v>
      </c>
      <c r="B68" t="str">
        <v>MASS BSF</v>
      </c>
      <c r="C68" t="str">
        <v>F3I-769</v>
      </c>
      <c r="D68" t="str">
        <v>F3I-769</v>
      </c>
      <c r="E68" t="str">
        <v/>
      </c>
      <c r="F68" t="str">
        <v>867806075758377</v>
      </c>
      <c r="G68" t="str">
        <v>TBD</v>
      </c>
      <c r="H68" t="str">
        <v/>
      </c>
      <c r="I68" t="str">
        <v/>
      </c>
      <c r="J68" t="str">
        <v>24/09/2026</v>
      </c>
      <c r="K68" t="str">
        <v>09:28:34</v>
      </c>
      <c r="L68">
        <v>-12.196736</v>
      </c>
      <c r="M68">
        <v>-76.9554</v>
      </c>
      <c r="N68">
        <f>HYPERLINK("https://www.google.com/maps/search/?api=1&amp;query=-12.196736,-76.9554","Avenida Primero de Mayo, Villa El Salvador, Lima")</f>
      </c>
      <c r="O68" t="str">
        <v>Bache</v>
      </c>
      <c r="P68">
        <v>1432.8</v>
      </c>
      <c r="Q68" t="str">
        <v/>
      </c>
      <c r="R68">
        <v>54</v>
      </c>
      <c r="S68">
        <v>52.92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88</v>
      </c>
      <c r="AB68" t="str">
        <v>24/09/2026</v>
      </c>
      <c r="AC68" t="str">
        <v>09:28:34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24/09/2026 09:28:56</v>
      </c>
      <c r="AK68" t="str">
        <v>09:28:56</v>
      </c>
      <c r="AL68" t="str">
        <v/>
      </c>
    </row>
    <row r="69">
      <c r="A69">
        <v>68</v>
      </c>
      <c r="B69" t="str">
        <v>MASS BSF</v>
      </c>
      <c r="C69" t="str">
        <v>F3I-769</v>
      </c>
      <c r="D69" t="str">
        <v>F3I-769</v>
      </c>
      <c r="E69" t="str">
        <v/>
      </c>
      <c r="F69" t="str">
        <v>867806075758377</v>
      </c>
      <c r="G69" t="str">
        <v>TBD</v>
      </c>
      <c r="H69" t="str">
        <v/>
      </c>
      <c r="I69" t="str">
        <v/>
      </c>
      <c r="J69" t="str">
        <v>24/09/2026</v>
      </c>
      <c r="K69" t="str">
        <v>09:28:53</v>
      </c>
      <c r="L69">
        <v>-12.19778</v>
      </c>
      <c r="M69">
        <v>-76.957184</v>
      </c>
      <c r="N69">
        <f>HYPERLINK("https://www.google.com/maps/search/?api=1&amp;query=-12.19778,-76.957184","Avenida Primero de Mayo, Villa El Salvador, Lima")</f>
      </c>
      <c r="O69" t="str">
        <v>Bache</v>
      </c>
      <c r="P69">
        <v>1433</v>
      </c>
      <c r="Q69" t="str">
        <v/>
      </c>
      <c r="R69">
        <v>5.7</v>
      </c>
      <c r="S69">
        <v>52.92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88</v>
      </c>
      <c r="AB69" t="str">
        <v>24/09/2026</v>
      </c>
      <c r="AC69" t="str">
        <v>09:28:53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24/09/2026 09:29:12</v>
      </c>
      <c r="AK69" t="str">
        <v>09:29:12</v>
      </c>
      <c r="AL69" t="str">
        <v/>
      </c>
    </row>
    <row r="70">
      <c r="A70">
        <v>69</v>
      </c>
      <c r="B70" t="str">
        <v>MASS BSF</v>
      </c>
      <c r="C70" t="str">
        <v>F3I-769</v>
      </c>
      <c r="D70" t="str">
        <v>F3I-769</v>
      </c>
      <c r="E70" t="str">
        <v/>
      </c>
      <c r="F70" t="str">
        <v>867806075758377</v>
      </c>
      <c r="G70" t="str">
        <v>TBD</v>
      </c>
      <c r="H70" t="str">
        <v/>
      </c>
      <c r="I70" t="str">
        <v/>
      </c>
      <c r="J70" t="str">
        <v>24/09/2026</v>
      </c>
      <c r="K70" t="str">
        <v>09:28:54</v>
      </c>
      <c r="L70">
        <v>-12.19778</v>
      </c>
      <c r="M70">
        <v>-76.957184</v>
      </c>
      <c r="N70">
        <f>HYPERLINK("https://www.google.com/maps/search/?api=1&amp;query=-12.19778,-76.957184","Avenida Primero de Mayo, Villa El Salvador, Lima")</f>
      </c>
      <c r="O70" t="str">
        <v>Aceleración brusca</v>
      </c>
      <c r="P70">
        <v>1433</v>
      </c>
      <c r="Q70" t="str">
        <v/>
      </c>
      <c r="R70">
        <v>5.7</v>
      </c>
      <c r="S70">
        <v>52.92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88</v>
      </c>
      <c r="AB70" t="str">
        <v>24/09/2026</v>
      </c>
      <c r="AC70" t="str">
        <v>09:28:53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24/09/2026 09:29:10</v>
      </c>
      <c r="AK70" t="str">
        <v>09:29:10</v>
      </c>
      <c r="AL70" t="str">
        <v/>
      </c>
    </row>
    <row r="71">
      <c r="A71">
        <v>70</v>
      </c>
      <c r="B71" t="str">
        <v>MASS BSF</v>
      </c>
      <c r="C71" t="str">
        <v>F3I-769</v>
      </c>
      <c r="D71" t="str">
        <v>F3I-769</v>
      </c>
      <c r="E71" t="str">
        <v/>
      </c>
      <c r="F71" t="str">
        <v>867806075758377</v>
      </c>
      <c r="G71" t="str">
        <v>TBD</v>
      </c>
      <c r="H71" t="str">
        <v/>
      </c>
      <c r="I71" t="str">
        <v/>
      </c>
      <c r="J71" t="str">
        <v>24/09/2026</v>
      </c>
      <c r="K71" t="str">
        <v>09:29:21</v>
      </c>
      <c r="L71">
        <v>-12.198733</v>
      </c>
      <c r="M71">
        <v>-76.95881</v>
      </c>
      <c r="N71">
        <f>HYPERLINK("https://www.google.com/maps/search/?api=1&amp;query=-12.198733,-76.95881","Avenida Primero de Mayo, Villa El Salvador, Lima")</f>
      </c>
      <c r="O71" t="str">
        <v>Aceleración brusca</v>
      </c>
      <c r="P71">
        <v>1433.2</v>
      </c>
      <c r="Q71" t="str">
        <v/>
      </c>
      <c r="R71">
        <v>11.8</v>
      </c>
      <c r="S71">
        <v>52.92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88</v>
      </c>
      <c r="AB71" t="str">
        <v>24/09/2026</v>
      </c>
      <c r="AC71" t="str">
        <v>09:29:21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24/09/2026 09:29:41</v>
      </c>
      <c r="AK71" t="str">
        <v>09:29:41</v>
      </c>
      <c r="AL71" t="str">
        <v/>
      </c>
    </row>
    <row r="72">
      <c r="A72">
        <v>71</v>
      </c>
      <c r="B72" t="str">
        <v>MASS BSF</v>
      </c>
      <c r="C72" t="str">
        <v>F3I-769</v>
      </c>
      <c r="D72" t="str">
        <v>F3I-769</v>
      </c>
      <c r="E72" t="str">
        <v/>
      </c>
      <c r="F72" t="str">
        <v>867806075758377</v>
      </c>
      <c r="G72" t="str">
        <v>TBD</v>
      </c>
      <c r="H72" t="str">
        <v/>
      </c>
      <c r="I72" t="str">
        <v/>
      </c>
      <c r="J72" t="str">
        <v>24/09/2026</v>
      </c>
      <c r="K72" t="str">
        <v>09:29:42</v>
      </c>
      <c r="L72">
        <v>-12.199139</v>
      </c>
      <c r="M72">
        <v>-76.96022</v>
      </c>
      <c r="N72">
        <f>HYPERLINK("https://www.google.com/maps/search/?api=1&amp;query=-12.199139,-76.96022","Avenida Primero de Mayo, Villa El Salvador, Lima")</f>
      </c>
      <c r="O72" t="str">
        <v>Exceso de velocidad en segmento vial</v>
      </c>
      <c r="P72">
        <v>1433.4</v>
      </c>
      <c r="Q72" t="str">
        <v/>
      </c>
      <c r="R72">
        <v>41.6</v>
      </c>
      <c r="S72">
        <v>52.92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88</v>
      </c>
      <c r="AB72" t="str">
        <v>24/09/2026</v>
      </c>
      <c r="AC72" t="str">
        <v>09:29:42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24/09/2026 09:30:03</v>
      </c>
      <c r="AK72" t="str">
        <v>09:30:03</v>
      </c>
      <c r="AL72" t="str">
        <v/>
      </c>
    </row>
    <row r="73">
      <c r="A73">
        <v>72</v>
      </c>
      <c r="B73" t="str">
        <v>MASS BSF</v>
      </c>
      <c r="C73" t="str">
        <v>F3I-769</v>
      </c>
      <c r="D73" t="str">
        <v>F3I-769</v>
      </c>
      <c r="E73" t="str">
        <v/>
      </c>
      <c r="F73" t="str">
        <v>867806075758377</v>
      </c>
      <c r="G73" t="str">
        <v>TBD</v>
      </c>
      <c r="H73" t="str">
        <v/>
      </c>
      <c r="I73" t="str">
        <v/>
      </c>
      <c r="J73" t="str">
        <v>24/09/2026</v>
      </c>
      <c r="K73" t="str">
        <v>09:30:49</v>
      </c>
      <c r="L73">
        <v>-12.198132</v>
      </c>
      <c r="M73">
        <v>-76.96523</v>
      </c>
      <c r="N73">
        <f>HYPERLINK("https://www.google.com/maps/search/?api=1&amp;query=-12.198132,-76.96523","Avenida Primero de Mayo, Villa El Salvador, Lima")</f>
      </c>
      <c r="O73" t="str">
        <v>Aceleración brusca</v>
      </c>
      <c r="P73">
        <v>1433.9</v>
      </c>
      <c r="Q73" t="str">
        <v/>
      </c>
      <c r="R73">
        <v>12.2</v>
      </c>
      <c r="S73">
        <v>52.92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87</v>
      </c>
      <c r="AB73" t="str">
        <v>24/09/2026</v>
      </c>
      <c r="AC73" t="str">
        <v>09:30:49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24/09/2026 09:31:02</v>
      </c>
      <c r="AK73" t="str">
        <v>09:31:02</v>
      </c>
      <c r="AL73" t="str">
        <v/>
      </c>
    </row>
    <row r="74">
      <c r="A74">
        <v>73</v>
      </c>
      <c r="B74" t="str">
        <v>MASS BSF</v>
      </c>
      <c r="C74" t="str">
        <v>F3I-769</v>
      </c>
      <c r="D74" t="str">
        <v>F3I-769</v>
      </c>
      <c r="E74" t="str">
        <v/>
      </c>
      <c r="F74" t="str">
        <v>867806075758377</v>
      </c>
      <c r="G74" t="str">
        <v>TBD</v>
      </c>
      <c r="H74" t="str">
        <v/>
      </c>
      <c r="I74" t="str">
        <v/>
      </c>
      <c r="J74" t="str">
        <v>24/09/2026</v>
      </c>
      <c r="K74" t="str">
        <v>09:31:29</v>
      </c>
      <c r="L74">
        <v>-12.197641</v>
      </c>
      <c r="M74">
        <v>-76.967865</v>
      </c>
      <c r="N74">
        <f>HYPERLINK("https://www.google.com/maps/search/?api=1&amp;query=-12.197641,-76.967865","Avenida Primero de Mayo, Villa El Salvador, Lima")</f>
      </c>
      <c r="O74" t="str">
        <v>Exceso de velocidad en segmento vial</v>
      </c>
      <c r="P74">
        <v>1434.2</v>
      </c>
      <c r="Q74" t="str">
        <v/>
      </c>
      <c r="R74">
        <v>40.9</v>
      </c>
      <c r="S74">
        <v>52.92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86</v>
      </c>
      <c r="AB74" t="str">
        <v>24/09/2026</v>
      </c>
      <c r="AC74" t="str">
        <v>09:31:29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24/09/2026 09:31:50</v>
      </c>
      <c r="AK74" t="str">
        <v>09:31:50</v>
      </c>
      <c r="AL74" t="str">
        <v/>
      </c>
    </row>
    <row r="75">
      <c r="A75">
        <v>74</v>
      </c>
      <c r="B75" t="str">
        <v>MASS BSF</v>
      </c>
      <c r="C75" t="str">
        <v>F3I-769</v>
      </c>
      <c r="D75" t="str">
        <v>F3I-769</v>
      </c>
      <c r="E75" t="str">
        <v/>
      </c>
      <c r="F75" t="str">
        <v>867806075758377</v>
      </c>
      <c r="G75" t="str">
        <v>TBD</v>
      </c>
      <c r="H75" t="str">
        <v/>
      </c>
      <c r="I75" t="str">
        <v/>
      </c>
      <c r="J75" t="str">
        <v>24/09/2026</v>
      </c>
      <c r="K75" t="str">
        <v>09:31:34</v>
      </c>
      <c r="L75">
        <v>-12.19758</v>
      </c>
      <c r="M75">
        <v>-76.9684</v>
      </c>
      <c r="N75">
        <f>HYPERLINK("https://www.google.com/maps/search/?api=1&amp;query=-12.19758,-76.9684","Avenida Primero de Mayo, Villa El Salvador, Lima")</f>
      </c>
      <c r="O75" t="str">
        <v>Exceso de velocidad en segmento vial</v>
      </c>
      <c r="P75">
        <v>1434.2</v>
      </c>
      <c r="Q75" t="str">
        <v/>
      </c>
      <c r="R75">
        <v>44.6</v>
      </c>
      <c r="S75">
        <v>52.92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86</v>
      </c>
      <c r="AB75" t="str">
        <v>24/09/2026</v>
      </c>
      <c r="AC75" t="str">
        <v>09:31:34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24/09/2026 09:31:58</v>
      </c>
      <c r="AK75" t="str">
        <v>09:31:58</v>
      </c>
      <c r="AL75" t="str">
        <v/>
      </c>
    </row>
    <row r="76">
      <c r="A76">
        <v>75</v>
      </c>
      <c r="B76" t="str">
        <v>MASS BSF</v>
      </c>
      <c r="C76" t="str">
        <v>F3I-769</v>
      </c>
      <c r="D76" t="str">
        <v>F3I-769</v>
      </c>
      <c r="E76" t="str">
        <v/>
      </c>
      <c r="F76" t="str">
        <v>867806075758377</v>
      </c>
      <c r="G76" t="str">
        <v>TBD</v>
      </c>
      <c r="H76" t="str">
        <v/>
      </c>
      <c r="I76" t="str">
        <v/>
      </c>
      <c r="J76" t="str">
        <v>24/09/2026</v>
      </c>
      <c r="K76" t="str">
        <v>09:31:52</v>
      </c>
      <c r="L76">
        <v>-12.197171</v>
      </c>
      <c r="M76">
        <v>-76.97017</v>
      </c>
      <c r="N76">
        <f>HYPERLINK("https://www.google.com/maps/search/?api=1&amp;query=-12.197171,-76.97017","Avenida Primero de Mayo, Villa El Salvador, Lima")</f>
      </c>
      <c r="O76" t="str">
        <v>Aceleración brusca</v>
      </c>
      <c r="P76">
        <v>1434.4</v>
      </c>
      <c r="Q76" t="str">
        <v/>
      </c>
      <c r="R76">
        <v>15.3</v>
      </c>
      <c r="S76">
        <v>52.92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86</v>
      </c>
      <c r="AB76" t="str">
        <v>24/09/2026</v>
      </c>
      <c r="AC76" t="str">
        <v>09:31:51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24/09/2026 09:32:09</v>
      </c>
      <c r="AK76" t="str">
        <v>09:32:09</v>
      </c>
      <c r="AL76" t="str">
        <v/>
      </c>
    </row>
    <row r="77">
      <c r="A77">
        <v>76</v>
      </c>
      <c r="B77" t="str">
        <v>MASS BSF</v>
      </c>
      <c r="C77" t="str">
        <v>F3I-769</v>
      </c>
      <c r="D77" t="str">
        <v>F3I-769</v>
      </c>
      <c r="E77" t="str">
        <v/>
      </c>
      <c r="F77" t="str">
        <v>867806075758377</v>
      </c>
      <c r="G77" t="str">
        <v>TBD</v>
      </c>
      <c r="H77" t="str">
        <v/>
      </c>
      <c r="I77" t="str">
        <v/>
      </c>
      <c r="J77" t="str">
        <v>24/09/2026</v>
      </c>
      <c r="K77" t="str">
        <v>09:31:55</v>
      </c>
      <c r="L77">
        <v>-12.19714</v>
      </c>
      <c r="M77">
        <v>-76.970276</v>
      </c>
      <c r="N77">
        <f>HYPERLINK("https://www.google.com/maps/search/?api=1&amp;query=-12.19714,-76.970276","Avenida Primero de Mayo, Villa El Salvador, Lima")</f>
      </c>
      <c r="O77" t="str">
        <v>Bache</v>
      </c>
      <c r="P77">
        <v>1434.5</v>
      </c>
      <c r="Q77" t="str">
        <v/>
      </c>
      <c r="R77">
        <v>16.1</v>
      </c>
      <c r="S77">
        <v>52.92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86</v>
      </c>
      <c r="AB77" t="str">
        <v>24/09/2026</v>
      </c>
      <c r="AC77" t="str">
        <v>09:31:55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24/09/2026 09:32:06</v>
      </c>
      <c r="AK77" t="str">
        <v>09:32:06</v>
      </c>
      <c r="AL77" t="str">
        <v/>
      </c>
    </row>
    <row r="78">
      <c r="A78">
        <v>77</v>
      </c>
      <c r="B78" t="str">
        <v>MASS BSF</v>
      </c>
      <c r="C78" t="str">
        <v>F3I-769</v>
      </c>
      <c r="D78" t="str">
        <v>F3I-769</v>
      </c>
      <c r="E78" t="str">
        <v/>
      </c>
      <c r="F78" t="str">
        <v>867806075758377</v>
      </c>
      <c r="G78" t="str">
        <v>TBD</v>
      </c>
      <c r="H78" t="str">
        <v/>
      </c>
      <c r="I78" t="str">
        <v/>
      </c>
      <c r="J78" t="str">
        <v>24/09/2026</v>
      </c>
      <c r="K78" t="str">
        <v>09:32:22</v>
      </c>
      <c r="L78">
        <v>-12.196691</v>
      </c>
      <c r="M78">
        <v>-76.97271</v>
      </c>
      <c r="N78">
        <f>HYPERLINK("https://www.google.com/maps/search/?api=1&amp;query=-12.196691,-76.97271","Avenida Primero de Mayo, Villa El Salvador, Lima")</f>
      </c>
      <c r="O78" t="str">
        <v>Aceleración brusca</v>
      </c>
      <c r="P78">
        <v>1434.7</v>
      </c>
      <c r="Q78" t="str">
        <v/>
      </c>
      <c r="R78">
        <v>17.5</v>
      </c>
      <c r="S78">
        <v>52.92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86</v>
      </c>
      <c r="AB78" t="str">
        <v>24/09/2026</v>
      </c>
      <c r="AC78" t="str">
        <v>09:32:21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24/09/2026 09:32:34</v>
      </c>
      <c r="AK78" t="str">
        <v>09:32:34</v>
      </c>
      <c r="AL78" t="str">
        <v/>
      </c>
    </row>
    <row r="79">
      <c r="A79">
        <v>78</v>
      </c>
      <c r="B79" t="str">
        <v>MASS BSF</v>
      </c>
      <c r="C79" t="str">
        <v>F3I-769</v>
      </c>
      <c r="D79" t="str">
        <v>F3I-769</v>
      </c>
      <c r="E79" t="str">
        <v/>
      </c>
      <c r="F79" t="str">
        <v>867806075758377</v>
      </c>
      <c r="G79" t="str">
        <v>TBD</v>
      </c>
      <c r="H79" t="str">
        <v/>
      </c>
      <c r="I79" t="str">
        <v/>
      </c>
      <c r="J79" t="str">
        <v>24/09/2026</v>
      </c>
      <c r="K79" t="str">
        <v>09:32:34</v>
      </c>
      <c r="L79">
        <v>-12.197182</v>
      </c>
      <c r="M79">
        <v>-76.972946</v>
      </c>
      <c r="N79">
        <f>HYPERLINK("https://www.google.com/maps/search/?api=1&amp;query=-12.197182,-76.972946","Antigua Panamericana Sur, Villa El Salvador, Lima")</f>
      </c>
      <c r="O79" t="str">
        <v>Bache</v>
      </c>
      <c r="P79">
        <v>1434.8</v>
      </c>
      <c r="Q79" t="str">
        <v/>
      </c>
      <c r="R79">
        <v>13.8</v>
      </c>
      <c r="S79">
        <v>52.92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86</v>
      </c>
      <c r="AB79" t="str">
        <v>24/09/2026</v>
      </c>
      <c r="AC79" t="str">
        <v>09:32:34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24/09/2026 09:32:48</v>
      </c>
      <c r="AK79" t="str">
        <v>09:32:48</v>
      </c>
      <c r="AL79" t="str">
        <v/>
      </c>
    </row>
    <row r="80">
      <c r="A80">
        <v>79</v>
      </c>
      <c r="B80" t="str">
        <v>MASS BSF</v>
      </c>
      <c r="C80" t="str">
        <v>F3I-769</v>
      </c>
      <c r="D80" t="str">
        <v>F3I-769</v>
      </c>
      <c r="E80" t="str">
        <v/>
      </c>
      <c r="F80" t="str">
        <v>867806075758377</v>
      </c>
      <c r="G80" t="str">
        <v>TBD</v>
      </c>
      <c r="H80" t="str">
        <v/>
      </c>
      <c r="I80" t="str">
        <v/>
      </c>
      <c r="J80" t="str">
        <v>24/09/2026</v>
      </c>
      <c r="K80" t="str">
        <v>09:33:21</v>
      </c>
      <c r="L80">
        <v>-12.202523</v>
      </c>
      <c r="M80">
        <v>-76.97394</v>
      </c>
      <c r="N80">
        <f>HYPERLINK("https://www.google.com/maps/search/?api=1&amp;query=-12.202523,-76.97394","Antigua Panamericana Sur, Villa El Salvador, Lima")</f>
      </c>
      <c r="O80" t="str">
        <v>Aceleración brusca</v>
      </c>
      <c r="P80">
        <v>1435.4</v>
      </c>
      <c r="Q80" t="str">
        <v/>
      </c>
      <c r="R80">
        <v>27.7</v>
      </c>
      <c r="S80">
        <v>52.92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86</v>
      </c>
      <c r="AB80" t="str">
        <v>24/09/2026</v>
      </c>
      <c r="AC80" t="str">
        <v>09:33:20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24/09/2026 09:33:25</v>
      </c>
      <c r="AK80" t="str">
        <v>09:33:25</v>
      </c>
      <c r="AL80" t="str">
        <v/>
      </c>
    </row>
    <row r="81">
      <c r="A81">
        <v>80</v>
      </c>
      <c r="B81" t="str">
        <v>MASS BSF</v>
      </c>
      <c r="C81" t="str">
        <v>F3I-769</v>
      </c>
      <c r="D81" t="str">
        <v>F3I-769</v>
      </c>
      <c r="E81" t="str">
        <v/>
      </c>
      <c r="F81" t="str">
        <v>867806075758377</v>
      </c>
      <c r="G81" t="str">
        <v>TBD</v>
      </c>
      <c r="H81" t="str">
        <v/>
      </c>
      <c r="I81" t="str">
        <v/>
      </c>
      <c r="J81" t="str">
        <v>24/09/2026</v>
      </c>
      <c r="K81" t="str">
        <v>09:33:25</v>
      </c>
      <c r="L81">
        <v>-12.202683</v>
      </c>
      <c r="M81">
        <v>-76.97397</v>
      </c>
      <c r="N81">
        <f>HYPERLINK("https://www.google.com/maps/search/?api=1&amp;query=-12.202683,-76.97397","Antigua Panamericana Sur, Villa El Salvador, Lima")</f>
      </c>
      <c r="O81" t="str">
        <v>Bache</v>
      </c>
      <c r="P81">
        <v>1435.4</v>
      </c>
      <c r="Q81" t="str">
        <v/>
      </c>
      <c r="R81">
        <v>16.8</v>
      </c>
      <c r="S81">
        <v>52.92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86</v>
      </c>
      <c r="AB81" t="str">
        <v>24/09/2026</v>
      </c>
      <c r="AC81" t="str">
        <v>09:33:24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24/09/2026 09:33:44</v>
      </c>
      <c r="AK81" t="str">
        <v>09:33:44</v>
      </c>
      <c r="AL81" t="str">
        <v/>
      </c>
    </row>
    <row r="82">
      <c r="A82">
        <v>81</v>
      </c>
      <c r="B82" t="str">
        <v>MASS BSF</v>
      </c>
      <c r="C82" t="str">
        <v>F3I-769</v>
      </c>
      <c r="D82" t="str">
        <v>F3I-769</v>
      </c>
      <c r="E82" t="str">
        <v/>
      </c>
      <c r="F82" t="str">
        <v>867806075758377</v>
      </c>
      <c r="G82" t="str">
        <v>TBD</v>
      </c>
      <c r="H82" t="str">
        <v/>
      </c>
      <c r="I82" t="str">
        <v/>
      </c>
      <c r="J82" t="str">
        <v>24/09/2026</v>
      </c>
      <c r="K82" t="str">
        <v>09:35:19</v>
      </c>
      <c r="L82">
        <v>-12.212358</v>
      </c>
      <c r="M82">
        <v>-76.97576</v>
      </c>
      <c r="N82">
        <f>HYPERLINK("https://www.google.com/maps/search/?api=1&amp;query=-12.212358,-76.97576","Antigua Panamericana Sur, Villa El Salvador, Lima")</f>
      </c>
      <c r="O82" t="str">
        <v>Aceleración brusca</v>
      </c>
      <c r="P82">
        <v>1436.5</v>
      </c>
      <c r="Q82" t="str">
        <v/>
      </c>
      <c r="R82">
        <v>19.8</v>
      </c>
      <c r="S82">
        <v>52.92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86</v>
      </c>
      <c r="AB82" t="str">
        <v>24/09/2026</v>
      </c>
      <c r="AC82" t="str">
        <v>09:35:19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24/09/2026 09:35:42</v>
      </c>
      <c r="AK82" t="str">
        <v>09:35:42</v>
      </c>
      <c r="AL82" t="str">
        <v/>
      </c>
    </row>
    <row r="83">
      <c r="A83">
        <v>82</v>
      </c>
      <c r="B83" t="str">
        <v>MASS BSF</v>
      </c>
      <c r="C83" t="str">
        <v>F3I-769</v>
      </c>
      <c r="D83" t="str">
        <v>F3I-769</v>
      </c>
      <c r="E83" t="str">
        <v/>
      </c>
      <c r="F83" t="str">
        <v>867806075758377</v>
      </c>
      <c r="G83" t="str">
        <v>TBD</v>
      </c>
      <c r="H83" t="str">
        <v/>
      </c>
      <c r="I83" t="str">
        <v/>
      </c>
      <c r="J83" t="str">
        <v>24/09/2026</v>
      </c>
      <c r="K83" t="str">
        <v>09:35:21</v>
      </c>
      <c r="L83">
        <v>-12.212399</v>
      </c>
      <c r="M83">
        <v>-76.97577</v>
      </c>
      <c r="N83">
        <f>HYPERLINK("https://www.google.com/maps/search/?api=1&amp;query=-12.212399,-76.97577","Antigua Panamericana Sur, Villa El Salvador, Lima")</f>
      </c>
      <c r="O83" t="str">
        <v>Bache</v>
      </c>
      <c r="P83">
        <v>1436.5</v>
      </c>
      <c r="Q83" t="str">
        <v/>
      </c>
      <c r="R83">
        <v>13.7</v>
      </c>
      <c r="S83">
        <v>52.92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86</v>
      </c>
      <c r="AB83" t="str">
        <v>24/09/2026</v>
      </c>
      <c r="AC83" t="str">
        <v>09:35:20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24/09/2026 09:35:29</v>
      </c>
      <c r="AK83" t="str">
        <v>09:35:29</v>
      </c>
      <c r="AL83" t="str">
        <v/>
      </c>
    </row>
    <row r="84">
      <c r="A84">
        <v>83</v>
      </c>
      <c r="B84" t="str">
        <v>MASS BSF</v>
      </c>
      <c r="C84" t="str">
        <v>F3I-769</v>
      </c>
      <c r="D84" t="str">
        <v>F3I-769</v>
      </c>
      <c r="E84" t="str">
        <v/>
      </c>
      <c r="F84" t="str">
        <v>867806075758377</v>
      </c>
      <c r="G84" t="str">
        <v>TBD</v>
      </c>
      <c r="H84" t="str">
        <v/>
      </c>
      <c r="I84" t="str">
        <v/>
      </c>
      <c r="J84" t="str">
        <v>24/09/2026</v>
      </c>
      <c r="K84" t="str">
        <v>09:35:24</v>
      </c>
      <c r="L84">
        <v>-12.212519</v>
      </c>
      <c r="M84">
        <v>-76.97579</v>
      </c>
      <c r="N84">
        <f>HYPERLINK("https://www.google.com/maps/search/?api=1&amp;query=-12.212519,-76.97579","Antigua Panamericana Sur, Villa El Salvador, Lima")</f>
      </c>
      <c r="O84" t="str">
        <v>Bache</v>
      </c>
      <c r="P84">
        <v>1436.5</v>
      </c>
      <c r="Q84" t="str">
        <v/>
      </c>
      <c r="R84">
        <v>20</v>
      </c>
      <c r="S84">
        <v>52.92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86</v>
      </c>
      <c r="AB84" t="str">
        <v>24/09/2026</v>
      </c>
      <c r="AC84" t="str">
        <v>09:35:23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24/09/2026 09:35:52</v>
      </c>
      <c r="AK84" t="str">
        <v>09:35:52</v>
      </c>
      <c r="AL84" t="str">
        <v/>
      </c>
    </row>
    <row r="85">
      <c r="A85">
        <v>84</v>
      </c>
      <c r="B85" t="str">
        <v>MASS BSF</v>
      </c>
      <c r="C85" t="str">
        <v>F3I-769</v>
      </c>
      <c r="D85" t="str">
        <v>F3I-769</v>
      </c>
      <c r="E85" t="str">
        <v/>
      </c>
      <c r="F85" t="str">
        <v>867806075758377</v>
      </c>
      <c r="G85" t="str">
        <v>TBD</v>
      </c>
      <c r="H85" t="str">
        <v/>
      </c>
      <c r="I85" t="str">
        <v/>
      </c>
      <c r="J85" t="str">
        <v>24/09/2026</v>
      </c>
      <c r="K85" t="str">
        <v>09:36:38</v>
      </c>
      <c r="L85">
        <v>-12.219646</v>
      </c>
      <c r="M85">
        <v>-76.97558</v>
      </c>
      <c r="N85">
        <f>HYPERLINK("https://www.google.com/maps/search/?api=1&amp;query=-12.219646,-76.97558","Antigua Panamericana Sur, Villa El Salvador, Lima")</f>
      </c>
      <c r="O85" t="str">
        <v>Acelerado y giro brusco</v>
      </c>
      <c r="P85">
        <v>1437.4</v>
      </c>
      <c r="Q85" t="str">
        <v/>
      </c>
      <c r="R85">
        <v>23.7</v>
      </c>
      <c r="S85">
        <v>52.92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86</v>
      </c>
      <c r="AB85" t="str">
        <v>24/09/2026</v>
      </c>
      <c r="AC85" t="str">
        <v>09:36:37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24/09/2026 09:36:44</v>
      </c>
      <c r="AK85" t="str">
        <v>09:36:44</v>
      </c>
      <c r="AL85" t="str">
        <v/>
      </c>
    </row>
    <row r="86">
      <c r="A86">
        <v>85</v>
      </c>
      <c r="B86" t="str">
        <v>MASS BSF</v>
      </c>
      <c r="C86" t="str">
        <v>F3I-769</v>
      </c>
      <c r="D86" t="str">
        <v>F3I-769</v>
      </c>
      <c r="E86" t="str">
        <v/>
      </c>
      <c r="F86" t="str">
        <v>867806075758377</v>
      </c>
      <c r="G86" t="str">
        <v>TBD</v>
      </c>
      <c r="H86" t="str">
        <v/>
      </c>
      <c r="I86" t="str">
        <v/>
      </c>
      <c r="J86" t="str">
        <v>24/09/2026</v>
      </c>
      <c r="K86" t="str">
        <v>09:39:45</v>
      </c>
      <c r="L86">
        <v>-12.22077</v>
      </c>
      <c r="M86">
        <v>-76.97645</v>
      </c>
      <c r="N86">
        <f>HYPERLINK("https://www.google.com/maps/search/?api=1&amp;query=-12.22077,-76.97645","Carretera Panamericana Sur, Chorrillos, Lima")</f>
      </c>
      <c r="O86" t="str">
        <v>Bache</v>
      </c>
      <c r="P86">
        <v>1439</v>
      </c>
      <c r="Q86" t="str">
        <v/>
      </c>
      <c r="R86">
        <v>62</v>
      </c>
      <c r="S86">
        <v>52.92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86</v>
      </c>
      <c r="AB86" t="str">
        <v>24/09/2026</v>
      </c>
      <c r="AC86" t="str">
        <v>09:39:45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24/09/2026 09:40:08</v>
      </c>
      <c r="AK86" t="str">
        <v>09:40:08</v>
      </c>
      <c r="AL86" t="str">
        <v/>
      </c>
    </row>
    <row r="87">
      <c r="A87">
        <v>86</v>
      </c>
      <c r="B87" t="str">
        <v>MASS BSF</v>
      </c>
      <c r="C87" t="str">
        <v>F3I-769</v>
      </c>
      <c r="D87" t="str">
        <v>F3I-769</v>
      </c>
      <c r="E87" t="str">
        <v/>
      </c>
      <c r="F87" t="str">
        <v>867806075758377</v>
      </c>
      <c r="G87" t="str">
        <v>TBD</v>
      </c>
      <c r="H87" t="str">
        <v/>
      </c>
      <c r="I87" t="str">
        <v/>
      </c>
      <c r="J87" t="str">
        <v>24/09/2026</v>
      </c>
      <c r="K87" t="str">
        <v>09:40:30</v>
      </c>
      <c r="L87">
        <v>-12.225993</v>
      </c>
      <c r="M87">
        <v>-76.97133</v>
      </c>
      <c r="N87">
        <f>HYPERLINK("https://www.google.com/maps/search/?api=1&amp;query=-12.225993,-76.97133","Carretera Panamericana Sur, Villa El Salvador, Lima")</f>
      </c>
      <c r="O87" t="str">
        <v>Bache</v>
      </c>
      <c r="P87">
        <v>1439.7</v>
      </c>
      <c r="Q87" t="str">
        <v/>
      </c>
      <c r="R87">
        <v>37.7</v>
      </c>
      <c r="S87">
        <v>52.92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86</v>
      </c>
      <c r="AB87" t="str">
        <v>24/09/2026</v>
      </c>
      <c r="AC87" t="str">
        <v>09:40:30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24/09/2026 09:40:40</v>
      </c>
      <c r="AK87" t="str">
        <v>09:40:40</v>
      </c>
      <c r="AL87" t="str">
        <v/>
      </c>
    </row>
    <row r="88">
      <c r="A88">
        <v>87</v>
      </c>
      <c r="B88" t="str">
        <v>MASS BSF</v>
      </c>
      <c r="C88" t="str">
        <v>F3I-769</v>
      </c>
      <c r="D88" t="str">
        <v>F3I-769</v>
      </c>
      <c r="E88" t="str">
        <v/>
      </c>
      <c r="F88" t="str">
        <v>867806075758377</v>
      </c>
      <c r="G88" t="str">
        <v>TBD</v>
      </c>
      <c r="H88" t="str">
        <v/>
      </c>
      <c r="I88" t="str">
        <v/>
      </c>
      <c r="J88" t="str">
        <v>24/09/2026</v>
      </c>
      <c r="K88" t="str">
        <v>09:41:10</v>
      </c>
      <c r="L88">
        <v>-12.229243</v>
      </c>
      <c r="M88">
        <v>-76.96813</v>
      </c>
      <c r="N88">
        <f>HYPERLINK("https://www.google.com/maps/search/?api=1&amp;query=-12.229243,-76.96813","Carretera Panamericana Sur, Villa El Salvador, Lima")</f>
      </c>
      <c r="O88" t="str">
        <v>Aceleración brusca</v>
      </c>
      <c r="P88">
        <v>1440.2</v>
      </c>
      <c r="Q88" t="str">
        <v/>
      </c>
      <c r="R88">
        <v>41.2</v>
      </c>
      <c r="S88">
        <v>52.92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90</v>
      </c>
      <c r="AB88" t="str">
        <v>24/09/2026</v>
      </c>
      <c r="AC88" t="str">
        <v>09:41:09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24/09/2026 09:41:14</v>
      </c>
      <c r="AK88" t="str">
        <v>09:41:14</v>
      </c>
      <c r="AL88" t="str">
        <v/>
      </c>
    </row>
    <row r="89">
      <c r="A89">
        <v>88</v>
      </c>
      <c r="B89" t="str">
        <v>MASS BSF</v>
      </c>
      <c r="C89" t="str">
        <v>F3I-769</v>
      </c>
      <c r="D89" t="str">
        <v>F3I-769</v>
      </c>
      <c r="E89" t="str">
        <v/>
      </c>
      <c r="F89" t="str">
        <v>867806075758377</v>
      </c>
      <c r="G89" t="str">
        <v>TBD</v>
      </c>
      <c r="H89" t="str">
        <v/>
      </c>
      <c r="I89" t="str">
        <v/>
      </c>
      <c r="J89" t="str">
        <v>24/09/2026</v>
      </c>
      <c r="K89" t="str">
        <v>09:56:58</v>
      </c>
      <c r="L89">
        <v>-12.329097</v>
      </c>
      <c r="M89">
        <v>-76.82291</v>
      </c>
      <c r="N89">
        <f>HYPERLINK("https://www.google.com/maps/search/?api=1&amp;query=-12.329097,-76.82291","Carretera Panamericana Sur, Punta Hermosa, Lima")</f>
      </c>
      <c r="O89" t="str">
        <v>Exceso de velocidad en segmento vial</v>
      </c>
      <c r="P89">
        <v>1459.7</v>
      </c>
      <c r="Q89" t="str">
        <v/>
      </c>
      <c r="R89">
        <v>81.8</v>
      </c>
      <c r="S89">
        <v>52.92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90</v>
      </c>
      <c r="AB89" t="str">
        <v>24/09/2026</v>
      </c>
      <c r="AC89" t="str">
        <v>09:56:58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24/09/2026 09:57:23</v>
      </c>
      <c r="AK89" t="str">
        <v>09:57:23</v>
      </c>
      <c r="AL89" t="str">
        <v/>
      </c>
    </row>
    <row r="90">
      <c r="A90">
        <v>89</v>
      </c>
      <c r="B90" t="str">
        <v>MASS BSF</v>
      </c>
      <c r="C90" t="str">
        <v>F3I-769</v>
      </c>
      <c r="D90" t="str">
        <v>F3I-769</v>
      </c>
      <c r="E90" t="str">
        <v/>
      </c>
      <c r="F90" t="str">
        <v>867806075758377</v>
      </c>
      <c r="G90" t="str">
        <v>TBD</v>
      </c>
      <c r="H90" t="str">
        <v/>
      </c>
      <c r="I90" t="str">
        <v/>
      </c>
      <c r="J90" t="str">
        <v>24/09/2026</v>
      </c>
      <c r="K90" t="str">
        <v>09:57:33</v>
      </c>
      <c r="L90">
        <v>-12.334942</v>
      </c>
      <c r="M90">
        <v>-76.81909</v>
      </c>
      <c r="N90">
        <f>HYPERLINK("https://www.google.com/maps/search/?api=1&amp;query=-12.334942,-76.81909","Carretera Panamericana Sur, Punta Hermosa, Lima")</f>
      </c>
      <c r="O90" t="str">
        <v>Bache</v>
      </c>
      <c r="P90">
        <v>1460.5</v>
      </c>
      <c r="Q90" t="str">
        <v/>
      </c>
      <c r="R90">
        <v>54.2</v>
      </c>
      <c r="S90">
        <v>52.92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90</v>
      </c>
      <c r="AB90" t="str">
        <v>24/09/2026</v>
      </c>
      <c r="AC90" t="str">
        <v>09:57:33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24/09/2026 09:57:49</v>
      </c>
      <c r="AK90" t="str">
        <v>09:57:49</v>
      </c>
      <c r="AL90" t="str">
        <v/>
      </c>
    </row>
    <row r="91">
      <c r="A91">
        <v>90</v>
      </c>
      <c r="B91" t="str">
        <v>MASS BSF</v>
      </c>
      <c r="C91" t="str">
        <v>F3I-769</v>
      </c>
      <c r="D91" t="str">
        <v>F3I-769</v>
      </c>
      <c r="E91" t="str">
        <v/>
      </c>
      <c r="F91" t="str">
        <v>867806075758377</v>
      </c>
      <c r="G91" t="str">
        <v>TBD</v>
      </c>
      <c r="H91" t="str">
        <v/>
      </c>
      <c r="I91" t="str">
        <v/>
      </c>
      <c r="J91" t="str">
        <v>24/09/2026</v>
      </c>
      <c r="K91" t="str">
        <v>09:57:38</v>
      </c>
      <c r="L91">
        <v>-12.33537</v>
      </c>
      <c r="M91">
        <v>-76.818855</v>
      </c>
      <c r="N91">
        <f>HYPERLINK("https://www.google.com/maps/search/?api=1&amp;query=-12.33537,-76.818855","Carretera Panamericana Sur, Punta Hermosa, Lima")</f>
      </c>
      <c r="O91" t="str">
        <v>Aceleración brusca</v>
      </c>
      <c r="P91">
        <v>1460.5</v>
      </c>
      <c r="Q91" t="str">
        <v/>
      </c>
      <c r="R91">
        <v>28.1</v>
      </c>
      <c r="S91">
        <v>52.92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90</v>
      </c>
      <c r="AB91" t="str">
        <v>24/09/2026</v>
      </c>
      <c r="AC91" t="str">
        <v>09:57:38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24/09/2026 09:57:53</v>
      </c>
      <c r="AK91" t="str">
        <v>09:57:53</v>
      </c>
      <c r="AL91" t="str">
        <v/>
      </c>
    </row>
    <row r="92">
      <c r="A92">
        <v>91</v>
      </c>
      <c r="B92" t="str">
        <v>MASS BSF</v>
      </c>
      <c r="C92" t="str">
        <v>F3I-769</v>
      </c>
      <c r="D92" t="str">
        <v>F3I-769</v>
      </c>
      <c r="E92" t="str">
        <v/>
      </c>
      <c r="F92" t="str">
        <v>867806075758377</v>
      </c>
      <c r="G92" t="str">
        <v>TBD</v>
      </c>
      <c r="H92" t="str">
        <v/>
      </c>
      <c r="I92" t="str">
        <v/>
      </c>
      <c r="J92" t="str">
        <v>24/09/2026</v>
      </c>
      <c r="K92" t="str">
        <v>09:58:36</v>
      </c>
      <c r="L92">
        <v>-12.334155</v>
      </c>
      <c r="M92">
        <v>-76.82026</v>
      </c>
      <c r="N92">
        <f>HYPERLINK("https://www.google.com/maps/search/?api=1&amp;query=-12.334155,-76.82026","Antigua Panamericana Sur, Punta Hermosa, Lima")</f>
      </c>
      <c r="O92" t="str">
        <v>Aceleración brusca</v>
      </c>
      <c r="P92">
        <v>1460.8</v>
      </c>
      <c r="Q92" t="str">
        <v/>
      </c>
      <c r="R92">
        <v>7.4</v>
      </c>
      <c r="S92">
        <v>52.92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91</v>
      </c>
      <c r="AB92" t="str">
        <v>24/09/2026</v>
      </c>
      <c r="AC92" t="str">
        <v>09:58:35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24/09/2026 09:58:57</v>
      </c>
      <c r="AK92" t="str">
        <v>09:58:57</v>
      </c>
      <c r="AL92" t="str">
        <v/>
      </c>
    </row>
    <row r="93">
      <c r="A93">
        <v>92</v>
      </c>
      <c r="B93" t="str">
        <v>MASS BSF</v>
      </c>
      <c r="C93" t="str">
        <v>F3I-769</v>
      </c>
      <c r="D93" t="str">
        <v>F3I-769</v>
      </c>
      <c r="E93" t="str">
        <v/>
      </c>
      <c r="F93" t="str">
        <v>867806075758377</v>
      </c>
      <c r="G93" t="str">
        <v>TBD</v>
      </c>
      <c r="H93" t="str">
        <v/>
      </c>
      <c r="I93" t="str">
        <v/>
      </c>
      <c r="J93" t="str">
        <v>24/09/2026</v>
      </c>
      <c r="K93" t="str">
        <v>09:59:04</v>
      </c>
      <c r="L93">
        <v>-12.33372</v>
      </c>
      <c r="M93">
        <v>-76.820435</v>
      </c>
      <c r="N93">
        <f>HYPERLINK("https://www.google.com/maps/search/?api=1&amp;query=-12.33372,-76.820435","Antigua Panamericana Sur, Punta Hermosa, Lima")</f>
      </c>
      <c r="O93" t="str">
        <v>Acelerado y giro brusco</v>
      </c>
      <c r="P93">
        <v>1460.9</v>
      </c>
      <c r="Q93" t="str">
        <v/>
      </c>
      <c r="R93">
        <v>11.8</v>
      </c>
      <c r="S93">
        <v>52.92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91</v>
      </c>
      <c r="AB93" t="str">
        <v>24/09/2026</v>
      </c>
      <c r="AC93" t="str">
        <v>09:59:04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24/09/2026 09:59:12</v>
      </c>
      <c r="AK93" t="str">
        <v>09:59:12</v>
      </c>
      <c r="AL93" t="str">
        <v/>
      </c>
    </row>
    <row r="94">
      <c r="A94">
        <v>93</v>
      </c>
      <c r="B94" t="str">
        <v>MASS BSF</v>
      </c>
      <c r="C94" t="str">
        <v>F3I-769</v>
      </c>
      <c r="D94" t="str">
        <v>F3I-769</v>
      </c>
      <c r="E94" t="str">
        <v/>
      </c>
      <c r="F94" t="str">
        <v>867806075758377</v>
      </c>
      <c r="G94" t="str">
        <v>TBD</v>
      </c>
      <c r="H94" t="str">
        <v/>
      </c>
      <c r="I94" t="str">
        <v/>
      </c>
      <c r="J94" t="str">
        <v>24/09/2026</v>
      </c>
      <c r="K94" t="str">
        <v>09:59:24</v>
      </c>
      <c r="L94">
        <v>-12.33335</v>
      </c>
      <c r="M94">
        <v>-76.819534</v>
      </c>
      <c r="N94">
        <f>HYPERLINK("https://www.google.com/maps/search/?api=1&amp;query=-12.33335,-76.819534","Punta Hermosa, Lima")</f>
      </c>
      <c r="O94" t="str">
        <v>Frenado y giro brusco</v>
      </c>
      <c r="P94">
        <v>1461</v>
      </c>
      <c r="Q94" t="str">
        <v/>
      </c>
      <c r="R94">
        <v>23.8</v>
      </c>
      <c r="S94">
        <v>52.92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91</v>
      </c>
      <c r="AB94" t="str">
        <v>24/09/2026</v>
      </c>
      <c r="AC94" t="str">
        <v>09:59:24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24/09/2026 09:59:31</v>
      </c>
      <c r="AK94" t="str">
        <v>09:59:31</v>
      </c>
      <c r="AL94" t="str">
        <v/>
      </c>
    </row>
    <row r="95">
      <c r="A95">
        <v>94</v>
      </c>
      <c r="B95" t="str">
        <v>MASS BSF</v>
      </c>
      <c r="C95" t="str">
        <v>F3I-769</v>
      </c>
      <c r="D95" t="str">
        <v>F3I-769</v>
      </c>
      <c r="E95" t="str">
        <v/>
      </c>
      <c r="F95" t="str">
        <v>867806075758377</v>
      </c>
      <c r="G95" t="str">
        <v>TBD</v>
      </c>
      <c r="H95" t="str">
        <v/>
      </c>
      <c r="I95" t="str">
        <v/>
      </c>
      <c r="J95" t="str">
        <v>24/09/2026</v>
      </c>
      <c r="K95" t="str">
        <v>10:01:20</v>
      </c>
      <c r="L95">
        <v>-12.318907</v>
      </c>
      <c r="M95">
        <v>-76.82942</v>
      </c>
      <c r="N95">
        <f>HYPERLINK("https://www.google.com/maps/search/?api=1&amp;query=-12.318907,-76.82942","Carretera Panamericana Sur, Punta Hermosa, Lima")</f>
      </c>
      <c r="O95" t="str">
        <v>Aceleración brusca</v>
      </c>
      <c r="P95">
        <v>1462.9</v>
      </c>
      <c r="Q95" t="str">
        <v/>
      </c>
      <c r="R95">
        <v>45</v>
      </c>
      <c r="S95">
        <v>52.92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91</v>
      </c>
      <c r="AB95" t="str">
        <v>24/09/2026</v>
      </c>
      <c r="AC95" t="str">
        <v>10:01:20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24/09/2026 10:01:37</v>
      </c>
      <c r="AK95" t="str">
        <v>10:01:37</v>
      </c>
      <c r="AL95" t="str">
        <v/>
      </c>
    </row>
    <row r="96">
      <c r="A96">
        <v>95</v>
      </c>
      <c r="B96" t="str">
        <v>MASS BSF</v>
      </c>
      <c r="C96" t="str">
        <v>F3I-769</v>
      </c>
      <c r="D96" t="str">
        <v>F3I-769</v>
      </c>
      <c r="E96" t="str">
        <v/>
      </c>
      <c r="F96" t="str">
        <v>867806075758377</v>
      </c>
      <c r="G96" t="str">
        <v>TBD</v>
      </c>
      <c r="H96" t="str">
        <v/>
      </c>
      <c r="I96" t="str">
        <v/>
      </c>
      <c r="J96" t="str">
        <v>24/09/2026</v>
      </c>
      <c r="K96" t="str">
        <v>10:01:30</v>
      </c>
      <c r="L96">
        <v>-12.318192</v>
      </c>
      <c r="M96">
        <v>-76.829765</v>
      </c>
      <c r="N96">
        <f>HYPERLINK("https://www.google.com/maps/search/?api=1&amp;query=-12.318192,-76.829765","Carretera Panamericana Sur, Punta Hermosa, Lima")</f>
      </c>
      <c r="O96" t="str">
        <v>Aceleración brusca</v>
      </c>
      <c r="P96">
        <v>1463</v>
      </c>
      <c r="Q96" t="str">
        <v/>
      </c>
      <c r="R96">
        <v>15.5</v>
      </c>
      <c r="S96">
        <v>52.92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89</v>
      </c>
      <c r="AB96" t="str">
        <v>24/09/2026</v>
      </c>
      <c r="AC96" t="str">
        <v>10:01:29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24/09/2026 10:01:54</v>
      </c>
      <c r="AK96" t="str">
        <v>10:01:54</v>
      </c>
      <c r="AL96" t="str">
        <v/>
      </c>
    </row>
    <row r="97">
      <c r="A97">
        <v>96</v>
      </c>
      <c r="B97" t="str">
        <v>MASS BSF</v>
      </c>
      <c r="C97" t="str">
        <v>F3I-769</v>
      </c>
      <c r="D97" t="str">
        <v>F3I-769</v>
      </c>
      <c r="E97" t="str">
        <v/>
      </c>
      <c r="F97" t="str">
        <v>867806075758377</v>
      </c>
      <c r="G97" t="str">
        <v>TBD</v>
      </c>
      <c r="H97" t="str">
        <v/>
      </c>
      <c r="I97" t="str">
        <v/>
      </c>
      <c r="J97" t="str">
        <v>24/09/2026</v>
      </c>
      <c r="K97" t="str">
        <v>10:04:56</v>
      </c>
      <c r="L97">
        <v>-12.31681</v>
      </c>
      <c r="M97">
        <v>-76.82496</v>
      </c>
      <c r="N97">
        <f>HYPERLINK("https://www.google.com/maps/search/?api=1&amp;query=-12.31681,-76.82496","Punta Hermosa, Lima")</f>
      </c>
      <c r="O97" t="str">
        <v>Bache</v>
      </c>
      <c r="P97">
        <v>1463.7</v>
      </c>
      <c r="Q97" t="str">
        <v/>
      </c>
      <c r="R97">
        <v>23.8</v>
      </c>
      <c r="S97">
        <v>52.92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89</v>
      </c>
      <c r="AB97" t="str">
        <v>24/09/2026</v>
      </c>
      <c r="AC97" t="str">
        <v>10:04:55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24/09/2026 10:05:16</v>
      </c>
      <c r="AK97" t="str">
        <v>10:05:16</v>
      </c>
      <c r="AL97" t="str">
        <v/>
      </c>
    </row>
    <row r="98">
      <c r="A98">
        <v>97</v>
      </c>
      <c r="B98" t="str">
        <v>MASS BSF</v>
      </c>
      <c r="C98" t="str">
        <v>F3I-769</v>
      </c>
      <c r="D98" t="str">
        <v>F3I-769</v>
      </c>
      <c r="E98" t="str">
        <v/>
      </c>
      <c r="F98" t="str">
        <v>867806075758377</v>
      </c>
      <c r="G98" t="str">
        <v>TBD</v>
      </c>
      <c r="H98" t="str">
        <v/>
      </c>
      <c r="I98" t="str">
        <v/>
      </c>
      <c r="J98" t="str">
        <v>24/09/2026</v>
      </c>
      <c r="K98" t="str">
        <v>10:08:02</v>
      </c>
      <c r="L98">
        <v>-12.317364</v>
      </c>
      <c r="M98">
        <v>-76.82294</v>
      </c>
      <c r="N98">
        <f>HYPERLINK("https://www.google.com/maps/search/?api=1&amp;query=-12.317364,-76.82294","Punta Hermosa, Lima")</f>
      </c>
      <c r="O98" t="str">
        <v>Vehículo apagado</v>
      </c>
      <c r="P98">
        <v>1464.2</v>
      </c>
      <c r="Q98" t="str">
        <v/>
      </c>
      <c r="R98">
        <v>0</v>
      </c>
      <c r="S98">
        <v>53.75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88</v>
      </c>
      <c r="AB98" t="str">
        <v>24/09/2026</v>
      </c>
      <c r="AC98" t="str">
        <v>10:08:01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24/09/2026 10:08:13</v>
      </c>
      <c r="AK98" t="str">
        <v>10:08:13</v>
      </c>
      <c r="AL98" t="str">
        <v/>
      </c>
    </row>
    <row r="99">
      <c r="A99">
        <v>98</v>
      </c>
      <c r="B99" t="str">
        <v>MASS BSF</v>
      </c>
      <c r="C99" t="str">
        <v>F3I-769</v>
      </c>
      <c r="D99" t="str">
        <v>F3I-769</v>
      </c>
      <c r="E99" t="str">
        <v/>
      </c>
      <c r="F99" t="str">
        <v>867806075758377</v>
      </c>
      <c r="G99" t="str">
        <v>TBD</v>
      </c>
      <c r="H99" t="str">
        <v/>
      </c>
      <c r="I99" t="str">
        <v/>
      </c>
      <c r="J99" t="str">
        <v>24/09/2026</v>
      </c>
      <c r="K99" t="str">
        <v>10:22:55</v>
      </c>
      <c r="L99">
        <v>-12.317364</v>
      </c>
      <c r="M99">
        <v>-76.82294</v>
      </c>
      <c r="N99">
        <f>HYPERLINK("https://www.google.com/maps/search/?api=1&amp;query=-12.317364,-76.82294","Punta Hermosa, Lima")</f>
      </c>
      <c r="O99" t="str">
        <v>Vehículo encendido</v>
      </c>
      <c r="P99">
        <v>1464.2</v>
      </c>
      <c r="Q99" t="str">
        <v/>
      </c>
      <c r="R99">
        <v>0</v>
      </c>
      <c r="S99">
        <v>53.75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86</v>
      </c>
      <c r="AB99" t="str">
        <v>24/09/2026</v>
      </c>
      <c r="AC99" t="str">
        <v>10:22:54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24/09/2026 10:23:04</v>
      </c>
      <c r="AK99" t="str">
        <v>10:23:04</v>
      </c>
      <c r="AL99" t="str">
        <v/>
      </c>
    </row>
    <row r="100">
      <c r="A100">
        <v>99</v>
      </c>
      <c r="B100" t="str">
        <v>MASS BSF</v>
      </c>
      <c r="C100" t="str">
        <v>F3I-769</v>
      </c>
      <c r="D100" t="str">
        <v>F3I-769</v>
      </c>
      <c r="E100" t="str">
        <v/>
      </c>
      <c r="F100" t="str">
        <v>867806075758377</v>
      </c>
      <c r="G100" t="str">
        <v>TBD</v>
      </c>
      <c r="H100" t="str">
        <v/>
      </c>
      <c r="I100" t="str">
        <v/>
      </c>
      <c r="J100" t="str">
        <v>24/09/2026</v>
      </c>
      <c r="K100" t="str">
        <v>10:22:57</v>
      </c>
      <c r="L100">
        <v>-12.317364</v>
      </c>
      <c r="M100">
        <v>-76.82294</v>
      </c>
      <c r="N100">
        <f>HYPERLINK("https://www.google.com/maps/search/?api=1&amp;query=-12.317364,-76.82294","Punta Hermosa, Lima")</f>
      </c>
      <c r="O100" t="str">
        <v>Se movio</v>
      </c>
      <c r="P100">
        <v>1464.2</v>
      </c>
      <c r="Q100" t="str">
        <v/>
      </c>
      <c r="R100">
        <v>0</v>
      </c>
      <c r="S100">
        <v>53.75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86</v>
      </c>
      <c r="AB100" t="str">
        <v>24/09/2026</v>
      </c>
      <c r="AC100" t="str">
        <v>10:22:56</v>
      </c>
      <c r="AD100">
        <f>IF("ONLINE"="NOGPS","GPS Antiguo","En línea")</f>
      </c>
      <c r="AE100">
        <f>IF(0=0,"Sin atender", IF(0=1,"Atendida","Atendida y Reportada"))</f>
      </c>
      <c r="AF100" t="str">
        <v/>
      </c>
      <c r="AG100" t="str">
        <v/>
      </c>
      <c r="AH100" t="str">
        <v/>
      </c>
      <c r="AI100" t="str">
        <v/>
      </c>
      <c r="AJ100" t="str">
        <v>24/09/2026 10:23:14</v>
      </c>
      <c r="AK100" t="str">
        <v>10:23:14</v>
      </c>
      <c r="AL100" t="str">
        <v/>
      </c>
    </row>
    <row r="101">
      <c r="A101">
        <v>100</v>
      </c>
      <c r="B101" t="str">
        <v>MASS BSF</v>
      </c>
      <c r="C101" t="str">
        <v>F3I-769</v>
      </c>
      <c r="D101" t="str">
        <v>F3I-769</v>
      </c>
      <c r="E101" t="str">
        <v/>
      </c>
      <c r="F101" t="str">
        <v>867806075758377</v>
      </c>
      <c r="G101" t="str">
        <v>TBD</v>
      </c>
      <c r="H101" t="str">
        <v/>
      </c>
      <c r="I101" t="str">
        <v/>
      </c>
      <c r="J101" t="str">
        <v>24/09/2026</v>
      </c>
      <c r="K101" t="str">
        <v>10:24:13</v>
      </c>
      <c r="L101">
        <v>-12.318407</v>
      </c>
      <c r="M101">
        <v>-76.82368</v>
      </c>
      <c r="N101">
        <f>HYPERLINK("https://www.google.com/maps/search/?api=1&amp;query=-12.318407,-76.82368","Punta Hermosa, Lima")</f>
      </c>
      <c r="O101" t="str">
        <v>Aceleración brusca</v>
      </c>
      <c r="P101">
        <v>1464.3</v>
      </c>
      <c r="Q101" t="str">
        <v/>
      </c>
      <c r="R101">
        <v>0</v>
      </c>
      <c r="S101">
        <v>53.75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90</v>
      </c>
      <c r="AB101" t="str">
        <v>24/09/2026</v>
      </c>
      <c r="AC101" t="str">
        <v>10:24:12</v>
      </c>
      <c r="AD101">
        <f>IF("ONLINE"="NOGPS","GPS Antiguo","En línea")</f>
      </c>
      <c r="AE101">
        <f>IF(0=0,"Sin atender", IF(0=1,"Atendida","Atendida y Reportada"))</f>
      </c>
      <c r="AF101" t="str">
        <v/>
      </c>
      <c r="AG101" t="str">
        <v/>
      </c>
      <c r="AH101" t="str">
        <v/>
      </c>
      <c r="AI101" t="str">
        <v/>
      </c>
      <c r="AJ101" t="str">
        <v>24/09/2026 10:24:22</v>
      </c>
      <c r="AK101" t="str">
        <v>10:24:22</v>
      </c>
      <c r="AL101" t="str">
        <v/>
      </c>
    </row>
    <row r="102">
      <c r="A102">
        <v>101</v>
      </c>
      <c r="B102" t="str">
        <v>MASS BSF</v>
      </c>
      <c r="C102" t="str">
        <v>F3I-769</v>
      </c>
      <c r="D102" t="str">
        <v>F3I-769</v>
      </c>
      <c r="E102" t="str">
        <v/>
      </c>
      <c r="F102" t="str">
        <v>867806075758377</v>
      </c>
      <c r="G102" t="str">
        <v>TBD</v>
      </c>
      <c r="H102" t="str">
        <v/>
      </c>
      <c r="I102" t="str">
        <v/>
      </c>
      <c r="J102" t="str">
        <v>24/09/2026</v>
      </c>
      <c r="K102" t="str">
        <v>10:24:20</v>
      </c>
      <c r="L102">
        <v>-12.318407</v>
      </c>
      <c r="M102">
        <v>-76.82368</v>
      </c>
      <c r="N102">
        <f>HYPERLINK("https://www.google.com/maps/search/?api=1&amp;query=-12.318407,-76.82368","Punta Hermosa, Lima")</f>
      </c>
      <c r="O102" t="str">
        <v>Aceleración brusca</v>
      </c>
      <c r="P102">
        <v>1464.3</v>
      </c>
      <c r="Q102" t="str">
        <v/>
      </c>
      <c r="R102">
        <v>0</v>
      </c>
      <c r="S102">
        <v>53.75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90</v>
      </c>
      <c r="AB102" t="str">
        <v>24/09/2026</v>
      </c>
      <c r="AC102" t="str">
        <v>10:24:19</v>
      </c>
      <c r="AD102">
        <f>IF("ONLINE"="NOGPS","GPS Antiguo","En línea")</f>
      </c>
      <c r="AE102">
        <f>IF(0=0,"Sin atender", IF(0=1,"Atendida","Atendida y Reportada"))</f>
      </c>
      <c r="AF102" t="str">
        <v/>
      </c>
      <c r="AG102" t="str">
        <v/>
      </c>
      <c r="AH102" t="str">
        <v/>
      </c>
      <c r="AI102" t="str">
        <v/>
      </c>
      <c r="AJ102" t="str">
        <v>24/09/2026 10:24:39</v>
      </c>
      <c r="AK102" t="str">
        <v>10:24:39</v>
      </c>
      <c r="AL102" t="str">
        <v/>
      </c>
    </row>
    <row r="103">
      <c r="A103">
        <v>102</v>
      </c>
      <c r="B103" t="str">
        <v>MASS BSF</v>
      </c>
      <c r="C103" t="str">
        <v>F3I-769</v>
      </c>
      <c r="D103" t="str">
        <v>F3I-769</v>
      </c>
      <c r="E103" t="str">
        <v/>
      </c>
      <c r="F103" t="str">
        <v>867806075758377</v>
      </c>
      <c r="G103" t="str">
        <v>TBD</v>
      </c>
      <c r="H103" t="str">
        <v/>
      </c>
      <c r="I103" t="str">
        <v/>
      </c>
      <c r="J103" t="str">
        <v>24/09/2026</v>
      </c>
      <c r="K103" t="str">
        <v>10:25:44</v>
      </c>
      <c r="L103">
        <v>-12.317697</v>
      </c>
      <c r="M103">
        <v>-76.82425</v>
      </c>
      <c r="N103">
        <f>HYPERLINK("https://www.google.com/maps/search/?api=1&amp;query=-12.317697,-76.82425","Punta Hermosa, Lima")</f>
      </c>
      <c r="O103" t="str">
        <v>Vehículo apagado</v>
      </c>
      <c r="P103">
        <v>1464.5</v>
      </c>
      <c r="Q103" t="str">
        <v/>
      </c>
      <c r="R103">
        <v>0</v>
      </c>
      <c r="S103">
        <v>53.8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90</v>
      </c>
      <c r="AB103" t="str">
        <v>24/09/2026</v>
      </c>
      <c r="AC103" t="str">
        <v>10:25:43</v>
      </c>
      <c r="AD103">
        <f>IF("ONLINE"="NOGPS","GPS Antiguo","En línea")</f>
      </c>
      <c r="AE103">
        <f>IF(0=0,"Sin atender", IF(0=1,"Atendida","Atendida y Reportada"))</f>
      </c>
      <c r="AF103" t="str">
        <v/>
      </c>
      <c r="AG103" t="str">
        <v/>
      </c>
      <c r="AH103" t="str">
        <v/>
      </c>
      <c r="AI103" t="str">
        <v/>
      </c>
      <c r="AJ103" t="str">
        <v>24/09/2026 10:25:50</v>
      </c>
      <c r="AK103" t="str">
        <v>10:25:50</v>
      </c>
      <c r="AL103" t="str">
        <v/>
      </c>
    </row>
    <row r="104">
      <c r="A104">
        <v>103</v>
      </c>
      <c r="B104" t="str">
        <v>MASS BSF</v>
      </c>
      <c r="C104" t="str">
        <v>F3I-769</v>
      </c>
      <c r="D104" t="str">
        <v>F3I-769</v>
      </c>
      <c r="E104" t="str">
        <v/>
      </c>
      <c r="F104" t="str">
        <v>867806075758377</v>
      </c>
      <c r="G104" t="str">
        <v>TBD</v>
      </c>
      <c r="H104" t="str">
        <v/>
      </c>
      <c r="I104" t="str">
        <v/>
      </c>
      <c r="J104" t="str">
        <v>24/09/2026</v>
      </c>
      <c r="K104" t="str">
        <v>12:04:53</v>
      </c>
      <c r="L104">
        <v>-12.317623</v>
      </c>
      <c r="M104">
        <v>-76.824196</v>
      </c>
      <c r="N104">
        <f>HYPERLINK("https://www.google.com/maps/search/?api=1&amp;query=-12.317623,-76.824196","Punta Hermosa, Lima")</f>
      </c>
      <c r="O104" t="str">
        <v>Vehículo encendido</v>
      </c>
      <c r="P104">
        <v>1464.5</v>
      </c>
      <c r="Q104" t="str">
        <v/>
      </c>
      <c r="R104">
        <v>0</v>
      </c>
      <c r="S104">
        <v>53.8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90</v>
      </c>
      <c r="AB104" t="str">
        <v>24/09/2026</v>
      </c>
      <c r="AC104" t="str">
        <v>12:04:51</v>
      </c>
      <c r="AD104">
        <f>IF("ONLINE"="NOGPS","GPS Antiguo","En línea")</f>
      </c>
      <c r="AE104">
        <f>IF(0=0,"Sin atender", IF(0=1,"Atendida","Atendida y Reportada"))</f>
      </c>
      <c r="AF104" t="str">
        <v/>
      </c>
      <c r="AG104" t="str">
        <v/>
      </c>
      <c r="AH104" t="str">
        <v/>
      </c>
      <c r="AI104" t="str">
        <v/>
      </c>
      <c r="AJ104" t="str">
        <v>24/09/2026 12:05:06</v>
      </c>
      <c r="AK104" t="str">
        <v>12:05:06</v>
      </c>
      <c r="AL104" t="str">
        <v/>
      </c>
    </row>
    <row r="105">
      <c r="A105">
        <v>104</v>
      </c>
      <c r="B105" t="str">
        <v>MASS BSF</v>
      </c>
      <c r="C105" t="str">
        <v>F3I-769</v>
      </c>
      <c r="D105" t="str">
        <v>F3I-769</v>
      </c>
      <c r="E105" t="str">
        <v/>
      </c>
      <c r="F105" t="str">
        <v>867806075758377</v>
      </c>
      <c r="G105" t="str">
        <v>TBD</v>
      </c>
      <c r="H105" t="str">
        <v/>
      </c>
      <c r="I105" t="str">
        <v/>
      </c>
      <c r="J105" t="str">
        <v>24/09/2026</v>
      </c>
      <c r="K105" t="str">
        <v>12:08:06</v>
      </c>
      <c r="L105">
        <v>-12.317786</v>
      </c>
      <c r="M105">
        <v>-76.82414</v>
      </c>
      <c r="N105">
        <f>HYPERLINK("https://www.google.com/maps/search/?api=1&amp;query=-12.317786,-76.82414","Punta Hermosa, Lima")</f>
      </c>
      <c r="O105" t="str">
        <v>Inicio de ralentí</v>
      </c>
      <c r="P105">
        <v>1464.5</v>
      </c>
      <c r="Q105" t="str">
        <v/>
      </c>
      <c r="R105">
        <v>0</v>
      </c>
      <c r="S105">
        <v>53.8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89</v>
      </c>
      <c r="AB105" t="str">
        <v>24/09/2026</v>
      </c>
      <c r="AC105" t="str">
        <v>12:08:04</v>
      </c>
      <c r="AD105">
        <f>IF("ONLINE"="NOGPS","GPS Antiguo","En línea")</f>
      </c>
      <c r="AE105">
        <f>IF(0=0,"Sin atender", IF(0=1,"Atendida","Atendida y Reportada"))</f>
      </c>
      <c r="AF105" t="str">
        <v/>
      </c>
      <c r="AG105" t="str">
        <v/>
      </c>
      <c r="AH105" t="str">
        <v/>
      </c>
      <c r="AI105" t="str">
        <v/>
      </c>
      <c r="AJ105" t="str">
        <v>24/09/2026 12:08:12</v>
      </c>
      <c r="AK105" t="str">
        <v>12:08:12</v>
      </c>
      <c r="AL105" t="str">
        <v/>
      </c>
    </row>
    <row r="106">
      <c r="A106">
        <v>105</v>
      </c>
      <c r="B106" t="str">
        <v>MASS BSF</v>
      </c>
      <c r="C106" t="str">
        <v>F3I-769</v>
      </c>
      <c r="D106" t="str">
        <v>F3I-769</v>
      </c>
      <c r="E106" t="str">
        <v/>
      </c>
      <c r="F106" t="str">
        <v>867806075758377</v>
      </c>
      <c r="G106" t="str">
        <v>TBD</v>
      </c>
      <c r="H106" t="str">
        <v/>
      </c>
      <c r="I106" t="str">
        <v/>
      </c>
      <c r="J106" t="str">
        <v>24/09/2026</v>
      </c>
      <c r="K106" t="str">
        <v>12:11:12</v>
      </c>
      <c r="L106">
        <v>-12.3178</v>
      </c>
      <c r="M106">
        <v>-76.82418</v>
      </c>
      <c r="N106">
        <f>HYPERLINK("https://www.google.com/maps/search/?api=1&amp;query=-12.3178,-76.82418","Punta Hermosa, Lima")</f>
      </c>
      <c r="O106" t="str">
        <v>Vehículo apagado</v>
      </c>
      <c r="P106">
        <v>1464.5</v>
      </c>
      <c r="Q106" t="str">
        <v/>
      </c>
      <c r="R106">
        <v>0</v>
      </c>
      <c r="S106">
        <v>53.9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89</v>
      </c>
      <c r="AB106" t="str">
        <v>24/09/2026</v>
      </c>
      <c r="AC106" t="str">
        <v>12:11:10</v>
      </c>
      <c r="AD106">
        <f>IF("ONLINE"="NOGPS","GPS Antiguo","En línea")</f>
      </c>
      <c r="AE106">
        <f>IF(0=0,"Sin atender", IF(0=1,"Atendida","Atendida y Reportada"))</f>
      </c>
      <c r="AF106" t="str">
        <v/>
      </c>
      <c r="AG106" t="str">
        <v/>
      </c>
      <c r="AH106" t="str">
        <v/>
      </c>
      <c r="AI106" t="str">
        <v/>
      </c>
      <c r="AJ106" t="str">
        <v>24/09/2026 12:11:30</v>
      </c>
      <c r="AK106" t="str">
        <v>12:11:30</v>
      </c>
      <c r="AL106" t="str">
        <v/>
      </c>
    </row>
    <row r="107">
      <c r="A107">
        <v>106</v>
      </c>
      <c r="B107" t="str">
        <v>MASS BSF</v>
      </c>
      <c r="C107" t="str">
        <v>F3I-769</v>
      </c>
      <c r="D107" t="str">
        <v>F3I-769</v>
      </c>
      <c r="E107" t="str">
        <v/>
      </c>
      <c r="F107" t="str">
        <v>867806075758377</v>
      </c>
      <c r="G107" t="str">
        <v>TBD</v>
      </c>
      <c r="H107" t="str">
        <v/>
      </c>
      <c r="I107" t="str">
        <v/>
      </c>
      <c r="J107" t="str">
        <v>24/09/2026</v>
      </c>
      <c r="K107" t="str">
        <v>12:11:12</v>
      </c>
      <c r="L107">
        <v>-12.3178</v>
      </c>
      <c r="M107">
        <v>-76.82418</v>
      </c>
      <c r="N107">
        <f>HYPERLINK("https://www.google.com/maps/search/?api=1&amp;query=-12.3178,-76.82418","Punta Hermosa, Lima")</f>
      </c>
      <c r="O107" t="str">
        <v>Fin de ralentí</v>
      </c>
      <c r="P107">
        <v>1464.5</v>
      </c>
      <c r="Q107" t="str">
        <v/>
      </c>
      <c r="R107">
        <v>0</v>
      </c>
      <c r="S107">
        <v>53.8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89</v>
      </c>
      <c r="AB107" t="str">
        <v>24/09/2026</v>
      </c>
      <c r="AC107" t="str">
        <v>12:11:10</v>
      </c>
      <c r="AD107">
        <f>IF("ONLINE"="NOGPS","GPS Antiguo","En línea")</f>
      </c>
      <c r="AE107">
        <f>IF(0=0,"Sin atender", IF(0=1,"Atendida","Atendida y Reportada"))</f>
      </c>
      <c r="AF107" t="str">
        <v/>
      </c>
      <c r="AG107" t="str">
        <v/>
      </c>
      <c r="AH107" t="str">
        <v/>
      </c>
      <c r="AI107" t="str">
        <v/>
      </c>
      <c r="AJ107" t="str">
        <v>24/09/2026 12:11:30</v>
      </c>
      <c r="AK107" t="str">
        <v>12:11:30</v>
      </c>
      <c r="AL107" t="str">
        <v/>
      </c>
    </row>
    <row r="108">
      <c r="A108">
        <v>107</v>
      </c>
      <c r="B108" t="str">
        <v>MASS BSF</v>
      </c>
      <c r="C108" t="str">
        <v>F3I-769</v>
      </c>
      <c r="D108" t="str">
        <v>F3I-769</v>
      </c>
      <c r="E108" t="str">
        <v/>
      </c>
      <c r="F108" t="str">
        <v>867806075758377</v>
      </c>
      <c r="G108" t="str">
        <v>TBD</v>
      </c>
      <c r="H108" t="str">
        <v/>
      </c>
      <c r="I108" t="str">
        <v/>
      </c>
      <c r="J108" t="str">
        <v>24/09/2026</v>
      </c>
      <c r="K108" t="str">
        <v>12:12:39</v>
      </c>
      <c r="L108">
        <v>-12.3178</v>
      </c>
      <c r="M108">
        <v>-76.82418</v>
      </c>
      <c r="N108">
        <f>HYPERLINK("https://www.google.com/maps/search/?api=1&amp;query=-12.3178,-76.82418","Punta Hermosa, Lima")</f>
      </c>
      <c r="O108" t="str">
        <v>Vehículo encendido</v>
      </c>
      <c r="P108">
        <v>1464.5</v>
      </c>
      <c r="Q108" t="str">
        <v/>
      </c>
      <c r="R108">
        <v>0</v>
      </c>
      <c r="S108">
        <v>53.8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89</v>
      </c>
      <c r="AB108" t="str">
        <v>24/09/2026</v>
      </c>
      <c r="AC108" t="str">
        <v>12:12:38</v>
      </c>
      <c r="AD108">
        <f>IF("ONLINE"="NOGPS","GPS Antiguo","En línea")</f>
      </c>
      <c r="AE108">
        <f>IF(0=0,"Sin atender", IF(0=1,"Atendida","Atendida y Reportada"))</f>
      </c>
      <c r="AF108" t="str">
        <v/>
      </c>
      <c r="AG108" t="str">
        <v/>
      </c>
      <c r="AH108" t="str">
        <v/>
      </c>
      <c r="AI108" t="str">
        <v/>
      </c>
      <c r="AJ108" t="str">
        <v>24/09/2026 12:12:56</v>
      </c>
      <c r="AK108" t="str">
        <v>12:12:56</v>
      </c>
      <c r="AL108" t="str">
        <v/>
      </c>
    </row>
    <row r="109">
      <c r="A109">
        <v>108</v>
      </c>
      <c r="B109" t="str">
        <v>MASS BSF</v>
      </c>
      <c r="C109" t="str">
        <v>F3I-769</v>
      </c>
      <c r="D109" t="str">
        <v>F3I-769</v>
      </c>
      <c r="E109" t="str">
        <v/>
      </c>
      <c r="F109" t="str">
        <v>867806075758377</v>
      </c>
      <c r="G109" t="str">
        <v>TBD</v>
      </c>
      <c r="H109" t="str">
        <v/>
      </c>
      <c r="I109" t="str">
        <v/>
      </c>
      <c r="J109" t="str">
        <v>24/09/2026</v>
      </c>
      <c r="K109" t="str">
        <v>12:13:01</v>
      </c>
      <c r="L109">
        <v>-12.3178</v>
      </c>
      <c r="M109">
        <v>-76.82418</v>
      </c>
      <c r="N109">
        <f>HYPERLINK("https://www.google.com/maps/search/?api=1&amp;query=-12.3178,-76.82418","Punta Hermosa, Lima")</f>
      </c>
      <c r="O109" t="str">
        <v>Se movio</v>
      </c>
      <c r="P109">
        <v>1464.5</v>
      </c>
      <c r="Q109" t="str">
        <v/>
      </c>
      <c r="R109">
        <v>0</v>
      </c>
      <c r="S109">
        <v>53.8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89</v>
      </c>
      <c r="AB109" t="str">
        <v>24/09/2026</v>
      </c>
      <c r="AC109" t="str">
        <v>12:13:00</v>
      </c>
      <c r="AD109">
        <f>IF("ONLINE"="NOGPS","GPS Antiguo","En línea")</f>
      </c>
      <c r="AE109">
        <f>IF(0=0,"Sin atender", IF(0=1,"Atendida","Atendida y Reportada"))</f>
      </c>
      <c r="AF109" t="str">
        <v/>
      </c>
      <c r="AG109" t="str">
        <v/>
      </c>
      <c r="AH109" t="str">
        <v/>
      </c>
      <c r="AI109" t="str">
        <v/>
      </c>
      <c r="AJ109" t="str">
        <v>24/09/2026 12:13:05</v>
      </c>
      <c r="AK109" t="str">
        <v>12:13:05</v>
      </c>
      <c r="AL109" t="str">
        <v/>
      </c>
    </row>
    <row r="110">
      <c r="A110">
        <v>109</v>
      </c>
      <c r="B110" t="str">
        <v>MASS BSF</v>
      </c>
      <c r="C110" t="str">
        <v>F3I-769</v>
      </c>
      <c r="D110" t="str">
        <v>F3I-769</v>
      </c>
      <c r="E110" t="str">
        <v/>
      </c>
      <c r="F110" t="str">
        <v>867806075758377</v>
      </c>
      <c r="G110" t="str">
        <v>TBD</v>
      </c>
      <c r="H110" t="str">
        <v/>
      </c>
      <c r="I110" t="str">
        <v/>
      </c>
      <c r="J110" t="str">
        <v>24/09/2026</v>
      </c>
      <c r="K110" t="str">
        <v>12:14:22</v>
      </c>
      <c r="L110">
        <v>-12.3178</v>
      </c>
      <c r="M110">
        <v>-76.82418</v>
      </c>
      <c r="N110">
        <f>HYPERLINK("https://www.google.com/maps/search/?api=1&amp;query=-12.3178,-76.82418","Punta Hermosa, Lima")</f>
      </c>
      <c r="O110" t="str">
        <v>Vehículo apagado</v>
      </c>
      <c r="P110">
        <v>1464.5</v>
      </c>
      <c r="Q110" t="str">
        <v/>
      </c>
      <c r="R110">
        <v>0</v>
      </c>
      <c r="S110">
        <v>53.83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89</v>
      </c>
      <c r="AB110" t="str">
        <v>24/09/2026</v>
      </c>
      <c r="AC110" t="str">
        <v>12:14:21</v>
      </c>
      <c r="AD110">
        <f>IF("ONLINE"="NOGPS","GPS Antiguo","En línea")</f>
      </c>
      <c r="AE110">
        <f>IF(0=0,"Sin atender", IF(0=1,"Atendida","Atendida y Reportada"))</f>
      </c>
      <c r="AF110" t="str">
        <v/>
      </c>
      <c r="AG110" t="str">
        <v/>
      </c>
      <c r="AH110" t="str">
        <v/>
      </c>
      <c r="AI110" t="str">
        <v/>
      </c>
      <c r="AJ110" t="str">
        <v>24/09/2026 12:14:31</v>
      </c>
      <c r="AK110" t="str">
        <v>12:14:31</v>
      </c>
      <c r="AL110" t="str">
        <v/>
      </c>
    </row>
    <row r="111">
      <c r="A111">
        <v>110</v>
      </c>
      <c r="B111" t="str">
        <v>MASS BSF</v>
      </c>
      <c r="C111" t="str">
        <v>F3I-769</v>
      </c>
      <c r="D111" t="str">
        <v>F3I-769</v>
      </c>
      <c r="E111" t="str">
        <v/>
      </c>
      <c r="F111" t="str">
        <v>867806075758377</v>
      </c>
      <c r="G111" t="str">
        <v>TBD</v>
      </c>
      <c r="H111" t="str">
        <v/>
      </c>
      <c r="I111" t="str">
        <v/>
      </c>
      <c r="J111" t="str">
        <v>24/09/2026</v>
      </c>
      <c r="K111" t="str">
        <v>13:01:04</v>
      </c>
      <c r="L111">
        <v>-12.3178</v>
      </c>
      <c r="M111">
        <v>-76.82409</v>
      </c>
      <c r="N111">
        <f>HYPERLINK("https://www.google.com/maps/search/?api=1&amp;query=-12.3178,-76.82409","Punta Hermosa, Lima")</f>
      </c>
      <c r="O111" t="str">
        <v>Vehículo encendido</v>
      </c>
      <c r="P111">
        <v>1464.5</v>
      </c>
      <c r="Q111" t="str">
        <v/>
      </c>
      <c r="R111">
        <v>0</v>
      </c>
      <c r="S111">
        <v>53.83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84</v>
      </c>
      <c r="AB111" t="str">
        <v>24/09/2026</v>
      </c>
      <c r="AC111" t="str">
        <v>13:01:02</v>
      </c>
      <c r="AD111">
        <f>IF("ONLINE"="NOGPS","GPS Antiguo","En línea")</f>
      </c>
      <c r="AE111">
        <f>IF(0=0,"Sin atender", IF(0=1,"Atendida","Atendida y Reportada"))</f>
      </c>
      <c r="AF111" t="str">
        <v/>
      </c>
      <c r="AG111" t="str">
        <v/>
      </c>
      <c r="AH111" t="str">
        <v/>
      </c>
      <c r="AI111" t="str">
        <v/>
      </c>
      <c r="AJ111" t="str">
        <v>24/09/2026 13:01:21</v>
      </c>
      <c r="AK111" t="str">
        <v>13:01:21</v>
      </c>
      <c r="AL111" t="str">
        <v/>
      </c>
    </row>
    <row r="112">
      <c r="A112">
        <v>111</v>
      </c>
      <c r="B112" t="str">
        <v>MASS BSF</v>
      </c>
      <c r="C112" t="str">
        <v>F3I-769</v>
      </c>
      <c r="D112" t="str">
        <v>F3I-769</v>
      </c>
      <c r="E112" t="str">
        <v/>
      </c>
      <c r="F112" t="str">
        <v>867806075758377</v>
      </c>
      <c r="G112" t="str">
        <v>TBD</v>
      </c>
      <c r="H112" t="str">
        <v/>
      </c>
      <c r="I112" t="str">
        <v/>
      </c>
      <c r="J112" t="str">
        <v>24/09/2026</v>
      </c>
      <c r="K112" t="str">
        <v>13:03:47</v>
      </c>
      <c r="L112">
        <v>-12.317717</v>
      </c>
      <c r="M112">
        <v>-76.82427</v>
      </c>
      <c r="N112">
        <f>HYPERLINK("https://www.google.com/maps/search/?api=1&amp;query=-12.317717,-76.82427","Punta Hermosa, Lima")</f>
      </c>
      <c r="O112" t="str">
        <v>Se movio</v>
      </c>
      <c r="P112">
        <v>1464.5</v>
      </c>
      <c r="Q112" t="str">
        <v/>
      </c>
      <c r="R112">
        <v>9.4</v>
      </c>
      <c r="S112">
        <v>53.83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91</v>
      </c>
      <c r="AB112" t="str">
        <v>24/09/2026</v>
      </c>
      <c r="AC112" t="str">
        <v>13:03:45</v>
      </c>
      <c r="AD112">
        <f>IF("ONLINE"="NOGPS","GPS Antiguo","En línea")</f>
      </c>
      <c r="AE112">
        <f>IF(0=0,"Sin atender", IF(0=1,"Atendida","Atendida y Reportada"))</f>
      </c>
      <c r="AF112" t="str">
        <v/>
      </c>
      <c r="AG112" t="str">
        <v/>
      </c>
      <c r="AH112" t="str">
        <v/>
      </c>
      <c r="AI112" t="str">
        <v/>
      </c>
      <c r="AJ112" t="str">
        <v>24/09/2026 13:03:58</v>
      </c>
      <c r="AK112" t="str">
        <v>13:03:58</v>
      </c>
      <c r="AL112" t="str">
        <v/>
      </c>
    </row>
    <row r="113">
      <c r="A113">
        <v>112</v>
      </c>
      <c r="B113" t="str">
        <v>MASS BSF</v>
      </c>
      <c r="C113" t="str">
        <v>F3I-769</v>
      </c>
      <c r="D113" t="str">
        <v>F3I-769</v>
      </c>
      <c r="E113" t="str">
        <v/>
      </c>
      <c r="F113" t="str">
        <v>867806075758377</v>
      </c>
      <c r="G113" t="str">
        <v>TBD</v>
      </c>
      <c r="H113" t="str">
        <v/>
      </c>
      <c r="I113" t="str">
        <v/>
      </c>
      <c r="J113" t="str">
        <v>24/09/2026</v>
      </c>
      <c r="K113" t="str">
        <v>13:21:50</v>
      </c>
      <c r="L113">
        <v>-12.255433</v>
      </c>
      <c r="M113">
        <v>-76.92091</v>
      </c>
      <c r="N113">
        <f>HYPERLINK("https://www.google.com/maps/search/?api=1&amp;query=-12.255433,-76.92091","Lurín, Lima")</f>
      </c>
      <c r="O113" t="str">
        <v>Bache</v>
      </c>
      <c r="P113">
        <v>1477.5</v>
      </c>
      <c r="Q113" t="str">
        <v/>
      </c>
      <c r="R113">
        <v>15.5</v>
      </c>
      <c r="S113">
        <v>53.83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90</v>
      </c>
      <c r="AB113" t="str">
        <v>24/09/2026</v>
      </c>
      <c r="AC113" t="str">
        <v>13:21:48</v>
      </c>
      <c r="AD113">
        <f>IF("ONLINE"="NOGPS","GPS Antiguo","En línea")</f>
      </c>
      <c r="AE113">
        <f>IF(0=0,"Sin atender", IF(0=1,"Atendida","Atendida y Reportada"))</f>
      </c>
      <c r="AF113" t="str">
        <v/>
      </c>
      <c r="AG113" t="str">
        <v/>
      </c>
      <c r="AH113" t="str">
        <v/>
      </c>
      <c r="AI113" t="str">
        <v/>
      </c>
      <c r="AJ113" t="str">
        <v>24/09/2026 13:22:10</v>
      </c>
      <c r="AK113" t="str">
        <v>13:22:10</v>
      </c>
      <c r="AL113" t="str">
        <v/>
      </c>
    </row>
    <row r="114">
      <c r="A114">
        <v>113</v>
      </c>
      <c r="B114" t="str">
        <v>MASS BSF</v>
      </c>
      <c r="C114" t="str">
        <v>F3I-769</v>
      </c>
      <c r="D114" t="str">
        <v>F3I-769</v>
      </c>
      <c r="E114" t="str">
        <v/>
      </c>
      <c r="F114" t="str">
        <v>867806075758377</v>
      </c>
      <c r="G114" t="str">
        <v>TBD</v>
      </c>
      <c r="H114" t="str">
        <v/>
      </c>
      <c r="I114" t="str">
        <v/>
      </c>
      <c r="J114" t="str">
        <v>24/09/2026</v>
      </c>
      <c r="K114" t="str">
        <v>13:26:07</v>
      </c>
      <c r="L114">
        <v>-12.246135</v>
      </c>
      <c r="M114">
        <v>-76.93613</v>
      </c>
      <c r="N114">
        <f>HYPERLINK("https://www.google.com/maps/search/?api=1&amp;query=-12.246135,-76.93613","Antigua Panamericana Sur, Villa El Salvador, Lima")</f>
      </c>
      <c r="O114" t="str">
        <v>Bache</v>
      </c>
      <c r="P114">
        <v>1479.6</v>
      </c>
      <c r="Q114" t="str">
        <v/>
      </c>
      <c r="R114">
        <v>11.6</v>
      </c>
      <c r="S114">
        <v>53.83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90</v>
      </c>
      <c r="AB114" t="str">
        <v>24/09/2026</v>
      </c>
      <c r="AC114" t="str">
        <v>13:26:05</v>
      </c>
      <c r="AD114">
        <f>IF("ONLINE"="NOGPS","GPS Antiguo","En línea")</f>
      </c>
      <c r="AE114">
        <f>IF(0=0,"Sin atender", IF(0=1,"Atendida","Atendida y Reportada"))</f>
      </c>
      <c r="AF114" t="str">
        <v/>
      </c>
      <c r="AG114" t="str">
        <v/>
      </c>
      <c r="AH114" t="str">
        <v/>
      </c>
      <c r="AI114" t="str">
        <v/>
      </c>
      <c r="AJ114" t="str">
        <v>24/09/2026 13:26:20</v>
      </c>
      <c r="AK114" t="str">
        <v>13:26:20</v>
      </c>
      <c r="AL114" t="str">
        <v/>
      </c>
    </row>
    <row r="115">
      <c r="A115">
        <v>114</v>
      </c>
      <c r="B115" t="str">
        <v>MASS BSF</v>
      </c>
      <c r="C115" t="str">
        <v>F3I-769</v>
      </c>
      <c r="D115" t="str">
        <v>F3I-769</v>
      </c>
      <c r="E115" t="str">
        <v/>
      </c>
      <c r="F115" t="str">
        <v>867806075758377</v>
      </c>
      <c r="G115" t="str">
        <v>TBD</v>
      </c>
      <c r="H115" t="str">
        <v/>
      </c>
      <c r="I115" t="str">
        <v/>
      </c>
      <c r="J115" t="str">
        <v>24/09/2026</v>
      </c>
      <c r="K115" t="str">
        <v>13:36:08</v>
      </c>
      <c r="L115">
        <v>-12.22495</v>
      </c>
      <c r="M115">
        <v>-76.97172</v>
      </c>
      <c r="N115">
        <f>HYPERLINK("https://www.google.com/maps/search/?api=1&amp;query=-12.22495,-76.97172","Antigua Panamericana Sur, Villa El Salvador, Lima")</f>
      </c>
      <c r="O115" t="str">
        <v>Inicio de ralentí</v>
      </c>
      <c r="P115">
        <v>1484.1</v>
      </c>
      <c r="Q115" t="str">
        <v/>
      </c>
      <c r="R115">
        <v>0</v>
      </c>
      <c r="S115">
        <v>53.83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89</v>
      </c>
      <c r="AB115" t="str">
        <v>24/09/2026</v>
      </c>
      <c r="AC115" t="str">
        <v>13:36:06</v>
      </c>
      <c r="AD115">
        <f>IF("ONLINE"="NOGPS","GPS Antiguo","En línea")</f>
      </c>
      <c r="AE115">
        <f>IF(0=0,"Sin atender", IF(0=1,"Atendida","Atendida y Reportada"))</f>
      </c>
      <c r="AF115" t="str">
        <v/>
      </c>
      <c r="AG115" t="str">
        <v/>
      </c>
      <c r="AH115" t="str">
        <v/>
      </c>
      <c r="AI115" t="str">
        <v/>
      </c>
      <c r="AJ115" t="str">
        <v>24/09/2026 13:36:15</v>
      </c>
      <c r="AK115" t="str">
        <v>13:36:15</v>
      </c>
      <c r="AL115" t="str">
        <v/>
      </c>
    </row>
    <row r="116">
      <c r="A116">
        <v>115</v>
      </c>
      <c r="B116" t="str">
        <v>MASS BSF</v>
      </c>
      <c r="C116" t="str">
        <v>F3I-769</v>
      </c>
      <c r="D116" t="str">
        <v>F3I-769</v>
      </c>
      <c r="E116" t="str">
        <v/>
      </c>
      <c r="F116" t="str">
        <v>867806075758377</v>
      </c>
      <c r="G116" t="str">
        <v>TBD</v>
      </c>
      <c r="H116" t="str">
        <v/>
      </c>
      <c r="I116" t="str">
        <v/>
      </c>
      <c r="J116" t="str">
        <v>24/09/2026</v>
      </c>
      <c r="K116" t="str">
        <v>13:36:09</v>
      </c>
      <c r="L116">
        <v>-12.224936</v>
      </c>
      <c r="M116">
        <v>-76.97176</v>
      </c>
      <c r="N116">
        <f>HYPERLINK("https://www.google.com/maps/search/?api=1&amp;query=-12.224936,-76.97176","Antigua Panamericana Sur, Villa El Salvador, Lima")</f>
      </c>
      <c r="O116" t="str">
        <v>Fin de ralentí</v>
      </c>
      <c r="P116">
        <v>1484.1</v>
      </c>
      <c r="Q116" t="str">
        <v/>
      </c>
      <c r="R116">
        <v>6.1</v>
      </c>
      <c r="S116">
        <v>53.83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89</v>
      </c>
      <c r="AB116" t="str">
        <v>24/09/2026</v>
      </c>
      <c r="AC116" t="str">
        <v>13:36:08</v>
      </c>
      <c r="AD116">
        <f>IF("ONLINE"="NOGPS","GPS Antiguo","En línea")</f>
      </c>
      <c r="AE116">
        <f>IF(0=0,"Sin atender", IF(0=1,"Atendida","Atendida y Reportada"))</f>
      </c>
      <c r="AF116" t="str">
        <v/>
      </c>
      <c r="AG116" t="str">
        <v/>
      </c>
      <c r="AH116" t="str">
        <v/>
      </c>
      <c r="AI116" t="str">
        <v/>
      </c>
      <c r="AJ116" t="str">
        <v>24/09/2026 13:36:21</v>
      </c>
      <c r="AK116" t="str">
        <v>13:36:21</v>
      </c>
      <c r="AL116" t="str">
        <v/>
      </c>
    </row>
    <row r="117">
      <c r="A117">
        <v>116</v>
      </c>
      <c r="B117" t="str">
        <v>MASS BSF</v>
      </c>
      <c r="C117" t="str">
        <v>F3I-769</v>
      </c>
      <c r="D117" t="str">
        <v>F3I-769</v>
      </c>
      <c r="E117" t="str">
        <v/>
      </c>
      <c r="F117" t="str">
        <v>867806075758377</v>
      </c>
      <c r="G117" t="str">
        <v>TBD</v>
      </c>
      <c r="H117" t="str">
        <v/>
      </c>
      <c r="I117" t="str">
        <v/>
      </c>
      <c r="J117" t="str">
        <v>24/09/2026</v>
      </c>
      <c r="K117" t="str">
        <v>13:40:00</v>
      </c>
      <c r="L117">
        <v>-12.216975</v>
      </c>
      <c r="M117">
        <v>-76.96885</v>
      </c>
      <c r="N117">
        <f>HYPERLINK("https://www.google.com/maps/search/?api=1&amp;query=-12.216975,-76.96885","Avenida El Sol, Villa El Salvador, Lima")</f>
      </c>
      <c r="O117" t="str">
        <v>Bache</v>
      </c>
      <c r="P117">
        <v>1485.3</v>
      </c>
      <c r="Q117" t="str">
        <v/>
      </c>
      <c r="R117">
        <v>5</v>
      </c>
      <c r="S117">
        <v>53.83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89</v>
      </c>
      <c r="AB117" t="str">
        <v>24/09/2026</v>
      </c>
      <c r="AC117" t="str">
        <v>13:39:58</v>
      </c>
      <c r="AD117">
        <f>IF("ONLINE"="NOGPS","GPS Antiguo","En línea")</f>
      </c>
      <c r="AE117">
        <f>IF(0=0,"Sin atender", IF(0=1,"Atendida","Atendida y Reportada"))</f>
      </c>
      <c r="AF117" t="str">
        <v/>
      </c>
      <c r="AG117" t="str">
        <v/>
      </c>
      <c r="AH117" t="str">
        <v/>
      </c>
      <c r="AI117" t="str">
        <v/>
      </c>
      <c r="AJ117" t="str">
        <v>24/09/2026 13:40:23</v>
      </c>
      <c r="AK117" t="str">
        <v>13:40:23</v>
      </c>
      <c r="AL117" t="str">
        <v/>
      </c>
    </row>
    <row r="118">
      <c r="A118">
        <v>117</v>
      </c>
      <c r="B118" t="str">
        <v>MASS BSF</v>
      </c>
      <c r="C118" t="str">
        <v>F3I-769</v>
      </c>
      <c r="D118" t="str">
        <v>F3I-769</v>
      </c>
      <c r="E118" t="str">
        <v/>
      </c>
      <c r="F118" t="str">
        <v>867806075758377</v>
      </c>
      <c r="G118" t="str">
        <v>TBD</v>
      </c>
      <c r="H118" t="str">
        <v/>
      </c>
      <c r="I118" t="str">
        <v/>
      </c>
      <c r="J118" t="str">
        <v>24/09/2026</v>
      </c>
      <c r="K118" t="str">
        <v>13:41:52</v>
      </c>
      <c r="L118">
        <v>-12.212238</v>
      </c>
      <c r="M118">
        <v>-76.96377</v>
      </c>
      <c r="N118">
        <f>HYPERLINK("https://www.google.com/maps/search/?api=1&amp;query=-12.212238,-76.96377","Avenida El Sol, Villa El Salvador, Lima")</f>
      </c>
      <c r="O118" t="str">
        <v>Aceleración brusca</v>
      </c>
      <c r="P118">
        <v>1486.1</v>
      </c>
      <c r="Q118" t="str">
        <v/>
      </c>
      <c r="R118">
        <v>9</v>
      </c>
      <c r="S118">
        <v>53.83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90</v>
      </c>
      <c r="AB118" t="str">
        <v>24/09/2026</v>
      </c>
      <c r="AC118" t="str">
        <v>13:41:50</v>
      </c>
      <c r="AD118">
        <f>IF("ONLINE"="NOGPS","GPS Antiguo","En línea")</f>
      </c>
      <c r="AE118">
        <f>IF(0=0,"Sin atender", IF(0=1,"Atendida","Atendida y Reportada"))</f>
      </c>
      <c r="AF118" t="str">
        <v/>
      </c>
      <c r="AG118" t="str">
        <v/>
      </c>
      <c r="AH118" t="str">
        <v/>
      </c>
      <c r="AI118" t="str">
        <v/>
      </c>
      <c r="AJ118" t="str">
        <v>24/09/2026 13:42:17</v>
      </c>
      <c r="AK118" t="str">
        <v>13:42:17</v>
      </c>
      <c r="AL118" t="str">
        <v/>
      </c>
    </row>
    <row r="119">
      <c r="A119">
        <v>118</v>
      </c>
      <c r="B119" t="str">
        <v>MASS BSF</v>
      </c>
      <c r="C119" t="str">
        <v>F3I-769</v>
      </c>
      <c r="D119" t="str">
        <v>F3I-769</v>
      </c>
      <c r="E119" t="str">
        <v/>
      </c>
      <c r="F119" t="str">
        <v>867806075758377</v>
      </c>
      <c r="G119" t="str">
        <v>TBD</v>
      </c>
      <c r="H119" t="str">
        <v/>
      </c>
      <c r="I119" t="str">
        <v/>
      </c>
      <c r="J119" t="str">
        <v>24/09/2026</v>
      </c>
      <c r="K119" t="str">
        <v>13:46:00</v>
      </c>
      <c r="L119">
        <v>-12.213672</v>
      </c>
      <c r="M119">
        <v>-76.96059</v>
      </c>
      <c r="N119">
        <f>HYPERLINK("https://www.google.com/maps/search/?api=1&amp;query=-12.213672,-76.96059","Avenida Villa del Mar, Villa El Salvador, Lima")</f>
      </c>
      <c r="O119" t="str">
        <v>Bache</v>
      </c>
      <c r="P119">
        <v>1486.9</v>
      </c>
      <c r="Q119" t="str">
        <v/>
      </c>
      <c r="R119">
        <v>7.9</v>
      </c>
      <c r="S119">
        <v>53.83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90</v>
      </c>
      <c r="AB119" t="str">
        <v>24/09/2026</v>
      </c>
      <c r="AC119" t="str">
        <v>13:45:58</v>
      </c>
      <c r="AD119">
        <f>IF("ONLINE"="NOGPS","GPS Antiguo","En línea")</f>
      </c>
      <c r="AE119">
        <f>IF(0=0,"Sin atender", IF(0=1,"Atendida","Atendida y Reportada"))</f>
      </c>
      <c r="AF119" t="str">
        <v/>
      </c>
      <c r="AG119" t="str">
        <v/>
      </c>
      <c r="AH119" t="str">
        <v/>
      </c>
      <c r="AI119" t="str">
        <v/>
      </c>
      <c r="AJ119" t="str">
        <v>24/09/2026 13:46:15</v>
      </c>
      <c r="AK119" t="str">
        <v>13:46:15</v>
      </c>
      <c r="AL119" t="str">
        <v/>
      </c>
    </row>
    <row r="120">
      <c r="A120">
        <v>119</v>
      </c>
      <c r="B120" t="str">
        <v>MASS BSF</v>
      </c>
      <c r="C120" t="str">
        <v>F3I-769</v>
      </c>
      <c r="D120" t="str">
        <v>F3I-769</v>
      </c>
      <c r="E120" t="str">
        <v/>
      </c>
      <c r="F120" t="str">
        <v>867806075758377</v>
      </c>
      <c r="G120" t="str">
        <v>TBD</v>
      </c>
      <c r="H120" t="str">
        <v/>
      </c>
      <c r="I120" t="str">
        <v/>
      </c>
      <c r="J120" t="str">
        <v>24/09/2026</v>
      </c>
      <c r="K120" t="str">
        <v>13:50:08</v>
      </c>
      <c r="L120">
        <v>-12.212902</v>
      </c>
      <c r="M120">
        <v>-76.95922</v>
      </c>
      <c r="N120">
        <f>HYPERLINK("https://www.google.com/maps/search/?api=1&amp;query=-12.212902,-76.95922","Avenida Villa del Mar, Villa El Salvador, Lima")</f>
      </c>
      <c r="O120" t="str">
        <v>Inicio de ralentí</v>
      </c>
      <c r="P120">
        <v>1487</v>
      </c>
      <c r="Q120" t="str">
        <v/>
      </c>
      <c r="R120">
        <v>0</v>
      </c>
      <c r="S120">
        <v>53.83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90</v>
      </c>
      <c r="AB120" t="str">
        <v>24/09/2026</v>
      </c>
      <c r="AC120" t="str">
        <v>13:50:05</v>
      </c>
      <c r="AD120">
        <f>IF("ONLINE"="NOGPS","GPS Antiguo","En línea")</f>
      </c>
      <c r="AE120">
        <f>IF(0=0,"Sin atender", IF(0=1,"Atendida","Atendida y Reportada"))</f>
      </c>
      <c r="AF120" t="str">
        <v/>
      </c>
      <c r="AG120" t="str">
        <v/>
      </c>
      <c r="AH120" t="str">
        <v/>
      </c>
      <c r="AI120" t="str">
        <v/>
      </c>
      <c r="AJ120" t="str">
        <v>24/09/2026 13:50:23</v>
      </c>
      <c r="AK120" t="str">
        <v>13:50:23</v>
      </c>
      <c r="AL120" t="str">
        <v/>
      </c>
    </row>
    <row r="121">
      <c r="A121">
        <v>120</v>
      </c>
      <c r="B121" t="str">
        <v>MASS BSF</v>
      </c>
      <c r="C121" t="str">
        <v>F3I-769</v>
      </c>
      <c r="D121" t="str">
        <v>F3I-769</v>
      </c>
      <c r="E121" t="str">
        <v/>
      </c>
      <c r="F121" t="str">
        <v>867806075758377</v>
      </c>
      <c r="G121" t="str">
        <v>TBD</v>
      </c>
      <c r="H121" t="str">
        <v/>
      </c>
      <c r="I121" t="str">
        <v/>
      </c>
      <c r="J121" t="str">
        <v>24/09/2026</v>
      </c>
      <c r="K121" t="str">
        <v>13:54:22</v>
      </c>
      <c r="L121">
        <v>-12.212958</v>
      </c>
      <c r="M121">
        <v>-76.95922</v>
      </c>
      <c r="N121">
        <f>HYPERLINK("https://www.google.com/maps/search/?api=1&amp;query=-12.212958,-76.95922","Avenida Villa del Mar, Villa El Salvador, Lima")</f>
      </c>
      <c r="O121" t="str">
        <v>Fin de ralentí</v>
      </c>
      <c r="P121">
        <v>1487</v>
      </c>
      <c r="Q121" t="str">
        <v/>
      </c>
      <c r="R121">
        <v>6.1</v>
      </c>
      <c r="S121">
        <v>53.83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91</v>
      </c>
      <c r="AB121" t="str">
        <v>24/09/2026</v>
      </c>
      <c r="AC121" t="str">
        <v>13:54:20</v>
      </c>
      <c r="AD121">
        <f>IF("ONLINE"="NOGPS","GPS Antiguo","En línea")</f>
      </c>
      <c r="AE121">
        <f>IF(0=0,"Sin atender", IF(0=1,"Atendida","Atendida y Reportada"))</f>
      </c>
      <c r="AF121" t="str">
        <v/>
      </c>
      <c r="AG121" t="str">
        <v/>
      </c>
      <c r="AH121" t="str">
        <v/>
      </c>
      <c r="AI121" t="str">
        <v/>
      </c>
      <c r="AJ121" t="str">
        <v>24/09/2026 13:54:31</v>
      </c>
      <c r="AK121" t="str">
        <v>13:54:31</v>
      </c>
      <c r="AL121" t="str">
        <v/>
      </c>
    </row>
    <row r="122">
      <c r="A122">
        <v>121</v>
      </c>
      <c r="B122" t="str">
        <v>MASS BSF</v>
      </c>
      <c r="C122" t="str">
        <v>F3I-769</v>
      </c>
      <c r="D122" t="str">
        <v>F3I-769</v>
      </c>
      <c r="E122" t="str">
        <v/>
      </c>
      <c r="F122" t="str">
        <v>867806075758377</v>
      </c>
      <c r="G122" t="str">
        <v>TBD</v>
      </c>
      <c r="H122" t="str">
        <v/>
      </c>
      <c r="I122" t="str">
        <v/>
      </c>
      <c r="J122" t="str">
        <v>24/09/2026</v>
      </c>
      <c r="K122" t="str">
        <v>13:54:35</v>
      </c>
      <c r="L122">
        <v>-12.213114</v>
      </c>
      <c r="M122">
        <v>-76.95914</v>
      </c>
      <c r="N122">
        <f>HYPERLINK("https://www.google.com/maps/search/?api=1&amp;query=-12.213114,-76.95914","Avenida Villa del Mar, Villa El Salvador, Lima")</f>
      </c>
      <c r="O122" t="str">
        <v>Vehículo apagado</v>
      </c>
      <c r="P122">
        <v>1487.1</v>
      </c>
      <c r="Q122" t="str">
        <v/>
      </c>
      <c r="R122">
        <v>0</v>
      </c>
      <c r="S122">
        <v>54.73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91</v>
      </c>
      <c r="AB122" t="str">
        <v>24/09/2026</v>
      </c>
      <c r="AC122" t="str">
        <v>13:54:33</v>
      </c>
      <c r="AD122">
        <f>IF("ONLINE"="NOGPS","GPS Antiguo","En línea")</f>
      </c>
      <c r="AE122">
        <f>IF(0=0,"Sin atender", IF(0=1,"Atendida","Atendida y Reportada"))</f>
      </c>
      <c r="AF122" t="str">
        <v/>
      </c>
      <c r="AG122" t="str">
        <v/>
      </c>
      <c r="AH122" t="str">
        <v/>
      </c>
      <c r="AI122" t="str">
        <v/>
      </c>
      <c r="AJ122" t="str">
        <v>24/09/2026 13:54:47</v>
      </c>
      <c r="AK122" t="str">
        <v>13:54:47</v>
      </c>
      <c r="AL122" t="str">
        <v/>
      </c>
    </row>
  </sheetData>
  <ignoredErrors>
    <ignoredError numberStoredAsText="1" sqref="A1:AL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