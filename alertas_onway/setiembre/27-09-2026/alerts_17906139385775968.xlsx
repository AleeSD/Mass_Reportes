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AAR-880</v>
      </c>
      <c r="D2" t="str">
        <v>AAR-880</v>
      </c>
      <c r="E2" t="str">
        <v/>
      </c>
      <c r="F2" t="str">
        <v>867806078847433</v>
      </c>
      <c r="G2" t="str">
        <v>Otro</v>
      </c>
      <c r="H2" t="str">
        <v/>
      </c>
      <c r="I2" t="str">
        <v/>
      </c>
      <c r="J2" t="str">
        <v>27/09/2026</v>
      </c>
      <c r="K2" t="str">
        <v>05:12:07</v>
      </c>
      <c r="L2">
        <v>-12.213052</v>
      </c>
      <c r="M2">
        <v>-76.95894</v>
      </c>
      <c r="N2">
        <f>HYPERLINK("https://www.google.com/maps/search/?api=1&amp;query=-12.213052,-76.95894","Villa El Salvador, Lima")</f>
      </c>
      <c r="O2" t="str">
        <v>Vehículo encendido</v>
      </c>
      <c r="P2">
        <v>2471.1</v>
      </c>
      <c r="Q2" t="str">
        <v/>
      </c>
      <c r="R2">
        <v>0</v>
      </c>
      <c r="S2">
        <v>158.58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88</v>
      </c>
      <c r="AB2" t="str">
        <v>27/09/2026</v>
      </c>
      <c r="AC2" t="str">
        <v>05:12:05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27/09/2026 05:12:55</v>
      </c>
      <c r="AK2" t="str">
        <v>05:12:55</v>
      </c>
      <c r="AL2" t="str">
        <v/>
      </c>
    </row>
    <row r="3">
      <c r="A3">
        <v>2</v>
      </c>
      <c r="B3" t="str">
        <v>MASS BSF</v>
      </c>
      <c r="C3" t="str">
        <v>AAR-880</v>
      </c>
      <c r="D3" t="str">
        <v>AAR-880</v>
      </c>
      <c r="E3" t="str">
        <v/>
      </c>
      <c r="F3" t="str">
        <v>867806078847433</v>
      </c>
      <c r="G3" t="str">
        <v>Otro</v>
      </c>
      <c r="H3" t="str">
        <v/>
      </c>
      <c r="I3" t="str">
        <v/>
      </c>
      <c r="J3" t="str">
        <v>27/09/2026</v>
      </c>
      <c r="K3" t="str">
        <v>05:12:07</v>
      </c>
      <c r="L3">
        <v>-12.213052</v>
      </c>
      <c r="M3">
        <v>-76.95894</v>
      </c>
      <c r="N3">
        <f>HYPERLINK("https://www.google.com/maps/search/?api=1&amp;query=-12.213052,-76.95894","Villa El Salvador, Lima")</f>
      </c>
      <c r="O3" t="str">
        <v>Se movio</v>
      </c>
      <c r="P3">
        <v>2471.1</v>
      </c>
      <c r="Q3" t="str">
        <v/>
      </c>
      <c r="R3">
        <v>0</v>
      </c>
      <c r="S3">
        <v>158.58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88</v>
      </c>
      <c r="AB3" t="str">
        <v>27/09/2026</v>
      </c>
      <c r="AC3" t="str">
        <v>05:12:05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27/09/2026 05:12:57</v>
      </c>
      <c r="AK3" t="str">
        <v>05:12:57</v>
      </c>
      <c r="AL3" t="str">
        <v/>
      </c>
    </row>
    <row r="4">
      <c r="A4">
        <v>3</v>
      </c>
      <c r="B4" t="str">
        <v>MASS BSF</v>
      </c>
      <c r="C4" t="str">
        <v>AAR-880</v>
      </c>
      <c r="D4" t="str">
        <v>AAR-880</v>
      </c>
      <c r="E4" t="str">
        <v/>
      </c>
      <c r="F4" t="str">
        <v>867806078847433</v>
      </c>
      <c r="G4" t="str">
        <v>Otro</v>
      </c>
      <c r="H4" t="str">
        <v/>
      </c>
      <c r="I4" t="str">
        <v xml:space="preserve"> </v>
      </c>
      <c r="J4" t="str">
        <v>27/09/2026</v>
      </c>
      <c r="K4" t="str">
        <v>05:26:10</v>
      </c>
      <c r="L4">
        <v>-12.221102</v>
      </c>
      <c r="M4">
        <v>-76.94409</v>
      </c>
      <c r="N4">
        <f>HYPERLINK("https://www.google.com/maps/search/?api=1&amp;query=-12.221102,-76.94409","Avenida Bolívar, Villa El Salvador, Lima")</f>
      </c>
      <c r="O4" t="str">
        <v>Llegó a la zona</v>
      </c>
      <c r="P4">
        <v>2474.5</v>
      </c>
      <c r="Q4" t="str">
        <v>343-PASTOR SEVILLA 1</v>
      </c>
      <c r="R4">
        <v>6.4</v>
      </c>
      <c r="S4">
        <v>155.83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93</v>
      </c>
      <c r="AB4" t="str">
        <v>27/09/2026</v>
      </c>
      <c r="AC4" t="str">
        <v>05:26:08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27/09/2026 05:26:15</v>
      </c>
      <c r="AK4" t="str">
        <v>05:26:15</v>
      </c>
      <c r="AL4" t="str">
        <v/>
      </c>
    </row>
    <row r="5">
      <c r="A5">
        <v>4</v>
      </c>
      <c r="B5" t="str">
        <v>MASS BSF</v>
      </c>
      <c r="C5" t="str">
        <v>AAR-880</v>
      </c>
      <c r="D5" t="str">
        <v>AAR-880</v>
      </c>
      <c r="E5" t="str">
        <v/>
      </c>
      <c r="F5" t="str">
        <v>867806078847433</v>
      </c>
      <c r="G5" t="str">
        <v>Otro</v>
      </c>
      <c r="H5" t="str">
        <v/>
      </c>
      <c r="I5" t="str">
        <v xml:space="preserve"> </v>
      </c>
      <c r="J5" t="str">
        <v>27/09/2026</v>
      </c>
      <c r="K5" t="str">
        <v>05:27:21</v>
      </c>
      <c r="L5">
        <v>-12.22444</v>
      </c>
      <c r="M5">
        <v>-76.94199</v>
      </c>
      <c r="N5">
        <f>HYPERLINK("https://www.google.com/maps/search/?api=1&amp;query=-12.22444,-76.94199","Avenida Mariano Pastor Sevilla, Villa El Salvador, Lima")</f>
      </c>
      <c r="O5" t="str">
        <v>Salió de zona</v>
      </c>
      <c r="P5">
        <v>2475</v>
      </c>
      <c r="Q5" t="str">
        <v>343-PASTOR SEVILLA 1</v>
      </c>
      <c r="R5">
        <v>30.9</v>
      </c>
      <c r="S5">
        <v>155.83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87</v>
      </c>
      <c r="AB5" t="str">
        <v>27/09/2026</v>
      </c>
      <c r="AC5" t="str">
        <v>05:27:18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27/09/2026 05:27:50</v>
      </c>
      <c r="AK5" t="str">
        <v>05:27:50</v>
      </c>
      <c r="AL5" t="str">
        <v/>
      </c>
    </row>
    <row r="6">
      <c r="A6">
        <v>5</v>
      </c>
      <c r="B6" t="str">
        <v>MASS BSF</v>
      </c>
      <c r="C6" t="str">
        <v>AAR-880</v>
      </c>
      <c r="D6" t="str">
        <v>AAR-880</v>
      </c>
      <c r="E6" t="str">
        <v/>
      </c>
      <c r="F6" t="str">
        <v>867806078847433</v>
      </c>
      <c r="G6" t="str">
        <v>Otro</v>
      </c>
      <c r="H6" t="str">
        <v/>
      </c>
      <c r="I6" t="str">
        <v xml:space="preserve"> </v>
      </c>
      <c r="J6" t="str">
        <v>27/09/2026</v>
      </c>
      <c r="K6" t="str">
        <v>05:50:22</v>
      </c>
      <c r="L6">
        <v>-12.213333</v>
      </c>
      <c r="M6">
        <v>-76.90742</v>
      </c>
      <c r="N6">
        <f>HYPERLINK("https://www.google.com/maps/search/?api=1&amp;query=-12.213333,-76.90742","Avenida Agricultura, Villa María del Triunfo, Lima")</f>
      </c>
      <c r="O6" t="str">
        <v>Llegó a la zona</v>
      </c>
      <c r="P6">
        <v>2482.4</v>
      </c>
      <c r="Q6" t="str">
        <v>242-ATECA</v>
      </c>
      <c r="R6">
        <v>7.5</v>
      </c>
      <c r="S6">
        <v>155.83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84</v>
      </c>
      <c r="AB6" t="str">
        <v>27/09/2026</v>
      </c>
      <c r="AC6" t="str">
        <v>05:50:20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27/09/2026 05:50:33</v>
      </c>
      <c r="AK6" t="str">
        <v>05:50:33</v>
      </c>
      <c r="AL6" t="str">
        <v/>
      </c>
    </row>
    <row r="7">
      <c r="A7">
        <v>6</v>
      </c>
      <c r="B7" t="str">
        <v>MASS BSF</v>
      </c>
      <c r="C7" t="str">
        <v>AAR-880</v>
      </c>
      <c r="D7" t="str">
        <v>AAR-880</v>
      </c>
      <c r="E7" t="str">
        <v/>
      </c>
      <c r="F7" t="str">
        <v>867806078847433</v>
      </c>
      <c r="G7" t="str">
        <v>Otro</v>
      </c>
      <c r="H7" t="str">
        <v/>
      </c>
      <c r="I7" t="str">
        <v xml:space="preserve"> </v>
      </c>
      <c r="J7" t="str">
        <v>27/09/2026</v>
      </c>
      <c r="K7" t="str">
        <v>05:53:03</v>
      </c>
      <c r="L7">
        <v>-12.212753</v>
      </c>
      <c r="M7">
        <v>-76.90728</v>
      </c>
      <c r="N7">
        <f>HYPERLINK("https://www.google.com/maps/search/?api=1&amp;query=-12.212753,-76.90728","Avenida Agricultura, Villa María del Triunfo, Lima")</f>
      </c>
      <c r="O7" t="str">
        <v>Salió de zona</v>
      </c>
      <c r="P7">
        <v>2482.4</v>
      </c>
      <c r="Q7" t="str">
        <v>242-ATECA</v>
      </c>
      <c r="R7">
        <v>10.5</v>
      </c>
      <c r="S7">
        <v>155.83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87</v>
      </c>
      <c r="AB7" t="str">
        <v>27/09/2026</v>
      </c>
      <c r="AC7" t="str">
        <v>05:53:01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27/09/2026 05:53:21</v>
      </c>
      <c r="AK7" t="str">
        <v>05:53:21</v>
      </c>
      <c r="AL7" t="str">
        <v/>
      </c>
    </row>
    <row r="8">
      <c r="A8">
        <v>7</v>
      </c>
      <c r="B8" t="str">
        <v>MASS BSF</v>
      </c>
      <c r="C8" t="str">
        <v>AAR-880</v>
      </c>
      <c r="D8" t="str">
        <v>AAR-880</v>
      </c>
      <c r="E8" t="str">
        <v/>
      </c>
      <c r="F8" t="str">
        <v>867806078847433</v>
      </c>
      <c r="G8" t="str">
        <v>Otro</v>
      </c>
      <c r="H8" t="str">
        <v/>
      </c>
      <c r="I8" t="str">
        <v xml:space="preserve"> </v>
      </c>
      <c r="J8" t="str">
        <v>27/09/2026</v>
      </c>
      <c r="K8" t="str">
        <v>05:54:32</v>
      </c>
      <c r="L8">
        <v>-12.212798</v>
      </c>
      <c r="M8">
        <v>-76.908195</v>
      </c>
      <c r="N8">
        <f>HYPERLINK("https://www.google.com/maps/search/?api=1&amp;query=-12.212798,-76.908195","Jirón Rímac, Villa María del Triunfo, Lima")</f>
      </c>
      <c r="O8" t="str">
        <v>Llegó a la zona</v>
      </c>
      <c r="P8">
        <v>2482.7</v>
      </c>
      <c r="Q8" t="str">
        <v>242-ATECA</v>
      </c>
      <c r="R8">
        <v>6.4</v>
      </c>
      <c r="S8">
        <v>155.83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94</v>
      </c>
      <c r="AB8" t="str">
        <v>27/09/2026</v>
      </c>
      <c r="AC8" t="str">
        <v>05:54:30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27/09/2026 05:54:58</v>
      </c>
      <c r="AK8" t="str">
        <v>05:54:58</v>
      </c>
      <c r="AL8" t="str">
        <v/>
      </c>
    </row>
    <row r="9">
      <c r="A9">
        <v>8</v>
      </c>
      <c r="B9" t="str">
        <v>MASS BSF</v>
      </c>
      <c r="C9" t="str">
        <v>AAR-880</v>
      </c>
      <c r="D9" t="str">
        <v>AAR-880</v>
      </c>
      <c r="E9" t="str">
        <v/>
      </c>
      <c r="F9" t="str">
        <v>867806078847433</v>
      </c>
      <c r="G9" t="str">
        <v>Otro</v>
      </c>
      <c r="H9" t="str">
        <v/>
      </c>
      <c r="I9" t="str">
        <v/>
      </c>
      <c r="J9" t="str">
        <v>27/09/2026</v>
      </c>
      <c r="K9" t="str">
        <v>06:01:52</v>
      </c>
      <c r="L9">
        <v>-12.212813</v>
      </c>
      <c r="M9">
        <v>-76.90806</v>
      </c>
      <c r="N9">
        <f>HYPERLINK("https://www.google.com/maps/search/?api=1&amp;query=-12.212813,-76.90806","Jirón Rímac, Villa María del Triunfo, Lima")</f>
      </c>
      <c r="O9" t="str">
        <v>Vehículo apagado</v>
      </c>
      <c r="P9">
        <v>2482.7</v>
      </c>
      <c r="Q9" t="str">
        <v/>
      </c>
      <c r="R9">
        <v>0</v>
      </c>
      <c r="S9">
        <v>159.42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91</v>
      </c>
      <c r="AB9" t="str">
        <v>27/09/2026</v>
      </c>
      <c r="AC9" t="str">
        <v>06:01:49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27/09/2026 06:02:20</v>
      </c>
      <c r="AK9" t="str">
        <v>06:02:20</v>
      </c>
      <c r="AL9" t="str">
        <v/>
      </c>
    </row>
    <row r="10">
      <c r="A10">
        <v>9</v>
      </c>
      <c r="B10" t="str">
        <v>MASS BSF</v>
      </c>
      <c r="C10" t="str">
        <v>AAR-880</v>
      </c>
      <c r="D10" t="str">
        <v>AAR-880</v>
      </c>
      <c r="E10" t="str">
        <v/>
      </c>
      <c r="F10" t="str">
        <v>867806078847433</v>
      </c>
      <c r="G10" t="str">
        <v>Otro</v>
      </c>
      <c r="H10" t="str">
        <v/>
      </c>
      <c r="I10" t="str">
        <v/>
      </c>
      <c r="J10" t="str">
        <v>27/09/2026</v>
      </c>
      <c r="K10" t="str">
        <v>06:26:46</v>
      </c>
      <c r="L10">
        <v>-12.212813</v>
      </c>
      <c r="M10">
        <v>-76.90806</v>
      </c>
      <c r="N10">
        <f>HYPERLINK("https://www.google.com/maps/search/?api=1&amp;query=-12.212813,-76.90806","Jirón Rímac, Villa María del Triunfo, Lima")</f>
      </c>
      <c r="O10" t="str">
        <v>Vehículo encendido</v>
      </c>
      <c r="P10">
        <v>2482.7</v>
      </c>
      <c r="Q10" t="str">
        <v/>
      </c>
      <c r="R10">
        <v>0</v>
      </c>
      <c r="S10">
        <v>159.42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91</v>
      </c>
      <c r="AB10" t="str">
        <v>27/09/2026</v>
      </c>
      <c r="AC10" t="str">
        <v>06:26:43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27/09/2026 06:27:23</v>
      </c>
      <c r="AK10" t="str">
        <v>06:27:23</v>
      </c>
      <c r="AL10" t="str">
        <v/>
      </c>
    </row>
    <row r="11">
      <c r="A11">
        <v>10</v>
      </c>
      <c r="B11" t="str">
        <v>MASS BSF</v>
      </c>
      <c r="C11" t="str">
        <v>AAR-880</v>
      </c>
      <c r="D11" t="str">
        <v>AAR-880</v>
      </c>
      <c r="E11" t="str">
        <v/>
      </c>
      <c r="F11" t="str">
        <v>867806078847433</v>
      </c>
      <c r="G11" t="str">
        <v>Otro</v>
      </c>
      <c r="H11" t="str">
        <v/>
      </c>
      <c r="I11" t="str">
        <v/>
      </c>
      <c r="J11" t="str">
        <v>27/09/2026</v>
      </c>
      <c r="K11" t="str">
        <v>06:26:46</v>
      </c>
      <c r="L11">
        <v>-12.212813</v>
      </c>
      <c r="M11">
        <v>-76.90806</v>
      </c>
      <c r="N11">
        <f>HYPERLINK("https://www.google.com/maps/search/?api=1&amp;query=-12.212813,-76.90806","Jirón Rímac, Villa María del Triunfo, Lima")</f>
      </c>
      <c r="O11" t="str">
        <v>Se movio</v>
      </c>
      <c r="P11">
        <v>2482.7</v>
      </c>
      <c r="Q11" t="str">
        <v/>
      </c>
      <c r="R11">
        <v>0</v>
      </c>
      <c r="S11">
        <v>159.42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91</v>
      </c>
      <c r="AB11" t="str">
        <v>27/09/2026</v>
      </c>
      <c r="AC11" t="str">
        <v>06:26:43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27/09/2026 06:27:25</v>
      </c>
      <c r="AK11" t="str">
        <v>06:27:25</v>
      </c>
      <c r="AL11" t="str">
        <v/>
      </c>
    </row>
    <row r="12">
      <c r="A12">
        <v>11</v>
      </c>
      <c r="B12" t="str">
        <v>MASS BSF</v>
      </c>
      <c r="C12" t="str">
        <v>AAR-880</v>
      </c>
      <c r="D12" t="str">
        <v>AAR-880</v>
      </c>
      <c r="E12" t="str">
        <v/>
      </c>
      <c r="F12" t="str">
        <v>867806078847433</v>
      </c>
      <c r="G12" t="str">
        <v>Otro</v>
      </c>
      <c r="H12" t="str">
        <v/>
      </c>
      <c r="I12" t="str">
        <v xml:space="preserve"> </v>
      </c>
      <c r="J12" t="str">
        <v>27/09/2026</v>
      </c>
      <c r="K12" t="str">
        <v>06:29:32</v>
      </c>
      <c r="L12">
        <v>-12.212795</v>
      </c>
      <c r="M12">
        <v>-76.90838</v>
      </c>
      <c r="N12">
        <f>HYPERLINK("https://www.google.com/maps/search/?api=1&amp;query=-12.212795,-76.90838","Jirón Rímac, Villa María del Triunfo, Lima")</f>
      </c>
      <c r="O12" t="str">
        <v>Salió de zona</v>
      </c>
      <c r="P12">
        <v>2482.8</v>
      </c>
      <c r="Q12" t="str">
        <v>242-ATECA</v>
      </c>
      <c r="R12">
        <v>5.9</v>
      </c>
      <c r="S12">
        <v>156.63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85</v>
      </c>
      <c r="AB12" t="str">
        <v>27/09/2026</v>
      </c>
      <c r="AC12" t="str">
        <v>06:29:30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27/09/2026 06:29:50</v>
      </c>
      <c r="AK12" t="str">
        <v>06:29:50</v>
      </c>
      <c r="AL12" t="str">
        <v/>
      </c>
    </row>
    <row r="13">
      <c r="A13">
        <v>12</v>
      </c>
      <c r="B13" t="str">
        <v>MASS BSF</v>
      </c>
      <c r="C13" t="str">
        <v>AAR-880</v>
      </c>
      <c r="D13" t="str">
        <v>AAR-880</v>
      </c>
      <c r="E13" t="str">
        <v/>
      </c>
      <c r="F13" t="str">
        <v>867806078847433</v>
      </c>
      <c r="G13" t="str">
        <v>Otro</v>
      </c>
      <c r="H13" t="str">
        <v/>
      </c>
      <c r="I13" t="str">
        <v/>
      </c>
      <c r="J13" t="str">
        <v>27/09/2026</v>
      </c>
      <c r="K13" t="str">
        <v>06:43:31</v>
      </c>
      <c r="L13">
        <v>-12.212816</v>
      </c>
      <c r="M13">
        <v>-76.90858</v>
      </c>
      <c r="N13">
        <f>HYPERLINK("https://www.google.com/maps/search/?api=1&amp;query=-12.212816,-76.90858","Jirón Rímac, Villa María del Triunfo, Lima")</f>
      </c>
      <c r="O13" t="str">
        <v>Vehículo apagado</v>
      </c>
      <c r="P13">
        <v>2482.8</v>
      </c>
      <c r="Q13" t="str">
        <v/>
      </c>
      <c r="R13">
        <v>0</v>
      </c>
      <c r="S13">
        <v>159.7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92</v>
      </c>
      <c r="AB13" t="str">
        <v>27/09/2026</v>
      </c>
      <c r="AC13" t="str">
        <v>06:43:28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27/09/2026 06:44:01</v>
      </c>
      <c r="AK13" t="str">
        <v>06:44:01</v>
      </c>
      <c r="AL13" t="str">
        <v/>
      </c>
    </row>
    <row r="14">
      <c r="A14">
        <v>13</v>
      </c>
      <c r="B14" t="str">
        <v>MASS BSF</v>
      </c>
      <c r="C14" t="str">
        <v>AAR-880</v>
      </c>
      <c r="D14" t="str">
        <v>AAR-880</v>
      </c>
      <c r="E14" t="str">
        <v/>
      </c>
      <c r="F14" t="str">
        <v>867806078847433</v>
      </c>
      <c r="G14" t="str">
        <v>Otro</v>
      </c>
      <c r="H14" t="str">
        <v/>
      </c>
      <c r="I14" t="str">
        <v/>
      </c>
      <c r="J14" t="str">
        <v>27/09/2026</v>
      </c>
      <c r="K14" t="str">
        <v>07:10:05</v>
      </c>
      <c r="L14">
        <v>-12.212816</v>
      </c>
      <c r="M14">
        <v>-76.90858</v>
      </c>
      <c r="N14">
        <f>HYPERLINK("https://www.google.com/maps/search/?api=1&amp;query=-12.212816,-76.90858","Jirón Rímac, Villa María del Triunfo, Lima")</f>
      </c>
      <c r="O14" t="str">
        <v>Vehículo encendido</v>
      </c>
      <c r="P14">
        <v>2482.8</v>
      </c>
      <c r="Q14" t="str">
        <v/>
      </c>
      <c r="R14">
        <v>0</v>
      </c>
      <c r="S14">
        <v>159.7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90</v>
      </c>
      <c r="AB14" t="str">
        <v>27/09/2026</v>
      </c>
      <c r="AC14" t="str">
        <v>07:10:02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27/09/2026 07:10:16</v>
      </c>
      <c r="AK14" t="str">
        <v>07:10:16</v>
      </c>
      <c r="AL14" t="str">
        <v/>
      </c>
    </row>
    <row r="15">
      <c r="A15">
        <v>14</v>
      </c>
      <c r="B15" t="str">
        <v>MASS BSF</v>
      </c>
      <c r="C15" t="str">
        <v>AAR-880</v>
      </c>
      <c r="D15" t="str">
        <v>AAR-880</v>
      </c>
      <c r="E15" t="str">
        <v/>
      </c>
      <c r="F15" t="str">
        <v>867806078847433</v>
      </c>
      <c r="G15" t="str">
        <v>Otro</v>
      </c>
      <c r="H15" t="str">
        <v/>
      </c>
      <c r="I15" t="str">
        <v/>
      </c>
      <c r="J15" t="str">
        <v>27/09/2026</v>
      </c>
      <c r="K15" t="str">
        <v>07:10:05</v>
      </c>
      <c r="L15">
        <v>-12.212816</v>
      </c>
      <c r="M15">
        <v>-76.90858</v>
      </c>
      <c r="N15">
        <f>HYPERLINK("https://www.google.com/maps/search/?api=1&amp;query=-12.212816,-76.90858","Jirón Rímac, Villa María del Triunfo, Lima")</f>
      </c>
      <c r="O15" t="str">
        <v>Se movio</v>
      </c>
      <c r="P15">
        <v>2482.8</v>
      </c>
      <c r="Q15" t="str">
        <v/>
      </c>
      <c r="R15">
        <v>0</v>
      </c>
      <c r="S15">
        <v>159.7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90</v>
      </c>
      <c r="AB15" t="str">
        <v>27/09/2026</v>
      </c>
      <c r="AC15" t="str">
        <v>07:10:02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27/09/2026 07:10:16</v>
      </c>
      <c r="AK15" t="str">
        <v>07:10:16</v>
      </c>
      <c r="AL15" t="str">
        <v/>
      </c>
    </row>
    <row r="16">
      <c r="A16">
        <v>15</v>
      </c>
      <c r="B16" t="str">
        <v>MASS BSF</v>
      </c>
      <c r="C16" t="str">
        <v>AAR-880</v>
      </c>
      <c r="D16" t="str">
        <v>AAR-880</v>
      </c>
      <c r="E16" t="str">
        <v/>
      </c>
      <c r="F16" t="str">
        <v>867806078847433</v>
      </c>
      <c r="G16" t="str">
        <v>Otro</v>
      </c>
      <c r="H16" t="str">
        <v/>
      </c>
      <c r="I16" t="str">
        <v/>
      </c>
      <c r="J16" t="str">
        <v>27/09/2026</v>
      </c>
      <c r="K16" t="str">
        <v>07:17:07</v>
      </c>
      <c r="L16">
        <v>-12.21978</v>
      </c>
      <c r="M16">
        <v>-76.9065</v>
      </c>
      <c r="N16">
        <f>HYPERLINK("https://www.google.com/maps/search/?api=1&amp;query=-12.21978,-76.9065","Avenida Miguel Grau, Villa María del Triunfo, Lima")</f>
      </c>
      <c r="O16" t="str">
        <v>Inicio de ralentí</v>
      </c>
      <c r="P16">
        <v>2484</v>
      </c>
      <c r="Q16" t="str">
        <v/>
      </c>
      <c r="R16">
        <v>0</v>
      </c>
      <c r="S16">
        <v>159.7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95</v>
      </c>
      <c r="AB16" t="str">
        <v>27/09/2026</v>
      </c>
      <c r="AC16" t="str">
        <v>07:17:03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27/09/2026 07:17:22</v>
      </c>
      <c r="AK16" t="str">
        <v>07:17:22</v>
      </c>
      <c r="AL16" t="str">
        <v/>
      </c>
    </row>
    <row r="17">
      <c r="A17">
        <v>16</v>
      </c>
      <c r="B17" t="str">
        <v>MASS BSF</v>
      </c>
      <c r="C17" t="str">
        <v>AAR-880</v>
      </c>
      <c r="D17" t="str">
        <v>AAR-880</v>
      </c>
      <c r="E17" t="str">
        <v/>
      </c>
      <c r="F17" t="str">
        <v>867806078847433</v>
      </c>
      <c r="G17" t="str">
        <v>Otro</v>
      </c>
      <c r="H17" t="str">
        <v/>
      </c>
      <c r="I17" t="str">
        <v/>
      </c>
      <c r="J17" t="str">
        <v>27/09/2026</v>
      </c>
      <c r="K17" t="str">
        <v>07:18:29</v>
      </c>
      <c r="L17">
        <v>-12.219853</v>
      </c>
      <c r="M17">
        <v>-76.90644</v>
      </c>
      <c r="N17">
        <f>HYPERLINK("https://www.google.com/maps/search/?api=1&amp;query=-12.219853,-76.90644","Avenida Miguel Grau, Villa María del Triunfo, Lima")</f>
      </c>
      <c r="O17" t="str">
        <v>Fin de ralentí</v>
      </c>
      <c r="P17">
        <v>2484</v>
      </c>
      <c r="Q17" t="str">
        <v/>
      </c>
      <c r="R17">
        <v>0</v>
      </c>
      <c r="S17">
        <v>159.7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95</v>
      </c>
      <c r="AB17" t="str">
        <v>27/09/2026</v>
      </c>
      <c r="AC17" t="str">
        <v>07:18:25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27/09/2026 07:18:37</v>
      </c>
      <c r="AK17" t="str">
        <v>07:18:37</v>
      </c>
      <c r="AL17" t="str">
        <v/>
      </c>
    </row>
    <row r="18">
      <c r="A18">
        <v>17</v>
      </c>
      <c r="B18" t="str">
        <v>MASS BSF</v>
      </c>
      <c r="C18" t="str">
        <v>AAR-880</v>
      </c>
      <c r="D18" t="str">
        <v>AAR-880</v>
      </c>
      <c r="E18" t="str">
        <v/>
      </c>
      <c r="F18" t="str">
        <v>867806078847433</v>
      </c>
      <c r="G18" t="str">
        <v>Otro</v>
      </c>
      <c r="H18" t="str">
        <v/>
      </c>
      <c r="I18" t="str">
        <v/>
      </c>
      <c r="J18" t="str">
        <v>27/09/2026</v>
      </c>
      <c r="K18" t="str">
        <v>07:21:43</v>
      </c>
      <c r="L18">
        <v>-12.219853</v>
      </c>
      <c r="M18">
        <v>-76.90644</v>
      </c>
      <c r="N18">
        <f>HYPERLINK("https://www.google.com/maps/search/?api=1&amp;query=-12.219853,-76.90644","Avenida Miguel Grau, Villa María del Triunfo, Lima")</f>
      </c>
      <c r="O18" t="str">
        <v>Vehículo apagado</v>
      </c>
      <c r="P18">
        <v>2484</v>
      </c>
      <c r="Q18" t="str">
        <v/>
      </c>
      <c r="R18">
        <v>0</v>
      </c>
      <c r="S18">
        <v>159.9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95</v>
      </c>
      <c r="AB18" t="str">
        <v>27/09/2026</v>
      </c>
      <c r="AC18" t="str">
        <v>07:21:39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27/09/2026 07:22:03</v>
      </c>
      <c r="AK18" t="str">
        <v>07:22:03</v>
      </c>
      <c r="AL18" t="str">
        <v/>
      </c>
    </row>
    <row r="19">
      <c r="A19">
        <v>18</v>
      </c>
      <c r="B19" t="str">
        <v>MASS BSF</v>
      </c>
      <c r="C19" t="str">
        <v>AAR-880</v>
      </c>
      <c r="D19" t="str">
        <v>AAR-880</v>
      </c>
      <c r="E19" t="str">
        <v/>
      </c>
      <c r="F19" t="str">
        <v>867806078847433</v>
      </c>
      <c r="G19" t="str">
        <v>Otro</v>
      </c>
      <c r="H19" t="str">
        <v/>
      </c>
      <c r="I19" t="str">
        <v/>
      </c>
      <c r="J19" t="str">
        <v>27/09/2026</v>
      </c>
      <c r="K19" t="str">
        <v>07:28:21</v>
      </c>
      <c r="L19">
        <v>-12.219853</v>
      </c>
      <c r="M19">
        <v>-76.90644</v>
      </c>
      <c r="N19">
        <f>HYPERLINK("https://www.google.com/maps/search/?api=1&amp;query=-12.219853,-76.90644","Avenida Miguel Grau, Villa María del Triunfo, Lima")</f>
      </c>
      <c r="O19" t="str">
        <v>Vehículo encendido</v>
      </c>
      <c r="P19">
        <v>2484</v>
      </c>
      <c r="Q19" t="str">
        <v/>
      </c>
      <c r="R19">
        <v>0</v>
      </c>
      <c r="S19">
        <v>159.9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95</v>
      </c>
      <c r="AB19" t="str">
        <v>27/09/2026</v>
      </c>
      <c r="AC19" t="str">
        <v>07:28:17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27/09/2026 07:28:29</v>
      </c>
      <c r="AK19" t="str">
        <v>07:28:29</v>
      </c>
      <c r="AL19" t="str">
        <v/>
      </c>
    </row>
    <row r="20">
      <c r="A20">
        <v>19</v>
      </c>
      <c r="B20" t="str">
        <v>MASS BSF</v>
      </c>
      <c r="C20" t="str">
        <v>AAR-880</v>
      </c>
      <c r="D20" t="str">
        <v>AAR-880</v>
      </c>
      <c r="E20" t="str">
        <v/>
      </c>
      <c r="F20" t="str">
        <v>867806078847433</v>
      </c>
      <c r="G20" t="str">
        <v>Otro</v>
      </c>
      <c r="H20" t="str">
        <v/>
      </c>
      <c r="I20" t="str">
        <v/>
      </c>
      <c r="J20" t="str">
        <v>27/09/2026</v>
      </c>
      <c r="K20" t="str">
        <v>07:28:21</v>
      </c>
      <c r="L20">
        <v>-12.219853</v>
      </c>
      <c r="M20">
        <v>-76.90644</v>
      </c>
      <c r="N20">
        <f>HYPERLINK("https://www.google.com/maps/search/?api=1&amp;query=-12.219853,-76.90644","Avenida Miguel Grau, Villa María del Triunfo, Lima")</f>
      </c>
      <c r="O20" t="str">
        <v>Se movio</v>
      </c>
      <c r="P20">
        <v>2484</v>
      </c>
      <c r="Q20" t="str">
        <v/>
      </c>
      <c r="R20">
        <v>0</v>
      </c>
      <c r="S20">
        <v>159.9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95</v>
      </c>
      <c r="AB20" t="str">
        <v>27/09/2026</v>
      </c>
      <c r="AC20" t="str">
        <v>07:28:17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27/09/2026 07:28:35</v>
      </c>
      <c r="AK20" t="str">
        <v>07:28:35</v>
      </c>
      <c r="AL20" t="str">
        <v/>
      </c>
    </row>
    <row r="21">
      <c r="A21">
        <v>20</v>
      </c>
      <c r="B21" t="str">
        <v>MASS BSF</v>
      </c>
      <c r="C21" t="str">
        <v>AAR-880</v>
      </c>
      <c r="D21" t="str">
        <v>AAR-880</v>
      </c>
      <c r="E21" t="str">
        <v/>
      </c>
      <c r="F21" t="str">
        <v>867806078847433</v>
      </c>
      <c r="G21" t="str">
        <v>Otro</v>
      </c>
      <c r="H21" t="str">
        <v/>
      </c>
      <c r="I21" t="str">
        <v/>
      </c>
      <c r="J21" t="str">
        <v>27/09/2026</v>
      </c>
      <c r="K21" t="str">
        <v>07:37:21</v>
      </c>
      <c r="L21">
        <v>-12.23806</v>
      </c>
      <c r="M21">
        <v>-76.912674</v>
      </c>
      <c r="N21">
        <f>HYPERLINK("https://www.google.com/maps/search/?api=1&amp;query=-12.23806,-76.912674","Avenida Lima, Villa El Salvador")</f>
      </c>
      <c r="O21" t="str">
        <v>Inicio de ralentí</v>
      </c>
      <c r="P21">
        <v>2486.2</v>
      </c>
      <c r="Q21" t="str">
        <v/>
      </c>
      <c r="R21">
        <v>0</v>
      </c>
      <c r="S21">
        <v>159.9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92</v>
      </c>
      <c r="AB21" t="str">
        <v>27/09/2026</v>
      </c>
      <c r="AC21" t="str">
        <v>07:37:17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27/09/2026 07:37:31</v>
      </c>
      <c r="AK21" t="str">
        <v>07:37:31</v>
      </c>
      <c r="AL21" t="str">
        <v/>
      </c>
    </row>
    <row r="22">
      <c r="A22">
        <v>21</v>
      </c>
      <c r="B22" t="str">
        <v>MASS BSF</v>
      </c>
      <c r="C22" t="str">
        <v>AAR-880</v>
      </c>
      <c r="D22" t="str">
        <v>AAR-880</v>
      </c>
      <c r="E22" t="str">
        <v/>
      </c>
      <c r="F22" t="str">
        <v>867806078847433</v>
      </c>
      <c r="G22" t="str">
        <v>Otro</v>
      </c>
      <c r="H22" t="str">
        <v/>
      </c>
      <c r="I22" t="str">
        <v/>
      </c>
      <c r="J22" t="str">
        <v>27/09/2026</v>
      </c>
      <c r="K22" t="str">
        <v>07:39:39</v>
      </c>
      <c r="L22">
        <v>-12.238102</v>
      </c>
      <c r="M22">
        <v>-76.91267</v>
      </c>
      <c r="N22">
        <f>HYPERLINK("https://www.google.com/maps/search/?api=1&amp;query=-12.238102,-76.91267","Avenida Lima, Villa El Salvador")</f>
      </c>
      <c r="O22" t="str">
        <v>Fin de ralentí</v>
      </c>
      <c r="P22">
        <v>2486.2</v>
      </c>
      <c r="Q22" t="str">
        <v/>
      </c>
      <c r="R22">
        <v>0</v>
      </c>
      <c r="S22">
        <v>159.9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92</v>
      </c>
      <c r="AB22" t="str">
        <v>27/09/2026</v>
      </c>
      <c r="AC22" t="str">
        <v>07:39:35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27/09/2026 07:39:59</v>
      </c>
      <c r="AK22" t="str">
        <v>07:39:59</v>
      </c>
      <c r="AL22" t="str">
        <v/>
      </c>
    </row>
    <row r="23">
      <c r="A23">
        <v>22</v>
      </c>
      <c r="B23" t="str">
        <v>MASS BSF</v>
      </c>
      <c r="C23" t="str">
        <v>AAR-880</v>
      </c>
      <c r="D23" t="str">
        <v>AAR-880</v>
      </c>
      <c r="E23" t="str">
        <v/>
      </c>
      <c r="F23" t="str">
        <v>867806078847433</v>
      </c>
      <c r="G23" t="str">
        <v>Otro</v>
      </c>
      <c r="H23" t="str">
        <v/>
      </c>
      <c r="I23" t="str">
        <v/>
      </c>
      <c r="J23" t="str">
        <v>27/09/2026</v>
      </c>
      <c r="K23" t="str">
        <v>07:41:46</v>
      </c>
      <c r="L23">
        <v>-12.252027</v>
      </c>
      <c r="M23">
        <v>-76.90526</v>
      </c>
      <c r="N23">
        <f>HYPERLINK("https://www.google.com/maps/search/?api=1&amp;query=-12.252027,-76.90526","Avenida Lima, Lurín")</f>
      </c>
      <c r="O23" t="str">
        <v>Exceso de velocidad en segmento vial</v>
      </c>
      <c r="P23">
        <v>2488</v>
      </c>
      <c r="Q23" t="str">
        <v/>
      </c>
      <c r="R23">
        <v>66.3</v>
      </c>
      <c r="S23">
        <v>159.9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85</v>
      </c>
      <c r="AB23" t="str">
        <v>27/09/2026</v>
      </c>
      <c r="AC23" t="str">
        <v>07:41:43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27/09/2026 07:41:59</v>
      </c>
      <c r="AK23" t="str">
        <v>07:41:59</v>
      </c>
      <c r="AL23" t="str">
        <v/>
      </c>
    </row>
    <row r="24">
      <c r="A24">
        <v>23</v>
      </c>
      <c r="B24" t="str">
        <v>MASS BSF</v>
      </c>
      <c r="C24" t="str">
        <v>AAR-880</v>
      </c>
      <c r="D24" t="str">
        <v>AAR-880</v>
      </c>
      <c r="E24" t="str">
        <v/>
      </c>
      <c r="F24" t="str">
        <v>867806078847433</v>
      </c>
      <c r="G24" t="str">
        <v>Otro</v>
      </c>
      <c r="H24" t="str">
        <v/>
      </c>
      <c r="I24" t="str">
        <v/>
      </c>
      <c r="J24" t="str">
        <v>27/09/2026</v>
      </c>
      <c r="K24" t="str">
        <v>07:42:47</v>
      </c>
      <c r="L24">
        <v>-12.255382</v>
      </c>
      <c r="M24">
        <v>-76.909996</v>
      </c>
      <c r="N24">
        <f>HYPERLINK("https://www.google.com/maps/search/?api=1&amp;query=-12.255382,-76.909996","Antigua Panamericana Sur, Lurín, Lima")</f>
      </c>
      <c r="O24" t="str">
        <v>Exceso de velocidad en segmento vial</v>
      </c>
      <c r="P24">
        <v>2488.8</v>
      </c>
      <c r="Q24" t="str">
        <v/>
      </c>
      <c r="R24">
        <v>66.6</v>
      </c>
      <c r="S24">
        <v>159.9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85</v>
      </c>
      <c r="AB24" t="str">
        <v>27/09/2026</v>
      </c>
      <c r="AC24" t="str">
        <v>07:42:44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27/09/2026 07:43:11</v>
      </c>
      <c r="AK24" t="str">
        <v>07:43:11</v>
      </c>
      <c r="AL24" t="str">
        <v/>
      </c>
    </row>
    <row r="25">
      <c r="A25">
        <v>24</v>
      </c>
      <c r="B25" t="str">
        <v>MASS BSF</v>
      </c>
      <c r="C25" t="str">
        <v>AAR-880</v>
      </c>
      <c r="D25" t="str">
        <v>AAR-880</v>
      </c>
      <c r="E25" t="str">
        <v/>
      </c>
      <c r="F25" t="str">
        <v>867806078847433</v>
      </c>
      <c r="G25" t="str">
        <v>Otro</v>
      </c>
      <c r="H25" t="str">
        <v/>
      </c>
      <c r="I25" t="str">
        <v/>
      </c>
      <c r="J25" t="str">
        <v>27/09/2026</v>
      </c>
      <c r="K25" t="str">
        <v>07:42:56</v>
      </c>
      <c r="L25">
        <v>-12.255317</v>
      </c>
      <c r="M25">
        <v>-76.91149</v>
      </c>
      <c r="N25">
        <f>HYPERLINK("https://www.google.com/maps/search/?api=1&amp;query=-12.255317,-76.91149","Antigua Panamericana Sur, Lurín, Lima")</f>
      </c>
      <c r="O25" t="str">
        <v>Exceso de velocidad en segmento vial</v>
      </c>
      <c r="P25">
        <v>2489</v>
      </c>
      <c r="Q25" t="str">
        <v/>
      </c>
      <c r="R25">
        <v>63.8</v>
      </c>
      <c r="S25">
        <v>159.9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85</v>
      </c>
      <c r="AB25" t="str">
        <v>27/09/2026</v>
      </c>
      <c r="AC25" t="str">
        <v>07:42:53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27/09/2026 07:43:13</v>
      </c>
      <c r="AK25" t="str">
        <v>07:43:13</v>
      </c>
      <c r="AL25" t="str">
        <v/>
      </c>
    </row>
    <row r="26">
      <c r="A26">
        <v>25</v>
      </c>
      <c r="B26" t="str">
        <v>MASS BSF</v>
      </c>
      <c r="C26" t="str">
        <v>AAR-880</v>
      </c>
      <c r="D26" t="str">
        <v>AAR-880</v>
      </c>
      <c r="E26" t="str">
        <v/>
      </c>
      <c r="F26" t="str">
        <v>867806078847433</v>
      </c>
      <c r="G26" t="str">
        <v>Otro</v>
      </c>
      <c r="H26" t="str">
        <v/>
      </c>
      <c r="I26" t="str">
        <v xml:space="preserve"> </v>
      </c>
      <c r="J26" t="str">
        <v>27/09/2026</v>
      </c>
      <c r="K26" t="str">
        <v>08:03:47</v>
      </c>
      <c r="L26">
        <v>-12.317643</v>
      </c>
      <c r="M26">
        <v>-76.82966</v>
      </c>
      <c r="N26">
        <f>HYPERLINK("https://www.google.com/maps/search/?api=1&amp;query=-12.317643,-76.82966","Punta Hermosa, Lima")</f>
      </c>
      <c r="O26" t="str">
        <v>Llegó a la zona</v>
      </c>
      <c r="P26">
        <v>2507.8</v>
      </c>
      <c r="Q26" t="str">
        <v>MASS BSF 1</v>
      </c>
      <c r="R26">
        <v>9.2</v>
      </c>
      <c r="S26">
        <v>157.08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88</v>
      </c>
      <c r="AB26" t="str">
        <v>27/09/2026</v>
      </c>
      <c r="AC26" t="str">
        <v>08:03:44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27/09/2026 08:03:54</v>
      </c>
      <c r="AK26" t="str">
        <v>08:03:54</v>
      </c>
      <c r="AL26" t="str">
        <v/>
      </c>
    </row>
    <row r="27">
      <c r="A27">
        <v>26</v>
      </c>
      <c r="B27" t="str">
        <v>MASS BSF</v>
      </c>
      <c r="C27" t="str">
        <v>AAR-880</v>
      </c>
      <c r="D27" t="str">
        <v>AAR-880</v>
      </c>
      <c r="E27" t="str">
        <v/>
      </c>
      <c r="F27" t="str">
        <v>867806078847433</v>
      </c>
      <c r="G27" t="str">
        <v>Otro</v>
      </c>
      <c r="H27" t="str">
        <v/>
      </c>
      <c r="I27" t="str">
        <v/>
      </c>
      <c r="J27" t="str">
        <v>27/09/2026</v>
      </c>
      <c r="K27" t="str">
        <v>08:17:23</v>
      </c>
      <c r="L27">
        <v>-12.317398</v>
      </c>
      <c r="M27">
        <v>-76.822945</v>
      </c>
      <c r="N27">
        <f>HYPERLINK("https://www.google.com/maps/search/?api=1&amp;query=-12.317398,-76.822945","Punta Hermosa, Lima")</f>
      </c>
      <c r="O27" t="str">
        <v>Vehículo apagado</v>
      </c>
      <c r="P27">
        <v>2508.8</v>
      </c>
      <c r="Q27" t="str">
        <v/>
      </c>
      <c r="R27">
        <v>0</v>
      </c>
      <c r="S27">
        <v>160.72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84</v>
      </c>
      <c r="AB27" t="str">
        <v>27/09/2026</v>
      </c>
      <c r="AC27" t="str">
        <v>08:17:19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27/09/2026 08:17:36</v>
      </c>
      <c r="AK27" t="str">
        <v>08:17:36</v>
      </c>
      <c r="AL27" t="str">
        <v/>
      </c>
    </row>
    <row r="28">
      <c r="A28">
        <v>27</v>
      </c>
      <c r="B28" t="str">
        <v>MASS BSF</v>
      </c>
      <c r="C28" t="str">
        <v>AAR-880</v>
      </c>
      <c r="D28" t="str">
        <v>AAR-880</v>
      </c>
      <c r="E28" t="str">
        <v/>
      </c>
      <c r="F28" t="str">
        <v>867806078847433</v>
      </c>
      <c r="G28" t="str">
        <v>Otro</v>
      </c>
      <c r="H28" t="str">
        <v/>
      </c>
      <c r="I28" t="str">
        <v/>
      </c>
      <c r="J28" t="str">
        <v>27/09/2026</v>
      </c>
      <c r="K28" t="str">
        <v>08:17:28</v>
      </c>
      <c r="L28">
        <v>-12.317398</v>
      </c>
      <c r="M28">
        <v>-76.822945</v>
      </c>
      <c r="N28">
        <f>HYPERLINK("https://www.google.com/maps/search/?api=1&amp;query=-12.317398,-76.822945","Punta Hermosa, Lima")</f>
      </c>
      <c r="O28" t="str">
        <v>Vehículo encendido</v>
      </c>
      <c r="P28">
        <v>2508.8</v>
      </c>
      <c r="Q28" t="str">
        <v/>
      </c>
      <c r="R28">
        <v>0</v>
      </c>
      <c r="S28">
        <v>160.72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84</v>
      </c>
      <c r="AB28" t="str">
        <v>27/09/2026</v>
      </c>
      <c r="AC28" t="str">
        <v>08:17:25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27/09/2026 08:17:44</v>
      </c>
      <c r="AK28" t="str">
        <v>08:17:44</v>
      </c>
      <c r="AL28" t="str">
        <v/>
      </c>
    </row>
    <row r="29">
      <c r="A29">
        <v>28</v>
      </c>
      <c r="B29" t="str">
        <v>MASS BSF</v>
      </c>
      <c r="C29" t="str">
        <v>AAR-880</v>
      </c>
      <c r="D29" t="str">
        <v>AAR-880</v>
      </c>
      <c r="E29" t="str">
        <v/>
      </c>
      <c r="F29" t="str">
        <v>867806078847433</v>
      </c>
      <c r="G29" t="str">
        <v>Otro</v>
      </c>
      <c r="H29" t="str">
        <v/>
      </c>
      <c r="I29" t="str">
        <v/>
      </c>
      <c r="J29" t="str">
        <v>27/09/2026</v>
      </c>
      <c r="K29" t="str">
        <v>08:17:28</v>
      </c>
      <c r="L29">
        <v>-12.317398</v>
      </c>
      <c r="M29">
        <v>-76.822945</v>
      </c>
      <c r="N29">
        <f>HYPERLINK("https://www.google.com/maps/search/?api=1&amp;query=-12.317398,-76.822945","Punta Hermosa, Lima")</f>
      </c>
      <c r="O29" t="str">
        <v>Se movio</v>
      </c>
      <c r="P29">
        <v>2508.8</v>
      </c>
      <c r="Q29" t="str">
        <v/>
      </c>
      <c r="R29">
        <v>0</v>
      </c>
      <c r="S29">
        <v>160.72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84</v>
      </c>
      <c r="AB29" t="str">
        <v>27/09/2026</v>
      </c>
      <c r="AC29" t="str">
        <v>08:17:25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27/09/2026 08:17:44</v>
      </c>
      <c r="AK29" t="str">
        <v>08:17:44</v>
      </c>
      <c r="AL29" t="str">
        <v/>
      </c>
    </row>
    <row r="30">
      <c r="A30">
        <v>29</v>
      </c>
      <c r="B30" t="str">
        <v>MASS BSF</v>
      </c>
      <c r="C30" t="str">
        <v>AAR-880</v>
      </c>
      <c r="D30" t="str">
        <v>AAR-880</v>
      </c>
      <c r="E30" t="str">
        <v/>
      </c>
      <c r="F30" t="str">
        <v>867806078847433</v>
      </c>
      <c r="G30" t="str">
        <v>Otro</v>
      </c>
      <c r="H30" t="str">
        <v/>
      </c>
      <c r="I30" t="str">
        <v/>
      </c>
      <c r="J30" t="str">
        <v>27/09/2026</v>
      </c>
      <c r="K30" t="str">
        <v>08:26:45</v>
      </c>
      <c r="L30">
        <v>-12.317826</v>
      </c>
      <c r="M30">
        <v>-76.82417</v>
      </c>
      <c r="N30">
        <f>HYPERLINK("https://www.google.com/maps/search/?api=1&amp;query=-12.317826,-76.82417","Punta Hermosa, Lima")</f>
      </c>
      <c r="O30" t="str">
        <v>Vehículo apagado</v>
      </c>
      <c r="P30">
        <v>2509.2</v>
      </c>
      <c r="Q30" t="str">
        <v/>
      </c>
      <c r="R30">
        <v>0</v>
      </c>
      <c r="S30">
        <v>160.87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90</v>
      </c>
      <c r="AB30" t="str">
        <v>27/09/2026</v>
      </c>
      <c r="AC30" t="str">
        <v>08:26:41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27/09/2026 08:27:03</v>
      </c>
      <c r="AK30" t="str">
        <v>08:27:03</v>
      </c>
      <c r="AL30" t="str">
        <v/>
      </c>
    </row>
    <row r="31">
      <c r="A31">
        <v>30</v>
      </c>
      <c r="B31" t="str">
        <v>MASS BSF</v>
      </c>
      <c r="C31" t="str">
        <v>AAR-880</v>
      </c>
      <c r="D31" t="str">
        <v>AAR-880</v>
      </c>
      <c r="E31" t="str">
        <v/>
      </c>
      <c r="F31" t="str">
        <v>867806078847433</v>
      </c>
      <c r="G31" t="str">
        <v>Otro</v>
      </c>
      <c r="H31" t="str">
        <v/>
      </c>
      <c r="I31" t="str">
        <v/>
      </c>
      <c r="J31" t="str">
        <v>27/09/2026</v>
      </c>
      <c r="K31" t="str">
        <v>10:41:35</v>
      </c>
      <c r="L31">
        <v>-12.317826</v>
      </c>
      <c r="M31">
        <v>-76.82417</v>
      </c>
      <c r="N31">
        <f>HYPERLINK("https://www.google.com/maps/search/?api=1&amp;query=-12.317826,-76.82417","Punta Hermosa, Lima")</f>
      </c>
      <c r="O31" t="str">
        <v>Vehículo encendido</v>
      </c>
      <c r="P31">
        <v>2509.2</v>
      </c>
      <c r="Q31" t="str">
        <v/>
      </c>
      <c r="R31">
        <v>0</v>
      </c>
      <c r="S31">
        <v>160.87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88</v>
      </c>
      <c r="AB31" t="str">
        <v>27/09/2026</v>
      </c>
      <c r="AC31" t="str">
        <v>10:41:30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27/09/2026 10:41:52</v>
      </c>
      <c r="AK31" t="str">
        <v>10:41:52</v>
      </c>
      <c r="AL31" t="str">
        <v/>
      </c>
    </row>
    <row r="32">
      <c r="A32">
        <v>31</v>
      </c>
      <c r="B32" t="str">
        <v>MASS BSF</v>
      </c>
      <c r="C32" t="str">
        <v>AAR-880</v>
      </c>
      <c r="D32" t="str">
        <v>AAR-880</v>
      </c>
      <c r="E32" t="str">
        <v/>
      </c>
      <c r="F32" t="str">
        <v>867806078847433</v>
      </c>
      <c r="G32" t="str">
        <v>Otro</v>
      </c>
      <c r="H32" t="str">
        <v/>
      </c>
      <c r="I32" t="str">
        <v/>
      </c>
      <c r="J32" t="str">
        <v>27/09/2026</v>
      </c>
      <c r="K32" t="str">
        <v>10:41:35</v>
      </c>
      <c r="L32">
        <v>-12.317826</v>
      </c>
      <c r="M32">
        <v>-76.82417</v>
      </c>
      <c r="N32">
        <f>HYPERLINK("https://www.google.com/maps/search/?api=1&amp;query=-12.317826,-76.82417","Punta Hermosa, Lima")</f>
      </c>
      <c r="O32" t="str">
        <v>Se movio</v>
      </c>
      <c r="P32">
        <v>2509.2</v>
      </c>
      <c r="Q32" t="str">
        <v/>
      </c>
      <c r="R32">
        <v>0</v>
      </c>
      <c r="S32">
        <v>160.87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88</v>
      </c>
      <c r="AB32" t="str">
        <v>27/09/2026</v>
      </c>
      <c r="AC32" t="str">
        <v>10:41:30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27/09/2026 10:41:49</v>
      </c>
      <c r="AK32" t="str">
        <v>10:41:49</v>
      </c>
      <c r="AL32" t="str">
        <v/>
      </c>
    </row>
    <row r="33">
      <c r="A33">
        <v>32</v>
      </c>
      <c r="B33" t="str">
        <v>MASS BSF</v>
      </c>
      <c r="C33" t="str">
        <v>AAR-880</v>
      </c>
      <c r="D33" t="str">
        <v>AAR-880</v>
      </c>
      <c r="E33" t="str">
        <v/>
      </c>
      <c r="F33" t="str">
        <v>867806078847433</v>
      </c>
      <c r="G33" t="str">
        <v>Otro</v>
      </c>
      <c r="H33" t="str">
        <v/>
      </c>
      <c r="I33" t="str">
        <v/>
      </c>
      <c r="J33" t="str">
        <v>27/09/2026</v>
      </c>
      <c r="K33" t="str">
        <v>10:52:02</v>
      </c>
      <c r="L33">
        <v>-12.317857</v>
      </c>
      <c r="M33">
        <v>-76.82422</v>
      </c>
      <c r="N33">
        <f>HYPERLINK("https://www.google.com/maps/search/?api=1&amp;query=-12.317857,-76.82422","Punta Hermosa, Lima")</f>
      </c>
      <c r="O33" t="str">
        <v>Vehículo apagado</v>
      </c>
      <c r="P33">
        <v>2509.2</v>
      </c>
      <c r="Q33" t="str">
        <v/>
      </c>
      <c r="R33">
        <v>0</v>
      </c>
      <c r="S33">
        <v>161.03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87</v>
      </c>
      <c r="AB33" t="str">
        <v>27/09/2026</v>
      </c>
      <c r="AC33" t="str">
        <v>10:51:57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27/09/2026 10:52:27</v>
      </c>
      <c r="AK33" t="str">
        <v>10:52:27</v>
      </c>
      <c r="AL33" t="str">
        <v/>
      </c>
    </row>
    <row r="34">
      <c r="A34">
        <v>33</v>
      </c>
      <c r="B34" t="str">
        <v>MASS BSF</v>
      </c>
      <c r="C34" t="str">
        <v>AAR-880</v>
      </c>
      <c r="D34" t="str">
        <v>AAR-880</v>
      </c>
      <c r="E34" t="str">
        <v/>
      </c>
      <c r="F34" t="str">
        <v>867806078847433</v>
      </c>
      <c r="G34" t="str">
        <v>Otro</v>
      </c>
      <c r="H34" t="str">
        <v/>
      </c>
      <c r="I34" t="str">
        <v/>
      </c>
      <c r="J34" t="str">
        <v>27/09/2026</v>
      </c>
      <c r="K34" t="str">
        <v>11:16:58</v>
      </c>
      <c r="L34">
        <v>-12.317857</v>
      </c>
      <c r="M34">
        <v>-76.82422</v>
      </c>
      <c r="N34">
        <f>HYPERLINK("https://www.google.com/maps/search/?api=1&amp;query=-12.317857,-76.82422","Punta Hermosa, Lima")</f>
      </c>
      <c r="O34" t="str">
        <v>Vehículo encendido</v>
      </c>
      <c r="P34">
        <v>2509.2</v>
      </c>
      <c r="Q34" t="str">
        <v/>
      </c>
      <c r="R34">
        <v>0</v>
      </c>
      <c r="S34">
        <v>161.03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85</v>
      </c>
      <c r="AB34" t="str">
        <v>27/09/2026</v>
      </c>
      <c r="AC34" t="str">
        <v>11:16:54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27/09/2026 11:17:04</v>
      </c>
      <c r="AK34" t="str">
        <v>11:17:04</v>
      </c>
      <c r="AL34" t="str">
        <v/>
      </c>
    </row>
    <row r="35">
      <c r="A35">
        <v>34</v>
      </c>
      <c r="B35" t="str">
        <v>MASS BSF</v>
      </c>
      <c r="C35" t="str">
        <v>AAR-880</v>
      </c>
      <c r="D35" t="str">
        <v>AAR-880</v>
      </c>
      <c r="E35" t="str">
        <v/>
      </c>
      <c r="F35" t="str">
        <v>867806078847433</v>
      </c>
      <c r="G35" t="str">
        <v>Otro</v>
      </c>
      <c r="H35" t="str">
        <v/>
      </c>
      <c r="I35" t="str">
        <v/>
      </c>
      <c r="J35" t="str">
        <v>27/09/2026</v>
      </c>
      <c r="K35" t="str">
        <v>11:16:58</v>
      </c>
      <c r="L35">
        <v>-12.317857</v>
      </c>
      <c r="M35">
        <v>-76.82422</v>
      </c>
      <c r="N35">
        <f>HYPERLINK("https://www.google.com/maps/search/?api=1&amp;query=-12.317857,-76.82422","Punta Hermosa, Lima")</f>
      </c>
      <c r="O35" t="str">
        <v>Se movio</v>
      </c>
      <c r="P35">
        <v>2509.2</v>
      </c>
      <c r="Q35" t="str">
        <v/>
      </c>
      <c r="R35">
        <v>0</v>
      </c>
      <c r="S35">
        <v>161.03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85</v>
      </c>
      <c r="AB35" t="str">
        <v>27/09/2026</v>
      </c>
      <c r="AC35" t="str">
        <v>11:16:54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27/09/2026 11:17:01</v>
      </c>
      <c r="AK35" t="str">
        <v>11:17:01</v>
      </c>
      <c r="AL35" t="str">
        <v/>
      </c>
    </row>
    <row r="36">
      <c r="A36">
        <v>35</v>
      </c>
      <c r="B36" t="str">
        <v>MASS BSF</v>
      </c>
      <c r="C36" t="str">
        <v>AAR-880</v>
      </c>
      <c r="D36" t="str">
        <v>AAR-880</v>
      </c>
      <c r="E36" t="str">
        <v/>
      </c>
      <c r="F36" t="str">
        <v>867806078847433</v>
      </c>
      <c r="G36" t="str">
        <v>Otro</v>
      </c>
      <c r="H36" t="str">
        <v/>
      </c>
      <c r="I36" t="str">
        <v xml:space="preserve"> </v>
      </c>
      <c r="J36" t="str">
        <v>27/09/2026</v>
      </c>
      <c r="K36" t="str">
        <v>11:24:39</v>
      </c>
      <c r="L36">
        <v>-12.317495</v>
      </c>
      <c r="M36">
        <v>-76.8297</v>
      </c>
      <c r="N36">
        <f>HYPERLINK("https://www.google.com/maps/search/?api=1&amp;query=-12.317495,-76.8297","Punta Hermosa, Lima")</f>
      </c>
      <c r="O36" t="str">
        <v>Llegó a la zona</v>
      </c>
      <c r="P36">
        <v>2510</v>
      </c>
      <c r="Q36" t="str">
        <v>MASS BSF 1</v>
      </c>
      <c r="R36">
        <v>6.6</v>
      </c>
      <c r="S36">
        <v>158.22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93</v>
      </c>
      <c r="AB36" t="str">
        <v>27/09/2026</v>
      </c>
      <c r="AC36" t="str">
        <v>11:24:35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27/09/2026 11:25:02</v>
      </c>
      <c r="AK36" t="str">
        <v>11:25:02</v>
      </c>
      <c r="AL36" t="str">
        <v/>
      </c>
    </row>
    <row r="37">
      <c r="A37">
        <v>36</v>
      </c>
      <c r="B37" t="str">
        <v>MASS BSF</v>
      </c>
      <c r="C37" t="str">
        <v>AAR-880</v>
      </c>
      <c r="D37" t="str">
        <v>AAR-880</v>
      </c>
      <c r="E37" t="str">
        <v/>
      </c>
      <c r="F37" t="str">
        <v>867806078847433</v>
      </c>
      <c r="G37" t="str">
        <v>Otro</v>
      </c>
      <c r="H37" t="str">
        <v/>
      </c>
      <c r="I37" t="str">
        <v xml:space="preserve"> </v>
      </c>
      <c r="J37" t="str">
        <v>27/09/2026</v>
      </c>
      <c r="K37" t="str">
        <v>11:24:50</v>
      </c>
      <c r="L37">
        <v>-12.317496</v>
      </c>
      <c r="M37">
        <v>-76.83007</v>
      </c>
      <c r="N37">
        <f>HYPERLINK("https://www.google.com/maps/search/?api=1&amp;query=-12.317496,-76.83007","Punta Hermosa, Lima")</f>
      </c>
      <c r="O37" t="str">
        <v>Salió de zona</v>
      </c>
      <c r="P37">
        <v>2510</v>
      </c>
      <c r="Q37" t="str">
        <v>MASS BSF 1</v>
      </c>
      <c r="R37">
        <v>20</v>
      </c>
      <c r="S37">
        <v>158.22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93</v>
      </c>
      <c r="AB37" t="str">
        <v>27/09/2026</v>
      </c>
      <c r="AC37" t="str">
        <v>11:24:46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27/09/2026 11:25:00</v>
      </c>
      <c r="AK37" t="str">
        <v>11:25:00</v>
      </c>
      <c r="AL37" t="str">
        <v/>
      </c>
    </row>
    <row r="38">
      <c r="A38">
        <v>37</v>
      </c>
      <c r="B38" t="str">
        <v>MASS BSF</v>
      </c>
      <c r="C38" t="str">
        <v>AAR-880</v>
      </c>
      <c r="D38" t="str">
        <v>AAR-880</v>
      </c>
      <c r="E38" t="str">
        <v/>
      </c>
      <c r="F38" t="str">
        <v>867806078847433</v>
      </c>
      <c r="G38" t="str">
        <v>Otro</v>
      </c>
      <c r="H38" t="str">
        <v/>
      </c>
      <c r="I38" t="str">
        <v xml:space="preserve"> </v>
      </c>
      <c r="J38" t="str">
        <v>27/09/2026</v>
      </c>
      <c r="K38" t="str">
        <v>11:24:55</v>
      </c>
      <c r="L38">
        <v>-12.317384</v>
      </c>
      <c r="M38">
        <v>-76.8303</v>
      </c>
      <c r="N38">
        <f>HYPERLINK("https://www.google.com/maps/search/?api=1&amp;query=-12.317384,-76.8303","Carretera Panamericana Sur, Punta Hermosa, Lima")</f>
      </c>
      <c r="O38" t="str">
        <v>Salió de zona</v>
      </c>
      <c r="P38">
        <v>2510.1</v>
      </c>
      <c r="Q38" t="str">
        <v>MASS BSF 1</v>
      </c>
      <c r="R38">
        <v>20</v>
      </c>
      <c r="S38">
        <v>158.22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93</v>
      </c>
      <c r="AB38" t="str">
        <v>27/09/2026</v>
      </c>
      <c r="AC38" t="str">
        <v>11:24:51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27/09/2026 11:25:02</v>
      </c>
      <c r="AK38" t="str">
        <v>11:25:02</v>
      </c>
      <c r="AL38" t="str">
        <v/>
      </c>
    </row>
    <row r="39">
      <c r="A39">
        <v>38</v>
      </c>
      <c r="B39" t="str">
        <v>MASS BSF</v>
      </c>
      <c r="C39" t="str">
        <v>AAR-880</v>
      </c>
      <c r="D39" t="str">
        <v>AAR-880</v>
      </c>
      <c r="E39" t="str">
        <v/>
      </c>
      <c r="F39" t="str">
        <v>867806078847433</v>
      </c>
      <c r="G39" t="str">
        <v>Otro</v>
      </c>
      <c r="H39" t="str">
        <v/>
      </c>
      <c r="I39" t="str">
        <v/>
      </c>
      <c r="J39" t="str">
        <v>27/09/2026</v>
      </c>
      <c r="K39" t="str">
        <v>11:52:49</v>
      </c>
      <c r="L39">
        <v>-12.235595</v>
      </c>
      <c r="M39">
        <v>-76.91016</v>
      </c>
      <c r="N39">
        <f>HYPERLINK("https://www.google.com/maps/search/?api=1&amp;query=-12.235595,-76.91016","Calle 2, Lurín, Lima")</f>
      </c>
      <c r="O39" t="str">
        <v>Inicio de ralentí</v>
      </c>
      <c r="P39">
        <v>2526.4</v>
      </c>
      <c r="Q39" t="str">
        <v/>
      </c>
      <c r="R39">
        <v>0</v>
      </c>
      <c r="S39">
        <v>161.03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94</v>
      </c>
      <c r="AB39" t="str">
        <v>27/09/2026</v>
      </c>
      <c r="AC39" t="str">
        <v>11:52:44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27/09/2026 11:53:04</v>
      </c>
      <c r="AK39" t="str">
        <v>11:53:04</v>
      </c>
      <c r="AL39" t="str">
        <v/>
      </c>
    </row>
    <row r="40">
      <c r="A40">
        <v>39</v>
      </c>
      <c r="B40" t="str">
        <v>MASS BSF</v>
      </c>
      <c r="C40" t="str">
        <v>AAR-880</v>
      </c>
      <c r="D40" t="str">
        <v>AAR-880</v>
      </c>
      <c r="E40" t="str">
        <v/>
      </c>
      <c r="F40" t="str">
        <v>867806078847433</v>
      </c>
      <c r="G40" t="str">
        <v>Otro</v>
      </c>
      <c r="H40" t="str">
        <v/>
      </c>
      <c r="I40" t="str">
        <v/>
      </c>
      <c r="J40" t="str">
        <v>27/09/2026</v>
      </c>
      <c r="K40" t="str">
        <v>12:00:59</v>
      </c>
      <c r="L40">
        <v>-12.235595</v>
      </c>
      <c r="M40">
        <v>-76.91016</v>
      </c>
      <c r="N40">
        <f>HYPERLINK("https://www.google.com/maps/search/?api=1&amp;query=-12.235595,-76.91016","Calle 2, Lurín, Lima")</f>
      </c>
      <c r="O40" t="str">
        <v>Vehículo apagado</v>
      </c>
      <c r="P40">
        <v>2526.4</v>
      </c>
      <c r="Q40" t="str">
        <v/>
      </c>
      <c r="R40">
        <v>0</v>
      </c>
      <c r="S40">
        <v>161.77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85</v>
      </c>
      <c r="AB40" t="str">
        <v>27/09/2026</v>
      </c>
      <c r="AC40" t="str">
        <v>12:00:54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27/09/2026 12:01:26</v>
      </c>
      <c r="AK40" t="str">
        <v>12:01:26</v>
      </c>
      <c r="AL40" t="str">
        <v/>
      </c>
    </row>
    <row r="41">
      <c r="A41">
        <v>40</v>
      </c>
      <c r="B41" t="str">
        <v>MASS BSF</v>
      </c>
      <c r="C41" t="str">
        <v>AAR-880</v>
      </c>
      <c r="D41" t="str">
        <v>AAR-880</v>
      </c>
      <c r="E41" t="str">
        <v/>
      </c>
      <c r="F41" t="str">
        <v>867806078847433</v>
      </c>
      <c r="G41" t="str">
        <v>Otro</v>
      </c>
      <c r="H41" t="str">
        <v/>
      </c>
      <c r="I41" t="str">
        <v/>
      </c>
      <c r="J41" t="str">
        <v>27/09/2026</v>
      </c>
      <c r="K41" t="str">
        <v>12:00:59</v>
      </c>
      <c r="L41">
        <v>-12.235595</v>
      </c>
      <c r="M41">
        <v>-76.91016</v>
      </c>
      <c r="N41">
        <f>HYPERLINK("https://www.google.com/maps/search/?api=1&amp;query=-12.235595,-76.91016","Calle 2, Lurín, Lima")</f>
      </c>
      <c r="O41" t="str">
        <v>Vehículo apagado</v>
      </c>
      <c r="P41">
        <v>2526.4</v>
      </c>
      <c r="Q41" t="str">
        <v/>
      </c>
      <c r="R41">
        <v>0</v>
      </c>
      <c r="S41">
        <v>161.77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85</v>
      </c>
      <c r="AB41" t="str">
        <v>27/09/2026</v>
      </c>
      <c r="AC41" t="str">
        <v>12:00:54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27/09/2026 12:02:07</v>
      </c>
      <c r="AK41" t="str">
        <v>12:02:07</v>
      </c>
      <c r="AL41" t="str">
        <v/>
      </c>
    </row>
    <row r="42">
      <c r="A42">
        <v>41</v>
      </c>
      <c r="B42" t="str">
        <v>MASS BSF</v>
      </c>
      <c r="C42" t="str">
        <v>AAR-880</v>
      </c>
      <c r="D42" t="str">
        <v>AAR-880</v>
      </c>
      <c r="E42" t="str">
        <v/>
      </c>
      <c r="F42" t="str">
        <v>867806078847433</v>
      </c>
      <c r="G42" t="str">
        <v>Otro</v>
      </c>
      <c r="H42" t="str">
        <v/>
      </c>
      <c r="I42" t="str">
        <v/>
      </c>
      <c r="J42" t="str">
        <v>27/09/2026</v>
      </c>
      <c r="K42" t="str">
        <v>12:00:59</v>
      </c>
      <c r="L42">
        <v>-12.235595</v>
      </c>
      <c r="M42">
        <v>-76.91016</v>
      </c>
      <c r="N42">
        <f>HYPERLINK("https://www.google.com/maps/search/?api=1&amp;query=-12.235595,-76.91016","Calle 2, Lurín, Lima")</f>
      </c>
      <c r="O42" t="str">
        <v>Fin de ralentí</v>
      </c>
      <c r="P42">
        <v>2526.4</v>
      </c>
      <c r="Q42" t="str">
        <v/>
      </c>
      <c r="R42">
        <v>0</v>
      </c>
      <c r="S42">
        <v>161.03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85</v>
      </c>
      <c r="AB42" t="str">
        <v>27/09/2026</v>
      </c>
      <c r="AC42" t="str">
        <v>12:00:54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27/09/2026 12:01:26</v>
      </c>
      <c r="AK42" t="str">
        <v>12:01:26</v>
      </c>
      <c r="AL42" t="str">
        <v/>
      </c>
    </row>
    <row r="43">
      <c r="A43">
        <v>42</v>
      </c>
      <c r="B43" t="str">
        <v>MASS BSF</v>
      </c>
      <c r="C43" t="str">
        <v>AAR-880</v>
      </c>
      <c r="D43" t="str">
        <v>AAR-880</v>
      </c>
      <c r="E43" t="str">
        <v/>
      </c>
      <c r="F43" t="str">
        <v>867806078847433</v>
      </c>
      <c r="G43" t="str">
        <v>Otro</v>
      </c>
      <c r="H43" t="str">
        <v/>
      </c>
      <c r="I43" t="str">
        <v/>
      </c>
      <c r="J43" t="str">
        <v>27/09/2026</v>
      </c>
      <c r="K43" t="str">
        <v>12:00:59</v>
      </c>
      <c r="L43">
        <v>-12.235595</v>
      </c>
      <c r="M43">
        <v>-76.91016</v>
      </c>
      <c r="N43">
        <f>HYPERLINK("https://www.google.com/maps/search/?api=1&amp;query=-12.235595,-76.91016","Calle 2, Lurín, Lima")</f>
      </c>
      <c r="O43" t="str">
        <v>Fin de ralentí</v>
      </c>
      <c r="P43">
        <v>2526.4</v>
      </c>
      <c r="Q43" t="str">
        <v/>
      </c>
      <c r="R43">
        <v>0</v>
      </c>
      <c r="S43">
        <v>161.77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85</v>
      </c>
      <c r="AB43" t="str">
        <v>27/09/2026</v>
      </c>
      <c r="AC43" t="str">
        <v>12:00:54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27/09/2026 12:02:07</v>
      </c>
      <c r="AK43" t="str">
        <v>12:02:07</v>
      </c>
      <c r="AL43" t="str">
        <v/>
      </c>
    </row>
    <row r="44">
      <c r="A44">
        <v>43</v>
      </c>
      <c r="B44" t="str">
        <v>MASS BSF</v>
      </c>
      <c r="C44" t="str">
        <v>AAR-880</v>
      </c>
      <c r="D44" t="str">
        <v>AAR-880</v>
      </c>
      <c r="E44" t="str">
        <v/>
      </c>
      <c r="F44" t="str">
        <v>867806078847433</v>
      </c>
      <c r="G44" t="str">
        <v>Otro</v>
      </c>
      <c r="H44" t="str">
        <v/>
      </c>
      <c r="I44" t="str">
        <v/>
      </c>
      <c r="J44" t="str">
        <v>27/09/2026</v>
      </c>
      <c r="K44" t="str">
        <v>12:01:49</v>
      </c>
      <c r="L44">
        <v>-12.235595</v>
      </c>
      <c r="M44">
        <v>-76.91016</v>
      </c>
      <c r="N44">
        <f>HYPERLINK("https://www.google.com/maps/search/?api=1&amp;query=-12.235595,-76.91016","Calle 2, Lurín, Lima")</f>
      </c>
      <c r="O44" t="str">
        <v>Vehículo encendido</v>
      </c>
      <c r="P44">
        <v>2526.4</v>
      </c>
      <c r="Q44" t="str">
        <v/>
      </c>
      <c r="R44">
        <v>0</v>
      </c>
      <c r="S44">
        <v>161.77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85</v>
      </c>
      <c r="AB44" t="str">
        <v>27/09/2026</v>
      </c>
      <c r="AC44" t="str">
        <v>12:01:44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27/09/2026 12:02:07</v>
      </c>
      <c r="AK44" t="str">
        <v>12:02:07</v>
      </c>
      <c r="AL44" t="str">
        <v/>
      </c>
    </row>
    <row r="45">
      <c r="A45">
        <v>44</v>
      </c>
      <c r="B45" t="str">
        <v>MASS BSF</v>
      </c>
      <c r="C45" t="str">
        <v>AAR-880</v>
      </c>
      <c r="D45" t="str">
        <v>AAR-880</v>
      </c>
      <c r="E45" t="str">
        <v/>
      </c>
      <c r="F45" t="str">
        <v>867806078847433</v>
      </c>
      <c r="G45" t="str">
        <v>Otro</v>
      </c>
      <c r="H45" t="str">
        <v/>
      </c>
      <c r="I45" t="str">
        <v/>
      </c>
      <c r="J45" t="str">
        <v>27/09/2026</v>
      </c>
      <c r="K45" t="str">
        <v>12:04:29</v>
      </c>
      <c r="L45">
        <v>-12.235595</v>
      </c>
      <c r="M45">
        <v>-76.91016</v>
      </c>
      <c r="N45">
        <f>HYPERLINK("https://www.google.com/maps/search/?api=1&amp;query=-12.235595,-76.91016","Calle 2, Lurín, Lima")</f>
      </c>
      <c r="O45" t="str">
        <v>Vehículo apagado</v>
      </c>
      <c r="P45">
        <v>2526.4</v>
      </c>
      <c r="Q45" t="str">
        <v/>
      </c>
      <c r="R45">
        <v>0</v>
      </c>
      <c r="S45">
        <v>161.82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93</v>
      </c>
      <c r="AB45" t="str">
        <v>27/09/2026</v>
      </c>
      <c r="AC45" t="str">
        <v>12:04:24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27/09/2026 12:04:49</v>
      </c>
      <c r="AK45" t="str">
        <v>12:04:49</v>
      </c>
      <c r="AL45" t="str">
        <v/>
      </c>
    </row>
    <row r="46">
      <c r="A46">
        <v>45</v>
      </c>
      <c r="B46" t="str">
        <v>MASS BSF</v>
      </c>
      <c r="C46" t="str">
        <v>AAR-880</v>
      </c>
      <c r="D46" t="str">
        <v>AAR-880</v>
      </c>
      <c r="E46" t="str">
        <v/>
      </c>
      <c r="F46" t="str">
        <v>867806078847433</v>
      </c>
      <c r="G46" t="str">
        <v>Otro</v>
      </c>
      <c r="H46" t="str">
        <v/>
      </c>
      <c r="I46" t="str">
        <v/>
      </c>
      <c r="J46" t="str">
        <v>27/09/2026</v>
      </c>
      <c r="K46" t="str">
        <v>12:05:24</v>
      </c>
      <c r="L46">
        <v>-12.235595</v>
      </c>
      <c r="M46">
        <v>-76.91016</v>
      </c>
      <c r="N46">
        <f>HYPERLINK("https://www.google.com/maps/search/?api=1&amp;query=-12.235595,-76.91016","Calle 2, Lurín, Lima")</f>
      </c>
      <c r="O46" t="str">
        <v>Vehículo encendido</v>
      </c>
      <c r="P46">
        <v>2526.4</v>
      </c>
      <c r="Q46" t="str">
        <v/>
      </c>
      <c r="R46">
        <v>0</v>
      </c>
      <c r="S46">
        <v>161.82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93</v>
      </c>
      <c r="AB46" t="str">
        <v>27/09/2026</v>
      </c>
      <c r="AC46" t="str">
        <v>12:05:19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27/09/2026 12:05:45</v>
      </c>
      <c r="AK46" t="str">
        <v>12:05:45</v>
      </c>
      <c r="AL46" t="str">
        <v/>
      </c>
    </row>
    <row r="47">
      <c r="A47">
        <v>46</v>
      </c>
      <c r="B47" t="str">
        <v>MASS BSF</v>
      </c>
      <c r="C47" t="str">
        <v>AAR-880</v>
      </c>
      <c r="D47" t="str">
        <v>AAR-880</v>
      </c>
      <c r="E47" t="str">
        <v/>
      </c>
      <c r="F47" t="str">
        <v>867806078847433</v>
      </c>
      <c r="G47" t="str">
        <v>Otro</v>
      </c>
      <c r="H47" t="str">
        <v/>
      </c>
      <c r="I47" t="str">
        <v/>
      </c>
      <c r="J47" t="str">
        <v>27/09/2026</v>
      </c>
      <c r="K47" t="str">
        <v>12:06:04</v>
      </c>
      <c r="L47">
        <v>-12.235595</v>
      </c>
      <c r="M47">
        <v>-76.91016</v>
      </c>
      <c r="N47">
        <f>HYPERLINK("https://www.google.com/maps/search/?api=1&amp;query=-12.235595,-76.91016","Calle 2, Lurín, Lima")</f>
      </c>
      <c r="O47" t="str">
        <v>Vehículo apagado</v>
      </c>
      <c r="P47">
        <v>2526.4</v>
      </c>
      <c r="Q47" t="str">
        <v/>
      </c>
      <c r="R47">
        <v>0</v>
      </c>
      <c r="S47">
        <v>161.83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93</v>
      </c>
      <c r="AB47" t="str">
        <v>27/09/2026</v>
      </c>
      <c r="AC47" t="str">
        <v>12:05:59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27/09/2026 12:06:15</v>
      </c>
      <c r="AK47" t="str">
        <v>12:06:15</v>
      </c>
      <c r="AL47" t="str">
        <v/>
      </c>
    </row>
    <row r="48">
      <c r="A48">
        <v>47</v>
      </c>
      <c r="B48" t="str">
        <v>MASS BSF</v>
      </c>
      <c r="C48" t="str">
        <v>AAR-880</v>
      </c>
      <c r="D48" t="str">
        <v>AAR-880</v>
      </c>
      <c r="E48" t="str">
        <v/>
      </c>
      <c r="F48" t="str">
        <v>867806078847433</v>
      </c>
      <c r="G48" t="str">
        <v>Otro</v>
      </c>
      <c r="H48" t="str">
        <v/>
      </c>
      <c r="I48" t="str">
        <v/>
      </c>
      <c r="J48" t="str">
        <v>27/09/2026</v>
      </c>
      <c r="K48" t="str">
        <v>12:06:36</v>
      </c>
      <c r="L48">
        <v>-12.235595</v>
      </c>
      <c r="M48">
        <v>-76.91016</v>
      </c>
      <c r="N48">
        <f>HYPERLINK("https://www.google.com/maps/search/?api=1&amp;query=-12.235595,-76.91016","Calle 2, Lurín, Lima")</f>
      </c>
      <c r="O48" t="str">
        <v>Vehículo encendido</v>
      </c>
      <c r="P48">
        <v>2526.4</v>
      </c>
      <c r="Q48" t="str">
        <v/>
      </c>
      <c r="R48">
        <v>0</v>
      </c>
      <c r="S48">
        <v>161.83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93</v>
      </c>
      <c r="AB48" t="str">
        <v>27/09/2026</v>
      </c>
      <c r="AC48" t="str">
        <v>12:06:36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27/09/2026 12:06:49</v>
      </c>
      <c r="AK48" t="str">
        <v>12:06:49</v>
      </c>
      <c r="AL48" t="str">
        <v/>
      </c>
    </row>
    <row r="49">
      <c r="A49">
        <v>48</v>
      </c>
      <c r="B49" t="str">
        <v>MASS BSF</v>
      </c>
      <c r="C49" t="str">
        <v>AAR-880</v>
      </c>
      <c r="D49" t="str">
        <v>AAR-880</v>
      </c>
      <c r="E49" t="str">
        <v/>
      </c>
      <c r="F49" t="str">
        <v>867806078847433</v>
      </c>
      <c r="G49" t="str">
        <v>Otro</v>
      </c>
      <c r="H49" t="str">
        <v/>
      </c>
      <c r="I49" t="str">
        <v/>
      </c>
      <c r="J49" t="str">
        <v>27/09/2026</v>
      </c>
      <c r="K49" t="str">
        <v>12:06:36</v>
      </c>
      <c r="L49">
        <v>-12.235595</v>
      </c>
      <c r="M49">
        <v>-76.91016</v>
      </c>
      <c r="N49">
        <f>HYPERLINK("https://www.google.com/maps/search/?api=1&amp;query=-12.235595,-76.91016","Calle 2, Lurín, Lima")</f>
      </c>
      <c r="O49" t="str">
        <v>Se movio</v>
      </c>
      <c r="P49">
        <v>2526.4</v>
      </c>
      <c r="Q49" t="str">
        <v/>
      </c>
      <c r="R49">
        <v>0</v>
      </c>
      <c r="S49">
        <v>161.83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93</v>
      </c>
      <c r="AB49" t="str">
        <v>27/09/2026</v>
      </c>
      <c r="AC49" t="str">
        <v>12:06:36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27/09/2026 12:06:44</v>
      </c>
      <c r="AK49" t="str">
        <v>12:06:44</v>
      </c>
      <c r="AL49" t="str">
        <v/>
      </c>
    </row>
    <row r="50">
      <c r="A50">
        <v>49</v>
      </c>
      <c r="B50" t="str">
        <v>MASS BSF</v>
      </c>
      <c r="C50" t="str">
        <v>AAR-880</v>
      </c>
      <c r="D50" t="str">
        <v>AAR-880</v>
      </c>
      <c r="E50" t="str">
        <v/>
      </c>
      <c r="F50" t="str">
        <v>867806078847433</v>
      </c>
      <c r="G50" t="str">
        <v>Otro</v>
      </c>
      <c r="H50" t="str">
        <v/>
      </c>
      <c r="I50" t="str">
        <v xml:space="preserve"> </v>
      </c>
      <c r="J50" t="str">
        <v>27/09/2026</v>
      </c>
      <c r="K50" t="str">
        <v>12:16:56</v>
      </c>
      <c r="L50">
        <v>-12.210095</v>
      </c>
      <c r="M50">
        <v>-76.906136</v>
      </c>
      <c r="N50">
        <f>HYPERLINK("https://www.google.com/maps/search/?api=1&amp;query=-12.210095,-76.906136","Avenida Lima, Villa María del Triunfo")</f>
      </c>
      <c r="O50" t="str">
        <v>Llegó a la zona</v>
      </c>
      <c r="P50">
        <v>2529.2</v>
      </c>
      <c r="Q50" t="str">
        <v>2606-LIMA771 VMT MS</v>
      </c>
      <c r="R50">
        <v>8.8</v>
      </c>
      <c r="S50">
        <v>159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94</v>
      </c>
      <c r="AB50" t="str">
        <v>27/09/2026</v>
      </c>
      <c r="AC50" t="str">
        <v>12:16:56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27/09/2026 12:17:06</v>
      </c>
      <c r="AK50" t="str">
        <v>12:17:06</v>
      </c>
      <c r="AL50" t="str">
        <v/>
      </c>
    </row>
    <row r="51">
      <c r="A51">
        <v>50</v>
      </c>
      <c r="B51" t="str">
        <v>MASS BSF</v>
      </c>
      <c r="C51" t="str">
        <v>AAR-880</v>
      </c>
      <c r="D51" t="str">
        <v>AAR-880</v>
      </c>
      <c r="E51" t="str">
        <v/>
      </c>
      <c r="F51" t="str">
        <v>867806078847433</v>
      </c>
      <c r="G51" t="str">
        <v>Otro</v>
      </c>
      <c r="H51" t="str">
        <v/>
      </c>
      <c r="I51" t="str">
        <v/>
      </c>
      <c r="J51" t="str">
        <v>27/09/2026</v>
      </c>
      <c r="K51" t="str">
        <v>12:25:37</v>
      </c>
      <c r="L51">
        <v>-12.209911</v>
      </c>
      <c r="M51">
        <v>-76.90612</v>
      </c>
      <c r="N51">
        <f>HYPERLINK("https://www.google.com/maps/search/?api=1&amp;query=-12.209911,-76.90612","Avenida Lima, Villa María del Triunfo")</f>
      </c>
      <c r="O51" t="str">
        <v>Vehículo apagado</v>
      </c>
      <c r="P51">
        <v>2529.4</v>
      </c>
      <c r="Q51" t="str">
        <v/>
      </c>
      <c r="R51">
        <v>0</v>
      </c>
      <c r="S51">
        <v>162.15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88</v>
      </c>
      <c r="AB51" t="str">
        <v>27/09/2026</v>
      </c>
      <c r="AC51" t="str">
        <v>12:25:36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27/09/2026 12:25:54</v>
      </c>
      <c r="AK51" t="str">
        <v>12:25:54</v>
      </c>
      <c r="AL51" t="str">
        <v/>
      </c>
    </row>
    <row r="52">
      <c r="A52">
        <v>51</v>
      </c>
      <c r="B52" t="str">
        <v>MASS BSF</v>
      </c>
      <c r="C52" t="str">
        <v>AAR-880</v>
      </c>
      <c r="D52" t="str">
        <v>AAR-880</v>
      </c>
      <c r="E52" t="str">
        <v/>
      </c>
      <c r="F52" t="str">
        <v>867806078847433</v>
      </c>
      <c r="G52" t="str">
        <v>Otro</v>
      </c>
      <c r="H52" t="str">
        <v/>
      </c>
      <c r="I52" t="str">
        <v/>
      </c>
      <c r="J52" t="str">
        <v>27/09/2026</v>
      </c>
      <c r="K52" t="str">
        <v>12:33:26</v>
      </c>
      <c r="L52">
        <v>-12.209911</v>
      </c>
      <c r="M52">
        <v>-76.90612</v>
      </c>
      <c r="N52">
        <f>HYPERLINK("https://www.google.com/maps/search/?api=1&amp;query=-12.209911,-76.90612","Avenida Lima, Villa María del Triunfo")</f>
      </c>
      <c r="O52" t="str">
        <v>Vehículo encendido</v>
      </c>
      <c r="P52">
        <v>2529.4</v>
      </c>
      <c r="Q52" t="str">
        <v/>
      </c>
      <c r="R52">
        <v>0</v>
      </c>
      <c r="S52">
        <v>162.15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88</v>
      </c>
      <c r="AB52" t="str">
        <v>27/09/2026</v>
      </c>
      <c r="AC52" t="str">
        <v>12:33:26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27/09/2026 12:33:50</v>
      </c>
      <c r="AK52" t="str">
        <v>12:33:50</v>
      </c>
      <c r="AL52" t="str">
        <v/>
      </c>
    </row>
    <row r="53">
      <c r="A53">
        <v>52</v>
      </c>
      <c r="B53" t="str">
        <v>MASS BSF</v>
      </c>
      <c r="C53" t="str">
        <v>AAR-880</v>
      </c>
      <c r="D53" t="str">
        <v>AAR-880</v>
      </c>
      <c r="E53" t="str">
        <v/>
      </c>
      <c r="F53" t="str">
        <v>867806078847433</v>
      </c>
      <c r="G53" t="str">
        <v>Otro</v>
      </c>
      <c r="H53" t="str">
        <v/>
      </c>
      <c r="I53" t="str">
        <v/>
      </c>
      <c r="J53" t="str">
        <v>27/09/2026</v>
      </c>
      <c r="K53" t="str">
        <v>12:33:26</v>
      </c>
      <c r="L53">
        <v>-12.209911</v>
      </c>
      <c r="M53">
        <v>-76.90612</v>
      </c>
      <c r="N53">
        <f>HYPERLINK("https://www.google.com/maps/search/?api=1&amp;query=-12.209911,-76.90612","Avenida Lima, Villa María del Triunfo")</f>
      </c>
      <c r="O53" t="str">
        <v>Se movio</v>
      </c>
      <c r="P53">
        <v>2529.4</v>
      </c>
      <c r="Q53" t="str">
        <v/>
      </c>
      <c r="R53">
        <v>0</v>
      </c>
      <c r="S53">
        <v>162.15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88</v>
      </c>
      <c r="AB53" t="str">
        <v>27/09/2026</v>
      </c>
      <c r="AC53" t="str">
        <v>12:33:26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27/09/2026 12:33:54</v>
      </c>
      <c r="AK53" t="str">
        <v>12:33:54</v>
      </c>
      <c r="AL53" t="str">
        <v/>
      </c>
    </row>
    <row r="54">
      <c r="A54">
        <v>53</v>
      </c>
      <c r="B54" t="str">
        <v>MASS BSF</v>
      </c>
      <c r="C54" t="str">
        <v>AAR-880</v>
      </c>
      <c r="D54" t="str">
        <v>AAR-880</v>
      </c>
      <c r="E54" t="str">
        <v/>
      </c>
      <c r="F54" t="str">
        <v>867806078847433</v>
      </c>
      <c r="G54" t="str">
        <v>Otro</v>
      </c>
      <c r="H54" t="str">
        <v/>
      </c>
      <c r="I54" t="str">
        <v xml:space="preserve"> </v>
      </c>
      <c r="J54" t="str">
        <v>27/09/2026</v>
      </c>
      <c r="K54" t="str">
        <v>12:34:22</v>
      </c>
      <c r="L54">
        <v>-12.209521</v>
      </c>
      <c r="M54">
        <v>-76.90613</v>
      </c>
      <c r="N54">
        <f>HYPERLINK("https://www.google.com/maps/search/?api=1&amp;query=-12.209521,-76.90613","Avenida Lima, Villa María del Triunfo")</f>
      </c>
      <c r="O54" t="str">
        <v>Salió de zona</v>
      </c>
      <c r="P54">
        <v>2529.4</v>
      </c>
      <c r="Q54" t="str">
        <v>2606-LIMA771 VMT MS</v>
      </c>
      <c r="R54">
        <v>14</v>
      </c>
      <c r="S54">
        <v>159.32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93</v>
      </c>
      <c r="AB54" t="str">
        <v>27/09/2026</v>
      </c>
      <c r="AC54" t="str">
        <v>12:34:22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27/09/2026 12:34:38</v>
      </c>
      <c r="AK54" t="str">
        <v>12:34:38</v>
      </c>
      <c r="AL54" t="str">
        <v/>
      </c>
    </row>
    <row r="55">
      <c r="A55">
        <v>54</v>
      </c>
      <c r="B55" t="str">
        <v>MASS BSF</v>
      </c>
      <c r="C55" t="str">
        <v>AAR-880</v>
      </c>
      <c r="D55" t="str">
        <v>AAR-880</v>
      </c>
      <c r="E55" t="str">
        <v/>
      </c>
      <c r="F55" t="str">
        <v>867806078847433</v>
      </c>
      <c r="G55" t="str">
        <v>Otro</v>
      </c>
      <c r="H55" t="str">
        <v/>
      </c>
      <c r="I55" t="str">
        <v/>
      </c>
      <c r="J55" t="str">
        <v>27/09/2026</v>
      </c>
      <c r="K55" t="str">
        <v>12:38:53</v>
      </c>
      <c r="L55">
        <v>-12.194962</v>
      </c>
      <c r="M55">
        <v>-76.90755</v>
      </c>
      <c r="N55">
        <f>HYPERLINK("https://www.google.com/maps/search/?api=1&amp;query=-12.194962,-76.90755","Avenida Atocongo, Villa María del Triunfo, Lima")</f>
      </c>
      <c r="O55" t="str">
        <v>Exceso de velocidad en segmento vial</v>
      </c>
      <c r="P55">
        <v>2531.2</v>
      </c>
      <c r="Q55" t="str">
        <v/>
      </c>
      <c r="R55">
        <v>36.4</v>
      </c>
      <c r="S55">
        <v>162.15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93</v>
      </c>
      <c r="AB55" t="str">
        <v>27/09/2026</v>
      </c>
      <c r="AC55" t="str">
        <v>12:38:53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27/09/2026 12:39:05</v>
      </c>
      <c r="AK55" t="str">
        <v>12:39:05</v>
      </c>
      <c r="AL55" t="str">
        <v/>
      </c>
    </row>
    <row r="56">
      <c r="A56">
        <v>55</v>
      </c>
      <c r="B56" t="str">
        <v>MASS BSF</v>
      </c>
      <c r="C56" t="str">
        <v>AAR-880</v>
      </c>
      <c r="D56" t="str">
        <v>AAR-880</v>
      </c>
      <c r="E56" t="str">
        <v/>
      </c>
      <c r="F56" t="str">
        <v>867806078847433</v>
      </c>
      <c r="G56" t="str">
        <v>Otro</v>
      </c>
      <c r="H56" t="str">
        <v/>
      </c>
      <c r="I56" t="str">
        <v/>
      </c>
      <c r="J56" t="str">
        <v>27/09/2026</v>
      </c>
      <c r="K56" t="str">
        <v>12:38:58</v>
      </c>
      <c r="L56">
        <v>-12.194642</v>
      </c>
      <c r="M56">
        <v>-76.90721</v>
      </c>
      <c r="N56">
        <f>HYPERLINK("https://www.google.com/maps/search/?api=1&amp;query=-12.194642,-76.90721","Avenida Atocongo, Villa María del Triunfo, Lima")</f>
      </c>
      <c r="O56" t="str">
        <v>Exceso de velocidad en segmento vial</v>
      </c>
      <c r="P56">
        <v>2531.3</v>
      </c>
      <c r="Q56" t="str">
        <v/>
      </c>
      <c r="R56">
        <v>37.2</v>
      </c>
      <c r="S56">
        <v>162.15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93</v>
      </c>
      <c r="AB56" t="str">
        <v>27/09/2026</v>
      </c>
      <c r="AC56" t="str">
        <v>12:38:58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27/09/2026 12:39:08</v>
      </c>
      <c r="AK56" t="str">
        <v>12:39:08</v>
      </c>
      <c r="AL56" t="str">
        <v/>
      </c>
    </row>
    <row r="57">
      <c r="A57">
        <v>56</v>
      </c>
      <c r="B57" t="str">
        <v>MASS BSF</v>
      </c>
      <c r="C57" t="str">
        <v>AAR-880</v>
      </c>
      <c r="D57" t="str">
        <v>AAR-880</v>
      </c>
      <c r="E57" t="str">
        <v/>
      </c>
      <c r="F57" t="str">
        <v>867806078847433</v>
      </c>
      <c r="G57" t="str">
        <v>Otro</v>
      </c>
      <c r="H57" t="str">
        <v/>
      </c>
      <c r="I57" t="str">
        <v/>
      </c>
      <c r="J57" t="str">
        <v>27/09/2026</v>
      </c>
      <c r="K57" t="str">
        <v>12:39:03</v>
      </c>
      <c r="L57">
        <v>-12.1942</v>
      </c>
      <c r="M57">
        <v>-76.907036</v>
      </c>
      <c r="N57">
        <f>HYPERLINK("https://www.google.com/maps/search/?api=1&amp;query=-12.1942,-76.907036","Avenida Atocongo, Villa María del Triunfo, Lima")</f>
      </c>
      <c r="O57" t="str">
        <v>Exceso de velocidad en segmento vial</v>
      </c>
      <c r="P57">
        <v>2531.3</v>
      </c>
      <c r="Q57" t="str">
        <v/>
      </c>
      <c r="R57">
        <v>38.1</v>
      </c>
      <c r="S57">
        <v>162.15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93</v>
      </c>
      <c r="AB57" t="str">
        <v>27/09/2026</v>
      </c>
      <c r="AC57" t="str">
        <v>12:39:03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27/09/2026 12:39:23</v>
      </c>
      <c r="AK57" t="str">
        <v>12:39:23</v>
      </c>
      <c r="AL57" t="str">
        <v/>
      </c>
    </row>
    <row r="58">
      <c r="A58">
        <v>57</v>
      </c>
      <c r="B58" t="str">
        <v>MASS BSF</v>
      </c>
      <c r="C58" t="str">
        <v>AAR-880</v>
      </c>
      <c r="D58" t="str">
        <v>AAR-880</v>
      </c>
      <c r="E58" t="str">
        <v/>
      </c>
      <c r="F58" t="str">
        <v>867806078847433</v>
      </c>
      <c r="G58" t="str">
        <v>Otro</v>
      </c>
      <c r="H58" t="str">
        <v/>
      </c>
      <c r="I58" t="str">
        <v/>
      </c>
      <c r="J58" t="str">
        <v>27/09/2026</v>
      </c>
      <c r="K58" t="str">
        <v>12:40:03</v>
      </c>
      <c r="L58">
        <v>-12.19092</v>
      </c>
      <c r="M58">
        <v>-76.90674</v>
      </c>
      <c r="N58">
        <f>HYPERLINK("https://www.google.com/maps/search/?api=1&amp;query=-12.19092,-76.90674","Avenida Atocongo, Villa María del Triunfo, Lima")</f>
      </c>
      <c r="O58" t="str">
        <v>Exceso de velocidad en segmento vial</v>
      </c>
      <c r="P58">
        <v>2531.7</v>
      </c>
      <c r="Q58" t="str">
        <v/>
      </c>
      <c r="R58">
        <v>35.1</v>
      </c>
      <c r="S58">
        <v>162.15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93</v>
      </c>
      <c r="AB58" t="str">
        <v>27/09/2026</v>
      </c>
      <c r="AC58" t="str">
        <v>12:40:02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27/09/2026 12:40:30</v>
      </c>
      <c r="AK58" t="str">
        <v>12:40:30</v>
      </c>
      <c r="AL58" t="str">
        <v/>
      </c>
    </row>
    <row r="59">
      <c r="A59">
        <v>58</v>
      </c>
      <c r="B59" t="str">
        <v>MASS BSF</v>
      </c>
      <c r="C59" t="str">
        <v>AAR-880</v>
      </c>
      <c r="D59" t="str">
        <v>AAR-880</v>
      </c>
      <c r="E59" t="str">
        <v/>
      </c>
      <c r="F59" t="str">
        <v>867806078847433</v>
      </c>
      <c r="G59" t="str">
        <v>Otro</v>
      </c>
      <c r="H59" t="str">
        <v/>
      </c>
      <c r="I59" t="str">
        <v xml:space="preserve"> </v>
      </c>
      <c r="J59" t="str">
        <v>27/09/2026</v>
      </c>
      <c r="K59" t="str">
        <v>12:48:38</v>
      </c>
      <c r="L59">
        <v>-12.167563</v>
      </c>
      <c r="M59">
        <v>-76.92003</v>
      </c>
      <c r="N59">
        <f>HYPERLINK("https://www.google.com/maps/search/?api=1&amp;query=-12.167563,-76.92003","Avenida 26 de Noviembre, Villa María del Triunfo, Lima")</f>
      </c>
      <c r="O59" t="str">
        <v>Llegó a la zona</v>
      </c>
      <c r="P59">
        <v>2534.6</v>
      </c>
      <c r="Q59" t="str">
        <v>370-26 DE NOVIEMBRE 19</v>
      </c>
      <c r="R59">
        <v>19</v>
      </c>
      <c r="S59">
        <v>159.32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93</v>
      </c>
      <c r="AB59" t="str">
        <v>27/09/2026</v>
      </c>
      <c r="AC59" t="str">
        <v>12:48:38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27/09/2026 12:48:55</v>
      </c>
      <c r="AK59" t="str">
        <v>12:48:55</v>
      </c>
      <c r="AL59" t="str">
        <v/>
      </c>
    </row>
    <row r="60">
      <c r="A60">
        <v>59</v>
      </c>
      <c r="B60" t="str">
        <v>MASS BSF</v>
      </c>
      <c r="C60" t="str">
        <v>AAR-880</v>
      </c>
      <c r="D60" t="str">
        <v>AAR-880</v>
      </c>
      <c r="E60" t="str">
        <v/>
      </c>
      <c r="F60" t="str">
        <v>867806078847433</v>
      </c>
      <c r="G60" t="str">
        <v>Otro</v>
      </c>
      <c r="H60" t="str">
        <v/>
      </c>
      <c r="I60" t="str">
        <v xml:space="preserve"> </v>
      </c>
      <c r="J60" t="str">
        <v>27/09/2026</v>
      </c>
      <c r="K60" t="str">
        <v>12:48:43</v>
      </c>
      <c r="L60">
        <v>-12.167508</v>
      </c>
      <c r="M60">
        <v>-76.92031</v>
      </c>
      <c r="N60">
        <f>HYPERLINK("https://www.google.com/maps/search/?api=1&amp;query=-12.167508,-76.92031","Avenida 26 de Noviembre, Villa María del Triunfo, Lima")</f>
      </c>
      <c r="O60" t="str">
        <v>Salió de zona</v>
      </c>
      <c r="P60">
        <v>2534.7</v>
      </c>
      <c r="Q60" t="str">
        <v>370-26 DE NOVIEMBRE 19</v>
      </c>
      <c r="R60">
        <v>24.2</v>
      </c>
      <c r="S60">
        <v>159.32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90</v>
      </c>
      <c r="AB60" t="str">
        <v>27/09/2026</v>
      </c>
      <c r="AC60" t="str">
        <v>12:48:43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27/09/2026 12:49:01</v>
      </c>
      <c r="AK60" t="str">
        <v>12:49:01</v>
      </c>
      <c r="AL60" t="str">
        <v/>
      </c>
    </row>
    <row r="61">
      <c r="A61">
        <v>60</v>
      </c>
      <c r="B61" t="str">
        <v>MASS BSF</v>
      </c>
      <c r="C61" t="str">
        <v>AAR-880</v>
      </c>
      <c r="D61" t="str">
        <v>AAR-880</v>
      </c>
      <c r="E61" t="str">
        <v/>
      </c>
      <c r="F61" t="str">
        <v>867806078847433</v>
      </c>
      <c r="G61" t="str">
        <v>Otro</v>
      </c>
      <c r="H61" t="str">
        <v/>
      </c>
      <c r="I61" t="str">
        <v xml:space="preserve"> </v>
      </c>
      <c r="J61" t="str">
        <v>27/09/2026</v>
      </c>
      <c r="K61" t="str">
        <v>13:05:30</v>
      </c>
      <c r="L61">
        <v>-12.15944</v>
      </c>
      <c r="M61">
        <v>-76.95609</v>
      </c>
      <c r="N61">
        <f>HYPERLINK("https://www.google.com/maps/search/?api=1&amp;query=-12.15944,-76.95609","Avenida José Carlos Mariátegui, Villa María del Triunfo, Lima")</f>
      </c>
      <c r="O61" t="str">
        <v>Llegó a la zona</v>
      </c>
      <c r="P61">
        <v>2540.4</v>
      </c>
      <c r="Q61" t="str">
        <v>1160-ALLENDE1VMT MS</v>
      </c>
      <c r="R61">
        <v>15.5</v>
      </c>
      <c r="S61">
        <v>159.32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93</v>
      </c>
      <c r="AB61" t="str">
        <v>27/09/2026</v>
      </c>
      <c r="AC61" t="str">
        <v>13:05:30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27/09/2026 13:05:47</v>
      </c>
      <c r="AK61" t="str">
        <v>13:05:47</v>
      </c>
      <c r="AL61" t="str">
        <v/>
      </c>
    </row>
    <row r="62">
      <c r="A62">
        <v>61</v>
      </c>
      <c r="B62" t="str">
        <v>MASS BSF</v>
      </c>
      <c r="C62" t="str">
        <v>AAR-880</v>
      </c>
      <c r="D62" t="str">
        <v>AAR-880</v>
      </c>
      <c r="E62" t="str">
        <v/>
      </c>
      <c r="F62" t="str">
        <v>867806078847433</v>
      </c>
      <c r="G62" t="str">
        <v>Otro</v>
      </c>
      <c r="H62" t="str">
        <v/>
      </c>
      <c r="I62" t="str">
        <v xml:space="preserve"> </v>
      </c>
      <c r="J62" t="str">
        <v>27/09/2026</v>
      </c>
      <c r="K62" t="str">
        <v>13:06:22</v>
      </c>
      <c r="L62">
        <v>-12.156426</v>
      </c>
      <c r="M62">
        <v>-76.95398</v>
      </c>
      <c r="N62">
        <f>HYPERLINK("https://www.google.com/maps/search/?api=1&amp;query=-12.156426,-76.95398","Avenida José Carlos Mariátegui, Villa María del Triunfo, Lima")</f>
      </c>
      <c r="O62" t="str">
        <v>Salió de zona</v>
      </c>
      <c r="P62">
        <v>2540.8</v>
      </c>
      <c r="Q62" t="str">
        <v>1160-ALLENDE1VMT MS</v>
      </c>
      <c r="R62">
        <v>10.5</v>
      </c>
      <c r="S62">
        <v>159.32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94</v>
      </c>
      <c r="AB62" t="str">
        <v>27/09/2026</v>
      </c>
      <c r="AC62" t="str">
        <v>13:06:22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27/09/2026 13:06:31</v>
      </c>
      <c r="AK62" t="str">
        <v>13:06:31</v>
      </c>
      <c r="AL62" t="str">
        <v/>
      </c>
    </row>
    <row r="63">
      <c r="A63">
        <v>62</v>
      </c>
      <c r="B63" t="str">
        <v>MASS BSF</v>
      </c>
      <c r="C63" t="str">
        <v>AAR-880</v>
      </c>
      <c r="D63" t="str">
        <v>AAR-880</v>
      </c>
      <c r="E63" t="str">
        <v/>
      </c>
      <c r="F63" t="str">
        <v>867806078847433</v>
      </c>
      <c r="G63" t="str">
        <v>Otro</v>
      </c>
      <c r="H63" t="str">
        <v/>
      </c>
      <c r="I63" t="str">
        <v/>
      </c>
      <c r="J63" t="str">
        <v>27/09/2026</v>
      </c>
      <c r="K63" t="str">
        <v>13:19:18</v>
      </c>
      <c r="L63">
        <v>-12.153626</v>
      </c>
      <c r="M63">
        <v>-76.956184</v>
      </c>
      <c r="N63">
        <f>HYPERLINK("https://www.google.com/maps/search/?api=1&amp;query=-12.153626,-76.956184","Avenida Julio César Tello, Villa María del Triunfo, Lima")</f>
      </c>
      <c r="O63" t="str">
        <v>Vehículo apagado</v>
      </c>
      <c r="P63">
        <v>2541.6</v>
      </c>
      <c r="Q63" t="str">
        <v/>
      </c>
      <c r="R63">
        <v>0</v>
      </c>
      <c r="S63">
        <v>162.92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94</v>
      </c>
      <c r="AB63" t="str">
        <v>27/09/2026</v>
      </c>
      <c r="AC63" t="str">
        <v>13:19:17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27/09/2026 13:19:32</v>
      </c>
      <c r="AK63" t="str">
        <v>13:19:32</v>
      </c>
      <c r="AL63" t="str">
        <v/>
      </c>
    </row>
    <row r="64">
      <c r="A64">
        <v>63</v>
      </c>
      <c r="B64" t="str">
        <v>MASS BSF</v>
      </c>
      <c r="C64" t="str">
        <v>AAR-880</v>
      </c>
      <c r="D64" t="str">
        <v>AAR-880</v>
      </c>
      <c r="E64" t="str">
        <v/>
      </c>
      <c r="F64" t="str">
        <v>867806078847433</v>
      </c>
      <c r="G64" t="str">
        <v>Otro</v>
      </c>
      <c r="H64" t="str">
        <v/>
      </c>
      <c r="I64" t="str">
        <v/>
      </c>
      <c r="J64" t="str">
        <v>27/09/2026</v>
      </c>
      <c r="K64" t="str">
        <v>13:21:57</v>
      </c>
      <c r="L64">
        <v>-12.153626</v>
      </c>
      <c r="M64">
        <v>-76.956184</v>
      </c>
      <c r="N64">
        <f>HYPERLINK("https://www.google.com/maps/search/?api=1&amp;query=-12.153626,-76.956184","Avenida Julio César Tello, Villa María del Triunfo, Lima")</f>
      </c>
      <c r="O64" t="str">
        <v>Vehículo encendido</v>
      </c>
      <c r="P64">
        <v>2541.6</v>
      </c>
      <c r="Q64" t="str">
        <v/>
      </c>
      <c r="R64">
        <v>0</v>
      </c>
      <c r="S64">
        <v>162.92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94</v>
      </c>
      <c r="AB64" t="str">
        <v>27/09/2026</v>
      </c>
      <c r="AC64" t="str">
        <v>13:21:56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27/09/2026 13:22:19</v>
      </c>
      <c r="AK64" t="str">
        <v>13:22:19</v>
      </c>
      <c r="AL64" t="str">
        <v/>
      </c>
    </row>
    <row r="65">
      <c r="A65">
        <v>64</v>
      </c>
      <c r="B65" t="str">
        <v>MASS BSF</v>
      </c>
      <c r="C65" t="str">
        <v>AAR-880</v>
      </c>
      <c r="D65" t="str">
        <v>AAR-880</v>
      </c>
      <c r="E65" t="str">
        <v/>
      </c>
      <c r="F65" t="str">
        <v>867806078847433</v>
      </c>
      <c r="G65" t="str">
        <v>Otro</v>
      </c>
      <c r="H65" t="str">
        <v/>
      </c>
      <c r="I65" t="str">
        <v/>
      </c>
      <c r="J65" t="str">
        <v>27/09/2026</v>
      </c>
      <c r="K65" t="str">
        <v>13:21:57</v>
      </c>
      <c r="L65">
        <v>-12.153626</v>
      </c>
      <c r="M65">
        <v>-76.956184</v>
      </c>
      <c r="N65">
        <f>HYPERLINK("https://www.google.com/maps/search/?api=1&amp;query=-12.153626,-76.956184","Avenida Julio César Tello, Villa María del Triunfo, Lima")</f>
      </c>
      <c r="O65" t="str">
        <v>Se movio</v>
      </c>
      <c r="P65">
        <v>2541.6</v>
      </c>
      <c r="Q65" t="str">
        <v/>
      </c>
      <c r="R65">
        <v>0</v>
      </c>
      <c r="S65">
        <v>162.92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94</v>
      </c>
      <c r="AB65" t="str">
        <v>27/09/2026</v>
      </c>
      <c r="AC65" t="str">
        <v>13:21:56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27/09/2026 13:22:27</v>
      </c>
      <c r="AK65" t="str">
        <v>13:22:27</v>
      </c>
      <c r="AL65" t="str">
        <v/>
      </c>
    </row>
    <row r="66">
      <c r="A66">
        <v>65</v>
      </c>
      <c r="B66" t="str">
        <v>MASS BSF</v>
      </c>
      <c r="C66" t="str">
        <v>AAR-880</v>
      </c>
      <c r="D66" t="str">
        <v>AAR-880</v>
      </c>
      <c r="E66" t="str">
        <v/>
      </c>
      <c r="F66" t="str">
        <v>867806078847433</v>
      </c>
      <c r="G66" t="str">
        <v>Otro</v>
      </c>
      <c r="H66" t="str">
        <v/>
      </c>
      <c r="I66" t="str">
        <v/>
      </c>
      <c r="J66" t="str">
        <v>27/09/2026</v>
      </c>
      <c r="K66" t="str">
        <v>13:34:09</v>
      </c>
      <c r="L66">
        <v>-12.156551</v>
      </c>
      <c r="M66">
        <v>-76.95818</v>
      </c>
      <c r="N66">
        <f>HYPERLINK("https://www.google.com/maps/search/?api=1&amp;query=-12.156551,-76.95818","Jirón San Antonio, Villa María del Triunfo, Lima")</f>
      </c>
      <c r="O66" t="str">
        <v>Inicio de ralentí</v>
      </c>
      <c r="P66">
        <v>2542.3</v>
      </c>
      <c r="Q66" t="str">
        <v/>
      </c>
      <c r="R66">
        <v>0</v>
      </c>
      <c r="S66">
        <v>162.92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87</v>
      </c>
      <c r="AB66" t="str">
        <v>27/09/2026</v>
      </c>
      <c r="AC66" t="str">
        <v>13:34:08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27/09/2026 13:34:27</v>
      </c>
      <c r="AK66" t="str">
        <v>13:34:27</v>
      </c>
      <c r="AL66" t="str">
        <v/>
      </c>
    </row>
    <row r="67">
      <c r="A67">
        <v>66</v>
      </c>
      <c r="B67" t="str">
        <v>MASS BSF</v>
      </c>
      <c r="C67" t="str">
        <v>AAR-880</v>
      </c>
      <c r="D67" t="str">
        <v>AAR-880</v>
      </c>
      <c r="E67" t="str">
        <v/>
      </c>
      <c r="F67" t="str">
        <v>867806078847433</v>
      </c>
      <c r="G67" t="str">
        <v>Otro</v>
      </c>
      <c r="H67" t="str">
        <v/>
      </c>
      <c r="I67" t="str">
        <v/>
      </c>
      <c r="J67" t="str">
        <v>27/09/2026</v>
      </c>
      <c r="K67" t="str">
        <v>13:34:39</v>
      </c>
      <c r="L67">
        <v>-12.156551</v>
      </c>
      <c r="M67">
        <v>-76.95818</v>
      </c>
      <c r="N67">
        <f>HYPERLINK("https://www.google.com/maps/search/?api=1&amp;query=-12.156551,-76.95818","Jirón San Antonio, Villa María del Triunfo, Lima")</f>
      </c>
      <c r="O67" t="str">
        <v>Vehículo apagado</v>
      </c>
      <c r="P67">
        <v>2542.3</v>
      </c>
      <c r="Q67" t="str">
        <v/>
      </c>
      <c r="R67">
        <v>0</v>
      </c>
      <c r="S67">
        <v>163.13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87</v>
      </c>
      <c r="AB67" t="str">
        <v>27/09/2026</v>
      </c>
      <c r="AC67" t="str">
        <v>13:34:38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27/09/2026 13:35:10</v>
      </c>
      <c r="AK67" t="str">
        <v>13:35:10</v>
      </c>
      <c r="AL67" t="str">
        <v/>
      </c>
    </row>
    <row r="68">
      <c r="A68">
        <v>67</v>
      </c>
      <c r="B68" t="str">
        <v>MASS BSF</v>
      </c>
      <c r="C68" t="str">
        <v>AAR-880</v>
      </c>
      <c r="D68" t="str">
        <v>AAR-880</v>
      </c>
      <c r="E68" t="str">
        <v/>
      </c>
      <c r="F68" t="str">
        <v>867806078847433</v>
      </c>
      <c r="G68" t="str">
        <v>Otro</v>
      </c>
      <c r="H68" t="str">
        <v/>
      </c>
      <c r="I68" t="str">
        <v/>
      </c>
      <c r="J68" t="str">
        <v>27/09/2026</v>
      </c>
      <c r="K68" t="str">
        <v>13:34:39</v>
      </c>
      <c r="L68">
        <v>-12.156551</v>
      </c>
      <c r="M68">
        <v>-76.95818</v>
      </c>
      <c r="N68">
        <f>HYPERLINK("https://www.google.com/maps/search/?api=1&amp;query=-12.156551,-76.95818","Jirón San Antonio, Villa María del Triunfo, Lima")</f>
      </c>
      <c r="O68" t="str">
        <v>Fin de ralentí</v>
      </c>
      <c r="P68">
        <v>2542.3</v>
      </c>
      <c r="Q68" t="str">
        <v/>
      </c>
      <c r="R68">
        <v>0</v>
      </c>
      <c r="S68">
        <v>162.92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87</v>
      </c>
      <c r="AB68" t="str">
        <v>27/09/2026</v>
      </c>
      <c r="AC68" t="str">
        <v>13:34:38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27/09/2026 13:35:10</v>
      </c>
      <c r="AK68" t="str">
        <v>13:35:10</v>
      </c>
      <c r="AL68" t="str">
        <v/>
      </c>
    </row>
    <row r="69">
      <c r="A69">
        <v>68</v>
      </c>
      <c r="B69" t="str">
        <v>MASS BSF</v>
      </c>
      <c r="C69" t="str">
        <v>AAR-880</v>
      </c>
      <c r="D69" t="str">
        <v>AAR-880</v>
      </c>
      <c r="E69" t="str">
        <v/>
      </c>
      <c r="F69" t="str">
        <v>867806078847433</v>
      </c>
      <c r="G69" t="str">
        <v>Otro</v>
      </c>
      <c r="H69" t="str">
        <v/>
      </c>
      <c r="I69" t="str">
        <v/>
      </c>
      <c r="J69" t="str">
        <v>27/09/2026</v>
      </c>
      <c r="K69" t="str">
        <v>13:39:19</v>
      </c>
      <c r="L69">
        <v>-12.156551</v>
      </c>
      <c r="M69">
        <v>-76.95818</v>
      </c>
      <c r="N69">
        <f>HYPERLINK("https://www.google.com/maps/search/?api=1&amp;query=-12.156551,-76.95818","Jirón San Antonio, Villa María del Triunfo, Lima")</f>
      </c>
      <c r="O69" t="str">
        <v>Vehículo encendido</v>
      </c>
      <c r="P69">
        <v>2542.3</v>
      </c>
      <c r="Q69" t="str">
        <v/>
      </c>
      <c r="R69">
        <v>0</v>
      </c>
      <c r="S69">
        <v>163.13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87</v>
      </c>
      <c r="AB69" t="str">
        <v>27/09/2026</v>
      </c>
      <c r="AC69" t="str">
        <v>13:39:18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27/09/2026 13:39:36</v>
      </c>
      <c r="AK69" t="str">
        <v>13:39:36</v>
      </c>
      <c r="AL69" t="str">
        <v/>
      </c>
    </row>
    <row r="70">
      <c r="A70">
        <v>69</v>
      </c>
      <c r="B70" t="str">
        <v>MASS BSF</v>
      </c>
      <c r="C70" t="str">
        <v>AAR-880</v>
      </c>
      <c r="D70" t="str">
        <v>AAR-880</v>
      </c>
      <c r="E70" t="str">
        <v/>
      </c>
      <c r="F70" t="str">
        <v>867806078847433</v>
      </c>
      <c r="G70" t="str">
        <v>Otro</v>
      </c>
      <c r="H70" t="str">
        <v/>
      </c>
      <c r="I70" t="str">
        <v/>
      </c>
      <c r="J70" t="str">
        <v>27/09/2026</v>
      </c>
      <c r="K70" t="str">
        <v>13:41:34</v>
      </c>
      <c r="L70">
        <v>-12.156515</v>
      </c>
      <c r="M70">
        <v>-76.95827</v>
      </c>
      <c r="N70">
        <f>HYPERLINK("https://www.google.com/maps/search/?api=1&amp;query=-12.156515,-76.95827","Jirón San Antonio, Villa María del Triunfo, Lima")</f>
      </c>
      <c r="O70" t="str">
        <v>Vehículo apagado</v>
      </c>
      <c r="P70">
        <v>2542.3</v>
      </c>
      <c r="Q70" t="str">
        <v/>
      </c>
      <c r="R70">
        <v>0</v>
      </c>
      <c r="S70">
        <v>163.17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84</v>
      </c>
      <c r="AB70" t="str">
        <v>27/09/2026</v>
      </c>
      <c r="AC70" t="str">
        <v>13:41:33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27/09/2026 13:42:02</v>
      </c>
      <c r="AK70" t="str">
        <v>13:42:02</v>
      </c>
      <c r="AL70" t="str">
        <v/>
      </c>
    </row>
    <row r="71">
      <c r="A71">
        <v>70</v>
      </c>
      <c r="B71" t="str">
        <v>MASS BSF</v>
      </c>
      <c r="C71" t="str">
        <v>AAR-880</v>
      </c>
      <c r="D71" t="str">
        <v>AAR-880</v>
      </c>
      <c r="E71" t="str">
        <v/>
      </c>
      <c r="F71" t="str">
        <v>867806078847433</v>
      </c>
      <c r="G71" t="str">
        <v>Otro</v>
      </c>
      <c r="H71" t="str">
        <v/>
      </c>
      <c r="I71" t="str">
        <v/>
      </c>
      <c r="J71" t="str">
        <v>27/09/2026</v>
      </c>
      <c r="K71" t="str">
        <v>13:44:19</v>
      </c>
      <c r="L71">
        <v>-12.156515</v>
      </c>
      <c r="M71">
        <v>-76.95827</v>
      </c>
      <c r="N71">
        <f>HYPERLINK("https://www.google.com/maps/search/?api=1&amp;query=-12.156515,-76.95827","Jirón San Antonio, Villa María del Triunfo, Lima")</f>
      </c>
      <c r="O71" t="str">
        <v>Vehículo encendido</v>
      </c>
      <c r="P71">
        <v>2542.3</v>
      </c>
      <c r="Q71" t="str">
        <v/>
      </c>
      <c r="R71">
        <v>0</v>
      </c>
      <c r="S71">
        <v>163.17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84</v>
      </c>
      <c r="AB71" t="str">
        <v>27/09/2026</v>
      </c>
      <c r="AC71" t="str">
        <v>13:44:18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27/09/2026 13:44:44</v>
      </c>
      <c r="AK71" t="str">
        <v>13:44:44</v>
      </c>
      <c r="AL71" t="str">
        <v/>
      </c>
    </row>
    <row r="72">
      <c r="A72">
        <v>71</v>
      </c>
      <c r="B72" t="str">
        <v>MASS BSF</v>
      </c>
      <c r="C72" t="str">
        <v>AAR-880</v>
      </c>
      <c r="D72" t="str">
        <v>AAR-880</v>
      </c>
      <c r="E72" t="str">
        <v/>
      </c>
      <c r="F72" t="str">
        <v>867806078847433</v>
      </c>
      <c r="G72" t="str">
        <v>Otro</v>
      </c>
      <c r="H72" t="str">
        <v/>
      </c>
      <c r="I72" t="str">
        <v/>
      </c>
      <c r="J72" t="str">
        <v>27/09/2026</v>
      </c>
      <c r="K72" t="str">
        <v>13:45:49</v>
      </c>
      <c r="L72">
        <v>-12.156515</v>
      </c>
      <c r="M72">
        <v>-76.95827</v>
      </c>
      <c r="N72">
        <f>HYPERLINK("https://www.google.com/maps/search/?api=1&amp;query=-12.156515,-76.95827","Jirón San Antonio, Villa María del Triunfo, Lima")</f>
      </c>
      <c r="O72" t="str">
        <v>Vehículo apagado</v>
      </c>
      <c r="P72">
        <v>2542.3</v>
      </c>
      <c r="Q72" t="str">
        <v/>
      </c>
      <c r="R72">
        <v>0</v>
      </c>
      <c r="S72">
        <v>163.2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84</v>
      </c>
      <c r="AB72" t="str">
        <v>27/09/2026</v>
      </c>
      <c r="AC72" t="str">
        <v>13:45:48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27/09/2026 13:46:01</v>
      </c>
      <c r="AK72" t="str">
        <v>13:46:01</v>
      </c>
      <c r="AL72" t="str">
        <v/>
      </c>
    </row>
    <row r="73">
      <c r="A73">
        <v>72</v>
      </c>
      <c r="B73" t="str">
        <v>MASS BSF</v>
      </c>
      <c r="C73" t="str">
        <v>AAR-880</v>
      </c>
      <c r="D73" t="str">
        <v>AAR-880</v>
      </c>
      <c r="E73" t="str">
        <v/>
      </c>
      <c r="F73" t="str">
        <v>867806078847433</v>
      </c>
      <c r="G73" t="str">
        <v>Otro</v>
      </c>
      <c r="H73" t="str">
        <v/>
      </c>
      <c r="I73" t="str">
        <v/>
      </c>
      <c r="J73" t="str">
        <v>27/09/2026</v>
      </c>
      <c r="K73" t="str">
        <v>13:50:54</v>
      </c>
      <c r="L73">
        <v>-12.156515</v>
      </c>
      <c r="M73">
        <v>-76.95827</v>
      </c>
      <c r="N73">
        <f>HYPERLINK("https://www.google.com/maps/search/?api=1&amp;query=-12.156515,-76.95827","Jirón San Antonio, Villa María del Triunfo, Lima")</f>
      </c>
      <c r="O73" t="str">
        <v>Vehículo encendido</v>
      </c>
      <c r="P73">
        <v>2542.3</v>
      </c>
      <c r="Q73" t="str">
        <v/>
      </c>
      <c r="R73">
        <v>0</v>
      </c>
      <c r="S73">
        <v>163.2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84</v>
      </c>
      <c r="AB73" t="str">
        <v>27/09/2026</v>
      </c>
      <c r="AC73" t="str">
        <v>13:50:53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27/09/2026 13:51:15</v>
      </c>
      <c r="AK73" t="str">
        <v>13:51:15</v>
      </c>
      <c r="AL73" t="str">
        <v/>
      </c>
    </row>
    <row r="74">
      <c r="A74">
        <v>73</v>
      </c>
      <c r="B74" t="str">
        <v>MASS BSF</v>
      </c>
      <c r="C74" t="str">
        <v>AAR-880</v>
      </c>
      <c r="D74" t="str">
        <v>AAR-880</v>
      </c>
      <c r="E74" t="str">
        <v/>
      </c>
      <c r="F74" t="str">
        <v>867806078847433</v>
      </c>
      <c r="G74" t="str">
        <v>Otro</v>
      </c>
      <c r="H74" t="str">
        <v/>
      </c>
      <c r="I74" t="str">
        <v/>
      </c>
      <c r="J74" t="str">
        <v>27/09/2026</v>
      </c>
      <c r="K74" t="str">
        <v>13:51:04</v>
      </c>
      <c r="L74">
        <v>-12.156277</v>
      </c>
      <c r="M74">
        <v>-76.95848</v>
      </c>
      <c r="N74">
        <f>HYPERLINK("https://www.google.com/maps/search/?api=1&amp;query=-12.156277,-76.95848","Jirón San Antonio, Villa María del Triunfo, Lima")</f>
      </c>
      <c r="O74" t="str">
        <v>Se movio</v>
      </c>
      <c r="P74">
        <v>2542.4</v>
      </c>
      <c r="Q74" t="str">
        <v/>
      </c>
      <c r="R74">
        <v>6.4</v>
      </c>
      <c r="S74">
        <v>163.2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84</v>
      </c>
      <c r="AB74" t="str">
        <v>27/09/2026</v>
      </c>
      <c r="AC74" t="str">
        <v>13:51:03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27/09/2026 13:51:33</v>
      </c>
      <c r="AK74" t="str">
        <v>13:51:33</v>
      </c>
      <c r="AL74" t="str">
        <v/>
      </c>
    </row>
    <row r="75">
      <c r="A75">
        <v>74</v>
      </c>
      <c r="B75" t="str">
        <v>MASS BSF</v>
      </c>
      <c r="C75" t="str">
        <v>AAR-880</v>
      </c>
      <c r="D75" t="str">
        <v>AAR-880</v>
      </c>
      <c r="E75" t="str">
        <v/>
      </c>
      <c r="F75" t="str">
        <v>867806078847433</v>
      </c>
      <c r="G75" t="str">
        <v>Otro</v>
      </c>
      <c r="H75" t="str">
        <v/>
      </c>
      <c r="I75" t="str">
        <v/>
      </c>
      <c r="J75" t="str">
        <v>27/09/2026</v>
      </c>
      <c r="K75" t="str">
        <v>14:33:13</v>
      </c>
      <c r="L75">
        <v>-12.193338</v>
      </c>
      <c r="M75">
        <v>-76.92696</v>
      </c>
      <c r="N75">
        <f>HYPERLINK("https://www.google.com/maps/search/?api=1&amp;query=-12.193338,-76.92696","Avenida La Mariscala, Villa María del Triunfo, Lima")</f>
      </c>
      <c r="O75" t="str">
        <v>Vehículo apagado</v>
      </c>
      <c r="P75">
        <v>2551</v>
      </c>
      <c r="Q75" t="str">
        <v/>
      </c>
      <c r="R75">
        <v>0</v>
      </c>
      <c r="S75">
        <v>161.02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94</v>
      </c>
      <c r="AB75" t="str">
        <v>27/09/2026</v>
      </c>
      <c r="AC75" t="str">
        <v>14:33:12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27/09/2026 14:33:41</v>
      </c>
      <c r="AK75" t="str">
        <v>14:33:41</v>
      </c>
      <c r="AL75" t="str">
        <v/>
      </c>
    </row>
    <row r="76">
      <c r="A76">
        <v>75</v>
      </c>
      <c r="B76" t="str">
        <v>MASS BSF</v>
      </c>
      <c r="C76" t="str">
        <v>AAR-880</v>
      </c>
      <c r="D76" t="str">
        <v>AAR-880</v>
      </c>
      <c r="E76" t="str">
        <v/>
      </c>
      <c r="F76" t="str">
        <v>867806078847433</v>
      </c>
      <c r="G76" t="str">
        <v>Otro</v>
      </c>
      <c r="H76" t="str">
        <v/>
      </c>
      <c r="I76" t="str">
        <v/>
      </c>
      <c r="J76" t="str">
        <v>27/09/2026</v>
      </c>
      <c r="K76" t="str">
        <v>14:33:13</v>
      </c>
      <c r="L76">
        <v>-12.193338</v>
      </c>
      <c r="M76">
        <v>-76.92696</v>
      </c>
      <c r="N76">
        <f>HYPERLINK("https://www.google.com/maps/search/?api=1&amp;query=-12.193338,-76.92696","Avenida La Mariscala, Villa María del Triunfo, Lima")</f>
      </c>
      <c r="O76" t="str">
        <v>Se detuvo</v>
      </c>
      <c r="P76">
        <v>2551</v>
      </c>
      <c r="Q76" t="str">
        <v/>
      </c>
      <c r="R76">
        <v>0</v>
      </c>
      <c r="S76">
        <v>160.32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94</v>
      </c>
      <c r="AB76" t="str">
        <v>27/09/2026</v>
      </c>
      <c r="AC76" t="str">
        <v>14:33:12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27/09/2026 14:33:45</v>
      </c>
      <c r="AK76" t="str">
        <v>14:33:45</v>
      </c>
      <c r="AL76" t="str">
        <v/>
      </c>
    </row>
  </sheetData>
  <ignoredErrors>
    <ignoredError numberStoredAsText="1" sqref="A1:AL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