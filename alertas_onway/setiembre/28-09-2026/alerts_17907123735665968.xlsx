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/>
      </c>
      <c r="J2" t="str">
        <v>28/09/2026</v>
      </c>
      <c r="K2" t="str">
        <v>10:42:30</v>
      </c>
      <c r="L2">
        <v>-12.230006</v>
      </c>
      <c r="M2">
        <v>-76.90221</v>
      </c>
      <c r="N2">
        <f>HYPERLINK("https://www.google.com/maps/search/?api=1&amp;query=-12.230006,-76.90221","Lurín, Lima")</f>
      </c>
      <c r="O2" t="str">
        <v>Vehículo encendido</v>
      </c>
      <c r="P2" t="str">
        <v/>
      </c>
      <c r="Q2">
        <v>719052.2</v>
      </c>
      <c r="R2" t="str">
        <v/>
      </c>
      <c r="S2">
        <v>0</v>
      </c>
      <c r="T2">
        <v>117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10:30:44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10:42:55</v>
      </c>
      <c r="AL2" t="str">
        <v>10:42:55</v>
      </c>
      <c r="AM2" t="str">
        <v/>
      </c>
    </row>
    <row r="3">
      <c r="A3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/>
      </c>
      <c r="J3" t="str">
        <v>28/09/2026</v>
      </c>
      <c r="K3" t="str">
        <v>11:12:27</v>
      </c>
      <c r="L3">
        <v>-12.26837</v>
      </c>
      <c r="M3">
        <v>-76.9022</v>
      </c>
      <c r="N3">
        <f>HYPERLINK("https://www.google.com/maps/search/?api=1&amp;query=-12.26837,-76.9022","Carretera Panamericana Sur, Lurín, Lima")</f>
      </c>
      <c r="O3" t="str">
        <v>Excedió el límite de velocidad</v>
      </c>
      <c r="P3" t="str">
        <v/>
      </c>
      <c r="Q3">
        <v>719061.5</v>
      </c>
      <c r="R3" t="str">
        <v/>
      </c>
      <c r="S3">
        <v>88.1</v>
      </c>
      <c r="T3">
        <v>117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11:12:25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11:12:32</v>
      </c>
      <c r="AL3" t="str">
        <v>11:12:32</v>
      </c>
      <c r="AM3" t="str">
        <v/>
      </c>
    </row>
    <row r="4">
      <c r="A4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/>
      </c>
      <c r="J4" t="str">
        <v>28/09/2026</v>
      </c>
      <c r="K4" t="str">
        <v>11:14:21</v>
      </c>
      <c r="L4">
        <v>-12.282079</v>
      </c>
      <c r="M4">
        <v>-76.88044</v>
      </c>
      <c r="N4">
        <f>HYPERLINK("https://www.google.com/maps/search/?api=1&amp;query=-12.282079,-76.88044","Carretera Panamericana Sur, Lurín, Lima")</f>
      </c>
      <c r="O4" t="str">
        <v>Excedió el límite de velocidad</v>
      </c>
      <c r="P4" t="str">
        <v/>
      </c>
      <c r="Q4">
        <v>719064.3</v>
      </c>
      <c r="R4" t="str">
        <v/>
      </c>
      <c r="S4">
        <v>87.3</v>
      </c>
      <c r="T4">
        <v>117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11:14:19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11:14:38</v>
      </c>
      <c r="AL4" t="str">
        <v>11:14:38</v>
      </c>
      <c r="AM4" t="str">
        <v/>
      </c>
    </row>
    <row r="5">
      <c r="A5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/>
      </c>
      <c r="J5" t="str">
        <v>28/09/2026</v>
      </c>
      <c r="K5" t="str">
        <v>11:15:09</v>
      </c>
      <c r="L5">
        <v>-12.287656</v>
      </c>
      <c r="M5">
        <v>-76.87149</v>
      </c>
      <c r="N5">
        <f>HYPERLINK("https://www.google.com/maps/search/?api=1&amp;query=-12.287656,-76.87149","Carretera Panamericana Sur, Lurín, Lima")</f>
      </c>
      <c r="O5" t="str">
        <v>Excedió el límite de velocidad</v>
      </c>
      <c r="P5" t="str">
        <v/>
      </c>
      <c r="Q5">
        <v>719065.4</v>
      </c>
      <c r="R5" t="str">
        <v/>
      </c>
      <c r="S5">
        <v>84.2</v>
      </c>
      <c r="T5">
        <v>117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11:15:07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11:15:23</v>
      </c>
      <c r="AL5" t="str">
        <v>11:15:23</v>
      </c>
      <c r="AM5" t="str">
        <v/>
      </c>
    </row>
    <row r="6">
      <c r="A6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/>
      </c>
      <c r="J6" t="str">
        <v>28/09/2026</v>
      </c>
      <c r="K6" t="str">
        <v>11:20:03</v>
      </c>
      <c r="L6">
        <v>-12.32137</v>
      </c>
      <c r="M6">
        <v>-76.828</v>
      </c>
      <c r="N6">
        <f>HYPERLINK("https://www.google.com/maps/search/?api=1&amp;query=-12.32137,-76.828","Carretera Panamericana Sur, Punta Hermosa, Lima")</f>
      </c>
      <c r="O6" t="str">
        <v>Excedió el límite de velocidad</v>
      </c>
      <c r="P6" t="str">
        <v/>
      </c>
      <c r="Q6">
        <v>719071.6</v>
      </c>
      <c r="R6" t="str">
        <v/>
      </c>
      <c r="S6">
        <v>85.8</v>
      </c>
      <c r="T6">
        <v>117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11:20:01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11:20:18</v>
      </c>
      <c r="AL6" t="str">
        <v>11:20:18</v>
      </c>
      <c r="AM6" t="str">
        <v/>
      </c>
    </row>
    <row r="7">
      <c r="A7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/>
      </c>
      <c r="J7" t="str">
        <v>28/09/2026</v>
      </c>
      <c r="K7" t="str">
        <v>11:20:41</v>
      </c>
      <c r="L7">
        <v>-12.326827</v>
      </c>
      <c r="M7">
        <v>-76.824356</v>
      </c>
      <c r="N7">
        <f>HYPERLINK("https://www.google.com/maps/search/?api=1&amp;query=-12.326827,-76.824356","Carretera Panamericana Sur, Punta Hermosa, Lima")</f>
      </c>
      <c r="O7" t="str">
        <v>Exceso de velocidad en segmento vial</v>
      </c>
      <c r="P7" t="str">
        <v/>
      </c>
      <c r="Q7">
        <v>719072.5</v>
      </c>
      <c r="R7" t="str">
        <v/>
      </c>
      <c r="S7">
        <v>89.9</v>
      </c>
      <c r="T7">
        <v>117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11:20:31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11:20:55</v>
      </c>
      <c r="AL7" t="str">
        <v>11:20:55</v>
      </c>
      <c r="AM7" t="str">
        <v/>
      </c>
    </row>
    <row r="8">
      <c r="A8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/>
      </c>
      <c r="J8" t="str">
        <v>28/09/2026</v>
      </c>
      <c r="K8" t="str">
        <v>11:23:14</v>
      </c>
      <c r="L8">
        <v>-12.326873</v>
      </c>
      <c r="M8">
        <v>-76.82424</v>
      </c>
      <c r="N8">
        <f>HYPERLINK("https://www.google.com/maps/search/?api=1&amp;query=-12.326873,-76.82424","Carretera Panamericana Sur, Punta Hermosa, Lima")</f>
      </c>
      <c r="O8" t="str">
        <v>Excedió el límite de velocidad</v>
      </c>
      <c r="P8" t="str">
        <v/>
      </c>
      <c r="Q8">
        <v>719074.8</v>
      </c>
      <c r="R8" t="str">
        <v/>
      </c>
      <c r="S8">
        <v>80.6</v>
      </c>
      <c r="T8">
        <v>117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11:23:13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11:23:25</v>
      </c>
      <c r="AL8" t="str">
        <v>11:23:25</v>
      </c>
      <c r="AM8" t="str">
        <v/>
      </c>
    </row>
    <row r="9">
      <c r="A9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 xml:space="preserve"> </v>
      </c>
      <c r="J9" t="str">
        <v>28/09/2026</v>
      </c>
      <c r="K9" t="str">
        <v>11:26:12</v>
      </c>
      <c r="L9">
        <v>-12.317617</v>
      </c>
      <c r="M9">
        <v>-76.829666</v>
      </c>
      <c r="N9">
        <f>HYPERLINK("https://www.google.com/maps/search/?api=1&amp;query=-12.317617,-76.829666","Punta Hermosa, Lima")</f>
      </c>
      <c r="O9" t="str">
        <v>Llegó a la zona</v>
      </c>
      <c r="P9" t="str">
        <v/>
      </c>
      <c r="Q9">
        <v>719076</v>
      </c>
      <c r="R9" t="str">
        <v>MASS BSF 1</v>
      </c>
      <c r="S9">
        <v>0</v>
      </c>
      <c r="T9">
        <v>117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11:25:31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11:26:25</v>
      </c>
      <c r="AL9" t="str">
        <v>11:26:25</v>
      </c>
      <c r="AM9" t="str">
        <v/>
      </c>
    </row>
    <row r="10">
      <c r="A10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/>
      </c>
      <c r="J10" t="str">
        <v>28/09/2026</v>
      </c>
      <c r="K10" t="str">
        <v>11:32:11</v>
      </c>
      <c r="L10">
        <v>-12.317317</v>
      </c>
      <c r="M10">
        <v>-76.82289</v>
      </c>
      <c r="N10">
        <f>HYPERLINK("https://www.google.com/maps/search/?api=1&amp;query=-12.317317,-76.82289","Punta Hermosa, Lima")</f>
      </c>
      <c r="O10" t="str">
        <v>Vehículo apagado</v>
      </c>
      <c r="P10" t="str">
        <v>Vehículo Apagado</v>
      </c>
      <c r="Q10">
        <v>719077.1</v>
      </c>
      <c r="R10" t="str">
        <v/>
      </c>
      <c r="S10">
        <v>4.3</v>
      </c>
      <c r="T10">
        <v>117.83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11:31:58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11:32:29</v>
      </c>
      <c r="AL10" t="str">
        <v>11:32:29</v>
      </c>
      <c r="AM10" t="str">
        <v/>
      </c>
    </row>
    <row r="11">
      <c r="A11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/>
      </c>
      <c r="J11" t="str">
        <v>28/09/2026</v>
      </c>
      <c r="K11" t="str">
        <v>11:41:58</v>
      </c>
      <c r="L11">
        <v>-12.31736</v>
      </c>
      <c r="M11">
        <v>-76.82297</v>
      </c>
      <c r="N11">
        <f>HYPERLINK("https://www.google.com/maps/search/?api=1&amp;query=-12.31736,-76.82297","Punta Hermosa, Lima")</f>
      </c>
      <c r="O11" t="str">
        <v>Vehículo encendido</v>
      </c>
      <c r="P11" t="str">
        <v/>
      </c>
      <c r="Q11">
        <v>719077.1</v>
      </c>
      <c r="R11" t="str">
        <v/>
      </c>
      <c r="S11">
        <v>0</v>
      </c>
      <c r="T11">
        <v>117.83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11:32:12</v>
      </c>
      <c r="AE11">
        <f>IF("NOGPS"="NOGPS","GPS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11:42:19</v>
      </c>
      <c r="AL11" t="str">
        <v>11:42:19</v>
      </c>
      <c r="AM11" t="str">
        <v/>
      </c>
    </row>
    <row r="12">
      <c r="A12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/>
      </c>
      <c r="J12" t="str">
        <v>28/09/2026</v>
      </c>
      <c r="K12" t="str">
        <v>11:43:55</v>
      </c>
      <c r="L12">
        <v>-12.317817</v>
      </c>
      <c r="M12">
        <v>-76.8243</v>
      </c>
      <c r="N12">
        <f>HYPERLINK("https://www.google.com/maps/search/?api=1&amp;query=-12.317817,-76.8243","Punta Hermosa, Lima")</f>
      </c>
      <c r="O12" t="str">
        <v>Vehículo apagado</v>
      </c>
      <c r="P12" t="str">
        <v>Vehículo Apagado</v>
      </c>
      <c r="Q12">
        <v>719077.4</v>
      </c>
      <c r="R12" t="str">
        <v/>
      </c>
      <c r="S12">
        <v>4.3</v>
      </c>
      <c r="T12">
        <v>117.87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11:43:38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11:44:01</v>
      </c>
      <c r="AL12" t="str">
        <v>11:44:01</v>
      </c>
      <c r="AM12" t="str">
        <v/>
      </c>
    </row>
    <row r="13">
      <c r="A13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/>
      </c>
      <c r="J13" t="str">
        <v>28/09/2026</v>
      </c>
      <c r="K13" t="str">
        <v>13:22:32</v>
      </c>
      <c r="L13">
        <v>-12.317808</v>
      </c>
      <c r="M13">
        <v>-76.82425</v>
      </c>
      <c r="N13">
        <f>HYPERLINK("https://www.google.com/maps/search/?api=1&amp;query=-12.317808,-76.82425","Punta Hermosa, Lima")</f>
      </c>
      <c r="O13" t="str">
        <v>Vehículo encendido</v>
      </c>
      <c r="P13" t="str">
        <v/>
      </c>
      <c r="Q13">
        <v>719077.4</v>
      </c>
      <c r="R13" t="str">
        <v/>
      </c>
      <c r="S13">
        <v>0</v>
      </c>
      <c r="T13">
        <v>117.87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13:11:30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13:22:45</v>
      </c>
      <c r="AL13" t="str">
        <v>13:22:45</v>
      </c>
      <c r="AM13" t="str">
        <v/>
      </c>
    </row>
    <row r="14">
      <c r="A14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/>
      </c>
      <c r="J14" t="str">
        <v>28/09/2026</v>
      </c>
      <c r="K14" t="str">
        <v>13:28:21</v>
      </c>
      <c r="L14">
        <v>-12.318003</v>
      </c>
      <c r="M14">
        <v>-76.82416</v>
      </c>
      <c r="N14">
        <f>HYPERLINK("https://www.google.com/maps/search/?api=1&amp;query=-12.318003,-76.82416","Punta Hermosa, Lima")</f>
      </c>
      <c r="O14" t="str">
        <v>Vehículo apagado</v>
      </c>
      <c r="P14" t="str">
        <v>Vehículo Apagado</v>
      </c>
      <c r="Q14">
        <v>719077.4</v>
      </c>
      <c r="R14" t="str">
        <v/>
      </c>
      <c r="S14">
        <v>0</v>
      </c>
      <c r="T14">
        <v>117.97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13:28:22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13:28:44</v>
      </c>
      <c r="AL14" t="str">
        <v>13:28:44</v>
      </c>
      <c r="AM14" t="str">
        <v/>
      </c>
    </row>
    <row r="15">
      <c r="A15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/>
      </c>
      <c r="J15" t="str">
        <v>28/09/2026</v>
      </c>
      <c r="K15" t="str">
        <v>14:00:26</v>
      </c>
      <c r="L15">
        <v>-12.318003</v>
      </c>
      <c r="M15">
        <v>-76.82416</v>
      </c>
      <c r="N15">
        <f>HYPERLINK("https://www.google.com/maps/search/?api=1&amp;query=-12.318003,-76.82416","Punta Hermosa, Lima")</f>
      </c>
      <c r="O15" t="str">
        <v>Vehículo encendido</v>
      </c>
      <c r="P15" t="str">
        <v/>
      </c>
      <c r="Q15">
        <v>719077.4</v>
      </c>
      <c r="R15" t="str">
        <v/>
      </c>
      <c r="S15">
        <v>0</v>
      </c>
      <c r="T15">
        <v>117.97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13:55:52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14:00:37</v>
      </c>
      <c r="AL15" t="str">
        <v>14:00:37</v>
      </c>
      <c r="AM15" t="str">
        <v/>
      </c>
    </row>
    <row r="16">
      <c r="A16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/>
      </c>
      <c r="J16" t="str">
        <v>28/09/2026</v>
      </c>
      <c r="K16" t="str">
        <v>14:00:30</v>
      </c>
      <c r="L16">
        <v>-12.318003</v>
      </c>
      <c r="M16">
        <v>-76.82416</v>
      </c>
      <c r="N16">
        <f>HYPERLINK("https://www.google.com/maps/search/?api=1&amp;query=-12.318003,-76.82416","Punta Hermosa, Lima")</f>
      </c>
      <c r="O16" t="str">
        <v>Vehículo apagado</v>
      </c>
      <c r="P16" t="str">
        <v>Vehículo Apagado</v>
      </c>
      <c r="Q16">
        <v>719077.4</v>
      </c>
      <c r="R16" t="str">
        <v/>
      </c>
      <c r="S16">
        <v>0</v>
      </c>
      <c r="T16">
        <v>117.97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28/09/2026</v>
      </c>
      <c r="AD16" t="str">
        <v>13:55:52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14:00:37</v>
      </c>
      <c r="AL16" t="str">
        <v>14:00:37</v>
      </c>
      <c r="AM16" t="str">
        <v/>
      </c>
    </row>
    <row r="17">
      <c r="A17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/>
      </c>
      <c r="J17" t="str">
        <v>28/09/2026</v>
      </c>
      <c r="K17" t="str">
        <v>14:05:04</v>
      </c>
      <c r="L17">
        <v>-12.318023</v>
      </c>
      <c r="M17">
        <v>-76.824135</v>
      </c>
      <c r="N17">
        <f>HYPERLINK("https://www.google.com/maps/search/?api=1&amp;query=-12.318023,-76.824135","Punta Hermosa, Lima")</f>
      </c>
      <c r="O17" t="str">
        <v>Vehículo encendido</v>
      </c>
      <c r="P17" t="str">
        <v/>
      </c>
      <c r="Q17">
        <v>719077.4</v>
      </c>
      <c r="R17" t="str">
        <v/>
      </c>
      <c r="S17">
        <v>0</v>
      </c>
      <c r="T17">
        <v>117.97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28/09/2026</v>
      </c>
      <c r="AD17" t="str">
        <v>14:00:32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14:05:20</v>
      </c>
      <c r="AL17" t="str">
        <v>14:05:20</v>
      </c>
      <c r="AM17" t="str">
        <v/>
      </c>
    </row>
    <row r="18">
      <c r="A18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 xml:space="preserve"> </v>
      </c>
      <c r="J18" t="str">
        <v>28/09/2026</v>
      </c>
      <c r="K18" t="str">
        <v>14:15:09</v>
      </c>
      <c r="L18">
        <v>-12.317429</v>
      </c>
      <c r="M18">
        <v>-76.83024</v>
      </c>
      <c r="N18">
        <f>HYPERLINK("https://www.google.com/maps/search/?api=1&amp;query=-12.317429,-76.83024","Carretera Panamericana Sur, Punta Hermosa, Lima")</f>
      </c>
      <c r="O18" t="str">
        <v>Salió de zona</v>
      </c>
      <c r="P18" t="str">
        <v/>
      </c>
      <c r="Q18">
        <v>719078.3</v>
      </c>
      <c r="R18" t="str">
        <v>MASS BSF 1</v>
      </c>
      <c r="S18">
        <v>25.2</v>
      </c>
      <c r="T18">
        <v>117.97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28/09/2026</v>
      </c>
      <c r="AD18" t="str">
        <v>14:15:05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14:15:18</v>
      </c>
      <c r="AL18" t="str">
        <v>14:15:18</v>
      </c>
      <c r="AM18" t="str">
        <v/>
      </c>
    </row>
    <row r="19">
      <c r="A19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/>
      </c>
      <c r="J19" t="str">
        <v>28/09/2026</v>
      </c>
      <c r="K19" t="str">
        <v>14:18:19</v>
      </c>
      <c r="L19">
        <v>-12.297585</v>
      </c>
      <c r="M19">
        <v>-76.854416</v>
      </c>
      <c r="N19">
        <f>HYPERLINK("https://www.google.com/maps/search/?api=1&amp;query=-12.297585,-76.854416","Carretera Panamericana Sur, Lurín, Lima")</f>
      </c>
      <c r="O19" t="str">
        <v>Excedió el límite de velocidad</v>
      </c>
      <c r="P19" t="str">
        <v/>
      </c>
      <c r="Q19">
        <v>719081.8</v>
      </c>
      <c r="R19" t="str">
        <v/>
      </c>
      <c r="S19">
        <v>81.9</v>
      </c>
      <c r="T19">
        <v>117.97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14:18:17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14:18:25</v>
      </c>
      <c r="AL19" t="str">
        <v>14:18:25</v>
      </c>
      <c r="AM19" t="str">
        <v/>
      </c>
    </row>
    <row r="20">
      <c r="A20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/>
      </c>
      <c r="J20" t="str">
        <v>28/09/2026</v>
      </c>
      <c r="K20" t="str">
        <v>14:19:43</v>
      </c>
      <c r="L20">
        <v>-12.288596</v>
      </c>
      <c r="M20">
        <v>-76.86983</v>
      </c>
      <c r="N20">
        <f>HYPERLINK("https://www.google.com/maps/search/?api=1&amp;query=-12.288596,-76.86983","Carretera Panamericana Sur, Lurín, Lima")</f>
      </c>
      <c r="O20" t="str">
        <v>Excedió el límite de velocidad</v>
      </c>
      <c r="P20" t="str">
        <v/>
      </c>
      <c r="Q20">
        <v>719083.8</v>
      </c>
      <c r="R20" t="str">
        <v/>
      </c>
      <c r="S20">
        <v>84.4</v>
      </c>
      <c r="T20">
        <v>117.97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14:19:41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14:19:51</v>
      </c>
      <c r="AL20" t="str">
        <v>14:19:51</v>
      </c>
      <c r="AM20" t="str">
        <v/>
      </c>
    </row>
    <row r="21">
      <c r="A21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 xml:space="preserve"> </v>
      </c>
      <c r="J21" t="str">
        <v>28/09/2026</v>
      </c>
      <c r="K21" t="str">
        <v>14:45:10</v>
      </c>
      <c r="L21">
        <v>-12.21301</v>
      </c>
      <c r="M21">
        <v>-76.959526</v>
      </c>
      <c r="N21">
        <f>HYPERLINK("https://www.google.com/maps/search/?api=1&amp;query=-12.21301,-76.959526","Avenida Villa del Mar, Villa El Salvador, Lima")</f>
      </c>
      <c r="O21" t="str">
        <v>Llegó a la zona</v>
      </c>
      <c r="P21" t="str">
        <v/>
      </c>
      <c r="Q21">
        <v>719099.9</v>
      </c>
      <c r="R21" t="str">
        <v>BASE-OSLOGISTICS</v>
      </c>
      <c r="S21">
        <v>8.6</v>
      </c>
      <c r="T21">
        <v>117.97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28/09/2026</v>
      </c>
      <c r="AD21" t="str">
        <v>14:45:05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14:45:25</v>
      </c>
      <c r="AL21" t="str">
        <v>14:45:25</v>
      </c>
      <c r="AM21" t="str">
        <v/>
      </c>
    </row>
    <row r="22">
      <c r="A22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/>
      </c>
      <c r="J22" t="str">
        <v>28/09/2026</v>
      </c>
      <c r="K22" t="str">
        <v>14:47:58</v>
      </c>
      <c r="L22">
        <v>-12.21296</v>
      </c>
      <c r="M22">
        <v>-76.95906</v>
      </c>
      <c r="N22">
        <f>HYPERLINK("https://www.google.com/maps/search/?api=1&amp;query=-12.21296,-76.95906","Avenida Villa del Mar, Villa El Salvador, Lima")</f>
      </c>
      <c r="O22" t="str">
        <v>Vehículo apagado</v>
      </c>
      <c r="P22" t="str">
        <v>Vehículo Apagado</v>
      </c>
      <c r="Q22">
        <v>719099.9</v>
      </c>
      <c r="R22" t="str">
        <v/>
      </c>
      <c r="S22">
        <v>6.9</v>
      </c>
      <c r="T22">
        <v>117.97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28/09/2026</v>
      </c>
      <c r="AD22" t="str">
        <v>14:47:38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14:48:13</v>
      </c>
      <c r="AL22" t="str">
        <v>14:48:13</v>
      </c>
      <c r="AM22" t="str">
        <v/>
      </c>
    </row>
    <row r="23">
      <c r="A23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/>
      </c>
      <c r="J23" t="str">
        <v>28/09/2026</v>
      </c>
      <c r="K23" t="str">
        <v>14:48:00</v>
      </c>
      <c r="L23">
        <v>-12.21296</v>
      </c>
      <c r="M23">
        <v>-76.95906</v>
      </c>
      <c r="N23">
        <f>HYPERLINK("https://www.google.com/maps/search/?api=1&amp;query=-12.21296,-76.95906","Avenida Villa del Mar, Villa El Salvador, Lima")</f>
      </c>
      <c r="O23" t="str">
        <v>Vehículo encendido</v>
      </c>
      <c r="P23" t="str">
        <v/>
      </c>
      <c r="Q23">
        <v>719099.9</v>
      </c>
      <c r="R23" t="str">
        <v/>
      </c>
      <c r="S23">
        <v>0</v>
      </c>
      <c r="T23">
        <v>117.97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28/09/2026</v>
      </c>
      <c r="AD23" t="str">
        <v>14:47:38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14:48:04</v>
      </c>
      <c r="AL23" t="str">
        <v>14:48:04</v>
      </c>
      <c r="AM23" t="str">
        <v/>
      </c>
    </row>
    <row r="24">
      <c r="A24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/>
      </c>
      <c r="J24" t="str">
        <v>28/09/2026</v>
      </c>
      <c r="K24" t="str">
        <v>14:49:02</v>
      </c>
      <c r="L24">
        <v>-12.21291</v>
      </c>
      <c r="M24">
        <v>-76.95889</v>
      </c>
      <c r="N24">
        <f>HYPERLINK("https://www.google.com/maps/search/?api=1&amp;query=-12.21291,-76.95889","Avenida Villa del Mar, Villa El Salvador, Lima")</f>
      </c>
      <c r="O24" t="str">
        <v>Vehículo apagado</v>
      </c>
      <c r="P24" t="str">
        <v>Vehículo Apagado</v>
      </c>
      <c r="Q24">
        <v>719099.9</v>
      </c>
      <c r="R24" t="str">
        <v/>
      </c>
      <c r="S24">
        <v>0</v>
      </c>
      <c r="T24">
        <v>117.97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28/09/2026</v>
      </c>
      <c r="AD24" t="str">
        <v>14:47:59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14:49:11</v>
      </c>
      <c r="AL24" t="str">
        <v>14:49:11</v>
      </c>
      <c r="AM24" t="str">
        <v/>
      </c>
    </row>
    <row r="25">
      <c r="A25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/>
      </c>
      <c r="J25" t="str">
        <v>28/09/2026</v>
      </c>
      <c r="K25" t="str">
        <v>14:49:40</v>
      </c>
      <c r="L25">
        <v>-12.21291</v>
      </c>
      <c r="M25">
        <v>-76.95889</v>
      </c>
      <c r="N25">
        <f>HYPERLINK("https://www.google.com/maps/search/?api=1&amp;query=-12.21291,-76.95889","Avenida Villa del Mar, Villa El Salvador, Lima")</f>
      </c>
      <c r="O25" t="str">
        <v>Vehículo encendido</v>
      </c>
      <c r="P25" t="str">
        <v/>
      </c>
      <c r="Q25">
        <v>719099.9</v>
      </c>
      <c r="R25" t="str">
        <v/>
      </c>
      <c r="S25">
        <v>0</v>
      </c>
      <c r="T25">
        <v>117.97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28/09/2026</v>
      </c>
      <c r="AD25" t="str">
        <v>14:49:04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14:49:57</v>
      </c>
      <c r="AL25" t="str">
        <v>14:49:57</v>
      </c>
      <c r="AM25" t="str">
        <v/>
      </c>
    </row>
    <row r="26">
      <c r="A26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/>
      </c>
      <c r="J26" t="str">
        <v>28/09/2026</v>
      </c>
      <c r="K26" t="str">
        <v>14:49:50</v>
      </c>
      <c r="L26">
        <v>-12.212951</v>
      </c>
      <c r="M26">
        <v>-76.95874</v>
      </c>
      <c r="N26">
        <f>HYPERLINK("https://www.google.com/maps/search/?api=1&amp;query=-12.212951,-76.95874","Villa El Salvador, Lima")</f>
      </c>
      <c r="O26" t="str">
        <v>Vehículo apagado</v>
      </c>
      <c r="P26" t="str">
        <v>Vehículo Apagado</v>
      </c>
      <c r="Q26">
        <v>719099.9</v>
      </c>
      <c r="R26" t="str">
        <v/>
      </c>
      <c r="S26">
        <v>0</v>
      </c>
      <c r="T26">
        <v>117.97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28/09/2026</v>
      </c>
      <c r="AD26" t="str">
        <v>14:49:51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14:50:08</v>
      </c>
      <c r="AL26" t="str">
        <v>14:50:08</v>
      </c>
      <c r="AM26" t="str">
        <v/>
      </c>
    </row>
  </sheetData>
  <ignoredErrors>
    <ignoredError numberStoredAsText="1" sqref="A1:A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