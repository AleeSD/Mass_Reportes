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1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B1Y-801</v>
      </c>
      <c r="D2" t="str">
        <v>B1Y-801</v>
      </c>
      <c r="E2" t="str">
        <v/>
      </c>
      <c r="F2" t="str">
        <v>867162025907676</v>
      </c>
      <c r="G2" t="str">
        <v>Bus pequeño</v>
      </c>
      <c r="H2" t="str">
        <v/>
      </c>
      <c r="I2" t="str">
        <v/>
      </c>
      <c r="J2" t="str">
        <v>28/09/2026</v>
      </c>
      <c r="K2" t="str">
        <v>11:45:33</v>
      </c>
      <c r="L2">
        <v>-12.212744</v>
      </c>
      <c r="M2">
        <v>-76.959145</v>
      </c>
      <c r="N2">
        <f>HYPERLINK("https://www.google.com/maps/search/?api=1&amp;query=-12.212744,-76.959145","Avenida Villa del Mar, Villa El Salvador, Lima")</f>
      </c>
      <c r="O2" t="str">
        <v>Vehículo encendido</v>
      </c>
      <c r="P2" t="str">
        <v/>
      </c>
      <c r="Q2">
        <v>1052629.9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90</v>
      </c>
      <c r="AC2" t="str">
        <v>28/09/2026</v>
      </c>
      <c r="AD2" t="str">
        <v>11:31:04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11:45:46</v>
      </c>
      <c r="AL2" t="str">
        <v>11:45:46</v>
      </c>
      <c r="AM2" t="str">
        <v/>
      </c>
    </row>
    <row r="3">
      <c r="A3">
        <v>2</v>
      </c>
      <c r="B3" t="str">
        <v>MASS BSF</v>
      </c>
      <c r="C3" t="str">
        <v>B1Y-801</v>
      </c>
      <c r="D3" t="str">
        <v>B1Y-801</v>
      </c>
      <c r="E3" t="str">
        <v/>
      </c>
      <c r="F3" t="str">
        <v>867162025907676</v>
      </c>
      <c r="G3" t="str">
        <v>Bus pequeño</v>
      </c>
      <c r="H3" t="str">
        <v/>
      </c>
      <c r="I3" t="str">
        <v/>
      </c>
      <c r="J3" t="str">
        <v>28/09/2026</v>
      </c>
      <c r="K3" t="str">
        <v>12:02:09</v>
      </c>
      <c r="L3">
        <v>-12.234172</v>
      </c>
      <c r="M3">
        <v>-76.96003</v>
      </c>
      <c r="N3">
        <f>HYPERLINK("https://www.google.com/maps/search/?api=1&amp;query=-12.234172,-76.96003","Carretera Panamericana Sur, Villa El Salvador, Lima")</f>
      </c>
      <c r="O3" t="str">
        <v>Excedió el límite de velocidad</v>
      </c>
      <c r="P3" t="str">
        <v/>
      </c>
      <c r="Q3">
        <v>1052636.8</v>
      </c>
      <c r="R3" t="str">
        <v/>
      </c>
      <c r="S3">
        <v>81.7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90</v>
      </c>
      <c r="AC3" t="str">
        <v>28/09/2026</v>
      </c>
      <c r="AD3" t="str">
        <v>12:02:08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12:02:23</v>
      </c>
      <c r="AL3" t="str">
        <v>12:02:23</v>
      </c>
      <c r="AM3" t="str">
        <v/>
      </c>
    </row>
    <row r="4">
      <c r="A4">
        <v>3</v>
      </c>
      <c r="B4" t="str">
        <v>MASS BSF</v>
      </c>
      <c r="C4" t="str">
        <v>B1Y-801</v>
      </c>
      <c r="D4" t="str">
        <v>B1Y-801</v>
      </c>
      <c r="E4" t="str">
        <v/>
      </c>
      <c r="F4" t="str">
        <v>867162025907676</v>
      </c>
      <c r="G4" t="str">
        <v>Bus pequeño</v>
      </c>
      <c r="H4" t="str">
        <v/>
      </c>
      <c r="I4" t="str">
        <v/>
      </c>
      <c r="J4" t="str">
        <v>28/09/2026</v>
      </c>
      <c r="K4" t="str">
        <v>12:04:27</v>
      </c>
      <c r="L4">
        <v>-12.246699</v>
      </c>
      <c r="M4">
        <v>-76.93581</v>
      </c>
      <c r="N4">
        <f>HYPERLINK("https://www.google.com/maps/search/?api=1&amp;query=-12.246699,-76.93581","Carretera Panamericana Sur, Lurín, Lima")</f>
      </c>
      <c r="O4" t="str">
        <v>Excedió el límite de velocidad</v>
      </c>
      <c r="P4" t="str">
        <v/>
      </c>
      <c r="Q4">
        <v>1052639.8</v>
      </c>
      <c r="R4" t="str">
        <v/>
      </c>
      <c r="S4">
        <v>84.3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90</v>
      </c>
      <c r="AC4" t="str">
        <v>28/09/2026</v>
      </c>
      <c r="AD4" t="str">
        <v>12:04:26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12:04:38</v>
      </c>
      <c r="AL4" t="str">
        <v>12:04:38</v>
      </c>
      <c r="AM4" t="str">
        <v/>
      </c>
    </row>
    <row r="5">
      <c r="A5">
        <v>4</v>
      </c>
      <c r="B5" t="str">
        <v>MASS BSF</v>
      </c>
      <c r="C5" t="str">
        <v>B1Y-801</v>
      </c>
      <c r="D5" t="str">
        <v>B1Y-801</v>
      </c>
      <c r="E5" t="str">
        <v/>
      </c>
      <c r="F5" t="str">
        <v>867162025907676</v>
      </c>
      <c r="G5" t="str">
        <v>Bus pequeño</v>
      </c>
      <c r="H5" t="str">
        <v/>
      </c>
      <c r="I5" t="str">
        <v/>
      </c>
      <c r="J5" t="str">
        <v>28/09/2026</v>
      </c>
      <c r="K5" t="str">
        <v>12:10:30</v>
      </c>
      <c r="L5">
        <v>-12.282927</v>
      </c>
      <c r="M5">
        <v>-76.87907</v>
      </c>
      <c r="N5">
        <f>HYPERLINK("https://www.google.com/maps/search/?api=1&amp;query=-12.282927,-76.87907","Carretera Panamericana Sur, Lurín, Lima")</f>
      </c>
      <c r="O5" t="str">
        <v>Excedió el límite de velocidad</v>
      </c>
      <c r="P5" t="str">
        <v/>
      </c>
      <c r="Q5">
        <v>1052647.1</v>
      </c>
      <c r="R5" t="str">
        <v/>
      </c>
      <c r="S5">
        <v>80.8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90</v>
      </c>
      <c r="AC5" t="str">
        <v>28/09/2026</v>
      </c>
      <c r="AD5" t="str">
        <v>12:10:29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12:10:55</v>
      </c>
      <c r="AL5" t="str">
        <v>12:10:55</v>
      </c>
      <c r="AM5" t="str">
        <v/>
      </c>
    </row>
    <row r="6">
      <c r="A6">
        <v>5</v>
      </c>
      <c r="B6" t="str">
        <v>MASS BSF</v>
      </c>
      <c r="C6" t="str">
        <v>B1Y-801</v>
      </c>
      <c r="D6" t="str">
        <v>B1Y-801</v>
      </c>
      <c r="E6" t="str">
        <v/>
      </c>
      <c r="F6" t="str">
        <v>867162025907676</v>
      </c>
      <c r="G6" t="str">
        <v>Bus pequeño</v>
      </c>
      <c r="H6" t="str">
        <v/>
      </c>
      <c r="I6" t="str">
        <v/>
      </c>
      <c r="J6" t="str">
        <v>28/09/2026</v>
      </c>
      <c r="K6" t="str">
        <v>12:21:12</v>
      </c>
      <c r="L6">
        <v>-12.327063</v>
      </c>
      <c r="M6">
        <v>-76.82411</v>
      </c>
      <c r="N6">
        <f>HYPERLINK("https://www.google.com/maps/search/?api=1&amp;query=-12.327063,-76.82411","Carretera Panamericana Sur, Punta Hermosa, Lima")</f>
      </c>
      <c r="O6" t="str">
        <v>Excedió el límite de velocidad</v>
      </c>
      <c r="P6" t="str">
        <v/>
      </c>
      <c r="Q6">
        <v>1052657.5</v>
      </c>
      <c r="R6" t="str">
        <v/>
      </c>
      <c r="S6">
        <v>83.4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90</v>
      </c>
      <c r="AC6" t="str">
        <v>28/09/2026</v>
      </c>
      <c r="AD6" t="str">
        <v>12:21:11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12:21:33</v>
      </c>
      <c r="AL6" t="str">
        <v>12:21:33</v>
      </c>
      <c r="AM6" t="str">
        <v/>
      </c>
    </row>
    <row r="7">
      <c r="A7">
        <v>6</v>
      </c>
      <c r="B7" t="str">
        <v>MASS BSF</v>
      </c>
      <c r="C7" t="str">
        <v>B1Y-801</v>
      </c>
      <c r="D7" t="str">
        <v>B1Y-801</v>
      </c>
      <c r="E7" t="str">
        <v/>
      </c>
      <c r="F7" t="str">
        <v>867162025907676</v>
      </c>
      <c r="G7" t="str">
        <v>Bus pequeño</v>
      </c>
      <c r="H7" t="str">
        <v/>
      </c>
      <c r="I7" t="str">
        <v xml:space="preserve"> </v>
      </c>
      <c r="J7" t="str">
        <v>28/09/2026</v>
      </c>
      <c r="K7" t="str">
        <v>12:22:30</v>
      </c>
      <c r="L7">
        <v>-12.317553</v>
      </c>
      <c r="M7">
        <v>-76.82959</v>
      </c>
      <c r="N7">
        <f>HYPERLINK("https://www.google.com/maps/search/?api=1&amp;query=-12.317553,-76.82959","Punta Hermosa, Lima")</f>
      </c>
      <c r="O7" t="str">
        <v>Llegó a la zona</v>
      </c>
      <c r="P7" t="str">
        <v/>
      </c>
      <c r="Q7">
        <v>1052658</v>
      </c>
      <c r="R7" t="str">
        <v>MASS BSF 1</v>
      </c>
      <c r="S7">
        <v>11.7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90</v>
      </c>
      <c r="AC7" t="str">
        <v>28/09/2026</v>
      </c>
      <c r="AD7" t="str">
        <v>12:22:29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12:22:39</v>
      </c>
      <c r="AL7" t="str">
        <v>12:22:39</v>
      </c>
      <c r="AM7" t="str">
        <v/>
      </c>
    </row>
    <row r="8">
      <c r="A8">
        <v>7</v>
      </c>
      <c r="B8" t="str">
        <v>MASS BSF</v>
      </c>
      <c r="C8" t="str">
        <v>B1Y-801</v>
      </c>
      <c r="D8" t="str">
        <v>B1Y-801</v>
      </c>
      <c r="E8" t="str">
        <v/>
      </c>
      <c r="F8" t="str">
        <v>867162025907676</v>
      </c>
      <c r="G8" t="str">
        <v>Bus pequeño</v>
      </c>
      <c r="H8" t="str">
        <v/>
      </c>
      <c r="I8" t="str">
        <v/>
      </c>
      <c r="J8" t="str">
        <v>28/09/2026</v>
      </c>
      <c r="K8" t="str">
        <v>12:32:40</v>
      </c>
      <c r="L8">
        <v>-12.317423</v>
      </c>
      <c r="M8">
        <v>-76.822914</v>
      </c>
      <c r="N8">
        <f>HYPERLINK("https://www.google.com/maps/search/?api=1&amp;query=-12.317423,-76.822914","Punta Hermosa, Lima")</f>
      </c>
      <c r="O8" t="str">
        <v>Vehículo apagado</v>
      </c>
      <c r="P8" t="str">
        <v>Vehículo Apagado</v>
      </c>
      <c r="Q8">
        <v>1052659.8</v>
      </c>
      <c r="R8" t="str">
        <v/>
      </c>
      <c r="S8">
        <v>1.4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90</v>
      </c>
      <c r="AC8" t="str">
        <v>28/09/2026</v>
      </c>
      <c r="AD8" t="str">
        <v>12:32:32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12:32:58</v>
      </c>
      <c r="AL8" t="str">
        <v>12:32:58</v>
      </c>
      <c r="AM8" t="str">
        <v/>
      </c>
    </row>
    <row r="9">
      <c r="A9">
        <v>8</v>
      </c>
      <c r="B9" t="str">
        <v>MASS BSF</v>
      </c>
      <c r="C9" t="str">
        <v>B1Y-801</v>
      </c>
      <c r="D9" t="str">
        <v>B1Y-801</v>
      </c>
      <c r="E9" t="str">
        <v/>
      </c>
      <c r="F9" t="str">
        <v>867162025907676</v>
      </c>
      <c r="G9" t="str">
        <v>Bus pequeño</v>
      </c>
      <c r="H9" t="str">
        <v/>
      </c>
      <c r="I9" t="str">
        <v/>
      </c>
      <c r="J9" t="str">
        <v>28/09/2026</v>
      </c>
      <c r="K9" t="str">
        <v>12:40:15</v>
      </c>
      <c r="L9">
        <v>-12.317423</v>
      </c>
      <c r="M9">
        <v>-76.822914</v>
      </c>
      <c r="N9">
        <f>HYPERLINK("https://www.google.com/maps/search/?api=1&amp;query=-12.317423,-76.822914","Punta Hermosa, Lima")</f>
      </c>
      <c r="O9" t="str">
        <v>Vehículo encendido</v>
      </c>
      <c r="P9" t="str">
        <v/>
      </c>
      <c r="Q9">
        <v>1052659.8</v>
      </c>
      <c r="R9" t="str">
        <v/>
      </c>
      <c r="S9">
        <v>0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90</v>
      </c>
      <c r="AC9" t="str">
        <v>28/09/2026</v>
      </c>
      <c r="AD9" t="str">
        <v>12:32:43</v>
      </c>
      <c r="AE9">
        <f>IF("NOGPS"="NOGPS","GPS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12:40:38</v>
      </c>
      <c r="AL9" t="str">
        <v>12:40:38</v>
      </c>
      <c r="AM9" t="str">
        <v/>
      </c>
    </row>
    <row r="10">
      <c r="A10">
        <v>9</v>
      </c>
      <c r="B10" t="str">
        <v>MASS BSF</v>
      </c>
      <c r="C10" t="str">
        <v>B1Y-801</v>
      </c>
      <c r="D10" t="str">
        <v>B1Y-801</v>
      </c>
      <c r="E10" t="str">
        <v/>
      </c>
      <c r="F10" t="str">
        <v>867162025907676</v>
      </c>
      <c r="G10" t="str">
        <v>Bus pequeño</v>
      </c>
      <c r="H10" t="str">
        <v/>
      </c>
      <c r="I10" t="str">
        <v/>
      </c>
      <c r="J10" t="str">
        <v>28/09/2026</v>
      </c>
      <c r="K10" t="str">
        <v>12:43:47</v>
      </c>
      <c r="L10">
        <v>-12.317903</v>
      </c>
      <c r="M10">
        <v>-76.82423</v>
      </c>
      <c r="N10">
        <f>HYPERLINK("https://www.google.com/maps/search/?api=1&amp;query=-12.317903,-76.82423","Punta Hermosa, Lima")</f>
      </c>
      <c r="O10" t="str">
        <v>Vehículo apagado</v>
      </c>
      <c r="P10" t="str">
        <v>Vehículo Apagado</v>
      </c>
      <c r="Q10">
        <v>1052660.1</v>
      </c>
      <c r="R10" t="str">
        <v/>
      </c>
      <c r="S10">
        <v>2.1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90</v>
      </c>
      <c r="AC10" t="str">
        <v>28/09/2026</v>
      </c>
      <c r="AD10" t="str">
        <v>12:43:12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12:44:01</v>
      </c>
      <c r="AL10" t="str">
        <v>12:44:01</v>
      </c>
      <c r="AM10" t="str">
        <v/>
      </c>
    </row>
    <row r="11">
      <c r="A11">
        <v>10</v>
      </c>
      <c r="B11" t="str">
        <v>MASS BSF</v>
      </c>
      <c r="C11" t="str">
        <v>B1Y-801</v>
      </c>
      <c r="D11" t="str">
        <v>B1Y-801</v>
      </c>
      <c r="E11" t="str">
        <v/>
      </c>
      <c r="F11" t="str">
        <v>867162025907676</v>
      </c>
      <c r="G11" t="str">
        <v>Bus pequeño</v>
      </c>
      <c r="H11" t="str">
        <v/>
      </c>
      <c r="I11" t="str">
        <v/>
      </c>
      <c r="J11" t="str">
        <v>28/09/2026</v>
      </c>
      <c r="K11" t="str">
        <v>12:44:13</v>
      </c>
      <c r="L11">
        <v>-12.317933</v>
      </c>
      <c r="M11">
        <v>-76.82436</v>
      </c>
      <c r="N11">
        <f>HYPERLINK("https://www.google.com/maps/search/?api=1&amp;query=-12.317933,-76.82436","Punta Hermosa, Lima")</f>
      </c>
      <c r="O11" t="str">
        <v>Vehículo encendido</v>
      </c>
      <c r="P11" t="str">
        <v/>
      </c>
      <c r="Q11">
        <v>1052660.1</v>
      </c>
      <c r="R11" t="str">
        <v/>
      </c>
      <c r="S11">
        <v>0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90</v>
      </c>
      <c r="AC11" t="str">
        <v>28/09/2026</v>
      </c>
      <c r="AD11" t="str">
        <v>12:44:21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12:44:38</v>
      </c>
      <c r="AL11" t="str">
        <v>12:44:38</v>
      </c>
      <c r="AM11" t="str">
        <v/>
      </c>
    </row>
    <row r="12">
      <c r="A12">
        <v>11</v>
      </c>
      <c r="B12" t="str">
        <v>MASS BSF</v>
      </c>
      <c r="C12" t="str">
        <v>B1Y-801</v>
      </c>
      <c r="D12" t="str">
        <v>B1Y-801</v>
      </c>
      <c r="E12" t="str">
        <v/>
      </c>
      <c r="F12" t="str">
        <v>867162025907676</v>
      </c>
      <c r="G12" t="str">
        <v>Bus pequeño</v>
      </c>
      <c r="H12" t="str">
        <v/>
      </c>
      <c r="I12" t="str">
        <v/>
      </c>
      <c r="J12" t="str">
        <v>28/09/2026</v>
      </c>
      <c r="K12" t="str">
        <v>12:48:35</v>
      </c>
      <c r="L12">
        <v>-12.317723</v>
      </c>
      <c r="M12">
        <v>-76.824455</v>
      </c>
      <c r="N12">
        <f>HYPERLINK("https://www.google.com/maps/search/?api=1&amp;query=-12.317723,-76.824455","Punta Hermosa, Lima")</f>
      </c>
      <c r="O12" t="str">
        <v>Vehículo apagado</v>
      </c>
      <c r="P12" t="str">
        <v>Vehículo Apagado</v>
      </c>
      <c r="Q12">
        <v>1052660.1</v>
      </c>
      <c r="R12" t="str">
        <v/>
      </c>
      <c r="S12">
        <v>0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90</v>
      </c>
      <c r="AC12" t="str">
        <v>28/09/2026</v>
      </c>
      <c r="AD12" t="str">
        <v>12:48:12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12:48:40</v>
      </c>
      <c r="AL12" t="str">
        <v>12:48:40</v>
      </c>
      <c r="AM12" t="str">
        <v/>
      </c>
    </row>
    <row r="13">
      <c r="A13">
        <v>12</v>
      </c>
      <c r="B13" t="str">
        <v>MASS BSF</v>
      </c>
      <c r="C13" t="str">
        <v>B1Y-801</v>
      </c>
      <c r="D13" t="str">
        <v>B1Y-801</v>
      </c>
      <c r="E13" t="str">
        <v/>
      </c>
      <c r="F13" t="str">
        <v>867162025907676</v>
      </c>
      <c r="G13" t="str">
        <v>Bus pequeño</v>
      </c>
      <c r="H13" t="str">
        <v/>
      </c>
      <c r="I13" t="str">
        <v/>
      </c>
      <c r="J13" t="str">
        <v>28/09/2026</v>
      </c>
      <c r="K13" t="str">
        <v>12:48:43</v>
      </c>
      <c r="L13">
        <v>-12.317723</v>
      </c>
      <c r="M13">
        <v>-76.824455</v>
      </c>
      <c r="N13">
        <f>HYPERLINK("https://www.google.com/maps/search/?api=1&amp;query=-12.317723,-76.824455","Punta Hermosa, Lima")</f>
      </c>
      <c r="O13" t="str">
        <v>Vehículo encendido</v>
      </c>
      <c r="P13" t="str">
        <v/>
      </c>
      <c r="Q13">
        <v>1052660.1</v>
      </c>
      <c r="R13" t="str">
        <v/>
      </c>
      <c r="S13">
        <v>0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90</v>
      </c>
      <c r="AC13" t="str">
        <v>28/09/2026</v>
      </c>
      <c r="AD13" t="str">
        <v>12:48:38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12:49:00</v>
      </c>
      <c r="AL13" t="str">
        <v>12:49:00</v>
      </c>
      <c r="AM13" t="str">
        <v/>
      </c>
    </row>
    <row r="14">
      <c r="A14">
        <v>13</v>
      </c>
      <c r="B14" t="str">
        <v>MASS BSF</v>
      </c>
      <c r="C14" t="str">
        <v>B1Y-801</v>
      </c>
      <c r="D14" t="str">
        <v>B1Y-801</v>
      </c>
      <c r="E14" t="str">
        <v/>
      </c>
      <c r="F14" t="str">
        <v>867162025907676</v>
      </c>
      <c r="G14" t="str">
        <v>Bus pequeño</v>
      </c>
      <c r="H14" t="str">
        <v/>
      </c>
      <c r="I14" t="str">
        <v/>
      </c>
      <c r="J14" t="str">
        <v>28/09/2026</v>
      </c>
      <c r="K14" t="str">
        <v>12:48:55</v>
      </c>
      <c r="L14">
        <v>-12.317731</v>
      </c>
      <c r="M14">
        <v>-76.824196</v>
      </c>
      <c r="N14">
        <f>HYPERLINK("https://www.google.com/maps/search/?api=1&amp;query=-12.317731,-76.824196","Punta Hermosa, Lima")</f>
      </c>
      <c r="O14" t="str">
        <v>Vehículo apagado</v>
      </c>
      <c r="P14" t="str">
        <v>Vehículo Apagado</v>
      </c>
      <c r="Q14">
        <v>1052660.1</v>
      </c>
      <c r="R14" t="str">
        <v/>
      </c>
      <c r="S14">
        <v>0.2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90</v>
      </c>
      <c r="AC14" t="str">
        <v>28/09/2026</v>
      </c>
      <c r="AD14" t="str">
        <v>12:48:46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12:49:12</v>
      </c>
      <c r="AL14" t="str">
        <v>12:49:12</v>
      </c>
      <c r="AM14" t="str">
        <v/>
      </c>
    </row>
    <row r="15">
      <c r="A15">
        <v>14</v>
      </c>
      <c r="B15" t="str">
        <v>MASS BSF</v>
      </c>
      <c r="C15" t="str">
        <v>B1Y-801</v>
      </c>
      <c r="D15" t="str">
        <v>B1Y-801</v>
      </c>
      <c r="E15" t="str">
        <v/>
      </c>
      <c r="F15" t="str">
        <v>867162025907676</v>
      </c>
      <c r="G15" t="str">
        <v>Bus pequeño</v>
      </c>
      <c r="H15" t="str">
        <v/>
      </c>
      <c r="I15" t="str">
        <v/>
      </c>
      <c r="J15" t="str">
        <v>28/09/2026</v>
      </c>
      <c r="K15" t="str">
        <v>13:31:16</v>
      </c>
      <c r="L15">
        <v>-12.31779</v>
      </c>
      <c r="M15">
        <v>-76.82432</v>
      </c>
      <c r="N15">
        <f>HYPERLINK("https://www.google.com/maps/search/?api=1&amp;query=-12.31779,-76.82432","Punta Hermosa, Lima")</f>
      </c>
      <c r="O15" t="str">
        <v>Vehículo encendido</v>
      </c>
      <c r="P15" t="str">
        <v/>
      </c>
      <c r="Q15">
        <v>1052660.2</v>
      </c>
      <c r="R15" t="str">
        <v/>
      </c>
      <c r="S15">
        <v>0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90</v>
      </c>
      <c r="AC15" t="str">
        <v>28/09/2026</v>
      </c>
      <c r="AD15" t="str">
        <v>13:16:40</v>
      </c>
      <c r="AE15">
        <f>IF("NOGPS"="NOGPS","GPS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13:31:24</v>
      </c>
      <c r="AL15" t="str">
        <v>13:31:24</v>
      </c>
      <c r="AM15" t="str">
        <v/>
      </c>
    </row>
    <row r="16">
      <c r="A16">
        <v>15</v>
      </c>
      <c r="B16" t="str">
        <v>MASS BSF</v>
      </c>
      <c r="C16" t="str">
        <v>B1Y-801</v>
      </c>
      <c r="D16" t="str">
        <v>B1Y-801</v>
      </c>
      <c r="E16" t="str">
        <v/>
      </c>
      <c r="F16" t="str">
        <v>867162025907676</v>
      </c>
      <c r="G16" t="str">
        <v>Bus pequeño</v>
      </c>
      <c r="H16" t="str">
        <v/>
      </c>
      <c r="I16" t="str">
        <v xml:space="preserve"> </v>
      </c>
      <c r="J16" t="str">
        <v>28/09/2026</v>
      </c>
      <c r="K16" t="str">
        <v>13:47:42</v>
      </c>
      <c r="L16">
        <v>-12.317545</v>
      </c>
      <c r="M16">
        <v>-76.82989</v>
      </c>
      <c r="N16">
        <f>HYPERLINK("https://www.google.com/maps/search/?api=1&amp;query=-12.317545,-76.82989","Punta Hermosa, Lima")</f>
      </c>
      <c r="O16" t="str">
        <v>Salió de zona</v>
      </c>
      <c r="P16" t="str">
        <v/>
      </c>
      <c r="Q16">
        <v>1052661.4</v>
      </c>
      <c r="R16" t="str">
        <v>MASS BSF 1</v>
      </c>
      <c r="S16">
        <v>13.9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90</v>
      </c>
      <c r="AC16" t="str">
        <v>28/09/2026</v>
      </c>
      <c r="AD16" t="str">
        <v>13:47:41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13:47:51</v>
      </c>
      <c r="AL16" t="str">
        <v>13:47:51</v>
      </c>
      <c r="AM16" t="str">
        <v/>
      </c>
    </row>
    <row r="17">
      <c r="A17">
        <v>16</v>
      </c>
      <c r="B17" t="str">
        <v>MASS BSF</v>
      </c>
      <c r="C17" t="str">
        <v>B1Y-801</v>
      </c>
      <c r="D17" t="str">
        <v>B1Y-801</v>
      </c>
      <c r="E17" t="str">
        <v/>
      </c>
      <c r="F17" t="str">
        <v>867162025907676</v>
      </c>
      <c r="G17" t="str">
        <v>Bus pequeño</v>
      </c>
      <c r="H17" t="str">
        <v/>
      </c>
      <c r="I17" t="str">
        <v/>
      </c>
      <c r="J17" t="str">
        <v>28/09/2026</v>
      </c>
      <c r="K17" t="str">
        <v>13:50:15</v>
      </c>
      <c r="L17">
        <v>-12.302552</v>
      </c>
      <c r="M17">
        <v>-76.84327</v>
      </c>
      <c r="N17">
        <f>HYPERLINK("https://www.google.com/maps/search/?api=1&amp;query=-12.302552,-76.84327","Carretera Panamericana Sur, Lurín, Lima")</f>
      </c>
      <c r="O17" t="str">
        <v>Excedió el límite de velocidad</v>
      </c>
      <c r="P17" t="str">
        <v/>
      </c>
      <c r="Q17">
        <v>1052663.6</v>
      </c>
      <c r="R17" t="str">
        <v/>
      </c>
      <c r="S17">
        <v>86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90</v>
      </c>
      <c r="AC17" t="str">
        <v>28/09/2026</v>
      </c>
      <c r="AD17" t="str">
        <v>13:50:14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13:50:36</v>
      </c>
      <c r="AL17" t="str">
        <v>13:50:36</v>
      </c>
      <c r="AM17" t="str">
        <v/>
      </c>
    </row>
    <row r="18">
      <c r="A18">
        <v>17</v>
      </c>
      <c r="B18" t="str">
        <v>MASS BSF</v>
      </c>
      <c r="C18" t="str">
        <v>B1Y-801</v>
      </c>
      <c r="D18" t="str">
        <v>B1Y-801</v>
      </c>
      <c r="E18" t="str">
        <v/>
      </c>
      <c r="F18" t="str">
        <v>867162025907676</v>
      </c>
      <c r="G18" t="str">
        <v>Bus pequeño</v>
      </c>
      <c r="H18" t="str">
        <v/>
      </c>
      <c r="I18" t="str">
        <v/>
      </c>
      <c r="J18" t="str">
        <v>28/09/2026</v>
      </c>
      <c r="K18" t="str">
        <v>13:50:39</v>
      </c>
      <c r="L18">
        <v>-12.302552</v>
      </c>
      <c r="M18">
        <v>-76.84327</v>
      </c>
      <c r="N18">
        <f>HYPERLINK("https://www.google.com/maps/search/?api=1&amp;query=-12.302552,-76.84327","Carretera Panamericana Sur, Lurín, Lima")</f>
      </c>
      <c r="O18" t="str">
        <v>Exceso de velocidad en segmento vial</v>
      </c>
      <c r="P18" t="str">
        <v/>
      </c>
      <c r="Q18">
        <v>1052664.2</v>
      </c>
      <c r="R18" t="str">
        <v/>
      </c>
      <c r="S18">
        <v>86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90</v>
      </c>
      <c r="AC18" t="str">
        <v>28/09/2026</v>
      </c>
      <c r="AD18" t="str">
        <v>13:50:14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13:51:01</v>
      </c>
      <c r="AL18" t="str">
        <v>13:51:01</v>
      </c>
      <c r="AM18" t="str">
        <v/>
      </c>
    </row>
    <row r="19">
      <c r="A19">
        <v>18</v>
      </c>
      <c r="B19" t="str">
        <v>MASS BSF</v>
      </c>
      <c r="C19" t="str">
        <v>B1Y-801</v>
      </c>
      <c r="D19" t="str">
        <v>B1Y-801</v>
      </c>
      <c r="E19" t="str">
        <v/>
      </c>
      <c r="F19" t="str">
        <v>867162025907676</v>
      </c>
      <c r="G19" t="str">
        <v>Bus pequeño</v>
      </c>
      <c r="H19" t="str">
        <v/>
      </c>
      <c r="I19" t="str">
        <v/>
      </c>
      <c r="J19" t="str">
        <v>28/09/2026</v>
      </c>
      <c r="K19" t="str">
        <v>13:51:09</v>
      </c>
      <c r="L19">
        <v>-12.298168</v>
      </c>
      <c r="M19">
        <v>-76.85314</v>
      </c>
      <c r="N19">
        <f>HYPERLINK("https://www.google.com/maps/search/?api=1&amp;query=-12.298168,-76.85314","Carretera Panamericana Sur, Lurín, Lima")</f>
      </c>
      <c r="O19" t="str">
        <v>Excedió el límite de velocidad</v>
      </c>
      <c r="P19" t="str">
        <v/>
      </c>
      <c r="Q19">
        <v>1052664.8</v>
      </c>
      <c r="R19" t="str">
        <v/>
      </c>
      <c r="S19">
        <v>86.2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90</v>
      </c>
      <c r="AC19" t="str">
        <v>28/09/2026</v>
      </c>
      <c r="AD19" t="str">
        <v>13:51:08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13:51:27</v>
      </c>
      <c r="AL19" t="str">
        <v>13:51:27</v>
      </c>
      <c r="AM19" t="str">
        <v/>
      </c>
    </row>
    <row r="20">
      <c r="A20">
        <v>19</v>
      </c>
      <c r="B20" t="str">
        <v>MASS BSF</v>
      </c>
      <c r="C20" t="str">
        <v>B1Y-801</v>
      </c>
      <c r="D20" t="str">
        <v>B1Y-801</v>
      </c>
      <c r="E20" t="str">
        <v/>
      </c>
      <c r="F20" t="str">
        <v>867162025907676</v>
      </c>
      <c r="G20" t="str">
        <v>Bus pequeño</v>
      </c>
      <c r="H20" t="str">
        <v/>
      </c>
      <c r="I20" t="str">
        <v/>
      </c>
      <c r="J20" t="str">
        <v>28/09/2026</v>
      </c>
      <c r="K20" t="str">
        <v>13:57:09</v>
      </c>
      <c r="L20">
        <v>-12.266154</v>
      </c>
      <c r="M20">
        <v>-76.905556</v>
      </c>
      <c r="N20">
        <f>HYPERLINK("https://www.google.com/maps/search/?api=1&amp;query=-12.266154,-76.905556","Carretera Panamericana Sur, Lurín, Lima")</f>
      </c>
      <c r="O20" t="str">
        <v>Excedió el límite de velocidad</v>
      </c>
      <c r="P20" t="str">
        <v/>
      </c>
      <c r="Q20">
        <v>1052671.6</v>
      </c>
      <c r="R20" t="str">
        <v/>
      </c>
      <c r="S20">
        <v>85.5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90</v>
      </c>
      <c r="AC20" t="str">
        <v>28/09/2026</v>
      </c>
      <c r="AD20" t="str">
        <v>13:57:08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13:57:16</v>
      </c>
      <c r="AL20" t="str">
        <v>13:57:16</v>
      </c>
      <c r="AM20" t="str">
        <v/>
      </c>
    </row>
    <row r="21">
      <c r="A21">
        <v>20</v>
      </c>
      <c r="B21" t="str">
        <v>MASS BSF</v>
      </c>
      <c r="C21" t="str">
        <v>B1Y-801</v>
      </c>
      <c r="D21" t="str">
        <v>B1Y-801</v>
      </c>
      <c r="E21" t="str">
        <v/>
      </c>
      <c r="F21" t="str">
        <v>867162025907676</v>
      </c>
      <c r="G21" t="str">
        <v>Bus pequeño</v>
      </c>
      <c r="H21" t="str">
        <v/>
      </c>
      <c r="I21" t="str">
        <v/>
      </c>
      <c r="J21" t="str">
        <v>28/09/2026</v>
      </c>
      <c r="K21" t="str">
        <v>13:59:24</v>
      </c>
      <c r="L21">
        <v>-12.250686</v>
      </c>
      <c r="M21">
        <v>-76.93009</v>
      </c>
      <c r="N21">
        <f>HYPERLINK("https://www.google.com/maps/search/?api=1&amp;query=-12.250686,-76.93009","Carretera Panamericana Sur, Lurín, Lima")</f>
      </c>
      <c r="O21" t="str">
        <v>Excedió el límite de velocidad</v>
      </c>
      <c r="P21" t="str">
        <v/>
      </c>
      <c r="Q21">
        <v>1052674.8</v>
      </c>
      <c r="R21" t="str">
        <v/>
      </c>
      <c r="S21">
        <v>84.3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90</v>
      </c>
      <c r="AC21" t="str">
        <v>28/09/2026</v>
      </c>
      <c r="AD21" t="str">
        <v>13:59:23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13:59:50</v>
      </c>
      <c r="AL21" t="str">
        <v>13:59:50</v>
      </c>
      <c r="AM21" t="str">
        <v/>
      </c>
    </row>
    <row r="22">
      <c r="A22">
        <v>21</v>
      </c>
      <c r="B22" t="str">
        <v>MASS BSF</v>
      </c>
      <c r="C22" t="str">
        <v>B1Y-801</v>
      </c>
      <c r="D22" t="str">
        <v>B1Y-801</v>
      </c>
      <c r="E22" t="str">
        <v/>
      </c>
      <c r="F22" t="str">
        <v>867162025907676</v>
      </c>
      <c r="G22" t="str">
        <v>Bus pequeño</v>
      </c>
      <c r="H22" t="str">
        <v/>
      </c>
      <c r="I22" t="str">
        <v/>
      </c>
      <c r="J22" t="str">
        <v>28/09/2026</v>
      </c>
      <c r="K22" t="str">
        <v>14:02:00</v>
      </c>
      <c r="L22">
        <v>-12.234603</v>
      </c>
      <c r="M22">
        <v>-76.95895</v>
      </c>
      <c r="N22">
        <f>HYPERLINK("https://www.google.com/maps/search/?api=1&amp;query=-12.234603,-76.95895","Carretera Panamericana Sur, Villa El Salvador, Lima")</f>
      </c>
      <c r="O22" t="str">
        <v>Excedió el límite de velocidad</v>
      </c>
      <c r="P22" t="str">
        <v/>
      </c>
      <c r="Q22">
        <v>1052678.4</v>
      </c>
      <c r="R22" t="str">
        <v/>
      </c>
      <c r="S22">
        <v>84.1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90</v>
      </c>
      <c r="AC22" t="str">
        <v>28/09/2026</v>
      </c>
      <c r="AD22" t="str">
        <v>14:01:59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14:02:12</v>
      </c>
      <c r="AL22" t="str">
        <v>14:02:12</v>
      </c>
      <c r="AM22" t="str">
        <v/>
      </c>
    </row>
    <row r="23">
      <c r="A23">
        <v>22</v>
      </c>
      <c r="B23" t="str">
        <v>MASS BSF</v>
      </c>
      <c r="C23" t="str">
        <v>B1Y-801</v>
      </c>
      <c r="D23" t="str">
        <v>B1Y-801</v>
      </c>
      <c r="E23" t="str">
        <v/>
      </c>
      <c r="F23" t="str">
        <v>867162025907676</v>
      </c>
      <c r="G23" t="str">
        <v>Bus pequeño</v>
      </c>
      <c r="H23" t="str">
        <v/>
      </c>
      <c r="I23" t="str">
        <v xml:space="preserve"> </v>
      </c>
      <c r="J23" t="str">
        <v>28/09/2026</v>
      </c>
      <c r="K23" t="str">
        <v>14:19:20</v>
      </c>
      <c r="L23">
        <v>-12.162916</v>
      </c>
      <c r="M23">
        <v>-76.965324</v>
      </c>
      <c r="N23">
        <f>HYPERLINK("https://www.google.com/maps/search/?api=1&amp;query=-12.162916,-76.965324","Avenida Belisario Suárez, San Juan de Miraflores, Lima")</f>
      </c>
      <c r="O23" t="str">
        <v>Llegó a la zona</v>
      </c>
      <c r="P23" t="str">
        <v/>
      </c>
      <c r="Q23">
        <v>1052688.2</v>
      </c>
      <c r="R23" t="str">
        <v>310-BELISARIO SUAREZ</v>
      </c>
      <c r="S23">
        <v>8.5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90</v>
      </c>
      <c r="AC23" t="str">
        <v>28/09/2026</v>
      </c>
      <c r="AD23" t="str">
        <v>14:19:16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14:19:27</v>
      </c>
      <c r="AL23" t="str">
        <v>14:19:27</v>
      </c>
      <c r="AM23" t="str">
        <v/>
      </c>
    </row>
    <row r="24">
      <c r="A24">
        <v>23</v>
      </c>
      <c r="B24" t="str">
        <v>MASS BSF</v>
      </c>
      <c r="C24" t="str">
        <v>B1Y-801</v>
      </c>
      <c r="D24" t="str">
        <v>B1Y-801</v>
      </c>
      <c r="E24" t="str">
        <v/>
      </c>
      <c r="F24" t="str">
        <v>867162025907676</v>
      </c>
      <c r="G24" t="str">
        <v>Bus pequeño</v>
      </c>
      <c r="H24" t="str">
        <v/>
      </c>
      <c r="I24" t="str">
        <v xml:space="preserve"> </v>
      </c>
      <c r="J24" t="str">
        <v>28/09/2026</v>
      </c>
      <c r="K24" t="str">
        <v>14:19:26</v>
      </c>
      <c r="L24">
        <v>-12.162892</v>
      </c>
      <c r="M24">
        <v>-76.96553</v>
      </c>
      <c r="N24">
        <f>HYPERLINK("https://www.google.com/maps/search/?api=1&amp;query=-12.162892,-76.96553","Avenida Belisario Suárez, San Juan de Miraflores, Lima")</f>
      </c>
      <c r="O24" t="str">
        <v>Llegó a la zona</v>
      </c>
      <c r="P24" t="str">
        <v/>
      </c>
      <c r="Q24">
        <v>1052689</v>
      </c>
      <c r="R24" t="str">
        <v>691-M.BELISARIO 9 SJM</v>
      </c>
      <c r="S24">
        <v>4.6</v>
      </c>
      <c r="T24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90</v>
      </c>
      <c r="AC24" t="str">
        <v>28/09/2026</v>
      </c>
      <c r="AD24" t="str">
        <v>14:19:25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14:19:34</v>
      </c>
      <c r="AL24" t="str">
        <v>14:19:34</v>
      </c>
      <c r="AM24" t="str">
        <v/>
      </c>
    </row>
    <row r="25">
      <c r="A25">
        <v>24</v>
      </c>
      <c r="B25" t="str">
        <v>MASS BSF</v>
      </c>
      <c r="C25" t="str">
        <v>B1Y-801</v>
      </c>
      <c r="D25" t="str">
        <v>B1Y-801</v>
      </c>
      <c r="E25" t="str">
        <v/>
      </c>
      <c r="F25" t="str">
        <v>867162025907676</v>
      </c>
      <c r="G25" t="str">
        <v>Bus pequeño</v>
      </c>
      <c r="H25" t="str">
        <v/>
      </c>
      <c r="I25" t="str">
        <v xml:space="preserve"> </v>
      </c>
      <c r="J25" t="str">
        <v>28/09/2026</v>
      </c>
      <c r="K25" t="str">
        <v>14:20:20</v>
      </c>
      <c r="L25">
        <v>-12.162577</v>
      </c>
      <c r="M25">
        <v>-76.96627</v>
      </c>
      <c r="N25">
        <f>HYPERLINK("https://www.google.com/maps/search/?api=1&amp;query=-12.162577,-76.96627","Avenida Belisario Suárez, San Juan de Miraflores, Lima")</f>
      </c>
      <c r="O25" t="str">
        <v>Salió de zona</v>
      </c>
      <c r="P25" t="str">
        <v/>
      </c>
      <c r="Q25">
        <v>1052689</v>
      </c>
      <c r="R25" t="str">
        <v>310-BELISARIO SUAREZ</v>
      </c>
      <c r="S25">
        <v>3.1</v>
      </c>
      <c r="T25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90</v>
      </c>
      <c r="AC25" t="str">
        <v>28/09/2026</v>
      </c>
      <c r="AD25" t="str">
        <v>14:20:16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14:20:27</v>
      </c>
      <c r="AL25" t="str">
        <v>14:20:27</v>
      </c>
      <c r="AM25" t="str">
        <v/>
      </c>
    </row>
    <row r="26">
      <c r="A26">
        <v>25</v>
      </c>
      <c r="B26" t="str">
        <v>MASS BSF</v>
      </c>
      <c r="C26" t="str">
        <v>B1Y-801</v>
      </c>
      <c r="D26" t="str">
        <v>B1Y-801</v>
      </c>
      <c r="E26" t="str">
        <v/>
      </c>
      <c r="F26" t="str">
        <v>867162025907676</v>
      </c>
      <c r="G26" t="str">
        <v>Bus pequeño</v>
      </c>
      <c r="H26" t="str">
        <v/>
      </c>
      <c r="I26" t="str">
        <v xml:space="preserve"> </v>
      </c>
      <c r="J26" t="str">
        <v>28/09/2026</v>
      </c>
      <c r="K26" t="str">
        <v>14:20:20</v>
      </c>
      <c r="L26">
        <v>-12.162577</v>
      </c>
      <c r="M26">
        <v>-76.96627</v>
      </c>
      <c r="N26">
        <f>HYPERLINK("https://www.google.com/maps/search/?api=1&amp;query=-12.162577,-76.96627","Avenida Belisario Suárez, San Juan de Miraflores, Lima")</f>
      </c>
      <c r="O26" t="str">
        <v>Salió de zona</v>
      </c>
      <c r="P26" t="str">
        <v/>
      </c>
      <c r="Q26">
        <v>1052689</v>
      </c>
      <c r="R26" t="str">
        <v>691-M.BELISARIO 9 SJM</v>
      </c>
      <c r="S26">
        <v>3.1</v>
      </c>
      <c r="T26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90</v>
      </c>
      <c r="AC26" t="str">
        <v>28/09/2026</v>
      </c>
      <c r="AD26" t="str">
        <v>14:20:16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14:20:27</v>
      </c>
      <c r="AL26" t="str">
        <v>14:20:27</v>
      </c>
      <c r="AM26" t="str">
        <v/>
      </c>
    </row>
    <row r="27">
      <c r="A27">
        <v>26</v>
      </c>
      <c r="B27" t="str">
        <v>MASS BSF</v>
      </c>
      <c r="C27" t="str">
        <v>B1Y-801</v>
      </c>
      <c r="D27" t="str">
        <v>B1Y-801</v>
      </c>
      <c r="E27" t="str">
        <v/>
      </c>
      <c r="F27" t="str">
        <v>867162025907676</v>
      </c>
      <c r="G27" t="str">
        <v>Bus pequeño</v>
      </c>
      <c r="H27" t="str">
        <v/>
      </c>
      <c r="I27" t="str">
        <v/>
      </c>
      <c r="J27" t="str">
        <v>28/09/2026</v>
      </c>
      <c r="K27" t="str">
        <v>14:20:37</v>
      </c>
      <c r="L27">
        <v>-12.162568</v>
      </c>
      <c r="M27">
        <v>-76.96629</v>
      </c>
      <c r="N27">
        <f>HYPERLINK("https://www.google.com/maps/search/?api=1&amp;query=-12.162568,-76.96629","Avenida Belisario Suárez, San Juan de Miraflores, Lima")</f>
      </c>
      <c r="O27" t="str">
        <v>Vehículo apagado</v>
      </c>
      <c r="P27" t="str">
        <v>Vehículo Apagado</v>
      </c>
      <c r="Q27">
        <v>1052689</v>
      </c>
      <c r="R27" t="str">
        <v/>
      </c>
      <c r="S27">
        <v>0</v>
      </c>
      <c r="T27">
        <v>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90</v>
      </c>
      <c r="AC27" t="str">
        <v>28/09/2026</v>
      </c>
      <c r="AD27" t="str">
        <v>14:20:39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28/09/2026 14:20:58</v>
      </c>
      <c r="AL27" t="str">
        <v>14:20:58</v>
      </c>
      <c r="AM27" t="str">
        <v/>
      </c>
    </row>
    <row r="28">
      <c r="A28">
        <v>27</v>
      </c>
      <c r="B28" t="str">
        <v>MASS BSF</v>
      </c>
      <c r="C28" t="str">
        <v>B1Y-801</v>
      </c>
      <c r="D28" t="str">
        <v>B1Y-801</v>
      </c>
      <c r="E28" t="str">
        <v/>
      </c>
      <c r="F28" t="str">
        <v>867162025907676</v>
      </c>
      <c r="G28" t="str">
        <v>Bus pequeño</v>
      </c>
      <c r="H28" t="str">
        <v/>
      </c>
      <c r="I28" t="str">
        <v/>
      </c>
      <c r="J28" t="str">
        <v>28/09/2026</v>
      </c>
      <c r="K28" t="str">
        <v>14:51:07</v>
      </c>
      <c r="L28">
        <v>-12.162503</v>
      </c>
      <c r="M28">
        <v>-76.966286</v>
      </c>
      <c r="N28">
        <f>HYPERLINK("https://www.google.com/maps/search/?api=1&amp;query=-12.162503,-76.966286","Avenida Belisario Suárez, San Juan de Miraflores, Lima")</f>
      </c>
      <c r="O28" t="str">
        <v>Vehículo encendido</v>
      </c>
      <c r="P28" t="str">
        <v/>
      </c>
      <c r="Q28">
        <v>1052689</v>
      </c>
      <c r="R28" t="str">
        <v/>
      </c>
      <c r="S28">
        <v>0</v>
      </c>
      <c r="T28">
        <v>0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90</v>
      </c>
      <c r="AC28" t="str">
        <v>28/09/2026</v>
      </c>
      <c r="AD28" t="str">
        <v>14:48:38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28/09/2026 14:51:13</v>
      </c>
      <c r="AL28" t="str">
        <v>14:51:13</v>
      </c>
      <c r="AM28" t="str">
        <v/>
      </c>
    </row>
    <row r="29">
      <c r="A29">
        <v>28</v>
      </c>
      <c r="B29" t="str">
        <v>MASS BSF</v>
      </c>
      <c r="C29" t="str">
        <v>B1Y-801</v>
      </c>
      <c r="D29" t="str">
        <v>B1Y-801</v>
      </c>
      <c r="E29" t="str">
        <v/>
      </c>
      <c r="F29" t="str">
        <v>867162025907676</v>
      </c>
      <c r="G29" t="str">
        <v>Bus pequeño</v>
      </c>
      <c r="H29" t="str">
        <v/>
      </c>
      <c r="I29" t="str">
        <v xml:space="preserve"> </v>
      </c>
      <c r="J29" t="str">
        <v>28/09/2026</v>
      </c>
      <c r="K29" t="str">
        <v>14:53:26</v>
      </c>
      <c r="L29">
        <v>-12.162834</v>
      </c>
      <c r="M29">
        <v>-76.965546</v>
      </c>
      <c r="N29">
        <f>HYPERLINK("https://www.google.com/maps/search/?api=1&amp;query=-12.162834,-76.965546","Avenida Belisario Suárez, San Juan de Miraflores, Lima")</f>
      </c>
      <c r="O29" t="str">
        <v>Llegó a la zona</v>
      </c>
      <c r="P29" t="str">
        <v/>
      </c>
      <c r="Q29">
        <v>1052689.6</v>
      </c>
      <c r="R29" t="str">
        <v>310-BELISARIO SUAREZ</v>
      </c>
      <c r="S29">
        <v>11</v>
      </c>
      <c r="T29">
        <v>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90</v>
      </c>
      <c r="AC29" t="str">
        <v>28/09/2026</v>
      </c>
      <c r="AD29" t="str">
        <v>14:53:25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28/09/2026 14:53:37</v>
      </c>
      <c r="AL29" t="str">
        <v>14:53:37</v>
      </c>
      <c r="AM29" t="str">
        <v/>
      </c>
    </row>
    <row r="30">
      <c r="A30">
        <v>29</v>
      </c>
      <c r="B30" t="str">
        <v>MASS BSF</v>
      </c>
      <c r="C30" t="str">
        <v>B1Y-801</v>
      </c>
      <c r="D30" t="str">
        <v>B1Y-801</v>
      </c>
      <c r="E30" t="str">
        <v/>
      </c>
      <c r="F30" t="str">
        <v>867162025907676</v>
      </c>
      <c r="G30" t="str">
        <v>Bus pequeño</v>
      </c>
      <c r="H30" t="str">
        <v/>
      </c>
      <c r="I30" t="str">
        <v xml:space="preserve"> </v>
      </c>
      <c r="J30" t="str">
        <v>28/09/2026</v>
      </c>
      <c r="K30" t="str">
        <v>14:53:26</v>
      </c>
      <c r="L30">
        <v>-12.162834</v>
      </c>
      <c r="M30">
        <v>-76.965546</v>
      </c>
      <c r="N30">
        <f>HYPERLINK("https://www.google.com/maps/search/?api=1&amp;query=-12.162834,-76.965546","Avenida Belisario Suárez, San Juan de Miraflores, Lima")</f>
      </c>
      <c r="O30" t="str">
        <v>Llegó a la zona</v>
      </c>
      <c r="P30" t="str">
        <v/>
      </c>
      <c r="Q30">
        <v>1052689.6</v>
      </c>
      <c r="R30" t="str">
        <v>691-M.BELISARIO 9 SJM</v>
      </c>
      <c r="S30">
        <v>11</v>
      </c>
      <c r="T30">
        <v>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90</v>
      </c>
      <c r="AC30" t="str">
        <v>28/09/2026</v>
      </c>
      <c r="AD30" t="str">
        <v>14:53:25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28/09/2026 14:53:37</v>
      </c>
      <c r="AL30" t="str">
        <v>14:53:37</v>
      </c>
      <c r="AM30" t="str">
        <v/>
      </c>
    </row>
    <row r="31">
      <c r="A31">
        <v>30</v>
      </c>
      <c r="B31" t="str">
        <v>MASS BSF</v>
      </c>
      <c r="C31" t="str">
        <v>B1Y-801</v>
      </c>
      <c r="D31" t="str">
        <v>B1Y-801</v>
      </c>
      <c r="E31" t="str">
        <v/>
      </c>
      <c r="F31" t="str">
        <v>867162025907676</v>
      </c>
      <c r="G31" t="str">
        <v>Bus pequeño</v>
      </c>
      <c r="H31" t="str">
        <v/>
      </c>
      <c r="I31" t="str">
        <v xml:space="preserve"> </v>
      </c>
      <c r="J31" t="str">
        <v>28/09/2026</v>
      </c>
      <c r="K31" t="str">
        <v>14:53:50</v>
      </c>
      <c r="L31">
        <v>-12.163022</v>
      </c>
      <c r="M31">
        <v>-76.96515</v>
      </c>
      <c r="N31">
        <f>HYPERLINK("https://www.google.com/maps/search/?api=1&amp;query=-12.163022,-76.96515","Avenida Tomás Guzmán, San Juan de Miraflores, Lima")</f>
      </c>
      <c r="O31" t="str">
        <v>Salió de zona</v>
      </c>
      <c r="P31" t="str">
        <v/>
      </c>
      <c r="Q31">
        <v>1052689.6</v>
      </c>
      <c r="R31" t="str">
        <v>310-BELISARIO SUAREZ</v>
      </c>
      <c r="S31">
        <v>4.6</v>
      </c>
      <c r="T31">
        <v>0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90</v>
      </c>
      <c r="AC31" t="str">
        <v>28/09/2026</v>
      </c>
      <c r="AD31" t="str">
        <v>14:53:49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28/09/2026 14:54:02</v>
      </c>
      <c r="AL31" t="str">
        <v>14:54:02</v>
      </c>
      <c r="AM31" t="str">
        <v/>
      </c>
    </row>
    <row r="32">
      <c r="A32">
        <v>31</v>
      </c>
      <c r="B32" t="str">
        <v>MASS BSF</v>
      </c>
      <c r="C32" t="str">
        <v>B1Y-801</v>
      </c>
      <c r="D32" t="str">
        <v>B1Y-801</v>
      </c>
      <c r="E32" t="str">
        <v/>
      </c>
      <c r="F32" t="str">
        <v>867162025907676</v>
      </c>
      <c r="G32" t="str">
        <v>Bus pequeño</v>
      </c>
      <c r="H32" t="str">
        <v/>
      </c>
      <c r="I32" t="str">
        <v xml:space="preserve"> </v>
      </c>
      <c r="J32" t="str">
        <v>28/09/2026</v>
      </c>
      <c r="K32" t="str">
        <v>14:53:50</v>
      </c>
      <c r="L32">
        <v>-12.163022</v>
      </c>
      <c r="M32">
        <v>-76.96515</v>
      </c>
      <c r="N32">
        <f>HYPERLINK("https://www.google.com/maps/search/?api=1&amp;query=-12.163022,-76.96515","Avenida Tomás Guzmán, San Juan de Miraflores, Lima")</f>
      </c>
      <c r="O32" t="str">
        <v>Salió de zona</v>
      </c>
      <c r="P32" t="str">
        <v/>
      </c>
      <c r="Q32">
        <v>1052689.6</v>
      </c>
      <c r="R32" t="str">
        <v>691-M.BELISARIO 9 SJM</v>
      </c>
      <c r="S32">
        <v>4.6</v>
      </c>
      <c r="T32">
        <v>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90</v>
      </c>
      <c r="AC32" t="str">
        <v>28/09/2026</v>
      </c>
      <c r="AD32" t="str">
        <v>14:53:49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28/09/2026 14:53:59</v>
      </c>
      <c r="AL32" t="str">
        <v>14:53:59</v>
      </c>
      <c r="AM32" t="str">
        <v/>
      </c>
    </row>
    <row r="33">
      <c r="A33">
        <v>32</v>
      </c>
      <c r="B33" t="str">
        <v>MASS BSF</v>
      </c>
      <c r="C33" t="str">
        <v>B1Y-801</v>
      </c>
      <c r="D33" t="str">
        <v>B1Y-801</v>
      </c>
      <c r="E33" t="str">
        <v/>
      </c>
      <c r="F33" t="str">
        <v>867162025907676</v>
      </c>
      <c r="G33" t="str">
        <v>Bus pequeño</v>
      </c>
      <c r="H33" t="str">
        <v/>
      </c>
      <c r="I33" t="str">
        <v/>
      </c>
      <c r="J33" t="str">
        <v>28/09/2026</v>
      </c>
      <c r="K33" t="str">
        <v>14:54:50</v>
      </c>
      <c r="L33">
        <v>-12.162817</v>
      </c>
      <c r="M33">
        <v>-76.96561</v>
      </c>
      <c r="N33">
        <f>HYPERLINK("https://www.google.com/maps/search/?api=1&amp;query=-12.162817,-76.96561","Avenida Belisario Suárez, San Juan de Miraflores, Lima")</f>
      </c>
      <c r="O33" t="str">
        <v>Vehículo apagado</v>
      </c>
      <c r="P33" t="str">
        <v>Vehículo Apagado</v>
      </c>
      <c r="Q33">
        <v>1052689.8</v>
      </c>
      <c r="R33" t="str">
        <v/>
      </c>
      <c r="S33">
        <v>0</v>
      </c>
      <c r="T33">
        <v>0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90</v>
      </c>
      <c r="AC33" t="str">
        <v>28/09/2026</v>
      </c>
      <c r="AD33" t="str">
        <v>14:54:51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28/09/2026 14:55:07</v>
      </c>
      <c r="AL33" t="str">
        <v>14:55:07</v>
      </c>
      <c r="AM33" t="str">
        <v/>
      </c>
    </row>
    <row r="34">
      <c r="A34">
        <v>33</v>
      </c>
      <c r="B34" t="str">
        <v>MASS BSF</v>
      </c>
      <c r="C34" t="str">
        <v>B1Y-801</v>
      </c>
      <c r="D34" t="str">
        <v>B1Y-801</v>
      </c>
      <c r="E34" t="str">
        <v/>
      </c>
      <c r="F34" t="str">
        <v>867162025907676</v>
      </c>
      <c r="G34" t="str">
        <v>Bus pequeño</v>
      </c>
      <c r="H34" t="str">
        <v/>
      </c>
      <c r="I34" t="str">
        <v xml:space="preserve"> </v>
      </c>
      <c r="J34" t="str">
        <v>28/09/2026</v>
      </c>
      <c r="K34" t="str">
        <v>14:54:52</v>
      </c>
      <c r="L34">
        <v>-12.162817</v>
      </c>
      <c r="M34">
        <v>-76.96561</v>
      </c>
      <c r="N34">
        <f>HYPERLINK("https://www.google.com/maps/search/?api=1&amp;query=-12.162817,-76.96561","Avenida Belisario Suárez, San Juan de Miraflores, Lima")</f>
      </c>
      <c r="O34" t="str">
        <v>Llegó a la zona</v>
      </c>
      <c r="P34" t="str">
        <v/>
      </c>
      <c r="Q34">
        <v>1052689.6</v>
      </c>
      <c r="R34" t="str">
        <v>691-M.BELISARIO 9 SJM</v>
      </c>
      <c r="S34">
        <v>0</v>
      </c>
      <c r="T34">
        <v>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90</v>
      </c>
      <c r="AC34" t="str">
        <v>28/09/2026</v>
      </c>
      <c r="AD34" t="str">
        <v>14:54:51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28/09/2026 14:54:58</v>
      </c>
      <c r="AL34" t="str">
        <v>14:54:58</v>
      </c>
      <c r="AM34" t="str">
        <v/>
      </c>
    </row>
    <row r="35">
      <c r="A35">
        <v>34</v>
      </c>
      <c r="B35" t="str">
        <v>MASS BSF</v>
      </c>
      <c r="C35" t="str">
        <v>B1Y-801</v>
      </c>
      <c r="D35" t="str">
        <v>B1Y-801</v>
      </c>
      <c r="E35" t="str">
        <v/>
      </c>
      <c r="F35" t="str">
        <v>867162025907676</v>
      </c>
      <c r="G35" t="str">
        <v>Bus pequeño</v>
      </c>
      <c r="H35" t="str">
        <v/>
      </c>
      <c r="I35" t="str">
        <v xml:space="preserve"> </v>
      </c>
      <c r="J35" t="str">
        <v>28/09/2026</v>
      </c>
      <c r="K35" t="str">
        <v>14:54:52</v>
      </c>
      <c r="L35">
        <v>-12.162817</v>
      </c>
      <c r="M35">
        <v>-76.96561</v>
      </c>
      <c r="N35">
        <f>HYPERLINK("https://www.google.com/maps/search/?api=1&amp;query=-12.162817,-76.96561","Avenida Belisario Suárez, San Juan de Miraflores, Lima")</f>
      </c>
      <c r="O35" t="str">
        <v>Llegó a la zona</v>
      </c>
      <c r="P35" t="str">
        <v/>
      </c>
      <c r="Q35">
        <v>1052689.6</v>
      </c>
      <c r="R35" t="str">
        <v>310-BELISARIO SUAREZ</v>
      </c>
      <c r="S35">
        <v>0</v>
      </c>
      <c r="T35">
        <v>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90</v>
      </c>
      <c r="AC35" t="str">
        <v>28/09/2026</v>
      </c>
      <c r="AD35" t="str">
        <v>14:54:51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28/09/2026 14:54:58</v>
      </c>
      <c r="AL35" t="str">
        <v>14:54:58</v>
      </c>
      <c r="AM35" t="str">
        <v/>
      </c>
    </row>
    <row r="36">
      <c r="A36">
        <v>35</v>
      </c>
      <c r="B36" t="str">
        <v>MASS BSF</v>
      </c>
      <c r="C36" t="str">
        <v>B1Y-801</v>
      </c>
      <c r="D36" t="str">
        <v>B1Y-801</v>
      </c>
      <c r="E36" t="str">
        <v/>
      </c>
      <c r="F36" t="str">
        <v>867162025907676</v>
      </c>
      <c r="G36" t="str">
        <v>Bus pequeño</v>
      </c>
      <c r="H36" t="str">
        <v/>
      </c>
      <c r="I36" t="str">
        <v/>
      </c>
      <c r="J36" t="str">
        <v>28/09/2026</v>
      </c>
      <c r="K36" t="str">
        <v>15:27:33</v>
      </c>
      <c r="L36">
        <v>-12.162747</v>
      </c>
      <c r="M36">
        <v>-76.965614</v>
      </c>
      <c r="N36">
        <f>HYPERLINK("https://www.google.com/maps/search/?api=1&amp;query=-12.162747,-76.965614","Avenida Belisario Suárez, San Juan de Miraflores, Lima")</f>
      </c>
      <c r="O36" t="str">
        <v>Vehículo encendido</v>
      </c>
      <c r="P36" t="str">
        <v/>
      </c>
      <c r="Q36">
        <v>1052689.8</v>
      </c>
      <c r="R36" t="str">
        <v/>
      </c>
      <c r="S36">
        <v>0</v>
      </c>
      <c r="T36">
        <v>0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90</v>
      </c>
      <c r="AC36" t="str">
        <v>28/09/2026</v>
      </c>
      <c r="AD36" t="str">
        <v>15:22:36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28/09/2026 15:27:42</v>
      </c>
      <c r="AL36" t="str">
        <v>15:27:42</v>
      </c>
      <c r="AM36" t="str">
        <v/>
      </c>
    </row>
    <row r="37">
      <c r="A37">
        <v>36</v>
      </c>
      <c r="B37" t="str">
        <v>MASS BSF</v>
      </c>
      <c r="C37" t="str">
        <v>B1Y-801</v>
      </c>
      <c r="D37" t="str">
        <v>B1Y-801</v>
      </c>
      <c r="E37" t="str">
        <v/>
      </c>
      <c r="F37" t="str">
        <v>867162025907676</v>
      </c>
      <c r="G37" t="str">
        <v>Bus pequeño</v>
      </c>
      <c r="H37" t="str">
        <v/>
      </c>
      <c r="I37" t="str">
        <v xml:space="preserve"> </v>
      </c>
      <c r="J37" t="str">
        <v>28/09/2026</v>
      </c>
      <c r="K37" t="str">
        <v>15:27:58</v>
      </c>
      <c r="L37">
        <v>-12.162718</v>
      </c>
      <c r="M37">
        <v>-76.96604</v>
      </c>
      <c r="N37">
        <f>HYPERLINK("https://www.google.com/maps/search/?api=1&amp;query=-12.162718,-76.96604","Avenida Belisario Suárez, San Juan de Miraflores, Lima")</f>
      </c>
      <c r="O37" t="str">
        <v>Salió de zona</v>
      </c>
      <c r="P37" t="str">
        <v/>
      </c>
      <c r="Q37">
        <v>1052689.8</v>
      </c>
      <c r="R37" t="str">
        <v>310-BELISARIO SUAREZ</v>
      </c>
      <c r="S37">
        <v>11.4</v>
      </c>
      <c r="T37">
        <v>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90</v>
      </c>
      <c r="AC37" t="str">
        <v>28/09/2026</v>
      </c>
      <c r="AD37" t="str">
        <v>15:27:58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28/09/2026 15:28:20</v>
      </c>
      <c r="AL37" t="str">
        <v>15:28:20</v>
      </c>
      <c r="AM37" t="str">
        <v/>
      </c>
    </row>
    <row r="38">
      <c r="A38">
        <v>37</v>
      </c>
      <c r="B38" t="str">
        <v>MASS BSF</v>
      </c>
      <c r="C38" t="str">
        <v>B1Y-801</v>
      </c>
      <c r="D38" t="str">
        <v>B1Y-801</v>
      </c>
      <c r="E38" t="str">
        <v/>
      </c>
      <c r="F38" t="str">
        <v>867162025907676</v>
      </c>
      <c r="G38" t="str">
        <v>Bus pequeño</v>
      </c>
      <c r="H38" t="str">
        <v/>
      </c>
      <c r="I38" t="str">
        <v xml:space="preserve"> </v>
      </c>
      <c r="J38" t="str">
        <v>28/09/2026</v>
      </c>
      <c r="K38" t="str">
        <v>15:29:55</v>
      </c>
      <c r="L38">
        <v>-12.162318</v>
      </c>
      <c r="M38">
        <v>-76.9669</v>
      </c>
      <c r="N38">
        <f>HYPERLINK("https://www.google.com/maps/search/?api=1&amp;query=-12.162318,-76.9669","Avenida Belisario Suárez, San Juan de Miraflores, Lima")</f>
      </c>
      <c r="O38" t="str">
        <v>Salió de zona</v>
      </c>
      <c r="P38" t="str">
        <v/>
      </c>
      <c r="Q38">
        <v>1052690.1</v>
      </c>
      <c r="R38" t="str">
        <v>691-M.BELISARIO 9 SJM</v>
      </c>
      <c r="S38">
        <v>29.8</v>
      </c>
      <c r="T38">
        <v>0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90</v>
      </c>
      <c r="AC38" t="str">
        <v>28/09/2026</v>
      </c>
      <c r="AD38" t="str">
        <v>15:29:31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28/09/2026 15:30:25</v>
      </c>
      <c r="AL38" t="str">
        <v>15:30:25</v>
      </c>
      <c r="AM38" t="str">
        <v/>
      </c>
    </row>
    <row r="39">
      <c r="A39">
        <v>38</v>
      </c>
      <c r="B39" t="str">
        <v>MASS BSF</v>
      </c>
      <c r="C39" t="str">
        <v>B1Y-801</v>
      </c>
      <c r="D39" t="str">
        <v>B1Y-801</v>
      </c>
      <c r="E39" t="str">
        <v/>
      </c>
      <c r="F39" t="str">
        <v>867162025907676</v>
      </c>
      <c r="G39" t="str">
        <v>Bus pequeño</v>
      </c>
      <c r="H39" t="str">
        <v/>
      </c>
      <c r="I39" t="str">
        <v/>
      </c>
      <c r="J39" t="str">
        <v>28/09/2026</v>
      </c>
      <c r="K39" t="str">
        <v>15:33:23</v>
      </c>
      <c r="L39">
        <v>-12.166314</v>
      </c>
      <c r="M39">
        <v>-76.97692</v>
      </c>
      <c r="N39">
        <f>HYPERLINK("https://www.google.com/maps/search/?api=1&amp;query=-12.166314,-76.97692","Avenida Ramón Vargas Machuca, San Juan de Miraflores, Lima")</f>
      </c>
      <c r="O39" t="str">
        <v>Frenado Brusco</v>
      </c>
      <c r="P39" t="str">
        <v/>
      </c>
      <c r="Q39">
        <v>1052691.2</v>
      </c>
      <c r="R39" t="str">
        <v/>
      </c>
      <c r="S39">
        <v>31.6</v>
      </c>
      <c r="T39">
        <v>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90</v>
      </c>
      <c r="AC39" t="str">
        <v>28/09/2026</v>
      </c>
      <c r="AD39" t="str">
        <v>15:33:22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28/09/2026 15:33:30</v>
      </c>
      <c r="AL39" t="str">
        <v>15:33:30</v>
      </c>
      <c r="AM39" t="str">
        <v/>
      </c>
    </row>
    <row r="40">
      <c r="A40">
        <v>39</v>
      </c>
      <c r="B40" t="str">
        <v>MASS BSF</v>
      </c>
      <c r="C40" t="str">
        <v>B1Y-801</v>
      </c>
      <c r="D40" t="str">
        <v>B1Y-801</v>
      </c>
      <c r="E40" t="str">
        <v/>
      </c>
      <c r="F40" t="str">
        <v>867162025907676</v>
      </c>
      <c r="G40" t="str">
        <v>Bus pequeño</v>
      </c>
      <c r="H40" t="str">
        <v/>
      </c>
      <c r="I40" t="str">
        <v/>
      </c>
      <c r="J40" t="str">
        <v>28/09/2026</v>
      </c>
      <c r="K40" t="str">
        <v>15:41:56</v>
      </c>
      <c r="L40">
        <v>-12.212078</v>
      </c>
      <c r="M40">
        <v>-76.97605</v>
      </c>
      <c r="N40">
        <f>HYPERLINK("https://www.google.com/maps/search/?api=1&amp;query=-12.212078,-76.97605","Carretera Panamericana Sur, Chorrillos, Lima")</f>
      </c>
      <c r="O40" t="str">
        <v>Excedió el límite de velocidad</v>
      </c>
      <c r="P40" t="str">
        <v/>
      </c>
      <c r="Q40">
        <v>1052697.2</v>
      </c>
      <c r="R40" t="str">
        <v/>
      </c>
      <c r="S40">
        <v>80.9</v>
      </c>
      <c r="T40">
        <v>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90</v>
      </c>
      <c r="AC40" t="str">
        <v>28/09/2026</v>
      </c>
      <c r="AD40" t="str">
        <v>15:41:55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28/09/2026 15:42:05</v>
      </c>
      <c r="AL40" t="str">
        <v>15:42:05</v>
      </c>
      <c r="AM40" t="str">
        <v/>
      </c>
    </row>
    <row r="41">
      <c r="A41">
        <v>40</v>
      </c>
      <c r="B41" t="str">
        <v>MASS BSF</v>
      </c>
      <c r="C41" t="str">
        <v>B1Y-801</v>
      </c>
      <c r="D41" t="str">
        <v>B1Y-801</v>
      </c>
      <c r="E41" t="str">
        <v/>
      </c>
      <c r="F41" t="str">
        <v>867162025907676</v>
      </c>
      <c r="G41" t="str">
        <v>Bus pequeño</v>
      </c>
      <c r="H41" t="str">
        <v/>
      </c>
      <c r="I41" t="str">
        <v/>
      </c>
      <c r="J41" t="str">
        <v>28/09/2026</v>
      </c>
      <c r="K41" t="str">
        <v>15:44:32</v>
      </c>
      <c r="L41">
        <v>-12.231782</v>
      </c>
      <c r="M41">
        <v>-76.964645</v>
      </c>
      <c r="N41">
        <f>HYPERLINK("https://www.google.com/maps/search/?api=1&amp;query=-12.231782,-76.964645","Carretera Panamericana Sur, Villa El Salvador, Lima")</f>
      </c>
      <c r="O41" t="str">
        <v>Excedió el límite de velocidad</v>
      </c>
      <c r="P41" t="str">
        <v/>
      </c>
      <c r="Q41">
        <v>1052699.9</v>
      </c>
      <c r="R41" t="str">
        <v/>
      </c>
      <c r="S41">
        <v>82.2</v>
      </c>
      <c r="T41">
        <v>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90</v>
      </c>
      <c r="AC41" t="str">
        <v>28/09/2026</v>
      </c>
      <c r="AD41" t="str">
        <v>15:44:31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28/09/2026 15:44:49</v>
      </c>
      <c r="AL41" t="str">
        <v>15:44:49</v>
      </c>
      <c r="AM41" t="str">
        <v/>
      </c>
    </row>
    <row r="42">
      <c r="A42">
        <v>41</v>
      </c>
      <c r="B42" t="str">
        <v>MASS BSF</v>
      </c>
      <c r="C42" t="str">
        <v>B1Y-801</v>
      </c>
      <c r="D42" t="str">
        <v>B1Y-801</v>
      </c>
      <c r="E42" t="str">
        <v/>
      </c>
      <c r="F42" t="str">
        <v>867162025907676</v>
      </c>
      <c r="G42" t="str">
        <v>Bus pequeño</v>
      </c>
      <c r="H42" t="str">
        <v/>
      </c>
      <c r="I42" t="str">
        <v/>
      </c>
      <c r="J42" t="str">
        <v>28/09/2026</v>
      </c>
      <c r="K42" t="str">
        <v>15:45:14</v>
      </c>
      <c r="L42">
        <v>-12.235842</v>
      </c>
      <c r="M42">
        <v>-76.95683</v>
      </c>
      <c r="N42">
        <f>HYPERLINK("https://www.google.com/maps/search/?api=1&amp;query=-12.235842,-76.95683","Carretera Panamericana Sur, Villa El Salvador, Lima")</f>
      </c>
      <c r="O42" t="str">
        <v>Excedió el límite de velocidad</v>
      </c>
      <c r="P42" t="str">
        <v/>
      </c>
      <c r="Q42">
        <v>1052700.9</v>
      </c>
      <c r="R42" t="str">
        <v/>
      </c>
      <c r="S42">
        <v>81.8</v>
      </c>
      <c r="T42">
        <v>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90</v>
      </c>
      <c r="AC42" t="str">
        <v>28/09/2026</v>
      </c>
      <c r="AD42" t="str">
        <v>15:45:13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28/09/2026 15:45:39</v>
      </c>
      <c r="AL42" t="str">
        <v>15:45:39</v>
      </c>
      <c r="AM42" t="str">
        <v/>
      </c>
    </row>
    <row r="43">
      <c r="A43">
        <v>42</v>
      </c>
      <c r="B43" t="str">
        <v>MASS BSF</v>
      </c>
      <c r="C43" t="str">
        <v>B1Y-801</v>
      </c>
      <c r="D43" t="str">
        <v>B1Y-801</v>
      </c>
      <c r="E43" t="str">
        <v/>
      </c>
      <c r="F43" t="str">
        <v>867162025907676</v>
      </c>
      <c r="G43" t="str">
        <v>Bus pequeño</v>
      </c>
      <c r="H43" t="str">
        <v/>
      </c>
      <c r="I43" t="str">
        <v/>
      </c>
      <c r="J43" t="str">
        <v>28/09/2026</v>
      </c>
      <c r="K43" t="str">
        <v>15:47:47</v>
      </c>
      <c r="L43">
        <v>-12.251775</v>
      </c>
      <c r="M43">
        <v>-76.92882</v>
      </c>
      <c r="N43">
        <f>HYPERLINK("https://www.google.com/maps/search/?api=1&amp;query=-12.251775,-76.92882","Carretera Panamericana Sur, Lurín, Lima")</f>
      </c>
      <c r="O43" t="str">
        <v>Excedió el límite de velocidad</v>
      </c>
      <c r="P43" t="str">
        <v/>
      </c>
      <c r="Q43">
        <v>1052704.4</v>
      </c>
      <c r="R43" t="str">
        <v/>
      </c>
      <c r="S43">
        <v>82.6</v>
      </c>
      <c r="T43">
        <v>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90</v>
      </c>
      <c r="AC43" t="str">
        <v>28/09/2026</v>
      </c>
      <c r="AD43" t="str">
        <v>15:47:46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28/09/2026 15:47:54</v>
      </c>
      <c r="AL43" t="str">
        <v>15:47:54</v>
      </c>
      <c r="AM43" t="str">
        <v/>
      </c>
    </row>
    <row r="44">
      <c r="A44">
        <v>43</v>
      </c>
      <c r="B44" t="str">
        <v>MASS BSF</v>
      </c>
      <c r="C44" t="str">
        <v>B1Y-801</v>
      </c>
      <c r="D44" t="str">
        <v>B1Y-801</v>
      </c>
      <c r="E44" t="str">
        <v/>
      </c>
      <c r="F44" t="str">
        <v>867162025907676</v>
      </c>
      <c r="G44" t="str">
        <v>Bus pequeño</v>
      </c>
      <c r="H44" t="str">
        <v/>
      </c>
      <c r="I44" t="str">
        <v/>
      </c>
      <c r="J44" t="str">
        <v>28/09/2026</v>
      </c>
      <c r="K44" t="str">
        <v>15:48:20</v>
      </c>
      <c r="L44">
        <v>-12.255316</v>
      </c>
      <c r="M44">
        <v>-76.92316</v>
      </c>
      <c r="N44">
        <f>HYPERLINK("https://www.google.com/maps/search/?api=1&amp;query=-12.255316,-76.92316","Carretera Panamericana Sur, Lurín, Lima")</f>
      </c>
      <c r="O44" t="str">
        <v>Excedió el límite de velocidad</v>
      </c>
      <c r="P44" t="str">
        <v/>
      </c>
      <c r="Q44">
        <v>1052705.2</v>
      </c>
      <c r="R44" t="str">
        <v/>
      </c>
      <c r="S44">
        <v>80.8</v>
      </c>
      <c r="T44">
        <v>0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90</v>
      </c>
      <c r="AC44" t="str">
        <v>28/09/2026</v>
      </c>
      <c r="AD44" t="str">
        <v>15:48:19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28/09/2026 15:48:40</v>
      </c>
      <c r="AL44" t="str">
        <v>15:48:40</v>
      </c>
      <c r="AM44" t="str">
        <v/>
      </c>
    </row>
    <row r="45">
      <c r="A45">
        <v>44</v>
      </c>
      <c r="B45" t="str">
        <v>MASS BSF</v>
      </c>
      <c r="C45" t="str">
        <v>B1Y-801</v>
      </c>
      <c r="D45" t="str">
        <v>B1Y-801</v>
      </c>
      <c r="E45" t="str">
        <v/>
      </c>
      <c r="F45" t="str">
        <v>867162025907676</v>
      </c>
      <c r="G45" t="str">
        <v>Bus pequeño</v>
      </c>
      <c r="H45" t="str">
        <v/>
      </c>
      <c r="I45" t="str">
        <v/>
      </c>
      <c r="J45" t="str">
        <v>28/09/2026</v>
      </c>
      <c r="K45" t="str">
        <v>15:48:50</v>
      </c>
      <c r="L45">
        <v>-12.258443</v>
      </c>
      <c r="M45">
        <v>-76.918</v>
      </c>
      <c r="N45">
        <f>HYPERLINK("https://www.google.com/maps/search/?api=1&amp;query=-12.258443,-76.918","Carretera Panamericana Sur, Lurín, Lima")</f>
      </c>
      <c r="O45" t="str">
        <v>Excedió el límite de velocidad</v>
      </c>
      <c r="P45" t="str">
        <v/>
      </c>
      <c r="Q45">
        <v>1052705.8</v>
      </c>
      <c r="R45" t="str">
        <v/>
      </c>
      <c r="S45">
        <v>85.2</v>
      </c>
      <c r="T45">
        <v>0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90</v>
      </c>
      <c r="AC45" t="str">
        <v>28/09/2026</v>
      </c>
      <c r="AD45" t="str">
        <v>15:48:49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28/09/2026 15:49:15</v>
      </c>
      <c r="AL45" t="str">
        <v>15:49:15</v>
      </c>
      <c r="AM45" t="str">
        <v/>
      </c>
    </row>
    <row r="46">
      <c r="A46">
        <v>45</v>
      </c>
      <c r="B46" t="str">
        <v>MASS BSF</v>
      </c>
      <c r="C46" t="str">
        <v>B1Y-801</v>
      </c>
      <c r="D46" t="str">
        <v>B1Y-801</v>
      </c>
      <c r="E46" t="str">
        <v/>
      </c>
      <c r="F46" t="str">
        <v>867162025907676</v>
      </c>
      <c r="G46" t="str">
        <v>Bus pequeño</v>
      </c>
      <c r="H46" t="str">
        <v/>
      </c>
      <c r="I46" t="str">
        <v/>
      </c>
      <c r="J46" t="str">
        <v>28/09/2026</v>
      </c>
      <c r="K46" t="str">
        <v>15:49:11</v>
      </c>
      <c r="L46">
        <v>-12.260751</v>
      </c>
      <c r="M46">
        <v>-76.91438</v>
      </c>
      <c r="N46">
        <f>HYPERLINK("https://www.google.com/maps/search/?api=1&amp;query=-12.260751,-76.91438","Carretera Panamericana Sur, Lurín, Lima")</f>
      </c>
      <c r="O46" t="str">
        <v>Excedió el límite de velocidad</v>
      </c>
      <c r="P46" t="str">
        <v/>
      </c>
      <c r="Q46">
        <v>1052706.2</v>
      </c>
      <c r="R46" t="str">
        <v/>
      </c>
      <c r="S46">
        <v>86.3</v>
      </c>
      <c r="T46">
        <v>0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90</v>
      </c>
      <c r="AC46" t="str">
        <v>28/09/2026</v>
      </c>
      <c r="AD46" t="str">
        <v>15:49:10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28/09/2026 15:49:28</v>
      </c>
      <c r="AL46" t="str">
        <v>15:49:28</v>
      </c>
      <c r="AM46" t="str">
        <v/>
      </c>
    </row>
    <row r="47">
      <c r="A47">
        <v>46</v>
      </c>
      <c r="B47" t="str">
        <v>MASS BSF</v>
      </c>
      <c r="C47" t="str">
        <v>B1Y-801</v>
      </c>
      <c r="D47" t="str">
        <v>B1Y-801</v>
      </c>
      <c r="E47" t="str">
        <v/>
      </c>
      <c r="F47" t="str">
        <v>867162025907676</v>
      </c>
      <c r="G47" t="str">
        <v>Bus pequeño</v>
      </c>
      <c r="H47" t="str">
        <v/>
      </c>
      <c r="I47" t="str">
        <v/>
      </c>
      <c r="J47" t="str">
        <v>28/09/2026</v>
      </c>
      <c r="K47" t="str">
        <v>15:50:47</v>
      </c>
      <c r="L47">
        <v>-12.270612</v>
      </c>
      <c r="M47">
        <v>-76.898605</v>
      </c>
      <c r="N47">
        <f>HYPERLINK("https://www.google.com/maps/search/?api=1&amp;query=-12.270612,-76.898605","Carretera Panamericana Sur, Lurín, Lima")</f>
      </c>
      <c r="O47" t="str">
        <v>Excedió el límite de velocidad</v>
      </c>
      <c r="P47" t="str">
        <v/>
      </c>
      <c r="Q47">
        <v>1052708.2</v>
      </c>
      <c r="R47" t="str">
        <v/>
      </c>
      <c r="S47">
        <v>80.3</v>
      </c>
      <c r="T47">
        <v>0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90</v>
      </c>
      <c r="AC47" t="str">
        <v>28/09/2026</v>
      </c>
      <c r="AD47" t="str">
        <v>15:50:46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28/09/2026 15:51:11</v>
      </c>
      <c r="AL47" t="str">
        <v>15:51:11</v>
      </c>
      <c r="AM47" t="str">
        <v/>
      </c>
    </row>
    <row r="48">
      <c r="A48">
        <v>47</v>
      </c>
      <c r="B48" t="str">
        <v>MASS BSF</v>
      </c>
      <c r="C48" t="str">
        <v>B1Y-801</v>
      </c>
      <c r="D48" t="str">
        <v>B1Y-801</v>
      </c>
      <c r="E48" t="str">
        <v/>
      </c>
      <c r="F48" t="str">
        <v>867162025907676</v>
      </c>
      <c r="G48" t="str">
        <v>Bus pequeño</v>
      </c>
      <c r="H48" t="str">
        <v/>
      </c>
      <c r="I48" t="str">
        <v/>
      </c>
      <c r="J48" t="str">
        <v>28/09/2026</v>
      </c>
      <c r="K48" t="str">
        <v>15:51:44</v>
      </c>
      <c r="L48">
        <v>-12.276812</v>
      </c>
      <c r="M48">
        <v>-76.888756</v>
      </c>
      <c r="N48">
        <f>HYPERLINK("https://www.google.com/maps/search/?api=1&amp;query=-12.276812,-76.888756","Carretera Panamericana Sur, Lurín, Lima")</f>
      </c>
      <c r="O48" t="str">
        <v>Excedió el límite de velocidad</v>
      </c>
      <c r="P48" t="str">
        <v/>
      </c>
      <c r="Q48">
        <v>1052709.6</v>
      </c>
      <c r="R48" t="str">
        <v/>
      </c>
      <c r="S48">
        <v>84.5</v>
      </c>
      <c r="T48">
        <v>0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90</v>
      </c>
      <c r="AC48" t="str">
        <v>28/09/2026</v>
      </c>
      <c r="AD48" t="str">
        <v>15:51:43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28/09/2026 15:52:07</v>
      </c>
      <c r="AL48" t="str">
        <v>15:52:07</v>
      </c>
      <c r="AM48" t="str">
        <v/>
      </c>
    </row>
    <row r="49">
      <c r="A49">
        <v>48</v>
      </c>
      <c r="B49" t="str">
        <v>MASS BSF</v>
      </c>
      <c r="C49" t="str">
        <v>B1Y-801</v>
      </c>
      <c r="D49" t="str">
        <v>B1Y-801</v>
      </c>
      <c r="E49" t="str">
        <v/>
      </c>
      <c r="F49" t="str">
        <v>867162025907676</v>
      </c>
      <c r="G49" t="str">
        <v>Bus pequeño</v>
      </c>
      <c r="H49" t="str">
        <v/>
      </c>
      <c r="I49" t="str">
        <v/>
      </c>
      <c r="J49" t="str">
        <v>28/09/2026</v>
      </c>
      <c r="K49" t="str">
        <v>15:52:47</v>
      </c>
      <c r="L49">
        <v>-12.283907</v>
      </c>
      <c r="M49">
        <v>-76.877495</v>
      </c>
      <c r="N49">
        <f>HYPERLINK("https://www.google.com/maps/search/?api=1&amp;query=-12.283907,-76.877495","Carretera Panamericana Sur, Lurín, Lima")</f>
      </c>
      <c r="O49" t="str">
        <v>Excedió el límite de velocidad</v>
      </c>
      <c r="P49" t="str">
        <v/>
      </c>
      <c r="Q49">
        <v>1052711.1</v>
      </c>
      <c r="R49" t="str">
        <v/>
      </c>
      <c r="S49">
        <v>80.2</v>
      </c>
      <c r="T49">
        <v>0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90</v>
      </c>
      <c r="AC49" t="str">
        <v>28/09/2026</v>
      </c>
      <c r="AD49" t="str">
        <v>15:52:46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28/09/2026 15:52:58</v>
      </c>
      <c r="AL49" t="str">
        <v>15:52:58</v>
      </c>
      <c r="AM49" t="str">
        <v/>
      </c>
    </row>
    <row r="50">
      <c r="A50">
        <v>49</v>
      </c>
      <c r="B50" t="str">
        <v>MASS BSF</v>
      </c>
      <c r="C50" t="str">
        <v>B1Y-801</v>
      </c>
      <c r="D50" t="str">
        <v>B1Y-801</v>
      </c>
      <c r="E50" t="str">
        <v/>
      </c>
      <c r="F50" t="str">
        <v>867162025907676</v>
      </c>
      <c r="G50" t="str">
        <v>Bus pequeño</v>
      </c>
      <c r="H50" t="str">
        <v/>
      </c>
      <c r="I50" t="str">
        <v/>
      </c>
      <c r="J50" t="str">
        <v>28/09/2026</v>
      </c>
      <c r="K50" t="str">
        <v>15:53:05</v>
      </c>
      <c r="L50">
        <v>-12.285891</v>
      </c>
      <c r="M50">
        <v>-76.874344</v>
      </c>
      <c r="N50">
        <f>HYPERLINK("https://www.google.com/maps/search/?api=1&amp;query=-12.285891,-76.874344","Carretera Panamericana Sur, Lurín, Lima")</f>
      </c>
      <c r="O50" t="str">
        <v>Excedió el límite de velocidad</v>
      </c>
      <c r="P50" t="str">
        <v/>
      </c>
      <c r="Q50">
        <v>1052711.5</v>
      </c>
      <c r="R50" t="str">
        <v/>
      </c>
      <c r="S50">
        <v>85.9</v>
      </c>
      <c r="T50">
        <v>0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90</v>
      </c>
      <c r="AC50" t="str">
        <v>28/09/2026</v>
      </c>
      <c r="AD50" t="str">
        <v>15:53:04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28/09/2026 15:53:21</v>
      </c>
      <c r="AL50" t="str">
        <v>15:53:21</v>
      </c>
      <c r="AM50" t="str">
        <v/>
      </c>
    </row>
    <row r="51">
      <c r="A51">
        <v>50</v>
      </c>
      <c r="B51" t="str">
        <v>MASS BSF</v>
      </c>
      <c r="C51" t="str">
        <v>B1Y-801</v>
      </c>
      <c r="D51" t="str">
        <v>B1Y-801</v>
      </c>
      <c r="E51" t="str">
        <v/>
      </c>
      <c r="F51" t="str">
        <v>867162025907676</v>
      </c>
      <c r="G51" t="str">
        <v>Bus pequeño</v>
      </c>
      <c r="H51" t="str">
        <v/>
      </c>
      <c r="I51" t="str">
        <v/>
      </c>
      <c r="J51" t="str">
        <v>28/09/2026</v>
      </c>
      <c r="K51" t="str">
        <v>15:54:29</v>
      </c>
      <c r="L51">
        <v>-12.295162</v>
      </c>
      <c r="M51">
        <v>-76.859566</v>
      </c>
      <c r="N51">
        <f>HYPERLINK("https://www.google.com/maps/search/?api=1&amp;query=-12.295162,-76.859566","Carretera Panamericana Sur, Lurín, Lima")</f>
      </c>
      <c r="O51" t="str">
        <v>Excedió el límite de velocidad</v>
      </c>
      <c r="P51" t="str">
        <v/>
      </c>
      <c r="Q51">
        <v>1052713.4</v>
      </c>
      <c r="R51" t="str">
        <v/>
      </c>
      <c r="S51">
        <v>80.9</v>
      </c>
      <c r="T51">
        <v>0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90</v>
      </c>
      <c r="AC51" t="str">
        <v>28/09/2026</v>
      </c>
      <c r="AD51" t="str">
        <v>15:54:28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28/09/2026 15:54:59</v>
      </c>
      <c r="AL51" t="str">
        <v>15:54:59</v>
      </c>
      <c r="AM51" t="str">
        <v/>
      </c>
    </row>
    <row r="52">
      <c r="A52">
        <v>51</v>
      </c>
      <c r="B52" t="str">
        <v>MASS BSF</v>
      </c>
      <c r="C52" t="str">
        <v>B1Y-801</v>
      </c>
      <c r="D52" t="str">
        <v>B1Y-801</v>
      </c>
      <c r="E52" t="str">
        <v/>
      </c>
      <c r="F52" t="str">
        <v>867162025907676</v>
      </c>
      <c r="G52" t="str">
        <v>Bus pequeño</v>
      </c>
      <c r="H52" t="str">
        <v/>
      </c>
      <c r="I52" t="str">
        <v/>
      </c>
      <c r="J52" t="str">
        <v>28/09/2026</v>
      </c>
      <c r="K52" t="str">
        <v>15:55:23</v>
      </c>
      <c r="L52">
        <v>-12.299598</v>
      </c>
      <c r="M52">
        <v>-76.85015</v>
      </c>
      <c r="N52">
        <f>HYPERLINK("https://www.google.com/maps/search/?api=1&amp;query=-12.299598,-76.85015","Carretera Panamericana Sur, Lurín, Lima")</f>
      </c>
      <c r="O52" t="str">
        <v>Excedió el límite de velocidad</v>
      </c>
      <c r="P52" t="str">
        <v/>
      </c>
      <c r="Q52">
        <v>1052714.5</v>
      </c>
      <c r="R52" t="str">
        <v/>
      </c>
      <c r="S52">
        <v>80.2</v>
      </c>
      <c r="T52">
        <v>0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90</v>
      </c>
      <c r="AC52" t="str">
        <v>28/09/2026</v>
      </c>
      <c r="AD52" t="str">
        <v>15:55:22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28/09/2026 15:55:43</v>
      </c>
      <c r="AL52" t="str">
        <v>15:55:43</v>
      </c>
      <c r="AM52" t="str">
        <v/>
      </c>
    </row>
    <row r="53">
      <c r="A53">
        <v>52</v>
      </c>
      <c r="B53" t="str">
        <v>MASS BSF</v>
      </c>
      <c r="C53" t="str">
        <v>B1Y-801</v>
      </c>
      <c r="D53" t="str">
        <v>B1Y-801</v>
      </c>
      <c r="E53" t="str">
        <v/>
      </c>
      <c r="F53" t="str">
        <v>867162025907676</v>
      </c>
      <c r="G53" t="str">
        <v>Bus pequeño</v>
      </c>
      <c r="H53" t="str">
        <v/>
      </c>
      <c r="I53" t="str">
        <v/>
      </c>
      <c r="J53" t="str">
        <v>28/09/2026</v>
      </c>
      <c r="K53" t="str">
        <v>15:56:41</v>
      </c>
      <c r="L53">
        <v>-12.306961</v>
      </c>
      <c r="M53">
        <v>-76.8378</v>
      </c>
      <c r="N53">
        <f>HYPERLINK("https://www.google.com/maps/search/?api=1&amp;query=-12.306961,-76.8378","Carretera Panamericana Sur, Punta Hermosa, Lima")</f>
      </c>
      <c r="O53" t="str">
        <v>Exceso de velocidad en segmento vial</v>
      </c>
      <c r="P53" t="str">
        <v/>
      </c>
      <c r="Q53">
        <v>1052716.2</v>
      </c>
      <c r="R53" t="str">
        <v/>
      </c>
      <c r="S53">
        <v>83</v>
      </c>
      <c r="T53">
        <v>0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90</v>
      </c>
      <c r="AC53" t="str">
        <v>28/09/2026</v>
      </c>
      <c r="AD53" t="str">
        <v>15:56:31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28/09/2026 15:56:55</v>
      </c>
      <c r="AL53" t="str">
        <v>15:56:55</v>
      </c>
      <c r="AM53" t="str">
        <v/>
      </c>
    </row>
    <row r="54">
      <c r="A54">
        <v>53</v>
      </c>
      <c r="B54" t="str">
        <v>MASS BSF</v>
      </c>
      <c r="C54" t="str">
        <v>B1Y-801</v>
      </c>
      <c r="D54" t="str">
        <v>B1Y-801</v>
      </c>
      <c r="E54" t="str">
        <v/>
      </c>
      <c r="F54" t="str">
        <v>867162025907676</v>
      </c>
      <c r="G54" t="str">
        <v>Bus pequeño</v>
      </c>
      <c r="H54" t="str">
        <v/>
      </c>
      <c r="I54" t="str">
        <v/>
      </c>
      <c r="J54" t="str">
        <v>28/09/2026</v>
      </c>
      <c r="K54" t="str">
        <v>15:57:41</v>
      </c>
      <c r="L54">
        <v>-12.317694</v>
      </c>
      <c r="M54">
        <v>-76.83052</v>
      </c>
      <c r="N54">
        <f>HYPERLINK("https://www.google.com/maps/search/?api=1&amp;query=-12.317694,-76.83052","Carretera Panamericana Sur, Punta Hermosa, Lima")</f>
      </c>
      <c r="O54" t="str">
        <v>Exceso de velocidad en segmento vial</v>
      </c>
      <c r="P54" t="str">
        <v/>
      </c>
      <c r="Q54">
        <v>1052717.8</v>
      </c>
      <c r="R54" t="str">
        <v/>
      </c>
      <c r="S54">
        <v>81.2</v>
      </c>
      <c r="T54">
        <v>0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90</v>
      </c>
      <c r="AC54" t="str">
        <v>28/09/2026</v>
      </c>
      <c r="AD54" t="str">
        <v>15:57:31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28/09/2026 15:58:03</v>
      </c>
      <c r="AL54" t="str">
        <v>15:58:03</v>
      </c>
      <c r="AM54" t="str">
        <v/>
      </c>
    </row>
    <row r="55">
      <c r="A55">
        <v>54</v>
      </c>
      <c r="B55" t="str">
        <v>MASS BSF</v>
      </c>
      <c r="C55" t="str">
        <v>B1Y-801</v>
      </c>
      <c r="D55" t="str">
        <v>B1Y-801</v>
      </c>
      <c r="E55" t="str">
        <v/>
      </c>
      <c r="F55" t="str">
        <v>867162025907676</v>
      </c>
      <c r="G55" t="str">
        <v>Bus pequeño</v>
      </c>
      <c r="H55" t="str">
        <v/>
      </c>
      <c r="I55" t="str">
        <v/>
      </c>
      <c r="J55" t="str">
        <v>28/09/2026</v>
      </c>
      <c r="K55" t="str">
        <v>15:57:50</v>
      </c>
      <c r="L55">
        <v>-12.320757</v>
      </c>
      <c r="M55">
        <v>-76.828476</v>
      </c>
      <c r="N55">
        <f>HYPERLINK("https://www.google.com/maps/search/?api=1&amp;query=-12.320757,-76.828476","Carretera Panamericana Sur, Punta Hermosa, Lima")</f>
      </c>
      <c r="O55" t="str">
        <v>Excedió el límite de velocidad</v>
      </c>
      <c r="P55" t="str">
        <v/>
      </c>
      <c r="Q55">
        <v>1052718</v>
      </c>
      <c r="R55" t="str">
        <v/>
      </c>
      <c r="S55">
        <v>80.7</v>
      </c>
      <c r="T55">
        <v>0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90</v>
      </c>
      <c r="AC55" t="str">
        <v>28/09/2026</v>
      </c>
      <c r="AD55" t="str">
        <v>15:57:49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28/09/2026 15:57:54</v>
      </c>
      <c r="AL55" t="str">
        <v>15:57:54</v>
      </c>
      <c r="AM55" t="str">
        <v/>
      </c>
    </row>
    <row r="56">
      <c r="A56">
        <v>55</v>
      </c>
      <c r="B56" t="str">
        <v>MASS BSF</v>
      </c>
      <c r="C56" t="str">
        <v>B1Y-801</v>
      </c>
      <c r="D56" t="str">
        <v>B1Y-801</v>
      </c>
      <c r="E56" t="str">
        <v/>
      </c>
      <c r="F56" t="str">
        <v>867162025907676</v>
      </c>
      <c r="G56" t="str">
        <v>Bus pequeño</v>
      </c>
      <c r="H56" t="str">
        <v/>
      </c>
      <c r="I56" t="str">
        <v/>
      </c>
      <c r="J56" t="str">
        <v>28/09/2026</v>
      </c>
      <c r="K56" t="str">
        <v>15:58:26</v>
      </c>
      <c r="L56">
        <v>-12.326843</v>
      </c>
      <c r="M56">
        <v>-76.8244</v>
      </c>
      <c r="N56">
        <f>HYPERLINK("https://www.google.com/maps/search/?api=1&amp;query=-12.326843,-76.8244","Carretera Panamericana Sur, Punta Hermosa, Lima")</f>
      </c>
      <c r="O56" t="str">
        <v>Excedió el límite de velocidad</v>
      </c>
      <c r="P56" t="str">
        <v/>
      </c>
      <c r="Q56">
        <v>1052718.8</v>
      </c>
      <c r="R56" t="str">
        <v/>
      </c>
      <c r="S56">
        <v>84.2</v>
      </c>
      <c r="T56">
        <v>0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90</v>
      </c>
      <c r="AC56" t="str">
        <v>28/09/2026</v>
      </c>
      <c r="AD56" t="str">
        <v>15:58:25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28/09/2026 15:58:48</v>
      </c>
      <c r="AL56" t="str">
        <v>15:58:48</v>
      </c>
      <c r="AM56" t="str">
        <v/>
      </c>
    </row>
    <row r="57">
      <c r="A57">
        <v>56</v>
      </c>
      <c r="B57" t="str">
        <v>MASS BSF</v>
      </c>
      <c r="C57" t="str">
        <v>B1Y-801</v>
      </c>
      <c r="D57" t="str">
        <v>B1Y-801</v>
      </c>
      <c r="E57" t="str">
        <v/>
      </c>
      <c r="F57" t="str">
        <v>867162025907676</v>
      </c>
      <c r="G57" t="str">
        <v>Bus pequeño</v>
      </c>
      <c r="H57" t="str">
        <v/>
      </c>
      <c r="I57" t="str">
        <v/>
      </c>
      <c r="J57" t="str">
        <v>28/09/2026</v>
      </c>
      <c r="K57" t="str">
        <v>15:58:41</v>
      </c>
      <c r="L57">
        <v>-12.327917</v>
      </c>
      <c r="M57">
        <v>-76.82367</v>
      </c>
      <c r="N57">
        <f>HYPERLINK("https://www.google.com/maps/search/?api=1&amp;query=-12.327917,-76.82367","Carretera Panamericana Sur, Punta Hermosa, Lima")</f>
      </c>
      <c r="O57" t="str">
        <v>Exceso de velocidad en segmento vial</v>
      </c>
      <c r="P57" t="str">
        <v/>
      </c>
      <c r="Q57">
        <v>1052719.1</v>
      </c>
      <c r="R57" t="str">
        <v/>
      </c>
      <c r="S57">
        <v>88.6</v>
      </c>
      <c r="T57">
        <v>0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90</v>
      </c>
      <c r="AC57" t="str">
        <v>28/09/2026</v>
      </c>
      <c r="AD57" t="str">
        <v>15:58:31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28/09/2026 15:58:55</v>
      </c>
      <c r="AL57" t="str">
        <v>15:58:55</v>
      </c>
      <c r="AM57" t="str">
        <v/>
      </c>
    </row>
    <row r="58">
      <c r="A58">
        <v>57</v>
      </c>
      <c r="B58" t="str">
        <v>MASS BSF</v>
      </c>
      <c r="C58" t="str">
        <v>B1Y-801</v>
      </c>
      <c r="D58" t="str">
        <v>B1Y-801</v>
      </c>
      <c r="E58" t="str">
        <v/>
      </c>
      <c r="F58" t="str">
        <v>867162025907676</v>
      </c>
      <c r="G58" t="str">
        <v>Bus pequeño</v>
      </c>
      <c r="H58" t="str">
        <v/>
      </c>
      <c r="I58" t="str">
        <v xml:space="preserve"> </v>
      </c>
      <c r="J58" t="str">
        <v>28/09/2026</v>
      </c>
      <c r="K58" t="str">
        <v>16:04:14</v>
      </c>
      <c r="L58">
        <v>-12.317489</v>
      </c>
      <c r="M58">
        <v>-76.82961</v>
      </c>
      <c r="N58">
        <f>HYPERLINK("https://www.google.com/maps/search/?api=1&amp;query=-12.317489,-76.82961","Punta Hermosa, Lima")</f>
      </c>
      <c r="O58" t="str">
        <v>Llegó a la zona</v>
      </c>
      <c r="P58" t="str">
        <v/>
      </c>
      <c r="Q58">
        <v>1052722.5</v>
      </c>
      <c r="R58" t="str">
        <v>MASS BSF 1</v>
      </c>
      <c r="S58">
        <v>6.9</v>
      </c>
      <c r="T58">
        <v>0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90</v>
      </c>
      <c r="AC58" t="str">
        <v>28/09/2026</v>
      </c>
      <c r="AD58" t="str">
        <v>16:04:13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28/09/2026 16:04:33</v>
      </c>
      <c r="AL58" t="str">
        <v>16:04:33</v>
      </c>
      <c r="AM58" t="str">
        <v/>
      </c>
    </row>
    <row r="59">
      <c r="A59">
        <v>58</v>
      </c>
      <c r="B59" t="str">
        <v>MASS BSF</v>
      </c>
      <c r="C59" t="str">
        <v>B1Y-801</v>
      </c>
      <c r="D59" t="str">
        <v>B1Y-801</v>
      </c>
      <c r="E59" t="str">
        <v/>
      </c>
      <c r="F59" t="str">
        <v>867162025907676</v>
      </c>
      <c r="G59" t="str">
        <v>Bus pequeño</v>
      </c>
      <c r="H59" t="str">
        <v/>
      </c>
      <c r="I59" t="str">
        <v/>
      </c>
      <c r="J59" t="str">
        <v>28/09/2026</v>
      </c>
      <c r="K59" t="str">
        <v>16:09:56</v>
      </c>
      <c r="L59">
        <v>-12.317407</v>
      </c>
      <c r="M59">
        <v>-76.8229</v>
      </c>
      <c r="N59">
        <f>HYPERLINK("https://www.google.com/maps/search/?api=1&amp;query=-12.317407,-76.8229","Punta Hermosa, Lima")</f>
      </c>
      <c r="O59" t="str">
        <v>Vehículo apagado</v>
      </c>
      <c r="P59" t="str">
        <v>Vehículo Apagado</v>
      </c>
      <c r="Q59">
        <v>1052723.5</v>
      </c>
      <c r="R59" t="str">
        <v/>
      </c>
      <c r="S59">
        <v>4.4</v>
      </c>
      <c r="T59">
        <v>0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90</v>
      </c>
      <c r="AC59" t="str">
        <v>28/09/2026</v>
      </c>
      <c r="AD59" t="str">
        <v>16:09:43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28/09/2026 16:10:14</v>
      </c>
      <c r="AL59" t="str">
        <v>16:10:14</v>
      </c>
      <c r="AM59" t="str">
        <v/>
      </c>
    </row>
    <row r="60">
      <c r="A60">
        <v>59</v>
      </c>
      <c r="B60" t="str">
        <v>MASS BSF</v>
      </c>
      <c r="C60" t="str">
        <v>B1Y-801</v>
      </c>
      <c r="D60" t="str">
        <v>B1Y-801</v>
      </c>
      <c r="E60" t="str">
        <v/>
      </c>
      <c r="F60" t="str">
        <v>867162025907676</v>
      </c>
      <c r="G60" t="str">
        <v>Bus pequeño</v>
      </c>
      <c r="H60" t="str">
        <v/>
      </c>
      <c r="I60" t="str">
        <v/>
      </c>
      <c r="J60" t="str">
        <v>28/09/2026</v>
      </c>
      <c r="K60" t="str">
        <v>16:22:15</v>
      </c>
      <c r="L60">
        <v>-12.317422</v>
      </c>
      <c r="M60">
        <v>-76.82293</v>
      </c>
      <c r="N60">
        <f>HYPERLINK("https://www.google.com/maps/search/?api=1&amp;query=-12.317422,-76.82293","Punta Hermosa, Lima")</f>
      </c>
      <c r="O60" t="str">
        <v>Vehículo encendido</v>
      </c>
      <c r="P60" t="str">
        <v/>
      </c>
      <c r="Q60">
        <v>1052723.5</v>
      </c>
      <c r="R60" t="str">
        <v/>
      </c>
      <c r="S60">
        <v>0</v>
      </c>
      <c r="T60">
        <v>0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90</v>
      </c>
      <c r="AC60" t="str">
        <v>28/09/2026</v>
      </c>
      <c r="AD60" t="str">
        <v>16:10:00</v>
      </c>
      <c r="AE60">
        <f>IF("NOGPS"="NOGPS","GPS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28/09/2026 16:22:53</v>
      </c>
      <c r="AL60" t="str">
        <v>16:22:53</v>
      </c>
      <c r="AM60" t="str">
        <v/>
      </c>
    </row>
    <row r="61">
      <c r="A61">
        <v>60</v>
      </c>
      <c r="B61" t="str">
        <v>MASS BSF</v>
      </c>
      <c r="C61" t="str">
        <v>B1Y-801</v>
      </c>
      <c r="D61" t="str">
        <v>B1Y-801</v>
      </c>
      <c r="E61" t="str">
        <v/>
      </c>
      <c r="F61" t="str">
        <v>867162025907676</v>
      </c>
      <c r="G61" t="str">
        <v>Bus pequeño</v>
      </c>
      <c r="H61" t="str">
        <v/>
      </c>
      <c r="I61" t="str">
        <v/>
      </c>
      <c r="J61" t="str">
        <v>28/09/2026</v>
      </c>
      <c r="K61" t="str">
        <v>16:25:13</v>
      </c>
      <c r="L61">
        <v>-12.317971</v>
      </c>
      <c r="M61">
        <v>-76.824356</v>
      </c>
      <c r="N61">
        <f>HYPERLINK("https://www.google.com/maps/search/?api=1&amp;query=-12.317971,-76.824356","Punta Hermosa, Lima")</f>
      </c>
      <c r="O61" t="str">
        <v>Vehículo apagado</v>
      </c>
      <c r="P61" t="str">
        <v>Vehículo Apagado</v>
      </c>
      <c r="Q61">
        <v>1052723.8</v>
      </c>
      <c r="R61" t="str">
        <v/>
      </c>
      <c r="S61">
        <v>0</v>
      </c>
      <c r="T61">
        <v>0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90</v>
      </c>
      <c r="AC61" t="str">
        <v>28/09/2026</v>
      </c>
      <c r="AD61" t="str">
        <v>16:25:15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28/09/2026 16:25:39</v>
      </c>
      <c r="AL61" t="str">
        <v>16:25:39</v>
      </c>
      <c r="AM61" t="str">
        <v/>
      </c>
    </row>
    <row r="62">
      <c r="A62">
        <v>61</v>
      </c>
      <c r="B62" t="str">
        <v>MASS BSF</v>
      </c>
      <c r="C62" t="str">
        <v>B1Y-801</v>
      </c>
      <c r="D62" t="str">
        <v>B1Y-801</v>
      </c>
      <c r="E62" t="str">
        <v/>
      </c>
      <c r="F62" t="str">
        <v>867162025907676</v>
      </c>
      <c r="G62" t="str">
        <v>Bus pequeño</v>
      </c>
      <c r="H62" t="str">
        <v/>
      </c>
      <c r="I62" t="str">
        <v/>
      </c>
      <c r="J62" t="str">
        <v>28/09/2026</v>
      </c>
      <c r="K62" t="str">
        <v>17:04:08</v>
      </c>
      <c r="L62">
        <v>-12.317876</v>
      </c>
      <c r="M62">
        <v>-76.82433</v>
      </c>
      <c r="N62">
        <f>HYPERLINK("https://www.google.com/maps/search/?api=1&amp;query=-12.317876,-76.82433","Punta Hermosa, Lima")</f>
      </c>
      <c r="O62" t="str">
        <v>Vehículo encendido</v>
      </c>
      <c r="P62" t="str">
        <v/>
      </c>
      <c r="Q62">
        <v>1052723.8</v>
      </c>
      <c r="R62" t="str">
        <v/>
      </c>
      <c r="S62">
        <v>0</v>
      </c>
      <c r="T62">
        <v>0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90</v>
      </c>
      <c r="AC62" t="str">
        <v>28/09/2026</v>
      </c>
      <c r="AD62" t="str">
        <v>16:53:02</v>
      </c>
      <c r="AE62">
        <f>IF("NOGPS"="NOGPS","GPS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28/09/2026 17:04:25</v>
      </c>
      <c r="AL62" t="str">
        <v>17:04:25</v>
      </c>
      <c r="AM62" t="str">
        <v/>
      </c>
    </row>
    <row r="63">
      <c r="A63">
        <v>62</v>
      </c>
      <c r="B63" t="str">
        <v>MASS BSF</v>
      </c>
      <c r="C63" t="str">
        <v>B1Y-801</v>
      </c>
      <c r="D63" t="str">
        <v>B1Y-801</v>
      </c>
      <c r="E63" t="str">
        <v/>
      </c>
      <c r="F63" t="str">
        <v>867162025907676</v>
      </c>
      <c r="G63" t="str">
        <v>Bus pequeño</v>
      </c>
      <c r="H63" t="str">
        <v/>
      </c>
      <c r="I63" t="str">
        <v/>
      </c>
      <c r="J63" t="str">
        <v>28/09/2026</v>
      </c>
      <c r="K63" t="str">
        <v>17:07:26</v>
      </c>
      <c r="L63">
        <v>-12.31803</v>
      </c>
      <c r="M63">
        <v>-76.82426</v>
      </c>
      <c r="N63">
        <f>HYPERLINK("https://www.google.com/maps/search/?api=1&amp;query=-12.31803,-76.82426","Punta Hermosa, Lima")</f>
      </c>
      <c r="O63" t="str">
        <v>Vehículo apagado</v>
      </c>
      <c r="P63" t="str">
        <v>Vehículo Apagado</v>
      </c>
      <c r="Q63">
        <v>1052723.9</v>
      </c>
      <c r="R63" t="str">
        <v/>
      </c>
      <c r="S63">
        <v>0</v>
      </c>
      <c r="T63">
        <v>0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90</v>
      </c>
      <c r="AC63" t="str">
        <v>28/09/2026</v>
      </c>
      <c r="AD63" t="str">
        <v>17:07:28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28/09/2026 17:07:48</v>
      </c>
      <c r="AL63" t="str">
        <v>17:07:48</v>
      </c>
      <c r="AM63" t="str">
        <v/>
      </c>
    </row>
    <row r="64">
      <c r="A64">
        <v>63</v>
      </c>
      <c r="B64" t="str">
        <v>MASS BSF</v>
      </c>
      <c r="C64" t="str">
        <v>B1Y-801</v>
      </c>
      <c r="D64" t="str">
        <v>B1Y-801</v>
      </c>
      <c r="E64" t="str">
        <v/>
      </c>
      <c r="F64" t="str">
        <v>867162025907676</v>
      </c>
      <c r="G64" t="str">
        <v>Bus pequeño</v>
      </c>
      <c r="H64" t="str">
        <v/>
      </c>
      <c r="I64" t="str">
        <v/>
      </c>
      <c r="J64" t="str">
        <v>28/09/2026</v>
      </c>
      <c r="K64" t="str">
        <v>17:56:33</v>
      </c>
      <c r="L64">
        <v>-12.318086</v>
      </c>
      <c r="M64">
        <v>-76.82443</v>
      </c>
      <c r="N64">
        <f>HYPERLINK("https://www.google.com/maps/search/?api=1&amp;query=-12.318086,-76.82443","Punta Hermosa, Lima")</f>
      </c>
      <c r="O64" t="str">
        <v>Vehículo encendido</v>
      </c>
      <c r="P64" t="str">
        <v/>
      </c>
      <c r="Q64">
        <v>1052723.9</v>
      </c>
      <c r="R64" t="str">
        <v/>
      </c>
      <c r="S64">
        <v>0</v>
      </c>
      <c r="T64">
        <v>0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90</v>
      </c>
      <c r="AC64" t="str">
        <v>28/09/2026</v>
      </c>
      <c r="AD64" t="str">
        <v>17:35:11</v>
      </c>
      <c r="AE64">
        <f>IF("NOGPS"="NOGPS","GPS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28/09/2026 17:56:53</v>
      </c>
      <c r="AL64" t="str">
        <v>17:56:53</v>
      </c>
      <c r="AM64" t="str">
        <v/>
      </c>
    </row>
    <row r="65">
      <c r="A65">
        <v>64</v>
      </c>
      <c r="B65" t="str">
        <v>MASS BSF</v>
      </c>
      <c r="C65" t="str">
        <v>B1Y-801</v>
      </c>
      <c r="D65" t="str">
        <v>B1Y-801</v>
      </c>
      <c r="E65" t="str">
        <v/>
      </c>
      <c r="F65" t="str">
        <v>867162025907676</v>
      </c>
      <c r="G65" t="str">
        <v>Bus pequeño</v>
      </c>
      <c r="H65" t="str">
        <v/>
      </c>
      <c r="I65" t="str">
        <v/>
      </c>
      <c r="J65" t="str">
        <v>28/09/2026</v>
      </c>
      <c r="K65" t="str">
        <v>18:01:35</v>
      </c>
      <c r="L65">
        <v>-12.317278</v>
      </c>
      <c r="M65">
        <v>-76.824814</v>
      </c>
      <c r="N65">
        <f>HYPERLINK("https://www.google.com/maps/search/?api=1&amp;query=-12.317278,-76.824814","Punta Hermosa, Lima")</f>
      </c>
      <c r="O65" t="str">
        <v>Vehículo apagado</v>
      </c>
      <c r="P65" t="str">
        <v>Vehículo Apagado</v>
      </c>
      <c r="Q65">
        <v>1052724</v>
      </c>
      <c r="R65" t="str">
        <v/>
      </c>
      <c r="S65">
        <v>1</v>
      </c>
      <c r="T65">
        <v>0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90</v>
      </c>
      <c r="AC65" t="str">
        <v>28/09/2026</v>
      </c>
      <c r="AD65" t="str">
        <v>18:01:39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28/09/2026 18:01:54</v>
      </c>
      <c r="AL65" t="str">
        <v>18:01:54</v>
      </c>
      <c r="AM65" t="str">
        <v/>
      </c>
    </row>
    <row r="66">
      <c r="A66">
        <v>65</v>
      </c>
      <c r="B66" t="str">
        <v>MASS BSF</v>
      </c>
      <c r="C66" t="str">
        <v>B1Y-801</v>
      </c>
      <c r="D66" t="str">
        <v>B1Y-801</v>
      </c>
      <c r="E66" t="str">
        <v/>
      </c>
      <c r="F66" t="str">
        <v>867162025907676</v>
      </c>
      <c r="G66" t="str">
        <v>Bus pequeño</v>
      </c>
      <c r="H66" t="str">
        <v/>
      </c>
      <c r="I66" t="str">
        <v/>
      </c>
      <c r="J66" t="str">
        <v>28/09/2026</v>
      </c>
      <c r="K66" t="str">
        <v>18:10:10</v>
      </c>
      <c r="L66">
        <v>-12.317278</v>
      </c>
      <c r="M66">
        <v>-76.824814</v>
      </c>
      <c r="N66">
        <f>HYPERLINK("https://www.google.com/maps/search/?api=1&amp;query=-12.317278,-76.824814","Punta Hermosa, Lima")</f>
      </c>
      <c r="O66" t="str">
        <v>Vehículo encendido</v>
      </c>
      <c r="P66" t="str">
        <v/>
      </c>
      <c r="Q66">
        <v>1052724</v>
      </c>
      <c r="R66" t="str">
        <v/>
      </c>
      <c r="S66">
        <v>0</v>
      </c>
      <c r="T66">
        <v>0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90</v>
      </c>
      <c r="AC66" t="str">
        <v>28/09/2026</v>
      </c>
      <c r="AD66" t="str">
        <v>18:01:39</v>
      </c>
      <c r="AE66">
        <f>IF("NOGPS"="NOGPS","GPS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28/09/2026 18:10:26</v>
      </c>
      <c r="AL66" t="str">
        <v>18:10:26</v>
      </c>
      <c r="AM66" t="str">
        <v/>
      </c>
    </row>
    <row r="67">
      <c r="A67">
        <v>66</v>
      </c>
      <c r="B67" t="str">
        <v>MASS BSF</v>
      </c>
      <c r="C67" t="str">
        <v>B1Y-801</v>
      </c>
      <c r="D67" t="str">
        <v>B1Y-801</v>
      </c>
      <c r="E67" t="str">
        <v/>
      </c>
      <c r="F67" t="str">
        <v>867162025907676</v>
      </c>
      <c r="G67" t="str">
        <v>Bus pequeño</v>
      </c>
      <c r="H67" t="str">
        <v/>
      </c>
      <c r="I67" t="str">
        <v xml:space="preserve"> </v>
      </c>
      <c r="J67" t="str">
        <v>28/09/2026</v>
      </c>
      <c r="K67" t="str">
        <v>18:18:12</v>
      </c>
      <c r="L67">
        <v>-12.31756</v>
      </c>
      <c r="M67">
        <v>-76.82982</v>
      </c>
      <c r="N67">
        <f>HYPERLINK("https://www.google.com/maps/search/?api=1&amp;query=-12.31756,-76.82982","Punta Hermosa, Lima")</f>
      </c>
      <c r="O67" t="str">
        <v>Salió de zona</v>
      </c>
      <c r="P67" t="str">
        <v/>
      </c>
      <c r="Q67">
        <v>1052724.8</v>
      </c>
      <c r="R67" t="str">
        <v>MASS BSF 1</v>
      </c>
      <c r="S67">
        <v>7.4</v>
      </c>
      <c r="T67">
        <v>0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90</v>
      </c>
      <c r="AC67" t="str">
        <v>28/09/2026</v>
      </c>
      <c r="AD67" t="str">
        <v>18:18:08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28/09/2026 18:18:23</v>
      </c>
      <c r="AL67" t="str">
        <v>18:18:23</v>
      </c>
      <c r="AM67" t="str">
        <v/>
      </c>
    </row>
    <row r="68">
      <c r="A68">
        <v>67</v>
      </c>
      <c r="B68" t="str">
        <v>MASS BSF</v>
      </c>
      <c r="C68" t="str">
        <v>B1Y-801</v>
      </c>
      <c r="D68" t="str">
        <v>B1Y-801</v>
      </c>
      <c r="E68" t="str">
        <v/>
      </c>
      <c r="F68" t="str">
        <v>867162025907676</v>
      </c>
      <c r="G68" t="str">
        <v>Bus pequeño</v>
      </c>
      <c r="H68" t="str">
        <v/>
      </c>
      <c r="I68" t="str">
        <v xml:space="preserve"> </v>
      </c>
      <c r="J68" t="str">
        <v>28/09/2026</v>
      </c>
      <c r="K68" t="str">
        <v>18:58:12</v>
      </c>
      <c r="L68">
        <v>-12.21303</v>
      </c>
      <c r="M68">
        <v>-76.95964</v>
      </c>
      <c r="N68">
        <f>HYPERLINK("https://www.google.com/maps/search/?api=1&amp;query=-12.21303,-76.95964","Avenida Villa del Mar, Villa El Salvador, Lima")</f>
      </c>
      <c r="O68" t="str">
        <v>Llegó a la zona</v>
      </c>
      <c r="P68" t="str">
        <v/>
      </c>
      <c r="Q68">
        <v>1052746.5</v>
      </c>
      <c r="R68" t="str">
        <v>BASE-OSLOGISTICS</v>
      </c>
      <c r="S68">
        <v>7.9</v>
      </c>
      <c r="T68">
        <v>0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90</v>
      </c>
      <c r="AC68" t="str">
        <v>28/09/2026</v>
      </c>
      <c r="AD68" t="str">
        <v>18:58:08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28/09/2026 18:58:29</v>
      </c>
      <c r="AL68" t="str">
        <v>18:58:29</v>
      </c>
      <c r="AM68" t="str">
        <v/>
      </c>
    </row>
    <row r="69">
      <c r="A69">
        <v>68</v>
      </c>
      <c r="B69" t="str">
        <v>MASS BSF</v>
      </c>
      <c r="C69" t="str">
        <v>B1Y-801</v>
      </c>
      <c r="D69" t="str">
        <v>B1Y-801</v>
      </c>
      <c r="E69" t="str">
        <v/>
      </c>
      <c r="F69" t="str">
        <v>867162025907676</v>
      </c>
      <c r="G69" t="str">
        <v>Bus pequeño</v>
      </c>
      <c r="H69" t="str">
        <v/>
      </c>
      <c r="I69" t="str">
        <v/>
      </c>
      <c r="J69" t="str">
        <v>28/09/2026</v>
      </c>
      <c r="K69" t="str">
        <v>19:01:08</v>
      </c>
      <c r="L69">
        <v>-12.212916</v>
      </c>
      <c r="M69">
        <v>-76.959175</v>
      </c>
      <c r="N69">
        <f>HYPERLINK("https://www.google.com/maps/search/?api=1&amp;query=-12.212916,-76.959175","Avenida Villa del Mar, Villa El Salvador, Lima")</f>
      </c>
      <c r="O69" t="str">
        <v>Vehículo apagado</v>
      </c>
      <c r="P69" t="str">
        <v>Vehículo Apagado</v>
      </c>
      <c r="Q69">
        <v>1052746.5</v>
      </c>
      <c r="R69" t="str">
        <v/>
      </c>
      <c r="S69">
        <v>0</v>
      </c>
      <c r="T69">
        <v>0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90</v>
      </c>
      <c r="AC69" t="str">
        <v>28/09/2026</v>
      </c>
      <c r="AD69" t="str">
        <v>19:01:10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28/09/2026 19:01:28</v>
      </c>
      <c r="AL69" t="str">
        <v>19:01:28</v>
      </c>
      <c r="AM69" t="str">
        <v/>
      </c>
    </row>
    <row r="70">
      <c r="A70">
        <v>69</v>
      </c>
      <c r="B70" t="str">
        <v>MASS BSF</v>
      </c>
      <c r="C70" t="str">
        <v>B1Y-801</v>
      </c>
      <c r="D70" t="str">
        <v>B1Y-801</v>
      </c>
      <c r="E70" t="str">
        <v/>
      </c>
      <c r="F70" t="str">
        <v>867162025907676</v>
      </c>
      <c r="G70" t="str">
        <v>Bus pequeño</v>
      </c>
      <c r="H70" t="str">
        <v/>
      </c>
      <c r="I70" t="str">
        <v/>
      </c>
      <c r="J70" t="str">
        <v>28/09/2026</v>
      </c>
      <c r="K70" t="str">
        <v>19:07:31</v>
      </c>
      <c r="L70">
        <v>-12.212916</v>
      </c>
      <c r="M70">
        <v>-76.959175</v>
      </c>
      <c r="N70">
        <f>HYPERLINK("https://www.google.com/maps/search/?api=1&amp;query=-12.212916,-76.959175","Avenida Villa del Mar, Villa El Salvador, Lima")</f>
      </c>
      <c r="O70" t="str">
        <v>Vehículo encendido</v>
      </c>
      <c r="P70" t="str">
        <v/>
      </c>
      <c r="Q70">
        <v>1052746.5</v>
      </c>
      <c r="R70" t="str">
        <v/>
      </c>
      <c r="S70">
        <v>0</v>
      </c>
      <c r="T70">
        <v>0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90</v>
      </c>
      <c r="AC70" t="str">
        <v>28/09/2026</v>
      </c>
      <c r="AD70" t="str">
        <v>19:01:10</v>
      </c>
      <c r="AE70">
        <f>IF("NOGPS"="NOGPS","GPS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28/09/2026 19:07:44</v>
      </c>
      <c r="AL70" t="str">
        <v>19:07:44</v>
      </c>
      <c r="AM70" t="str">
        <v/>
      </c>
    </row>
    <row r="71">
      <c r="A71">
        <v>70</v>
      </c>
      <c r="B71" t="str">
        <v>MASS BSF</v>
      </c>
      <c r="C71" t="str">
        <v>B1Y-801</v>
      </c>
      <c r="D71" t="str">
        <v>B1Y-801</v>
      </c>
      <c r="E71" t="str">
        <v/>
      </c>
      <c r="F71" t="str">
        <v>867162025907676</v>
      </c>
      <c r="G71" t="str">
        <v>Bus pequeño</v>
      </c>
      <c r="H71" t="str">
        <v/>
      </c>
      <c r="I71" t="str">
        <v/>
      </c>
      <c r="J71" t="str">
        <v>28/09/2026</v>
      </c>
      <c r="K71" t="str">
        <v>19:09:55</v>
      </c>
      <c r="L71">
        <v>-12.213001</v>
      </c>
      <c r="M71">
        <v>-76.958824</v>
      </c>
      <c r="N71">
        <f>HYPERLINK("https://www.google.com/maps/search/?api=1&amp;query=-12.213001,-76.958824","Villa El Salvador, Lima")</f>
      </c>
      <c r="O71" t="str">
        <v>Vehículo apagado</v>
      </c>
      <c r="P71" t="str">
        <v>Vehículo Apagado</v>
      </c>
      <c r="Q71">
        <v>1052746.6</v>
      </c>
      <c r="R71" t="str">
        <v/>
      </c>
      <c r="S71">
        <v>0</v>
      </c>
      <c r="T71">
        <v>0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90</v>
      </c>
      <c r="AC71" t="str">
        <v>28/09/2026</v>
      </c>
      <c r="AD71" t="str">
        <v>19:09:29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28/09/2026 19:10:07</v>
      </c>
      <c r="AL71" t="str">
        <v>19:10:07</v>
      </c>
      <c r="AM71" t="str">
        <v/>
      </c>
    </row>
  </sheetData>
  <ignoredErrors>
    <ignoredError numberStoredAsText="1" sqref="A1:AM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