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0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ARY-825</v>
      </c>
      <c r="D2" t="str">
        <v>ARY-825</v>
      </c>
      <c r="E2" t="str">
        <v/>
      </c>
      <c r="F2" t="str">
        <v>867162029858180</v>
      </c>
      <c r="G2" t="str">
        <v/>
      </c>
      <c r="H2" t="str">
        <v/>
      </c>
      <c r="I2" t="str">
        <v/>
      </c>
      <c r="J2" t="str">
        <v>28/09/2026</v>
      </c>
      <c r="K2" t="str">
        <v>04:08:51</v>
      </c>
      <c r="L2">
        <v>-12.193313</v>
      </c>
      <c r="M2">
        <v>-76.92703</v>
      </c>
      <c r="N2">
        <f>HYPERLINK("https://www.google.com/maps/search/?api=1&amp;query=-12.193313,-76.92703","Avenida La Mariscala, Villa María del Triunfo, Lima")</f>
      </c>
      <c r="O2" t="str">
        <v>Vehículo encendido</v>
      </c>
      <c r="P2" t="str">
        <v/>
      </c>
      <c r="Q2">
        <v>270513.8</v>
      </c>
      <c r="R2" t="str">
        <v/>
      </c>
      <c r="S2">
        <v>0</v>
      </c>
      <c r="T2">
        <v>112.78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100</v>
      </c>
      <c r="AC2" t="str">
        <v>28/09/2026</v>
      </c>
      <c r="AD2" t="str">
        <v>03:59:27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04:09:18</v>
      </c>
      <c r="AL2" t="str">
        <v>04:09:18</v>
      </c>
      <c r="AM2" t="str">
        <v/>
      </c>
    </row>
    <row r="3">
      <c r="A3">
        <v>2</v>
      </c>
      <c r="B3" t="str">
        <v>MASS BSF</v>
      </c>
      <c r="C3" t="str">
        <v>ARY-825</v>
      </c>
      <c r="D3" t="str">
        <v>ARY-825</v>
      </c>
      <c r="E3" t="str">
        <v/>
      </c>
      <c r="F3" t="str">
        <v>867162029858180</v>
      </c>
      <c r="G3" t="str">
        <v/>
      </c>
      <c r="H3" t="str">
        <v/>
      </c>
      <c r="I3" t="str">
        <v/>
      </c>
      <c r="J3" t="str">
        <v>28/09/2026</v>
      </c>
      <c r="K3" t="str">
        <v>04:17:00</v>
      </c>
      <c r="L3">
        <v>-12.193256</v>
      </c>
      <c r="M3">
        <v>-76.92637</v>
      </c>
      <c r="N3">
        <f>HYPERLINK("https://www.google.com/maps/search/?api=1&amp;query=-12.193256,-76.92637","Avenida La Mariscala, Villa María del Triunfo, Lima")</f>
      </c>
      <c r="O3" t="str">
        <v>Vehículo apagado</v>
      </c>
      <c r="P3" t="str">
        <v>Vehículo Apagado</v>
      </c>
      <c r="Q3">
        <v>270513.9</v>
      </c>
      <c r="R3" t="str">
        <v/>
      </c>
      <c r="S3">
        <v>0</v>
      </c>
      <c r="T3">
        <v>112.92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100</v>
      </c>
      <c r="AC3" t="str">
        <v>28/09/2026</v>
      </c>
      <c r="AD3" t="str">
        <v>04:16:51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04:17:14</v>
      </c>
      <c r="AL3" t="str">
        <v>04:17:14</v>
      </c>
      <c r="AM3" t="str">
        <v/>
      </c>
    </row>
    <row r="4">
      <c r="A4">
        <v>3</v>
      </c>
      <c r="B4" t="str">
        <v>MASS BSF</v>
      </c>
      <c r="C4" t="str">
        <v>ARY-825</v>
      </c>
      <c r="D4" t="str">
        <v>ARY-825</v>
      </c>
      <c r="E4" t="str">
        <v/>
      </c>
      <c r="F4" t="str">
        <v>867162029858180</v>
      </c>
      <c r="G4" t="str">
        <v/>
      </c>
      <c r="H4" t="str">
        <v/>
      </c>
      <c r="I4" t="str">
        <v/>
      </c>
      <c r="J4" t="str">
        <v>28/09/2026</v>
      </c>
      <c r="K4" t="str">
        <v>06:39:46</v>
      </c>
      <c r="L4">
        <v>-12.193256</v>
      </c>
      <c r="M4">
        <v>-76.92637</v>
      </c>
      <c r="N4">
        <f>HYPERLINK("https://www.google.com/maps/search/?api=1&amp;query=-12.193256,-76.92637","Avenida La Mariscala, Villa María del Triunfo, Lima")</f>
      </c>
      <c r="O4" t="str">
        <v>Vehículo encendido</v>
      </c>
      <c r="P4" t="str">
        <v/>
      </c>
      <c r="Q4">
        <v>270513.9</v>
      </c>
      <c r="R4" t="str">
        <v/>
      </c>
      <c r="S4">
        <v>0</v>
      </c>
      <c r="T4">
        <v>112.92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28/09/2026</v>
      </c>
      <c r="AD4" t="str">
        <v>06:14:46</v>
      </c>
      <c r="AE4">
        <f>IF("NOGPS"="NOGPS","GPS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06:39:53</v>
      </c>
      <c r="AL4" t="str">
        <v>06:39:53</v>
      </c>
      <c r="AM4" t="str">
        <v/>
      </c>
    </row>
    <row r="5">
      <c r="A5">
        <v>4</v>
      </c>
      <c r="B5" t="str">
        <v>MASS BSF</v>
      </c>
      <c r="C5" t="str">
        <v>ARY-825</v>
      </c>
      <c r="D5" t="str">
        <v>ARY-825</v>
      </c>
      <c r="E5" t="str">
        <v/>
      </c>
      <c r="F5" t="str">
        <v>867162029858180</v>
      </c>
      <c r="G5" t="str">
        <v/>
      </c>
      <c r="H5" t="str">
        <v/>
      </c>
      <c r="I5" t="str">
        <v/>
      </c>
      <c r="J5" t="str">
        <v>28/09/2026</v>
      </c>
      <c r="K5" t="str">
        <v>06:41:36</v>
      </c>
      <c r="L5">
        <v>-12.192981</v>
      </c>
      <c r="M5">
        <v>-76.92589</v>
      </c>
      <c r="N5">
        <f>HYPERLINK("https://www.google.com/maps/search/?api=1&amp;query=-12.192981,-76.92589","Avenida La Mariscala, Villa María del Triunfo, Lima")</f>
      </c>
      <c r="O5" t="str">
        <v>Vehículo apagado</v>
      </c>
      <c r="P5" t="str">
        <v>Vehículo Apagado</v>
      </c>
      <c r="Q5">
        <v>270514</v>
      </c>
      <c r="R5" t="str">
        <v/>
      </c>
      <c r="S5">
        <v>13.5</v>
      </c>
      <c r="T5">
        <v>112.95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100</v>
      </c>
      <c r="AC5" t="str">
        <v>28/09/2026</v>
      </c>
      <c r="AD5" t="str">
        <v>06:40:56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06:41:53</v>
      </c>
      <c r="AL5" t="str">
        <v>06:41:53</v>
      </c>
      <c r="AM5" t="str">
        <v/>
      </c>
    </row>
    <row r="6">
      <c r="A6">
        <v>5</v>
      </c>
      <c r="B6" t="str">
        <v>MASS BSF</v>
      </c>
      <c r="C6" t="str">
        <v>ARY-825</v>
      </c>
      <c r="D6" t="str">
        <v>ARY-825</v>
      </c>
      <c r="E6" t="str">
        <v/>
      </c>
      <c r="F6" t="str">
        <v>867162029858180</v>
      </c>
      <c r="G6" t="str">
        <v/>
      </c>
      <c r="H6" t="str">
        <v/>
      </c>
      <c r="I6" t="str">
        <v/>
      </c>
      <c r="J6" t="str">
        <v>28/09/2026</v>
      </c>
      <c r="K6" t="str">
        <v>12:40:19</v>
      </c>
      <c r="L6">
        <v>-12.193238</v>
      </c>
      <c r="M6">
        <v>-76.926285</v>
      </c>
      <c r="N6">
        <f>HYPERLINK("https://www.google.com/maps/search/?api=1&amp;query=-12.193238,-76.926285","Avenida La Mariscala, Villa María del Triunfo, Lima")</f>
      </c>
      <c r="O6" t="str">
        <v>Vehículo encendido</v>
      </c>
      <c r="P6" t="str">
        <v/>
      </c>
      <c r="Q6">
        <v>270514</v>
      </c>
      <c r="R6" t="str">
        <v/>
      </c>
      <c r="S6">
        <v>0</v>
      </c>
      <c r="T6">
        <v>112.95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98</v>
      </c>
      <c r="AC6" t="str">
        <v>28/09/2026</v>
      </c>
      <c r="AD6" t="str">
        <v>12:39:36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12:40:38</v>
      </c>
      <c r="AL6" t="str">
        <v>12:40:38</v>
      </c>
      <c r="AM6" t="str">
        <v/>
      </c>
    </row>
    <row r="7">
      <c r="A7">
        <v>6</v>
      </c>
      <c r="B7" t="str">
        <v>MASS BSF</v>
      </c>
      <c r="C7" t="str">
        <v>ARY-825</v>
      </c>
      <c r="D7" t="str">
        <v>ARY-825</v>
      </c>
      <c r="E7" t="str">
        <v/>
      </c>
      <c r="F7" t="str">
        <v>867162029858180</v>
      </c>
      <c r="G7" t="str">
        <v/>
      </c>
      <c r="H7" t="str">
        <v/>
      </c>
      <c r="I7" t="str">
        <v/>
      </c>
      <c r="J7" t="str">
        <v>28/09/2026</v>
      </c>
      <c r="K7" t="str">
        <v>12:43:10</v>
      </c>
      <c r="L7">
        <v>-12.193224</v>
      </c>
      <c r="M7">
        <v>-76.92634</v>
      </c>
      <c r="N7">
        <f>HYPERLINK("https://www.google.com/maps/search/?api=1&amp;query=-12.193224,-76.92634","Avenida La Mariscala, Villa María del Triunfo, Lima")</f>
      </c>
      <c r="O7" t="str">
        <v>Vehículo apagado</v>
      </c>
      <c r="P7" t="str">
        <v>Vehículo Apagado</v>
      </c>
      <c r="Q7">
        <v>270514</v>
      </c>
      <c r="R7" t="str">
        <v/>
      </c>
      <c r="S7">
        <v>0</v>
      </c>
      <c r="T7">
        <v>113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98</v>
      </c>
      <c r="AC7" t="str">
        <v>28/09/2026</v>
      </c>
      <c r="AD7" t="str">
        <v>12:42:21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12:43:25</v>
      </c>
      <c r="AL7" t="str">
        <v>12:43:25</v>
      </c>
      <c r="AM7" t="str">
        <v/>
      </c>
    </row>
    <row r="8">
      <c r="A8">
        <v>7</v>
      </c>
      <c r="B8" t="str">
        <v>MASS BSF</v>
      </c>
      <c r="C8" t="str">
        <v>ARY-825</v>
      </c>
      <c r="D8" t="str">
        <v>ARY-825</v>
      </c>
      <c r="E8" t="str">
        <v/>
      </c>
      <c r="F8" t="str">
        <v>867162029858180</v>
      </c>
      <c r="G8" t="str">
        <v/>
      </c>
      <c r="H8" t="str">
        <v/>
      </c>
      <c r="I8" t="str">
        <v/>
      </c>
      <c r="J8" t="str">
        <v>28/09/2026</v>
      </c>
      <c r="K8" t="str">
        <v>12:44:48</v>
      </c>
      <c r="L8">
        <v>-12.193224</v>
      </c>
      <c r="M8">
        <v>-76.92634</v>
      </c>
      <c r="N8">
        <f>HYPERLINK("https://www.google.com/maps/search/?api=1&amp;query=-12.193224,-76.92634","Avenida La Mariscala, Villa María del Triunfo, Lima")</f>
      </c>
      <c r="O8" t="str">
        <v>Vehículo encendido</v>
      </c>
      <c r="P8" t="str">
        <v/>
      </c>
      <c r="Q8">
        <v>270514</v>
      </c>
      <c r="R8" t="str">
        <v/>
      </c>
      <c r="S8">
        <v>0</v>
      </c>
      <c r="T8">
        <v>113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98</v>
      </c>
      <c r="AC8" t="str">
        <v>28/09/2026</v>
      </c>
      <c r="AD8" t="str">
        <v>12:43:14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12:45:01</v>
      </c>
      <c r="AL8" t="str">
        <v>12:45:01</v>
      </c>
      <c r="AM8" t="str">
        <v/>
      </c>
    </row>
    <row r="9">
      <c r="A9">
        <v>8</v>
      </c>
      <c r="B9" t="str">
        <v>MASS BSF</v>
      </c>
      <c r="C9" t="str">
        <v>ARY-825</v>
      </c>
      <c r="D9" t="str">
        <v>ARY-825</v>
      </c>
      <c r="E9" t="str">
        <v/>
      </c>
      <c r="F9" t="str">
        <v>867162029858180</v>
      </c>
      <c r="G9" t="str">
        <v/>
      </c>
      <c r="H9" t="str">
        <v/>
      </c>
      <c r="I9" t="str">
        <v/>
      </c>
      <c r="J9" t="str">
        <v>28/09/2026</v>
      </c>
      <c r="K9" t="str">
        <v>12:45:18</v>
      </c>
      <c r="L9">
        <v>-12.193223</v>
      </c>
      <c r="M9">
        <v>-76.926285</v>
      </c>
      <c r="N9">
        <f>HYPERLINK("https://www.google.com/maps/search/?api=1&amp;query=-12.193223,-76.926285","Avenida La Mariscala, Villa María del Triunfo, Lima")</f>
      </c>
      <c r="O9" t="str">
        <v>Vehículo apagado</v>
      </c>
      <c r="P9" t="str">
        <v>Vehículo Apagado</v>
      </c>
      <c r="Q9">
        <v>270514</v>
      </c>
      <c r="R9" t="str">
        <v/>
      </c>
      <c r="S9">
        <v>0.1</v>
      </c>
      <c r="T9">
        <v>113.02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98</v>
      </c>
      <c r="AC9" t="str">
        <v>28/09/2026</v>
      </c>
      <c r="AD9" t="str">
        <v>12:44:53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12:45:36</v>
      </c>
      <c r="AL9" t="str">
        <v>12:45:36</v>
      </c>
      <c r="AM9" t="str">
        <v/>
      </c>
    </row>
    <row r="10">
      <c r="A10">
        <v>9</v>
      </c>
      <c r="B10" t="str">
        <v>MASS BSF</v>
      </c>
      <c r="C10" t="str">
        <v>ARY-825</v>
      </c>
      <c r="D10" t="str">
        <v>ARY-825</v>
      </c>
      <c r="E10" t="str">
        <v/>
      </c>
      <c r="F10" t="str">
        <v>867162029858180</v>
      </c>
      <c r="G10" t="str">
        <v/>
      </c>
      <c r="H10" t="str">
        <v/>
      </c>
      <c r="I10" t="str">
        <v/>
      </c>
      <c r="J10" t="str">
        <v>28/09/2026</v>
      </c>
      <c r="K10" t="str">
        <v>12:50:19</v>
      </c>
      <c r="L10">
        <v>-12.193223</v>
      </c>
      <c r="M10">
        <v>-76.926285</v>
      </c>
      <c r="N10">
        <f>HYPERLINK("https://www.google.com/maps/search/?api=1&amp;query=-12.193223,-76.926285","Avenida La Mariscala, Villa María del Triunfo, Lima")</f>
      </c>
      <c r="O10" t="str">
        <v>Vehículo encendido</v>
      </c>
      <c r="P10" t="str">
        <v/>
      </c>
      <c r="Q10">
        <v>270514</v>
      </c>
      <c r="R10" t="str">
        <v/>
      </c>
      <c r="S10">
        <v>0</v>
      </c>
      <c r="T10">
        <v>113.02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98</v>
      </c>
      <c r="AC10" t="str">
        <v>28/09/2026</v>
      </c>
      <c r="AD10" t="str">
        <v>12:45:22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12:50:29</v>
      </c>
      <c r="AL10" t="str">
        <v>12:50:29</v>
      </c>
      <c r="AM10" t="str">
        <v/>
      </c>
    </row>
    <row r="11">
      <c r="A11">
        <v>10</v>
      </c>
      <c r="B11" t="str">
        <v>MASS BSF</v>
      </c>
      <c r="C11" t="str">
        <v>ARY-825</v>
      </c>
      <c r="D11" t="str">
        <v>ARY-825</v>
      </c>
      <c r="E11" t="str">
        <v/>
      </c>
      <c r="F11" t="str">
        <v>867162029858180</v>
      </c>
      <c r="G11" t="str">
        <v/>
      </c>
      <c r="H11" t="str">
        <v/>
      </c>
      <c r="I11" t="str">
        <v xml:space="preserve"> </v>
      </c>
      <c r="J11" t="str">
        <v>28/09/2026</v>
      </c>
      <c r="K11" t="str">
        <v>13:45:41</v>
      </c>
      <c r="L11">
        <v>-12.317644</v>
      </c>
      <c r="M11">
        <v>-76.82967</v>
      </c>
      <c r="N11">
        <f>HYPERLINK("https://www.google.com/maps/search/?api=1&amp;query=-12.317644,-76.82967","Punta Hermosa, Lima")</f>
      </c>
      <c r="O11" t="str">
        <v>Llegó a la zona</v>
      </c>
      <c r="P11" t="str">
        <v/>
      </c>
      <c r="Q11">
        <v>270542.8</v>
      </c>
      <c r="R11" t="str">
        <v>MASS BSF 1</v>
      </c>
      <c r="S11">
        <v>6</v>
      </c>
      <c r="T11">
        <v>113.03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98</v>
      </c>
      <c r="AC11" t="str">
        <v>28/09/2026</v>
      </c>
      <c r="AD11" t="str">
        <v>13:45:41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13:46:00</v>
      </c>
      <c r="AL11" t="str">
        <v>13:46:00</v>
      </c>
      <c r="AM11" t="str">
        <v/>
      </c>
    </row>
    <row r="12">
      <c r="A12">
        <v>11</v>
      </c>
      <c r="B12" t="str">
        <v>MASS BSF</v>
      </c>
      <c r="C12" t="str">
        <v>ARY-825</v>
      </c>
      <c r="D12" t="str">
        <v>ARY-825</v>
      </c>
      <c r="E12" t="str">
        <v/>
      </c>
      <c r="F12" t="str">
        <v>867162029858180</v>
      </c>
      <c r="G12" t="str">
        <v/>
      </c>
      <c r="H12" t="str">
        <v/>
      </c>
      <c r="I12" t="str">
        <v/>
      </c>
      <c r="J12" t="str">
        <v>28/09/2026</v>
      </c>
      <c r="K12" t="str">
        <v>13:51:26</v>
      </c>
      <c r="L12">
        <v>-12.317962</v>
      </c>
      <c r="M12">
        <v>-76.82437</v>
      </c>
      <c r="N12">
        <f>HYPERLINK("https://www.google.com/maps/search/?api=1&amp;query=-12.317962,-76.82437","Punta Hermosa, Lima")</f>
      </c>
      <c r="O12" t="str">
        <v>Vehículo apagado</v>
      </c>
      <c r="P12" t="str">
        <v>Vehículo Apagado</v>
      </c>
      <c r="Q12">
        <v>270543.6</v>
      </c>
      <c r="R12" t="str">
        <v/>
      </c>
      <c r="S12">
        <v>0</v>
      </c>
      <c r="T12">
        <v>114.03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98</v>
      </c>
      <c r="AC12" t="str">
        <v>28/09/2026</v>
      </c>
      <c r="AD12" t="str">
        <v>13:50:17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13:51:44</v>
      </c>
      <c r="AL12" t="str">
        <v>13:51:44</v>
      </c>
      <c r="AM12" t="str">
        <v/>
      </c>
    </row>
    <row r="13">
      <c r="A13">
        <v>12</v>
      </c>
      <c r="B13" t="str">
        <v>MASS BSF</v>
      </c>
      <c r="C13" t="str">
        <v>ARY-825</v>
      </c>
      <c r="D13" t="str">
        <v>ARY-825</v>
      </c>
      <c r="E13" t="str">
        <v/>
      </c>
      <c r="F13" t="str">
        <v>867162029858180</v>
      </c>
      <c r="G13" t="str">
        <v/>
      </c>
      <c r="H13" t="str">
        <v/>
      </c>
      <c r="I13" t="str">
        <v/>
      </c>
      <c r="J13" t="str">
        <v>28/09/2026</v>
      </c>
      <c r="K13" t="str">
        <v>16:03:47</v>
      </c>
      <c r="L13">
        <v>-12.317962</v>
      </c>
      <c r="M13">
        <v>-76.82437</v>
      </c>
      <c r="N13">
        <f>HYPERLINK("https://www.google.com/maps/search/?api=1&amp;query=-12.317962,-76.82437","Punta Hermosa, Lima")</f>
      </c>
      <c r="O13" t="str">
        <v>Vehículo encendido</v>
      </c>
      <c r="P13" t="str">
        <v/>
      </c>
      <c r="Q13">
        <v>270543.6</v>
      </c>
      <c r="R13" t="str">
        <v/>
      </c>
      <c r="S13">
        <v>0</v>
      </c>
      <c r="T13">
        <v>114.05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98</v>
      </c>
      <c r="AC13" t="str">
        <v>28/09/2026</v>
      </c>
      <c r="AD13" t="str">
        <v>15:49:00</v>
      </c>
      <c r="AE13">
        <f>IF("NOGPS"="NOGPS","GPS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16:04:00</v>
      </c>
      <c r="AL13" t="str">
        <v>16:04:00</v>
      </c>
      <c r="AM13" t="str">
        <v/>
      </c>
    </row>
    <row r="14">
      <c r="A14">
        <v>13</v>
      </c>
      <c r="B14" t="str">
        <v>MASS BSF</v>
      </c>
      <c r="C14" t="str">
        <v>ARY-825</v>
      </c>
      <c r="D14" t="str">
        <v>ARY-825</v>
      </c>
      <c r="E14" t="str">
        <v/>
      </c>
      <c r="F14" t="str">
        <v>867162029858180</v>
      </c>
      <c r="G14" t="str">
        <v/>
      </c>
      <c r="H14" t="str">
        <v/>
      </c>
      <c r="I14" t="str">
        <v/>
      </c>
      <c r="J14" t="str">
        <v>28/09/2026</v>
      </c>
      <c r="K14" t="str">
        <v>16:09:20</v>
      </c>
      <c r="L14">
        <v>-12.317972</v>
      </c>
      <c r="M14">
        <v>-76.8243</v>
      </c>
      <c r="N14">
        <f>HYPERLINK("https://www.google.com/maps/search/?api=1&amp;query=-12.317972,-76.8243","Punta Hermosa, Lima")</f>
      </c>
      <c r="O14" t="str">
        <v>Vehículo apagado</v>
      </c>
      <c r="P14" t="str">
        <v>Vehículo Apagado</v>
      </c>
      <c r="Q14">
        <v>270543.7</v>
      </c>
      <c r="R14" t="str">
        <v/>
      </c>
      <c r="S14">
        <v>0</v>
      </c>
      <c r="T14">
        <v>114.15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98</v>
      </c>
      <c r="AC14" t="str">
        <v>28/09/2026</v>
      </c>
      <c r="AD14" t="str">
        <v>16:09:24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16:09:35</v>
      </c>
      <c r="AL14" t="str">
        <v>16:09:35</v>
      </c>
      <c r="AM14" t="str">
        <v/>
      </c>
    </row>
    <row r="15">
      <c r="A15">
        <v>14</v>
      </c>
      <c r="B15" t="str">
        <v>MASS BSF</v>
      </c>
      <c r="C15" t="str">
        <v>ARY-825</v>
      </c>
      <c r="D15" t="str">
        <v>ARY-825</v>
      </c>
      <c r="E15" t="str">
        <v/>
      </c>
      <c r="F15" t="str">
        <v>867162029858180</v>
      </c>
      <c r="G15" t="str">
        <v/>
      </c>
      <c r="H15" t="str">
        <v/>
      </c>
      <c r="I15" t="str">
        <v/>
      </c>
      <c r="J15" t="str">
        <v>28/09/2026</v>
      </c>
      <c r="K15" t="str">
        <v>17:18:51</v>
      </c>
      <c r="L15">
        <v>-12.317972</v>
      </c>
      <c r="M15">
        <v>-76.8243</v>
      </c>
      <c r="N15">
        <f>HYPERLINK("https://www.google.com/maps/search/?api=1&amp;query=-12.317972,-76.8243","Punta Hermosa, Lima")</f>
      </c>
      <c r="O15" t="str">
        <v>Vehículo encendido</v>
      </c>
      <c r="P15" t="str">
        <v/>
      </c>
      <c r="Q15">
        <v>270543.7</v>
      </c>
      <c r="R15" t="str">
        <v/>
      </c>
      <c r="S15">
        <v>0</v>
      </c>
      <c r="T15">
        <v>114.15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98</v>
      </c>
      <c r="AC15" t="str">
        <v>28/09/2026</v>
      </c>
      <c r="AD15" t="str">
        <v>17:06:51</v>
      </c>
      <c r="AE15">
        <f>IF("NOGPS"="NOGPS","GPS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17:19:01</v>
      </c>
      <c r="AL15" t="str">
        <v>17:19:01</v>
      </c>
      <c r="AM15" t="str">
        <v/>
      </c>
    </row>
    <row r="16">
      <c r="A16">
        <v>15</v>
      </c>
      <c r="B16" t="str">
        <v>MASS BSF</v>
      </c>
      <c r="C16" t="str">
        <v>ARY-825</v>
      </c>
      <c r="D16" t="str">
        <v>ARY-825</v>
      </c>
      <c r="E16" t="str">
        <v/>
      </c>
      <c r="F16" t="str">
        <v>867162029858180</v>
      </c>
      <c r="G16" t="str">
        <v/>
      </c>
      <c r="H16" t="str">
        <v/>
      </c>
      <c r="I16" t="str">
        <v/>
      </c>
      <c r="J16" t="str">
        <v>28/09/2026</v>
      </c>
      <c r="K16" t="str">
        <v>17:20:30</v>
      </c>
      <c r="L16">
        <v>-12.317557</v>
      </c>
      <c r="M16">
        <v>-76.82443</v>
      </c>
      <c r="N16">
        <f>HYPERLINK("https://www.google.com/maps/search/?api=1&amp;query=-12.317557,-76.82443","Punta Hermosa, Lima")</f>
      </c>
      <c r="O16" t="str">
        <v>Vehículo apagado</v>
      </c>
      <c r="P16" t="str">
        <v>Vehículo Apagado</v>
      </c>
      <c r="Q16">
        <v>270543.7</v>
      </c>
      <c r="R16" t="str">
        <v/>
      </c>
      <c r="S16">
        <v>0</v>
      </c>
      <c r="T16">
        <v>114.18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98</v>
      </c>
      <c r="AC16" t="str">
        <v>28/09/2026</v>
      </c>
      <c r="AD16" t="str">
        <v>17:19:51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17:20:35</v>
      </c>
      <c r="AL16" t="str">
        <v>17:20:35</v>
      </c>
      <c r="AM16" t="str">
        <v/>
      </c>
    </row>
    <row r="17">
      <c r="A17">
        <v>16</v>
      </c>
      <c r="B17" t="str">
        <v>MASS BSF</v>
      </c>
      <c r="C17" t="str">
        <v>ARY-825</v>
      </c>
      <c r="D17" t="str">
        <v>ARY-825</v>
      </c>
      <c r="E17" t="str">
        <v/>
      </c>
      <c r="F17" t="str">
        <v>867162029858180</v>
      </c>
      <c r="G17" t="str">
        <v/>
      </c>
      <c r="H17" t="str">
        <v/>
      </c>
      <c r="I17" t="str">
        <v/>
      </c>
      <c r="J17" t="str">
        <v>28/09/2026</v>
      </c>
      <c r="K17" t="str">
        <v>17:49:19</v>
      </c>
      <c r="L17">
        <v>-12.317479</v>
      </c>
      <c r="M17">
        <v>-76.82431</v>
      </c>
      <c r="N17">
        <f>HYPERLINK("https://www.google.com/maps/search/?api=1&amp;query=-12.317479,-76.82431","Punta Hermosa, Lima")</f>
      </c>
      <c r="O17" t="str">
        <v>Vehículo encendido</v>
      </c>
      <c r="P17" t="str">
        <v/>
      </c>
      <c r="Q17">
        <v>270543.7</v>
      </c>
      <c r="R17" t="str">
        <v/>
      </c>
      <c r="S17">
        <v>0</v>
      </c>
      <c r="T17">
        <v>114.18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98</v>
      </c>
      <c r="AC17" t="str">
        <v>28/09/2026</v>
      </c>
      <c r="AD17" t="str">
        <v>17:49:25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17:49:42</v>
      </c>
      <c r="AL17" t="str">
        <v>17:49:42</v>
      </c>
      <c r="AM17" t="str">
        <v/>
      </c>
    </row>
    <row r="18">
      <c r="A18">
        <v>17</v>
      </c>
      <c r="B18" t="str">
        <v>MASS BSF</v>
      </c>
      <c r="C18" t="str">
        <v>ARY-825</v>
      </c>
      <c r="D18" t="str">
        <v>ARY-825</v>
      </c>
      <c r="E18" t="str">
        <v/>
      </c>
      <c r="F18" t="str">
        <v>867162029858180</v>
      </c>
      <c r="G18" t="str">
        <v/>
      </c>
      <c r="H18" t="str">
        <v/>
      </c>
      <c r="I18" t="str">
        <v xml:space="preserve"> </v>
      </c>
      <c r="J18" t="str">
        <v>28/09/2026</v>
      </c>
      <c r="K18" t="str">
        <v>17:54:01</v>
      </c>
      <c r="L18">
        <v>-12.3175</v>
      </c>
      <c r="M18">
        <v>-76.829956</v>
      </c>
      <c r="N18">
        <f>HYPERLINK("https://www.google.com/maps/search/?api=1&amp;query=-12.3175,-76.829956","Punta Hermosa, Lima")</f>
      </c>
      <c r="O18" t="str">
        <v>Salió de zona</v>
      </c>
      <c r="P18" t="str">
        <v/>
      </c>
      <c r="Q18">
        <v>270544.3</v>
      </c>
      <c r="R18" t="str">
        <v>MASS BSF 1</v>
      </c>
      <c r="S18">
        <v>12.5</v>
      </c>
      <c r="T18">
        <v>114.18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98</v>
      </c>
      <c r="AC18" t="str">
        <v>28/09/2026</v>
      </c>
      <c r="AD18" t="str">
        <v>17:54:01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17:54:16</v>
      </c>
      <c r="AL18" t="str">
        <v>17:54:16</v>
      </c>
      <c r="AM18" t="str">
        <v/>
      </c>
    </row>
    <row r="19">
      <c r="A19">
        <v>18</v>
      </c>
      <c r="B19" t="str">
        <v>MASS BSF</v>
      </c>
      <c r="C19" t="str">
        <v>ARY-825</v>
      </c>
      <c r="D19" t="str">
        <v>ARY-825</v>
      </c>
      <c r="E19" t="str">
        <v/>
      </c>
      <c r="F19" t="str">
        <v>867162029858180</v>
      </c>
      <c r="G19" t="str">
        <v/>
      </c>
      <c r="H19" t="str">
        <v/>
      </c>
      <c r="I19" t="str">
        <v xml:space="preserve"> </v>
      </c>
      <c r="J19" t="str">
        <v>28/09/2026</v>
      </c>
      <c r="K19" t="str">
        <v>18:33:22</v>
      </c>
      <c r="L19">
        <v>-12.21291</v>
      </c>
      <c r="M19">
        <v>-76.959404</v>
      </c>
      <c r="N19">
        <f>HYPERLINK("https://www.google.com/maps/search/?api=1&amp;query=-12.21291,-76.959404","Avenida Villa del Mar, Villa El Salvador, Lima")</f>
      </c>
      <c r="O19" t="str">
        <v>Llegó a la zona</v>
      </c>
      <c r="P19" t="str">
        <v/>
      </c>
      <c r="Q19">
        <v>270566.3</v>
      </c>
      <c r="R19" t="str">
        <v>BASE-OSLOGISTICS</v>
      </c>
      <c r="S19">
        <v>0</v>
      </c>
      <c r="T19">
        <v>114.18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98</v>
      </c>
      <c r="AC19" t="str">
        <v>28/09/2026</v>
      </c>
      <c r="AD19" t="str">
        <v>18:33:19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18:33:43</v>
      </c>
      <c r="AL19" t="str">
        <v>18:33:43</v>
      </c>
      <c r="AM19" t="str">
        <v/>
      </c>
    </row>
    <row r="20">
      <c r="A20">
        <v>19</v>
      </c>
      <c r="B20" t="str">
        <v>MASS BSF</v>
      </c>
      <c r="C20" t="str">
        <v>ARY-825</v>
      </c>
      <c r="D20" t="str">
        <v>ARY-825</v>
      </c>
      <c r="E20" t="str">
        <v/>
      </c>
      <c r="F20" t="str">
        <v>867162029858180</v>
      </c>
      <c r="G20" t="str">
        <v/>
      </c>
      <c r="H20" t="str">
        <v/>
      </c>
      <c r="I20" t="str">
        <v/>
      </c>
      <c r="J20" t="str">
        <v>28/09/2026</v>
      </c>
      <c r="K20" t="str">
        <v>18:38:15</v>
      </c>
      <c r="L20">
        <v>-12.212911</v>
      </c>
      <c r="M20">
        <v>-76.95922</v>
      </c>
      <c r="N20">
        <f>HYPERLINK("https://www.google.com/maps/search/?api=1&amp;query=-12.212911,-76.95922","Avenida Villa del Mar, Villa El Salvador, Lima")</f>
      </c>
      <c r="O20" t="str">
        <v>Vehículo apagado</v>
      </c>
      <c r="P20" t="str">
        <v>Vehículo Apagado</v>
      </c>
      <c r="Q20">
        <v>270566.4</v>
      </c>
      <c r="R20" t="str">
        <v/>
      </c>
      <c r="S20">
        <v>0</v>
      </c>
      <c r="T20">
        <v>115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98</v>
      </c>
      <c r="AC20" t="str">
        <v>28/09/2026</v>
      </c>
      <c r="AD20" t="str">
        <v>18:38:18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18:38:38</v>
      </c>
      <c r="AL20" t="str">
        <v>18:38:38</v>
      </c>
      <c r="AM20" t="str">
        <v/>
      </c>
    </row>
  </sheetData>
  <ignoredErrors>
    <ignoredError numberStoredAsText="1" sqref="A1:AM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