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2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AKO-712</v>
      </c>
      <c r="D2" t="str">
        <v>AKO-712</v>
      </c>
      <c r="E2" t="str">
        <v/>
      </c>
      <c r="F2" t="str">
        <v>867162027717156</v>
      </c>
      <c r="G2" t="str">
        <v>TBD</v>
      </c>
      <c r="H2" t="str">
        <v/>
      </c>
      <c r="I2" t="str">
        <v/>
      </c>
      <c r="J2" t="str">
        <v>28/09/2026</v>
      </c>
      <c r="K2" t="str">
        <v>06:24:58</v>
      </c>
      <c r="L2">
        <v>-12.212907</v>
      </c>
      <c r="M2">
        <v>-76.95887</v>
      </c>
      <c r="N2">
        <f>HYPERLINK("https://www.google.com/maps/search/?api=1&amp;query=-12.212907,-76.95887","Avenida Villa del Mar, Villa El Salvador, Lima")</f>
      </c>
      <c r="O2" t="str">
        <v>Vehículo encendido</v>
      </c>
      <c r="P2" t="str">
        <v/>
      </c>
      <c r="Q2">
        <v>561985.8</v>
      </c>
      <c r="R2" t="str">
        <v/>
      </c>
      <c r="S2">
        <v>0</v>
      </c>
      <c r="T2">
        <v>0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98</v>
      </c>
      <c r="AC2" t="str">
        <v>28/09/2026</v>
      </c>
      <c r="AD2" t="str">
        <v>06:00:10</v>
      </c>
      <c r="AE2">
        <f>IF("NOGPS"="NOGPS","GPS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28/09/2026 06:25:13</v>
      </c>
      <c r="AL2" t="str">
        <v>06:25:13</v>
      </c>
      <c r="AM2" t="str">
        <v/>
      </c>
    </row>
    <row r="3">
      <c r="A3">
        <v>2</v>
      </c>
      <c r="B3" t="str">
        <v>MASS BSF</v>
      </c>
      <c r="C3" t="str">
        <v>AKO-712</v>
      </c>
      <c r="D3" t="str">
        <v>AKO-712</v>
      </c>
      <c r="E3" t="str">
        <v/>
      </c>
      <c r="F3" t="str">
        <v>867162027717156</v>
      </c>
      <c r="G3" t="str">
        <v>TBD</v>
      </c>
      <c r="H3" t="str">
        <v/>
      </c>
      <c r="I3" t="str">
        <v/>
      </c>
      <c r="J3" t="str">
        <v>28/09/2026</v>
      </c>
      <c r="K3" t="str">
        <v>06:28:04</v>
      </c>
      <c r="L3">
        <v>-12.212968</v>
      </c>
      <c r="M3">
        <v>-76.959015</v>
      </c>
      <c r="N3">
        <f>HYPERLINK("https://www.google.com/maps/search/?api=1&amp;query=-12.212968,-76.959015","Avenida Villa del Mar, Villa El Salvador, Lima")</f>
      </c>
      <c r="O3" t="str">
        <v>Vehículo apagado</v>
      </c>
      <c r="P3" t="str">
        <v>Vehículo Apagado</v>
      </c>
      <c r="Q3">
        <v>561985.8</v>
      </c>
      <c r="R3" t="str">
        <v/>
      </c>
      <c r="S3">
        <v>0</v>
      </c>
      <c r="T3">
        <v>0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96</v>
      </c>
      <c r="AC3" t="str">
        <v>28/09/2026</v>
      </c>
      <c r="AD3" t="str">
        <v>06:26:57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28/09/2026 06:28:15</v>
      </c>
      <c r="AL3" t="str">
        <v>06:28:15</v>
      </c>
      <c r="AM3" t="str">
        <v/>
      </c>
    </row>
    <row r="4">
      <c r="A4">
        <v>3</v>
      </c>
      <c r="B4" t="str">
        <v>MASS BSF</v>
      </c>
      <c r="C4" t="str">
        <v>AKO-712</v>
      </c>
      <c r="D4" t="str">
        <v>AKO-712</v>
      </c>
      <c r="E4" t="str">
        <v/>
      </c>
      <c r="F4" t="str">
        <v>867162027717156</v>
      </c>
      <c r="G4" t="str">
        <v>TBD</v>
      </c>
      <c r="H4" t="str">
        <v/>
      </c>
      <c r="I4" t="str">
        <v/>
      </c>
      <c r="J4" t="str">
        <v>28/09/2026</v>
      </c>
      <c r="K4" t="str">
        <v>08:43:13</v>
      </c>
      <c r="L4">
        <v>-12.212968</v>
      </c>
      <c r="M4">
        <v>-76.959015</v>
      </c>
      <c r="N4">
        <f>HYPERLINK("https://www.google.com/maps/search/?api=1&amp;query=-12.212968,-76.959015","Avenida Villa del Mar, Villa El Salvador, Lima")</f>
      </c>
      <c r="O4" t="str">
        <v>Vehículo encendido</v>
      </c>
      <c r="P4" t="str">
        <v/>
      </c>
      <c r="Q4">
        <v>561985.8</v>
      </c>
      <c r="R4" t="str">
        <v/>
      </c>
      <c r="S4">
        <v>0</v>
      </c>
      <c r="T4">
        <v>0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95</v>
      </c>
      <c r="AC4" t="str">
        <v>28/09/2026</v>
      </c>
      <c r="AD4" t="str">
        <v>08:25:52</v>
      </c>
      <c r="AE4">
        <f>IF("NOGPS"="NOGPS","GPS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28/09/2026 08:43:29</v>
      </c>
      <c r="AL4" t="str">
        <v>08:43:29</v>
      </c>
      <c r="AM4" t="str">
        <v/>
      </c>
    </row>
    <row r="5">
      <c r="A5">
        <v>4</v>
      </c>
      <c r="B5" t="str">
        <v>MASS BSF</v>
      </c>
      <c r="C5" t="str">
        <v>AKO-712</v>
      </c>
      <c r="D5" t="str">
        <v>AKO-712</v>
      </c>
      <c r="E5" t="str">
        <v/>
      </c>
      <c r="F5" t="str">
        <v>867162027717156</v>
      </c>
      <c r="G5" t="str">
        <v>TBD</v>
      </c>
      <c r="H5" t="str">
        <v/>
      </c>
      <c r="I5" t="str">
        <v/>
      </c>
      <c r="J5" t="str">
        <v>28/09/2026</v>
      </c>
      <c r="K5" t="str">
        <v>08:55:24</v>
      </c>
      <c r="L5">
        <v>-12.21756</v>
      </c>
      <c r="M5">
        <v>-76.954605</v>
      </c>
      <c r="N5">
        <f>HYPERLINK("https://www.google.com/maps/search/?api=1&amp;query=-12.21756,-76.954605","Avenida Separadora Agroindustrial, Villa El Salvador, Lima")</f>
      </c>
      <c r="O5" t="str">
        <v>Vehículo apagado</v>
      </c>
      <c r="P5" t="str">
        <v>Vehículo Apagado</v>
      </c>
      <c r="Q5">
        <v>561988</v>
      </c>
      <c r="R5" t="str">
        <v/>
      </c>
      <c r="S5">
        <v>0</v>
      </c>
      <c r="T5">
        <v>0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95</v>
      </c>
      <c r="AC5" t="str">
        <v>28/09/2026</v>
      </c>
      <c r="AD5" t="str">
        <v>08:55:27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28/09/2026 08:55:37</v>
      </c>
      <c r="AL5" t="str">
        <v>08:55:37</v>
      </c>
      <c r="AM5" t="str">
        <v/>
      </c>
    </row>
    <row r="6">
      <c r="A6">
        <v>5</v>
      </c>
      <c r="B6" t="str">
        <v>MASS BSF</v>
      </c>
      <c r="C6" t="str">
        <v>AKO-712</v>
      </c>
      <c r="D6" t="str">
        <v>AKO-712</v>
      </c>
      <c r="E6" t="str">
        <v/>
      </c>
      <c r="F6" t="str">
        <v>867162027717156</v>
      </c>
      <c r="G6" t="str">
        <v>TBD</v>
      </c>
      <c r="H6" t="str">
        <v/>
      </c>
      <c r="I6" t="str">
        <v/>
      </c>
      <c r="J6" t="str">
        <v>28/09/2026</v>
      </c>
      <c r="K6" t="str">
        <v>09:00:37</v>
      </c>
      <c r="L6">
        <v>-12.21756</v>
      </c>
      <c r="M6">
        <v>-76.954605</v>
      </c>
      <c r="N6">
        <f>HYPERLINK("https://www.google.com/maps/search/?api=1&amp;query=-12.21756,-76.954605","Avenida Separadora Agroindustrial, Villa El Salvador, Lima")</f>
      </c>
      <c r="O6" t="str">
        <v>Vehículo encendido</v>
      </c>
      <c r="P6" t="str">
        <v/>
      </c>
      <c r="Q6">
        <v>561988</v>
      </c>
      <c r="R6" t="str">
        <v/>
      </c>
      <c r="S6">
        <v>0</v>
      </c>
      <c r="T6">
        <v>0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95</v>
      </c>
      <c r="AC6" t="str">
        <v>28/09/2026</v>
      </c>
      <c r="AD6" t="str">
        <v>08:55:27</v>
      </c>
      <c r="AE6">
        <f>IF("NOGPS"="NOGPS","GPS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28/09/2026 09:01:01</v>
      </c>
      <c r="AL6" t="str">
        <v>09:01:01</v>
      </c>
      <c r="AM6" t="str">
        <v/>
      </c>
    </row>
    <row r="7">
      <c r="A7">
        <v>6</v>
      </c>
      <c r="B7" t="str">
        <v>MASS BSF</v>
      </c>
      <c r="C7" t="str">
        <v>AKO-712</v>
      </c>
      <c r="D7" t="str">
        <v>AKO-712</v>
      </c>
      <c r="E7" t="str">
        <v/>
      </c>
      <c r="F7" t="str">
        <v>867162027717156</v>
      </c>
      <c r="G7" t="str">
        <v>TBD</v>
      </c>
      <c r="H7" t="str">
        <v/>
      </c>
      <c r="I7" t="str">
        <v/>
      </c>
      <c r="J7" t="str">
        <v>28/09/2026</v>
      </c>
      <c r="K7" t="str">
        <v>09:14:34</v>
      </c>
      <c r="L7">
        <v>-12.244805</v>
      </c>
      <c r="M7">
        <v>-76.93882</v>
      </c>
      <c r="N7">
        <f>HYPERLINK("https://www.google.com/maps/search/?api=1&amp;query=-12.244805,-76.93882","Antigua Panamericana Sur, Villa El Salvador, Lima")</f>
      </c>
      <c r="O7" t="str">
        <v>Exceso de velocidad en segmento vial</v>
      </c>
      <c r="P7" t="str">
        <v/>
      </c>
      <c r="Q7">
        <v>561996.6</v>
      </c>
      <c r="R7" t="str">
        <v/>
      </c>
      <c r="S7">
        <v>64.2</v>
      </c>
      <c r="T7">
        <v>0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95</v>
      </c>
      <c r="AC7" t="str">
        <v>28/09/2026</v>
      </c>
      <c r="AD7" t="str">
        <v>09:13:35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28/09/2026 09:14:54</v>
      </c>
      <c r="AL7" t="str">
        <v>09:14:54</v>
      </c>
      <c r="AM7" t="str">
        <v/>
      </c>
    </row>
    <row r="8">
      <c r="A8">
        <v>7</v>
      </c>
      <c r="B8" t="str">
        <v>MASS BSF</v>
      </c>
      <c r="C8" t="str">
        <v>AKO-712</v>
      </c>
      <c r="D8" t="str">
        <v>AKO-712</v>
      </c>
      <c r="E8" t="str">
        <v/>
      </c>
      <c r="F8" t="str">
        <v>867162027717156</v>
      </c>
      <c r="G8" t="str">
        <v>TBD</v>
      </c>
      <c r="H8" t="str">
        <v/>
      </c>
      <c r="I8" t="str">
        <v xml:space="preserve"> </v>
      </c>
      <c r="J8" t="str">
        <v>28/09/2026</v>
      </c>
      <c r="K8" t="str">
        <v>09:34:59</v>
      </c>
      <c r="L8">
        <v>-12.317591</v>
      </c>
      <c r="M8">
        <v>-76.82966</v>
      </c>
      <c r="N8">
        <f>HYPERLINK("https://www.google.com/maps/search/?api=1&amp;query=-12.317591,-76.82966","Punta Hermosa, Lima")</f>
      </c>
      <c r="O8" t="str">
        <v>Llegó a la zona</v>
      </c>
      <c r="P8" t="str">
        <v/>
      </c>
      <c r="Q8">
        <v>562015.3</v>
      </c>
      <c r="R8" t="str">
        <v>MASS BSF 1</v>
      </c>
      <c r="S8">
        <v>4.9</v>
      </c>
      <c r="T8">
        <v>0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93</v>
      </c>
      <c r="AC8" t="str">
        <v>28/09/2026</v>
      </c>
      <c r="AD8" t="str">
        <v>09:34:59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28/09/2026 09:35:09</v>
      </c>
      <c r="AL8" t="str">
        <v>09:35:09</v>
      </c>
      <c r="AM8" t="str">
        <v/>
      </c>
    </row>
    <row r="9">
      <c r="A9">
        <v>8</v>
      </c>
      <c r="B9" t="str">
        <v>MASS BSF</v>
      </c>
      <c r="C9" t="str">
        <v>AKO-712</v>
      </c>
      <c r="D9" t="str">
        <v>AKO-712</v>
      </c>
      <c r="E9" t="str">
        <v/>
      </c>
      <c r="F9" t="str">
        <v>867162027717156</v>
      </c>
      <c r="G9" t="str">
        <v>TBD</v>
      </c>
      <c r="H9" t="str">
        <v/>
      </c>
      <c r="I9" t="str">
        <v/>
      </c>
      <c r="J9" t="str">
        <v>28/09/2026</v>
      </c>
      <c r="K9" t="str">
        <v>09:43:19</v>
      </c>
      <c r="L9">
        <v>-12.317338</v>
      </c>
      <c r="M9">
        <v>-76.82292</v>
      </c>
      <c r="N9">
        <f>HYPERLINK("https://www.google.com/maps/search/?api=1&amp;query=-12.317338,-76.82292","Punta Hermosa, Lima")</f>
      </c>
      <c r="O9" t="str">
        <v>Vehículo apagado</v>
      </c>
      <c r="P9" t="str">
        <v>Vehículo Apagado</v>
      </c>
      <c r="Q9">
        <v>562017.2</v>
      </c>
      <c r="R9" t="str">
        <v/>
      </c>
      <c r="S9">
        <v>0</v>
      </c>
      <c r="T9">
        <v>0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93</v>
      </c>
      <c r="AC9" t="str">
        <v>28/09/2026</v>
      </c>
      <c r="AD9" t="str">
        <v>09:43:22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28/09/2026 09:43:48</v>
      </c>
      <c r="AL9" t="str">
        <v>09:43:48</v>
      </c>
      <c r="AM9" t="str">
        <v/>
      </c>
    </row>
    <row r="10">
      <c r="A10">
        <v>9</v>
      </c>
      <c r="B10" t="str">
        <v>MASS BSF</v>
      </c>
      <c r="C10" t="str">
        <v>AKO-712</v>
      </c>
      <c r="D10" t="str">
        <v>AKO-712</v>
      </c>
      <c r="E10" t="str">
        <v/>
      </c>
      <c r="F10" t="str">
        <v>867162027717156</v>
      </c>
      <c r="G10" t="str">
        <v>TBD</v>
      </c>
      <c r="H10" t="str">
        <v/>
      </c>
      <c r="I10" t="str">
        <v/>
      </c>
      <c r="J10" t="str">
        <v>28/09/2026</v>
      </c>
      <c r="K10" t="str">
        <v>09:57:41</v>
      </c>
      <c r="L10">
        <v>-12.317338</v>
      </c>
      <c r="M10">
        <v>-76.82292</v>
      </c>
      <c r="N10">
        <f>HYPERLINK("https://www.google.com/maps/search/?api=1&amp;query=-12.317338,-76.82292","Punta Hermosa, Lima")</f>
      </c>
      <c r="O10" t="str">
        <v>Vehículo encendido</v>
      </c>
      <c r="P10" t="str">
        <v/>
      </c>
      <c r="Q10">
        <v>562017.2</v>
      </c>
      <c r="R10" t="str">
        <v/>
      </c>
      <c r="S10">
        <v>0</v>
      </c>
      <c r="T10">
        <v>0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93</v>
      </c>
      <c r="AC10" t="str">
        <v>28/09/2026</v>
      </c>
      <c r="AD10" t="str">
        <v>09:43:22</v>
      </c>
      <c r="AE10">
        <f>IF("NOGPS"="NOGPS","GPS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28/09/2026 09:57:48</v>
      </c>
      <c r="AL10" t="str">
        <v>09:57:48</v>
      </c>
      <c r="AM10" t="str">
        <v/>
      </c>
    </row>
    <row r="11">
      <c r="A11">
        <v>10</v>
      </c>
      <c r="B11" t="str">
        <v>MASS BSF</v>
      </c>
      <c r="C11" t="str">
        <v>AKO-712</v>
      </c>
      <c r="D11" t="str">
        <v>AKO-712</v>
      </c>
      <c r="E11" t="str">
        <v/>
      </c>
      <c r="F11" t="str">
        <v>867162027717156</v>
      </c>
      <c r="G11" t="str">
        <v>TBD</v>
      </c>
      <c r="H11" t="str">
        <v/>
      </c>
      <c r="I11" t="str">
        <v/>
      </c>
      <c r="J11" t="str">
        <v>28/09/2026</v>
      </c>
      <c r="K11" t="str">
        <v>10:01:07</v>
      </c>
      <c r="L11">
        <v>-12.317909</v>
      </c>
      <c r="M11">
        <v>-76.82421</v>
      </c>
      <c r="N11">
        <f>HYPERLINK("https://www.google.com/maps/search/?api=1&amp;query=-12.317909,-76.82421","Punta Hermosa, Lima")</f>
      </c>
      <c r="O11" t="str">
        <v>Vehículo apagado</v>
      </c>
      <c r="P11" t="str">
        <v>Vehículo Apagado</v>
      </c>
      <c r="Q11">
        <v>562017.4</v>
      </c>
      <c r="R11" t="str">
        <v/>
      </c>
      <c r="S11">
        <v>0</v>
      </c>
      <c r="T11">
        <v>0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93</v>
      </c>
      <c r="AC11" t="str">
        <v>28/09/2026</v>
      </c>
      <c r="AD11" t="str">
        <v>10:00:42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28/09/2026 10:01:23</v>
      </c>
      <c r="AL11" t="str">
        <v>10:01:23</v>
      </c>
      <c r="AM11" t="str">
        <v/>
      </c>
    </row>
    <row r="12">
      <c r="A12">
        <v>11</v>
      </c>
      <c r="B12" t="str">
        <v>MASS BSF</v>
      </c>
      <c r="C12" t="str">
        <v>AKO-712</v>
      </c>
      <c r="D12" t="str">
        <v>AKO-712</v>
      </c>
      <c r="E12" t="str">
        <v/>
      </c>
      <c r="F12" t="str">
        <v>867162027717156</v>
      </c>
      <c r="G12" t="str">
        <v>TBD</v>
      </c>
      <c r="H12" t="str">
        <v/>
      </c>
      <c r="I12" t="str">
        <v/>
      </c>
      <c r="J12" t="str">
        <v>28/09/2026</v>
      </c>
      <c r="K12" t="str">
        <v>10:01:23</v>
      </c>
      <c r="L12">
        <v>-12.317845</v>
      </c>
      <c r="M12">
        <v>-76.82411</v>
      </c>
      <c r="N12">
        <f>HYPERLINK("https://www.google.com/maps/search/?api=1&amp;query=-12.317845,-76.82411","Punta Hermosa, Lima")</f>
      </c>
      <c r="O12" t="str">
        <v>Vehículo encendido</v>
      </c>
      <c r="P12" t="str">
        <v/>
      </c>
      <c r="Q12">
        <v>562017.4</v>
      </c>
      <c r="R12" t="str">
        <v/>
      </c>
      <c r="S12">
        <v>0</v>
      </c>
      <c r="T12">
        <v>0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93</v>
      </c>
      <c r="AC12" t="str">
        <v>28/09/2026</v>
      </c>
      <c r="AD12" t="str">
        <v>10:01:26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28/09/2026 10:01:44</v>
      </c>
      <c r="AL12" t="str">
        <v>10:01:44</v>
      </c>
      <c r="AM12" t="str">
        <v/>
      </c>
    </row>
    <row r="13">
      <c r="A13">
        <v>12</v>
      </c>
      <c r="B13" t="str">
        <v>MASS BSF</v>
      </c>
      <c r="C13" t="str">
        <v>AKO-712</v>
      </c>
      <c r="D13" t="str">
        <v>AKO-712</v>
      </c>
      <c r="E13" t="str">
        <v/>
      </c>
      <c r="F13" t="str">
        <v>867162027717156</v>
      </c>
      <c r="G13" t="str">
        <v>TBD</v>
      </c>
      <c r="H13" t="str">
        <v/>
      </c>
      <c r="I13" t="str">
        <v/>
      </c>
      <c r="J13" t="str">
        <v>28/09/2026</v>
      </c>
      <c r="K13" t="str">
        <v>10:01:31</v>
      </c>
      <c r="L13">
        <v>-12.317845</v>
      </c>
      <c r="M13">
        <v>-76.82411</v>
      </c>
      <c r="N13">
        <f>HYPERLINK("https://www.google.com/maps/search/?api=1&amp;query=-12.317845,-76.82411","Punta Hermosa, Lima")</f>
      </c>
      <c r="O13" t="str">
        <v>Vehículo apagado</v>
      </c>
      <c r="P13" t="str">
        <v>Vehículo Apagado</v>
      </c>
      <c r="Q13">
        <v>562017.4</v>
      </c>
      <c r="R13" t="str">
        <v/>
      </c>
      <c r="S13">
        <v>0.2</v>
      </c>
      <c r="T13">
        <v>0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93</v>
      </c>
      <c r="AC13" t="str">
        <v>28/09/2026</v>
      </c>
      <c r="AD13" t="str">
        <v>10:01:26</v>
      </c>
      <c r="AE13">
        <f>IF("ONLINE"="NOGPS","GPS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28/09/2026 10:01:49</v>
      </c>
      <c r="AL13" t="str">
        <v>10:01:49</v>
      </c>
      <c r="AM13" t="str">
        <v/>
      </c>
    </row>
    <row r="14">
      <c r="A14">
        <v>13</v>
      </c>
      <c r="B14" t="str">
        <v>MASS BSF</v>
      </c>
      <c r="C14" t="str">
        <v>AKO-712</v>
      </c>
      <c r="D14" t="str">
        <v>AKO-712</v>
      </c>
      <c r="E14" t="str">
        <v/>
      </c>
      <c r="F14" t="str">
        <v>867162027717156</v>
      </c>
      <c r="G14" t="str">
        <v>TBD</v>
      </c>
      <c r="H14" t="str">
        <v/>
      </c>
      <c r="I14" t="str">
        <v/>
      </c>
      <c r="J14" t="str">
        <v>28/09/2026</v>
      </c>
      <c r="K14" t="str">
        <v>10:47:21</v>
      </c>
      <c r="L14">
        <v>-12.317903</v>
      </c>
      <c r="M14">
        <v>-76.82412</v>
      </c>
      <c r="N14">
        <f>HYPERLINK("https://www.google.com/maps/search/?api=1&amp;query=-12.317903,-76.82412","Punta Hermosa, Lima")</f>
      </c>
      <c r="O14" t="str">
        <v>Vehículo encendido</v>
      </c>
      <c r="P14" t="str">
        <v/>
      </c>
      <c r="Q14">
        <v>562017.4</v>
      </c>
      <c r="R14" t="str">
        <v/>
      </c>
      <c r="S14">
        <v>0</v>
      </c>
      <c r="T14">
        <v>0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93</v>
      </c>
      <c r="AC14" t="str">
        <v>28/09/2026</v>
      </c>
      <c r="AD14" t="str">
        <v>10:29:02</v>
      </c>
      <c r="AE14">
        <f>IF("NOGPS"="NOGPS","GPS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28/09/2026 10:47:34</v>
      </c>
      <c r="AL14" t="str">
        <v>10:47:34</v>
      </c>
      <c r="AM14" t="str">
        <v/>
      </c>
    </row>
    <row r="15">
      <c r="A15">
        <v>14</v>
      </c>
      <c r="B15" t="str">
        <v>MASS BSF</v>
      </c>
      <c r="C15" t="str">
        <v>AKO-712</v>
      </c>
      <c r="D15" t="str">
        <v>AKO-712</v>
      </c>
      <c r="E15" t="str">
        <v/>
      </c>
      <c r="F15" t="str">
        <v>867162027717156</v>
      </c>
      <c r="G15" t="str">
        <v>TBD</v>
      </c>
      <c r="H15" t="str">
        <v/>
      </c>
      <c r="I15" t="str">
        <v/>
      </c>
      <c r="J15" t="str">
        <v>28/09/2026</v>
      </c>
      <c r="K15" t="str">
        <v>10:49:05</v>
      </c>
      <c r="L15">
        <v>-12.317971</v>
      </c>
      <c r="M15">
        <v>-76.8243</v>
      </c>
      <c r="N15">
        <f>HYPERLINK("https://www.google.com/maps/search/?api=1&amp;query=-12.317971,-76.8243","Punta Hermosa, Lima")</f>
      </c>
      <c r="O15" t="str">
        <v>Vehículo apagado</v>
      </c>
      <c r="P15" t="str">
        <v>Vehículo Apagado</v>
      </c>
      <c r="Q15">
        <v>562017.4</v>
      </c>
      <c r="R15" t="str">
        <v/>
      </c>
      <c r="S15">
        <v>0</v>
      </c>
      <c r="T15">
        <v>0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93</v>
      </c>
      <c r="AC15" t="str">
        <v>28/09/2026</v>
      </c>
      <c r="AD15" t="str">
        <v>10:48:20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28/09/2026 10:49:16</v>
      </c>
      <c r="AL15" t="str">
        <v>10:49:16</v>
      </c>
      <c r="AM15" t="str">
        <v/>
      </c>
    </row>
    <row r="16">
      <c r="A16">
        <v>15</v>
      </c>
      <c r="B16" t="str">
        <v>MASS BSF</v>
      </c>
      <c r="C16" t="str">
        <v>AKO-712</v>
      </c>
      <c r="D16" t="str">
        <v>AKO-712</v>
      </c>
      <c r="E16" t="str">
        <v/>
      </c>
      <c r="F16" t="str">
        <v>867162027717156</v>
      </c>
      <c r="G16" t="str">
        <v>TBD</v>
      </c>
      <c r="H16" t="str">
        <v/>
      </c>
      <c r="I16" t="str">
        <v/>
      </c>
      <c r="J16" t="str">
        <v>28/09/2026</v>
      </c>
      <c r="K16" t="str">
        <v>10:52:13</v>
      </c>
      <c r="L16">
        <v>-12.317971</v>
      </c>
      <c r="M16">
        <v>-76.8243</v>
      </c>
      <c r="N16">
        <f>HYPERLINK("https://www.google.com/maps/search/?api=1&amp;query=-12.317971,-76.8243","Punta Hermosa, Lima")</f>
      </c>
      <c r="O16" t="str">
        <v>Vehículo encendido</v>
      </c>
      <c r="P16" t="str">
        <v/>
      </c>
      <c r="Q16">
        <v>562017.4</v>
      </c>
      <c r="R16" t="str">
        <v/>
      </c>
      <c r="S16">
        <v>0</v>
      </c>
      <c r="T16">
        <v>0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93</v>
      </c>
      <c r="AC16" t="str">
        <v>28/09/2026</v>
      </c>
      <c r="AD16" t="str">
        <v>10:49:07</v>
      </c>
      <c r="AE16">
        <f>IF("ONLINE"="NOGPS","GPS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28/09/2026 10:52:22</v>
      </c>
      <c r="AL16" t="str">
        <v>10:52:22</v>
      </c>
      <c r="AM16" t="str">
        <v/>
      </c>
    </row>
    <row r="17">
      <c r="A17">
        <v>16</v>
      </c>
      <c r="B17" t="str">
        <v>MASS BSF</v>
      </c>
      <c r="C17" t="str">
        <v>AKO-712</v>
      </c>
      <c r="D17" t="str">
        <v>AKO-712</v>
      </c>
      <c r="E17" t="str">
        <v/>
      </c>
      <c r="F17" t="str">
        <v>867162027717156</v>
      </c>
      <c r="G17" t="str">
        <v>TBD</v>
      </c>
      <c r="H17" t="str">
        <v/>
      </c>
      <c r="I17" t="str">
        <v/>
      </c>
      <c r="J17" t="str">
        <v>28/09/2026</v>
      </c>
      <c r="K17" t="str">
        <v>11:01:01</v>
      </c>
      <c r="L17">
        <v>-12.317821</v>
      </c>
      <c r="M17">
        <v>-76.824326</v>
      </c>
      <c r="N17">
        <f>HYPERLINK("https://www.google.com/maps/search/?api=1&amp;query=-12.317821,-76.824326","Punta Hermosa, Lima")</f>
      </c>
      <c r="O17" t="str">
        <v>Vehículo apagado</v>
      </c>
      <c r="P17" t="str">
        <v>Vehículo Apagado</v>
      </c>
      <c r="Q17">
        <v>562017.4</v>
      </c>
      <c r="R17" t="str">
        <v/>
      </c>
      <c r="S17">
        <v>0</v>
      </c>
      <c r="T17">
        <v>0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93</v>
      </c>
      <c r="AC17" t="str">
        <v>28/09/2026</v>
      </c>
      <c r="AD17" t="str">
        <v>11:00:09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28/09/2026 11:01:08</v>
      </c>
      <c r="AL17" t="str">
        <v>11:01:08</v>
      </c>
      <c r="AM17" t="str">
        <v/>
      </c>
    </row>
    <row r="18">
      <c r="A18">
        <v>17</v>
      </c>
      <c r="B18" t="str">
        <v>MASS BSF</v>
      </c>
      <c r="C18" t="str">
        <v>AKO-712</v>
      </c>
      <c r="D18" t="str">
        <v>AKO-712</v>
      </c>
      <c r="E18" t="str">
        <v/>
      </c>
      <c r="F18" t="str">
        <v>867162027717156</v>
      </c>
      <c r="G18" t="str">
        <v>TBD</v>
      </c>
      <c r="H18" t="str">
        <v/>
      </c>
      <c r="I18" t="str">
        <v/>
      </c>
      <c r="J18" t="str">
        <v>28/09/2026</v>
      </c>
      <c r="K18" t="str">
        <v>11:36:26</v>
      </c>
      <c r="L18">
        <v>-12.317821</v>
      </c>
      <c r="M18">
        <v>-76.824326</v>
      </c>
      <c r="N18">
        <f>HYPERLINK("https://www.google.com/maps/search/?api=1&amp;query=-12.317821,-76.824326","Punta Hermosa, Lima")</f>
      </c>
      <c r="O18" t="str">
        <v>Vehículo encendido</v>
      </c>
      <c r="P18" t="str">
        <v/>
      </c>
      <c r="Q18">
        <v>562017.4</v>
      </c>
      <c r="R18" t="str">
        <v/>
      </c>
      <c r="S18">
        <v>0</v>
      </c>
      <c r="T18">
        <v>0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92</v>
      </c>
      <c r="AC18" t="str">
        <v>28/09/2026</v>
      </c>
      <c r="AD18" t="str">
        <v>11:28:35</v>
      </c>
      <c r="AE18">
        <f>IF("NOGPS"="NOGPS","GPS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28/09/2026 11:36:43</v>
      </c>
      <c r="AL18" t="str">
        <v>11:36:43</v>
      </c>
      <c r="AM18" t="str">
        <v/>
      </c>
    </row>
    <row r="19">
      <c r="A19">
        <v>18</v>
      </c>
      <c r="B19" t="str">
        <v>MASS BSF</v>
      </c>
      <c r="C19" t="str">
        <v>AKO-712</v>
      </c>
      <c r="D19" t="str">
        <v>AKO-712</v>
      </c>
      <c r="E19" t="str">
        <v/>
      </c>
      <c r="F19" t="str">
        <v>867162027717156</v>
      </c>
      <c r="G19" t="str">
        <v>TBD</v>
      </c>
      <c r="H19" t="str">
        <v/>
      </c>
      <c r="I19" t="str">
        <v/>
      </c>
      <c r="J19" t="str">
        <v>28/09/2026</v>
      </c>
      <c r="K19" t="str">
        <v>11:48:19</v>
      </c>
      <c r="L19">
        <v>-12.316582</v>
      </c>
      <c r="M19">
        <v>-76.82855</v>
      </c>
      <c r="N19">
        <f>HYPERLINK("https://www.google.com/maps/search/?api=1&amp;query=-12.316582,-76.82855","Punta Hermosa, Lima")</f>
      </c>
      <c r="O19" t="str">
        <v>Inicio de ralentí</v>
      </c>
      <c r="P19" t="str">
        <v>Vehículo Detenido</v>
      </c>
      <c r="Q19">
        <v>562018.1</v>
      </c>
      <c r="R19" t="str">
        <v/>
      </c>
      <c r="S19">
        <v>0</v>
      </c>
      <c r="T19">
        <v>0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92</v>
      </c>
      <c r="AC19" t="str">
        <v>28/09/2026</v>
      </c>
      <c r="AD19" t="str">
        <v>11:47:25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28/09/2026 11:48:31</v>
      </c>
      <c r="AL19" t="str">
        <v>11:48:31</v>
      </c>
      <c r="AM19" t="str">
        <v/>
      </c>
    </row>
    <row r="20">
      <c r="A20">
        <v>19</v>
      </c>
      <c r="B20" t="str">
        <v>MASS BSF</v>
      </c>
      <c r="C20" t="str">
        <v>AKO-712</v>
      </c>
      <c r="D20" t="str">
        <v>AKO-712</v>
      </c>
      <c r="E20" t="str">
        <v/>
      </c>
      <c r="F20" t="str">
        <v>867162027717156</v>
      </c>
      <c r="G20" t="str">
        <v>TBD</v>
      </c>
      <c r="H20" t="str">
        <v/>
      </c>
      <c r="I20" t="str">
        <v/>
      </c>
      <c r="J20" t="str">
        <v>28/09/2026</v>
      </c>
      <c r="K20" t="str">
        <v>11:50:13</v>
      </c>
      <c r="L20">
        <v>-12.316721</v>
      </c>
      <c r="M20">
        <v>-76.828514</v>
      </c>
      <c r="N20">
        <f>HYPERLINK("https://www.google.com/maps/search/?api=1&amp;query=-12.316721,-76.828514","Punta Hermosa, Lima")</f>
      </c>
      <c r="O20" t="str">
        <v>Fin de ralentí</v>
      </c>
      <c r="P20" t="str">
        <v/>
      </c>
      <c r="Q20">
        <v>562018.1</v>
      </c>
      <c r="R20" t="str">
        <v/>
      </c>
      <c r="S20">
        <v>7.1</v>
      </c>
      <c r="T20">
        <v>0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92</v>
      </c>
      <c r="AC20" t="str">
        <v>28/09/2026</v>
      </c>
      <c r="AD20" t="str">
        <v>11:49:25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28/09/2026 11:50:24</v>
      </c>
      <c r="AL20" t="str">
        <v>11:50:24</v>
      </c>
      <c r="AM20" t="str">
        <v/>
      </c>
    </row>
    <row r="21">
      <c r="A21">
        <v>20</v>
      </c>
      <c r="B21" t="str">
        <v>MASS BSF</v>
      </c>
      <c r="C21" t="str">
        <v>AKO-712</v>
      </c>
      <c r="D21" t="str">
        <v>AKO-712</v>
      </c>
      <c r="E21" t="str">
        <v/>
      </c>
      <c r="F21" t="str">
        <v>867162027717156</v>
      </c>
      <c r="G21" t="str">
        <v>TBD</v>
      </c>
      <c r="H21" t="str">
        <v/>
      </c>
      <c r="I21" t="str">
        <v xml:space="preserve"> </v>
      </c>
      <c r="J21" t="str">
        <v>28/09/2026</v>
      </c>
      <c r="K21" t="str">
        <v>11:52:14</v>
      </c>
      <c r="L21">
        <v>-12.317537</v>
      </c>
      <c r="M21">
        <v>-76.82985</v>
      </c>
      <c r="N21">
        <f>HYPERLINK("https://www.google.com/maps/search/?api=1&amp;query=-12.317537,-76.82985","Punta Hermosa, Lima")</f>
      </c>
      <c r="O21" t="str">
        <v>Salió de zona</v>
      </c>
      <c r="P21" t="str">
        <v/>
      </c>
      <c r="Q21">
        <v>562018.1</v>
      </c>
      <c r="R21" t="str">
        <v>MASS BSF 1</v>
      </c>
      <c r="S21">
        <v>12.7</v>
      </c>
      <c r="T21">
        <v>0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92</v>
      </c>
      <c r="AC21" t="str">
        <v>28/09/2026</v>
      </c>
      <c r="AD21" t="str">
        <v>11:52:13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28/09/2026 11:52:25</v>
      </c>
      <c r="AL21" t="str">
        <v>11:52:25</v>
      </c>
      <c r="AM21" t="str">
        <v/>
      </c>
    </row>
    <row r="22">
      <c r="A22">
        <v>21</v>
      </c>
      <c r="B22" t="str">
        <v>MASS BSF</v>
      </c>
      <c r="C22" t="str">
        <v>AKO-712</v>
      </c>
      <c r="D22" t="str">
        <v>AKO-712</v>
      </c>
      <c r="E22" t="str">
        <v/>
      </c>
      <c r="F22" t="str">
        <v>867162027717156</v>
      </c>
      <c r="G22" t="str">
        <v>TBD</v>
      </c>
      <c r="H22" t="str">
        <v/>
      </c>
      <c r="I22" t="str">
        <v/>
      </c>
      <c r="J22" t="str">
        <v>28/09/2026</v>
      </c>
      <c r="K22" t="str">
        <v>11:54:50</v>
      </c>
      <c r="L22">
        <v>-12.301507</v>
      </c>
      <c r="M22">
        <v>-76.845505</v>
      </c>
      <c r="N22">
        <f>HYPERLINK("https://www.google.com/maps/search/?api=1&amp;query=-12.301507,-76.845505","Carretera Panamericana Sur, Lurín, Lima")</f>
      </c>
      <c r="O22" t="str">
        <v>Excedió el límite de velocidad</v>
      </c>
      <c r="P22" t="str">
        <v/>
      </c>
      <c r="Q22">
        <v>562020.8</v>
      </c>
      <c r="R22" t="str">
        <v/>
      </c>
      <c r="S22">
        <v>81.2</v>
      </c>
      <c r="T22">
        <v>0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92</v>
      </c>
      <c r="AC22" t="str">
        <v>28/09/2026</v>
      </c>
      <c r="AD22" t="str">
        <v>11:54:49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28/09/2026 11:55:08</v>
      </c>
      <c r="AL22" t="str">
        <v>11:55:08</v>
      </c>
      <c r="AM22" t="str">
        <v/>
      </c>
    </row>
    <row r="23">
      <c r="A23">
        <v>22</v>
      </c>
      <c r="B23" t="str">
        <v>MASS BSF</v>
      </c>
      <c r="C23" t="str">
        <v>AKO-712</v>
      </c>
      <c r="D23" t="str">
        <v>AKO-712</v>
      </c>
      <c r="E23" t="str">
        <v/>
      </c>
      <c r="F23" t="str">
        <v>867162027717156</v>
      </c>
      <c r="G23" t="str">
        <v>TBD</v>
      </c>
      <c r="H23" t="str">
        <v/>
      </c>
      <c r="I23" t="str">
        <v xml:space="preserve"> </v>
      </c>
      <c r="J23" t="str">
        <v>28/09/2026</v>
      </c>
      <c r="K23" t="str">
        <v>12:36:05</v>
      </c>
      <c r="L23">
        <v>-12.159463</v>
      </c>
      <c r="M23">
        <v>-76.95606</v>
      </c>
      <c r="N23">
        <f>HYPERLINK("https://www.google.com/maps/search/?api=1&amp;query=-12.159463,-76.95606","Avenida José Carlos Mariátegui, Villa María del Triunfo, Lima")</f>
      </c>
      <c r="O23" t="str">
        <v>Llegó a la zona</v>
      </c>
      <c r="P23" t="str">
        <v/>
      </c>
      <c r="Q23">
        <v>562044.9</v>
      </c>
      <c r="R23" t="str">
        <v>1160-ALLENDE1VMT MS</v>
      </c>
      <c r="S23">
        <v>7.1</v>
      </c>
      <c r="T23">
        <v>0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90</v>
      </c>
      <c r="AC23" t="str">
        <v>28/09/2026</v>
      </c>
      <c r="AD23" t="str">
        <v>12:36:04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28/09/2026 12:36:26</v>
      </c>
      <c r="AL23" t="str">
        <v>12:36:26</v>
      </c>
      <c r="AM23" t="str">
        <v/>
      </c>
    </row>
    <row r="24">
      <c r="A24">
        <v>23</v>
      </c>
      <c r="B24" t="str">
        <v>MASS BSF</v>
      </c>
      <c r="C24" t="str">
        <v>AKO-712</v>
      </c>
      <c r="D24" t="str">
        <v>AKO-712</v>
      </c>
      <c r="E24" t="str">
        <v/>
      </c>
      <c r="F24" t="str">
        <v>867162027717156</v>
      </c>
      <c r="G24" t="str">
        <v>TBD</v>
      </c>
      <c r="H24" t="str">
        <v/>
      </c>
      <c r="I24" t="str">
        <v xml:space="preserve"> </v>
      </c>
      <c r="J24" t="str">
        <v>28/09/2026</v>
      </c>
      <c r="K24" t="str">
        <v>12:36:40</v>
      </c>
      <c r="L24">
        <v>-12.158654</v>
      </c>
      <c r="M24">
        <v>-76.955536</v>
      </c>
      <c r="N24">
        <f>HYPERLINK("https://www.google.com/maps/search/?api=1&amp;query=-12.158654,-76.955536","Avenida José Carlos Mariátegui, Villa María del Triunfo, Lima")</f>
      </c>
      <c r="O24" t="str">
        <v>Salió de zona</v>
      </c>
      <c r="P24" t="str">
        <v/>
      </c>
      <c r="Q24">
        <v>562044.9</v>
      </c>
      <c r="R24" t="str">
        <v>1160-ALLENDE1VMT MS</v>
      </c>
      <c r="S24">
        <v>21.6</v>
      </c>
      <c r="T24">
        <v>0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90</v>
      </c>
      <c r="AC24" t="str">
        <v>28/09/2026</v>
      </c>
      <c r="AD24" t="str">
        <v>12:36:25</v>
      </c>
      <c r="AE24">
        <f>IF("ONLINE"="NOGPS","GPS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28/09/2026 12:36:59</v>
      </c>
      <c r="AL24" t="str">
        <v>12:36:59</v>
      </c>
      <c r="AM24" t="str">
        <v/>
      </c>
    </row>
    <row r="25">
      <c r="A25">
        <v>24</v>
      </c>
      <c r="B25" t="str">
        <v>MASS BSF</v>
      </c>
      <c r="C25" t="str">
        <v>AKO-712</v>
      </c>
      <c r="D25" t="str">
        <v>AKO-712</v>
      </c>
      <c r="E25" t="str">
        <v/>
      </c>
      <c r="F25" t="str">
        <v>867162027717156</v>
      </c>
      <c r="G25" t="str">
        <v>TBD</v>
      </c>
      <c r="H25" t="str">
        <v/>
      </c>
      <c r="I25" t="str">
        <v xml:space="preserve"> </v>
      </c>
      <c r="J25" t="str">
        <v>28/09/2026</v>
      </c>
      <c r="K25" t="str">
        <v>12:38:40</v>
      </c>
      <c r="L25">
        <v>-12.154012</v>
      </c>
      <c r="M25">
        <v>-76.95235</v>
      </c>
      <c r="N25">
        <f>HYPERLINK("https://www.google.com/maps/search/?api=1&amp;query=-12.154012,-76.95235","Avenida José Carlos Mariátegui, Villa María del Triunfo, Lima")</f>
      </c>
      <c r="O25" t="str">
        <v>Llegó a la zona</v>
      </c>
      <c r="P25" t="str">
        <v/>
      </c>
      <c r="Q25">
        <v>562045.8</v>
      </c>
      <c r="R25" t="str">
        <v>502-M.MARIATEGUI 8</v>
      </c>
      <c r="S25">
        <v>15.6</v>
      </c>
      <c r="T25">
        <v>0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90</v>
      </c>
      <c r="AC25" t="str">
        <v>28/09/2026</v>
      </c>
      <c r="AD25" t="str">
        <v>12:38:25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28/09/2026 12:38:54</v>
      </c>
      <c r="AL25" t="str">
        <v>12:38:54</v>
      </c>
      <c r="AM25" t="str">
        <v/>
      </c>
    </row>
    <row r="26">
      <c r="A26">
        <v>25</v>
      </c>
      <c r="B26" t="str">
        <v>MASS BSF</v>
      </c>
      <c r="C26" t="str">
        <v>AKO-712</v>
      </c>
      <c r="D26" t="str">
        <v>AKO-712</v>
      </c>
      <c r="E26" t="str">
        <v/>
      </c>
      <c r="F26" t="str">
        <v>867162027717156</v>
      </c>
      <c r="G26" t="str">
        <v>TBD</v>
      </c>
      <c r="H26" t="str">
        <v/>
      </c>
      <c r="I26" t="str">
        <v xml:space="preserve"> </v>
      </c>
      <c r="J26" t="str">
        <v>28/09/2026</v>
      </c>
      <c r="K26" t="str">
        <v>12:39:40</v>
      </c>
      <c r="L26">
        <v>-12.151907</v>
      </c>
      <c r="M26">
        <v>-76.95158</v>
      </c>
      <c r="N26">
        <f>HYPERLINK("https://www.google.com/maps/search/?api=1&amp;query=-12.151907,-76.95158","Avenida José Carlos Mariátegui, Villa María del Triunfo, Lima")</f>
      </c>
      <c r="O26" t="str">
        <v>Salió de zona</v>
      </c>
      <c r="P26" t="str">
        <v/>
      </c>
      <c r="Q26">
        <v>562045.8</v>
      </c>
      <c r="R26" t="str">
        <v>502-M.MARIATEGUI 8</v>
      </c>
      <c r="S26">
        <v>14.2</v>
      </c>
      <c r="T26">
        <v>0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90</v>
      </c>
      <c r="AC26" t="str">
        <v>28/09/2026</v>
      </c>
      <c r="AD26" t="str">
        <v>12:39:25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28/09/2026 12:39:48</v>
      </c>
      <c r="AL26" t="str">
        <v>12:39:48</v>
      </c>
      <c r="AM26" t="str">
        <v/>
      </c>
    </row>
    <row r="27">
      <c r="A27">
        <v>26</v>
      </c>
      <c r="B27" t="str">
        <v>MASS BSF</v>
      </c>
      <c r="C27" t="str">
        <v>AKO-712</v>
      </c>
      <c r="D27" t="str">
        <v>AKO-712</v>
      </c>
      <c r="E27" t="str">
        <v/>
      </c>
      <c r="F27" t="str">
        <v>867162027717156</v>
      </c>
      <c r="G27" t="str">
        <v>TBD</v>
      </c>
      <c r="H27" t="str">
        <v/>
      </c>
      <c r="I27" t="str">
        <v xml:space="preserve"> </v>
      </c>
      <c r="J27" t="str">
        <v>28/09/2026</v>
      </c>
      <c r="K27" t="str">
        <v>12:40:40</v>
      </c>
      <c r="L27">
        <v>-12.147915</v>
      </c>
      <c r="M27">
        <v>-76.95068</v>
      </c>
      <c r="N27">
        <f>HYPERLINK("https://www.google.com/maps/search/?api=1&amp;query=-12.147915,-76.95068","Avenida José Carlos Mariátegui, Villa María del Triunfo, Lima")</f>
      </c>
      <c r="O27" t="str">
        <v>Llegó a la zona</v>
      </c>
      <c r="P27" t="str">
        <v/>
      </c>
      <c r="Q27">
        <v>562045.8</v>
      </c>
      <c r="R27" t="str">
        <v>1029-MARIATE17VMT MS</v>
      </c>
      <c r="S27">
        <v>16</v>
      </c>
      <c r="T27">
        <v>0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90</v>
      </c>
      <c r="AC27" t="str">
        <v>28/09/2026</v>
      </c>
      <c r="AD27" t="str">
        <v>12:40:25</v>
      </c>
      <c r="AE27">
        <f>IF("ONLINE"="NOGPS","GPS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28/09/2026 12:40:47</v>
      </c>
      <c r="AL27" t="str">
        <v>12:40:47</v>
      </c>
      <c r="AM27" t="str">
        <v/>
      </c>
    </row>
    <row r="28">
      <c r="A28">
        <v>27</v>
      </c>
      <c r="B28" t="str">
        <v>MASS BSF</v>
      </c>
      <c r="C28" t="str">
        <v>AKO-712</v>
      </c>
      <c r="D28" t="str">
        <v>AKO-712</v>
      </c>
      <c r="E28" t="str">
        <v/>
      </c>
      <c r="F28" t="str">
        <v>867162027717156</v>
      </c>
      <c r="G28" t="str">
        <v>TBD</v>
      </c>
      <c r="H28" t="str">
        <v/>
      </c>
      <c r="I28" t="str">
        <v xml:space="preserve"> </v>
      </c>
      <c r="J28" t="str">
        <v>28/09/2026</v>
      </c>
      <c r="K28" t="str">
        <v>12:41:11</v>
      </c>
      <c r="L28">
        <v>-12.146077</v>
      </c>
      <c r="M28">
        <v>-76.9502</v>
      </c>
      <c r="N28">
        <f>HYPERLINK("https://www.google.com/maps/search/?api=1&amp;query=-12.146077,-76.9502","Avenida Prolongación Luis Pardo, Villa María del Triunfo, Lima")</f>
      </c>
      <c r="O28" t="str">
        <v>Salió de zona</v>
      </c>
      <c r="P28" t="str">
        <v/>
      </c>
      <c r="Q28">
        <v>562046.6</v>
      </c>
      <c r="R28" t="str">
        <v>1029-MARIATE17VMT MS</v>
      </c>
      <c r="S28">
        <v>5.6</v>
      </c>
      <c r="T28">
        <v>0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90</v>
      </c>
      <c r="AC28" t="str">
        <v>28/09/2026</v>
      </c>
      <c r="AD28" t="str">
        <v>12:41:10</v>
      </c>
      <c r="AE28">
        <f>IF("ONLINE"="NOGPS","GPS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28/09/2026 12:41:22</v>
      </c>
      <c r="AL28" t="str">
        <v>12:41:22</v>
      </c>
      <c r="AM28" t="str">
        <v/>
      </c>
    </row>
    <row r="29">
      <c r="A29">
        <v>28</v>
      </c>
      <c r="B29" t="str">
        <v>MASS BSF</v>
      </c>
      <c r="C29" t="str">
        <v>AKO-712</v>
      </c>
      <c r="D29" t="str">
        <v>AKO-712</v>
      </c>
      <c r="E29" t="str">
        <v/>
      </c>
      <c r="F29" t="str">
        <v>867162027717156</v>
      </c>
      <c r="G29" t="str">
        <v>TBD</v>
      </c>
      <c r="H29" t="str">
        <v/>
      </c>
      <c r="I29" t="str">
        <v/>
      </c>
      <c r="J29" t="str">
        <v>28/09/2026</v>
      </c>
      <c r="K29" t="str">
        <v>12:51:48</v>
      </c>
      <c r="L29">
        <v>-12.14336</v>
      </c>
      <c r="M29">
        <v>-76.94698</v>
      </c>
      <c r="N29">
        <f>HYPERLINK("https://www.google.com/maps/search/?api=1&amp;query=-12.14336,-76.94698","Avenida Tingo María, Villa María del Triunfo, Lima")</f>
      </c>
      <c r="O29" t="str">
        <v>Vehículo apagado</v>
      </c>
      <c r="P29" t="str">
        <v>Vehículo Apagado</v>
      </c>
      <c r="Q29">
        <v>562048.6</v>
      </c>
      <c r="R29" t="str">
        <v/>
      </c>
      <c r="S29">
        <v>0</v>
      </c>
      <c r="T29">
        <v>0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90</v>
      </c>
      <c r="AC29" t="str">
        <v>28/09/2026</v>
      </c>
      <c r="AD29" t="str">
        <v>12:50:25</v>
      </c>
      <c r="AE29">
        <f>IF("ONLINE"="NOGPS","GPS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28/09/2026 12:51:55</v>
      </c>
      <c r="AL29" t="str">
        <v>12:51:55</v>
      </c>
      <c r="AM29" t="str">
        <v/>
      </c>
    </row>
    <row r="30">
      <c r="A30">
        <v>29</v>
      </c>
      <c r="B30" t="str">
        <v>MASS BSF</v>
      </c>
      <c r="C30" t="str">
        <v>AKO-712</v>
      </c>
      <c r="D30" t="str">
        <v>AKO-712</v>
      </c>
      <c r="E30" t="str">
        <v/>
      </c>
      <c r="F30" t="str">
        <v>867162027717156</v>
      </c>
      <c r="G30" t="str">
        <v>TBD</v>
      </c>
      <c r="H30" t="str">
        <v/>
      </c>
      <c r="I30" t="str">
        <v/>
      </c>
      <c r="J30" t="str">
        <v>28/09/2026</v>
      </c>
      <c r="K30" t="str">
        <v>12:53:18</v>
      </c>
      <c r="L30">
        <v>-12.14336</v>
      </c>
      <c r="M30">
        <v>-76.94698</v>
      </c>
      <c r="N30">
        <f>HYPERLINK("https://www.google.com/maps/search/?api=1&amp;query=-12.14336,-76.94698","Avenida Tingo María, Villa María del Triunfo, Lima")</f>
      </c>
      <c r="O30" t="str">
        <v>Vehículo encendido</v>
      </c>
      <c r="P30" t="str">
        <v/>
      </c>
      <c r="Q30">
        <v>562048.6</v>
      </c>
      <c r="R30" t="str">
        <v/>
      </c>
      <c r="S30">
        <v>0</v>
      </c>
      <c r="T30">
        <v>0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90</v>
      </c>
      <c r="AC30" t="str">
        <v>28/09/2026</v>
      </c>
      <c r="AD30" t="str">
        <v>12:51:51</v>
      </c>
      <c r="AE30">
        <f>IF("ONLINE"="NOGPS","GPS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28/09/2026 12:53:28</v>
      </c>
      <c r="AL30" t="str">
        <v>12:53:28</v>
      </c>
      <c r="AM30" t="str">
        <v/>
      </c>
    </row>
    <row r="31">
      <c r="A31">
        <v>30</v>
      </c>
      <c r="B31" t="str">
        <v>MASS BSF</v>
      </c>
      <c r="C31" t="str">
        <v>AKO-712</v>
      </c>
      <c r="D31" t="str">
        <v>AKO-712</v>
      </c>
      <c r="E31" t="str">
        <v/>
      </c>
      <c r="F31" t="str">
        <v>867162027717156</v>
      </c>
      <c r="G31" t="str">
        <v>TBD</v>
      </c>
      <c r="H31" t="str">
        <v/>
      </c>
      <c r="I31" t="str">
        <v/>
      </c>
      <c r="J31" t="str">
        <v>28/09/2026</v>
      </c>
      <c r="K31" t="str">
        <v>13:01:02</v>
      </c>
      <c r="L31">
        <v>-12.143409</v>
      </c>
      <c r="M31">
        <v>-76.94558</v>
      </c>
      <c r="N31">
        <f>HYPERLINK("https://www.google.com/maps/search/?api=1&amp;query=-12.143409,-76.94558","Avenida José Olaya, Villa María del Triunfo, Lima")</f>
      </c>
      <c r="O31" t="str">
        <v>Vehículo apagado</v>
      </c>
      <c r="P31" t="str">
        <v>Vehículo Apagado</v>
      </c>
      <c r="Q31">
        <v>562048.7</v>
      </c>
      <c r="R31" t="str">
        <v/>
      </c>
      <c r="S31">
        <v>8.5</v>
      </c>
      <c r="T31">
        <v>0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90</v>
      </c>
      <c r="AC31" t="str">
        <v>28/09/2026</v>
      </c>
      <c r="AD31" t="str">
        <v>13:00:17</v>
      </c>
      <c r="AE31">
        <f>IF("ONLINE"="NOGPS","GPS Antiguo","En línea")</f>
      </c>
      <c r="AF31">
        <f>IF(0=0,"Sin atender", IF(0=1,"Atendida","Atendida y Reportada"))</f>
      </c>
      <c r="AG31" t="str">
        <v/>
      </c>
      <c r="AH31" t="str">
        <v/>
      </c>
      <c r="AI31" t="str">
        <v/>
      </c>
      <c r="AJ31" t="str">
        <v/>
      </c>
      <c r="AK31" t="str">
        <v>28/09/2026 13:01:13</v>
      </c>
      <c r="AL31" t="str">
        <v>13:01:13</v>
      </c>
      <c r="AM31" t="str">
        <v/>
      </c>
    </row>
    <row r="32">
      <c r="A32">
        <v>31</v>
      </c>
      <c r="B32" t="str">
        <v>MASS BSF</v>
      </c>
      <c r="C32" t="str">
        <v>AKO-712</v>
      </c>
      <c r="D32" t="str">
        <v>AKO-712</v>
      </c>
      <c r="E32" t="str">
        <v/>
      </c>
      <c r="F32" t="str">
        <v>867162027717156</v>
      </c>
      <c r="G32" t="str">
        <v>TBD</v>
      </c>
      <c r="H32" t="str">
        <v/>
      </c>
      <c r="I32" t="str">
        <v xml:space="preserve"> </v>
      </c>
      <c r="J32" t="str">
        <v>28/09/2026</v>
      </c>
      <c r="K32" t="str">
        <v>13:01:05</v>
      </c>
      <c r="L32">
        <v>-12.143314</v>
      </c>
      <c r="M32">
        <v>-76.94479</v>
      </c>
      <c r="N32">
        <f>HYPERLINK("https://www.google.com/maps/search/?api=1&amp;query=-12.143314,-76.94479","Avenida José Olaya, Villa María del Triunfo, Lima")</f>
      </c>
      <c r="O32" t="str">
        <v>Llegó a la zona</v>
      </c>
      <c r="P32" t="str">
        <v/>
      </c>
      <c r="Q32">
        <v>562048.6</v>
      </c>
      <c r="R32" t="str">
        <v>1120-OLAYA4 VMT MS</v>
      </c>
      <c r="S32">
        <v>0</v>
      </c>
      <c r="T32">
        <v>0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90</v>
      </c>
      <c r="AC32" t="str">
        <v>28/09/2026</v>
      </c>
      <c r="AD32" t="str">
        <v>13:01:04</v>
      </c>
      <c r="AE32">
        <f>IF("ONLINE"="NOGPS","GPS Antiguo","En línea")</f>
      </c>
      <c r="AF32">
        <f>IF(0=0,"Sin atender", IF(0=1,"Atendida","Atendida y Reportada"))</f>
      </c>
      <c r="AG32" t="str">
        <v/>
      </c>
      <c r="AH32" t="str">
        <v/>
      </c>
      <c r="AI32" t="str">
        <v/>
      </c>
      <c r="AJ32" t="str">
        <v/>
      </c>
      <c r="AK32" t="str">
        <v>28/09/2026 13:01:25</v>
      </c>
      <c r="AL32" t="str">
        <v>13:01:25</v>
      </c>
      <c r="AM32" t="str">
        <v/>
      </c>
    </row>
    <row r="33">
      <c r="A33">
        <v>32</v>
      </c>
      <c r="B33" t="str">
        <v>MASS BSF</v>
      </c>
      <c r="C33" t="str">
        <v>AKO-712</v>
      </c>
      <c r="D33" t="str">
        <v>AKO-712</v>
      </c>
      <c r="E33" t="str">
        <v/>
      </c>
      <c r="F33" t="str">
        <v>867162027717156</v>
      </c>
      <c r="G33" t="str">
        <v>TBD</v>
      </c>
      <c r="H33" t="str">
        <v/>
      </c>
      <c r="I33" t="str">
        <v/>
      </c>
      <c r="J33" t="str">
        <v>28/09/2026</v>
      </c>
      <c r="K33" t="str">
        <v>13:41:02</v>
      </c>
      <c r="L33">
        <v>-12.143314</v>
      </c>
      <c r="M33">
        <v>-76.94479</v>
      </c>
      <c r="N33">
        <f>HYPERLINK("https://www.google.com/maps/search/?api=1&amp;query=-12.143314,-76.94479","Avenida José Olaya, Villa María del Triunfo, Lima")</f>
      </c>
      <c r="O33" t="str">
        <v>Vehículo encendido</v>
      </c>
      <c r="P33" t="str">
        <v/>
      </c>
      <c r="Q33">
        <v>562048.8</v>
      </c>
      <c r="R33" t="str">
        <v/>
      </c>
      <c r="S33">
        <v>0</v>
      </c>
      <c r="T33">
        <v>0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v>90</v>
      </c>
      <c r="AC33" t="str">
        <v>28/09/2026</v>
      </c>
      <c r="AD33" t="str">
        <v>13:28:37</v>
      </c>
      <c r="AE33">
        <f>IF("NOGPS"="NOGPS","GPS Antiguo","En línea")</f>
      </c>
      <c r="AF33">
        <f>IF(0=0,"Sin atender", IF(0=1,"Atendida","Atendida y Reportada"))</f>
      </c>
      <c r="AG33" t="str">
        <v/>
      </c>
      <c r="AH33" t="str">
        <v/>
      </c>
      <c r="AI33" t="str">
        <v/>
      </c>
      <c r="AJ33" t="str">
        <v/>
      </c>
      <c r="AK33" t="str">
        <v>28/09/2026 13:41:18</v>
      </c>
      <c r="AL33" t="str">
        <v>13:41:18</v>
      </c>
      <c r="AM33" t="str">
        <v/>
      </c>
    </row>
    <row r="34">
      <c r="A34">
        <v>33</v>
      </c>
      <c r="B34" t="str">
        <v>MASS BSF</v>
      </c>
      <c r="C34" t="str">
        <v>AKO-712</v>
      </c>
      <c r="D34" t="str">
        <v>AKO-712</v>
      </c>
      <c r="E34" t="str">
        <v/>
      </c>
      <c r="F34" t="str">
        <v>867162027717156</v>
      </c>
      <c r="G34" t="str">
        <v>TBD</v>
      </c>
      <c r="H34" t="str">
        <v/>
      </c>
      <c r="I34" t="str">
        <v xml:space="preserve"> </v>
      </c>
      <c r="J34" t="str">
        <v>28/09/2026</v>
      </c>
      <c r="K34" t="str">
        <v>13:42:36</v>
      </c>
      <c r="L34">
        <v>-12.142959</v>
      </c>
      <c r="M34">
        <v>-76.94356</v>
      </c>
      <c r="N34">
        <f>HYPERLINK("https://www.google.com/maps/search/?api=1&amp;query=-12.142959,-76.94356","Avenida José Olaya, Villa María del Triunfo, Lima")</f>
      </c>
      <c r="O34" t="str">
        <v>Salió de zona</v>
      </c>
      <c r="P34" t="str">
        <v/>
      </c>
      <c r="Q34">
        <v>562048.8</v>
      </c>
      <c r="R34" t="str">
        <v>1120-OLAYA4 VMT MS</v>
      </c>
      <c r="S34">
        <v>4.6</v>
      </c>
      <c r="T34">
        <v>0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v>90</v>
      </c>
      <c r="AC34" t="str">
        <v>28/09/2026</v>
      </c>
      <c r="AD34" t="str">
        <v>13:42:35</v>
      </c>
      <c r="AE34">
        <f>IF("ONLINE"="NOGPS","GPS Antiguo","En línea")</f>
      </c>
      <c r="AF34">
        <f>IF(0=0,"Sin atender", IF(0=1,"Atendida","Atendida y Reportada"))</f>
      </c>
      <c r="AG34" t="str">
        <v/>
      </c>
      <c r="AH34" t="str">
        <v/>
      </c>
      <c r="AI34" t="str">
        <v/>
      </c>
      <c r="AJ34" t="str">
        <v/>
      </c>
      <c r="AK34" t="str">
        <v>28/09/2026 13:42:45</v>
      </c>
      <c r="AL34" t="str">
        <v>13:42:45</v>
      </c>
      <c r="AM34" t="str">
        <v/>
      </c>
    </row>
    <row r="35">
      <c r="A35">
        <v>34</v>
      </c>
      <c r="B35" t="str">
        <v>MASS BSF</v>
      </c>
      <c r="C35" t="str">
        <v>AKO-712</v>
      </c>
      <c r="D35" t="str">
        <v>AKO-712</v>
      </c>
      <c r="E35" t="str">
        <v/>
      </c>
      <c r="F35" t="str">
        <v>867162027717156</v>
      </c>
      <c r="G35" t="str">
        <v>TBD</v>
      </c>
      <c r="H35" t="str">
        <v/>
      </c>
      <c r="I35" t="str">
        <v xml:space="preserve"> </v>
      </c>
      <c r="J35" t="str">
        <v>28/09/2026</v>
      </c>
      <c r="K35" t="str">
        <v>13:54:07</v>
      </c>
      <c r="L35">
        <v>-12.158807</v>
      </c>
      <c r="M35">
        <v>-76.95146</v>
      </c>
      <c r="N35">
        <f>HYPERLINK("https://www.google.com/maps/search/?api=1&amp;query=-12.158807,-76.95146","Jirón Progreso, Villa María del Triunfo, Lima")</f>
      </c>
      <c r="O35" t="str">
        <v>Llegó a la zona</v>
      </c>
      <c r="P35" t="str">
        <v/>
      </c>
      <c r="Q35">
        <v>562051.7</v>
      </c>
      <c r="R35" t="str">
        <v>2412-MIRAF5 VMT MS</v>
      </c>
      <c r="S35">
        <v>12.6</v>
      </c>
      <c r="T35">
        <v>0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>
        <v>90</v>
      </c>
      <c r="AC35" t="str">
        <v>28/09/2026</v>
      </c>
      <c r="AD35" t="str">
        <v>13:54:02</v>
      </c>
      <c r="AE35">
        <f>IF("ONLINE"="NOGPS","GPS Antiguo","En línea")</f>
      </c>
      <c r="AF35">
        <f>IF(0=0,"Sin atender", IF(0=1,"Atendida","Atendida y Reportada"))</f>
      </c>
      <c r="AG35" t="str">
        <v/>
      </c>
      <c r="AH35" t="str">
        <v/>
      </c>
      <c r="AI35" t="str">
        <v/>
      </c>
      <c r="AJ35" t="str">
        <v/>
      </c>
      <c r="AK35" t="str">
        <v>28/09/2026 13:54:19</v>
      </c>
      <c r="AL35" t="str">
        <v>13:54:19</v>
      </c>
      <c r="AM35" t="str">
        <v/>
      </c>
    </row>
    <row r="36">
      <c r="A36">
        <v>35</v>
      </c>
      <c r="B36" t="str">
        <v>MASS BSF</v>
      </c>
      <c r="C36" t="str">
        <v>AKO-712</v>
      </c>
      <c r="D36" t="str">
        <v>AKO-712</v>
      </c>
      <c r="E36" t="str">
        <v/>
      </c>
      <c r="F36" t="str">
        <v>867162027717156</v>
      </c>
      <c r="G36" t="str">
        <v>TBD</v>
      </c>
      <c r="H36" t="str">
        <v/>
      </c>
      <c r="I36" t="str">
        <v xml:space="preserve"> </v>
      </c>
      <c r="J36" t="str">
        <v>28/09/2026</v>
      </c>
      <c r="K36" t="str">
        <v>13:55:07</v>
      </c>
      <c r="L36">
        <v>-12.160525</v>
      </c>
      <c r="M36">
        <v>-76.94992</v>
      </c>
      <c r="N36">
        <f>HYPERLINK("https://www.google.com/maps/search/?api=1&amp;query=-12.160525,-76.94992","Jirón Progreso, Villa María del Triunfo, Lima")</f>
      </c>
      <c r="O36" t="str">
        <v>Salió de zona</v>
      </c>
      <c r="P36" t="str">
        <v/>
      </c>
      <c r="Q36">
        <v>562052.3</v>
      </c>
      <c r="R36" t="str">
        <v>2412-MIRAF5 VMT MS</v>
      </c>
      <c r="S36">
        <v>14.4</v>
      </c>
      <c r="T36">
        <v>0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>
        <v>90</v>
      </c>
      <c r="AC36" t="str">
        <v>28/09/2026</v>
      </c>
      <c r="AD36" t="str">
        <v>13:55:02</v>
      </c>
      <c r="AE36">
        <f>IF("ONLINE"="NOGPS","GPS Antiguo","En línea")</f>
      </c>
      <c r="AF36">
        <f>IF(0=0,"Sin atender", IF(0=1,"Atendida","Atendida y Reportada"))</f>
      </c>
      <c r="AG36" t="str">
        <v/>
      </c>
      <c r="AH36" t="str">
        <v/>
      </c>
      <c r="AI36" t="str">
        <v/>
      </c>
      <c r="AJ36" t="str">
        <v/>
      </c>
      <c r="AK36" t="str">
        <v>28/09/2026 13:55:27</v>
      </c>
      <c r="AL36" t="str">
        <v>13:55:27</v>
      </c>
      <c r="AM36" t="str">
        <v/>
      </c>
    </row>
    <row r="37">
      <c r="A37">
        <v>36</v>
      </c>
      <c r="B37" t="str">
        <v>MASS BSF</v>
      </c>
      <c r="C37" t="str">
        <v>AKO-712</v>
      </c>
      <c r="D37" t="str">
        <v>AKO-712</v>
      </c>
      <c r="E37" t="str">
        <v/>
      </c>
      <c r="F37" t="str">
        <v>867162027717156</v>
      </c>
      <c r="G37" t="str">
        <v>TBD</v>
      </c>
      <c r="H37" t="str">
        <v/>
      </c>
      <c r="I37" t="str">
        <v xml:space="preserve"> </v>
      </c>
      <c r="J37" t="str">
        <v>28/09/2026</v>
      </c>
      <c r="K37" t="str">
        <v>14:54:08</v>
      </c>
      <c r="L37">
        <v>-12.317573</v>
      </c>
      <c r="M37">
        <v>-76.82958</v>
      </c>
      <c r="N37">
        <f>HYPERLINK("https://www.google.com/maps/search/?api=1&amp;query=-12.317573,-76.82958","Punta Hermosa, Lima")</f>
      </c>
      <c r="O37" t="str">
        <v>Llegó a la zona</v>
      </c>
      <c r="P37" t="str">
        <v/>
      </c>
      <c r="Q37">
        <v>562089</v>
      </c>
      <c r="R37" t="str">
        <v>MASS BSF 1</v>
      </c>
      <c r="S37">
        <v>16.8</v>
      </c>
      <c r="T37">
        <v>0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>
        <v>90</v>
      </c>
      <c r="AC37" t="str">
        <v>28/09/2026</v>
      </c>
      <c r="AD37" t="str">
        <v>14:54:05</v>
      </c>
      <c r="AE37">
        <f>IF("ONLINE"="NOGPS","GPS Antiguo","En línea")</f>
      </c>
      <c r="AF37">
        <f>IF(0=0,"Sin atender", IF(0=1,"Atendida","Atendida y Reportada"))</f>
      </c>
      <c r="AG37" t="str">
        <v/>
      </c>
      <c r="AH37" t="str">
        <v/>
      </c>
      <c r="AI37" t="str">
        <v/>
      </c>
      <c r="AJ37" t="str">
        <v/>
      </c>
      <c r="AK37" t="str">
        <v>28/09/2026 14:54:20</v>
      </c>
      <c r="AL37" t="str">
        <v>14:54:20</v>
      </c>
      <c r="AM37" t="str">
        <v/>
      </c>
    </row>
    <row r="38">
      <c r="A38">
        <v>37</v>
      </c>
      <c r="B38" t="str">
        <v>MASS BSF</v>
      </c>
      <c r="C38" t="str">
        <v>AKO-712</v>
      </c>
      <c r="D38" t="str">
        <v>AKO-712</v>
      </c>
      <c r="E38" t="str">
        <v/>
      </c>
      <c r="F38" t="str">
        <v>867162027717156</v>
      </c>
      <c r="G38" t="str">
        <v>TBD</v>
      </c>
      <c r="H38" t="str">
        <v/>
      </c>
      <c r="I38" t="str">
        <v/>
      </c>
      <c r="J38" t="str">
        <v>28/09/2026</v>
      </c>
      <c r="K38" t="str">
        <v>15:01:40</v>
      </c>
      <c r="L38">
        <v>-12.31734</v>
      </c>
      <c r="M38">
        <v>-76.82293</v>
      </c>
      <c r="N38">
        <f>HYPERLINK("https://www.google.com/maps/search/?api=1&amp;query=-12.31734,-76.82293","Punta Hermosa, Lima")</f>
      </c>
      <c r="O38" t="str">
        <v>Vehículo apagado</v>
      </c>
      <c r="P38" t="str">
        <v>Vehículo Apagado</v>
      </c>
      <c r="Q38">
        <v>562090.8</v>
      </c>
      <c r="R38" t="str">
        <v/>
      </c>
      <c r="S38">
        <v>0</v>
      </c>
      <c r="T38">
        <v>0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>
        <v>90</v>
      </c>
      <c r="AC38" t="str">
        <v>28/09/2026</v>
      </c>
      <c r="AD38" t="str">
        <v>15:01:05</v>
      </c>
      <c r="AE38">
        <f>IF("ONLINE"="NOGPS","GPS Antiguo","En línea")</f>
      </c>
      <c r="AF38">
        <f>IF(0=0,"Sin atender", IF(0=1,"Atendida","Atendida y Reportada"))</f>
      </c>
      <c r="AG38" t="str">
        <v/>
      </c>
      <c r="AH38" t="str">
        <v/>
      </c>
      <c r="AI38" t="str">
        <v/>
      </c>
      <c r="AJ38" t="str">
        <v/>
      </c>
      <c r="AK38" t="str">
        <v>28/09/2026 15:01:51</v>
      </c>
      <c r="AL38" t="str">
        <v>15:01:51</v>
      </c>
      <c r="AM38" t="str">
        <v/>
      </c>
    </row>
    <row r="39">
      <c r="A39">
        <v>38</v>
      </c>
      <c r="B39" t="str">
        <v>MASS BSF</v>
      </c>
      <c r="C39" t="str">
        <v>AKO-712</v>
      </c>
      <c r="D39" t="str">
        <v>AKO-712</v>
      </c>
      <c r="E39" t="str">
        <v/>
      </c>
      <c r="F39" t="str">
        <v>867162027717156</v>
      </c>
      <c r="G39" t="str">
        <v>TBD</v>
      </c>
      <c r="H39" t="str">
        <v/>
      </c>
      <c r="I39" t="str">
        <v/>
      </c>
      <c r="J39" t="str">
        <v>28/09/2026</v>
      </c>
      <c r="K39" t="str">
        <v>15:05:57</v>
      </c>
      <c r="L39">
        <v>-12.31734</v>
      </c>
      <c r="M39">
        <v>-76.82293</v>
      </c>
      <c r="N39">
        <f>HYPERLINK("https://www.google.com/maps/search/?api=1&amp;query=-12.31734,-76.82293","Punta Hermosa, Lima")</f>
      </c>
      <c r="O39" t="str">
        <v>Vehículo encendido</v>
      </c>
      <c r="P39" t="str">
        <v/>
      </c>
      <c r="Q39">
        <v>562090.8</v>
      </c>
      <c r="R39" t="str">
        <v/>
      </c>
      <c r="S39">
        <v>0</v>
      </c>
      <c r="T39">
        <v>0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>
        <v>90</v>
      </c>
      <c r="AC39" t="str">
        <v>28/09/2026</v>
      </c>
      <c r="AD39" t="str">
        <v>15:01:43</v>
      </c>
      <c r="AE39">
        <f>IF("ONLINE"="NOGPS","GPS Antiguo","En línea")</f>
      </c>
      <c r="AF39">
        <f>IF(0=0,"Sin atender", IF(0=1,"Atendida","Atendida y Reportada"))</f>
      </c>
      <c r="AG39" t="str">
        <v/>
      </c>
      <c r="AH39" t="str">
        <v/>
      </c>
      <c r="AI39" t="str">
        <v/>
      </c>
      <c r="AJ39" t="str">
        <v/>
      </c>
      <c r="AK39" t="str">
        <v>28/09/2026 15:06:16</v>
      </c>
      <c r="AL39" t="str">
        <v>15:06:16</v>
      </c>
      <c r="AM39" t="str">
        <v/>
      </c>
    </row>
    <row r="40">
      <c r="A40">
        <v>39</v>
      </c>
      <c r="B40" t="str">
        <v>MASS BSF</v>
      </c>
      <c r="C40" t="str">
        <v>AKO-712</v>
      </c>
      <c r="D40" t="str">
        <v>AKO-712</v>
      </c>
      <c r="E40" t="str">
        <v/>
      </c>
      <c r="F40" t="str">
        <v>867162027717156</v>
      </c>
      <c r="G40" t="str">
        <v>TBD</v>
      </c>
      <c r="H40" t="str">
        <v/>
      </c>
      <c r="I40" t="str">
        <v/>
      </c>
      <c r="J40" t="str">
        <v>28/09/2026</v>
      </c>
      <c r="K40" t="str">
        <v>15:08:39</v>
      </c>
      <c r="L40">
        <v>-12.317715</v>
      </c>
      <c r="M40">
        <v>-76.824356</v>
      </c>
      <c r="N40">
        <f>HYPERLINK("https://www.google.com/maps/search/?api=1&amp;query=-12.317715,-76.824356","Punta Hermosa, Lima")</f>
      </c>
      <c r="O40" t="str">
        <v>Vehículo apagado</v>
      </c>
      <c r="P40" t="str">
        <v>Vehículo Apagado</v>
      </c>
      <c r="Q40">
        <v>562091.1</v>
      </c>
      <c r="R40" t="str">
        <v/>
      </c>
      <c r="S40">
        <v>3.4</v>
      </c>
      <c r="T40">
        <v>0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>
        <v>90</v>
      </c>
      <c r="AC40" t="str">
        <v>28/09/2026</v>
      </c>
      <c r="AD40" t="str">
        <v>15:08:00</v>
      </c>
      <c r="AE40">
        <f>IF("ONLINE"="NOGPS","GPS Antiguo","En línea")</f>
      </c>
      <c r="AF40">
        <f>IF(0=0,"Sin atender", IF(0=1,"Atendida","Atendida y Reportada"))</f>
      </c>
      <c r="AG40" t="str">
        <v/>
      </c>
      <c r="AH40" t="str">
        <v/>
      </c>
      <c r="AI40" t="str">
        <v/>
      </c>
      <c r="AJ40" t="str">
        <v/>
      </c>
      <c r="AK40" t="str">
        <v>28/09/2026 15:08:51</v>
      </c>
      <c r="AL40" t="str">
        <v>15:08:51</v>
      </c>
      <c r="AM40" t="str">
        <v/>
      </c>
    </row>
    <row r="41">
      <c r="A41">
        <v>40</v>
      </c>
      <c r="B41" t="str">
        <v>MASS BSF</v>
      </c>
      <c r="C41" t="str">
        <v>AKO-712</v>
      </c>
      <c r="D41" t="str">
        <v>AKO-712</v>
      </c>
      <c r="E41" t="str">
        <v/>
      </c>
      <c r="F41" t="str">
        <v>867162027717156</v>
      </c>
      <c r="G41" t="str">
        <v>TBD</v>
      </c>
      <c r="H41" t="str">
        <v/>
      </c>
      <c r="I41" t="str">
        <v/>
      </c>
      <c r="J41" t="str">
        <v>28/09/2026</v>
      </c>
      <c r="K41" t="str">
        <v>15:31:31</v>
      </c>
      <c r="L41">
        <v>-12.317723</v>
      </c>
      <c r="M41">
        <v>-76.82436</v>
      </c>
      <c r="N41">
        <f>HYPERLINK("https://www.google.com/maps/search/?api=1&amp;query=-12.317723,-76.82436","Punta Hermosa, Lima")</f>
      </c>
      <c r="O41" t="str">
        <v>Vehículo encendido</v>
      </c>
      <c r="P41" t="str">
        <v/>
      </c>
      <c r="Q41">
        <v>562091.1</v>
      </c>
      <c r="R41" t="str">
        <v/>
      </c>
      <c r="S41">
        <v>0</v>
      </c>
      <c r="T41">
        <v>0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>
        <v>89</v>
      </c>
      <c r="AC41" t="str">
        <v>28/09/2026</v>
      </c>
      <c r="AD41" t="str">
        <v>15:08:41</v>
      </c>
      <c r="AE41">
        <f>IF("NOGPS"="NOGPS","GPS Antiguo","En línea")</f>
      </c>
      <c r="AF41">
        <f>IF(0=0,"Sin atender", IF(0=1,"Atendida","Atendida y Reportada"))</f>
      </c>
      <c r="AG41" t="str">
        <v/>
      </c>
      <c r="AH41" t="str">
        <v/>
      </c>
      <c r="AI41" t="str">
        <v/>
      </c>
      <c r="AJ41" t="str">
        <v/>
      </c>
      <c r="AK41" t="str">
        <v>28/09/2026 15:31:48</v>
      </c>
      <c r="AL41" t="str">
        <v>15:31:48</v>
      </c>
      <c r="AM41" t="str">
        <v/>
      </c>
    </row>
    <row r="42">
      <c r="A42">
        <v>41</v>
      </c>
      <c r="B42" t="str">
        <v>MASS BSF</v>
      </c>
      <c r="C42" t="str">
        <v>AKO-712</v>
      </c>
      <c r="D42" t="str">
        <v>AKO-712</v>
      </c>
      <c r="E42" t="str">
        <v/>
      </c>
      <c r="F42" t="str">
        <v>867162027717156</v>
      </c>
      <c r="G42" t="str">
        <v>TBD</v>
      </c>
      <c r="H42" t="str">
        <v/>
      </c>
      <c r="I42" t="str">
        <v/>
      </c>
      <c r="J42" t="str">
        <v>28/09/2026</v>
      </c>
      <c r="K42" t="str">
        <v>15:33:24</v>
      </c>
      <c r="L42">
        <v>-12.317641</v>
      </c>
      <c r="M42">
        <v>-76.82442</v>
      </c>
      <c r="N42">
        <f>HYPERLINK("https://www.google.com/maps/search/?api=1&amp;query=-12.317641,-76.82442","Punta Hermosa, Lima")</f>
      </c>
      <c r="O42" t="str">
        <v>Vehículo apagado</v>
      </c>
      <c r="P42" t="str">
        <v>Vehículo Apagado</v>
      </c>
      <c r="Q42">
        <v>562091.1</v>
      </c>
      <c r="R42" t="str">
        <v/>
      </c>
      <c r="S42">
        <v>0</v>
      </c>
      <c r="T42">
        <v>0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>
        <v>89</v>
      </c>
      <c r="AC42" t="str">
        <v>28/09/2026</v>
      </c>
      <c r="AD42" t="str">
        <v>15:33:27</v>
      </c>
      <c r="AE42">
        <f>IF("ONLINE"="NOGPS","GPS Antiguo","En línea")</f>
      </c>
      <c r="AF42">
        <f>IF(0=0,"Sin atender", IF(0=1,"Atendida","Atendida y Reportada"))</f>
      </c>
      <c r="AG42" t="str">
        <v/>
      </c>
      <c r="AH42" t="str">
        <v/>
      </c>
      <c r="AI42" t="str">
        <v/>
      </c>
      <c r="AJ42" t="str">
        <v/>
      </c>
      <c r="AK42" t="str">
        <v>28/09/2026 15:33:57</v>
      </c>
      <c r="AL42" t="str">
        <v>15:33:57</v>
      </c>
      <c r="AM42" t="str">
        <v/>
      </c>
    </row>
    <row r="43">
      <c r="A43">
        <v>42</v>
      </c>
      <c r="B43" t="str">
        <v>MASS BSF</v>
      </c>
      <c r="C43" t="str">
        <v>AKO-712</v>
      </c>
      <c r="D43" t="str">
        <v>AKO-712</v>
      </c>
      <c r="E43" t="str">
        <v/>
      </c>
      <c r="F43" t="str">
        <v>867162027717156</v>
      </c>
      <c r="G43" t="str">
        <v>TBD</v>
      </c>
      <c r="H43" t="str">
        <v/>
      </c>
      <c r="I43" t="str">
        <v/>
      </c>
      <c r="J43" t="str">
        <v>28/09/2026</v>
      </c>
      <c r="K43" t="str">
        <v>15:42:50</v>
      </c>
      <c r="L43">
        <v>-12.317641</v>
      </c>
      <c r="M43">
        <v>-76.82442</v>
      </c>
      <c r="N43">
        <f>HYPERLINK("https://www.google.com/maps/search/?api=1&amp;query=-12.317641,-76.82442","Punta Hermosa, Lima")</f>
      </c>
      <c r="O43" t="str">
        <v>Vehículo encendido</v>
      </c>
      <c r="P43" t="str">
        <v/>
      </c>
      <c r="Q43">
        <v>562091.1</v>
      </c>
      <c r="R43" t="str">
        <v/>
      </c>
      <c r="S43">
        <v>0</v>
      </c>
      <c r="T43">
        <v>0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>
        <v>89</v>
      </c>
      <c r="AC43" t="str">
        <v>28/09/2026</v>
      </c>
      <c r="AD43" t="str">
        <v>15:33:27</v>
      </c>
      <c r="AE43">
        <f>IF("NOGPS"="NOGPS","GPS Antiguo","En línea")</f>
      </c>
      <c r="AF43">
        <f>IF(0=0,"Sin atender", IF(0=1,"Atendida","Atendida y Reportada"))</f>
      </c>
      <c r="AG43" t="str">
        <v/>
      </c>
      <c r="AH43" t="str">
        <v/>
      </c>
      <c r="AI43" t="str">
        <v/>
      </c>
      <c r="AJ43" t="str">
        <v/>
      </c>
      <c r="AK43" t="str">
        <v>28/09/2026 15:43:13</v>
      </c>
      <c r="AL43" t="str">
        <v>15:43:13</v>
      </c>
      <c r="AM43" t="str">
        <v/>
      </c>
    </row>
    <row r="44">
      <c r="A44">
        <v>43</v>
      </c>
      <c r="B44" t="str">
        <v>MASS BSF</v>
      </c>
      <c r="C44" t="str">
        <v>AKO-712</v>
      </c>
      <c r="D44" t="str">
        <v>AKO-712</v>
      </c>
      <c r="E44" t="str">
        <v/>
      </c>
      <c r="F44" t="str">
        <v>867162027717156</v>
      </c>
      <c r="G44" t="str">
        <v>TBD</v>
      </c>
      <c r="H44" t="str">
        <v/>
      </c>
      <c r="I44" t="str">
        <v/>
      </c>
      <c r="J44" t="str">
        <v>28/09/2026</v>
      </c>
      <c r="K44" t="str">
        <v>15:43:28</v>
      </c>
      <c r="L44">
        <v>-12.317645</v>
      </c>
      <c r="M44">
        <v>-76.82428</v>
      </c>
      <c r="N44">
        <f>HYPERLINK("https://www.google.com/maps/search/?api=1&amp;query=-12.317645,-76.82428","Punta Hermosa, Lima")</f>
      </c>
      <c r="O44" t="str">
        <v>Vehículo apagado</v>
      </c>
      <c r="P44" t="str">
        <v>Vehículo Apagado</v>
      </c>
      <c r="Q44">
        <v>562091.1</v>
      </c>
      <c r="R44" t="str">
        <v/>
      </c>
      <c r="S44">
        <v>0.2</v>
      </c>
      <c r="T44">
        <v>0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>
        <v>89</v>
      </c>
      <c r="AC44" t="str">
        <v>28/09/2026</v>
      </c>
      <c r="AD44" t="str">
        <v>15:42:55</v>
      </c>
      <c r="AE44">
        <f>IF("ONLINE"="NOGPS","GPS Antiguo","En línea")</f>
      </c>
      <c r="AF44">
        <f>IF(0=0,"Sin atender", IF(0=1,"Atendida","Atendida y Reportada"))</f>
      </c>
      <c r="AG44" t="str">
        <v/>
      </c>
      <c r="AH44" t="str">
        <v/>
      </c>
      <c r="AI44" t="str">
        <v/>
      </c>
      <c r="AJ44" t="str">
        <v/>
      </c>
      <c r="AK44" t="str">
        <v>28/09/2026 15:43:40</v>
      </c>
      <c r="AL44" t="str">
        <v>15:43:40</v>
      </c>
      <c r="AM44" t="str">
        <v/>
      </c>
    </row>
    <row r="45">
      <c r="A45">
        <v>44</v>
      </c>
      <c r="B45" t="str">
        <v>MASS BSF</v>
      </c>
      <c r="C45" t="str">
        <v>AKO-712</v>
      </c>
      <c r="D45" t="str">
        <v>AKO-712</v>
      </c>
      <c r="E45" t="str">
        <v/>
      </c>
      <c r="F45" t="str">
        <v>867162027717156</v>
      </c>
      <c r="G45" t="str">
        <v>TBD</v>
      </c>
      <c r="H45" t="str">
        <v/>
      </c>
      <c r="I45" t="str">
        <v/>
      </c>
      <c r="J45" t="str">
        <v>28/09/2026</v>
      </c>
      <c r="K45" t="str">
        <v>16:35:20</v>
      </c>
      <c r="L45">
        <v>-12.317705</v>
      </c>
      <c r="M45">
        <v>-76.82432</v>
      </c>
      <c r="N45">
        <f>HYPERLINK("https://www.google.com/maps/search/?api=1&amp;query=-12.317705,-76.82432","Punta Hermosa, Lima")</f>
      </c>
      <c r="O45" t="str">
        <v>Vehículo encendido</v>
      </c>
      <c r="P45" t="str">
        <v/>
      </c>
      <c r="Q45">
        <v>562091.1</v>
      </c>
      <c r="R45" t="str">
        <v/>
      </c>
      <c r="S45">
        <v>0</v>
      </c>
      <c r="T45">
        <v>0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>
        <v>89</v>
      </c>
      <c r="AC45" t="str">
        <v>28/09/2026</v>
      </c>
      <c r="AD45" t="str">
        <v>16:10:57</v>
      </c>
      <c r="AE45">
        <f>IF("NOGPS"="NOGPS","GPS Antiguo","En línea")</f>
      </c>
      <c r="AF45">
        <f>IF(0=0,"Sin atender", IF(0=1,"Atendida","Atendida y Reportada"))</f>
      </c>
      <c r="AG45" t="str">
        <v/>
      </c>
      <c r="AH45" t="str">
        <v/>
      </c>
      <c r="AI45" t="str">
        <v/>
      </c>
      <c r="AJ45" t="str">
        <v/>
      </c>
      <c r="AK45" t="str">
        <v>28/09/2026 16:35:39</v>
      </c>
      <c r="AL45" t="str">
        <v>16:35:39</v>
      </c>
      <c r="AM45" t="str">
        <v/>
      </c>
    </row>
    <row r="46">
      <c r="A46">
        <v>45</v>
      </c>
      <c r="B46" t="str">
        <v>MASS BSF</v>
      </c>
      <c r="C46" t="str">
        <v>AKO-712</v>
      </c>
      <c r="D46" t="str">
        <v>AKO-712</v>
      </c>
      <c r="E46" t="str">
        <v/>
      </c>
      <c r="F46" t="str">
        <v>867162027717156</v>
      </c>
      <c r="G46" t="str">
        <v>TBD</v>
      </c>
      <c r="H46" t="str">
        <v/>
      </c>
      <c r="I46" t="str">
        <v/>
      </c>
      <c r="J46" t="str">
        <v>28/09/2026</v>
      </c>
      <c r="K46" t="str">
        <v>16:46:15</v>
      </c>
      <c r="L46">
        <v>-12.31789</v>
      </c>
      <c r="M46">
        <v>-76.82422</v>
      </c>
      <c r="N46">
        <f>HYPERLINK("https://www.google.com/maps/search/?api=1&amp;query=-12.31789,-76.82422","Punta Hermosa, Lima")</f>
      </c>
      <c r="O46" t="str">
        <v>Vehículo apagado</v>
      </c>
      <c r="P46" t="str">
        <v>Vehículo Apagado</v>
      </c>
      <c r="Q46">
        <v>562091.2</v>
      </c>
      <c r="R46" t="str">
        <v/>
      </c>
      <c r="S46">
        <v>0</v>
      </c>
      <c r="T46">
        <v>0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>
        <v>89</v>
      </c>
      <c r="AC46" t="str">
        <v>28/09/2026</v>
      </c>
      <c r="AD46" t="str">
        <v>16:46:17</v>
      </c>
      <c r="AE46">
        <f>IF("ONLINE"="NOGPS","GPS Antiguo","En línea")</f>
      </c>
      <c r="AF46">
        <f>IF(0=0,"Sin atender", IF(0=1,"Atendida","Atendida y Reportada"))</f>
      </c>
      <c r="AG46" t="str">
        <v/>
      </c>
      <c r="AH46" t="str">
        <v/>
      </c>
      <c r="AI46" t="str">
        <v/>
      </c>
      <c r="AJ46" t="str">
        <v/>
      </c>
      <c r="AK46" t="str">
        <v>28/09/2026 16:46:46</v>
      </c>
      <c r="AL46" t="str">
        <v>16:46:46</v>
      </c>
      <c r="AM46" t="str">
        <v/>
      </c>
    </row>
    <row r="47">
      <c r="A47">
        <v>46</v>
      </c>
      <c r="B47" t="str">
        <v>MASS BSF</v>
      </c>
      <c r="C47" t="str">
        <v>AKO-712</v>
      </c>
      <c r="D47" t="str">
        <v>AKO-712</v>
      </c>
      <c r="E47" t="str">
        <v/>
      </c>
      <c r="F47" t="str">
        <v>867162027717156</v>
      </c>
      <c r="G47" t="str">
        <v>TBD</v>
      </c>
      <c r="H47" t="str">
        <v/>
      </c>
      <c r="I47" t="str">
        <v/>
      </c>
      <c r="J47" t="str">
        <v>28/09/2026</v>
      </c>
      <c r="K47" t="str">
        <v>17:46:07</v>
      </c>
      <c r="L47">
        <v>-12.31789</v>
      </c>
      <c r="M47">
        <v>-76.82422</v>
      </c>
      <c r="N47">
        <f>HYPERLINK("https://www.google.com/maps/search/?api=1&amp;query=-12.31789,-76.82422","Punta Hermosa, Lima")</f>
      </c>
      <c r="O47" t="str">
        <v>Vehículo encendido</v>
      </c>
      <c r="P47" t="str">
        <v/>
      </c>
      <c r="Q47">
        <v>562091.2</v>
      </c>
      <c r="R47" t="str">
        <v/>
      </c>
      <c r="S47">
        <v>0</v>
      </c>
      <c r="T47">
        <v>0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>
        <v>87</v>
      </c>
      <c r="AC47" t="str">
        <v>28/09/2026</v>
      </c>
      <c r="AD47" t="str">
        <v>17:43:43</v>
      </c>
      <c r="AE47">
        <f>IF("ONLINE"="NOGPS","GPS Antiguo","En línea")</f>
      </c>
      <c r="AF47">
        <f>IF(0=0,"Sin atender", IF(0=1,"Atendida","Atendida y Reportada"))</f>
      </c>
      <c r="AG47" t="str">
        <v/>
      </c>
      <c r="AH47" t="str">
        <v/>
      </c>
      <c r="AI47" t="str">
        <v/>
      </c>
      <c r="AJ47" t="str">
        <v/>
      </c>
      <c r="AK47" t="str">
        <v>28/09/2026 17:46:21</v>
      </c>
      <c r="AL47" t="str">
        <v>17:46:21</v>
      </c>
      <c r="AM47" t="str">
        <v/>
      </c>
    </row>
    <row r="48">
      <c r="A48">
        <v>47</v>
      </c>
      <c r="B48" t="str">
        <v>MASS BSF</v>
      </c>
      <c r="C48" t="str">
        <v>AKO-712</v>
      </c>
      <c r="D48" t="str">
        <v>AKO-712</v>
      </c>
      <c r="E48" t="str">
        <v/>
      </c>
      <c r="F48" t="str">
        <v>867162027717156</v>
      </c>
      <c r="G48" t="str">
        <v>TBD</v>
      </c>
      <c r="H48" t="str">
        <v/>
      </c>
      <c r="I48" t="str">
        <v xml:space="preserve"> </v>
      </c>
      <c r="J48" t="str">
        <v>28/09/2026</v>
      </c>
      <c r="K48" t="str">
        <v>17:52:54</v>
      </c>
      <c r="L48">
        <v>-12.317495</v>
      </c>
      <c r="M48">
        <v>-76.829895</v>
      </c>
      <c r="N48">
        <f>HYPERLINK("https://www.google.com/maps/search/?api=1&amp;query=-12.317495,-76.829895","Punta Hermosa, Lima")</f>
      </c>
      <c r="O48" t="str">
        <v>Salió de zona</v>
      </c>
      <c r="P48" t="str">
        <v/>
      </c>
      <c r="Q48">
        <v>562091.7</v>
      </c>
      <c r="R48" t="str">
        <v>MASS BSF 1</v>
      </c>
      <c r="S48">
        <v>12.1</v>
      </c>
      <c r="T48">
        <v>0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>
        <v>87</v>
      </c>
      <c r="AC48" t="str">
        <v>28/09/2026</v>
      </c>
      <c r="AD48" t="str">
        <v>17:52:54</v>
      </c>
      <c r="AE48">
        <f>IF("ONLINE"="NOGPS","GPS Antiguo","En línea")</f>
      </c>
      <c r="AF48">
        <f>IF(0=0,"Sin atender", IF(0=1,"Atendida","Atendida y Reportada"))</f>
      </c>
      <c r="AG48" t="str">
        <v/>
      </c>
      <c r="AH48" t="str">
        <v/>
      </c>
      <c r="AI48" t="str">
        <v/>
      </c>
      <c r="AJ48" t="str">
        <v/>
      </c>
      <c r="AK48" t="str">
        <v>28/09/2026 17:53:07</v>
      </c>
      <c r="AL48" t="str">
        <v>17:53:07</v>
      </c>
      <c r="AM48" t="str">
        <v/>
      </c>
    </row>
    <row r="49">
      <c r="A49">
        <v>48</v>
      </c>
      <c r="B49" t="str">
        <v>MASS BSF</v>
      </c>
      <c r="C49" t="str">
        <v>AKO-712</v>
      </c>
      <c r="D49" t="str">
        <v>AKO-712</v>
      </c>
      <c r="E49" t="str">
        <v/>
      </c>
      <c r="F49" t="str">
        <v>867162027717156</v>
      </c>
      <c r="G49" t="str">
        <v>TBD</v>
      </c>
      <c r="H49" t="str">
        <v/>
      </c>
      <c r="I49" t="str">
        <v xml:space="preserve"> </v>
      </c>
      <c r="J49" t="str">
        <v>28/09/2026</v>
      </c>
      <c r="K49" t="str">
        <v>18:30:01</v>
      </c>
      <c r="L49">
        <v>-12.212878</v>
      </c>
      <c r="M49">
        <v>-76.9592</v>
      </c>
      <c r="N49">
        <f>HYPERLINK("https://www.google.com/maps/search/?api=1&amp;query=-12.212878,-76.9592","Avenida Villa del Mar, Villa El Salvador, Lima")</f>
      </c>
      <c r="O49" t="str">
        <v>Llegó a la zona</v>
      </c>
      <c r="P49" t="str">
        <v/>
      </c>
      <c r="Q49">
        <v>562113.5</v>
      </c>
      <c r="R49" t="str">
        <v>BASE-OSLOGISTICS</v>
      </c>
      <c r="S49">
        <v>6</v>
      </c>
      <c r="T49">
        <v>0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>
        <v>87</v>
      </c>
      <c r="AC49" t="str">
        <v>28/09/2026</v>
      </c>
      <c r="AD49" t="str">
        <v>18:30:00</v>
      </c>
      <c r="AE49">
        <f>IF("ONLINE"="NOGPS","GPS Antiguo","En línea")</f>
      </c>
      <c r="AF49">
        <f>IF(0=0,"Sin atender", IF(0=1,"Atendida","Atendida y Reportada"))</f>
      </c>
      <c r="AG49" t="str">
        <v/>
      </c>
      <c r="AH49" t="str">
        <v/>
      </c>
      <c r="AI49" t="str">
        <v/>
      </c>
      <c r="AJ49" t="str">
        <v/>
      </c>
      <c r="AK49" t="str">
        <v>28/09/2026 18:30:15</v>
      </c>
      <c r="AL49" t="str">
        <v>18:30:15</v>
      </c>
      <c r="AM49" t="str">
        <v/>
      </c>
    </row>
    <row r="50">
      <c r="A50">
        <v>49</v>
      </c>
      <c r="B50" t="str">
        <v>MASS BSF</v>
      </c>
      <c r="C50" t="str">
        <v>AKO-712</v>
      </c>
      <c r="D50" t="str">
        <v>AKO-712</v>
      </c>
      <c r="E50" t="str">
        <v/>
      </c>
      <c r="F50" t="str">
        <v>867162027717156</v>
      </c>
      <c r="G50" t="str">
        <v>TBD</v>
      </c>
      <c r="H50" t="str">
        <v/>
      </c>
      <c r="I50" t="str">
        <v/>
      </c>
      <c r="J50" t="str">
        <v>28/09/2026</v>
      </c>
      <c r="K50" t="str">
        <v>18:31:15</v>
      </c>
      <c r="L50">
        <v>-12.212855</v>
      </c>
      <c r="M50">
        <v>-76.959045</v>
      </c>
      <c r="N50">
        <f>HYPERLINK("https://www.google.com/maps/search/?api=1&amp;query=-12.212855,-76.959045","Avenida Villa del Mar, Villa El Salvador, Lima")</f>
      </c>
      <c r="O50" t="str">
        <v>Vehículo apagado</v>
      </c>
      <c r="P50" t="str">
        <v>Vehículo Apagado</v>
      </c>
      <c r="Q50">
        <v>562113.7</v>
      </c>
      <c r="R50" t="str">
        <v/>
      </c>
      <c r="S50">
        <v>0</v>
      </c>
      <c r="T50">
        <v>0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>
        <v>87</v>
      </c>
      <c r="AC50" t="str">
        <v>28/09/2026</v>
      </c>
      <c r="AD50" t="str">
        <v>18:31:17</v>
      </c>
      <c r="AE50">
        <f>IF("ONLINE"="NOGPS","GPS Antiguo","En línea")</f>
      </c>
      <c r="AF50">
        <f>IF(0=0,"Sin atender", IF(0=1,"Atendida","Atendida y Reportada"))</f>
      </c>
      <c r="AG50" t="str">
        <v/>
      </c>
      <c r="AH50" t="str">
        <v/>
      </c>
      <c r="AI50" t="str">
        <v/>
      </c>
      <c r="AJ50" t="str">
        <v/>
      </c>
      <c r="AK50" t="str">
        <v>28/09/2026 18:31:32</v>
      </c>
      <c r="AL50" t="str">
        <v>18:31:32</v>
      </c>
      <c r="AM50" t="str">
        <v/>
      </c>
    </row>
    <row r="51">
      <c r="A51">
        <v>50</v>
      </c>
      <c r="B51" t="str">
        <v>MASS BSF</v>
      </c>
      <c r="C51" t="str">
        <v>AKO-712</v>
      </c>
      <c r="D51" t="str">
        <v>AKO-712</v>
      </c>
      <c r="E51" t="str">
        <v/>
      </c>
      <c r="F51" t="str">
        <v>867162027717156</v>
      </c>
      <c r="G51" t="str">
        <v>TBD</v>
      </c>
      <c r="H51" t="str">
        <v/>
      </c>
      <c r="I51" t="str">
        <v/>
      </c>
      <c r="J51" t="str">
        <v>28/09/2026</v>
      </c>
      <c r="K51" t="str">
        <v>18:35:49</v>
      </c>
      <c r="L51">
        <v>-12.212855</v>
      </c>
      <c r="M51">
        <v>-76.959045</v>
      </c>
      <c r="N51">
        <f>HYPERLINK("https://www.google.com/maps/search/?api=1&amp;query=-12.212855,-76.959045","Avenida Villa del Mar, Villa El Salvador, Lima")</f>
      </c>
      <c r="O51" t="str">
        <v>Vehículo encendido</v>
      </c>
      <c r="P51" t="str">
        <v/>
      </c>
      <c r="Q51">
        <v>562113.7</v>
      </c>
      <c r="R51" t="str">
        <v/>
      </c>
      <c r="S51">
        <v>0</v>
      </c>
      <c r="T51">
        <v>0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>
        <v>87</v>
      </c>
      <c r="AC51" t="str">
        <v>28/09/2026</v>
      </c>
      <c r="AD51" t="str">
        <v>18:31:17</v>
      </c>
      <c r="AE51">
        <f>IF("ONLINE"="NOGPS","GPS Antiguo","En línea")</f>
      </c>
      <c r="AF51">
        <f>IF(0=0,"Sin atender", IF(0=1,"Atendida","Atendida y Reportada"))</f>
      </c>
      <c r="AG51" t="str">
        <v/>
      </c>
      <c r="AH51" t="str">
        <v/>
      </c>
      <c r="AI51" t="str">
        <v/>
      </c>
      <c r="AJ51" t="str">
        <v/>
      </c>
      <c r="AK51" t="str">
        <v>28/09/2026 18:36:27</v>
      </c>
      <c r="AL51" t="str">
        <v>18:36:27</v>
      </c>
      <c r="AM51" t="str">
        <v/>
      </c>
    </row>
    <row r="52">
      <c r="A52">
        <v>51</v>
      </c>
      <c r="B52" t="str">
        <v>MASS BSF</v>
      </c>
      <c r="C52" t="str">
        <v>AKO-712</v>
      </c>
      <c r="D52" t="str">
        <v>AKO-712</v>
      </c>
      <c r="E52" t="str">
        <v/>
      </c>
      <c r="F52" t="str">
        <v>867162027717156</v>
      </c>
      <c r="G52" t="str">
        <v>TBD</v>
      </c>
      <c r="H52" t="str">
        <v/>
      </c>
      <c r="I52" t="str">
        <v/>
      </c>
      <c r="J52" t="str">
        <v>28/09/2026</v>
      </c>
      <c r="K52" t="str">
        <v>18:36:55</v>
      </c>
      <c r="L52">
        <v>-12.212883</v>
      </c>
      <c r="M52">
        <v>-76.958855</v>
      </c>
      <c r="N52">
        <f>HYPERLINK("https://www.google.com/maps/search/?api=1&amp;query=-12.212883,-76.958855","Avenida Villa del Mar, Villa El Salvador, Lima")</f>
      </c>
      <c r="O52" t="str">
        <v>Vehículo apagado</v>
      </c>
      <c r="P52" t="str">
        <v>Vehículo Apagado</v>
      </c>
      <c r="Q52">
        <v>562113.7</v>
      </c>
      <c r="R52" t="str">
        <v/>
      </c>
      <c r="S52">
        <v>0.1</v>
      </c>
      <c r="T52">
        <v>0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>
        <v>87</v>
      </c>
      <c r="AC52" t="str">
        <v>28/09/2026</v>
      </c>
      <c r="AD52" t="str">
        <v>18:35:54</v>
      </c>
      <c r="AE52">
        <f>IF("ONLINE"="NOGPS","GPS Antiguo","En línea")</f>
      </c>
      <c r="AF52">
        <f>IF(0=0,"Sin atender", IF(0=1,"Atendida","Atendida y Reportada"))</f>
      </c>
      <c r="AG52" t="str">
        <v/>
      </c>
      <c r="AH52" t="str">
        <v/>
      </c>
      <c r="AI52" t="str">
        <v/>
      </c>
      <c r="AJ52" t="str">
        <v/>
      </c>
      <c r="AK52" t="str">
        <v>28/09/2026 18:37:11</v>
      </c>
      <c r="AL52" t="str">
        <v>18:37:11</v>
      </c>
      <c r="AM52" t="str">
        <v/>
      </c>
    </row>
  </sheetData>
  <ignoredErrors>
    <ignoredError numberStoredAsText="1" sqref="A1:AM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