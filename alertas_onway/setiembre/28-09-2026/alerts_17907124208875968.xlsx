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6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AAR-880</v>
      </c>
      <c r="D2" t="str">
        <v>AAR-880</v>
      </c>
      <c r="E2" t="str">
        <v/>
      </c>
      <c r="F2" t="str">
        <v>867806078847433</v>
      </c>
      <c r="G2" t="str">
        <v>Otro</v>
      </c>
      <c r="H2" t="str">
        <v/>
      </c>
      <c r="I2" t="str">
        <v/>
      </c>
      <c r="J2" t="str">
        <v>28/09/2026</v>
      </c>
      <c r="K2" t="str">
        <v>10:42:42</v>
      </c>
      <c r="L2">
        <v>-12.193338</v>
      </c>
      <c r="M2">
        <v>-76.92696</v>
      </c>
      <c r="N2">
        <f>HYPERLINK("https://www.google.com/maps/search/?api=1&amp;query=-12.193338,-76.92696","Avenida La Mariscala, Villa María del Triunfo, Lima")</f>
      </c>
      <c r="O2" t="str">
        <v>Fuente principal desconectada</v>
      </c>
      <c r="P2" t="str">
        <v>Batería desconectada</v>
      </c>
      <c r="Q2">
        <v>2551</v>
      </c>
      <c r="R2" t="str">
        <v/>
      </c>
      <c r="S2">
        <v>0</v>
      </c>
      <c r="T2">
        <v>161.02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85</v>
      </c>
      <c r="AC2" t="str">
        <v>28/09/2026</v>
      </c>
      <c r="AD2" t="str">
        <v>10:42:37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10:42:43</v>
      </c>
      <c r="AL2" t="str">
        <v>10:42:43</v>
      </c>
      <c r="AM2" t="str">
        <v/>
      </c>
    </row>
    <row r="3">
      <c r="A3">
        <v>2</v>
      </c>
      <c r="B3" t="str">
        <v>MASS BSF</v>
      </c>
      <c r="C3" t="str">
        <v>AAR-880</v>
      </c>
      <c r="D3" t="str">
        <v>AAR-880</v>
      </c>
      <c r="E3" t="str">
        <v/>
      </c>
      <c r="F3" t="str">
        <v>867806078847433</v>
      </c>
      <c r="G3" t="str">
        <v>Otro</v>
      </c>
      <c r="H3" t="str">
        <v/>
      </c>
      <c r="I3" t="str">
        <v/>
      </c>
      <c r="J3" t="str">
        <v>28/09/2026</v>
      </c>
      <c r="K3" t="str">
        <v>10:45:38</v>
      </c>
      <c r="L3">
        <v>-12.193338</v>
      </c>
      <c r="M3">
        <v>-76.92696</v>
      </c>
      <c r="N3">
        <f>HYPERLINK("https://www.google.com/maps/search/?api=1&amp;query=-12.193338,-76.92696","Avenida La Mariscala, Villa María del Triunfo, Lima")</f>
      </c>
      <c r="O3" t="str">
        <v>Fuente principal conectada</v>
      </c>
      <c r="P3" t="str">
        <v>Batería conectada</v>
      </c>
      <c r="Q3">
        <v>2551</v>
      </c>
      <c r="R3" t="str">
        <v/>
      </c>
      <c r="S3">
        <v>0</v>
      </c>
      <c r="T3">
        <v>161.02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85</v>
      </c>
      <c r="AC3" t="str">
        <v>28/09/2026</v>
      </c>
      <c r="AD3" t="str">
        <v>10:45:33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10:45:56</v>
      </c>
      <c r="AL3" t="str">
        <v>10:45:56</v>
      </c>
      <c r="AM3" t="str">
        <v/>
      </c>
    </row>
    <row r="4">
      <c r="A4">
        <v>3</v>
      </c>
      <c r="B4" t="str">
        <v>MASS BSF</v>
      </c>
      <c r="C4" t="str">
        <v>AAR-880</v>
      </c>
      <c r="D4" t="str">
        <v>AAR-880</v>
      </c>
      <c r="E4" t="str">
        <v/>
      </c>
      <c r="F4" t="str">
        <v>867806078847433</v>
      </c>
      <c r="G4" t="str">
        <v>Otro</v>
      </c>
      <c r="H4" t="str">
        <v/>
      </c>
      <c r="I4" t="str">
        <v/>
      </c>
      <c r="J4" t="str">
        <v>28/09/2026</v>
      </c>
      <c r="K4" t="str">
        <v>11:39:42</v>
      </c>
      <c r="L4">
        <v>-12.193338</v>
      </c>
      <c r="M4">
        <v>-76.92696</v>
      </c>
      <c r="N4">
        <f>HYPERLINK("https://www.google.com/maps/search/?api=1&amp;query=-12.193338,-76.92696","Avenida La Mariscala, Villa María del Triunfo, Lima")</f>
      </c>
      <c r="O4" t="str">
        <v>Fuente principal desconectada</v>
      </c>
      <c r="P4" t="str">
        <v>Batería desconectada</v>
      </c>
      <c r="Q4">
        <v>2551</v>
      </c>
      <c r="R4" t="str">
        <v/>
      </c>
      <c r="S4">
        <v>0</v>
      </c>
      <c r="T4">
        <v>161.02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86</v>
      </c>
      <c r="AC4" t="str">
        <v>28/09/2026</v>
      </c>
      <c r="AD4" t="str">
        <v>11:39:37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11:39:52</v>
      </c>
      <c r="AL4" t="str">
        <v>11:39:52</v>
      </c>
      <c r="AM4" t="str">
        <v/>
      </c>
    </row>
    <row r="5">
      <c r="A5">
        <v>4</v>
      </c>
      <c r="B5" t="str">
        <v>MASS BSF</v>
      </c>
      <c r="C5" t="str">
        <v>AAR-880</v>
      </c>
      <c r="D5" t="str">
        <v>AAR-880</v>
      </c>
      <c r="E5" t="str">
        <v/>
      </c>
      <c r="F5" t="str">
        <v>867806078847433</v>
      </c>
      <c r="G5" t="str">
        <v>Otro</v>
      </c>
      <c r="H5" t="str">
        <v/>
      </c>
      <c r="I5" t="str">
        <v/>
      </c>
      <c r="J5" t="str">
        <v>28/09/2026</v>
      </c>
      <c r="K5" t="str">
        <v>11:40:07</v>
      </c>
      <c r="L5">
        <v>-12.193338</v>
      </c>
      <c r="M5">
        <v>-76.92696</v>
      </c>
      <c r="N5">
        <f>HYPERLINK("https://www.google.com/maps/search/?api=1&amp;query=-12.193338,-76.92696","Avenida La Mariscala, Villa María del Triunfo, Lima")</f>
      </c>
      <c r="O5" t="str">
        <v>Fuente principal conectada</v>
      </c>
      <c r="P5" t="str">
        <v>Batería conectada</v>
      </c>
      <c r="Q5">
        <v>2551</v>
      </c>
      <c r="R5" t="str">
        <v/>
      </c>
      <c r="S5">
        <v>0</v>
      </c>
      <c r="T5">
        <v>161.02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86</v>
      </c>
      <c r="AC5" t="str">
        <v>28/09/2026</v>
      </c>
      <c r="AD5" t="str">
        <v>11:40:02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11:40:12</v>
      </c>
      <c r="AL5" t="str">
        <v>11:40:12</v>
      </c>
      <c r="AM5" t="str">
        <v/>
      </c>
    </row>
    <row r="6">
      <c r="A6">
        <v>5</v>
      </c>
      <c r="B6" t="str">
        <v>MASS BSF</v>
      </c>
      <c r="C6" t="str">
        <v>AAR-880</v>
      </c>
      <c r="D6" t="str">
        <v>AAR-880</v>
      </c>
      <c r="E6" t="str">
        <v/>
      </c>
      <c r="F6" t="str">
        <v>867806078847433</v>
      </c>
      <c r="G6" t="str">
        <v>Otro</v>
      </c>
      <c r="H6" t="str">
        <v/>
      </c>
      <c r="I6" t="str">
        <v/>
      </c>
      <c r="J6" t="str">
        <v>28/09/2026</v>
      </c>
      <c r="K6" t="str">
        <v>11:45:29</v>
      </c>
      <c r="L6">
        <v>-12.193338</v>
      </c>
      <c r="M6">
        <v>-76.92696</v>
      </c>
      <c r="N6">
        <f>HYPERLINK("https://www.google.com/maps/search/?api=1&amp;query=-12.193338,-76.92696","Avenida La Mariscala, Villa María del Triunfo, Lima")</f>
      </c>
      <c r="O6" t="str">
        <v>Fuente principal desconectada</v>
      </c>
      <c r="P6" t="str">
        <v>Batería desconectada</v>
      </c>
      <c r="Q6">
        <v>2551</v>
      </c>
      <c r="R6" t="str">
        <v/>
      </c>
      <c r="S6">
        <v>0</v>
      </c>
      <c r="T6">
        <v>161.02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84</v>
      </c>
      <c r="AC6" t="str">
        <v>28/09/2026</v>
      </c>
      <c r="AD6" t="str">
        <v>11:45:24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11:45:34</v>
      </c>
      <c r="AL6" t="str">
        <v>11:45:34</v>
      </c>
      <c r="AM6" t="str">
        <v/>
      </c>
    </row>
    <row r="7">
      <c r="A7">
        <v>6</v>
      </c>
      <c r="B7" t="str">
        <v>MASS BSF</v>
      </c>
      <c r="C7" t="str">
        <v>AAR-880</v>
      </c>
      <c r="D7" t="str">
        <v>AAR-880</v>
      </c>
      <c r="E7" t="str">
        <v/>
      </c>
      <c r="F7" t="str">
        <v>867806078847433</v>
      </c>
      <c r="G7" t="str">
        <v>Otro</v>
      </c>
      <c r="H7" t="str">
        <v/>
      </c>
      <c r="I7" t="str">
        <v/>
      </c>
      <c r="J7" t="str">
        <v>28/09/2026</v>
      </c>
      <c r="K7" t="str">
        <v>11:47:26</v>
      </c>
      <c r="L7">
        <v>-12.193338</v>
      </c>
      <c r="M7">
        <v>-76.92696</v>
      </c>
      <c r="N7">
        <f>HYPERLINK("https://www.google.com/maps/search/?api=1&amp;query=-12.193338,-76.92696","Avenida La Mariscala, Villa María del Triunfo, Lima")</f>
      </c>
      <c r="O7" t="str">
        <v>Fuente principal conectada</v>
      </c>
      <c r="P7" t="str">
        <v>Batería conectada</v>
      </c>
      <c r="Q7">
        <v>2551</v>
      </c>
      <c r="R7" t="str">
        <v/>
      </c>
      <c r="S7">
        <v>0</v>
      </c>
      <c r="T7">
        <v>161.02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84</v>
      </c>
      <c r="AC7" t="str">
        <v>28/09/2026</v>
      </c>
      <c r="AD7" t="str">
        <v>11:47:21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11:47:45</v>
      </c>
      <c r="AL7" t="str">
        <v>11:47:45</v>
      </c>
      <c r="AM7" t="str">
        <v/>
      </c>
    </row>
    <row r="8">
      <c r="A8">
        <v>7</v>
      </c>
      <c r="B8" t="str">
        <v>MASS BSF</v>
      </c>
      <c r="C8" t="str">
        <v>AAR-880</v>
      </c>
      <c r="D8" t="str">
        <v>AAR-880</v>
      </c>
      <c r="E8" t="str">
        <v/>
      </c>
      <c r="F8" t="str">
        <v>867806078847433</v>
      </c>
      <c r="G8" t="str">
        <v>Otro</v>
      </c>
      <c r="H8" t="str">
        <v/>
      </c>
      <c r="I8" t="str">
        <v/>
      </c>
      <c r="J8" t="str">
        <v>28/09/2026</v>
      </c>
      <c r="K8" t="str">
        <v>11:47:36</v>
      </c>
      <c r="L8">
        <v>-12.193338</v>
      </c>
      <c r="M8">
        <v>-76.92696</v>
      </c>
      <c r="N8">
        <f>HYPERLINK("https://www.google.com/maps/search/?api=1&amp;query=-12.193338,-76.92696","Avenida La Mariscala, Villa María del Triunfo, Lima")</f>
      </c>
      <c r="O8" t="str">
        <v>Fuente principal desconectada</v>
      </c>
      <c r="P8" t="str">
        <v>Batería desconectada</v>
      </c>
      <c r="Q8">
        <v>2551</v>
      </c>
      <c r="R8" t="str">
        <v/>
      </c>
      <c r="S8">
        <v>0</v>
      </c>
      <c r="T8">
        <v>161.02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84</v>
      </c>
      <c r="AC8" t="str">
        <v>28/09/2026</v>
      </c>
      <c r="AD8" t="str">
        <v>11:47:31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11:47:48</v>
      </c>
      <c r="AL8" t="str">
        <v>11:47:48</v>
      </c>
      <c r="AM8" t="str">
        <v/>
      </c>
    </row>
    <row r="9">
      <c r="A9">
        <v>8</v>
      </c>
      <c r="B9" t="str">
        <v>MASS BSF</v>
      </c>
      <c r="C9" t="str">
        <v>AAR-880</v>
      </c>
      <c r="D9" t="str">
        <v>AAR-880</v>
      </c>
      <c r="E9" t="str">
        <v/>
      </c>
      <c r="F9" t="str">
        <v>867806078847433</v>
      </c>
      <c r="G9" t="str">
        <v>Otro</v>
      </c>
      <c r="H9" t="str">
        <v/>
      </c>
      <c r="I9" t="str">
        <v/>
      </c>
      <c r="J9" t="str">
        <v>28/09/2026</v>
      </c>
      <c r="K9" t="str">
        <v>12:02:29</v>
      </c>
      <c r="L9">
        <v>-12.193338</v>
      </c>
      <c r="M9">
        <v>-76.92696</v>
      </c>
      <c r="N9">
        <f>HYPERLINK("https://www.google.com/maps/search/?api=1&amp;query=-12.193338,-76.92696","Avenida La Mariscala, Villa María del Triunfo, Lima")</f>
      </c>
      <c r="O9" t="str">
        <v>Fuente principal conectada</v>
      </c>
      <c r="P9" t="str">
        <v>Batería conectada</v>
      </c>
      <c r="Q9">
        <v>2551</v>
      </c>
      <c r="R9" t="str">
        <v/>
      </c>
      <c r="S9">
        <v>0</v>
      </c>
      <c r="T9">
        <v>161.02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84</v>
      </c>
      <c r="AC9" t="str">
        <v>28/09/2026</v>
      </c>
      <c r="AD9" t="str">
        <v>12:02:24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12:02:43</v>
      </c>
      <c r="AL9" t="str">
        <v>12:02:43</v>
      </c>
      <c r="AM9" t="str">
        <v/>
      </c>
    </row>
    <row r="10">
      <c r="A10">
        <v>9</v>
      </c>
      <c r="B10" t="str">
        <v>MASS BSF</v>
      </c>
      <c r="C10" t="str">
        <v>AAR-880</v>
      </c>
      <c r="D10" t="str">
        <v>AAR-880</v>
      </c>
      <c r="E10" t="str">
        <v/>
      </c>
      <c r="F10" t="str">
        <v>867806078847433</v>
      </c>
      <c r="G10" t="str">
        <v>Otro</v>
      </c>
      <c r="H10" t="str">
        <v/>
      </c>
      <c r="I10" t="str">
        <v/>
      </c>
      <c r="J10" t="str">
        <v>28/09/2026</v>
      </c>
      <c r="K10" t="str">
        <v>12:14:59</v>
      </c>
      <c r="L10">
        <v>-12.193338</v>
      </c>
      <c r="M10">
        <v>-76.92696</v>
      </c>
      <c r="N10">
        <f>HYPERLINK("https://www.google.com/maps/search/?api=1&amp;query=-12.193338,-76.92696","Avenida La Mariscala, Villa María del Triunfo, Lima")</f>
      </c>
      <c r="O10" t="str">
        <v>Fuente principal desconectada</v>
      </c>
      <c r="P10" t="str">
        <v>Batería desconectada</v>
      </c>
      <c r="Q10">
        <v>2551</v>
      </c>
      <c r="R10" t="str">
        <v/>
      </c>
      <c r="S10">
        <v>0</v>
      </c>
      <c r="T10">
        <v>161.02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88</v>
      </c>
      <c r="AC10" t="str">
        <v>28/09/2026</v>
      </c>
      <c r="AD10" t="str">
        <v>12:14:54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12:15:05</v>
      </c>
      <c r="AL10" t="str">
        <v>12:15:05</v>
      </c>
      <c r="AM10" t="str">
        <v/>
      </c>
    </row>
    <row r="11">
      <c r="A11">
        <v>10</v>
      </c>
      <c r="B11" t="str">
        <v>MASS BSF</v>
      </c>
      <c r="C11" t="str">
        <v>AAR-880</v>
      </c>
      <c r="D11" t="str">
        <v>AAR-880</v>
      </c>
      <c r="E11" t="str">
        <v/>
      </c>
      <c r="F11" t="str">
        <v>867806078847433</v>
      </c>
      <c r="G11" t="str">
        <v>Otro</v>
      </c>
      <c r="H11" t="str">
        <v/>
      </c>
      <c r="I11" t="str">
        <v/>
      </c>
      <c r="J11" t="str">
        <v>28/09/2026</v>
      </c>
      <c r="K11" t="str">
        <v>14:14:42</v>
      </c>
      <c r="L11">
        <v>-12.193338</v>
      </c>
      <c r="M11">
        <v>-76.92696</v>
      </c>
      <c r="N11">
        <f>HYPERLINK("https://www.google.com/maps/search/?api=1&amp;query=-12.193338,-76.92696","Avenida La Mariscala, Villa María del Triunfo, Lima")</f>
      </c>
      <c r="O11" t="str">
        <v>Fuente principal conectada</v>
      </c>
      <c r="P11" t="str">
        <v>Batería conectada</v>
      </c>
      <c r="Q11">
        <v>2551</v>
      </c>
      <c r="R11" t="str">
        <v/>
      </c>
      <c r="S11">
        <v>0</v>
      </c>
      <c r="T11">
        <v>161.18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51</v>
      </c>
      <c r="AC11" t="str">
        <v>28/09/2026</v>
      </c>
      <c r="AD11" t="str">
        <v>14:14:41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14:14:52</v>
      </c>
      <c r="AL11" t="str">
        <v>14:14:52</v>
      </c>
      <c r="AM11" t="str">
        <v/>
      </c>
    </row>
    <row r="12">
      <c r="A12">
        <v>11</v>
      </c>
      <c r="B12" t="str">
        <v>MASS BSF</v>
      </c>
      <c r="C12" t="str">
        <v>AAR-880</v>
      </c>
      <c r="D12" t="str">
        <v>AAR-880</v>
      </c>
      <c r="E12" t="str">
        <v/>
      </c>
      <c r="F12" t="str">
        <v>867806078847433</v>
      </c>
      <c r="G12" t="str">
        <v>Otro</v>
      </c>
      <c r="H12" t="str">
        <v/>
      </c>
      <c r="I12" t="str">
        <v/>
      </c>
      <c r="J12" t="str">
        <v>28/09/2026</v>
      </c>
      <c r="K12" t="str">
        <v>14:18:17</v>
      </c>
      <c r="L12">
        <v>-12.193338</v>
      </c>
      <c r="M12">
        <v>-76.92696</v>
      </c>
      <c r="N12">
        <f>HYPERLINK("https://www.google.com/maps/search/?api=1&amp;query=-12.193338,-76.92696","Avenida La Mariscala, Villa María del Triunfo, Lima")</f>
      </c>
      <c r="O12" t="str">
        <v>Vehículo encendido</v>
      </c>
      <c r="P12" t="str">
        <v/>
      </c>
      <c r="Q12">
        <v>2551</v>
      </c>
      <c r="R12" t="str">
        <v/>
      </c>
      <c r="S12">
        <v>0</v>
      </c>
      <c r="T12">
        <v>161.18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51</v>
      </c>
      <c r="AC12" t="str">
        <v>28/09/2026</v>
      </c>
      <c r="AD12" t="str">
        <v>14:18:17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14:18:21</v>
      </c>
      <c r="AL12" t="str">
        <v>14:18:21</v>
      </c>
      <c r="AM12" t="str">
        <v/>
      </c>
    </row>
    <row r="13">
      <c r="A13">
        <v>12</v>
      </c>
      <c r="B13" t="str">
        <v>MASS BSF</v>
      </c>
      <c r="C13" t="str">
        <v>AAR-880</v>
      </c>
      <c r="D13" t="str">
        <v>AAR-880</v>
      </c>
      <c r="E13" t="str">
        <v/>
      </c>
      <c r="F13" t="str">
        <v>867806078847433</v>
      </c>
      <c r="G13" t="str">
        <v>Otro</v>
      </c>
      <c r="H13" t="str">
        <v/>
      </c>
      <c r="I13" t="str">
        <v/>
      </c>
      <c r="J13" t="str">
        <v>28/09/2026</v>
      </c>
      <c r="K13" t="str">
        <v>14:18:17</v>
      </c>
      <c r="L13">
        <v>-12.193338</v>
      </c>
      <c r="M13">
        <v>-76.92696</v>
      </c>
      <c r="N13">
        <f>HYPERLINK("https://www.google.com/maps/search/?api=1&amp;query=-12.193338,-76.92696","Avenida La Mariscala, Villa María del Triunfo, Lima")</f>
      </c>
      <c r="O13" t="str">
        <v>Se movio</v>
      </c>
      <c r="P13" t="str">
        <v/>
      </c>
      <c r="Q13">
        <v>2551</v>
      </c>
      <c r="R13" t="str">
        <v/>
      </c>
      <c r="S13">
        <v>0</v>
      </c>
      <c r="T13">
        <v>161.18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51</v>
      </c>
      <c r="AC13" t="str">
        <v>28/09/2026</v>
      </c>
      <c r="AD13" t="str">
        <v>14:18:17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14:18:26</v>
      </c>
      <c r="AL13" t="str">
        <v>14:18:26</v>
      </c>
      <c r="AM13" t="str">
        <v/>
      </c>
    </row>
    <row r="14">
      <c r="A14">
        <v>13</v>
      </c>
      <c r="B14" t="str">
        <v>MASS BSF</v>
      </c>
      <c r="C14" t="str">
        <v>AAR-880</v>
      </c>
      <c r="D14" t="str">
        <v>AAR-880</v>
      </c>
      <c r="E14" t="str">
        <v/>
      </c>
      <c r="F14" t="str">
        <v>867806078847433</v>
      </c>
      <c r="G14" t="str">
        <v>Otro</v>
      </c>
      <c r="H14" t="str">
        <v/>
      </c>
      <c r="I14" t="str">
        <v/>
      </c>
      <c r="J14" t="str">
        <v>28/09/2026</v>
      </c>
      <c r="K14" t="str">
        <v>14:31:36</v>
      </c>
      <c r="L14">
        <v>-12.193414</v>
      </c>
      <c r="M14">
        <v>-76.92682</v>
      </c>
      <c r="N14">
        <f>HYPERLINK("https://www.google.com/maps/search/?api=1&amp;query=-12.193414,-76.92682","Avenida La Mariscala, Villa María del Triunfo, Lima")</f>
      </c>
      <c r="O14" t="str">
        <v>Vehículo apagado</v>
      </c>
      <c r="P14" t="str">
        <v>Vehículo Apagado</v>
      </c>
      <c r="Q14">
        <v>2551.2</v>
      </c>
      <c r="R14" t="str">
        <v/>
      </c>
      <c r="S14">
        <v>0</v>
      </c>
      <c r="T14">
        <v>161.4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82</v>
      </c>
      <c r="AC14" t="str">
        <v>28/09/2026</v>
      </c>
      <c r="AD14" t="str">
        <v>14:31:35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14:31:47</v>
      </c>
      <c r="AL14" t="str">
        <v>14:31:47</v>
      </c>
      <c r="AM14" t="str">
        <v/>
      </c>
    </row>
    <row r="15">
      <c r="A15">
        <v>14</v>
      </c>
      <c r="B15" t="str">
        <v>MASS BSF</v>
      </c>
      <c r="C15" t="str">
        <v>AAR-880</v>
      </c>
      <c r="D15" t="str">
        <v>AAR-880</v>
      </c>
      <c r="E15" t="str">
        <v/>
      </c>
      <c r="F15" t="str">
        <v>867806078847433</v>
      </c>
      <c r="G15" t="str">
        <v>Otro</v>
      </c>
      <c r="H15" t="str">
        <v/>
      </c>
      <c r="I15" t="str">
        <v/>
      </c>
      <c r="J15" t="str">
        <v>28/09/2026</v>
      </c>
      <c r="K15" t="str">
        <v>14:41:59</v>
      </c>
      <c r="L15">
        <v>-12.193414</v>
      </c>
      <c r="M15">
        <v>-76.92682</v>
      </c>
      <c r="N15">
        <f>HYPERLINK("https://www.google.com/maps/search/?api=1&amp;query=-12.193414,-76.92682","Avenida La Mariscala, Villa María del Triunfo, Lima")</f>
      </c>
      <c r="O15" t="str">
        <v>Vehículo encendido</v>
      </c>
      <c r="P15" t="str">
        <v/>
      </c>
      <c r="Q15">
        <v>2551.2</v>
      </c>
      <c r="R15" t="str">
        <v/>
      </c>
      <c r="S15">
        <v>0</v>
      </c>
      <c r="T15">
        <v>161.4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82</v>
      </c>
      <c r="AC15" t="str">
        <v>28/09/2026</v>
      </c>
      <c r="AD15" t="str">
        <v>14:41:59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14:42:12</v>
      </c>
      <c r="AL15" t="str">
        <v>14:42:12</v>
      </c>
      <c r="AM15" t="str">
        <v/>
      </c>
    </row>
    <row r="16">
      <c r="A16">
        <v>15</v>
      </c>
      <c r="B16" t="str">
        <v>MASS BSF</v>
      </c>
      <c r="C16" t="str">
        <v>AAR-880</v>
      </c>
      <c r="D16" t="str">
        <v>AAR-880</v>
      </c>
      <c r="E16" t="str">
        <v/>
      </c>
      <c r="F16" t="str">
        <v>867806078847433</v>
      </c>
      <c r="G16" t="str">
        <v>Otro</v>
      </c>
      <c r="H16" t="str">
        <v/>
      </c>
      <c r="I16" t="str">
        <v/>
      </c>
      <c r="J16" t="str">
        <v>28/09/2026</v>
      </c>
      <c r="K16" t="str">
        <v>14:41:59</v>
      </c>
      <c r="L16">
        <v>-12.193414</v>
      </c>
      <c r="M16">
        <v>-76.92682</v>
      </c>
      <c r="N16">
        <f>HYPERLINK("https://www.google.com/maps/search/?api=1&amp;query=-12.193414,-76.92682","Avenida La Mariscala, Villa María del Triunfo, Lima")</f>
      </c>
      <c r="O16" t="str">
        <v>Se movio</v>
      </c>
      <c r="P16" t="str">
        <v/>
      </c>
      <c r="Q16">
        <v>2551.2</v>
      </c>
      <c r="R16" t="str">
        <v/>
      </c>
      <c r="S16">
        <v>0</v>
      </c>
      <c r="T16">
        <v>161.4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82</v>
      </c>
      <c r="AC16" t="str">
        <v>28/09/2026</v>
      </c>
      <c r="AD16" t="str">
        <v>14:41:59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14:42:12</v>
      </c>
      <c r="AL16" t="str">
        <v>14:42:12</v>
      </c>
      <c r="AM16" t="str">
        <v/>
      </c>
    </row>
    <row r="17">
      <c r="A17">
        <v>16</v>
      </c>
      <c r="B17" t="str">
        <v>MASS BSF</v>
      </c>
      <c r="C17" t="str">
        <v>AAR-880</v>
      </c>
      <c r="D17" t="str">
        <v>AAR-880</v>
      </c>
      <c r="E17" t="str">
        <v/>
      </c>
      <c r="F17" t="str">
        <v>867806078847433</v>
      </c>
      <c r="G17" t="str">
        <v>Otro</v>
      </c>
      <c r="H17" t="str">
        <v/>
      </c>
      <c r="I17" t="str">
        <v/>
      </c>
      <c r="J17" t="str">
        <v>28/09/2026</v>
      </c>
      <c r="K17" t="str">
        <v>14:51:34</v>
      </c>
      <c r="L17">
        <v>-12.215315</v>
      </c>
      <c r="M17">
        <v>-76.92211</v>
      </c>
      <c r="N17">
        <f>HYPERLINK("https://www.google.com/maps/search/?api=1&amp;query=-12.215315,-76.92211","Avenida Pachacútec, Villa El Salvador, Lima")</f>
      </c>
      <c r="O17" t="str">
        <v>Exceso de velocidad en segmento vial</v>
      </c>
      <c r="P17" t="str">
        <v/>
      </c>
      <c r="Q17">
        <v>2554.7</v>
      </c>
      <c r="R17" t="str">
        <v/>
      </c>
      <c r="S17">
        <v>60.1</v>
      </c>
      <c r="T17">
        <v>161.4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85</v>
      </c>
      <c r="AC17" t="str">
        <v>28/09/2026</v>
      </c>
      <c r="AD17" t="str">
        <v>14:51:34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14:51:50</v>
      </c>
      <c r="AL17" t="str">
        <v>14:51:50</v>
      </c>
      <c r="AM17" t="str">
        <v/>
      </c>
    </row>
    <row r="18">
      <c r="A18">
        <v>17</v>
      </c>
      <c r="B18" t="str">
        <v>MASS BSF</v>
      </c>
      <c r="C18" t="str">
        <v>AAR-880</v>
      </c>
      <c r="D18" t="str">
        <v>AAR-880</v>
      </c>
      <c r="E18" t="str">
        <v/>
      </c>
      <c r="F18" t="str">
        <v>867806078847433</v>
      </c>
      <c r="G18" t="str">
        <v>Otro</v>
      </c>
      <c r="H18" t="str">
        <v/>
      </c>
      <c r="I18" t="str">
        <v/>
      </c>
      <c r="J18" t="str">
        <v>28/09/2026</v>
      </c>
      <c r="K18" t="str">
        <v>14:51:44</v>
      </c>
      <c r="L18">
        <v>-12.21676</v>
      </c>
      <c r="M18">
        <v>-76.92189</v>
      </c>
      <c r="N18">
        <f>HYPERLINK("https://www.google.com/maps/search/?api=1&amp;query=-12.21676,-76.92189","Avenida Pachacútec, Villa El Salvador, Lima")</f>
      </c>
      <c r="O18" t="str">
        <v>Exceso de velocidad en segmento vial</v>
      </c>
      <c r="P18" t="str">
        <v/>
      </c>
      <c r="Q18">
        <v>2554.9</v>
      </c>
      <c r="R18" t="str">
        <v/>
      </c>
      <c r="S18">
        <v>60.1</v>
      </c>
      <c r="T18">
        <v>161.4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82</v>
      </c>
      <c r="AC18" t="str">
        <v>28/09/2026</v>
      </c>
      <c r="AD18" t="str">
        <v>14:51:44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14:51:56</v>
      </c>
      <c r="AL18" t="str">
        <v>14:51:56</v>
      </c>
      <c r="AM18" t="str">
        <v/>
      </c>
    </row>
    <row r="19">
      <c r="A19">
        <v>18</v>
      </c>
      <c r="B19" t="str">
        <v>MASS BSF</v>
      </c>
      <c r="C19" t="str">
        <v>AAR-880</v>
      </c>
      <c r="D19" t="str">
        <v>AAR-880</v>
      </c>
      <c r="E19" t="str">
        <v/>
      </c>
      <c r="F19" t="str">
        <v>867806078847433</v>
      </c>
      <c r="G19" t="str">
        <v>Otro</v>
      </c>
      <c r="H19" t="str">
        <v/>
      </c>
      <c r="I19" t="str">
        <v/>
      </c>
      <c r="J19" t="str">
        <v>28/09/2026</v>
      </c>
      <c r="K19" t="str">
        <v>14:55:05</v>
      </c>
      <c r="L19">
        <v>-12.231568</v>
      </c>
      <c r="M19">
        <v>-76.91903</v>
      </c>
      <c r="N19">
        <f>HYPERLINK("https://www.google.com/maps/search/?api=1&amp;query=-12.231568,-76.91903","Avenida Separadora Industrial, Villa El Salvador, Lima")</f>
      </c>
      <c r="O19" t="str">
        <v>Exceso de velocidad en segmento vial</v>
      </c>
      <c r="P19" t="str">
        <v/>
      </c>
      <c r="Q19">
        <v>2556.8</v>
      </c>
      <c r="R19" t="str">
        <v/>
      </c>
      <c r="S19">
        <v>81.1</v>
      </c>
      <c r="T19">
        <v>161.4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90</v>
      </c>
      <c r="AC19" t="str">
        <v>28/09/2026</v>
      </c>
      <c r="AD19" t="str">
        <v>14:55:05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14:55:25</v>
      </c>
      <c r="AL19" t="str">
        <v>14:55:25</v>
      </c>
      <c r="AM19" t="str">
        <v/>
      </c>
    </row>
    <row r="20">
      <c r="A20">
        <v>19</v>
      </c>
      <c r="B20" t="str">
        <v>MASS BSF</v>
      </c>
      <c r="C20" t="str">
        <v>AAR-880</v>
      </c>
      <c r="D20" t="str">
        <v>AAR-880</v>
      </c>
      <c r="E20" t="str">
        <v/>
      </c>
      <c r="F20" t="str">
        <v>867806078847433</v>
      </c>
      <c r="G20" t="str">
        <v>Otro</v>
      </c>
      <c r="H20" t="str">
        <v/>
      </c>
      <c r="I20" t="str">
        <v/>
      </c>
      <c r="J20" t="str">
        <v>28/09/2026</v>
      </c>
      <c r="K20" t="str">
        <v>15:00:09</v>
      </c>
      <c r="L20">
        <v>-12.255388</v>
      </c>
      <c r="M20">
        <v>-76.91047</v>
      </c>
      <c r="N20">
        <f>HYPERLINK("https://www.google.com/maps/search/?api=1&amp;query=-12.255388,-76.91047","Antigua Panamericana Sur, Lurín, Lima")</f>
      </c>
      <c r="O20" t="str">
        <v>Exceso de velocidad en segmento vial</v>
      </c>
      <c r="P20" t="str">
        <v/>
      </c>
      <c r="Q20">
        <v>2560.5</v>
      </c>
      <c r="R20" t="str">
        <v/>
      </c>
      <c r="S20">
        <v>64</v>
      </c>
      <c r="T20">
        <v>161.4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94</v>
      </c>
      <c r="AC20" t="str">
        <v>28/09/2026</v>
      </c>
      <c r="AD20" t="str">
        <v>15:00:09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15:00:38</v>
      </c>
      <c r="AL20" t="str">
        <v>15:00:38</v>
      </c>
      <c r="AM20" t="str">
        <v/>
      </c>
    </row>
    <row r="21">
      <c r="A21">
        <v>20</v>
      </c>
      <c r="B21" t="str">
        <v>MASS BSF</v>
      </c>
      <c r="C21" t="str">
        <v>AAR-880</v>
      </c>
      <c r="D21" t="str">
        <v>AAR-880</v>
      </c>
      <c r="E21" t="str">
        <v/>
      </c>
      <c r="F21" t="str">
        <v>867806078847433</v>
      </c>
      <c r="G21" t="str">
        <v>Otro</v>
      </c>
      <c r="H21" t="str">
        <v/>
      </c>
      <c r="I21" t="str">
        <v xml:space="preserve"> </v>
      </c>
      <c r="J21" t="str">
        <v>28/09/2026</v>
      </c>
      <c r="K21" t="str">
        <v>15:22:16</v>
      </c>
      <c r="L21">
        <v>-12.317529</v>
      </c>
      <c r="M21">
        <v>-76.82956</v>
      </c>
      <c r="N21">
        <f>HYPERLINK("https://www.google.com/maps/search/?api=1&amp;query=-12.317529,-76.82956","Punta Hermosa, Lima")</f>
      </c>
      <c r="O21" t="str">
        <v>Llegó a la zona</v>
      </c>
      <c r="P21" t="str">
        <v/>
      </c>
      <c r="Q21">
        <v>2579</v>
      </c>
      <c r="R21" t="str">
        <v>MASS BSF 1</v>
      </c>
      <c r="S21">
        <v>15.3</v>
      </c>
      <c r="T21">
        <v>161.67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90</v>
      </c>
      <c r="AC21" t="str">
        <v>28/09/2026</v>
      </c>
      <c r="AD21" t="str">
        <v>15:22:16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15:22:27</v>
      </c>
      <c r="AL21" t="str">
        <v>15:22:27</v>
      </c>
      <c r="AM21" t="str">
        <v/>
      </c>
    </row>
    <row r="22">
      <c r="A22">
        <v>21</v>
      </c>
      <c r="B22" t="str">
        <v>MASS BSF</v>
      </c>
      <c r="C22" t="str">
        <v>AAR-880</v>
      </c>
      <c r="D22" t="str">
        <v>AAR-880</v>
      </c>
      <c r="E22" t="str">
        <v/>
      </c>
      <c r="F22" t="str">
        <v>867806078847433</v>
      </c>
      <c r="G22" t="str">
        <v>Otro</v>
      </c>
      <c r="H22" t="str">
        <v/>
      </c>
      <c r="I22" t="str">
        <v/>
      </c>
      <c r="J22" t="str">
        <v>28/09/2026</v>
      </c>
      <c r="K22" t="str">
        <v>15:35:39</v>
      </c>
      <c r="L22">
        <v>-12.317398</v>
      </c>
      <c r="M22">
        <v>-76.82293</v>
      </c>
      <c r="N22">
        <f>HYPERLINK("https://www.google.com/maps/search/?api=1&amp;query=-12.317398,-76.82293","Punta Hermosa, Lima")</f>
      </c>
      <c r="O22" t="str">
        <v>Vehículo apagado</v>
      </c>
      <c r="P22" t="str">
        <v>Vehículo Apagado</v>
      </c>
      <c r="Q22">
        <v>2580.5</v>
      </c>
      <c r="R22" t="str">
        <v/>
      </c>
      <c r="S22">
        <v>0</v>
      </c>
      <c r="T22">
        <v>162.3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81</v>
      </c>
      <c r="AC22" t="str">
        <v>28/09/2026</v>
      </c>
      <c r="AD22" t="str">
        <v>15:35:37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15:35:47</v>
      </c>
      <c r="AL22" t="str">
        <v>15:35:47</v>
      </c>
      <c r="AM22" t="str">
        <v/>
      </c>
    </row>
    <row r="23">
      <c r="A23">
        <v>22</v>
      </c>
      <c r="B23" t="str">
        <v>MASS BSF</v>
      </c>
      <c r="C23" t="str">
        <v>AAR-880</v>
      </c>
      <c r="D23" t="str">
        <v>AAR-880</v>
      </c>
      <c r="E23" t="str">
        <v/>
      </c>
      <c r="F23" t="str">
        <v>867806078847433</v>
      </c>
      <c r="G23" t="str">
        <v>Otro</v>
      </c>
      <c r="H23" t="str">
        <v/>
      </c>
      <c r="I23" t="str">
        <v/>
      </c>
      <c r="J23" t="str">
        <v>28/09/2026</v>
      </c>
      <c r="K23" t="str">
        <v>15:49:10</v>
      </c>
      <c r="L23">
        <v>-12.317398</v>
      </c>
      <c r="M23">
        <v>-76.82293</v>
      </c>
      <c r="N23">
        <f>HYPERLINK("https://www.google.com/maps/search/?api=1&amp;query=-12.317398,-76.82293","Punta Hermosa, Lima")</f>
      </c>
      <c r="O23" t="str">
        <v>Vehículo encendido</v>
      </c>
      <c r="P23" t="str">
        <v/>
      </c>
      <c r="Q23">
        <v>2580.5</v>
      </c>
      <c r="R23" t="str">
        <v/>
      </c>
      <c r="S23">
        <v>0</v>
      </c>
      <c r="T23">
        <v>162.3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81</v>
      </c>
      <c r="AC23" t="str">
        <v>28/09/2026</v>
      </c>
      <c r="AD23" t="str">
        <v>15:49:09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15:49:22</v>
      </c>
      <c r="AL23" t="str">
        <v>15:49:22</v>
      </c>
      <c r="AM23" t="str">
        <v/>
      </c>
    </row>
    <row r="24">
      <c r="A24">
        <v>23</v>
      </c>
      <c r="B24" t="str">
        <v>MASS BSF</v>
      </c>
      <c r="C24" t="str">
        <v>AAR-880</v>
      </c>
      <c r="D24" t="str">
        <v>AAR-880</v>
      </c>
      <c r="E24" t="str">
        <v/>
      </c>
      <c r="F24" t="str">
        <v>867806078847433</v>
      </c>
      <c r="G24" t="str">
        <v>Otro</v>
      </c>
      <c r="H24" t="str">
        <v/>
      </c>
      <c r="I24" t="str">
        <v/>
      </c>
      <c r="J24" t="str">
        <v>28/09/2026</v>
      </c>
      <c r="K24" t="str">
        <v>15:49:10</v>
      </c>
      <c r="L24">
        <v>-12.317398</v>
      </c>
      <c r="M24">
        <v>-76.82293</v>
      </c>
      <c r="N24">
        <f>HYPERLINK("https://www.google.com/maps/search/?api=1&amp;query=-12.317398,-76.82293","Punta Hermosa, Lima")</f>
      </c>
      <c r="O24" t="str">
        <v>Se movio</v>
      </c>
      <c r="P24" t="str">
        <v/>
      </c>
      <c r="Q24">
        <v>2580.5</v>
      </c>
      <c r="R24" t="str">
        <v/>
      </c>
      <c r="S24">
        <v>0</v>
      </c>
      <c r="T24">
        <v>162.3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81</v>
      </c>
      <c r="AC24" t="str">
        <v>28/09/2026</v>
      </c>
      <c r="AD24" t="str">
        <v>15:49:09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15:49:22</v>
      </c>
      <c r="AL24" t="str">
        <v>15:49:22</v>
      </c>
      <c r="AM24" t="str">
        <v/>
      </c>
    </row>
    <row r="25">
      <c r="A25">
        <v>24</v>
      </c>
      <c r="B25" t="str">
        <v>MASS BSF</v>
      </c>
      <c r="C25" t="str">
        <v>AAR-880</v>
      </c>
      <c r="D25" t="str">
        <v>AAR-880</v>
      </c>
      <c r="E25" t="str">
        <v/>
      </c>
      <c r="F25" t="str">
        <v>867806078847433</v>
      </c>
      <c r="G25" t="str">
        <v>Otro</v>
      </c>
      <c r="H25" t="str">
        <v/>
      </c>
      <c r="I25" t="str">
        <v/>
      </c>
      <c r="J25" t="str">
        <v>28/09/2026</v>
      </c>
      <c r="K25" t="str">
        <v>16:00:06</v>
      </c>
      <c r="L25">
        <v>-12.317438</v>
      </c>
      <c r="M25">
        <v>-76.82442</v>
      </c>
      <c r="N25">
        <f>HYPERLINK("https://www.google.com/maps/search/?api=1&amp;query=-12.317438,-76.82442","Punta Hermosa, Lima")</f>
      </c>
      <c r="O25" t="str">
        <v>Vehículo apagado</v>
      </c>
      <c r="P25" t="str">
        <v>Vehículo Apagado</v>
      </c>
      <c r="Q25">
        <v>2580.8</v>
      </c>
      <c r="R25" t="str">
        <v/>
      </c>
      <c r="S25">
        <v>0</v>
      </c>
      <c r="T25">
        <v>162.48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90</v>
      </c>
      <c r="AC25" t="str">
        <v>28/09/2026</v>
      </c>
      <c r="AD25" t="str">
        <v>16:00:04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16:00:25</v>
      </c>
      <c r="AL25" t="str">
        <v>16:00:25</v>
      </c>
      <c r="AM25" t="str">
        <v/>
      </c>
    </row>
    <row r="26">
      <c r="A26">
        <v>25</v>
      </c>
      <c r="B26" t="str">
        <v>MASS BSF</v>
      </c>
      <c r="C26" t="str">
        <v>AAR-880</v>
      </c>
      <c r="D26" t="str">
        <v>AAR-880</v>
      </c>
      <c r="E26" t="str">
        <v/>
      </c>
      <c r="F26" t="str">
        <v>867806078847433</v>
      </c>
      <c r="G26" t="str">
        <v>Otro</v>
      </c>
      <c r="H26" t="str">
        <v/>
      </c>
      <c r="I26" t="str">
        <v/>
      </c>
      <c r="J26" t="str">
        <v>28/09/2026</v>
      </c>
      <c r="K26" t="str">
        <v>16:55:02</v>
      </c>
      <c r="L26">
        <v>-12.317438</v>
      </c>
      <c r="M26">
        <v>-76.82442</v>
      </c>
      <c r="N26">
        <f>HYPERLINK("https://www.google.com/maps/search/?api=1&amp;query=-12.317438,-76.82442","Punta Hermosa, Lima")</f>
      </c>
      <c r="O26" t="str">
        <v>Vehículo encendido</v>
      </c>
      <c r="P26" t="str">
        <v/>
      </c>
      <c r="Q26">
        <v>2580.8</v>
      </c>
      <c r="R26" t="str">
        <v/>
      </c>
      <c r="S26">
        <v>0</v>
      </c>
      <c r="T26">
        <v>162.48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81</v>
      </c>
      <c r="AC26" t="str">
        <v>28/09/2026</v>
      </c>
      <c r="AD26" t="str">
        <v>16:55:01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16:55:27</v>
      </c>
      <c r="AL26" t="str">
        <v>16:55:27</v>
      </c>
      <c r="AM26" t="str">
        <v/>
      </c>
    </row>
    <row r="27">
      <c r="A27">
        <v>26</v>
      </c>
      <c r="B27" t="str">
        <v>MASS BSF</v>
      </c>
      <c r="C27" t="str">
        <v>AAR-880</v>
      </c>
      <c r="D27" t="str">
        <v>AAR-880</v>
      </c>
      <c r="E27" t="str">
        <v/>
      </c>
      <c r="F27" t="str">
        <v>867806078847433</v>
      </c>
      <c r="G27" t="str">
        <v>Otro</v>
      </c>
      <c r="H27" t="str">
        <v/>
      </c>
      <c r="I27" t="str">
        <v/>
      </c>
      <c r="J27" t="str">
        <v>28/09/2026</v>
      </c>
      <c r="K27" t="str">
        <v>16:55:02</v>
      </c>
      <c r="L27">
        <v>-12.317438</v>
      </c>
      <c r="M27">
        <v>-76.82442</v>
      </c>
      <c r="N27">
        <f>HYPERLINK("https://www.google.com/maps/search/?api=1&amp;query=-12.317438,-76.82442","Punta Hermosa, Lima")</f>
      </c>
      <c r="O27" t="str">
        <v>Se movio</v>
      </c>
      <c r="P27" t="str">
        <v/>
      </c>
      <c r="Q27">
        <v>2580.8</v>
      </c>
      <c r="R27" t="str">
        <v/>
      </c>
      <c r="S27">
        <v>0</v>
      </c>
      <c r="T27">
        <v>162.48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81</v>
      </c>
      <c r="AC27" t="str">
        <v>28/09/2026</v>
      </c>
      <c r="AD27" t="str">
        <v>16:55:01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28/09/2026 16:55:27</v>
      </c>
      <c r="AL27" t="str">
        <v>16:55:27</v>
      </c>
      <c r="AM27" t="str">
        <v/>
      </c>
    </row>
    <row r="28">
      <c r="A28">
        <v>27</v>
      </c>
      <c r="B28" t="str">
        <v>MASS BSF</v>
      </c>
      <c r="C28" t="str">
        <v>AAR-880</v>
      </c>
      <c r="D28" t="str">
        <v>AAR-880</v>
      </c>
      <c r="E28" t="str">
        <v/>
      </c>
      <c r="F28" t="str">
        <v>867806078847433</v>
      </c>
      <c r="G28" t="str">
        <v>Otro</v>
      </c>
      <c r="H28" t="str">
        <v/>
      </c>
      <c r="I28" t="str">
        <v/>
      </c>
      <c r="J28" t="str">
        <v>28/09/2026</v>
      </c>
      <c r="K28" t="str">
        <v>17:06:21</v>
      </c>
      <c r="L28">
        <v>-12.317555</v>
      </c>
      <c r="M28">
        <v>-76.82437</v>
      </c>
      <c r="N28">
        <f>HYPERLINK("https://www.google.com/maps/search/?api=1&amp;query=-12.317555,-76.82437","Punta Hermosa, Lima")</f>
      </c>
      <c r="O28" t="str">
        <v>Vehículo apagado</v>
      </c>
      <c r="P28" t="str">
        <v>Vehículo Apagado</v>
      </c>
      <c r="Q28">
        <v>2580.8</v>
      </c>
      <c r="R28" t="str">
        <v/>
      </c>
      <c r="S28">
        <v>0</v>
      </c>
      <c r="T28">
        <v>162.67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89</v>
      </c>
      <c r="AC28" t="str">
        <v>28/09/2026</v>
      </c>
      <c r="AD28" t="str">
        <v>17:06:19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28/09/2026 17:06:34</v>
      </c>
      <c r="AL28" t="str">
        <v>17:06:34</v>
      </c>
      <c r="AM28" t="str">
        <v/>
      </c>
    </row>
    <row r="29">
      <c r="A29">
        <v>28</v>
      </c>
      <c r="B29" t="str">
        <v>MASS BSF</v>
      </c>
      <c r="C29" t="str">
        <v>AAR-880</v>
      </c>
      <c r="D29" t="str">
        <v>AAR-880</v>
      </c>
      <c r="E29" t="str">
        <v/>
      </c>
      <c r="F29" t="str">
        <v>867806078847433</v>
      </c>
      <c r="G29" t="str">
        <v>Otro</v>
      </c>
      <c r="H29" t="str">
        <v/>
      </c>
      <c r="I29" t="str">
        <v/>
      </c>
      <c r="J29" t="str">
        <v>28/09/2026</v>
      </c>
      <c r="K29" t="str">
        <v>17:32:50</v>
      </c>
      <c r="L29">
        <v>-12.317555</v>
      </c>
      <c r="M29">
        <v>-76.82437</v>
      </c>
      <c r="N29">
        <f>HYPERLINK("https://www.google.com/maps/search/?api=1&amp;query=-12.317555,-76.82437","Punta Hermosa, Lima")</f>
      </c>
      <c r="O29" t="str">
        <v>Vehículo encendido</v>
      </c>
      <c r="P29" t="str">
        <v/>
      </c>
      <c r="Q29">
        <v>2580.8</v>
      </c>
      <c r="R29" t="str">
        <v/>
      </c>
      <c r="S29">
        <v>0</v>
      </c>
      <c r="T29">
        <v>162.67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82</v>
      </c>
      <c r="AC29" t="str">
        <v>28/09/2026</v>
      </c>
      <c r="AD29" t="str">
        <v>17:32:48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28/09/2026 17:33:07</v>
      </c>
      <c r="AL29" t="str">
        <v>17:33:07</v>
      </c>
      <c r="AM29" t="str">
        <v/>
      </c>
    </row>
    <row r="30">
      <c r="A30">
        <v>29</v>
      </c>
      <c r="B30" t="str">
        <v>MASS BSF</v>
      </c>
      <c r="C30" t="str">
        <v>AAR-880</v>
      </c>
      <c r="D30" t="str">
        <v>AAR-880</v>
      </c>
      <c r="E30" t="str">
        <v/>
      </c>
      <c r="F30" t="str">
        <v>867806078847433</v>
      </c>
      <c r="G30" t="str">
        <v>Otro</v>
      </c>
      <c r="H30" t="str">
        <v/>
      </c>
      <c r="I30" t="str">
        <v/>
      </c>
      <c r="J30" t="str">
        <v>28/09/2026</v>
      </c>
      <c r="K30" t="str">
        <v>17:32:50</v>
      </c>
      <c r="L30">
        <v>-12.317555</v>
      </c>
      <c r="M30">
        <v>-76.82437</v>
      </c>
      <c r="N30">
        <f>HYPERLINK("https://www.google.com/maps/search/?api=1&amp;query=-12.317555,-76.82437","Punta Hermosa, Lima")</f>
      </c>
      <c r="O30" t="str">
        <v>Se movio</v>
      </c>
      <c r="P30" t="str">
        <v/>
      </c>
      <c r="Q30">
        <v>2580.8</v>
      </c>
      <c r="R30" t="str">
        <v/>
      </c>
      <c r="S30">
        <v>0</v>
      </c>
      <c r="T30">
        <v>162.67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82</v>
      </c>
      <c r="AC30" t="str">
        <v>28/09/2026</v>
      </c>
      <c r="AD30" t="str">
        <v>17:32:48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28/09/2026 17:32:55</v>
      </c>
      <c r="AL30" t="str">
        <v>17:32:55</v>
      </c>
      <c r="AM30" t="str">
        <v/>
      </c>
    </row>
    <row r="31">
      <c r="A31">
        <v>30</v>
      </c>
      <c r="B31" t="str">
        <v>MASS BSF</v>
      </c>
      <c r="C31" t="str">
        <v>AAR-880</v>
      </c>
      <c r="D31" t="str">
        <v>AAR-880</v>
      </c>
      <c r="E31" t="str">
        <v/>
      </c>
      <c r="F31" t="str">
        <v>867806078847433</v>
      </c>
      <c r="G31" t="str">
        <v>Otro</v>
      </c>
      <c r="H31" t="str">
        <v/>
      </c>
      <c r="I31" t="str">
        <v/>
      </c>
      <c r="J31" t="str">
        <v>28/09/2026</v>
      </c>
      <c r="K31" t="str">
        <v>17:40:20</v>
      </c>
      <c r="L31">
        <v>-12.317578</v>
      </c>
      <c r="M31">
        <v>-76.82436</v>
      </c>
      <c r="N31">
        <f>HYPERLINK("https://www.google.com/maps/search/?api=1&amp;query=-12.317578,-76.82436","Punta Hermosa, Lima")</f>
      </c>
      <c r="O31" t="str">
        <v>Vehículo apagado</v>
      </c>
      <c r="P31" t="str">
        <v>Vehículo Apagado</v>
      </c>
      <c r="Q31">
        <v>2580.9</v>
      </c>
      <c r="R31" t="str">
        <v/>
      </c>
      <c r="S31">
        <v>0</v>
      </c>
      <c r="T31">
        <v>162.8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97</v>
      </c>
      <c r="AC31" t="str">
        <v>28/09/2026</v>
      </c>
      <c r="AD31" t="str">
        <v>17:40:18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28/09/2026 17:40:40</v>
      </c>
      <c r="AL31" t="str">
        <v>17:40:40</v>
      </c>
      <c r="AM31" t="str">
        <v/>
      </c>
    </row>
    <row r="32">
      <c r="A32">
        <v>31</v>
      </c>
      <c r="B32" t="str">
        <v>MASS BSF</v>
      </c>
      <c r="C32" t="str">
        <v>AAR-880</v>
      </c>
      <c r="D32" t="str">
        <v>AAR-880</v>
      </c>
      <c r="E32" t="str">
        <v/>
      </c>
      <c r="F32" t="str">
        <v>867806078847433</v>
      </c>
      <c r="G32" t="str">
        <v>Otro</v>
      </c>
      <c r="H32" t="str">
        <v/>
      </c>
      <c r="I32" t="str">
        <v/>
      </c>
      <c r="J32" t="str">
        <v>28/09/2026</v>
      </c>
      <c r="K32" t="str">
        <v>17:44:03</v>
      </c>
      <c r="L32">
        <v>-12.317578</v>
      </c>
      <c r="M32">
        <v>-76.82436</v>
      </c>
      <c r="N32">
        <f>HYPERLINK("https://www.google.com/maps/search/?api=1&amp;query=-12.317578,-76.82436","Punta Hermosa, Lima")</f>
      </c>
      <c r="O32" t="str">
        <v>Vehículo encendido</v>
      </c>
      <c r="P32" t="str">
        <v/>
      </c>
      <c r="Q32">
        <v>2580.9</v>
      </c>
      <c r="R32" t="str">
        <v/>
      </c>
      <c r="S32">
        <v>0</v>
      </c>
      <c r="T32">
        <v>162.8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97</v>
      </c>
      <c r="AC32" t="str">
        <v>28/09/2026</v>
      </c>
      <c r="AD32" t="str">
        <v>17:44:01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28/09/2026 17:44:22</v>
      </c>
      <c r="AL32" t="str">
        <v>17:44:22</v>
      </c>
      <c r="AM32" t="str">
        <v/>
      </c>
    </row>
    <row r="33">
      <c r="A33">
        <v>32</v>
      </c>
      <c r="B33" t="str">
        <v>MASS BSF</v>
      </c>
      <c r="C33" t="str">
        <v>AAR-880</v>
      </c>
      <c r="D33" t="str">
        <v>AAR-880</v>
      </c>
      <c r="E33" t="str">
        <v/>
      </c>
      <c r="F33" t="str">
        <v>867806078847433</v>
      </c>
      <c r="G33" t="str">
        <v>Otro</v>
      </c>
      <c r="H33" t="str">
        <v/>
      </c>
      <c r="I33" t="str">
        <v/>
      </c>
      <c r="J33" t="str">
        <v>28/09/2026</v>
      </c>
      <c r="K33" t="str">
        <v>17:44:03</v>
      </c>
      <c r="L33">
        <v>-12.317578</v>
      </c>
      <c r="M33">
        <v>-76.82436</v>
      </c>
      <c r="N33">
        <f>HYPERLINK("https://www.google.com/maps/search/?api=1&amp;query=-12.317578,-76.82436","Punta Hermosa, Lima")</f>
      </c>
      <c r="O33" t="str">
        <v>Se movio</v>
      </c>
      <c r="P33" t="str">
        <v/>
      </c>
      <c r="Q33">
        <v>2580.9</v>
      </c>
      <c r="R33" t="str">
        <v/>
      </c>
      <c r="S33">
        <v>0</v>
      </c>
      <c r="T33">
        <v>162.8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97</v>
      </c>
      <c r="AC33" t="str">
        <v>28/09/2026</v>
      </c>
      <c r="AD33" t="str">
        <v>17:44:01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28/09/2026 17:44:24</v>
      </c>
      <c r="AL33" t="str">
        <v>17:44:24</v>
      </c>
      <c r="AM33" t="str">
        <v/>
      </c>
    </row>
    <row r="34">
      <c r="A34">
        <v>33</v>
      </c>
      <c r="B34" t="str">
        <v>MASS BSF</v>
      </c>
      <c r="C34" t="str">
        <v>AAR-880</v>
      </c>
      <c r="D34" t="str">
        <v>AAR-880</v>
      </c>
      <c r="E34" t="str">
        <v/>
      </c>
      <c r="F34" t="str">
        <v>867806078847433</v>
      </c>
      <c r="G34" t="str">
        <v>Otro</v>
      </c>
      <c r="H34" t="str">
        <v/>
      </c>
      <c r="I34" t="str">
        <v xml:space="preserve"> </v>
      </c>
      <c r="J34" t="str">
        <v>28/09/2026</v>
      </c>
      <c r="K34" t="str">
        <v>17:53:59</v>
      </c>
      <c r="L34">
        <v>-12.317553</v>
      </c>
      <c r="M34">
        <v>-76.82978</v>
      </c>
      <c r="N34">
        <f>HYPERLINK("https://www.google.com/maps/search/?api=1&amp;query=-12.317553,-76.82978","Punta Hermosa, Lima")</f>
      </c>
      <c r="O34" t="str">
        <v>Salió de zona</v>
      </c>
      <c r="P34" t="str">
        <v/>
      </c>
      <c r="Q34">
        <v>2581.7</v>
      </c>
      <c r="R34" t="str">
        <v>MASS BSF 1</v>
      </c>
      <c r="S34">
        <v>7.4</v>
      </c>
      <c r="T34">
        <v>163.2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89</v>
      </c>
      <c r="AC34" t="str">
        <v>28/09/2026</v>
      </c>
      <c r="AD34" t="str">
        <v>17:53:58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28/09/2026 17:54:07</v>
      </c>
      <c r="AL34" t="str">
        <v>17:54:07</v>
      </c>
      <c r="AM34" t="str">
        <v/>
      </c>
    </row>
    <row r="35">
      <c r="A35">
        <v>34</v>
      </c>
      <c r="B35" t="str">
        <v>MASS BSF</v>
      </c>
      <c r="C35" t="str">
        <v>AAR-880</v>
      </c>
      <c r="D35" t="str">
        <v>AAR-880</v>
      </c>
      <c r="E35" t="str">
        <v/>
      </c>
      <c r="F35" t="str">
        <v>867806078847433</v>
      </c>
      <c r="G35" t="str">
        <v>Otro</v>
      </c>
      <c r="H35" t="str">
        <v/>
      </c>
      <c r="I35" t="str">
        <v xml:space="preserve"> </v>
      </c>
      <c r="J35" t="str">
        <v>28/09/2026</v>
      </c>
      <c r="K35" t="str">
        <v>18:31:26</v>
      </c>
      <c r="L35">
        <v>-12.212878</v>
      </c>
      <c r="M35">
        <v>-76.95937</v>
      </c>
      <c r="N35">
        <f>HYPERLINK("https://www.google.com/maps/search/?api=1&amp;query=-12.212878,-76.95937","Avenida Villa del Mar, Villa El Salvador, Lima")</f>
      </c>
      <c r="O35" t="str">
        <v>Llegó a la zona</v>
      </c>
      <c r="P35" t="str">
        <v/>
      </c>
      <c r="Q35">
        <v>2603.1</v>
      </c>
      <c r="R35" t="str">
        <v>BASE-OSLOGISTICS</v>
      </c>
      <c r="S35">
        <v>9.4</v>
      </c>
      <c r="T35">
        <v>163.2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90</v>
      </c>
      <c r="AC35" t="str">
        <v>28/09/2026</v>
      </c>
      <c r="AD35" t="str">
        <v>18:31:24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28/09/2026 18:31:45</v>
      </c>
      <c r="AL35" t="str">
        <v>18:31:45</v>
      </c>
      <c r="AM35" t="str">
        <v/>
      </c>
    </row>
    <row r="36">
      <c r="A36">
        <v>35</v>
      </c>
      <c r="B36" t="str">
        <v>MASS BSF</v>
      </c>
      <c r="C36" t="str">
        <v>AAR-880</v>
      </c>
      <c r="D36" t="str">
        <v>AAR-880</v>
      </c>
      <c r="E36" t="str">
        <v/>
      </c>
      <c r="F36" t="str">
        <v>867806078847433</v>
      </c>
      <c r="G36" t="str">
        <v>Otro</v>
      </c>
      <c r="H36" t="str">
        <v/>
      </c>
      <c r="I36" t="str">
        <v/>
      </c>
      <c r="J36" t="str">
        <v>28/09/2026</v>
      </c>
      <c r="K36" t="str">
        <v>18:45:24</v>
      </c>
      <c r="L36">
        <v>-12.213032</v>
      </c>
      <c r="M36">
        <v>-76.959076</v>
      </c>
      <c r="N36">
        <f>HYPERLINK("https://www.google.com/maps/search/?api=1&amp;query=-12.213032,-76.959076","Avenida Villa del Mar, Villa El Salvador, Lima")</f>
      </c>
      <c r="O36" t="str">
        <v>Vehículo apagado</v>
      </c>
      <c r="P36" t="str">
        <v>Vehículo Apagado</v>
      </c>
      <c r="Q36">
        <v>2603.1</v>
      </c>
      <c r="R36" t="str">
        <v/>
      </c>
      <c r="S36">
        <v>0</v>
      </c>
      <c r="T36">
        <v>163.82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92</v>
      </c>
      <c r="AC36" t="str">
        <v>28/09/2026</v>
      </c>
      <c r="AD36" t="str">
        <v>18:45:21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28/09/2026 18:45:31</v>
      </c>
      <c r="AL36" t="str">
        <v>18:45:31</v>
      </c>
      <c r="AM36" t="str">
        <v/>
      </c>
    </row>
  </sheetData>
  <ignoredErrors>
    <ignoredError numberStoredAsText="1" sqref="A1:AM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