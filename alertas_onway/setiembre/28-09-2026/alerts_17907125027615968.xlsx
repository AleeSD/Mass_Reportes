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CMV-853</v>
      </c>
      <c r="D2" t="str">
        <v>CMV-853</v>
      </c>
      <c r="E2" t="str">
        <v/>
      </c>
      <c r="F2" t="str">
        <v>867162029810454</v>
      </c>
      <c r="G2" t="str">
        <v>TBD</v>
      </c>
      <c r="H2" t="str">
        <v/>
      </c>
      <c r="I2" t="str">
        <v/>
      </c>
      <c r="J2" t="str">
        <v>28/09/2026</v>
      </c>
      <c r="K2" t="str">
        <v>11:32:53</v>
      </c>
      <c r="L2">
        <v>-12.213181</v>
      </c>
      <c r="M2">
        <v>-76.95883</v>
      </c>
      <c r="N2">
        <f>HYPERLINK("https://www.google.com/maps/search/?api=1&amp;query=-12.213181,-76.95883","Villa El Salvador, Lima")</f>
      </c>
      <c r="O2" t="str">
        <v>Vehículo encendido</v>
      </c>
      <c r="P2" t="str">
        <v/>
      </c>
      <c r="Q2">
        <v>11868.9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90</v>
      </c>
      <c r="AC2" t="str">
        <v>28/09/2026</v>
      </c>
      <c r="AD2" t="str">
        <v>11:29:18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11:33:02</v>
      </c>
      <c r="AL2" t="str">
        <v>11:33:02</v>
      </c>
      <c r="AM2" t="str">
        <v/>
      </c>
    </row>
    <row r="3">
      <c r="A3">
        <v>2</v>
      </c>
      <c r="B3" t="str">
        <v>MASS BSF</v>
      </c>
      <c r="C3" t="str">
        <v>CMV-853</v>
      </c>
      <c r="D3" t="str">
        <v>CMV-853</v>
      </c>
      <c r="E3" t="str">
        <v/>
      </c>
      <c r="F3" t="str">
        <v>867162029810454</v>
      </c>
      <c r="G3" t="str">
        <v>TBD</v>
      </c>
      <c r="H3" t="str">
        <v/>
      </c>
      <c r="I3" t="str">
        <v xml:space="preserve"> </v>
      </c>
      <c r="J3" t="str">
        <v>28/09/2026</v>
      </c>
      <c r="K3" t="str">
        <v>12:14:07</v>
      </c>
      <c r="L3">
        <v>-12.317607</v>
      </c>
      <c r="M3">
        <v>-76.82969</v>
      </c>
      <c r="N3">
        <f>HYPERLINK("https://www.google.com/maps/search/?api=1&amp;query=-12.317607,-76.82969","Punta Hermosa, Lima")</f>
      </c>
      <c r="O3" t="str">
        <v>Llegó a la zona</v>
      </c>
      <c r="P3" t="str">
        <v/>
      </c>
      <c r="Q3">
        <v>11896.8</v>
      </c>
      <c r="R3" t="str">
        <v>MASS BSF 1</v>
      </c>
      <c r="S3">
        <v>10.7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90</v>
      </c>
      <c r="AC3" t="str">
        <v>28/09/2026</v>
      </c>
      <c r="AD3" t="str">
        <v>12:14:06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12:14:18</v>
      </c>
      <c r="AL3" t="str">
        <v>12:14:18</v>
      </c>
      <c r="AM3" t="str">
        <v/>
      </c>
    </row>
    <row r="4">
      <c r="A4">
        <v>3</v>
      </c>
      <c r="B4" t="str">
        <v>MASS BSF</v>
      </c>
      <c r="C4" t="str">
        <v>CMV-853</v>
      </c>
      <c r="D4" t="str">
        <v>CMV-853</v>
      </c>
      <c r="E4" t="str">
        <v/>
      </c>
      <c r="F4" t="str">
        <v>867162029810454</v>
      </c>
      <c r="G4" t="str">
        <v>TBD</v>
      </c>
      <c r="H4" t="str">
        <v/>
      </c>
      <c r="I4" t="str">
        <v/>
      </c>
      <c r="J4" t="str">
        <v>28/09/2026</v>
      </c>
      <c r="K4" t="str">
        <v>12:21:01</v>
      </c>
      <c r="L4">
        <v>-12.317399</v>
      </c>
      <c r="M4">
        <v>-76.82294</v>
      </c>
      <c r="N4">
        <f>HYPERLINK("https://www.google.com/maps/search/?api=1&amp;query=-12.317399,-76.82294","Punta Hermosa, Lima")</f>
      </c>
      <c r="O4" t="str">
        <v>Vehículo apagado</v>
      </c>
      <c r="P4" t="str">
        <v>Vehículo Apagado</v>
      </c>
      <c r="Q4">
        <v>11897.9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90</v>
      </c>
      <c r="AC4" t="str">
        <v>28/09/2026</v>
      </c>
      <c r="AD4" t="str">
        <v>12:21:03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12:21:19</v>
      </c>
      <c r="AL4" t="str">
        <v>12:21:19</v>
      </c>
      <c r="AM4" t="str">
        <v/>
      </c>
    </row>
    <row r="5">
      <c r="A5">
        <v>4</v>
      </c>
      <c r="B5" t="str">
        <v>MASS BSF</v>
      </c>
      <c r="C5" t="str">
        <v>CMV-853</v>
      </c>
      <c r="D5" t="str">
        <v>CMV-853</v>
      </c>
      <c r="E5" t="str">
        <v/>
      </c>
      <c r="F5" t="str">
        <v>867162029810454</v>
      </c>
      <c r="G5" t="str">
        <v>TBD</v>
      </c>
      <c r="H5" t="str">
        <v/>
      </c>
      <c r="I5" t="str">
        <v/>
      </c>
      <c r="J5" t="str">
        <v>28/09/2026</v>
      </c>
      <c r="K5" t="str">
        <v>12:22:18</v>
      </c>
      <c r="L5">
        <v>-12.317399</v>
      </c>
      <c r="M5">
        <v>-76.82294</v>
      </c>
      <c r="N5">
        <f>HYPERLINK("https://www.google.com/maps/search/?api=1&amp;query=-12.317399,-76.82294","Punta Hermosa, Lima")</f>
      </c>
      <c r="O5" t="str">
        <v>Vehículo encendido</v>
      </c>
      <c r="P5" t="str">
        <v/>
      </c>
      <c r="Q5">
        <v>11897.9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90</v>
      </c>
      <c r="AC5" t="str">
        <v>28/09/2026</v>
      </c>
      <c r="AD5" t="str">
        <v>12:21:03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12:22:32</v>
      </c>
      <c r="AL5" t="str">
        <v>12:22:32</v>
      </c>
      <c r="AM5" t="str">
        <v/>
      </c>
    </row>
    <row r="6">
      <c r="A6">
        <v>5</v>
      </c>
      <c r="B6" t="str">
        <v>MASS BSF</v>
      </c>
      <c r="C6" t="str">
        <v>CMV-853</v>
      </c>
      <c r="D6" t="str">
        <v>CMV-853</v>
      </c>
      <c r="E6" t="str">
        <v/>
      </c>
      <c r="F6" t="str">
        <v>867162029810454</v>
      </c>
      <c r="G6" t="str">
        <v>TBD</v>
      </c>
      <c r="H6" t="str">
        <v/>
      </c>
      <c r="I6" t="str">
        <v/>
      </c>
      <c r="J6" t="str">
        <v>28/09/2026</v>
      </c>
      <c r="K6" t="str">
        <v>12:22:38</v>
      </c>
      <c r="L6">
        <v>-12.317456</v>
      </c>
      <c r="M6">
        <v>-76.82294</v>
      </c>
      <c r="N6">
        <f>HYPERLINK("https://www.google.com/maps/search/?api=1&amp;query=-12.317456,-76.82294","Punta Hermosa, Lima")</f>
      </c>
      <c r="O6" t="str">
        <v>Vehículo apagado</v>
      </c>
      <c r="P6" t="str">
        <v>Vehículo Apagado</v>
      </c>
      <c r="Q6">
        <v>11897.9</v>
      </c>
      <c r="R6" t="str">
        <v/>
      </c>
      <c r="S6">
        <v>0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90</v>
      </c>
      <c r="AC6" t="str">
        <v>28/09/2026</v>
      </c>
      <c r="AD6" t="str">
        <v>12:22:39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12:22:50</v>
      </c>
      <c r="AL6" t="str">
        <v>12:22:50</v>
      </c>
      <c r="AM6" t="str">
        <v/>
      </c>
    </row>
    <row r="7">
      <c r="A7">
        <v>6</v>
      </c>
      <c r="B7" t="str">
        <v>MASS BSF</v>
      </c>
      <c r="C7" t="str">
        <v>CMV-853</v>
      </c>
      <c r="D7" t="str">
        <v>CMV-853</v>
      </c>
      <c r="E7" t="str">
        <v/>
      </c>
      <c r="F7" t="str">
        <v>867162029810454</v>
      </c>
      <c r="G7" t="str">
        <v>TBD</v>
      </c>
      <c r="H7" t="str">
        <v/>
      </c>
      <c r="I7" t="str">
        <v/>
      </c>
      <c r="J7" t="str">
        <v>28/09/2026</v>
      </c>
      <c r="K7" t="str">
        <v>12:23:23</v>
      </c>
      <c r="L7">
        <v>-12.317456</v>
      </c>
      <c r="M7">
        <v>-76.82294</v>
      </c>
      <c r="N7">
        <f>HYPERLINK("https://www.google.com/maps/search/?api=1&amp;query=-12.317456,-76.82294","Punta Hermosa, Lima")</f>
      </c>
      <c r="O7" t="str">
        <v>Se desactivó la entrada 2</v>
      </c>
      <c r="P7" t="str">
        <v>Puerta Abierta</v>
      </c>
      <c r="Q7">
        <v>11897.9</v>
      </c>
      <c r="R7" t="str">
        <v/>
      </c>
      <c r="S7">
        <v>0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90</v>
      </c>
      <c r="AC7" t="str">
        <v>28/09/2026</v>
      </c>
      <c r="AD7" t="str">
        <v>12:23:22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12:23:35</v>
      </c>
      <c r="AL7" t="str">
        <v>12:23:35</v>
      </c>
      <c r="AM7" t="str">
        <v/>
      </c>
    </row>
    <row r="8">
      <c r="A8">
        <v>7</v>
      </c>
      <c r="B8" t="str">
        <v>MASS BSF</v>
      </c>
      <c r="C8" t="str">
        <v>CMV-853</v>
      </c>
      <c r="D8" t="str">
        <v>CMV-853</v>
      </c>
      <c r="E8" t="str">
        <v/>
      </c>
      <c r="F8" t="str">
        <v>867162029810454</v>
      </c>
      <c r="G8" t="str">
        <v>TBD</v>
      </c>
      <c r="H8" t="str">
        <v/>
      </c>
      <c r="I8" t="str">
        <v/>
      </c>
      <c r="J8" t="str">
        <v>28/09/2026</v>
      </c>
      <c r="K8" t="str">
        <v>12:30:00</v>
      </c>
      <c r="L8">
        <v>-12.317456</v>
      </c>
      <c r="M8">
        <v>-76.82294</v>
      </c>
      <c r="N8">
        <f>HYPERLINK("https://www.google.com/maps/search/?api=1&amp;query=-12.317456,-76.82294","Punta Hermosa, Lima")</f>
      </c>
      <c r="O8" t="str">
        <v>Se activó la entrada 2</v>
      </c>
      <c r="P8" t="str">
        <v>Puerta Cerrada</v>
      </c>
      <c r="Q8">
        <v>11897.9</v>
      </c>
      <c r="R8" t="str">
        <v/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90</v>
      </c>
      <c r="AC8" t="str">
        <v>28/09/2026</v>
      </c>
      <c r="AD8" t="str">
        <v>12:29:59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12:30:07</v>
      </c>
      <c r="AL8" t="str">
        <v>12:30:07</v>
      </c>
      <c r="AM8" t="str">
        <v/>
      </c>
    </row>
    <row r="9">
      <c r="A9">
        <v>8</v>
      </c>
      <c r="B9" t="str">
        <v>MASS BSF</v>
      </c>
      <c r="C9" t="str">
        <v>CMV-853</v>
      </c>
      <c r="D9" t="str">
        <v>CMV-853</v>
      </c>
      <c r="E9" t="str">
        <v/>
      </c>
      <c r="F9" t="str">
        <v>867162029810454</v>
      </c>
      <c r="G9" t="str">
        <v>TBD</v>
      </c>
      <c r="H9" t="str">
        <v/>
      </c>
      <c r="I9" t="str">
        <v/>
      </c>
      <c r="J9" t="str">
        <v>28/09/2026</v>
      </c>
      <c r="K9" t="str">
        <v>12:30:59</v>
      </c>
      <c r="L9">
        <v>-12.317363</v>
      </c>
      <c r="M9">
        <v>-76.82292</v>
      </c>
      <c r="N9">
        <f>HYPERLINK("https://www.google.com/maps/search/?api=1&amp;query=-12.317363,-76.82292","Punta Hermosa, Lima")</f>
      </c>
      <c r="O9" t="str">
        <v>Vehículo encendido</v>
      </c>
      <c r="P9" t="str">
        <v/>
      </c>
      <c r="Q9">
        <v>11897.9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90</v>
      </c>
      <c r="AC9" t="str">
        <v>28/09/2026</v>
      </c>
      <c r="AD9" t="str">
        <v>12:31:02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12:31:14</v>
      </c>
      <c r="AL9" t="str">
        <v>12:31:14</v>
      </c>
      <c r="AM9" t="str">
        <v/>
      </c>
    </row>
    <row r="10">
      <c r="A10">
        <v>9</v>
      </c>
      <c r="B10" t="str">
        <v>MASS BSF</v>
      </c>
      <c r="C10" t="str">
        <v>CMV-853</v>
      </c>
      <c r="D10" t="str">
        <v>CMV-853</v>
      </c>
      <c r="E10" t="str">
        <v/>
      </c>
      <c r="F10" t="str">
        <v>867162029810454</v>
      </c>
      <c r="G10" t="str">
        <v>TBD</v>
      </c>
      <c r="H10" t="str">
        <v/>
      </c>
      <c r="I10" t="str">
        <v/>
      </c>
      <c r="J10" t="str">
        <v>28/09/2026</v>
      </c>
      <c r="K10" t="str">
        <v>12:34:01</v>
      </c>
      <c r="L10">
        <v>-12.317587</v>
      </c>
      <c r="M10">
        <v>-76.82442</v>
      </c>
      <c r="N10">
        <f>HYPERLINK("https://www.google.com/maps/search/?api=1&amp;query=-12.317587,-76.82442","Punta Hermosa, Lima")</f>
      </c>
      <c r="O10" t="str">
        <v>Vehículo apagado</v>
      </c>
      <c r="P10" t="str">
        <v>Vehículo Apagado</v>
      </c>
      <c r="Q10">
        <v>11898.3</v>
      </c>
      <c r="R10" t="str">
        <v/>
      </c>
      <c r="S10">
        <v>5.3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90</v>
      </c>
      <c r="AC10" t="str">
        <v>28/09/2026</v>
      </c>
      <c r="AD10" t="str">
        <v>12:33:02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12:34:10</v>
      </c>
      <c r="AL10" t="str">
        <v>12:34:10</v>
      </c>
      <c r="AM10" t="str">
        <v/>
      </c>
    </row>
    <row r="11">
      <c r="A11">
        <v>10</v>
      </c>
      <c r="B11" t="str">
        <v>MASS BSF</v>
      </c>
      <c r="C11" t="str">
        <v>CMV-853</v>
      </c>
      <c r="D11" t="str">
        <v>CMV-853</v>
      </c>
      <c r="E11" t="str">
        <v/>
      </c>
      <c r="F11" t="str">
        <v>867162029810454</v>
      </c>
      <c r="G11" t="str">
        <v>TBD</v>
      </c>
      <c r="H11" t="str">
        <v/>
      </c>
      <c r="I11" t="str">
        <v/>
      </c>
      <c r="J11" t="str">
        <v>28/09/2026</v>
      </c>
      <c r="K11" t="str">
        <v>12:34:33</v>
      </c>
      <c r="L11">
        <v>-12.317639</v>
      </c>
      <c r="M11">
        <v>-76.82447</v>
      </c>
      <c r="N11">
        <f>HYPERLINK("https://www.google.com/maps/search/?api=1&amp;query=-12.317639,-76.82447","Punta Hermosa, Lima")</f>
      </c>
      <c r="O11" t="str">
        <v>Vehículo encendido</v>
      </c>
      <c r="P11" t="str">
        <v/>
      </c>
      <c r="Q11">
        <v>11898.3</v>
      </c>
      <c r="R11" t="str">
        <v/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90</v>
      </c>
      <c r="AC11" t="str">
        <v>28/09/2026</v>
      </c>
      <c r="AD11" t="str">
        <v>12:34:04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12:34:38</v>
      </c>
      <c r="AL11" t="str">
        <v>12:34:38</v>
      </c>
      <c r="AM11" t="str">
        <v/>
      </c>
    </row>
    <row r="12">
      <c r="A12">
        <v>11</v>
      </c>
      <c r="B12" t="str">
        <v>MASS BSF</v>
      </c>
      <c r="C12" t="str">
        <v>CMV-853</v>
      </c>
      <c r="D12" t="str">
        <v>CMV-853</v>
      </c>
      <c r="E12" t="str">
        <v/>
      </c>
      <c r="F12" t="str">
        <v>867162029810454</v>
      </c>
      <c r="G12" t="str">
        <v>TBD</v>
      </c>
      <c r="H12" t="str">
        <v/>
      </c>
      <c r="I12" t="str">
        <v/>
      </c>
      <c r="J12" t="str">
        <v>28/09/2026</v>
      </c>
      <c r="K12" t="str">
        <v>12:35:13</v>
      </c>
      <c r="L12">
        <v>-12.31754</v>
      </c>
      <c r="M12">
        <v>-76.82445</v>
      </c>
      <c r="N12">
        <f>HYPERLINK("https://www.google.com/maps/search/?api=1&amp;query=-12.31754,-76.82445","Punta Hermosa, Lima")</f>
      </c>
      <c r="O12" t="str">
        <v>Vehículo apagado</v>
      </c>
      <c r="P12" t="str">
        <v>Vehículo Apagado</v>
      </c>
      <c r="Q12">
        <v>11898.3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90</v>
      </c>
      <c r="AC12" t="str">
        <v>28/09/2026</v>
      </c>
      <c r="AD12" t="str">
        <v>12:35:15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12:35:32</v>
      </c>
      <c r="AL12" t="str">
        <v>12:35:32</v>
      </c>
      <c r="AM12" t="str">
        <v/>
      </c>
    </row>
    <row r="13">
      <c r="A13">
        <v>12</v>
      </c>
      <c r="B13" t="str">
        <v>MASS BSF</v>
      </c>
      <c r="C13" t="str">
        <v>CMV-853</v>
      </c>
      <c r="D13" t="str">
        <v>CMV-853</v>
      </c>
      <c r="E13" t="str">
        <v/>
      </c>
      <c r="F13" t="str">
        <v>867162029810454</v>
      </c>
      <c r="G13" t="str">
        <v>TBD</v>
      </c>
      <c r="H13" t="str">
        <v/>
      </c>
      <c r="I13" t="str">
        <v/>
      </c>
      <c r="J13" t="str">
        <v>28/09/2026</v>
      </c>
      <c r="K13" t="str">
        <v>13:49:49</v>
      </c>
      <c r="L13">
        <v>-12.31754</v>
      </c>
      <c r="M13">
        <v>-76.82445</v>
      </c>
      <c r="N13">
        <f>HYPERLINK("https://www.google.com/maps/search/?api=1&amp;query=-12.31754,-76.82445","Punta Hermosa, Lima")</f>
      </c>
      <c r="O13" t="str">
        <v>Vehículo encendido</v>
      </c>
      <c r="P13" t="str">
        <v/>
      </c>
      <c r="Q13">
        <v>11898.3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90</v>
      </c>
      <c r="AC13" t="str">
        <v>28/09/2026</v>
      </c>
      <c r="AD13" t="str">
        <v>13:32:43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13:50:07</v>
      </c>
      <c r="AL13" t="str">
        <v>13:50:07</v>
      </c>
      <c r="AM13" t="str">
        <v/>
      </c>
    </row>
    <row r="14">
      <c r="A14">
        <v>13</v>
      </c>
      <c r="B14" t="str">
        <v>MASS BSF</v>
      </c>
      <c r="C14" t="str">
        <v>CMV-853</v>
      </c>
      <c r="D14" t="str">
        <v>CMV-853</v>
      </c>
      <c r="E14" t="str">
        <v/>
      </c>
      <c r="F14" t="str">
        <v>867162029810454</v>
      </c>
      <c r="G14" t="str">
        <v>TBD</v>
      </c>
      <c r="H14" t="str">
        <v/>
      </c>
      <c r="I14" t="str">
        <v/>
      </c>
      <c r="J14" t="str">
        <v>28/09/2026</v>
      </c>
      <c r="K14" t="str">
        <v>13:52:15</v>
      </c>
      <c r="L14">
        <v>-12.317563</v>
      </c>
      <c r="M14">
        <v>-76.82437</v>
      </c>
      <c r="N14">
        <f>HYPERLINK("https://www.google.com/maps/search/?api=1&amp;query=-12.317563,-76.82437","Punta Hermosa, Lima")</f>
      </c>
      <c r="O14" t="str">
        <v>Se desactivó la entrada 2</v>
      </c>
      <c r="P14" t="str">
        <v>Puerta Abierta</v>
      </c>
      <c r="Q14">
        <v>11898.3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90</v>
      </c>
      <c r="AC14" t="str">
        <v>28/09/2026</v>
      </c>
      <c r="AD14" t="str">
        <v>13:52:15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13:52:23</v>
      </c>
      <c r="AL14" t="str">
        <v>13:52:23</v>
      </c>
      <c r="AM14" t="str">
        <v/>
      </c>
    </row>
    <row r="15">
      <c r="A15">
        <v>14</v>
      </c>
      <c r="B15" t="str">
        <v>MASS BSF</v>
      </c>
      <c r="C15" t="str">
        <v>CMV-853</v>
      </c>
      <c r="D15" t="str">
        <v>CMV-853</v>
      </c>
      <c r="E15" t="str">
        <v/>
      </c>
      <c r="F15" t="str">
        <v>867162029810454</v>
      </c>
      <c r="G15" t="str">
        <v>TBD</v>
      </c>
      <c r="H15" t="str">
        <v/>
      </c>
      <c r="I15" t="str">
        <v/>
      </c>
      <c r="J15" t="str">
        <v>28/09/2026</v>
      </c>
      <c r="K15" t="str">
        <v>13:55:26</v>
      </c>
      <c r="L15">
        <v>-12.317757</v>
      </c>
      <c r="M15">
        <v>-76.82437</v>
      </c>
      <c r="N15">
        <f>HYPERLINK("https://www.google.com/maps/search/?api=1&amp;query=-12.317757,-76.82437","Punta Hermosa, Lima")</f>
      </c>
      <c r="O15" t="str">
        <v>Vehículo apagado</v>
      </c>
      <c r="P15" t="str">
        <v>Vehículo Apagado</v>
      </c>
      <c r="Q15">
        <v>11898.3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90</v>
      </c>
      <c r="AC15" t="str">
        <v>28/09/2026</v>
      </c>
      <c r="AD15" t="str">
        <v>13:54:48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13:55:35</v>
      </c>
      <c r="AL15" t="str">
        <v>13:55:35</v>
      </c>
      <c r="AM15" t="str">
        <v/>
      </c>
    </row>
    <row r="16">
      <c r="A16">
        <v>15</v>
      </c>
      <c r="B16" t="str">
        <v>MASS BSF</v>
      </c>
      <c r="C16" t="str">
        <v>CMV-853</v>
      </c>
      <c r="D16" t="str">
        <v>CMV-853</v>
      </c>
      <c r="E16" t="str">
        <v/>
      </c>
      <c r="F16" t="str">
        <v>867162029810454</v>
      </c>
      <c r="G16" t="str">
        <v>TBD</v>
      </c>
      <c r="H16" t="str">
        <v/>
      </c>
      <c r="I16" t="str">
        <v/>
      </c>
      <c r="J16" t="str">
        <v>28/09/2026</v>
      </c>
      <c r="K16" t="str">
        <v>14:42:44</v>
      </c>
      <c r="L16">
        <v>-12.317757</v>
      </c>
      <c r="M16">
        <v>-76.82437</v>
      </c>
      <c r="N16">
        <f>HYPERLINK("https://www.google.com/maps/search/?api=1&amp;query=-12.317757,-76.82437","Punta Hermosa, Lima")</f>
      </c>
      <c r="O16" t="str">
        <v>Vehículo encendido</v>
      </c>
      <c r="P16" t="str">
        <v/>
      </c>
      <c r="Q16">
        <v>11898.3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90</v>
      </c>
      <c r="AC16" t="str">
        <v>28/09/2026</v>
      </c>
      <c r="AD16" t="str">
        <v>14:22:52</v>
      </c>
      <c r="AE16">
        <f>IF("NOGPS"="NOGPS","GPS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14:42:58</v>
      </c>
      <c r="AL16" t="str">
        <v>14:42:58</v>
      </c>
      <c r="AM16" t="str">
        <v/>
      </c>
    </row>
    <row r="17">
      <c r="A17">
        <v>16</v>
      </c>
      <c r="B17" t="str">
        <v>MASS BSF</v>
      </c>
      <c r="C17" t="str">
        <v>CMV-853</v>
      </c>
      <c r="D17" t="str">
        <v>CMV-853</v>
      </c>
      <c r="E17" t="str">
        <v/>
      </c>
      <c r="F17" t="str">
        <v>867162029810454</v>
      </c>
      <c r="G17" t="str">
        <v>TBD</v>
      </c>
      <c r="H17" t="str">
        <v/>
      </c>
      <c r="I17" t="str">
        <v/>
      </c>
      <c r="J17" t="str">
        <v>28/09/2026</v>
      </c>
      <c r="K17" t="str">
        <v>14:43:04</v>
      </c>
      <c r="L17">
        <v>-12.31769</v>
      </c>
      <c r="M17">
        <v>-76.82434</v>
      </c>
      <c r="N17">
        <f>HYPERLINK("https://www.google.com/maps/search/?api=1&amp;query=-12.31769,-76.82434","Punta Hermosa, Lima")</f>
      </c>
      <c r="O17" t="str">
        <v>Vehículo apagado</v>
      </c>
      <c r="P17" t="str">
        <v>Vehículo Apagado</v>
      </c>
      <c r="Q17">
        <v>11898.3</v>
      </c>
      <c r="R17" t="str">
        <v/>
      </c>
      <c r="S17">
        <v>0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90</v>
      </c>
      <c r="AC17" t="str">
        <v>28/09/2026</v>
      </c>
      <c r="AD17" t="str">
        <v>14:43:07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14:43:21</v>
      </c>
      <c r="AL17" t="str">
        <v>14:43:21</v>
      </c>
      <c r="AM17" t="str">
        <v/>
      </c>
    </row>
    <row r="18">
      <c r="A18">
        <v>17</v>
      </c>
      <c r="B18" t="str">
        <v>MASS BSF</v>
      </c>
      <c r="C18" t="str">
        <v>CMV-853</v>
      </c>
      <c r="D18" t="str">
        <v>CMV-853</v>
      </c>
      <c r="E18" t="str">
        <v/>
      </c>
      <c r="F18" t="str">
        <v>867162029810454</v>
      </c>
      <c r="G18" t="str">
        <v>TBD</v>
      </c>
      <c r="H18" t="str">
        <v/>
      </c>
      <c r="I18" t="str">
        <v/>
      </c>
      <c r="J18" t="str">
        <v>28/09/2026</v>
      </c>
      <c r="K18" t="str">
        <v>14:44:01</v>
      </c>
      <c r="L18">
        <v>-12.31769</v>
      </c>
      <c r="M18">
        <v>-76.82434</v>
      </c>
      <c r="N18">
        <f>HYPERLINK("https://www.google.com/maps/search/?api=1&amp;query=-12.31769,-76.82434","Punta Hermosa, Lima")</f>
      </c>
      <c r="O18" t="str">
        <v>Se activó la entrada 2</v>
      </c>
      <c r="P18" t="str">
        <v>Puerta Cerrada</v>
      </c>
      <c r="Q18">
        <v>11898.3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90</v>
      </c>
      <c r="AC18" t="str">
        <v>28/09/2026</v>
      </c>
      <c r="AD18" t="str">
        <v>14:44:01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14:44:22</v>
      </c>
      <c r="AL18" t="str">
        <v>14:44:22</v>
      </c>
      <c r="AM18" t="str">
        <v/>
      </c>
    </row>
    <row r="19">
      <c r="A19">
        <v>18</v>
      </c>
      <c r="B19" t="str">
        <v>MASS BSF</v>
      </c>
      <c r="C19" t="str">
        <v>CMV-853</v>
      </c>
      <c r="D19" t="str">
        <v>CMV-853</v>
      </c>
      <c r="E19" t="str">
        <v/>
      </c>
      <c r="F19" t="str">
        <v>867162029810454</v>
      </c>
      <c r="G19" t="str">
        <v>TBD</v>
      </c>
      <c r="H19" t="str">
        <v/>
      </c>
      <c r="I19" t="str">
        <v/>
      </c>
      <c r="J19" t="str">
        <v>28/09/2026</v>
      </c>
      <c r="K19" t="str">
        <v>14:46:30</v>
      </c>
      <c r="L19">
        <v>-12.31769</v>
      </c>
      <c r="M19">
        <v>-76.82434</v>
      </c>
      <c r="N19">
        <f>HYPERLINK("https://www.google.com/maps/search/?api=1&amp;query=-12.31769,-76.82434","Punta Hermosa, Lima")</f>
      </c>
      <c r="O19" t="str">
        <v>Vehículo encendido</v>
      </c>
      <c r="P19" t="str">
        <v/>
      </c>
      <c r="Q19">
        <v>11898.3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90</v>
      </c>
      <c r="AC19" t="str">
        <v>28/09/2026</v>
      </c>
      <c r="AD19" t="str">
        <v>14:43:07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14:46:44</v>
      </c>
      <c r="AL19" t="str">
        <v>14:46:44</v>
      </c>
      <c r="AM19" t="str">
        <v/>
      </c>
    </row>
    <row r="20">
      <c r="A20">
        <v>19</v>
      </c>
      <c r="B20" t="str">
        <v>MASS BSF</v>
      </c>
      <c r="C20" t="str">
        <v>CMV-853</v>
      </c>
      <c r="D20" t="str">
        <v>CMV-853</v>
      </c>
      <c r="E20" t="str">
        <v/>
      </c>
      <c r="F20" t="str">
        <v>867162029810454</v>
      </c>
      <c r="G20" t="str">
        <v>TBD</v>
      </c>
      <c r="H20" t="str">
        <v/>
      </c>
      <c r="I20" t="str">
        <v xml:space="preserve"> </v>
      </c>
      <c r="J20" t="str">
        <v>28/09/2026</v>
      </c>
      <c r="K20" t="str">
        <v>14:51:15</v>
      </c>
      <c r="L20">
        <v>-12.317516</v>
      </c>
      <c r="M20">
        <v>-76.82995</v>
      </c>
      <c r="N20">
        <f>HYPERLINK("https://www.google.com/maps/search/?api=1&amp;query=-12.317516,-76.82995","Punta Hermosa, Lima")</f>
      </c>
      <c r="O20" t="str">
        <v>Salió de zona</v>
      </c>
      <c r="P20" t="str">
        <v/>
      </c>
      <c r="Q20">
        <v>11899.1</v>
      </c>
      <c r="R20" t="str">
        <v>MASS BSF 1</v>
      </c>
      <c r="S20">
        <v>15.5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90</v>
      </c>
      <c r="AC20" t="str">
        <v>28/09/2026</v>
      </c>
      <c r="AD20" t="str">
        <v>14:51:14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14:51:28</v>
      </c>
      <c r="AL20" t="str">
        <v>14:51:28</v>
      </c>
      <c r="AM20" t="str">
        <v/>
      </c>
    </row>
    <row r="21">
      <c r="A21">
        <v>20</v>
      </c>
      <c r="B21" t="str">
        <v>MASS BSF</v>
      </c>
      <c r="C21" t="str">
        <v>CMV-853</v>
      </c>
      <c r="D21" t="str">
        <v>CMV-853</v>
      </c>
      <c r="E21" t="str">
        <v/>
      </c>
      <c r="F21" t="str">
        <v>867162029810454</v>
      </c>
      <c r="G21" t="str">
        <v>TBD</v>
      </c>
      <c r="H21" t="str">
        <v/>
      </c>
      <c r="I21" t="str">
        <v xml:space="preserve"> </v>
      </c>
      <c r="J21" t="str">
        <v>28/09/2026</v>
      </c>
      <c r="K21" t="str">
        <v>15:28:09</v>
      </c>
      <c r="L21">
        <v>-12.21289</v>
      </c>
      <c r="M21">
        <v>-76.95921</v>
      </c>
      <c r="N21">
        <f>HYPERLINK("https://www.google.com/maps/search/?api=1&amp;query=-12.21289,-76.95921","Avenida Villa del Mar, Villa El Salvador, Lima")</f>
      </c>
      <c r="O21" t="str">
        <v>Llegó a la zona</v>
      </c>
      <c r="P21" t="str">
        <v/>
      </c>
      <c r="Q21">
        <v>11920.9</v>
      </c>
      <c r="R21" t="str">
        <v>BASE-OSLOGISTICS</v>
      </c>
      <c r="S21">
        <v>8.2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90</v>
      </c>
      <c r="AC21" t="str">
        <v>28/09/2026</v>
      </c>
      <c r="AD21" t="str">
        <v>15:28:08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15:28:21</v>
      </c>
      <c r="AL21" t="str">
        <v>15:28:21</v>
      </c>
      <c r="AM21" t="str">
        <v/>
      </c>
    </row>
    <row r="22">
      <c r="A22">
        <v>21</v>
      </c>
      <c r="B22" t="str">
        <v>MASS BSF</v>
      </c>
      <c r="C22" t="str">
        <v>CMV-853</v>
      </c>
      <c r="D22" t="str">
        <v>CMV-853</v>
      </c>
      <c r="E22" t="str">
        <v/>
      </c>
      <c r="F22" t="str">
        <v>867162029810454</v>
      </c>
      <c r="G22" t="str">
        <v>TBD</v>
      </c>
      <c r="H22" t="str">
        <v/>
      </c>
      <c r="I22" t="str">
        <v/>
      </c>
      <c r="J22" t="str">
        <v>28/09/2026</v>
      </c>
      <c r="K22" t="str">
        <v>15:29:52</v>
      </c>
      <c r="L22">
        <v>-12.213045</v>
      </c>
      <c r="M22">
        <v>-76.95912</v>
      </c>
      <c r="N22">
        <f>HYPERLINK("https://www.google.com/maps/search/?api=1&amp;query=-12.213045,-76.95912","Avenida Villa del Mar, Villa El Salvador, Lima")</f>
      </c>
      <c r="O22" t="str">
        <v>Vehículo apagado</v>
      </c>
      <c r="P22" t="str">
        <v>Vehículo Apagado</v>
      </c>
      <c r="Q22">
        <v>11921</v>
      </c>
      <c r="R22" t="str">
        <v/>
      </c>
      <c r="S22">
        <v>0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90</v>
      </c>
      <c r="AC22" t="str">
        <v>28/09/2026</v>
      </c>
      <c r="AD22" t="str">
        <v>15:29:29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15:30:07</v>
      </c>
      <c r="AL22" t="str">
        <v>15:30:07</v>
      </c>
      <c r="AM22" t="str">
        <v/>
      </c>
    </row>
    <row r="23">
      <c r="A23">
        <v>22</v>
      </c>
      <c r="B23" t="str">
        <v>MASS BSF</v>
      </c>
      <c r="C23" t="str">
        <v>CMV-853</v>
      </c>
      <c r="D23" t="str">
        <v>CMV-853</v>
      </c>
      <c r="E23" t="str">
        <v/>
      </c>
      <c r="F23" t="str">
        <v>867162029810454</v>
      </c>
      <c r="G23" t="str">
        <v>TBD</v>
      </c>
      <c r="H23" t="str">
        <v/>
      </c>
      <c r="I23" t="str">
        <v/>
      </c>
      <c r="J23" t="str">
        <v>28/09/2026</v>
      </c>
      <c r="K23" t="str">
        <v>15:33:32</v>
      </c>
      <c r="L23">
        <v>-12.213045</v>
      </c>
      <c r="M23">
        <v>-76.95912</v>
      </c>
      <c r="N23">
        <f>HYPERLINK("https://www.google.com/maps/search/?api=1&amp;query=-12.213045,-76.95912","Avenida Villa del Mar, Villa El Salvador, Lima")</f>
      </c>
      <c r="O23" t="str">
        <v>Vehículo encendido</v>
      </c>
      <c r="P23" t="str">
        <v/>
      </c>
      <c r="Q23">
        <v>11921.1</v>
      </c>
      <c r="R23" t="str">
        <v/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90</v>
      </c>
      <c r="AC23" t="str">
        <v>28/09/2026</v>
      </c>
      <c r="AD23" t="str">
        <v>15:29:55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15:33:40</v>
      </c>
      <c r="AL23" t="str">
        <v>15:33:40</v>
      </c>
      <c r="AM23" t="str">
        <v/>
      </c>
    </row>
    <row r="24">
      <c r="A24">
        <v>23</v>
      </c>
      <c r="B24" t="str">
        <v>MASS BSF</v>
      </c>
      <c r="C24" t="str">
        <v>CMV-853</v>
      </c>
      <c r="D24" t="str">
        <v>CMV-853</v>
      </c>
      <c r="E24" t="str">
        <v/>
      </c>
      <c r="F24" t="str">
        <v>867162029810454</v>
      </c>
      <c r="G24" t="str">
        <v>TBD</v>
      </c>
      <c r="H24" t="str">
        <v/>
      </c>
      <c r="I24" t="str">
        <v/>
      </c>
      <c r="J24" t="str">
        <v>28/09/2026</v>
      </c>
      <c r="K24" t="str">
        <v>15:35:23</v>
      </c>
      <c r="L24">
        <v>-12.213013</v>
      </c>
      <c r="M24">
        <v>-76.95917</v>
      </c>
      <c r="N24">
        <f>HYPERLINK("https://www.google.com/maps/search/?api=1&amp;query=-12.213013,-76.95917","Avenida Villa del Mar, Villa El Salvador, Lima")</f>
      </c>
      <c r="O24" t="str">
        <v>Vehículo apagado</v>
      </c>
      <c r="P24" t="str">
        <v>Vehículo Apagado</v>
      </c>
      <c r="Q24">
        <v>11921.1</v>
      </c>
      <c r="R24" t="str">
        <v/>
      </c>
      <c r="S24">
        <v>0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90</v>
      </c>
      <c r="AC24" t="str">
        <v>28/09/2026</v>
      </c>
      <c r="AD24" t="str">
        <v>15:35:27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15:35:42</v>
      </c>
      <c r="AL24" t="str">
        <v>15:35:42</v>
      </c>
      <c r="AM24" t="str">
        <v/>
      </c>
    </row>
    <row r="25">
      <c r="A25">
        <v>24</v>
      </c>
      <c r="B25" t="str">
        <v>MASS BSF</v>
      </c>
      <c r="C25" t="str">
        <v>CMV-853</v>
      </c>
      <c r="D25" t="str">
        <v>CMV-853</v>
      </c>
      <c r="E25" t="str">
        <v/>
      </c>
      <c r="F25" t="str">
        <v>867162029810454</v>
      </c>
      <c r="G25" t="str">
        <v>TBD</v>
      </c>
      <c r="H25" t="str">
        <v/>
      </c>
      <c r="I25" t="str">
        <v/>
      </c>
      <c r="J25" t="str">
        <v>28/09/2026</v>
      </c>
      <c r="K25" t="str">
        <v>15:35:35</v>
      </c>
      <c r="L25">
        <v>-12.213013</v>
      </c>
      <c r="M25">
        <v>-76.95917</v>
      </c>
      <c r="N25">
        <f>HYPERLINK("https://www.google.com/maps/search/?api=1&amp;query=-12.213013,-76.95917","Avenida Villa del Mar, Villa El Salvador, Lima")</f>
      </c>
      <c r="O25" t="str">
        <v>Vehículo encendido</v>
      </c>
      <c r="P25" t="str">
        <v/>
      </c>
      <c r="Q25">
        <v>11921.1</v>
      </c>
      <c r="R25" t="str">
        <v/>
      </c>
      <c r="S25">
        <v>0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90</v>
      </c>
      <c r="AC25" t="str">
        <v>28/09/2026</v>
      </c>
      <c r="AD25" t="str">
        <v>15:35:27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15:35:46</v>
      </c>
      <c r="AL25" t="str">
        <v>15:35:46</v>
      </c>
      <c r="AM25" t="str">
        <v/>
      </c>
    </row>
    <row r="26">
      <c r="A26">
        <v>25</v>
      </c>
      <c r="B26" t="str">
        <v>MASS BSF</v>
      </c>
      <c r="C26" t="str">
        <v>CMV-853</v>
      </c>
      <c r="D26" t="str">
        <v>CMV-853</v>
      </c>
      <c r="E26" t="str">
        <v/>
      </c>
      <c r="F26" t="str">
        <v>867162029810454</v>
      </c>
      <c r="G26" t="str">
        <v>TBD</v>
      </c>
      <c r="H26" t="str">
        <v/>
      </c>
      <c r="I26" t="str">
        <v/>
      </c>
      <c r="J26" t="str">
        <v>28/09/2026</v>
      </c>
      <c r="K26" t="str">
        <v>15:37:27</v>
      </c>
      <c r="L26">
        <v>-12.213019</v>
      </c>
      <c r="M26">
        <v>-76.959206</v>
      </c>
      <c r="N26">
        <f>HYPERLINK("https://www.google.com/maps/search/?api=1&amp;query=-12.213019,-76.959206","Avenida Villa del Mar, Villa El Salvador, Lima")</f>
      </c>
      <c r="O26" t="str">
        <v>Vehículo apagado</v>
      </c>
      <c r="P26" t="str">
        <v>Vehículo Apagado</v>
      </c>
      <c r="Q26">
        <v>11921.1</v>
      </c>
      <c r="R26" t="str">
        <v/>
      </c>
      <c r="S26">
        <v>0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90</v>
      </c>
      <c r="AC26" t="str">
        <v>28/09/2026</v>
      </c>
      <c r="AD26" t="str">
        <v>15:37:30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15:37:52</v>
      </c>
      <c r="AL26" t="str">
        <v>15:37:52</v>
      </c>
      <c r="AM26" t="str">
        <v/>
      </c>
    </row>
  </sheetData>
  <ignoredErrors>
    <ignoredError numberStoredAsText="1" sqref="A1:A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