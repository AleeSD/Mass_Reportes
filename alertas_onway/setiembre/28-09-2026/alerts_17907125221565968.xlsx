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CLW-864</v>
      </c>
      <c r="D2" t="str">
        <v>CLW-864</v>
      </c>
      <c r="E2" t="str">
        <v/>
      </c>
      <c r="F2" t="str">
        <v>867162029823242</v>
      </c>
      <c r="G2" t="str">
        <v>TBD</v>
      </c>
      <c r="H2" t="str">
        <v/>
      </c>
      <c r="I2" t="str">
        <v/>
      </c>
      <c r="J2" t="str">
        <v>28/09/2026</v>
      </c>
      <c r="K2" t="str">
        <v>11:03:44</v>
      </c>
      <c r="L2">
        <v>-12.213115</v>
      </c>
      <c r="M2">
        <v>-76.95882</v>
      </c>
      <c r="N2">
        <f>HYPERLINK("https://www.google.com/maps/search/?api=1&amp;query=-12.213115,-76.95882","Villa El Salvador, Lima")</f>
      </c>
      <c r="O2" t="str">
        <v>Vehículo encendido</v>
      </c>
      <c r="P2" t="str">
        <v/>
      </c>
      <c r="Q2">
        <v>11242</v>
      </c>
      <c r="R2" t="str">
        <v/>
      </c>
      <c r="S2">
        <v>0</v>
      </c>
      <c r="T2">
        <v>126.12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11:01:10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11:03:57</v>
      </c>
      <c r="AL2" t="str">
        <v>11:03:57</v>
      </c>
      <c r="AM2" t="str">
        <v/>
      </c>
    </row>
    <row r="3">
      <c r="A3">
        <v>2</v>
      </c>
      <c r="B3" t="str">
        <v>MASS BSF</v>
      </c>
      <c r="C3" t="str">
        <v>CLW-864</v>
      </c>
      <c r="D3" t="str">
        <v>CLW-864</v>
      </c>
      <c r="E3" t="str">
        <v/>
      </c>
      <c r="F3" t="str">
        <v>867162029823242</v>
      </c>
      <c r="G3" t="str">
        <v>TBD</v>
      </c>
      <c r="H3" t="str">
        <v/>
      </c>
      <c r="I3" t="str">
        <v/>
      </c>
      <c r="J3" t="str">
        <v>28/09/2026</v>
      </c>
      <c r="K3" t="str">
        <v>11:25:05</v>
      </c>
      <c r="L3">
        <v>-12.222916</v>
      </c>
      <c r="M3">
        <v>-76.97473</v>
      </c>
      <c r="N3">
        <f>HYPERLINK("https://www.google.com/maps/search/?api=1&amp;query=-12.222916,-76.97473","Carretera Panamericana Sur, Chorrillos, Lima")</f>
      </c>
      <c r="O3" t="str">
        <v>Vehículo apagado</v>
      </c>
      <c r="P3" t="str">
        <v>Vehículo Apagado</v>
      </c>
      <c r="Q3">
        <v>11247.1</v>
      </c>
      <c r="R3" t="str">
        <v/>
      </c>
      <c r="S3">
        <v>10.6</v>
      </c>
      <c r="T3">
        <v>126.47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11:24:42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11:25:22</v>
      </c>
      <c r="AL3" t="str">
        <v>11:25:22</v>
      </c>
      <c r="AM3" t="str">
        <v/>
      </c>
    </row>
    <row r="4">
      <c r="A4">
        <v>3</v>
      </c>
      <c r="B4" t="str">
        <v>MASS BSF</v>
      </c>
      <c r="C4" t="str">
        <v>CLW-864</v>
      </c>
      <c r="D4" t="str">
        <v>CLW-864</v>
      </c>
      <c r="E4" t="str">
        <v/>
      </c>
      <c r="F4" t="str">
        <v>867162029823242</v>
      </c>
      <c r="G4" t="str">
        <v>TBD</v>
      </c>
      <c r="H4" t="str">
        <v/>
      </c>
      <c r="I4" t="str">
        <v/>
      </c>
      <c r="J4" t="str">
        <v>28/09/2026</v>
      </c>
      <c r="K4" t="str">
        <v>11:31:27</v>
      </c>
      <c r="L4">
        <v>-12.223085</v>
      </c>
      <c r="M4">
        <v>-76.974724</v>
      </c>
      <c r="N4">
        <f>HYPERLINK("https://www.google.com/maps/search/?api=1&amp;query=-12.223085,-76.974724","Prolongación Huaylas, Chorrillos, Lima")</f>
      </c>
      <c r="O4" t="str">
        <v>Vehículo encendido</v>
      </c>
      <c r="P4" t="str">
        <v/>
      </c>
      <c r="Q4">
        <v>11247.1</v>
      </c>
      <c r="R4" t="str">
        <v/>
      </c>
      <c r="S4">
        <v>0</v>
      </c>
      <c r="T4">
        <v>126.47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11:25:08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11:31:44</v>
      </c>
      <c r="AL4" t="str">
        <v>11:31:44</v>
      </c>
      <c r="AM4" t="str">
        <v/>
      </c>
    </row>
    <row r="5">
      <c r="A5">
        <v>4</v>
      </c>
      <c r="B5" t="str">
        <v>MASS BSF</v>
      </c>
      <c r="C5" t="str">
        <v>CLW-864</v>
      </c>
      <c r="D5" t="str">
        <v>CLW-864</v>
      </c>
      <c r="E5" t="str">
        <v/>
      </c>
      <c r="F5" t="str">
        <v>867162029823242</v>
      </c>
      <c r="G5" t="str">
        <v>TBD</v>
      </c>
      <c r="H5" t="str">
        <v/>
      </c>
      <c r="I5" t="str">
        <v/>
      </c>
      <c r="J5" t="str">
        <v>28/09/2026</v>
      </c>
      <c r="K5" t="str">
        <v>11:31:40</v>
      </c>
      <c r="L5">
        <v>-12.223092</v>
      </c>
      <c r="M5">
        <v>-76.97468</v>
      </c>
      <c r="N5">
        <f>HYPERLINK("https://www.google.com/maps/search/?api=1&amp;query=-12.223092,-76.97468","Prolongación Huaylas, Chorrillos, Lima")</f>
      </c>
      <c r="O5" t="str">
        <v>Vehículo apagado</v>
      </c>
      <c r="P5" t="str">
        <v>Vehículo Apagado</v>
      </c>
      <c r="Q5">
        <v>11247.1</v>
      </c>
      <c r="R5" t="str">
        <v/>
      </c>
      <c r="S5">
        <v>0</v>
      </c>
      <c r="T5">
        <v>126.47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11:31:37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11:32:03</v>
      </c>
      <c r="AL5" t="str">
        <v>11:32:03</v>
      </c>
      <c r="AM5" t="str">
        <v/>
      </c>
    </row>
    <row r="6">
      <c r="A6">
        <v>5</v>
      </c>
      <c r="B6" t="str">
        <v>MASS BSF</v>
      </c>
      <c r="C6" t="str">
        <v>CLW-864</v>
      </c>
      <c r="D6" t="str">
        <v>CLW-864</v>
      </c>
      <c r="E6" t="str">
        <v/>
      </c>
      <c r="F6" t="str">
        <v>867162029823242</v>
      </c>
      <c r="G6" t="str">
        <v>TBD</v>
      </c>
      <c r="H6" t="str">
        <v/>
      </c>
      <c r="I6" t="str">
        <v/>
      </c>
      <c r="J6" t="str">
        <v>28/09/2026</v>
      </c>
      <c r="K6" t="str">
        <v>11:31:42</v>
      </c>
      <c r="L6">
        <v>-12.223092</v>
      </c>
      <c r="M6">
        <v>-76.97468</v>
      </c>
      <c r="N6">
        <f>HYPERLINK("https://www.google.com/maps/search/?api=1&amp;query=-12.223092,-76.97468","Prolongación Huaylas, Chorrillos, Lima")</f>
      </c>
      <c r="O6" t="str">
        <v>Vehículo encendido</v>
      </c>
      <c r="P6" t="str">
        <v/>
      </c>
      <c r="Q6">
        <v>11247.1</v>
      </c>
      <c r="R6" t="str">
        <v/>
      </c>
      <c r="S6">
        <v>0</v>
      </c>
      <c r="T6">
        <v>126.47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11:31:41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11:32:19</v>
      </c>
      <c r="AL6" t="str">
        <v>11:32:19</v>
      </c>
      <c r="AM6" t="str">
        <v/>
      </c>
    </row>
    <row r="7">
      <c r="A7">
        <v>6</v>
      </c>
      <c r="B7" t="str">
        <v>MASS BSF</v>
      </c>
      <c r="C7" t="str">
        <v>CLW-864</v>
      </c>
      <c r="D7" t="str">
        <v>CLW-864</v>
      </c>
      <c r="E7" t="str">
        <v/>
      </c>
      <c r="F7" t="str">
        <v>867162029823242</v>
      </c>
      <c r="G7" t="str">
        <v>TBD</v>
      </c>
      <c r="H7" t="str">
        <v/>
      </c>
      <c r="I7" t="str">
        <v xml:space="preserve"> </v>
      </c>
      <c r="J7" t="str">
        <v>28/09/2026</v>
      </c>
      <c r="K7" t="str">
        <v>11:54:52</v>
      </c>
      <c r="L7">
        <v>-12.317567</v>
      </c>
      <c r="M7">
        <v>-76.82965</v>
      </c>
      <c r="N7">
        <f>HYPERLINK("https://www.google.com/maps/search/?api=1&amp;query=-12.317567,-76.82965","Punta Hermosa, Lima")</f>
      </c>
      <c r="O7" t="str">
        <v>Llegó a la zona</v>
      </c>
      <c r="P7" t="str">
        <v/>
      </c>
      <c r="Q7">
        <v>11269.6</v>
      </c>
      <c r="R7" t="str">
        <v>MASS BSF 1</v>
      </c>
      <c r="S7">
        <v>7.2</v>
      </c>
      <c r="T7">
        <v>126.48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11:54:41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11:54:59</v>
      </c>
      <c r="AL7" t="str">
        <v>11:54:59</v>
      </c>
      <c r="AM7" t="str">
        <v/>
      </c>
    </row>
    <row r="8">
      <c r="A8">
        <v>7</v>
      </c>
      <c r="B8" t="str">
        <v>MASS BSF</v>
      </c>
      <c r="C8" t="str">
        <v>CLW-864</v>
      </c>
      <c r="D8" t="str">
        <v>CLW-864</v>
      </c>
      <c r="E8" t="str">
        <v/>
      </c>
      <c r="F8" t="str">
        <v>867162029823242</v>
      </c>
      <c r="G8" t="str">
        <v>TBD</v>
      </c>
      <c r="H8" t="str">
        <v/>
      </c>
      <c r="I8" t="str">
        <v/>
      </c>
      <c r="J8" t="str">
        <v>28/09/2026</v>
      </c>
      <c r="K8" t="str">
        <v>12:01:12</v>
      </c>
      <c r="L8">
        <v>-12.317985</v>
      </c>
      <c r="M8">
        <v>-76.82421</v>
      </c>
      <c r="N8">
        <f>HYPERLINK("https://www.google.com/maps/search/?api=1&amp;query=-12.317985,-76.82421","Punta Hermosa, Lima")</f>
      </c>
      <c r="O8" t="str">
        <v>Vehículo apagado</v>
      </c>
      <c r="P8" t="str">
        <v>Vehículo Apagado</v>
      </c>
      <c r="Q8">
        <v>11272</v>
      </c>
      <c r="R8" t="str">
        <v/>
      </c>
      <c r="S8">
        <v>0</v>
      </c>
      <c r="T8">
        <v>126.97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12:00:44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12:01:23</v>
      </c>
      <c r="AL8" t="str">
        <v>12:01:23</v>
      </c>
      <c r="AM8" t="str">
        <v/>
      </c>
    </row>
    <row r="9">
      <c r="A9">
        <v>8</v>
      </c>
      <c r="B9" t="str">
        <v>MASS BSF</v>
      </c>
      <c r="C9" t="str">
        <v>CLW-864</v>
      </c>
      <c r="D9" t="str">
        <v>CLW-864</v>
      </c>
      <c r="E9" t="str">
        <v/>
      </c>
      <c r="F9" t="str">
        <v>867162029823242</v>
      </c>
      <c r="G9" t="str">
        <v>TBD</v>
      </c>
      <c r="H9" t="str">
        <v/>
      </c>
      <c r="I9" t="str">
        <v/>
      </c>
      <c r="J9" t="str">
        <v>28/09/2026</v>
      </c>
      <c r="K9" t="str">
        <v>12:22:28</v>
      </c>
      <c r="L9">
        <v>-12.317985</v>
      </c>
      <c r="M9">
        <v>-76.82421</v>
      </c>
      <c r="N9">
        <f>HYPERLINK("https://www.google.com/maps/search/?api=1&amp;query=-12.317985,-76.82421","Punta Hermosa, Lima")</f>
      </c>
      <c r="O9" t="str">
        <v>Vehículo encendido</v>
      </c>
      <c r="P9" t="str">
        <v/>
      </c>
      <c r="Q9">
        <v>11272</v>
      </c>
      <c r="R9" t="str">
        <v/>
      </c>
      <c r="S9">
        <v>0</v>
      </c>
      <c r="T9">
        <v>126.97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12:01:13</v>
      </c>
      <c r="AE9">
        <f>IF("NOGPS"="NOGPS","GPS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12:22:37</v>
      </c>
      <c r="AL9" t="str">
        <v>12:22:37</v>
      </c>
      <c r="AM9" t="str">
        <v/>
      </c>
    </row>
    <row r="10">
      <c r="A10">
        <v>9</v>
      </c>
      <c r="B10" t="str">
        <v>MASS BSF</v>
      </c>
      <c r="C10" t="str">
        <v>CLW-864</v>
      </c>
      <c r="D10" t="str">
        <v>CLW-864</v>
      </c>
      <c r="E10" t="str">
        <v/>
      </c>
      <c r="F10" t="str">
        <v>867162029823242</v>
      </c>
      <c r="G10" t="str">
        <v>TBD</v>
      </c>
      <c r="H10" t="str">
        <v/>
      </c>
      <c r="I10" t="str">
        <v/>
      </c>
      <c r="J10" t="str">
        <v>28/09/2026</v>
      </c>
      <c r="K10" t="str">
        <v>12:23:54</v>
      </c>
      <c r="L10">
        <v>-12.317888</v>
      </c>
      <c r="M10">
        <v>-76.82427</v>
      </c>
      <c r="N10">
        <f>HYPERLINK("https://www.google.com/maps/search/?api=1&amp;query=-12.317888,-76.82427","Punta Hermosa, Lima")</f>
      </c>
      <c r="O10" t="str">
        <v>Vehículo apagado</v>
      </c>
      <c r="P10" t="str">
        <v>Vehículo Apagado</v>
      </c>
      <c r="Q10">
        <v>11272</v>
      </c>
      <c r="R10" t="str">
        <v/>
      </c>
      <c r="S10">
        <v>0</v>
      </c>
      <c r="T10">
        <v>126.98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12:23:56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12:24:13</v>
      </c>
      <c r="AL10" t="str">
        <v>12:24:13</v>
      </c>
      <c r="AM10" t="str">
        <v/>
      </c>
    </row>
    <row r="11">
      <c r="A11">
        <v>10</v>
      </c>
      <c r="B11" t="str">
        <v>MASS BSF</v>
      </c>
      <c r="C11" t="str">
        <v>CLW-864</v>
      </c>
      <c r="D11" t="str">
        <v>CLW-864</v>
      </c>
      <c r="E11" t="str">
        <v/>
      </c>
      <c r="F11" t="str">
        <v>867162029823242</v>
      </c>
      <c r="G11" t="str">
        <v>TBD</v>
      </c>
      <c r="H11" t="str">
        <v/>
      </c>
      <c r="I11" t="str">
        <v/>
      </c>
      <c r="J11" t="str">
        <v>28/09/2026</v>
      </c>
      <c r="K11" t="str">
        <v>14:38:30</v>
      </c>
      <c r="L11">
        <v>-12.317888</v>
      </c>
      <c r="M11">
        <v>-76.82427</v>
      </c>
      <c r="N11">
        <f>HYPERLINK("https://www.google.com/maps/search/?api=1&amp;query=-12.317888,-76.82427","Punta Hermosa, Lima")</f>
      </c>
      <c r="O11" t="str">
        <v>Vehículo encendido</v>
      </c>
      <c r="P11" t="str">
        <v/>
      </c>
      <c r="Q11">
        <v>11272</v>
      </c>
      <c r="R11" t="str">
        <v/>
      </c>
      <c r="S11">
        <v>0</v>
      </c>
      <c r="T11">
        <v>126.98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14:21:38</v>
      </c>
      <c r="AE11">
        <f>IF("NOGPS"="NOGPS","GPS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14:38:44</v>
      </c>
      <c r="AL11" t="str">
        <v>14:38:44</v>
      </c>
      <c r="AM11" t="str">
        <v/>
      </c>
    </row>
    <row r="12">
      <c r="A12">
        <v>11</v>
      </c>
      <c r="B12" t="str">
        <v>MASS BSF</v>
      </c>
      <c r="C12" t="str">
        <v>CLW-864</v>
      </c>
      <c r="D12" t="str">
        <v>CLW-864</v>
      </c>
      <c r="E12" t="str">
        <v/>
      </c>
      <c r="F12" t="str">
        <v>867162029823242</v>
      </c>
      <c r="G12" t="str">
        <v>TBD</v>
      </c>
      <c r="H12" t="str">
        <v/>
      </c>
      <c r="I12" t="str">
        <v/>
      </c>
      <c r="J12" t="str">
        <v>28/09/2026</v>
      </c>
      <c r="K12" t="str">
        <v>14:38:41</v>
      </c>
      <c r="L12">
        <v>-12.317888</v>
      </c>
      <c r="M12">
        <v>-76.82427</v>
      </c>
      <c r="N12">
        <f>HYPERLINK("https://www.google.com/maps/search/?api=1&amp;query=-12.317888,-76.82427","Punta Hermosa, Lima")</f>
      </c>
      <c r="O12" t="str">
        <v>Vehículo apagado</v>
      </c>
      <c r="P12" t="str">
        <v>Vehículo Apagado</v>
      </c>
      <c r="Q12">
        <v>11272</v>
      </c>
      <c r="R12" t="str">
        <v/>
      </c>
      <c r="S12">
        <v>0</v>
      </c>
      <c r="T12">
        <v>126.98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14:21:38</v>
      </c>
      <c r="AE12">
        <f>IF("NOGPS"="NOGPS","GPS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14:39:08</v>
      </c>
      <c r="AL12" t="str">
        <v>14:39:08</v>
      </c>
      <c r="AM12" t="str">
        <v/>
      </c>
    </row>
    <row r="13">
      <c r="A13">
        <v>12</v>
      </c>
      <c r="B13" t="str">
        <v>MASS BSF</v>
      </c>
      <c r="C13" t="str">
        <v>CLW-864</v>
      </c>
      <c r="D13" t="str">
        <v>CLW-864</v>
      </c>
      <c r="E13" t="str">
        <v/>
      </c>
      <c r="F13" t="str">
        <v>867162029823242</v>
      </c>
      <c r="G13" t="str">
        <v>TBD</v>
      </c>
      <c r="H13" t="str">
        <v/>
      </c>
      <c r="I13" t="str">
        <v/>
      </c>
      <c r="J13" t="str">
        <v>28/09/2026</v>
      </c>
      <c r="K13" t="str">
        <v>14:38:43</v>
      </c>
      <c r="L13">
        <v>-12.317888</v>
      </c>
      <c r="M13">
        <v>-76.82427</v>
      </c>
      <c r="N13">
        <f>HYPERLINK("https://www.google.com/maps/search/?api=1&amp;query=-12.317888,-76.82427","Punta Hermosa, Lima")</f>
      </c>
      <c r="O13" t="str">
        <v>Vehículo encendido</v>
      </c>
      <c r="P13" t="str">
        <v/>
      </c>
      <c r="Q13">
        <v>11272</v>
      </c>
      <c r="R13" t="str">
        <v/>
      </c>
      <c r="S13">
        <v>0</v>
      </c>
      <c r="T13">
        <v>126.98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14:21:38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14:38:48</v>
      </c>
      <c r="AL13" t="str">
        <v>14:38:48</v>
      </c>
      <c r="AM13" t="str">
        <v/>
      </c>
    </row>
    <row r="14">
      <c r="A14">
        <v>13</v>
      </c>
      <c r="B14" t="str">
        <v>MASS BSF</v>
      </c>
      <c r="C14" t="str">
        <v>CLW-864</v>
      </c>
      <c r="D14" t="str">
        <v>CLW-864</v>
      </c>
      <c r="E14" t="str">
        <v/>
      </c>
      <c r="F14" t="str">
        <v>867162029823242</v>
      </c>
      <c r="G14" t="str">
        <v>TBD</v>
      </c>
      <c r="H14" t="str">
        <v/>
      </c>
      <c r="I14" t="str">
        <v/>
      </c>
      <c r="J14" t="str">
        <v>28/09/2026</v>
      </c>
      <c r="K14" t="str">
        <v>14:42:15</v>
      </c>
      <c r="L14">
        <v>-12.317956</v>
      </c>
      <c r="M14">
        <v>-76.82447</v>
      </c>
      <c r="N14">
        <f>HYPERLINK("https://www.google.com/maps/search/?api=1&amp;query=-12.317956,-76.82447","Punta Hermosa, Lima")</f>
      </c>
      <c r="O14" t="str">
        <v>Inicio de ralentí</v>
      </c>
      <c r="P14" t="str">
        <v>Vehículo Detenido</v>
      </c>
      <c r="Q14">
        <v>11272</v>
      </c>
      <c r="R14" t="str">
        <v/>
      </c>
      <c r="S14">
        <v>0</v>
      </c>
      <c r="T14">
        <v>126.98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14:41:43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14:42:24</v>
      </c>
      <c r="AL14" t="str">
        <v>14:42:24</v>
      </c>
      <c r="AM14" t="str">
        <v/>
      </c>
    </row>
    <row r="15">
      <c r="A15">
        <v>14</v>
      </c>
      <c r="B15" t="str">
        <v>MASS BSF</v>
      </c>
      <c r="C15" t="str">
        <v>CLW-864</v>
      </c>
      <c r="D15" t="str">
        <v>CLW-864</v>
      </c>
      <c r="E15" t="str">
        <v/>
      </c>
      <c r="F15" t="str">
        <v>867162029823242</v>
      </c>
      <c r="G15" t="str">
        <v>TBD</v>
      </c>
      <c r="H15" t="str">
        <v/>
      </c>
      <c r="I15" t="str">
        <v/>
      </c>
      <c r="J15" t="str">
        <v>28/09/2026</v>
      </c>
      <c r="K15" t="str">
        <v>14:43:29</v>
      </c>
      <c r="L15">
        <v>-12.318025</v>
      </c>
      <c r="M15">
        <v>-76.8243</v>
      </c>
      <c r="N15">
        <f>HYPERLINK("https://www.google.com/maps/search/?api=1&amp;query=-12.318025,-76.8243","Punta Hermosa, Lima")</f>
      </c>
      <c r="O15" t="str">
        <v>Fin de ralentí</v>
      </c>
      <c r="P15" t="str">
        <v/>
      </c>
      <c r="Q15">
        <v>11272</v>
      </c>
      <c r="R15" t="str">
        <v/>
      </c>
      <c r="S15">
        <v>0</v>
      </c>
      <c r="T15">
        <v>126.98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14:42:43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14:43:47</v>
      </c>
      <c r="AL15" t="str">
        <v>14:43:47</v>
      </c>
      <c r="AM15" t="str">
        <v/>
      </c>
    </row>
    <row r="16">
      <c r="A16">
        <v>15</v>
      </c>
      <c r="B16" t="str">
        <v>MASS BSF</v>
      </c>
      <c r="C16" t="str">
        <v>CLW-864</v>
      </c>
      <c r="D16" t="str">
        <v>CLW-864</v>
      </c>
      <c r="E16" t="str">
        <v/>
      </c>
      <c r="F16" t="str">
        <v>867162029823242</v>
      </c>
      <c r="G16" t="str">
        <v>TBD</v>
      </c>
      <c r="H16" t="str">
        <v/>
      </c>
      <c r="I16" t="str">
        <v/>
      </c>
      <c r="J16" t="str">
        <v>28/09/2026</v>
      </c>
      <c r="K16" t="str">
        <v>14:45:40</v>
      </c>
      <c r="L16">
        <v>-12.318025</v>
      </c>
      <c r="M16">
        <v>-76.8243</v>
      </c>
      <c r="N16">
        <f>HYPERLINK("https://www.google.com/maps/search/?api=1&amp;query=-12.318025,-76.8243","Punta Hermosa, Lima")</f>
      </c>
      <c r="O16" t="str">
        <v>Vehículo apagado</v>
      </c>
      <c r="P16" t="str">
        <v>Vehículo Apagado</v>
      </c>
      <c r="Q16">
        <v>11272</v>
      </c>
      <c r="R16" t="str">
        <v/>
      </c>
      <c r="S16">
        <v>0</v>
      </c>
      <c r="T16">
        <v>126.98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14:44:43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14:45:57</v>
      </c>
      <c r="AL16" t="str">
        <v>14:45:57</v>
      </c>
      <c r="AM16" t="str">
        <v/>
      </c>
    </row>
    <row r="17">
      <c r="A17">
        <v>16</v>
      </c>
      <c r="B17" t="str">
        <v>MASS BSF</v>
      </c>
      <c r="C17" t="str">
        <v>CLW-864</v>
      </c>
      <c r="D17" t="str">
        <v>CLW-864</v>
      </c>
      <c r="E17" t="str">
        <v/>
      </c>
      <c r="F17" t="str">
        <v>867162029823242</v>
      </c>
      <c r="G17" t="str">
        <v>TBD</v>
      </c>
      <c r="H17" t="str">
        <v/>
      </c>
      <c r="I17" t="str">
        <v/>
      </c>
      <c r="J17" t="str">
        <v>28/09/2026</v>
      </c>
      <c r="K17" t="str">
        <v>15:40:09</v>
      </c>
      <c r="L17">
        <v>-12.318025</v>
      </c>
      <c r="M17">
        <v>-76.8243</v>
      </c>
      <c r="N17">
        <f>HYPERLINK("https://www.google.com/maps/search/?api=1&amp;query=-12.318025,-76.8243","Punta Hermosa, Lima")</f>
      </c>
      <c r="O17" t="str">
        <v>Vehículo encendido</v>
      </c>
      <c r="P17" t="str">
        <v/>
      </c>
      <c r="Q17">
        <v>11272</v>
      </c>
      <c r="R17" t="str">
        <v/>
      </c>
      <c r="S17">
        <v>0</v>
      </c>
      <c r="T17">
        <v>126.98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15:13:12</v>
      </c>
      <c r="AE17">
        <f>IF("NOGPS"="NOGPS","GPS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15:42:26</v>
      </c>
      <c r="AL17" t="str">
        <v>15:42:26</v>
      </c>
      <c r="AM17" t="str">
        <v/>
      </c>
    </row>
    <row r="18">
      <c r="A18">
        <v>17</v>
      </c>
      <c r="B18" t="str">
        <v>MASS BSF</v>
      </c>
      <c r="C18" t="str">
        <v>CLW-864</v>
      </c>
      <c r="D18" t="str">
        <v>CLW-864</v>
      </c>
      <c r="E18" t="str">
        <v/>
      </c>
      <c r="F18" t="str">
        <v>867162029823242</v>
      </c>
      <c r="G18" t="str">
        <v>TBD</v>
      </c>
      <c r="H18" t="str">
        <v/>
      </c>
      <c r="I18" t="str">
        <v xml:space="preserve"> </v>
      </c>
      <c r="J18" t="str">
        <v>28/09/2026</v>
      </c>
      <c r="K18" t="str">
        <v>15:47:22</v>
      </c>
      <c r="L18">
        <v>-12.317477</v>
      </c>
      <c r="M18">
        <v>-76.829895</v>
      </c>
      <c r="N18">
        <f>HYPERLINK("https://www.google.com/maps/search/?api=1&amp;query=-12.317477,-76.829895","Punta Hermosa, Lima")</f>
      </c>
      <c r="O18" t="str">
        <v>Salió de zona</v>
      </c>
      <c r="P18" t="str">
        <v/>
      </c>
      <c r="Q18">
        <v>11272.8</v>
      </c>
      <c r="R18" t="str">
        <v>MASS BSF 1</v>
      </c>
      <c r="S18">
        <v>21.8</v>
      </c>
      <c r="T18">
        <v>127.02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15:47:21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15:47:34</v>
      </c>
      <c r="AL18" t="str">
        <v>15:47:34</v>
      </c>
      <c r="AM18" t="str">
        <v/>
      </c>
    </row>
    <row r="19">
      <c r="A19">
        <v>18</v>
      </c>
      <c r="B19" t="str">
        <v>MASS BSF</v>
      </c>
      <c r="C19" t="str">
        <v>CLW-864</v>
      </c>
      <c r="D19" t="str">
        <v>CLW-864</v>
      </c>
      <c r="E19" t="str">
        <v/>
      </c>
      <c r="F19" t="str">
        <v>867162029823242</v>
      </c>
      <c r="G19" t="str">
        <v>TBD</v>
      </c>
      <c r="H19" t="str">
        <v/>
      </c>
      <c r="I19" t="str">
        <v/>
      </c>
      <c r="J19" t="str">
        <v>28/09/2026</v>
      </c>
      <c r="K19" t="str">
        <v>15:50:49</v>
      </c>
      <c r="L19">
        <v>-12.297166</v>
      </c>
      <c r="M19">
        <v>-76.85535</v>
      </c>
      <c r="N19">
        <f>HYPERLINK("https://www.google.com/maps/search/?api=1&amp;query=-12.297166,-76.85535","Carretera Panamericana Sur, Lurín, Lima")</f>
      </c>
      <c r="O19" t="str">
        <v>Excedió el límite de velocidad</v>
      </c>
      <c r="P19" t="str">
        <v/>
      </c>
      <c r="Q19">
        <v>11276.5</v>
      </c>
      <c r="R19" t="str">
        <v/>
      </c>
      <c r="S19">
        <v>82.7</v>
      </c>
      <c r="T19">
        <v>126.98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15:50:48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15:51:00</v>
      </c>
      <c r="AL19" t="str">
        <v>15:51:00</v>
      </c>
      <c r="AM19" t="str">
        <v/>
      </c>
    </row>
    <row r="20">
      <c r="A20">
        <v>19</v>
      </c>
      <c r="B20" t="str">
        <v>MASS BSF</v>
      </c>
      <c r="C20" t="str">
        <v>CLW-864</v>
      </c>
      <c r="D20" t="str">
        <v>CLW-864</v>
      </c>
      <c r="E20" t="str">
        <v/>
      </c>
      <c r="F20" t="str">
        <v>867162029823242</v>
      </c>
      <c r="G20" t="str">
        <v>TBD</v>
      </c>
      <c r="H20" t="str">
        <v/>
      </c>
      <c r="I20" t="str">
        <v/>
      </c>
      <c r="J20" t="str">
        <v>28/09/2026</v>
      </c>
      <c r="K20" t="str">
        <v>15:55:34</v>
      </c>
      <c r="L20">
        <v>-12.268109</v>
      </c>
      <c r="M20">
        <v>-76.90252</v>
      </c>
      <c r="N20">
        <f>HYPERLINK("https://www.google.com/maps/search/?api=1&amp;query=-12.268109,-76.90252","Carretera Panamericana Sur, Lurín, Lima")</f>
      </c>
      <c r="O20" t="str">
        <v>Excedió el límite de velocidad</v>
      </c>
      <c r="P20" t="str">
        <v/>
      </c>
      <c r="Q20">
        <v>11282.6</v>
      </c>
      <c r="R20" t="str">
        <v/>
      </c>
      <c r="S20">
        <v>81.2</v>
      </c>
      <c r="T20">
        <v>126.98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15:55:33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15:55:48</v>
      </c>
      <c r="AL20" t="str">
        <v>15:55:48</v>
      </c>
      <c r="AM20" t="str">
        <v/>
      </c>
    </row>
    <row r="21">
      <c r="A21">
        <v>20</v>
      </c>
      <c r="B21" t="str">
        <v>MASS BSF</v>
      </c>
      <c r="C21" t="str">
        <v>CLW-864</v>
      </c>
      <c r="D21" t="str">
        <v>CLW-864</v>
      </c>
      <c r="E21" t="str">
        <v/>
      </c>
      <c r="F21" t="str">
        <v>867162029823242</v>
      </c>
      <c r="G21" t="str">
        <v>TBD</v>
      </c>
      <c r="H21" t="str">
        <v/>
      </c>
      <c r="I21" t="str">
        <v xml:space="preserve"> </v>
      </c>
      <c r="J21" t="str">
        <v>28/09/2026</v>
      </c>
      <c r="K21" t="str">
        <v>16:18:40</v>
      </c>
      <c r="L21">
        <v>-12.212884</v>
      </c>
      <c r="M21">
        <v>-76.95926</v>
      </c>
      <c r="N21">
        <f>HYPERLINK("https://www.google.com/maps/search/?api=1&amp;query=-12.212884,-76.95926","Avenida Villa del Mar, Villa El Salvador, Lima")</f>
      </c>
      <c r="O21" t="str">
        <v>Llegó a la zona</v>
      </c>
      <c r="P21" t="str">
        <v/>
      </c>
      <c r="Q21">
        <v>11294.2</v>
      </c>
      <c r="R21" t="str">
        <v>BASE-OSLOGISTICS</v>
      </c>
      <c r="S21">
        <v>6.5</v>
      </c>
      <c r="T21">
        <v>127.02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16:18:39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16:18:51</v>
      </c>
      <c r="AL21" t="str">
        <v>16:18:51</v>
      </c>
      <c r="AM21" t="str">
        <v/>
      </c>
    </row>
    <row r="22">
      <c r="A22">
        <v>21</v>
      </c>
      <c r="B22" t="str">
        <v>MASS BSF</v>
      </c>
      <c r="C22" t="str">
        <v>CLW-864</v>
      </c>
      <c r="D22" t="str">
        <v>CLW-864</v>
      </c>
      <c r="E22" t="str">
        <v/>
      </c>
      <c r="F22" t="str">
        <v>867162029823242</v>
      </c>
      <c r="G22" t="str">
        <v>TBD</v>
      </c>
      <c r="H22" t="str">
        <v/>
      </c>
      <c r="I22" t="str">
        <v/>
      </c>
      <c r="J22" t="str">
        <v>28/09/2026</v>
      </c>
      <c r="K22" t="str">
        <v>16:24:15</v>
      </c>
      <c r="L22">
        <v>-12.213045</v>
      </c>
      <c r="M22">
        <v>-76.959145</v>
      </c>
      <c r="N22">
        <f>HYPERLINK("https://www.google.com/maps/search/?api=1&amp;query=-12.213045,-76.959145","Avenida Villa del Mar, Villa El Salvador, Lima")</f>
      </c>
      <c r="O22" t="str">
        <v>Inicio de ralentí</v>
      </c>
      <c r="P22" t="str">
        <v>Vehículo Detenido</v>
      </c>
      <c r="Q22">
        <v>11294.4</v>
      </c>
      <c r="R22" t="str">
        <v/>
      </c>
      <c r="S22">
        <v>0</v>
      </c>
      <c r="T22">
        <v>126.98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28/09/2026</v>
      </c>
      <c r="AD22" t="str">
        <v>16:24:06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16:24:30</v>
      </c>
      <c r="AL22" t="str">
        <v>16:24:30</v>
      </c>
      <c r="AM22" t="str">
        <v/>
      </c>
    </row>
    <row r="23">
      <c r="A23">
        <v>22</v>
      </c>
      <c r="B23" t="str">
        <v>MASS BSF</v>
      </c>
      <c r="C23" t="str">
        <v>CLW-864</v>
      </c>
      <c r="D23" t="str">
        <v>CLW-864</v>
      </c>
      <c r="E23" t="str">
        <v/>
      </c>
      <c r="F23" t="str">
        <v>867162029823242</v>
      </c>
      <c r="G23" t="str">
        <v>TBD</v>
      </c>
      <c r="H23" t="str">
        <v/>
      </c>
      <c r="I23" t="str">
        <v/>
      </c>
      <c r="J23" t="str">
        <v>28/09/2026</v>
      </c>
      <c r="K23" t="str">
        <v>16:25:29</v>
      </c>
      <c r="L23">
        <v>-12.213045</v>
      </c>
      <c r="M23">
        <v>-76.959145</v>
      </c>
      <c r="N23">
        <f>HYPERLINK("https://www.google.com/maps/search/?api=1&amp;query=-12.213045,-76.959145","Avenida Villa del Mar, Villa El Salvador, Lima")</f>
      </c>
      <c r="O23" t="str">
        <v>Vehículo apagado</v>
      </c>
      <c r="P23" t="str">
        <v>Vehículo Apagado</v>
      </c>
      <c r="Q23">
        <v>11294.4</v>
      </c>
      <c r="R23" t="str">
        <v/>
      </c>
      <c r="S23">
        <v>0</v>
      </c>
      <c r="T23">
        <v>127.73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28/09/2026</v>
      </c>
      <c r="AD23" t="str">
        <v>16:25:06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16:25:41</v>
      </c>
      <c r="AL23" t="str">
        <v>16:25:41</v>
      </c>
      <c r="AM23" t="str">
        <v/>
      </c>
    </row>
    <row r="24">
      <c r="A24">
        <v>23</v>
      </c>
      <c r="B24" t="str">
        <v>MASS BSF</v>
      </c>
      <c r="C24" t="str">
        <v>CLW-864</v>
      </c>
      <c r="D24" t="str">
        <v>CLW-864</v>
      </c>
      <c r="E24" t="str">
        <v/>
      </c>
      <c r="F24" t="str">
        <v>867162029823242</v>
      </c>
      <c r="G24" t="str">
        <v>TBD</v>
      </c>
      <c r="H24" t="str">
        <v/>
      </c>
      <c r="I24" t="str">
        <v/>
      </c>
      <c r="J24" t="str">
        <v>28/09/2026</v>
      </c>
      <c r="K24" t="str">
        <v>16:26:29</v>
      </c>
      <c r="L24">
        <v>-12.213045</v>
      </c>
      <c r="M24">
        <v>-76.959145</v>
      </c>
      <c r="N24">
        <f>HYPERLINK("https://www.google.com/maps/search/?api=1&amp;query=-12.213045,-76.959145","Avenida Villa del Mar, Villa El Salvador, Lima")</f>
      </c>
      <c r="O24" t="str">
        <v>Fin de ralentí</v>
      </c>
      <c r="P24" t="str">
        <v/>
      </c>
      <c r="Q24">
        <v>11294.4</v>
      </c>
      <c r="R24" t="str">
        <v/>
      </c>
      <c r="S24">
        <v>0</v>
      </c>
      <c r="T24">
        <v>127.73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28/09/2026</v>
      </c>
      <c r="AD24" t="str">
        <v>16:25:32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16:26:39</v>
      </c>
      <c r="AL24" t="str">
        <v>16:26:39</v>
      </c>
      <c r="AM24" t="str">
        <v/>
      </c>
    </row>
  </sheetData>
  <ignoredErrors>
    <ignoredError numberStoredAsText="1" sqref="A1:A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