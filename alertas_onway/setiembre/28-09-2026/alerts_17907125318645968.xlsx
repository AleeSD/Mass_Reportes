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CKL-718</v>
      </c>
      <c r="D2" t="str">
        <v>CKL-718</v>
      </c>
      <c r="E2" t="str">
        <v/>
      </c>
      <c r="F2" t="str">
        <v>867162029820636</v>
      </c>
      <c r="G2" t="str">
        <v>TBD</v>
      </c>
      <c r="H2" t="str">
        <v/>
      </c>
      <c r="I2" t="str">
        <v/>
      </c>
      <c r="J2" t="str">
        <v>28/09/2026</v>
      </c>
      <c r="K2" t="str">
        <v>10:09:19</v>
      </c>
      <c r="L2">
        <v>-12.229998</v>
      </c>
      <c r="M2">
        <v>-76.90231</v>
      </c>
      <c r="N2">
        <f>HYPERLINK("https://www.google.com/maps/search/?api=1&amp;query=-12.229998,-76.90231","Lurín, Lima")</f>
      </c>
      <c r="O2" t="str">
        <v>Vehículo encendido</v>
      </c>
      <c r="P2" t="str">
        <v/>
      </c>
      <c r="Q2">
        <v>22596.7</v>
      </c>
      <c r="R2" t="str">
        <v/>
      </c>
      <c r="S2">
        <v>0</v>
      </c>
      <c r="T2">
        <v>120.83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28/09/2026</v>
      </c>
      <c r="AD2" t="str">
        <v>10:01:26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10:09:41</v>
      </c>
      <c r="AL2" t="str">
        <v>10:09:41</v>
      </c>
      <c r="AM2" t="str">
        <v/>
      </c>
    </row>
    <row r="3">
      <c r="A3">
        <v>2</v>
      </c>
      <c r="B3" t="str">
        <v>MASS BSF</v>
      </c>
      <c r="C3" t="str">
        <v>CKL-718</v>
      </c>
      <c r="D3" t="str">
        <v>CKL-718</v>
      </c>
      <c r="E3" t="str">
        <v/>
      </c>
      <c r="F3" t="str">
        <v>867162029820636</v>
      </c>
      <c r="G3" t="str">
        <v>TBD</v>
      </c>
      <c r="H3" t="str">
        <v/>
      </c>
      <c r="I3" t="str">
        <v/>
      </c>
      <c r="J3" t="str">
        <v>28/09/2026</v>
      </c>
      <c r="K3" t="str">
        <v>10:29:53</v>
      </c>
      <c r="L3">
        <v>-12.239634</v>
      </c>
      <c r="M3">
        <v>-76.91188</v>
      </c>
      <c r="N3">
        <f>HYPERLINK("https://www.google.com/maps/search/?api=1&amp;query=-12.239634,-76.91188","Avenida Lima, Lurín")</f>
      </c>
      <c r="O3" t="str">
        <v>Inicio de ralentí</v>
      </c>
      <c r="P3" t="str">
        <v>Vehículo Detenido</v>
      </c>
      <c r="Q3">
        <v>22599</v>
      </c>
      <c r="R3" t="str">
        <v/>
      </c>
      <c r="S3">
        <v>0</v>
      </c>
      <c r="T3">
        <v>120.83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28/09/2026</v>
      </c>
      <c r="AD3" t="str">
        <v>10:29:16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10:30:16</v>
      </c>
      <c r="AL3" t="str">
        <v>10:30:16</v>
      </c>
      <c r="AM3" t="str">
        <v/>
      </c>
    </row>
    <row r="4">
      <c r="A4">
        <v>3</v>
      </c>
      <c r="B4" t="str">
        <v>MASS BSF</v>
      </c>
      <c r="C4" t="str">
        <v>CKL-718</v>
      </c>
      <c r="D4" t="str">
        <v>CKL-718</v>
      </c>
      <c r="E4" t="str">
        <v/>
      </c>
      <c r="F4" t="str">
        <v>867162029820636</v>
      </c>
      <c r="G4" t="str">
        <v>TBD</v>
      </c>
      <c r="H4" t="str">
        <v/>
      </c>
      <c r="I4" t="str">
        <v/>
      </c>
      <c r="J4" t="str">
        <v>28/09/2026</v>
      </c>
      <c r="K4" t="str">
        <v>10:33:12</v>
      </c>
      <c r="L4">
        <v>-12.239918</v>
      </c>
      <c r="M4">
        <v>-76.91198</v>
      </c>
      <c r="N4">
        <f>HYPERLINK("https://www.google.com/maps/search/?api=1&amp;query=-12.239918,-76.91198","Calle 2, Lurín, Lima")</f>
      </c>
      <c r="O4" t="str">
        <v>Fin de ralentí</v>
      </c>
      <c r="P4" t="str">
        <v/>
      </c>
      <c r="Q4">
        <v>22599</v>
      </c>
      <c r="R4" t="str">
        <v/>
      </c>
      <c r="S4">
        <v>10.4</v>
      </c>
      <c r="T4">
        <v>120.83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28/09/2026</v>
      </c>
      <c r="AD4" t="str">
        <v>10:33:01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10:33:20</v>
      </c>
      <c r="AL4" t="str">
        <v>10:33:20</v>
      </c>
      <c r="AM4" t="str">
        <v/>
      </c>
    </row>
    <row r="5">
      <c r="A5">
        <v>4</v>
      </c>
      <c r="B5" t="str">
        <v>MASS BSF</v>
      </c>
      <c r="C5" t="str">
        <v>CKL-718</v>
      </c>
      <c r="D5" t="str">
        <v>CKL-718</v>
      </c>
      <c r="E5" t="str">
        <v/>
      </c>
      <c r="F5" t="str">
        <v>867162029820636</v>
      </c>
      <c r="G5" t="str">
        <v>TBD</v>
      </c>
      <c r="H5" t="str">
        <v/>
      </c>
      <c r="I5" t="str">
        <v/>
      </c>
      <c r="J5" t="str">
        <v>28/09/2026</v>
      </c>
      <c r="K5" t="str">
        <v>10:44:50</v>
      </c>
      <c r="L5">
        <v>-12.280073</v>
      </c>
      <c r="M5">
        <v>-76.883575</v>
      </c>
      <c r="N5">
        <f>HYPERLINK("https://www.google.com/maps/search/?api=1&amp;query=-12.280073,-76.883575","Carretera Panamericana Sur, Lurín, Lima")</f>
      </c>
      <c r="O5" t="str">
        <v>Excedió el límite de velocidad</v>
      </c>
      <c r="P5" t="str">
        <v/>
      </c>
      <c r="Q5">
        <v>22608.4</v>
      </c>
      <c r="R5" t="str">
        <v/>
      </c>
      <c r="S5">
        <v>85.8</v>
      </c>
      <c r="T5">
        <v>120.83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28/09/2026</v>
      </c>
      <c r="AD5" t="str">
        <v>10:44:49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10:45:07</v>
      </c>
      <c r="AL5" t="str">
        <v>10:45:07</v>
      </c>
      <c r="AM5" t="str">
        <v/>
      </c>
    </row>
    <row r="6">
      <c r="A6">
        <v>5</v>
      </c>
      <c r="B6" t="str">
        <v>MASS BSF</v>
      </c>
      <c r="C6" t="str">
        <v>CKL-718</v>
      </c>
      <c r="D6" t="str">
        <v>CKL-718</v>
      </c>
      <c r="E6" t="str">
        <v/>
      </c>
      <c r="F6" t="str">
        <v>867162029820636</v>
      </c>
      <c r="G6" t="str">
        <v>TBD</v>
      </c>
      <c r="H6" t="str">
        <v/>
      </c>
      <c r="I6" t="str">
        <v/>
      </c>
      <c r="J6" t="str">
        <v>28/09/2026</v>
      </c>
      <c r="K6" t="str">
        <v>10:45:23</v>
      </c>
      <c r="L6">
        <v>-12.283696</v>
      </c>
      <c r="M6">
        <v>-76.87779</v>
      </c>
      <c r="N6">
        <f>HYPERLINK("https://www.google.com/maps/search/?api=1&amp;query=-12.283696,-76.87779","Carretera Panamericana Sur, Lurín, Lima")</f>
      </c>
      <c r="O6" t="str">
        <v>Excedió el límite de velocidad</v>
      </c>
      <c r="P6" t="str">
        <v/>
      </c>
      <c r="Q6">
        <v>22609.2</v>
      </c>
      <c r="R6" t="str">
        <v/>
      </c>
      <c r="S6">
        <v>82.3</v>
      </c>
      <c r="T6">
        <v>120.83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28/09/2026</v>
      </c>
      <c r="AD6" t="str">
        <v>10:45:22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10:45:36</v>
      </c>
      <c r="AL6" t="str">
        <v>10:45:36</v>
      </c>
      <c r="AM6" t="str">
        <v/>
      </c>
    </row>
    <row r="7">
      <c r="A7">
        <v>6</v>
      </c>
      <c r="B7" t="str">
        <v>MASS BSF</v>
      </c>
      <c r="C7" t="str">
        <v>CKL-718</v>
      </c>
      <c r="D7" t="str">
        <v>CKL-718</v>
      </c>
      <c r="E7" t="str">
        <v/>
      </c>
      <c r="F7" t="str">
        <v>867162029820636</v>
      </c>
      <c r="G7" t="str">
        <v>TBD</v>
      </c>
      <c r="H7" t="str">
        <v/>
      </c>
      <c r="I7" t="str">
        <v/>
      </c>
      <c r="J7" t="str">
        <v>28/09/2026</v>
      </c>
      <c r="K7" t="str">
        <v>10:46:23</v>
      </c>
      <c r="L7">
        <v>-12.290236</v>
      </c>
      <c r="M7">
        <v>-76.86737</v>
      </c>
      <c r="N7">
        <f>HYPERLINK("https://www.google.com/maps/search/?api=1&amp;query=-12.290236,-76.86737","Carretera Panamericana Sur, Lurín, Lima")</f>
      </c>
      <c r="O7" t="str">
        <v>Excedió el límite de velocidad</v>
      </c>
      <c r="P7" t="str">
        <v/>
      </c>
      <c r="Q7">
        <v>22610.5</v>
      </c>
      <c r="R7" t="str">
        <v/>
      </c>
      <c r="S7">
        <v>81.8</v>
      </c>
      <c r="T7">
        <v>120.83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28/09/2026</v>
      </c>
      <c r="AD7" t="str">
        <v>10:46:22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10:46:42</v>
      </c>
      <c r="AL7" t="str">
        <v>10:46:42</v>
      </c>
      <c r="AM7" t="str">
        <v/>
      </c>
    </row>
    <row r="8">
      <c r="A8">
        <v>7</v>
      </c>
      <c r="B8" t="str">
        <v>MASS BSF</v>
      </c>
      <c r="C8" t="str">
        <v>CKL-718</v>
      </c>
      <c r="D8" t="str">
        <v>CKL-718</v>
      </c>
      <c r="E8" t="str">
        <v/>
      </c>
      <c r="F8" t="str">
        <v>867162029820636</v>
      </c>
      <c r="G8" t="str">
        <v>TBD</v>
      </c>
      <c r="H8" t="str">
        <v/>
      </c>
      <c r="I8" t="str">
        <v/>
      </c>
      <c r="J8" t="str">
        <v>28/09/2026</v>
      </c>
      <c r="K8" t="str">
        <v>10:46:50</v>
      </c>
      <c r="L8">
        <v>-12.293235</v>
      </c>
      <c r="M8">
        <v>-76.862564</v>
      </c>
      <c r="N8">
        <f>HYPERLINK("https://www.google.com/maps/search/?api=1&amp;query=-12.293235,-76.862564","Carretera Panamericana Sur, Lurín, Lima")</f>
      </c>
      <c r="O8" t="str">
        <v>Excedió el límite de velocidad</v>
      </c>
      <c r="P8" t="str">
        <v/>
      </c>
      <c r="Q8">
        <v>22611.1</v>
      </c>
      <c r="R8" t="str">
        <v/>
      </c>
      <c r="S8">
        <v>82.5</v>
      </c>
      <c r="T8">
        <v>120.83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28/09/2026</v>
      </c>
      <c r="AD8" t="str">
        <v>10:46:49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10:47:08</v>
      </c>
      <c r="AL8" t="str">
        <v>10:47:08</v>
      </c>
      <c r="AM8" t="str">
        <v/>
      </c>
    </row>
    <row r="9">
      <c r="A9">
        <v>8</v>
      </c>
      <c r="B9" t="str">
        <v>MASS BSF</v>
      </c>
      <c r="C9" t="str">
        <v>CKL-718</v>
      </c>
      <c r="D9" t="str">
        <v>CKL-718</v>
      </c>
      <c r="E9" t="str">
        <v/>
      </c>
      <c r="F9" t="str">
        <v>867162029820636</v>
      </c>
      <c r="G9" t="str">
        <v>TBD</v>
      </c>
      <c r="H9" t="str">
        <v/>
      </c>
      <c r="I9" t="str">
        <v/>
      </c>
      <c r="J9" t="str">
        <v>28/09/2026</v>
      </c>
      <c r="K9" t="str">
        <v>10:49:22</v>
      </c>
      <c r="L9">
        <v>-12.310595</v>
      </c>
      <c r="M9">
        <v>-76.8352</v>
      </c>
      <c r="N9">
        <f>HYPERLINK("https://www.google.com/maps/search/?api=1&amp;query=-12.310595,-76.8352","Carretera Panamericana Sur, Punta Hermosa, Lima")</f>
      </c>
      <c r="O9" t="str">
        <v>Exceso de velocidad en segmento vial</v>
      </c>
      <c r="P9" t="str">
        <v/>
      </c>
      <c r="Q9">
        <v>22614.8</v>
      </c>
      <c r="R9" t="str">
        <v/>
      </c>
      <c r="S9">
        <v>96.1</v>
      </c>
      <c r="T9">
        <v>120.83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28/09/2026</v>
      </c>
      <c r="AD9" t="str">
        <v>10:49:19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10:49:45</v>
      </c>
      <c r="AL9" t="str">
        <v>10:49:45</v>
      </c>
      <c r="AM9" t="str">
        <v/>
      </c>
    </row>
    <row r="10">
      <c r="A10">
        <v>9</v>
      </c>
      <c r="B10" t="str">
        <v>MASS BSF</v>
      </c>
      <c r="C10" t="str">
        <v>CKL-718</v>
      </c>
      <c r="D10" t="str">
        <v>CKL-718</v>
      </c>
      <c r="E10" t="str">
        <v/>
      </c>
      <c r="F10" t="str">
        <v>867162029820636</v>
      </c>
      <c r="G10" t="str">
        <v>TBD</v>
      </c>
      <c r="H10" t="str">
        <v/>
      </c>
      <c r="I10" t="str">
        <v/>
      </c>
      <c r="J10" t="str">
        <v>28/09/2026</v>
      </c>
      <c r="K10" t="str">
        <v>10:50:22</v>
      </c>
      <c r="L10">
        <v>-12.322316</v>
      </c>
      <c r="M10">
        <v>-76.82738</v>
      </c>
      <c r="N10">
        <f>HYPERLINK("https://www.google.com/maps/search/?api=1&amp;query=-12.322316,-76.82738","Carretera Panamericana Sur, Punta Hermosa, Lima")</f>
      </c>
      <c r="O10" t="str">
        <v>Exceso de velocidad en segmento vial</v>
      </c>
      <c r="P10" t="str">
        <v/>
      </c>
      <c r="Q10">
        <v>22616.3</v>
      </c>
      <c r="R10" t="str">
        <v/>
      </c>
      <c r="S10">
        <v>96.9</v>
      </c>
      <c r="T10">
        <v>120.83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28/09/2026</v>
      </c>
      <c r="AD10" t="str">
        <v>10:50:19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10:50:40</v>
      </c>
      <c r="AL10" t="str">
        <v>10:50:40</v>
      </c>
      <c r="AM10" t="str">
        <v/>
      </c>
    </row>
    <row r="11">
      <c r="A11">
        <v>10</v>
      </c>
      <c r="B11" t="str">
        <v>MASS BSF</v>
      </c>
      <c r="C11" t="str">
        <v>CKL-718</v>
      </c>
      <c r="D11" t="str">
        <v>CKL-718</v>
      </c>
      <c r="E11" t="str">
        <v/>
      </c>
      <c r="F11" t="str">
        <v>867162029820636</v>
      </c>
      <c r="G11" t="str">
        <v>TBD</v>
      </c>
      <c r="H11" t="str">
        <v/>
      </c>
      <c r="I11" t="str">
        <v/>
      </c>
      <c r="J11" t="str">
        <v>28/09/2026</v>
      </c>
      <c r="K11" t="str">
        <v>10:53:47</v>
      </c>
      <c r="L11">
        <v>-12.328632</v>
      </c>
      <c r="M11">
        <v>-76.823074</v>
      </c>
      <c r="N11">
        <f>HYPERLINK("https://www.google.com/maps/search/?api=1&amp;query=-12.328632,-76.823074","Carretera Panamericana Sur, Punta Hermosa, Lima")</f>
      </c>
      <c r="O11" t="str">
        <v>Excedió el límite de velocidad</v>
      </c>
      <c r="P11" t="str">
        <v/>
      </c>
      <c r="Q11">
        <v>22619.2</v>
      </c>
      <c r="R11" t="str">
        <v/>
      </c>
      <c r="S11">
        <v>87.7</v>
      </c>
      <c r="T11">
        <v>120.83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28/09/2026</v>
      </c>
      <c r="AD11" t="str">
        <v>10:53:46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10:54:07</v>
      </c>
      <c r="AL11" t="str">
        <v>10:54:07</v>
      </c>
      <c r="AM11" t="str">
        <v/>
      </c>
    </row>
    <row r="12">
      <c r="A12">
        <v>11</v>
      </c>
      <c r="B12" t="str">
        <v>MASS BSF</v>
      </c>
      <c r="C12" t="str">
        <v>CKL-718</v>
      </c>
      <c r="D12" t="str">
        <v>CKL-718</v>
      </c>
      <c r="E12" t="str">
        <v/>
      </c>
      <c r="F12" t="str">
        <v>867162029820636</v>
      </c>
      <c r="G12" t="str">
        <v>TBD</v>
      </c>
      <c r="H12" t="str">
        <v/>
      </c>
      <c r="I12" t="str">
        <v xml:space="preserve"> </v>
      </c>
      <c r="J12" t="str">
        <v>28/09/2026</v>
      </c>
      <c r="K12" t="str">
        <v>10:55:22</v>
      </c>
      <c r="L12">
        <v>-12.317555</v>
      </c>
      <c r="M12">
        <v>-76.829506</v>
      </c>
      <c r="N12">
        <f>HYPERLINK("https://www.google.com/maps/search/?api=1&amp;query=-12.317555,-76.829506","Punta Hermosa, Lima")</f>
      </c>
      <c r="O12" t="str">
        <v>Llegó a la zona</v>
      </c>
      <c r="P12" t="str">
        <v/>
      </c>
      <c r="Q12">
        <v>22618.6</v>
      </c>
      <c r="R12" t="str">
        <v>MASS BSF 1</v>
      </c>
      <c r="S12">
        <v>0</v>
      </c>
      <c r="T12">
        <v>120.83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28/09/2026</v>
      </c>
      <c r="AD12" t="str">
        <v>10:55:19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10:55:37</v>
      </c>
      <c r="AL12" t="str">
        <v>10:55:37</v>
      </c>
      <c r="AM12" t="str">
        <v/>
      </c>
    </row>
    <row r="13">
      <c r="A13">
        <v>12</v>
      </c>
      <c r="B13" t="str">
        <v>MASS BSF</v>
      </c>
      <c r="C13" t="str">
        <v>CKL-718</v>
      </c>
      <c r="D13" t="str">
        <v>CKL-718</v>
      </c>
      <c r="E13" t="str">
        <v/>
      </c>
      <c r="F13" t="str">
        <v>867162029820636</v>
      </c>
      <c r="G13" t="str">
        <v>TBD</v>
      </c>
      <c r="H13" t="str">
        <v/>
      </c>
      <c r="I13" t="str">
        <v/>
      </c>
      <c r="J13" t="str">
        <v>28/09/2026</v>
      </c>
      <c r="K13" t="str">
        <v>11:02:08</v>
      </c>
      <c r="L13">
        <v>-12.317334</v>
      </c>
      <c r="M13">
        <v>-76.822945</v>
      </c>
      <c r="N13">
        <f>HYPERLINK("https://www.google.com/maps/search/?api=1&amp;query=-12.317334,-76.822945","Punta Hermosa, Lima")</f>
      </c>
      <c r="O13" t="str">
        <v>Vehículo apagado</v>
      </c>
      <c r="P13" t="str">
        <v>Vehículo Apagado</v>
      </c>
      <c r="Q13">
        <v>22621.6</v>
      </c>
      <c r="R13" t="str">
        <v/>
      </c>
      <c r="S13">
        <v>0</v>
      </c>
      <c r="T13">
        <v>121.72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28/09/2026</v>
      </c>
      <c r="AD13" t="str">
        <v>11:01:19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11:02:22</v>
      </c>
      <c r="AL13" t="str">
        <v>11:02:22</v>
      </c>
      <c r="AM13" t="str">
        <v/>
      </c>
    </row>
    <row r="14">
      <c r="A14">
        <v>13</v>
      </c>
      <c r="B14" t="str">
        <v>MASS BSF</v>
      </c>
      <c r="C14" t="str">
        <v>CKL-718</v>
      </c>
      <c r="D14" t="str">
        <v>CKL-718</v>
      </c>
      <c r="E14" t="str">
        <v/>
      </c>
      <c r="F14" t="str">
        <v>867162029820636</v>
      </c>
      <c r="G14" t="str">
        <v>TBD</v>
      </c>
      <c r="H14" t="str">
        <v/>
      </c>
      <c r="I14" t="str">
        <v/>
      </c>
      <c r="J14" t="str">
        <v>28/09/2026</v>
      </c>
      <c r="K14" t="str">
        <v>11:17:52</v>
      </c>
      <c r="L14">
        <v>-12.317334</v>
      </c>
      <c r="M14">
        <v>-76.822945</v>
      </c>
      <c r="N14">
        <f>HYPERLINK("https://www.google.com/maps/search/?api=1&amp;query=-12.317334,-76.822945","Punta Hermosa, Lima")</f>
      </c>
      <c r="O14" t="str">
        <v>Vehículo encendido</v>
      </c>
      <c r="P14" t="str">
        <v/>
      </c>
      <c r="Q14">
        <v>22621.6</v>
      </c>
      <c r="R14" t="str">
        <v/>
      </c>
      <c r="S14">
        <v>0</v>
      </c>
      <c r="T14">
        <v>121.72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28/09/2026</v>
      </c>
      <c r="AD14" t="str">
        <v>11:02:12</v>
      </c>
      <c r="AE14">
        <f>IF("NOGPS"="NOGPS","GPS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11:18:03</v>
      </c>
      <c r="AL14" t="str">
        <v>11:18:03</v>
      </c>
      <c r="AM14" t="str">
        <v/>
      </c>
    </row>
    <row r="15">
      <c r="A15">
        <v>14</v>
      </c>
      <c r="B15" t="str">
        <v>MASS BSF</v>
      </c>
      <c r="C15" t="str">
        <v>CKL-718</v>
      </c>
      <c r="D15" t="str">
        <v>CKL-718</v>
      </c>
      <c r="E15" t="str">
        <v/>
      </c>
      <c r="F15" t="str">
        <v>867162029820636</v>
      </c>
      <c r="G15" t="str">
        <v>TBD</v>
      </c>
      <c r="H15" t="str">
        <v/>
      </c>
      <c r="I15" t="str">
        <v/>
      </c>
      <c r="J15" t="str">
        <v>28/09/2026</v>
      </c>
      <c r="K15" t="str">
        <v>11:19:33</v>
      </c>
      <c r="L15">
        <v>-12.318445</v>
      </c>
      <c r="M15">
        <v>-76.82383</v>
      </c>
      <c r="N15">
        <f>HYPERLINK("https://www.google.com/maps/search/?api=1&amp;query=-12.318445,-76.82383","Punta Hermosa, Lima")</f>
      </c>
      <c r="O15" t="str">
        <v>Vehículo apagado</v>
      </c>
      <c r="P15" t="str">
        <v>Vehículo Apagado</v>
      </c>
      <c r="Q15">
        <v>22621.8</v>
      </c>
      <c r="R15" t="str">
        <v/>
      </c>
      <c r="S15">
        <v>14.7</v>
      </c>
      <c r="T15">
        <v>121.75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28/09/2026</v>
      </c>
      <c r="AD15" t="str">
        <v>11:18:58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11:19:43</v>
      </c>
      <c r="AL15" t="str">
        <v>11:19:43</v>
      </c>
      <c r="AM15" t="str">
        <v/>
      </c>
    </row>
    <row r="16">
      <c r="A16">
        <v>15</v>
      </c>
      <c r="B16" t="str">
        <v>MASS BSF</v>
      </c>
      <c r="C16" t="str">
        <v>CKL-718</v>
      </c>
      <c r="D16" t="str">
        <v>CKL-718</v>
      </c>
      <c r="E16" t="str">
        <v/>
      </c>
      <c r="F16" t="str">
        <v>867162029820636</v>
      </c>
      <c r="G16" t="str">
        <v>TBD</v>
      </c>
      <c r="H16" t="str">
        <v/>
      </c>
      <c r="I16" t="str">
        <v/>
      </c>
      <c r="J16" t="str">
        <v>28/09/2026</v>
      </c>
      <c r="K16" t="str">
        <v>11:53:33</v>
      </c>
      <c r="L16">
        <v>-12.318027</v>
      </c>
      <c r="M16">
        <v>-76.8243</v>
      </c>
      <c r="N16">
        <f>HYPERLINK("https://www.google.com/maps/search/?api=1&amp;query=-12.318027,-76.8243","Punta Hermosa, Lima")</f>
      </c>
      <c r="O16" t="str">
        <v>Vehículo encendido</v>
      </c>
      <c r="P16" t="str">
        <v/>
      </c>
      <c r="Q16">
        <v>22621.9</v>
      </c>
      <c r="R16" t="str">
        <v/>
      </c>
      <c r="S16">
        <v>0</v>
      </c>
      <c r="T16">
        <v>121.75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28/09/2026</v>
      </c>
      <c r="AD16" t="str">
        <v>11:47:13</v>
      </c>
      <c r="AE16">
        <f>IF("NOGPS"="NOGPS","GPS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11:53:44</v>
      </c>
      <c r="AL16" t="str">
        <v>11:53:44</v>
      </c>
      <c r="AM16" t="str">
        <v/>
      </c>
    </row>
    <row r="17">
      <c r="A17">
        <v>16</v>
      </c>
      <c r="B17" t="str">
        <v>MASS BSF</v>
      </c>
      <c r="C17" t="str">
        <v>CKL-718</v>
      </c>
      <c r="D17" t="str">
        <v>CKL-718</v>
      </c>
      <c r="E17" t="str">
        <v/>
      </c>
      <c r="F17" t="str">
        <v>867162029820636</v>
      </c>
      <c r="G17" t="str">
        <v>TBD</v>
      </c>
      <c r="H17" t="str">
        <v/>
      </c>
      <c r="I17" t="str">
        <v/>
      </c>
      <c r="J17" t="str">
        <v>28/09/2026</v>
      </c>
      <c r="K17" t="str">
        <v>11:55:31</v>
      </c>
      <c r="L17">
        <v>-12.317997</v>
      </c>
      <c r="M17">
        <v>-76.82419</v>
      </c>
      <c r="N17">
        <f>HYPERLINK("https://www.google.com/maps/search/?api=1&amp;query=-12.317997,-76.82419","Punta Hermosa, Lima")</f>
      </c>
      <c r="O17" t="str">
        <v>Vehículo apagado</v>
      </c>
      <c r="P17" t="str">
        <v>Vehículo Apagado</v>
      </c>
      <c r="Q17">
        <v>22621.9</v>
      </c>
      <c r="R17" t="str">
        <v/>
      </c>
      <c r="S17">
        <v>0</v>
      </c>
      <c r="T17">
        <v>121.78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28/09/2026</v>
      </c>
      <c r="AD17" t="str">
        <v>11:54:33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11:55:46</v>
      </c>
      <c r="AL17" t="str">
        <v>11:55:46</v>
      </c>
      <c r="AM17" t="str">
        <v/>
      </c>
    </row>
    <row r="18">
      <c r="A18">
        <v>17</v>
      </c>
      <c r="B18" t="str">
        <v>MASS BSF</v>
      </c>
      <c r="C18" t="str">
        <v>CKL-718</v>
      </c>
      <c r="D18" t="str">
        <v>CKL-718</v>
      </c>
      <c r="E18" t="str">
        <v/>
      </c>
      <c r="F18" t="str">
        <v>867162029820636</v>
      </c>
      <c r="G18" t="str">
        <v>TBD</v>
      </c>
      <c r="H18" t="str">
        <v/>
      </c>
      <c r="I18" t="str">
        <v/>
      </c>
      <c r="J18" t="str">
        <v>28/09/2026</v>
      </c>
      <c r="K18" t="str">
        <v>11:55:33</v>
      </c>
      <c r="L18">
        <v>-12.317997</v>
      </c>
      <c r="M18">
        <v>-76.82419</v>
      </c>
      <c r="N18">
        <f>HYPERLINK("https://www.google.com/maps/search/?api=1&amp;query=-12.317997,-76.82419","Punta Hermosa, Lima")</f>
      </c>
      <c r="O18" t="str">
        <v>Vehículo encendido</v>
      </c>
      <c r="P18" t="str">
        <v/>
      </c>
      <c r="Q18">
        <v>22621.9</v>
      </c>
      <c r="R18" t="str">
        <v/>
      </c>
      <c r="S18">
        <v>0</v>
      </c>
      <c r="T18">
        <v>121.78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28/09/2026</v>
      </c>
      <c r="AD18" t="str">
        <v>11:55:33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11:55:52</v>
      </c>
      <c r="AL18" t="str">
        <v>11:55:52</v>
      </c>
      <c r="AM18" t="str">
        <v/>
      </c>
    </row>
    <row r="19">
      <c r="A19">
        <v>18</v>
      </c>
      <c r="B19" t="str">
        <v>MASS BSF</v>
      </c>
      <c r="C19" t="str">
        <v>CKL-718</v>
      </c>
      <c r="D19" t="str">
        <v>CKL-718</v>
      </c>
      <c r="E19" t="str">
        <v/>
      </c>
      <c r="F19" t="str">
        <v>867162029820636</v>
      </c>
      <c r="G19" t="str">
        <v>TBD</v>
      </c>
      <c r="H19" t="str">
        <v/>
      </c>
      <c r="I19" t="str">
        <v/>
      </c>
      <c r="J19" t="str">
        <v>28/09/2026</v>
      </c>
      <c r="K19" t="str">
        <v>11:55:39</v>
      </c>
      <c r="L19">
        <v>-12.317997</v>
      </c>
      <c r="M19">
        <v>-76.82419</v>
      </c>
      <c r="N19">
        <f>HYPERLINK("https://www.google.com/maps/search/?api=1&amp;query=-12.317997,-76.82419","Punta Hermosa, Lima")</f>
      </c>
      <c r="O19" t="str">
        <v>Vehículo apagado</v>
      </c>
      <c r="P19" t="str">
        <v>Vehículo Apagado</v>
      </c>
      <c r="Q19">
        <v>22621.9</v>
      </c>
      <c r="R19" t="str">
        <v/>
      </c>
      <c r="S19">
        <v>0</v>
      </c>
      <c r="T19">
        <v>121.78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28/09/2026</v>
      </c>
      <c r="AD19" t="str">
        <v>11:55:41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11:55:50</v>
      </c>
      <c r="AL19" t="str">
        <v>11:55:50</v>
      </c>
      <c r="AM19" t="str">
        <v/>
      </c>
    </row>
    <row r="20">
      <c r="A20">
        <v>19</v>
      </c>
      <c r="B20" t="str">
        <v>MASS BSF</v>
      </c>
      <c r="C20" t="str">
        <v>CKL-718</v>
      </c>
      <c r="D20" t="str">
        <v>CKL-718</v>
      </c>
      <c r="E20" t="str">
        <v/>
      </c>
      <c r="F20" t="str">
        <v>867162029820636</v>
      </c>
      <c r="G20" t="str">
        <v>TBD</v>
      </c>
      <c r="H20" t="str">
        <v/>
      </c>
      <c r="I20" t="str">
        <v/>
      </c>
      <c r="J20" t="str">
        <v>28/09/2026</v>
      </c>
      <c r="K20" t="str">
        <v>12:33:17</v>
      </c>
      <c r="L20">
        <v>-12.317997</v>
      </c>
      <c r="M20">
        <v>-76.82419</v>
      </c>
      <c r="N20">
        <f>HYPERLINK("https://www.google.com/maps/search/?api=1&amp;query=-12.317997,-76.82419","Punta Hermosa, Lima")</f>
      </c>
      <c r="O20" t="str">
        <v>Vehículo encendido</v>
      </c>
      <c r="P20" t="str">
        <v/>
      </c>
      <c r="Q20">
        <v>22621.9</v>
      </c>
      <c r="R20" t="str">
        <v/>
      </c>
      <c r="S20">
        <v>0</v>
      </c>
      <c r="T20">
        <v>121.78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28/09/2026</v>
      </c>
      <c r="AD20" t="str">
        <v>12:23:10</v>
      </c>
      <c r="AE20">
        <f>IF("NOGPS"="NOGPS","GPS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12:33:23</v>
      </c>
      <c r="AL20" t="str">
        <v>12:33:23</v>
      </c>
      <c r="AM20" t="str">
        <v/>
      </c>
    </row>
    <row r="21">
      <c r="A21">
        <v>20</v>
      </c>
      <c r="B21" t="str">
        <v>MASS BSF</v>
      </c>
      <c r="C21" t="str">
        <v>CKL-718</v>
      </c>
      <c r="D21" t="str">
        <v>CKL-718</v>
      </c>
      <c r="E21" t="str">
        <v/>
      </c>
      <c r="F21" t="str">
        <v>867162029820636</v>
      </c>
      <c r="G21" t="str">
        <v>TBD</v>
      </c>
      <c r="H21" t="str">
        <v/>
      </c>
      <c r="I21" t="str">
        <v/>
      </c>
      <c r="J21" t="str">
        <v>28/09/2026</v>
      </c>
      <c r="K21" t="str">
        <v>12:38:10</v>
      </c>
      <c r="L21">
        <v>-12.317935</v>
      </c>
      <c r="M21">
        <v>-76.824104</v>
      </c>
      <c r="N21">
        <f>HYPERLINK("https://www.google.com/maps/search/?api=1&amp;query=-12.317935,-76.824104","Punta Hermosa, Lima")</f>
      </c>
      <c r="O21" t="str">
        <v>Inicio de ralentí</v>
      </c>
      <c r="P21" t="str">
        <v>Vehículo Detenido</v>
      </c>
      <c r="Q21">
        <v>22621.9</v>
      </c>
      <c r="R21" t="str">
        <v/>
      </c>
      <c r="S21">
        <v>0</v>
      </c>
      <c r="T21">
        <v>121.78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28/09/2026</v>
      </c>
      <c r="AD21" t="str">
        <v>12:37:15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12:38:24</v>
      </c>
      <c r="AL21" t="str">
        <v>12:38:24</v>
      </c>
      <c r="AM21" t="str">
        <v/>
      </c>
    </row>
    <row r="22">
      <c r="A22">
        <v>21</v>
      </c>
      <c r="B22" t="str">
        <v>MASS BSF</v>
      </c>
      <c r="C22" t="str">
        <v>CKL-718</v>
      </c>
      <c r="D22" t="str">
        <v>CKL-718</v>
      </c>
      <c r="E22" t="str">
        <v/>
      </c>
      <c r="F22" t="str">
        <v>867162029820636</v>
      </c>
      <c r="G22" t="str">
        <v>TBD</v>
      </c>
      <c r="H22" t="str">
        <v/>
      </c>
      <c r="I22" t="str">
        <v/>
      </c>
      <c r="J22" t="str">
        <v>28/09/2026</v>
      </c>
      <c r="K22" t="str">
        <v>12:40:00</v>
      </c>
      <c r="L22">
        <v>-12.317935</v>
      </c>
      <c r="M22">
        <v>-76.824104</v>
      </c>
      <c r="N22">
        <f>HYPERLINK("https://www.google.com/maps/search/?api=1&amp;query=-12.317935,-76.824104","Punta Hermosa, Lima")</f>
      </c>
      <c r="O22" t="str">
        <v>Fin de ralentí</v>
      </c>
      <c r="P22" t="str">
        <v/>
      </c>
      <c r="Q22">
        <v>22621.9</v>
      </c>
      <c r="R22" t="str">
        <v/>
      </c>
      <c r="S22">
        <v>0</v>
      </c>
      <c r="T22">
        <v>121.78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28/09/2026</v>
      </c>
      <c r="AD22" t="str">
        <v>12:39:15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12:40:18</v>
      </c>
      <c r="AL22" t="str">
        <v>12:40:18</v>
      </c>
      <c r="AM22" t="str">
        <v/>
      </c>
    </row>
    <row r="23">
      <c r="A23">
        <v>22</v>
      </c>
      <c r="B23" t="str">
        <v>MASS BSF</v>
      </c>
      <c r="C23" t="str">
        <v>CKL-718</v>
      </c>
      <c r="D23" t="str">
        <v>CKL-718</v>
      </c>
      <c r="E23" t="str">
        <v/>
      </c>
      <c r="F23" t="str">
        <v>867162029820636</v>
      </c>
      <c r="G23" t="str">
        <v>TBD</v>
      </c>
      <c r="H23" t="str">
        <v/>
      </c>
      <c r="I23" t="str">
        <v xml:space="preserve"> </v>
      </c>
      <c r="J23" t="str">
        <v>28/09/2026</v>
      </c>
      <c r="K23" t="str">
        <v>12:45:13</v>
      </c>
      <c r="L23">
        <v>-12.317546</v>
      </c>
      <c r="M23">
        <v>-76.82995</v>
      </c>
      <c r="N23">
        <f>HYPERLINK("https://www.google.com/maps/search/?api=1&amp;query=-12.317546,-76.82995","Punta Hermosa, Lima")</f>
      </c>
      <c r="O23" t="str">
        <v>Salió de zona</v>
      </c>
      <c r="P23" t="str">
        <v/>
      </c>
      <c r="Q23">
        <v>22622.4</v>
      </c>
      <c r="R23" t="str">
        <v>MASS BSF 1</v>
      </c>
      <c r="S23">
        <v>16.9</v>
      </c>
      <c r="T23">
        <v>121.78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28/09/2026</v>
      </c>
      <c r="AD23" t="str">
        <v>12:45:12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12:45:30</v>
      </c>
      <c r="AL23" t="str">
        <v>12:45:30</v>
      </c>
      <c r="AM23" t="str">
        <v/>
      </c>
    </row>
    <row r="24">
      <c r="A24">
        <v>23</v>
      </c>
      <c r="B24" t="str">
        <v>MASS BSF</v>
      </c>
      <c r="C24" t="str">
        <v>CKL-718</v>
      </c>
      <c r="D24" t="str">
        <v>CKL-718</v>
      </c>
      <c r="E24" t="str">
        <v/>
      </c>
      <c r="F24" t="str">
        <v>867162029820636</v>
      </c>
      <c r="G24" t="str">
        <v>TBD</v>
      </c>
      <c r="H24" t="str">
        <v/>
      </c>
      <c r="I24" t="str">
        <v/>
      </c>
      <c r="J24" t="str">
        <v>28/09/2026</v>
      </c>
      <c r="K24" t="str">
        <v>12:48:52</v>
      </c>
      <c r="L24">
        <v>-12.298032</v>
      </c>
      <c r="M24">
        <v>-76.85341</v>
      </c>
      <c r="N24">
        <f>HYPERLINK("https://www.google.com/maps/search/?api=1&amp;query=-12.298032,-76.85341","Carretera Panamericana Sur, Lurín, Lima")</f>
      </c>
      <c r="O24" t="str">
        <v>Excedió el límite de velocidad</v>
      </c>
      <c r="P24" t="str">
        <v/>
      </c>
      <c r="Q24">
        <v>22626.2</v>
      </c>
      <c r="R24" t="str">
        <v/>
      </c>
      <c r="S24">
        <v>83.4</v>
      </c>
      <c r="T24">
        <v>121.78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28/09/2026</v>
      </c>
      <c r="AD24" t="str">
        <v>12:48:51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12:49:06</v>
      </c>
      <c r="AL24" t="str">
        <v>12:49:06</v>
      </c>
      <c r="AM24" t="str">
        <v/>
      </c>
    </row>
    <row r="25">
      <c r="A25">
        <v>24</v>
      </c>
      <c r="B25" t="str">
        <v>MASS BSF</v>
      </c>
      <c r="C25" t="str">
        <v>CKL-718</v>
      </c>
      <c r="D25" t="str">
        <v>CKL-718</v>
      </c>
      <c r="E25" t="str">
        <v/>
      </c>
      <c r="F25" t="str">
        <v>867162029820636</v>
      </c>
      <c r="G25" t="str">
        <v>TBD</v>
      </c>
      <c r="H25" t="str">
        <v/>
      </c>
      <c r="I25" t="str">
        <v/>
      </c>
      <c r="J25" t="str">
        <v>28/09/2026</v>
      </c>
      <c r="K25" t="str">
        <v>12:55:03</v>
      </c>
      <c r="L25">
        <v>-12.262167</v>
      </c>
      <c r="M25">
        <v>-76.9119</v>
      </c>
      <c r="N25">
        <f>HYPERLINK("https://www.google.com/maps/search/?api=1&amp;query=-12.262167,-76.9119","Carretera Panamericana Sur, Lurín, Lima")</f>
      </c>
      <c r="O25" t="str">
        <v>Excedió el límite de velocidad</v>
      </c>
      <c r="P25" t="str">
        <v/>
      </c>
      <c r="Q25">
        <v>22633.7</v>
      </c>
      <c r="R25" t="str">
        <v/>
      </c>
      <c r="S25">
        <v>86.2</v>
      </c>
      <c r="T25">
        <v>121.78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28/09/2026</v>
      </c>
      <c r="AD25" t="str">
        <v>12:55:03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12:55:32</v>
      </c>
      <c r="AL25" t="str">
        <v>12:55:32</v>
      </c>
      <c r="AM25" t="str">
        <v/>
      </c>
    </row>
    <row r="26">
      <c r="A26">
        <v>25</v>
      </c>
      <c r="B26" t="str">
        <v>MASS BSF</v>
      </c>
      <c r="C26" t="str">
        <v>CKL-718</v>
      </c>
      <c r="D26" t="str">
        <v>CKL-718</v>
      </c>
      <c r="E26" t="str">
        <v/>
      </c>
      <c r="F26" t="str">
        <v>867162029820636</v>
      </c>
      <c r="G26" t="str">
        <v>TBD</v>
      </c>
      <c r="H26" t="str">
        <v/>
      </c>
      <c r="I26" t="str">
        <v/>
      </c>
      <c r="J26" t="str">
        <v>28/09/2026</v>
      </c>
      <c r="K26" t="str">
        <v>12:55:28</v>
      </c>
      <c r="L26">
        <v>-12.259647</v>
      </c>
      <c r="M26">
        <v>-76.91588</v>
      </c>
      <c r="N26">
        <f>HYPERLINK("https://www.google.com/maps/search/?api=1&amp;query=-12.259647,-76.91588","Carretera Panamericana Sur, Lurín, Lima")</f>
      </c>
      <c r="O26" t="str">
        <v>Excedió el límite de velocidad</v>
      </c>
      <c r="P26" t="str">
        <v/>
      </c>
      <c r="Q26">
        <v>22634.2</v>
      </c>
      <c r="R26" t="str">
        <v/>
      </c>
      <c r="S26">
        <v>86.3</v>
      </c>
      <c r="T26">
        <v>121.78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28/09/2026</v>
      </c>
      <c r="AD26" t="str">
        <v>12:55:27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12:55:34</v>
      </c>
      <c r="AL26" t="str">
        <v>12:55:34</v>
      </c>
      <c r="AM26" t="str">
        <v/>
      </c>
    </row>
    <row r="27">
      <c r="A27">
        <v>26</v>
      </c>
      <c r="B27" t="str">
        <v>MASS BSF</v>
      </c>
      <c r="C27" t="str">
        <v>CKL-718</v>
      </c>
      <c r="D27" t="str">
        <v>CKL-718</v>
      </c>
      <c r="E27" t="str">
        <v/>
      </c>
      <c r="F27" t="str">
        <v>867162029820636</v>
      </c>
      <c r="G27" t="str">
        <v>TBD</v>
      </c>
      <c r="H27" t="str">
        <v/>
      </c>
      <c r="I27" t="str">
        <v/>
      </c>
      <c r="J27" t="str">
        <v>28/09/2026</v>
      </c>
      <c r="K27" t="str">
        <v>12:56:49</v>
      </c>
      <c r="L27">
        <v>-12.250451</v>
      </c>
      <c r="M27">
        <v>-76.93041</v>
      </c>
      <c r="N27">
        <f>HYPERLINK("https://www.google.com/maps/search/?api=1&amp;query=-12.250451,-76.93041","Carretera Panamericana Sur, Lurín, Lima")</f>
      </c>
      <c r="O27" t="str">
        <v>Excedió el límite de velocidad</v>
      </c>
      <c r="P27" t="str">
        <v/>
      </c>
      <c r="Q27">
        <v>22636.1</v>
      </c>
      <c r="R27" t="str">
        <v/>
      </c>
      <c r="S27">
        <v>80.7</v>
      </c>
      <c r="T27">
        <v>121.78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28/09/2026</v>
      </c>
      <c r="AD27" t="str">
        <v>12:56:48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12:56:56</v>
      </c>
      <c r="AL27" t="str">
        <v>12:56:56</v>
      </c>
      <c r="AM27" t="str">
        <v/>
      </c>
    </row>
    <row r="28">
      <c r="A28">
        <v>27</v>
      </c>
      <c r="B28" t="str">
        <v>MASS BSF</v>
      </c>
      <c r="C28" t="str">
        <v>CKL-718</v>
      </c>
      <c r="D28" t="str">
        <v>CKL-718</v>
      </c>
      <c r="E28" t="str">
        <v/>
      </c>
      <c r="F28" t="str">
        <v>867162029820636</v>
      </c>
      <c r="G28" t="str">
        <v>TBD</v>
      </c>
      <c r="H28" t="str">
        <v/>
      </c>
      <c r="I28" t="str">
        <v/>
      </c>
      <c r="J28" t="str">
        <v>28/09/2026</v>
      </c>
      <c r="K28" t="str">
        <v>12:59:22</v>
      </c>
      <c r="L28">
        <v>-12.235469</v>
      </c>
      <c r="M28">
        <v>-76.9573</v>
      </c>
      <c r="N28">
        <f>HYPERLINK("https://www.google.com/maps/search/?api=1&amp;query=-12.235469,-76.9573","Carretera Panamericana Sur, Villa El Salvador, Lima")</f>
      </c>
      <c r="O28" t="str">
        <v>Excedió el límite de velocidad</v>
      </c>
      <c r="P28" t="str">
        <v/>
      </c>
      <c r="Q28">
        <v>22639.5</v>
      </c>
      <c r="R28" t="str">
        <v/>
      </c>
      <c r="S28">
        <v>86.3</v>
      </c>
      <c r="T28">
        <v>121.78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28/09/2026</v>
      </c>
      <c r="AD28" t="str">
        <v>12:59:21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12:59:30</v>
      </c>
      <c r="AL28" t="str">
        <v>12:59:30</v>
      </c>
      <c r="AM28" t="str">
        <v/>
      </c>
    </row>
    <row r="29">
      <c r="A29">
        <v>28</v>
      </c>
      <c r="B29" t="str">
        <v>MASS BSF</v>
      </c>
      <c r="C29" t="str">
        <v>CKL-718</v>
      </c>
      <c r="D29" t="str">
        <v>CKL-718</v>
      </c>
      <c r="E29" t="str">
        <v/>
      </c>
      <c r="F29" t="str">
        <v>867162029820636</v>
      </c>
      <c r="G29" t="str">
        <v>TBD</v>
      </c>
      <c r="H29" t="str">
        <v/>
      </c>
      <c r="I29" t="str">
        <v/>
      </c>
      <c r="J29" t="str">
        <v>28/09/2026</v>
      </c>
      <c r="K29" t="str">
        <v>13:21:43</v>
      </c>
      <c r="L29">
        <v>-12.162245</v>
      </c>
      <c r="M29">
        <v>-76.96333</v>
      </c>
      <c r="N29">
        <f>HYPERLINK("https://www.google.com/maps/search/?api=1&amp;query=-12.162245,-76.96333","Avenida Guillermo Billinghurst, San Juan de Miraflores, Lima")</f>
      </c>
      <c r="O29" t="str">
        <v>Vehículo apagado</v>
      </c>
      <c r="P29" t="str">
        <v>Vehículo Apagado</v>
      </c>
      <c r="Q29">
        <v>22651.3</v>
      </c>
      <c r="R29" t="str">
        <v/>
      </c>
      <c r="S29">
        <v>0</v>
      </c>
      <c r="T29">
        <v>122.58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28/09/2026</v>
      </c>
      <c r="AD29" t="str">
        <v>13:21:44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13:21:57</v>
      </c>
      <c r="AL29" t="str">
        <v>13:21:57</v>
      </c>
      <c r="AM29" t="str">
        <v/>
      </c>
    </row>
    <row r="30">
      <c r="A30">
        <v>29</v>
      </c>
      <c r="B30" t="str">
        <v>MASS BSF</v>
      </c>
      <c r="C30" t="str">
        <v>CKL-718</v>
      </c>
      <c r="D30" t="str">
        <v>CKL-718</v>
      </c>
      <c r="E30" t="str">
        <v/>
      </c>
      <c r="F30" t="str">
        <v>867162029820636</v>
      </c>
      <c r="G30" t="str">
        <v>TBD</v>
      </c>
      <c r="H30" t="str">
        <v/>
      </c>
      <c r="I30" t="str">
        <v xml:space="preserve"> </v>
      </c>
      <c r="J30" t="str">
        <v>28/09/2026</v>
      </c>
      <c r="K30" t="str">
        <v>13:21:45</v>
      </c>
      <c r="L30">
        <v>-12.162245</v>
      </c>
      <c r="M30">
        <v>-76.96333</v>
      </c>
      <c r="N30">
        <f>HYPERLINK("https://www.google.com/maps/search/?api=1&amp;query=-12.162245,-76.96333","Avenida Guillermo Billinghurst, San Juan de Miraflores, Lima")</f>
      </c>
      <c r="O30" t="str">
        <v>Llegó a la zona</v>
      </c>
      <c r="P30" t="str">
        <v/>
      </c>
      <c r="Q30">
        <v>22651.2</v>
      </c>
      <c r="R30" t="str">
        <v>2003-GUILLERMO10 SJM MS</v>
      </c>
      <c r="S30">
        <v>0</v>
      </c>
      <c r="T30">
        <v>121.78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28/09/2026</v>
      </c>
      <c r="AD30" t="str">
        <v>13:21:44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13:22:04</v>
      </c>
      <c r="AL30" t="str">
        <v>13:22:04</v>
      </c>
      <c r="AM30" t="str">
        <v/>
      </c>
    </row>
    <row r="31">
      <c r="A31">
        <v>30</v>
      </c>
      <c r="B31" t="str">
        <v>MASS BSF</v>
      </c>
      <c r="C31" t="str">
        <v>CKL-718</v>
      </c>
      <c r="D31" t="str">
        <v>CKL-718</v>
      </c>
      <c r="E31" t="str">
        <v/>
      </c>
      <c r="F31" t="str">
        <v>867162029820636</v>
      </c>
      <c r="G31" t="str">
        <v>TBD</v>
      </c>
      <c r="H31" t="str">
        <v/>
      </c>
      <c r="I31" t="str">
        <v/>
      </c>
      <c r="J31" t="str">
        <v>28/09/2026</v>
      </c>
      <c r="K31" t="str">
        <v>13:50:56</v>
      </c>
      <c r="L31">
        <v>-12.162263</v>
      </c>
      <c r="M31">
        <v>-76.963356</v>
      </c>
      <c r="N31">
        <f>HYPERLINK("https://www.google.com/maps/search/?api=1&amp;query=-12.162263,-76.963356","Avenida Guillermo Billinghurst, San Juan de Miraflores, Lima")</f>
      </c>
      <c r="O31" t="str">
        <v>Vehículo encendido</v>
      </c>
      <c r="P31" t="str">
        <v/>
      </c>
      <c r="Q31">
        <v>22651.3</v>
      </c>
      <c r="R31" t="str">
        <v/>
      </c>
      <c r="S31">
        <v>0</v>
      </c>
      <c r="T31">
        <v>122.58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28/09/2026</v>
      </c>
      <c r="AD31" t="str">
        <v>13:51:03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13:51:26</v>
      </c>
      <c r="AL31" t="str">
        <v>13:51:26</v>
      </c>
      <c r="AM31" t="str">
        <v/>
      </c>
    </row>
    <row r="32">
      <c r="A32">
        <v>31</v>
      </c>
      <c r="B32" t="str">
        <v>MASS BSF</v>
      </c>
      <c r="C32" t="str">
        <v>CKL-718</v>
      </c>
      <c r="D32" t="str">
        <v>CKL-718</v>
      </c>
      <c r="E32" t="str">
        <v/>
      </c>
      <c r="F32" t="str">
        <v>867162029820636</v>
      </c>
      <c r="G32" t="str">
        <v>TBD</v>
      </c>
      <c r="H32" t="str">
        <v/>
      </c>
      <c r="I32" t="str">
        <v xml:space="preserve"> </v>
      </c>
      <c r="J32" t="str">
        <v>28/09/2026</v>
      </c>
      <c r="K32" t="str">
        <v>13:52:01</v>
      </c>
      <c r="L32">
        <v>-12.161783</v>
      </c>
      <c r="M32">
        <v>-76.96454</v>
      </c>
      <c r="N32">
        <f>HYPERLINK("https://www.google.com/maps/search/?api=1&amp;query=-12.161783,-76.96454","Avenida Guillermo Billinghurst, San Juan de Miraflores, Lima")</f>
      </c>
      <c r="O32" t="str">
        <v>Salió de zona</v>
      </c>
      <c r="P32" t="str">
        <v/>
      </c>
      <c r="Q32">
        <v>22651.3</v>
      </c>
      <c r="R32" t="str">
        <v>2003-GUILLERMO10 SJM MS</v>
      </c>
      <c r="S32">
        <v>10</v>
      </c>
      <c r="T32">
        <v>122.58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28/09/2026</v>
      </c>
      <c r="AD32" t="str">
        <v>13:51:57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13:52:07</v>
      </c>
      <c r="AL32" t="str">
        <v>13:52:07</v>
      </c>
      <c r="AM32" t="str">
        <v/>
      </c>
    </row>
    <row r="33">
      <c r="A33">
        <v>32</v>
      </c>
      <c r="B33" t="str">
        <v>MASS BSF</v>
      </c>
      <c r="C33" t="str">
        <v>CKL-718</v>
      </c>
      <c r="D33" t="str">
        <v>CKL-718</v>
      </c>
      <c r="E33" t="str">
        <v/>
      </c>
      <c r="F33" t="str">
        <v>867162029820636</v>
      </c>
      <c r="G33" t="str">
        <v>TBD</v>
      </c>
      <c r="H33" t="str">
        <v/>
      </c>
      <c r="I33" t="str">
        <v xml:space="preserve"> </v>
      </c>
      <c r="J33" t="str">
        <v>28/09/2026</v>
      </c>
      <c r="K33" t="str">
        <v>13:55:07</v>
      </c>
      <c r="L33">
        <v>-12.158528</v>
      </c>
      <c r="M33">
        <v>-76.973236</v>
      </c>
      <c r="N33">
        <f>HYPERLINK("https://www.google.com/maps/search/?api=1&amp;query=-12.158528,-76.973236","Avenida San Juan, San Juan de Miraflores, Lima")</f>
      </c>
      <c r="O33" t="str">
        <v>Llegó a la zona</v>
      </c>
      <c r="P33" t="str">
        <v/>
      </c>
      <c r="Q33">
        <v>22652.5</v>
      </c>
      <c r="R33" t="str">
        <v>335-SAN JUAN 9</v>
      </c>
      <c r="S33">
        <v>12.7</v>
      </c>
      <c r="T33">
        <v>122.58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28/09/2026</v>
      </c>
      <c r="AD33" t="str">
        <v>13:55:06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13:55:18</v>
      </c>
      <c r="AL33" t="str">
        <v>13:55:18</v>
      </c>
      <c r="AM33" t="str">
        <v/>
      </c>
    </row>
    <row r="34">
      <c r="A34">
        <v>33</v>
      </c>
      <c r="B34" t="str">
        <v>MASS BSF</v>
      </c>
      <c r="C34" t="str">
        <v>CKL-718</v>
      </c>
      <c r="D34" t="str">
        <v>CKL-718</v>
      </c>
      <c r="E34" t="str">
        <v/>
      </c>
      <c r="F34" t="str">
        <v>867162029820636</v>
      </c>
      <c r="G34" t="str">
        <v>TBD</v>
      </c>
      <c r="H34" t="str">
        <v/>
      </c>
      <c r="I34" t="str">
        <v xml:space="preserve"> </v>
      </c>
      <c r="J34" t="str">
        <v>28/09/2026</v>
      </c>
      <c r="K34" t="str">
        <v>13:55:16</v>
      </c>
      <c r="L34">
        <v>-12.159123</v>
      </c>
      <c r="M34">
        <v>-76.97332</v>
      </c>
      <c r="N34">
        <f>HYPERLINK("https://www.google.com/maps/search/?api=1&amp;query=-12.159123,-76.97332","Avenida San Juan, San Juan de Miraflores, Lima")</f>
      </c>
      <c r="O34" t="str">
        <v>Salió de zona</v>
      </c>
      <c r="P34" t="str">
        <v/>
      </c>
      <c r="Q34">
        <v>22652.5</v>
      </c>
      <c r="R34" t="str">
        <v>335-SAN JUAN 9</v>
      </c>
      <c r="S34">
        <v>39.1</v>
      </c>
      <c r="T34">
        <v>122.58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28/09/2026</v>
      </c>
      <c r="AD34" t="str">
        <v>13:55:15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13:55:32</v>
      </c>
      <c r="AL34" t="str">
        <v>13:55:32</v>
      </c>
      <c r="AM34" t="str">
        <v/>
      </c>
    </row>
    <row r="35">
      <c r="A35">
        <v>34</v>
      </c>
      <c r="B35" t="str">
        <v>MASS BSF</v>
      </c>
      <c r="C35" t="str">
        <v>CKL-718</v>
      </c>
      <c r="D35" t="str">
        <v>CKL-718</v>
      </c>
      <c r="E35" t="str">
        <v/>
      </c>
      <c r="F35" t="str">
        <v>867162029820636</v>
      </c>
      <c r="G35" t="str">
        <v>TBD</v>
      </c>
      <c r="H35" t="str">
        <v/>
      </c>
      <c r="I35" t="str">
        <v/>
      </c>
      <c r="J35" t="str">
        <v>28/09/2026</v>
      </c>
      <c r="K35" t="str">
        <v>14:06:22</v>
      </c>
      <c r="L35">
        <v>-12.1933</v>
      </c>
      <c r="M35">
        <v>-76.97265</v>
      </c>
      <c r="N35">
        <f>HYPERLINK("https://www.google.com/maps/search/?api=1&amp;query=-12.1933,-76.97265","Carretera Panamericana Sur, Villa El Salvador, Lima")</f>
      </c>
      <c r="O35" t="str">
        <v>Exceso de velocidad en segmento vial</v>
      </c>
      <c r="P35" t="str">
        <v/>
      </c>
      <c r="Q35">
        <v>22657.5</v>
      </c>
      <c r="R35" t="str">
        <v/>
      </c>
      <c r="S35">
        <v>81.4</v>
      </c>
      <c r="T35">
        <v>122.58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28/09/2026</v>
      </c>
      <c r="AD35" t="str">
        <v>14:06:21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14:06:42</v>
      </c>
      <c r="AL35" t="str">
        <v>14:06:42</v>
      </c>
      <c r="AM35" t="str">
        <v/>
      </c>
    </row>
    <row r="36">
      <c r="A36">
        <v>35</v>
      </c>
      <c r="B36" t="str">
        <v>MASS BSF</v>
      </c>
      <c r="C36" t="str">
        <v>CKL-718</v>
      </c>
      <c r="D36" t="str">
        <v>CKL-718</v>
      </c>
      <c r="E36" t="str">
        <v/>
      </c>
      <c r="F36" t="str">
        <v>867162029820636</v>
      </c>
      <c r="G36" t="str">
        <v>TBD</v>
      </c>
      <c r="H36" t="str">
        <v/>
      </c>
      <c r="I36" t="str">
        <v/>
      </c>
      <c r="J36" t="str">
        <v>28/09/2026</v>
      </c>
      <c r="K36" t="str">
        <v>14:07:55</v>
      </c>
      <c r="L36">
        <v>-12.209425</v>
      </c>
      <c r="M36">
        <v>-76.97553</v>
      </c>
      <c r="N36">
        <f>HYPERLINK("https://www.google.com/maps/search/?api=1&amp;query=-12.209425,-76.97553","Carretera Panamericana Sur, Chorrillos, Lima")</f>
      </c>
      <c r="O36" t="str">
        <v>Excedió el límite de velocidad</v>
      </c>
      <c r="P36" t="str">
        <v/>
      </c>
      <c r="Q36">
        <v>22659.3</v>
      </c>
      <c r="R36" t="str">
        <v/>
      </c>
      <c r="S36">
        <v>92.2</v>
      </c>
      <c r="T36">
        <v>122.58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28/09/2026</v>
      </c>
      <c r="AD36" t="str">
        <v>14:07:54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14:08:10</v>
      </c>
      <c r="AL36" t="str">
        <v>14:08:10</v>
      </c>
      <c r="AM36" t="str">
        <v/>
      </c>
    </row>
    <row r="37">
      <c r="A37">
        <v>36</v>
      </c>
      <c r="B37" t="str">
        <v>MASS BSF</v>
      </c>
      <c r="C37" t="str">
        <v>CKL-718</v>
      </c>
      <c r="D37" t="str">
        <v>CKL-718</v>
      </c>
      <c r="E37" t="str">
        <v/>
      </c>
      <c r="F37" t="str">
        <v>867162029820636</v>
      </c>
      <c r="G37" t="str">
        <v>TBD</v>
      </c>
      <c r="H37" t="str">
        <v/>
      </c>
      <c r="I37" t="str">
        <v/>
      </c>
      <c r="J37" t="str">
        <v>28/09/2026</v>
      </c>
      <c r="K37" t="str">
        <v>14:08:21</v>
      </c>
      <c r="L37">
        <v>-12.210117</v>
      </c>
      <c r="M37">
        <v>-76.975655</v>
      </c>
      <c r="N37">
        <f>HYPERLINK("https://www.google.com/maps/search/?api=1&amp;query=-12.210117,-76.975655","Carretera Panamericana Sur, Chorrillos, Lima")</f>
      </c>
      <c r="O37" t="str">
        <v>Exceso de velocidad en segmento vial</v>
      </c>
      <c r="P37" t="str">
        <v/>
      </c>
      <c r="Q37">
        <v>22659.9</v>
      </c>
      <c r="R37" t="str">
        <v/>
      </c>
      <c r="S37">
        <v>93</v>
      </c>
      <c r="T37">
        <v>122.58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28/09/2026</v>
      </c>
      <c r="AD37" t="str">
        <v>14:07:57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14:08:36</v>
      </c>
      <c r="AL37" t="str">
        <v>14:08:36</v>
      </c>
      <c r="AM37" t="str">
        <v/>
      </c>
    </row>
    <row r="38">
      <c r="A38">
        <v>37</v>
      </c>
      <c r="B38" t="str">
        <v>MASS BSF</v>
      </c>
      <c r="C38" t="str">
        <v>CKL-718</v>
      </c>
      <c r="D38" t="str">
        <v>CKL-718</v>
      </c>
      <c r="E38" t="str">
        <v/>
      </c>
      <c r="F38" t="str">
        <v>867162029820636</v>
      </c>
      <c r="G38" t="str">
        <v>TBD</v>
      </c>
      <c r="H38" t="str">
        <v/>
      </c>
      <c r="I38" t="str">
        <v/>
      </c>
      <c r="J38" t="str">
        <v>28/09/2026</v>
      </c>
      <c r="K38" t="str">
        <v>14:08:49</v>
      </c>
      <c r="L38">
        <v>-12.220724</v>
      </c>
      <c r="M38">
        <v>-76.97626</v>
      </c>
      <c r="N38">
        <f>HYPERLINK("https://www.google.com/maps/search/?api=1&amp;query=-12.220724,-76.97626","Carretera Panamericana Sur, Chorrillos, Lima")</f>
      </c>
      <c r="O38" t="str">
        <v>Excedió el límite de velocidad</v>
      </c>
      <c r="P38" t="str">
        <v/>
      </c>
      <c r="Q38">
        <v>22660.6</v>
      </c>
      <c r="R38" t="str">
        <v/>
      </c>
      <c r="S38">
        <v>81.1</v>
      </c>
      <c r="T38">
        <v>122.58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28/09/2026</v>
      </c>
      <c r="AD38" t="str">
        <v>14:08:48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14:09:02</v>
      </c>
      <c r="AL38" t="str">
        <v>14:09:02</v>
      </c>
      <c r="AM38" t="str">
        <v/>
      </c>
    </row>
    <row r="39">
      <c r="A39">
        <v>38</v>
      </c>
      <c r="B39" t="str">
        <v>MASS BSF</v>
      </c>
      <c r="C39" t="str">
        <v>CKL-718</v>
      </c>
      <c r="D39" t="str">
        <v>CKL-718</v>
      </c>
      <c r="E39" t="str">
        <v/>
      </c>
      <c r="F39" t="str">
        <v>867162029820636</v>
      </c>
      <c r="G39" t="str">
        <v>TBD</v>
      </c>
      <c r="H39" t="str">
        <v/>
      </c>
      <c r="I39" t="str">
        <v/>
      </c>
      <c r="J39" t="str">
        <v>28/09/2026</v>
      </c>
      <c r="K39" t="str">
        <v>14:09:16</v>
      </c>
      <c r="L39">
        <v>-12.224543</v>
      </c>
      <c r="M39">
        <v>-76.972664</v>
      </c>
      <c r="N39">
        <f>HYPERLINK("https://www.google.com/maps/search/?api=1&amp;query=-12.224543,-76.972664","Carretera Panamericana Sur, Chorrillos, Lima")</f>
      </c>
      <c r="O39" t="str">
        <v>Excedió el límite de velocidad</v>
      </c>
      <c r="P39" t="str">
        <v/>
      </c>
      <c r="Q39">
        <v>22661.2</v>
      </c>
      <c r="R39" t="str">
        <v/>
      </c>
      <c r="S39">
        <v>81.8</v>
      </c>
      <c r="T39">
        <v>122.58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28/09/2026</v>
      </c>
      <c r="AD39" t="str">
        <v>14:09:15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14:09:27</v>
      </c>
      <c r="AL39" t="str">
        <v>14:09:27</v>
      </c>
      <c r="AM39" t="str">
        <v/>
      </c>
    </row>
    <row r="40">
      <c r="A40">
        <v>39</v>
      </c>
      <c r="B40" t="str">
        <v>MASS BSF</v>
      </c>
      <c r="C40" t="str">
        <v>CKL-718</v>
      </c>
      <c r="D40" t="str">
        <v>CKL-718</v>
      </c>
      <c r="E40" t="str">
        <v/>
      </c>
      <c r="F40" t="str">
        <v>867162029820636</v>
      </c>
      <c r="G40" t="str">
        <v>TBD</v>
      </c>
      <c r="H40" t="str">
        <v/>
      </c>
      <c r="I40" t="str">
        <v/>
      </c>
      <c r="J40" t="str">
        <v>28/09/2026</v>
      </c>
      <c r="K40" t="str">
        <v>14:10:10</v>
      </c>
      <c r="L40">
        <v>-12.230251</v>
      </c>
      <c r="M40">
        <v>-76.967026</v>
      </c>
      <c r="N40">
        <f>HYPERLINK("https://www.google.com/maps/search/?api=1&amp;query=-12.230251,-76.967026","Carretera Panamericana Sur, Villa El Salvador, Lima")</f>
      </c>
      <c r="O40" t="str">
        <v>Excedió el límite de velocidad</v>
      </c>
      <c r="P40" t="str">
        <v/>
      </c>
      <c r="Q40">
        <v>22662.1</v>
      </c>
      <c r="R40" t="str">
        <v/>
      </c>
      <c r="S40">
        <v>90.8</v>
      </c>
      <c r="T40">
        <v>122.58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28/09/2026</v>
      </c>
      <c r="AD40" t="str">
        <v>14:10:09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14:10:26</v>
      </c>
      <c r="AL40" t="str">
        <v>14:10:26</v>
      </c>
      <c r="AM40" t="str">
        <v/>
      </c>
    </row>
    <row r="41">
      <c r="A41">
        <v>40</v>
      </c>
      <c r="B41" t="str">
        <v>MASS BSF</v>
      </c>
      <c r="C41" t="str">
        <v>CKL-718</v>
      </c>
      <c r="D41" t="str">
        <v>CKL-718</v>
      </c>
      <c r="E41" t="str">
        <v/>
      </c>
      <c r="F41" t="str">
        <v>867162029820636</v>
      </c>
      <c r="G41" t="str">
        <v>TBD</v>
      </c>
      <c r="H41" t="str">
        <v/>
      </c>
      <c r="I41" t="str">
        <v/>
      </c>
      <c r="J41" t="str">
        <v>28/09/2026</v>
      </c>
      <c r="K41" t="str">
        <v>14:13:28</v>
      </c>
      <c r="L41">
        <v>-12.252819</v>
      </c>
      <c r="M41">
        <v>-76.92737</v>
      </c>
      <c r="N41">
        <f>HYPERLINK("https://www.google.com/maps/search/?api=1&amp;query=-12.252819,-76.92737","Carretera Panamericana Sur, Lurín, Lima")</f>
      </c>
      <c r="O41" t="str">
        <v>Excedió el límite de velocidad</v>
      </c>
      <c r="P41" t="str">
        <v/>
      </c>
      <c r="Q41">
        <v>22667.1</v>
      </c>
      <c r="R41" t="str">
        <v/>
      </c>
      <c r="S41">
        <v>86.3</v>
      </c>
      <c r="T41">
        <v>122.58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28/09/2026</v>
      </c>
      <c r="AD41" t="str">
        <v>14:13:27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14:13:39</v>
      </c>
      <c r="AL41" t="str">
        <v>14:13:39</v>
      </c>
      <c r="AM41" t="str">
        <v/>
      </c>
    </row>
    <row r="42">
      <c r="A42">
        <v>41</v>
      </c>
      <c r="B42" t="str">
        <v>MASS BSF</v>
      </c>
      <c r="C42" t="str">
        <v>CKL-718</v>
      </c>
      <c r="D42" t="str">
        <v>CKL-718</v>
      </c>
      <c r="E42" t="str">
        <v/>
      </c>
      <c r="F42" t="str">
        <v>867162029820636</v>
      </c>
      <c r="G42" t="str">
        <v>TBD</v>
      </c>
      <c r="H42" t="str">
        <v/>
      </c>
      <c r="I42" t="str">
        <v/>
      </c>
      <c r="J42" t="str">
        <v>28/09/2026</v>
      </c>
      <c r="K42" t="str">
        <v>14:14:34</v>
      </c>
      <c r="L42">
        <v>-12.260087</v>
      </c>
      <c r="M42">
        <v>-76.91534</v>
      </c>
      <c r="N42">
        <f>HYPERLINK("https://www.google.com/maps/search/?api=1&amp;query=-12.260087,-76.91534","Carretera Panamericana Sur, Lurín, Lima")</f>
      </c>
      <c r="O42" t="str">
        <v>Excedió el límite de velocidad</v>
      </c>
      <c r="P42" t="str">
        <v/>
      </c>
      <c r="Q42">
        <v>22668.6</v>
      </c>
      <c r="R42" t="str">
        <v/>
      </c>
      <c r="S42">
        <v>84.7</v>
      </c>
      <c r="T42">
        <v>122.58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100</v>
      </c>
      <c r="AC42" t="str">
        <v>28/09/2026</v>
      </c>
      <c r="AD42" t="str">
        <v>14:14:33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14:14:52</v>
      </c>
      <c r="AL42" t="str">
        <v>14:14:52</v>
      </c>
      <c r="AM42" t="str">
        <v/>
      </c>
    </row>
    <row r="43">
      <c r="A43">
        <v>42</v>
      </c>
      <c r="B43" t="str">
        <v>MASS BSF</v>
      </c>
      <c r="C43" t="str">
        <v>CKL-718</v>
      </c>
      <c r="D43" t="str">
        <v>CKL-718</v>
      </c>
      <c r="E43" t="str">
        <v/>
      </c>
      <c r="F43" t="str">
        <v>867162029820636</v>
      </c>
      <c r="G43" t="str">
        <v>TBD</v>
      </c>
      <c r="H43" t="str">
        <v/>
      </c>
      <c r="I43" t="str">
        <v/>
      </c>
      <c r="J43" t="str">
        <v>28/09/2026</v>
      </c>
      <c r="K43" t="str">
        <v>14:15:46</v>
      </c>
      <c r="L43">
        <v>-12.268191</v>
      </c>
      <c r="M43">
        <v>-76.90248</v>
      </c>
      <c r="N43">
        <f>HYPERLINK("https://www.google.com/maps/search/?api=1&amp;query=-12.268191,-76.90248","Carretera Panamericana Sur, Lurín, Lima")</f>
      </c>
      <c r="O43" t="str">
        <v>Excedió el límite de velocidad</v>
      </c>
      <c r="P43" t="str">
        <v/>
      </c>
      <c r="Q43">
        <v>22670.3</v>
      </c>
      <c r="R43" t="str">
        <v/>
      </c>
      <c r="S43">
        <v>83.7</v>
      </c>
      <c r="T43">
        <v>122.58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28/09/2026</v>
      </c>
      <c r="AD43" t="str">
        <v>14:15:45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14:15:57</v>
      </c>
      <c r="AL43" t="str">
        <v>14:15:57</v>
      </c>
      <c r="AM43" t="str">
        <v/>
      </c>
    </row>
    <row r="44">
      <c r="A44">
        <v>43</v>
      </c>
      <c r="B44" t="str">
        <v>MASS BSF</v>
      </c>
      <c r="C44" t="str">
        <v>CKL-718</v>
      </c>
      <c r="D44" t="str">
        <v>CKL-718</v>
      </c>
      <c r="E44" t="str">
        <v/>
      </c>
      <c r="F44" t="str">
        <v>867162029820636</v>
      </c>
      <c r="G44" t="str">
        <v>TBD</v>
      </c>
      <c r="H44" t="str">
        <v/>
      </c>
      <c r="I44" t="str">
        <v/>
      </c>
      <c r="J44" t="str">
        <v>28/09/2026</v>
      </c>
      <c r="K44" t="str">
        <v>14:16:13</v>
      </c>
      <c r="L44">
        <v>-12.271171</v>
      </c>
      <c r="M44">
        <v>-76.89778</v>
      </c>
      <c r="N44">
        <f>HYPERLINK("https://www.google.com/maps/search/?api=1&amp;query=-12.271171,-76.89778","Carretera Panamericana Sur, Lurín, Lima")</f>
      </c>
      <c r="O44" t="str">
        <v>Excedió el límite de velocidad</v>
      </c>
      <c r="P44" t="str">
        <v/>
      </c>
      <c r="Q44">
        <v>22670.9</v>
      </c>
      <c r="R44" t="str">
        <v/>
      </c>
      <c r="S44">
        <v>89</v>
      </c>
      <c r="T44">
        <v>122.58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100</v>
      </c>
      <c r="AC44" t="str">
        <v>28/09/2026</v>
      </c>
      <c r="AD44" t="str">
        <v>14:16:12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14:16:27</v>
      </c>
      <c r="AL44" t="str">
        <v>14:16:27</v>
      </c>
      <c r="AM44" t="str">
        <v/>
      </c>
    </row>
    <row r="45">
      <c r="A45">
        <v>44</v>
      </c>
      <c r="B45" t="str">
        <v>MASS BSF</v>
      </c>
      <c r="C45" t="str">
        <v>CKL-718</v>
      </c>
      <c r="D45" t="str">
        <v>CKL-718</v>
      </c>
      <c r="E45" t="str">
        <v/>
      </c>
      <c r="F45" t="str">
        <v>867162029820636</v>
      </c>
      <c r="G45" t="str">
        <v>TBD</v>
      </c>
      <c r="H45" t="str">
        <v/>
      </c>
      <c r="I45" t="str">
        <v/>
      </c>
      <c r="J45" t="str">
        <v>28/09/2026</v>
      </c>
      <c r="K45" t="str">
        <v>14:18:49</v>
      </c>
      <c r="L45">
        <v>-12.290735</v>
      </c>
      <c r="M45">
        <v>-76.866554</v>
      </c>
      <c r="N45">
        <f>HYPERLINK("https://www.google.com/maps/search/?api=1&amp;query=-12.290735,-76.866554","Carretera Panamericana Sur, Lurín, Lima")</f>
      </c>
      <c r="O45" t="str">
        <v>Excedió el límite de velocidad</v>
      </c>
      <c r="P45" t="str">
        <v/>
      </c>
      <c r="Q45">
        <v>22674.9</v>
      </c>
      <c r="R45" t="str">
        <v/>
      </c>
      <c r="S45">
        <v>81</v>
      </c>
      <c r="T45">
        <v>122.58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100</v>
      </c>
      <c r="AC45" t="str">
        <v>28/09/2026</v>
      </c>
      <c r="AD45" t="str">
        <v>14:18:48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28/09/2026 14:19:21</v>
      </c>
      <c r="AL45" t="str">
        <v>14:19:21</v>
      </c>
      <c r="AM45" t="str">
        <v/>
      </c>
    </row>
    <row r="46">
      <c r="A46">
        <v>45</v>
      </c>
      <c r="B46" t="str">
        <v>MASS BSF</v>
      </c>
      <c r="C46" t="str">
        <v>CKL-718</v>
      </c>
      <c r="D46" t="str">
        <v>CKL-718</v>
      </c>
      <c r="E46" t="str">
        <v/>
      </c>
      <c r="F46" t="str">
        <v>867162029820636</v>
      </c>
      <c r="G46" t="str">
        <v>TBD</v>
      </c>
      <c r="H46" t="str">
        <v/>
      </c>
      <c r="I46" t="str">
        <v/>
      </c>
      <c r="J46" t="str">
        <v>28/09/2026</v>
      </c>
      <c r="K46" t="str">
        <v>14:19:13</v>
      </c>
      <c r="L46">
        <v>-12.293389</v>
      </c>
      <c r="M46">
        <v>-76.86236</v>
      </c>
      <c r="N46">
        <f>HYPERLINK("https://www.google.com/maps/search/?api=1&amp;query=-12.293389,-76.86236","Carretera Panamericana Sur, Lurín, Lima")</f>
      </c>
      <c r="O46" t="str">
        <v>Excedió el límite de velocidad</v>
      </c>
      <c r="P46" t="str">
        <v/>
      </c>
      <c r="Q46">
        <v>22675.5</v>
      </c>
      <c r="R46" t="str">
        <v/>
      </c>
      <c r="S46">
        <v>85.8</v>
      </c>
      <c r="T46">
        <v>122.58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28/09/2026</v>
      </c>
      <c r="AD46" t="str">
        <v>14:19:12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28/09/2026 14:19:34</v>
      </c>
      <c r="AL46" t="str">
        <v>14:19:34</v>
      </c>
      <c r="AM46" t="str">
        <v/>
      </c>
    </row>
    <row r="47">
      <c r="A47">
        <v>46</v>
      </c>
      <c r="B47" t="str">
        <v>MASS BSF</v>
      </c>
      <c r="C47" t="str">
        <v>CKL-718</v>
      </c>
      <c r="D47" t="str">
        <v>CKL-718</v>
      </c>
      <c r="E47" t="str">
        <v/>
      </c>
      <c r="F47" t="str">
        <v>867162029820636</v>
      </c>
      <c r="G47" t="str">
        <v>TBD</v>
      </c>
      <c r="H47" t="str">
        <v/>
      </c>
      <c r="I47" t="str">
        <v/>
      </c>
      <c r="J47" t="str">
        <v>28/09/2026</v>
      </c>
      <c r="K47" t="str">
        <v>14:21:55</v>
      </c>
      <c r="L47">
        <v>-12.312898</v>
      </c>
      <c r="M47">
        <v>-76.833664</v>
      </c>
      <c r="N47">
        <f>HYPERLINK("https://www.google.com/maps/search/?api=1&amp;query=-12.312898,-76.833664","Carretera Panamericana Sur, Punta Hermosa, Lima")</f>
      </c>
      <c r="O47" t="str">
        <v>Excedió el límite de velocidad</v>
      </c>
      <c r="P47" t="str">
        <v/>
      </c>
      <c r="Q47">
        <v>22679.4</v>
      </c>
      <c r="R47" t="str">
        <v/>
      </c>
      <c r="S47">
        <v>88.9</v>
      </c>
      <c r="T47">
        <v>122.58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100</v>
      </c>
      <c r="AC47" t="str">
        <v>28/09/2026</v>
      </c>
      <c r="AD47" t="str">
        <v>14:21:54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28/09/2026 14:22:10</v>
      </c>
      <c r="AL47" t="str">
        <v>14:22:10</v>
      </c>
      <c r="AM47" t="str">
        <v/>
      </c>
    </row>
    <row r="48">
      <c r="A48">
        <v>47</v>
      </c>
      <c r="B48" t="str">
        <v>MASS BSF</v>
      </c>
      <c r="C48" t="str">
        <v>CKL-718</v>
      </c>
      <c r="D48" t="str">
        <v>CKL-718</v>
      </c>
      <c r="E48" t="str">
        <v/>
      </c>
      <c r="F48" t="str">
        <v>867162029820636</v>
      </c>
      <c r="G48" t="str">
        <v>TBD</v>
      </c>
      <c r="H48" t="str">
        <v/>
      </c>
      <c r="I48" t="str">
        <v/>
      </c>
      <c r="J48" t="str">
        <v>28/09/2026</v>
      </c>
      <c r="K48" t="str">
        <v>14:22:22</v>
      </c>
      <c r="L48">
        <v>-12.313457</v>
      </c>
      <c r="M48">
        <v>-76.83329</v>
      </c>
      <c r="N48">
        <f>HYPERLINK("https://www.google.com/maps/search/?api=1&amp;query=-12.313457,-76.83329","Carretera Panamericana Sur, Punta Hermosa, Lima")</f>
      </c>
      <c r="O48" t="str">
        <v>Exceso de velocidad en segmento vial</v>
      </c>
      <c r="P48" t="str">
        <v/>
      </c>
      <c r="Q48">
        <v>22680</v>
      </c>
      <c r="R48" t="str">
        <v/>
      </c>
      <c r="S48">
        <v>87</v>
      </c>
      <c r="T48">
        <v>122.58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28/09/2026</v>
      </c>
      <c r="AD48" t="str">
        <v>14:21:57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28/09/2026 14:22:47</v>
      </c>
      <c r="AL48" t="str">
        <v>14:22:47</v>
      </c>
      <c r="AM48" t="str">
        <v/>
      </c>
    </row>
    <row r="49">
      <c r="A49">
        <v>48</v>
      </c>
      <c r="B49" t="str">
        <v>MASS BSF</v>
      </c>
      <c r="C49" t="str">
        <v>CKL-718</v>
      </c>
      <c r="D49" t="str">
        <v>CKL-718</v>
      </c>
      <c r="E49" t="str">
        <v/>
      </c>
      <c r="F49" t="str">
        <v>867162029820636</v>
      </c>
      <c r="G49" t="str">
        <v>TBD</v>
      </c>
      <c r="H49" t="str">
        <v/>
      </c>
      <c r="I49" t="str">
        <v/>
      </c>
      <c r="J49" t="str">
        <v>28/09/2026</v>
      </c>
      <c r="K49" t="str">
        <v>14:23:22</v>
      </c>
      <c r="L49">
        <v>-12.3245</v>
      </c>
      <c r="M49">
        <v>-76.82593</v>
      </c>
      <c r="N49">
        <f>HYPERLINK("https://www.google.com/maps/search/?api=1&amp;query=-12.3245,-76.82593","Carretera Panamericana Sur, Punta Hermosa, Lima")</f>
      </c>
      <c r="O49" t="str">
        <v>Exceso de velocidad en segmento vial</v>
      </c>
      <c r="P49" t="str">
        <v/>
      </c>
      <c r="Q49">
        <v>22681.6</v>
      </c>
      <c r="R49" t="str">
        <v/>
      </c>
      <c r="S49">
        <v>96.6</v>
      </c>
      <c r="T49">
        <v>122.58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28/09/2026</v>
      </c>
      <c r="AD49" t="str">
        <v>14:22:57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28/09/2026 14:23:36</v>
      </c>
      <c r="AL49" t="str">
        <v>14:23:36</v>
      </c>
      <c r="AM49" t="str">
        <v/>
      </c>
    </row>
    <row r="50">
      <c r="A50">
        <v>49</v>
      </c>
      <c r="B50" t="str">
        <v>MASS BSF</v>
      </c>
      <c r="C50" t="str">
        <v>CKL-718</v>
      </c>
      <c r="D50" t="str">
        <v>CKL-718</v>
      </c>
      <c r="E50" t="str">
        <v/>
      </c>
      <c r="F50" t="str">
        <v>867162029820636</v>
      </c>
      <c r="G50" t="str">
        <v>TBD</v>
      </c>
      <c r="H50" t="str">
        <v/>
      </c>
      <c r="I50" t="str">
        <v/>
      </c>
      <c r="J50" t="str">
        <v>28/09/2026</v>
      </c>
      <c r="K50" t="str">
        <v>14:26:55</v>
      </c>
      <c r="L50">
        <v>-12.320729</v>
      </c>
      <c r="M50">
        <v>-76.82833</v>
      </c>
      <c r="N50">
        <f>HYPERLINK("https://www.google.com/maps/search/?api=1&amp;query=-12.320729,-76.82833","Carretera Panamericana Sur, Punta Hermosa, Lima")</f>
      </c>
      <c r="O50" t="str">
        <v>Excedió el límite de velocidad</v>
      </c>
      <c r="P50" t="str">
        <v/>
      </c>
      <c r="Q50">
        <v>22684.5</v>
      </c>
      <c r="R50" t="str">
        <v/>
      </c>
      <c r="S50">
        <v>82.2</v>
      </c>
      <c r="T50">
        <v>122.58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28/09/2026</v>
      </c>
      <c r="AD50" t="str">
        <v>14:26:54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28/09/2026 14:27:29</v>
      </c>
      <c r="AL50" t="str">
        <v>14:27:29</v>
      </c>
      <c r="AM50" t="str">
        <v/>
      </c>
    </row>
    <row r="51">
      <c r="A51">
        <v>50</v>
      </c>
      <c r="B51" t="str">
        <v>MASS BSF</v>
      </c>
      <c r="C51" t="str">
        <v>CKL-718</v>
      </c>
      <c r="D51" t="str">
        <v>CKL-718</v>
      </c>
      <c r="E51" t="str">
        <v/>
      </c>
      <c r="F51" t="str">
        <v>867162029820636</v>
      </c>
      <c r="G51" t="str">
        <v>TBD</v>
      </c>
      <c r="H51" t="str">
        <v/>
      </c>
      <c r="I51" t="str">
        <v xml:space="preserve"> </v>
      </c>
      <c r="J51" t="str">
        <v>28/09/2026</v>
      </c>
      <c r="K51" t="str">
        <v>14:27:28</v>
      </c>
      <c r="L51">
        <v>-12.317606</v>
      </c>
      <c r="M51">
        <v>-76.82964</v>
      </c>
      <c r="N51">
        <f>HYPERLINK("https://www.google.com/maps/search/?api=1&amp;query=-12.317606,-76.82964","Punta Hermosa, Lima")</f>
      </c>
      <c r="O51" t="str">
        <v>Llegó a la zona</v>
      </c>
      <c r="P51" t="str">
        <v/>
      </c>
      <c r="Q51">
        <v>22684.6</v>
      </c>
      <c r="R51" t="str">
        <v>MASS BSF 1</v>
      </c>
      <c r="S51">
        <v>11.2</v>
      </c>
      <c r="T51">
        <v>122.58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28/09/2026</v>
      </c>
      <c r="AD51" t="str">
        <v>14:27:27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28/09/2026 14:27:40</v>
      </c>
      <c r="AL51" t="str">
        <v>14:27:40</v>
      </c>
      <c r="AM51" t="str">
        <v/>
      </c>
    </row>
    <row r="52">
      <c r="A52">
        <v>51</v>
      </c>
      <c r="B52" t="str">
        <v>MASS BSF</v>
      </c>
      <c r="C52" t="str">
        <v>CKL-718</v>
      </c>
      <c r="D52" t="str">
        <v>CKL-718</v>
      </c>
      <c r="E52" t="str">
        <v/>
      </c>
      <c r="F52" t="str">
        <v>867162029820636</v>
      </c>
      <c r="G52" t="str">
        <v>TBD</v>
      </c>
      <c r="H52" t="str">
        <v/>
      </c>
      <c r="I52" t="str">
        <v/>
      </c>
      <c r="J52" t="str">
        <v>28/09/2026</v>
      </c>
      <c r="K52" t="str">
        <v>14:33:36</v>
      </c>
      <c r="L52">
        <v>-12.317387</v>
      </c>
      <c r="M52">
        <v>-76.822914</v>
      </c>
      <c r="N52">
        <f>HYPERLINK("https://www.google.com/maps/search/?api=1&amp;query=-12.317387,-76.822914","Punta Hermosa, Lima")</f>
      </c>
      <c r="O52" t="str">
        <v>Vehículo apagado</v>
      </c>
      <c r="P52" t="str">
        <v>Vehículo Apagado</v>
      </c>
      <c r="Q52">
        <v>22685.9</v>
      </c>
      <c r="R52" t="str">
        <v/>
      </c>
      <c r="S52">
        <v>0</v>
      </c>
      <c r="T52">
        <v>123.3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28/09/2026</v>
      </c>
      <c r="AD52" t="str">
        <v>14:33:38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28/09/2026 14:33:54</v>
      </c>
      <c r="AL52" t="str">
        <v>14:33:54</v>
      </c>
      <c r="AM52" t="str">
        <v/>
      </c>
    </row>
    <row r="53">
      <c r="A53">
        <v>52</v>
      </c>
      <c r="B53" t="str">
        <v>MASS BSF</v>
      </c>
      <c r="C53" t="str">
        <v>CKL-718</v>
      </c>
      <c r="D53" t="str">
        <v>CKL-718</v>
      </c>
      <c r="E53" t="str">
        <v/>
      </c>
      <c r="F53" t="str">
        <v>867162029820636</v>
      </c>
      <c r="G53" t="str">
        <v>TBD</v>
      </c>
      <c r="H53" t="str">
        <v/>
      </c>
      <c r="I53" t="str">
        <v/>
      </c>
      <c r="J53" t="str">
        <v>28/09/2026</v>
      </c>
      <c r="K53" t="str">
        <v>14:45:52</v>
      </c>
      <c r="L53">
        <v>-12.317387</v>
      </c>
      <c r="M53">
        <v>-76.822914</v>
      </c>
      <c r="N53">
        <f>HYPERLINK("https://www.google.com/maps/search/?api=1&amp;query=-12.317387,-76.822914","Punta Hermosa, Lima")</f>
      </c>
      <c r="O53" t="str">
        <v>Vehículo encendido</v>
      </c>
      <c r="P53" t="str">
        <v/>
      </c>
      <c r="Q53">
        <v>22685.9</v>
      </c>
      <c r="R53" t="str">
        <v/>
      </c>
      <c r="S53">
        <v>0</v>
      </c>
      <c r="T53">
        <v>123.3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100</v>
      </c>
      <c r="AC53" t="str">
        <v>28/09/2026</v>
      </c>
      <c r="AD53" t="str">
        <v>14:33:38</v>
      </c>
      <c r="AE53">
        <f>IF("NOGPS"="NOGPS","GPS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28/09/2026 14:46:09</v>
      </c>
      <c r="AL53" t="str">
        <v>14:46:09</v>
      </c>
      <c r="AM53" t="str">
        <v/>
      </c>
    </row>
    <row r="54">
      <c r="A54">
        <v>53</v>
      </c>
      <c r="B54" t="str">
        <v>MASS BSF</v>
      </c>
      <c r="C54" t="str">
        <v>CKL-718</v>
      </c>
      <c r="D54" t="str">
        <v>CKL-718</v>
      </c>
      <c r="E54" t="str">
        <v/>
      </c>
      <c r="F54" t="str">
        <v>867162029820636</v>
      </c>
      <c r="G54" t="str">
        <v>TBD</v>
      </c>
      <c r="H54" t="str">
        <v/>
      </c>
      <c r="I54" t="str">
        <v/>
      </c>
      <c r="J54" t="str">
        <v>28/09/2026</v>
      </c>
      <c r="K54" t="str">
        <v>14:47:14</v>
      </c>
      <c r="L54">
        <v>-12.318433</v>
      </c>
      <c r="M54">
        <v>-76.82405</v>
      </c>
      <c r="N54">
        <f>HYPERLINK("https://www.google.com/maps/search/?api=1&amp;query=-12.318433,-76.82405","Punta Hermosa, Lima")</f>
      </c>
      <c r="O54" t="str">
        <v>Vehículo apagado</v>
      </c>
      <c r="P54" t="str">
        <v>Vehículo Apagado</v>
      </c>
      <c r="Q54">
        <v>22686.1</v>
      </c>
      <c r="R54" t="str">
        <v/>
      </c>
      <c r="S54">
        <v>0</v>
      </c>
      <c r="T54">
        <v>123.32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100</v>
      </c>
      <c r="AC54" t="str">
        <v>28/09/2026</v>
      </c>
      <c r="AD54" t="str">
        <v>14:47:18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28/09/2026 14:47:46</v>
      </c>
      <c r="AL54" t="str">
        <v>14:47:46</v>
      </c>
      <c r="AM54" t="str">
        <v/>
      </c>
    </row>
    <row r="55">
      <c r="A55">
        <v>54</v>
      </c>
      <c r="B55" t="str">
        <v>MASS BSF</v>
      </c>
      <c r="C55" t="str">
        <v>CKL-718</v>
      </c>
      <c r="D55" t="str">
        <v>CKL-718</v>
      </c>
      <c r="E55" t="str">
        <v/>
      </c>
      <c r="F55" t="str">
        <v>867162029820636</v>
      </c>
      <c r="G55" t="str">
        <v>TBD</v>
      </c>
      <c r="H55" t="str">
        <v/>
      </c>
      <c r="I55" t="str">
        <v/>
      </c>
      <c r="J55" t="str">
        <v>28/09/2026</v>
      </c>
      <c r="K55" t="str">
        <v>15:41:34</v>
      </c>
      <c r="L55">
        <v>-12.318433</v>
      </c>
      <c r="M55">
        <v>-76.82405</v>
      </c>
      <c r="N55">
        <f>HYPERLINK("https://www.google.com/maps/search/?api=1&amp;query=-12.318433,-76.82405","Punta Hermosa, Lima")</f>
      </c>
      <c r="O55" t="str">
        <v>Vehículo encendido</v>
      </c>
      <c r="P55" t="str">
        <v/>
      </c>
      <c r="Q55">
        <v>22686.1</v>
      </c>
      <c r="R55" t="str">
        <v/>
      </c>
      <c r="S55">
        <v>0</v>
      </c>
      <c r="T55">
        <v>123.32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100</v>
      </c>
      <c r="AC55" t="str">
        <v>28/09/2026</v>
      </c>
      <c r="AD55" t="str">
        <v>15:14:59</v>
      </c>
      <c r="AE55">
        <f>IF("NOGPS"="NOGPS","GPS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28/09/2026 15:41:58</v>
      </c>
      <c r="AL55" t="str">
        <v>15:41:58</v>
      </c>
      <c r="AM55" t="str">
        <v/>
      </c>
    </row>
    <row r="56">
      <c r="A56">
        <v>55</v>
      </c>
      <c r="B56" t="str">
        <v>MASS BSF</v>
      </c>
      <c r="C56" t="str">
        <v>CKL-718</v>
      </c>
      <c r="D56" t="str">
        <v>CKL-718</v>
      </c>
      <c r="E56" t="str">
        <v/>
      </c>
      <c r="F56" t="str">
        <v>867162029820636</v>
      </c>
      <c r="G56" t="str">
        <v>TBD</v>
      </c>
      <c r="H56" t="str">
        <v/>
      </c>
      <c r="I56" t="str">
        <v/>
      </c>
      <c r="J56" t="str">
        <v>28/09/2026</v>
      </c>
      <c r="K56" t="str">
        <v>15:43:32</v>
      </c>
      <c r="L56">
        <v>-12.317977</v>
      </c>
      <c r="M56">
        <v>-76.82426</v>
      </c>
      <c r="N56">
        <f>HYPERLINK("https://www.google.com/maps/search/?api=1&amp;query=-12.317977,-76.82426","Punta Hermosa, Lima")</f>
      </c>
      <c r="O56" t="str">
        <v>Vehículo apagado</v>
      </c>
      <c r="P56" t="str">
        <v>Vehículo Apagado</v>
      </c>
      <c r="Q56">
        <v>22686.2</v>
      </c>
      <c r="R56" t="str">
        <v/>
      </c>
      <c r="S56">
        <v>0</v>
      </c>
      <c r="T56">
        <v>123.35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100</v>
      </c>
      <c r="AC56" t="str">
        <v>28/09/2026</v>
      </c>
      <c r="AD56" t="str">
        <v>15:42:33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28/09/2026 15:43:50</v>
      </c>
      <c r="AL56" t="str">
        <v>15:43:50</v>
      </c>
      <c r="AM56" t="str">
        <v/>
      </c>
    </row>
    <row r="57">
      <c r="A57">
        <v>56</v>
      </c>
      <c r="B57" t="str">
        <v>MASS BSF</v>
      </c>
      <c r="C57" t="str">
        <v>CKL-718</v>
      </c>
      <c r="D57" t="str">
        <v>CKL-718</v>
      </c>
      <c r="E57" t="str">
        <v/>
      </c>
      <c r="F57" t="str">
        <v>867162029820636</v>
      </c>
      <c r="G57" t="str">
        <v>TBD</v>
      </c>
      <c r="H57" t="str">
        <v/>
      </c>
      <c r="I57" t="str">
        <v/>
      </c>
      <c r="J57" t="str">
        <v>28/09/2026</v>
      </c>
      <c r="K57" t="str">
        <v>16:06:55</v>
      </c>
      <c r="L57">
        <v>-12.317977</v>
      </c>
      <c r="M57">
        <v>-76.82426</v>
      </c>
      <c r="N57">
        <f>HYPERLINK("https://www.google.com/maps/search/?api=1&amp;query=-12.317977,-76.82426","Punta Hermosa, Lima")</f>
      </c>
      <c r="O57" t="str">
        <v>Vehículo encendido</v>
      </c>
      <c r="P57" t="str">
        <v/>
      </c>
      <c r="Q57">
        <v>22686.2</v>
      </c>
      <c r="R57" t="str">
        <v/>
      </c>
      <c r="S57">
        <v>0</v>
      </c>
      <c r="T57">
        <v>123.35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28/09/2026</v>
      </c>
      <c r="AD57" t="str">
        <v>15:43:35</v>
      </c>
      <c r="AE57">
        <f>IF("NOGPS"="NOGPS","GPS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28/09/2026 16:07:02</v>
      </c>
      <c r="AL57" t="str">
        <v>16:07:02</v>
      </c>
      <c r="AM57" t="str">
        <v/>
      </c>
    </row>
    <row r="58">
      <c r="A58">
        <v>57</v>
      </c>
      <c r="B58" t="str">
        <v>MASS BSF</v>
      </c>
      <c r="C58" t="str">
        <v>CKL-718</v>
      </c>
      <c r="D58" t="str">
        <v>CKL-718</v>
      </c>
      <c r="E58" t="str">
        <v/>
      </c>
      <c r="F58" t="str">
        <v>867162029820636</v>
      </c>
      <c r="G58" t="str">
        <v>TBD</v>
      </c>
      <c r="H58" t="str">
        <v/>
      </c>
      <c r="I58" t="str">
        <v/>
      </c>
      <c r="J58" t="str">
        <v>28/09/2026</v>
      </c>
      <c r="K58" t="str">
        <v>16:12:40</v>
      </c>
      <c r="L58">
        <v>-12.318105</v>
      </c>
      <c r="M58">
        <v>-76.82422</v>
      </c>
      <c r="N58">
        <f>HYPERLINK("https://www.google.com/maps/search/?api=1&amp;query=-12.318105,-76.82422","Punta Hermosa, Lima")</f>
      </c>
      <c r="O58" t="str">
        <v>Inicio de ralentí</v>
      </c>
      <c r="P58" t="str">
        <v>Vehículo Detenido</v>
      </c>
      <c r="Q58">
        <v>22686.2</v>
      </c>
      <c r="R58" t="str">
        <v/>
      </c>
      <c r="S58">
        <v>0</v>
      </c>
      <c r="T58">
        <v>123.35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100</v>
      </c>
      <c r="AC58" t="str">
        <v>28/09/2026</v>
      </c>
      <c r="AD58" t="str">
        <v>16:11:55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28/09/2026 16:13:05</v>
      </c>
      <c r="AL58" t="str">
        <v>16:13:05</v>
      </c>
      <c r="AM58" t="str">
        <v/>
      </c>
    </row>
    <row r="59">
      <c r="A59">
        <v>58</v>
      </c>
      <c r="B59" t="str">
        <v>MASS BSF</v>
      </c>
      <c r="C59" t="str">
        <v>CKL-718</v>
      </c>
      <c r="D59" t="str">
        <v>CKL-718</v>
      </c>
      <c r="E59" t="str">
        <v/>
      </c>
      <c r="F59" t="str">
        <v>867162029820636</v>
      </c>
      <c r="G59" t="str">
        <v>TBD</v>
      </c>
      <c r="H59" t="str">
        <v/>
      </c>
      <c r="I59" t="str">
        <v/>
      </c>
      <c r="J59" t="str">
        <v>28/09/2026</v>
      </c>
      <c r="K59" t="str">
        <v>16:19:57</v>
      </c>
      <c r="L59">
        <v>-12.318105</v>
      </c>
      <c r="M59">
        <v>-76.82422</v>
      </c>
      <c r="N59">
        <f>HYPERLINK("https://www.google.com/maps/search/?api=1&amp;query=-12.318105,-76.82422","Punta Hermosa, Lima")</f>
      </c>
      <c r="O59" t="str">
        <v>Vehículo apagado</v>
      </c>
      <c r="P59" t="str">
        <v>Vehículo Apagado</v>
      </c>
      <c r="Q59">
        <v>22686.2</v>
      </c>
      <c r="R59" t="str">
        <v/>
      </c>
      <c r="S59">
        <v>0</v>
      </c>
      <c r="T59">
        <v>123.57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100</v>
      </c>
      <c r="AC59" t="str">
        <v>28/09/2026</v>
      </c>
      <c r="AD59" t="str">
        <v>16:20:00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28/09/2026 16:20:21</v>
      </c>
      <c r="AL59" t="str">
        <v>16:20:21</v>
      </c>
      <c r="AM59" t="str">
        <v/>
      </c>
    </row>
    <row r="60">
      <c r="A60">
        <v>59</v>
      </c>
      <c r="B60" t="str">
        <v>MASS BSF</v>
      </c>
      <c r="C60" t="str">
        <v>CKL-718</v>
      </c>
      <c r="D60" t="str">
        <v>CKL-718</v>
      </c>
      <c r="E60" t="str">
        <v/>
      </c>
      <c r="F60" t="str">
        <v>867162029820636</v>
      </c>
      <c r="G60" t="str">
        <v>TBD</v>
      </c>
      <c r="H60" t="str">
        <v/>
      </c>
      <c r="I60" t="str">
        <v/>
      </c>
      <c r="J60" t="str">
        <v>28/09/2026</v>
      </c>
      <c r="K60" t="str">
        <v>16:20:56</v>
      </c>
      <c r="L60">
        <v>-12.318105</v>
      </c>
      <c r="M60">
        <v>-76.82422</v>
      </c>
      <c r="N60">
        <f>HYPERLINK("https://www.google.com/maps/search/?api=1&amp;query=-12.318105,-76.82422","Punta Hermosa, Lima")</f>
      </c>
      <c r="O60" t="str">
        <v>Fin de ralentí</v>
      </c>
      <c r="P60" t="str">
        <v/>
      </c>
      <c r="Q60">
        <v>22686.2</v>
      </c>
      <c r="R60" t="str">
        <v/>
      </c>
      <c r="S60">
        <v>0</v>
      </c>
      <c r="T60">
        <v>123.57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100</v>
      </c>
      <c r="AC60" t="str">
        <v>28/09/2026</v>
      </c>
      <c r="AD60" t="str">
        <v>16:20:00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28/09/2026 16:21:15</v>
      </c>
      <c r="AL60" t="str">
        <v>16:21:15</v>
      </c>
      <c r="AM60" t="str">
        <v/>
      </c>
    </row>
    <row r="61">
      <c r="A61">
        <v>60</v>
      </c>
      <c r="B61" t="str">
        <v>MASS BSF</v>
      </c>
      <c r="C61" t="str">
        <v>CKL-718</v>
      </c>
      <c r="D61" t="str">
        <v>CKL-718</v>
      </c>
      <c r="E61" t="str">
        <v/>
      </c>
      <c r="F61" t="str">
        <v>867162029820636</v>
      </c>
      <c r="G61" t="str">
        <v>TBD</v>
      </c>
      <c r="H61" t="str">
        <v/>
      </c>
      <c r="I61" t="str">
        <v/>
      </c>
      <c r="J61" t="str">
        <v>28/09/2026</v>
      </c>
      <c r="K61" t="str">
        <v>16:29:55</v>
      </c>
      <c r="L61">
        <v>-12.318105</v>
      </c>
      <c r="M61">
        <v>-76.82422</v>
      </c>
      <c r="N61">
        <f>HYPERLINK("https://www.google.com/maps/search/?api=1&amp;query=-12.318105,-76.82422","Punta Hermosa, Lima")</f>
      </c>
      <c r="O61" t="str">
        <v>Vehículo encendido</v>
      </c>
      <c r="P61" t="str">
        <v/>
      </c>
      <c r="Q61">
        <v>22686.2</v>
      </c>
      <c r="R61" t="str">
        <v/>
      </c>
      <c r="S61">
        <v>0</v>
      </c>
      <c r="T61">
        <v>123.57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100</v>
      </c>
      <c r="AC61" t="str">
        <v>28/09/2026</v>
      </c>
      <c r="AD61" t="str">
        <v>16:20:00</v>
      </c>
      <c r="AE61">
        <f>IF("NOGPS"="NOGPS","GPS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28/09/2026 16:30:23</v>
      </c>
      <c r="AL61" t="str">
        <v>16:30:23</v>
      </c>
      <c r="AM61" t="str">
        <v/>
      </c>
    </row>
    <row r="62">
      <c r="A62">
        <v>61</v>
      </c>
      <c r="B62" t="str">
        <v>MASS BSF</v>
      </c>
      <c r="C62" t="str">
        <v>CKL-718</v>
      </c>
      <c r="D62" t="str">
        <v>CKL-718</v>
      </c>
      <c r="E62" t="str">
        <v/>
      </c>
      <c r="F62" t="str">
        <v>867162029820636</v>
      </c>
      <c r="G62" t="str">
        <v>TBD</v>
      </c>
      <c r="H62" t="str">
        <v/>
      </c>
      <c r="I62" t="str">
        <v/>
      </c>
      <c r="J62" t="str">
        <v>28/09/2026</v>
      </c>
      <c r="K62" t="str">
        <v>16:30:03</v>
      </c>
      <c r="L62">
        <v>-12.318145</v>
      </c>
      <c r="M62">
        <v>-76.82419</v>
      </c>
      <c r="N62">
        <f>HYPERLINK("https://www.google.com/maps/search/?api=1&amp;query=-12.318145,-76.82419","Punta Hermosa, Lima")</f>
      </c>
      <c r="O62" t="str">
        <v>Vehículo apagado</v>
      </c>
      <c r="P62" t="str">
        <v>Vehículo Apagado</v>
      </c>
      <c r="Q62">
        <v>22686.2</v>
      </c>
      <c r="R62" t="str">
        <v/>
      </c>
      <c r="S62">
        <v>0</v>
      </c>
      <c r="T62">
        <v>123.57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100</v>
      </c>
      <c r="AC62" t="str">
        <v>28/09/2026</v>
      </c>
      <c r="AD62" t="str">
        <v>16:30:06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28/09/2026 16:30:23</v>
      </c>
      <c r="AL62" t="str">
        <v>16:30:23</v>
      </c>
      <c r="AM62" t="str">
        <v/>
      </c>
    </row>
    <row r="63">
      <c r="A63">
        <v>62</v>
      </c>
      <c r="B63" t="str">
        <v>MASS BSF</v>
      </c>
      <c r="C63" t="str">
        <v>CKL-718</v>
      </c>
      <c r="D63" t="str">
        <v>CKL-718</v>
      </c>
      <c r="E63" t="str">
        <v/>
      </c>
      <c r="F63" t="str">
        <v>867162029820636</v>
      </c>
      <c r="G63" t="str">
        <v>TBD</v>
      </c>
      <c r="H63" t="str">
        <v/>
      </c>
      <c r="I63" t="str">
        <v/>
      </c>
      <c r="J63" t="str">
        <v>28/09/2026</v>
      </c>
      <c r="K63" t="str">
        <v>16:39:28</v>
      </c>
      <c r="L63">
        <v>-12.318145</v>
      </c>
      <c r="M63">
        <v>-76.82419</v>
      </c>
      <c r="N63">
        <f>HYPERLINK("https://www.google.com/maps/search/?api=1&amp;query=-12.318145,-76.82419","Punta Hermosa, Lima")</f>
      </c>
      <c r="O63" t="str">
        <v>Vehículo encendido</v>
      </c>
      <c r="P63" t="str">
        <v/>
      </c>
      <c r="Q63">
        <v>22686.2</v>
      </c>
      <c r="R63" t="str">
        <v/>
      </c>
      <c r="S63">
        <v>0</v>
      </c>
      <c r="T63">
        <v>123.57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100</v>
      </c>
      <c r="AC63" t="str">
        <v>28/09/2026</v>
      </c>
      <c r="AD63" t="str">
        <v>16:30:06</v>
      </c>
      <c r="AE63">
        <f>IF("NOGPS"="NOGPS","GPS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28/09/2026 16:39:38</v>
      </c>
      <c r="AL63" t="str">
        <v>16:39:38</v>
      </c>
      <c r="AM63" t="str">
        <v/>
      </c>
    </row>
    <row r="64">
      <c r="A64">
        <v>63</v>
      </c>
      <c r="B64" t="str">
        <v>MASS BSF</v>
      </c>
      <c r="C64" t="str">
        <v>CKL-718</v>
      </c>
      <c r="D64" t="str">
        <v>CKL-718</v>
      </c>
      <c r="E64" t="str">
        <v/>
      </c>
      <c r="F64" t="str">
        <v>867162029820636</v>
      </c>
      <c r="G64" t="str">
        <v>TBD</v>
      </c>
      <c r="H64" t="str">
        <v/>
      </c>
      <c r="I64" t="str">
        <v/>
      </c>
      <c r="J64" t="str">
        <v>28/09/2026</v>
      </c>
      <c r="K64" t="str">
        <v>16:46:56</v>
      </c>
      <c r="L64">
        <v>-12.317966</v>
      </c>
      <c r="M64">
        <v>-76.82428</v>
      </c>
      <c r="N64">
        <f>HYPERLINK("https://www.google.com/maps/search/?api=1&amp;query=-12.317966,-76.82428","Punta Hermosa, Lima")</f>
      </c>
      <c r="O64" t="str">
        <v>Vehículo apagado</v>
      </c>
      <c r="P64" t="str">
        <v>Vehículo Apagado</v>
      </c>
      <c r="Q64">
        <v>22686.2</v>
      </c>
      <c r="R64" t="str">
        <v/>
      </c>
      <c r="S64">
        <v>0</v>
      </c>
      <c r="T64">
        <v>123.68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100</v>
      </c>
      <c r="AC64" t="str">
        <v>28/09/2026</v>
      </c>
      <c r="AD64" t="str">
        <v>16:46:25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28/09/2026 16:47:08</v>
      </c>
      <c r="AL64" t="str">
        <v>16:47:08</v>
      </c>
      <c r="AM64" t="str">
        <v/>
      </c>
    </row>
    <row r="65">
      <c r="A65">
        <v>64</v>
      </c>
      <c r="B65" t="str">
        <v>MASS BSF</v>
      </c>
      <c r="C65" t="str">
        <v>CKL-718</v>
      </c>
      <c r="D65" t="str">
        <v>CKL-718</v>
      </c>
      <c r="E65" t="str">
        <v/>
      </c>
      <c r="F65" t="str">
        <v>867162029820636</v>
      </c>
      <c r="G65" t="str">
        <v>TBD</v>
      </c>
      <c r="H65" t="str">
        <v/>
      </c>
      <c r="I65" t="str">
        <v/>
      </c>
      <c r="J65" t="str">
        <v>28/09/2026</v>
      </c>
      <c r="K65" t="str">
        <v>16:47:38</v>
      </c>
      <c r="L65">
        <v>-12.31789</v>
      </c>
      <c r="M65">
        <v>-76.82416</v>
      </c>
      <c r="N65">
        <f>HYPERLINK("https://www.google.com/maps/search/?api=1&amp;query=-12.31789,-76.82416","Punta Hermosa, Lima")</f>
      </c>
      <c r="O65" t="str">
        <v>Vehículo encendido</v>
      </c>
      <c r="P65" t="str">
        <v/>
      </c>
      <c r="Q65">
        <v>22686.2</v>
      </c>
      <c r="R65" t="str">
        <v/>
      </c>
      <c r="S65">
        <v>0</v>
      </c>
      <c r="T65">
        <v>123.68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100</v>
      </c>
      <c r="AC65" t="str">
        <v>28/09/2026</v>
      </c>
      <c r="AD65" t="str">
        <v>16:47:45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28/09/2026 16:48:06</v>
      </c>
      <c r="AL65" t="str">
        <v>16:48:06</v>
      </c>
      <c r="AM65" t="str">
        <v/>
      </c>
    </row>
    <row r="66">
      <c r="A66">
        <v>65</v>
      </c>
      <c r="B66" t="str">
        <v>MASS BSF</v>
      </c>
      <c r="C66" t="str">
        <v>CKL-718</v>
      </c>
      <c r="D66" t="str">
        <v>CKL-718</v>
      </c>
      <c r="E66" t="str">
        <v/>
      </c>
      <c r="F66" t="str">
        <v>867162029820636</v>
      </c>
      <c r="G66" t="str">
        <v>TBD</v>
      </c>
      <c r="H66" t="str">
        <v/>
      </c>
      <c r="I66" t="str">
        <v/>
      </c>
      <c r="J66" t="str">
        <v>28/09/2026</v>
      </c>
      <c r="K66" t="str">
        <v>16:47:43</v>
      </c>
      <c r="L66">
        <v>-12.31789</v>
      </c>
      <c r="M66">
        <v>-76.82416</v>
      </c>
      <c r="N66">
        <f>HYPERLINK("https://www.google.com/maps/search/?api=1&amp;query=-12.31789,-76.82416","Punta Hermosa, Lima")</f>
      </c>
      <c r="O66" t="str">
        <v>Vehículo apagado</v>
      </c>
      <c r="P66" t="str">
        <v>Vehículo Apagado</v>
      </c>
      <c r="Q66">
        <v>22686.2</v>
      </c>
      <c r="R66" t="str">
        <v/>
      </c>
      <c r="S66">
        <v>0</v>
      </c>
      <c r="T66">
        <v>123.68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100</v>
      </c>
      <c r="AC66" t="str">
        <v>28/09/2026</v>
      </c>
      <c r="AD66" t="str">
        <v>16:47:45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28/09/2026 16:48:00</v>
      </c>
      <c r="AL66" t="str">
        <v>16:48:00</v>
      </c>
      <c r="AM66" t="str">
        <v/>
      </c>
    </row>
    <row r="67">
      <c r="A67">
        <v>66</v>
      </c>
      <c r="B67" t="str">
        <v>MASS BSF</v>
      </c>
      <c r="C67" t="str">
        <v>CKL-718</v>
      </c>
      <c r="D67" t="str">
        <v>CKL-718</v>
      </c>
      <c r="E67" t="str">
        <v/>
      </c>
      <c r="F67" t="str">
        <v>867162029820636</v>
      </c>
      <c r="G67" t="str">
        <v>TBD</v>
      </c>
      <c r="H67" t="str">
        <v/>
      </c>
      <c r="I67" t="str">
        <v/>
      </c>
      <c r="J67" t="str">
        <v>28/09/2026</v>
      </c>
      <c r="K67" t="str">
        <v>17:55:35</v>
      </c>
      <c r="L67">
        <v>-12.31789</v>
      </c>
      <c r="M67">
        <v>-76.82416</v>
      </c>
      <c r="N67">
        <f>HYPERLINK("https://www.google.com/maps/search/?api=1&amp;query=-12.31789,-76.82416","Punta Hermosa, Lima")</f>
      </c>
      <c r="O67" t="str">
        <v>Vehículo encendido</v>
      </c>
      <c r="P67" t="str">
        <v/>
      </c>
      <c r="Q67">
        <v>22686.2</v>
      </c>
      <c r="R67" t="str">
        <v/>
      </c>
      <c r="S67">
        <v>0</v>
      </c>
      <c r="T67">
        <v>123.68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100</v>
      </c>
      <c r="AC67" t="str">
        <v>28/09/2026</v>
      </c>
      <c r="AD67" t="str">
        <v>17:45:18</v>
      </c>
      <c r="AE67">
        <f>IF("NOGPS"="NOGPS","GPS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28/09/2026 17:55:52</v>
      </c>
      <c r="AL67" t="str">
        <v>17:55:52</v>
      </c>
      <c r="AM67" t="str">
        <v/>
      </c>
    </row>
    <row r="68">
      <c r="A68">
        <v>67</v>
      </c>
      <c r="B68" t="str">
        <v>MASS BSF</v>
      </c>
      <c r="C68" t="str">
        <v>CKL-718</v>
      </c>
      <c r="D68" t="str">
        <v>CKL-718</v>
      </c>
      <c r="E68" t="str">
        <v/>
      </c>
      <c r="F68" t="str">
        <v>867162029820636</v>
      </c>
      <c r="G68" t="str">
        <v>TBD</v>
      </c>
      <c r="H68" t="str">
        <v/>
      </c>
      <c r="I68" t="str">
        <v xml:space="preserve"> </v>
      </c>
      <c r="J68" t="str">
        <v>28/09/2026</v>
      </c>
      <c r="K68" t="str">
        <v>18:06:42</v>
      </c>
      <c r="L68">
        <v>-12.317416</v>
      </c>
      <c r="M68">
        <v>-76.82945</v>
      </c>
      <c r="N68">
        <f>HYPERLINK("https://www.google.com/maps/search/?api=1&amp;query=-12.317416,-76.82945","Punta Hermosa, Lima")</f>
      </c>
      <c r="O68" t="str">
        <v>Llegó a la zona</v>
      </c>
      <c r="P68" t="str">
        <v/>
      </c>
      <c r="Q68">
        <v>22686.9</v>
      </c>
      <c r="R68" t="str">
        <v>MASS BSF 1</v>
      </c>
      <c r="S68">
        <v>6.4</v>
      </c>
      <c r="T68">
        <v>123.77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100</v>
      </c>
      <c r="AC68" t="str">
        <v>28/09/2026</v>
      </c>
      <c r="AD68" t="str">
        <v>18:06:33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28/09/2026 18:07:02</v>
      </c>
      <c r="AL68" t="str">
        <v>18:07:02</v>
      </c>
      <c r="AM68" t="str">
        <v/>
      </c>
    </row>
    <row r="69">
      <c r="A69">
        <v>68</v>
      </c>
      <c r="B69" t="str">
        <v>MASS BSF</v>
      </c>
      <c r="C69" t="str">
        <v>CKL-718</v>
      </c>
      <c r="D69" t="str">
        <v>CKL-718</v>
      </c>
      <c r="E69" t="str">
        <v/>
      </c>
      <c r="F69" t="str">
        <v>867162029820636</v>
      </c>
      <c r="G69" t="str">
        <v>TBD</v>
      </c>
      <c r="H69" t="str">
        <v/>
      </c>
      <c r="I69" t="str">
        <v xml:space="preserve"> </v>
      </c>
      <c r="J69" t="str">
        <v>28/09/2026</v>
      </c>
      <c r="K69" t="str">
        <v>18:06:49</v>
      </c>
      <c r="L69">
        <v>-12.317535</v>
      </c>
      <c r="M69">
        <v>-76.829926</v>
      </c>
      <c r="N69">
        <f>HYPERLINK("https://www.google.com/maps/search/?api=1&amp;query=-12.317535,-76.829926","Punta Hermosa, Lima")</f>
      </c>
      <c r="O69" t="str">
        <v>Salió de zona</v>
      </c>
      <c r="P69" t="str">
        <v/>
      </c>
      <c r="Q69">
        <v>22686.9</v>
      </c>
      <c r="R69" t="str">
        <v>MASS BSF 1</v>
      </c>
      <c r="S69">
        <v>15.9</v>
      </c>
      <c r="T69">
        <v>123.77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100</v>
      </c>
      <c r="AC69" t="str">
        <v>28/09/2026</v>
      </c>
      <c r="AD69" t="str">
        <v>18:06:48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28/09/2026 18:06:52</v>
      </c>
      <c r="AL69" t="str">
        <v>18:06:52</v>
      </c>
      <c r="AM69" t="str">
        <v/>
      </c>
    </row>
    <row r="70">
      <c r="A70">
        <v>69</v>
      </c>
      <c r="B70" t="str">
        <v>MASS BSF</v>
      </c>
      <c r="C70" t="str">
        <v>CKL-718</v>
      </c>
      <c r="D70" t="str">
        <v>CKL-718</v>
      </c>
      <c r="E70" t="str">
        <v/>
      </c>
      <c r="F70" t="str">
        <v>867162029820636</v>
      </c>
      <c r="G70" t="str">
        <v>TBD</v>
      </c>
      <c r="H70" t="str">
        <v/>
      </c>
      <c r="I70" t="str">
        <v xml:space="preserve"> </v>
      </c>
      <c r="J70" t="str">
        <v>28/09/2026</v>
      </c>
      <c r="K70" t="str">
        <v>18:07:16</v>
      </c>
      <c r="L70">
        <v>-12.316647</v>
      </c>
      <c r="M70">
        <v>-76.83101</v>
      </c>
      <c r="N70">
        <f>HYPERLINK("https://www.google.com/maps/search/?api=1&amp;query=-12.316647,-76.83101","Carretera Panamericana Sur, Punta Hermosa, Lima")</f>
      </c>
      <c r="O70" t="str">
        <v>Salió de zona</v>
      </c>
      <c r="P70" t="str">
        <v/>
      </c>
      <c r="Q70">
        <v>22686.9</v>
      </c>
      <c r="R70" t="str">
        <v>MASS BSF 1</v>
      </c>
      <c r="S70">
        <v>29.4</v>
      </c>
      <c r="T70">
        <v>123.77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100</v>
      </c>
      <c r="AC70" t="str">
        <v>28/09/2026</v>
      </c>
      <c r="AD70" t="str">
        <v>18:07:15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28/09/2026 18:07:33</v>
      </c>
      <c r="AL70" t="str">
        <v>18:07:33</v>
      </c>
      <c r="AM70" t="str">
        <v/>
      </c>
    </row>
    <row r="71">
      <c r="A71">
        <v>70</v>
      </c>
      <c r="B71" t="str">
        <v>MASS BSF</v>
      </c>
      <c r="C71" t="str">
        <v>CKL-718</v>
      </c>
      <c r="D71" t="str">
        <v>CKL-718</v>
      </c>
      <c r="E71" t="str">
        <v/>
      </c>
      <c r="F71" t="str">
        <v>867162029820636</v>
      </c>
      <c r="G71" t="str">
        <v>TBD</v>
      </c>
      <c r="H71" t="str">
        <v/>
      </c>
      <c r="I71" t="str">
        <v/>
      </c>
      <c r="J71" t="str">
        <v>28/09/2026</v>
      </c>
      <c r="K71" t="str">
        <v>18:20:58</v>
      </c>
      <c r="L71">
        <v>-12.24001</v>
      </c>
      <c r="M71">
        <v>-76.94841</v>
      </c>
      <c r="N71">
        <f>HYPERLINK("https://www.google.com/maps/search/?api=1&amp;query=-12.24001,-76.94841","Carretera Panamericana Sur, Villa El Salvador, Lima")</f>
      </c>
      <c r="O71" t="str">
        <v>Excedió el límite de velocidad</v>
      </c>
      <c r="P71" t="str">
        <v/>
      </c>
      <c r="Q71">
        <v>22702.7</v>
      </c>
      <c r="R71" t="str">
        <v/>
      </c>
      <c r="S71">
        <v>81.3</v>
      </c>
      <c r="T71">
        <v>123.68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100</v>
      </c>
      <c r="AC71" t="str">
        <v>28/09/2026</v>
      </c>
      <c r="AD71" t="str">
        <v>18:20:57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28/09/2026 18:21:13</v>
      </c>
      <c r="AL71" t="str">
        <v>18:21:13</v>
      </c>
      <c r="AM71" t="str">
        <v/>
      </c>
    </row>
    <row r="72">
      <c r="A72">
        <v>71</v>
      </c>
      <c r="B72" t="str">
        <v>MASS BSF</v>
      </c>
      <c r="C72" t="str">
        <v>CKL-718</v>
      </c>
      <c r="D72" t="str">
        <v>CKL-718</v>
      </c>
      <c r="E72" t="str">
        <v/>
      </c>
      <c r="F72" t="str">
        <v>867162029820636</v>
      </c>
      <c r="G72" t="str">
        <v>TBD</v>
      </c>
      <c r="H72" t="str">
        <v/>
      </c>
      <c r="I72" t="str">
        <v xml:space="preserve"> </v>
      </c>
      <c r="J72" t="str">
        <v>28/09/2026</v>
      </c>
      <c r="K72" t="str">
        <v>18:35:58</v>
      </c>
      <c r="L72">
        <v>-12.213209</v>
      </c>
      <c r="M72">
        <v>-76.95992</v>
      </c>
      <c r="N72">
        <f>HYPERLINK("https://www.google.com/maps/search/?api=1&amp;query=-12.213209,-76.95992","Avenida Villa del Mar, Villa El Salvador, Lima")</f>
      </c>
      <c r="O72" t="str">
        <v>Llegó a la zona</v>
      </c>
      <c r="P72" t="str">
        <v/>
      </c>
      <c r="Q72">
        <v>22709.6</v>
      </c>
      <c r="R72" t="str">
        <v>BASE-OSLOGISTICS</v>
      </c>
      <c r="S72">
        <v>9.5</v>
      </c>
      <c r="T72">
        <v>123.77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100</v>
      </c>
      <c r="AC72" t="str">
        <v>28/09/2026</v>
      </c>
      <c r="AD72" t="str">
        <v>18:35:33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28/09/2026 18:36:18</v>
      </c>
      <c r="AL72" t="str">
        <v>18:36:18</v>
      </c>
      <c r="AM72" t="str">
        <v/>
      </c>
    </row>
    <row r="73">
      <c r="A73">
        <v>72</v>
      </c>
      <c r="B73" t="str">
        <v>MASS BSF</v>
      </c>
      <c r="C73" t="str">
        <v>CKL-718</v>
      </c>
      <c r="D73" t="str">
        <v>CKL-718</v>
      </c>
      <c r="E73" t="str">
        <v/>
      </c>
      <c r="F73" t="str">
        <v>867162029820636</v>
      </c>
      <c r="G73" t="str">
        <v>TBD</v>
      </c>
      <c r="H73" t="str">
        <v/>
      </c>
      <c r="I73" t="str">
        <v/>
      </c>
      <c r="J73" t="str">
        <v>28/09/2026</v>
      </c>
      <c r="K73" t="str">
        <v>18:38:57</v>
      </c>
      <c r="L73">
        <v>-12.212882</v>
      </c>
      <c r="M73">
        <v>-76.95936</v>
      </c>
      <c r="N73">
        <f>HYPERLINK("https://www.google.com/maps/search/?api=1&amp;query=-12.212882,-76.95936","Avenida Villa del Mar, Villa El Salvador, Lima")</f>
      </c>
      <c r="O73" t="str">
        <v>Vehículo apagado</v>
      </c>
      <c r="P73" t="str">
        <v>Vehículo Apagado</v>
      </c>
      <c r="Q73">
        <v>22710</v>
      </c>
      <c r="R73" t="str">
        <v/>
      </c>
      <c r="S73">
        <v>3.3</v>
      </c>
      <c r="T73">
        <v>124.4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100</v>
      </c>
      <c r="AC73" t="str">
        <v>28/09/2026</v>
      </c>
      <c r="AD73" t="str">
        <v>18:38:03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28/09/2026 18:39:04</v>
      </c>
      <c r="AL73" t="str">
        <v>18:39:04</v>
      </c>
      <c r="AM73" t="str">
        <v/>
      </c>
    </row>
    <row r="74">
      <c r="A74">
        <v>73</v>
      </c>
      <c r="B74" t="str">
        <v>MASS BSF</v>
      </c>
      <c r="C74" t="str">
        <v>CKL-718</v>
      </c>
      <c r="D74" t="str">
        <v>CKL-718</v>
      </c>
      <c r="E74" t="str">
        <v/>
      </c>
      <c r="F74" t="str">
        <v>867162029820636</v>
      </c>
      <c r="G74" t="str">
        <v>TBD</v>
      </c>
      <c r="H74" t="str">
        <v/>
      </c>
      <c r="I74" t="str">
        <v/>
      </c>
      <c r="J74" t="str">
        <v>28/09/2026</v>
      </c>
      <c r="K74" t="str">
        <v>18:39:09</v>
      </c>
      <c r="L74">
        <v>-12.212988</v>
      </c>
      <c r="M74">
        <v>-76.95918</v>
      </c>
      <c r="N74">
        <f>HYPERLINK("https://www.google.com/maps/search/?api=1&amp;query=-12.212988,-76.95918","Avenida Villa del Mar, Villa El Salvador, Lima")</f>
      </c>
      <c r="O74" t="str">
        <v>Vehículo encendido</v>
      </c>
      <c r="P74" t="str">
        <v/>
      </c>
      <c r="Q74">
        <v>22710</v>
      </c>
      <c r="R74" t="str">
        <v/>
      </c>
      <c r="S74">
        <v>0</v>
      </c>
      <c r="T74">
        <v>124.4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100</v>
      </c>
      <c r="AC74" t="str">
        <v>28/09/2026</v>
      </c>
      <c r="AD74" t="str">
        <v>18:38:59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28/09/2026 18:39:35</v>
      </c>
      <c r="AL74" t="str">
        <v>18:39:35</v>
      </c>
      <c r="AM74" t="str">
        <v/>
      </c>
    </row>
    <row r="75">
      <c r="A75">
        <v>74</v>
      </c>
      <c r="B75" t="str">
        <v>MASS BSF</v>
      </c>
      <c r="C75" t="str">
        <v>CKL-718</v>
      </c>
      <c r="D75" t="str">
        <v>CKL-718</v>
      </c>
      <c r="E75" t="str">
        <v/>
      </c>
      <c r="F75" t="str">
        <v>867162029820636</v>
      </c>
      <c r="G75" t="str">
        <v>TBD</v>
      </c>
      <c r="H75" t="str">
        <v/>
      </c>
      <c r="I75" t="str">
        <v/>
      </c>
      <c r="J75" t="str">
        <v>28/09/2026</v>
      </c>
      <c r="K75" t="str">
        <v>18:39:13</v>
      </c>
      <c r="L75">
        <v>-12.212988</v>
      </c>
      <c r="M75">
        <v>-76.95918</v>
      </c>
      <c r="N75">
        <f>HYPERLINK("https://www.google.com/maps/search/?api=1&amp;query=-12.212988,-76.95918","Avenida Villa del Mar, Villa El Salvador, Lima")</f>
      </c>
      <c r="O75" t="str">
        <v>Vehículo apagado</v>
      </c>
      <c r="P75" t="str">
        <v>Vehículo Apagado</v>
      </c>
      <c r="Q75">
        <v>22710</v>
      </c>
      <c r="R75" t="str">
        <v/>
      </c>
      <c r="S75">
        <v>0</v>
      </c>
      <c r="T75">
        <v>124.4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100</v>
      </c>
      <c r="AC75" t="str">
        <v>28/09/2026</v>
      </c>
      <c r="AD75" t="str">
        <v>18:38:59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28/09/2026 18:39:29</v>
      </c>
      <c r="AL75" t="str">
        <v>18:39:29</v>
      </c>
      <c r="AM75" t="str">
        <v/>
      </c>
    </row>
    <row r="76">
      <c r="A76">
        <v>75</v>
      </c>
      <c r="B76" t="str">
        <v>MASS BSF</v>
      </c>
      <c r="C76" t="str">
        <v>CKL-718</v>
      </c>
      <c r="D76" t="str">
        <v>CKL-718</v>
      </c>
      <c r="E76" t="str">
        <v/>
      </c>
      <c r="F76" t="str">
        <v>867162029820636</v>
      </c>
      <c r="G76" t="str">
        <v>TBD</v>
      </c>
      <c r="H76" t="str">
        <v/>
      </c>
      <c r="I76" t="str">
        <v/>
      </c>
      <c r="J76" t="str">
        <v>28/09/2026</v>
      </c>
      <c r="K76" t="str">
        <v>18:39:44</v>
      </c>
      <c r="L76">
        <v>-12.212997</v>
      </c>
      <c r="M76">
        <v>-76.95902</v>
      </c>
      <c r="N76">
        <f>HYPERLINK("https://www.google.com/maps/search/?api=1&amp;query=-12.212997,-76.95902","Avenida Villa del Mar, Villa El Salvador, Lima")</f>
      </c>
      <c r="O76" t="str">
        <v>Vehículo encendido</v>
      </c>
      <c r="P76" t="str">
        <v/>
      </c>
      <c r="Q76">
        <v>22710</v>
      </c>
      <c r="R76" t="str">
        <v/>
      </c>
      <c r="S76">
        <v>0</v>
      </c>
      <c r="T76">
        <v>124.4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100</v>
      </c>
      <c r="AC76" t="str">
        <v>28/09/2026</v>
      </c>
      <c r="AD76" t="str">
        <v>18:39:16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28/09/2026 18:39:52</v>
      </c>
      <c r="AL76" t="str">
        <v>18:39:52</v>
      </c>
      <c r="AM76" t="str">
        <v/>
      </c>
    </row>
    <row r="77">
      <c r="A77">
        <v>76</v>
      </c>
      <c r="B77" t="str">
        <v>MASS BSF</v>
      </c>
      <c r="C77" t="str">
        <v>CKL-718</v>
      </c>
      <c r="D77" t="str">
        <v>CKL-718</v>
      </c>
      <c r="E77" t="str">
        <v/>
      </c>
      <c r="F77" t="str">
        <v>867162029820636</v>
      </c>
      <c r="G77" t="str">
        <v>TBD</v>
      </c>
      <c r="H77" t="str">
        <v/>
      </c>
      <c r="I77" t="str">
        <v/>
      </c>
      <c r="J77" t="str">
        <v>28/09/2026</v>
      </c>
      <c r="K77" t="str">
        <v>18:39:48</v>
      </c>
      <c r="L77">
        <v>-12.212997</v>
      </c>
      <c r="M77">
        <v>-76.95902</v>
      </c>
      <c r="N77">
        <f>HYPERLINK("https://www.google.com/maps/search/?api=1&amp;query=-12.212997,-76.95902","Avenida Villa del Mar, Villa El Salvador, Lima")</f>
      </c>
      <c r="O77" t="str">
        <v>Vehículo apagado</v>
      </c>
      <c r="P77" t="str">
        <v>Vehículo Apagado</v>
      </c>
      <c r="Q77">
        <v>22710</v>
      </c>
      <c r="R77" t="str">
        <v/>
      </c>
      <c r="S77">
        <v>0</v>
      </c>
      <c r="T77">
        <v>124.4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100</v>
      </c>
      <c r="AC77" t="str">
        <v>28/09/2026</v>
      </c>
      <c r="AD77" t="str">
        <v>18:39:16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28/09/2026 18:40:07</v>
      </c>
      <c r="AL77" t="str">
        <v>18:40:07</v>
      </c>
      <c r="AM77" t="str">
        <v/>
      </c>
    </row>
  </sheetData>
  <ignoredErrors>
    <ignoredError numberStoredAsText="1" sqref="A1:AM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