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F6V-794</v>
      </c>
      <c r="D2" t="str">
        <v>F6V-794</v>
      </c>
      <c r="E2" t="str">
        <v/>
      </c>
      <c r="F2" t="str">
        <v>865235053167082</v>
      </c>
      <c r="G2" t="str">
        <v>TBD</v>
      </c>
      <c r="H2" t="str">
        <v/>
      </c>
      <c r="I2" t="str">
        <v/>
      </c>
      <c r="J2" t="str">
        <v>28/09/2026</v>
      </c>
      <c r="K2" t="str">
        <v>08:56:14</v>
      </c>
      <c r="L2">
        <v>-12.21317</v>
      </c>
      <c r="M2">
        <v>-76.958824</v>
      </c>
      <c r="N2">
        <f>HYPERLINK("https://www.google.com/maps/search/?api=1&amp;query=-12.21317,-76.958824","Villa El Salvador, Lima")</f>
      </c>
      <c r="O2" t="str">
        <v>Vehículo encendido</v>
      </c>
      <c r="P2" t="str">
        <v/>
      </c>
      <c r="Q2">
        <v>135084.3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93</v>
      </c>
      <c r="AC2" t="str">
        <v>28/09/2026</v>
      </c>
      <c r="AD2" t="str">
        <v>08:56:11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08:56:30</v>
      </c>
      <c r="AL2" t="str">
        <v>08:56:30</v>
      </c>
      <c r="AM2" t="str">
        <v/>
      </c>
    </row>
    <row r="3">
      <c r="A3">
        <v>2</v>
      </c>
      <c r="B3" t="str">
        <v>MASS BSF</v>
      </c>
      <c r="C3" t="str">
        <v>F6V-794</v>
      </c>
      <c r="D3" t="str">
        <v>F6V-794</v>
      </c>
      <c r="E3" t="str">
        <v/>
      </c>
      <c r="F3" t="str">
        <v>865235053167082</v>
      </c>
      <c r="G3" t="str">
        <v>TBD</v>
      </c>
      <c r="H3" t="str">
        <v/>
      </c>
      <c r="I3" t="str">
        <v/>
      </c>
      <c r="J3" t="str">
        <v>28/09/2026</v>
      </c>
      <c r="K3" t="str">
        <v>08:58:30</v>
      </c>
      <c r="L3">
        <v>-12.21317</v>
      </c>
      <c r="M3">
        <v>-76.958824</v>
      </c>
      <c r="N3">
        <f>HYPERLINK("https://www.google.com/maps/search/?api=1&amp;query=-12.21317,-76.958824","Villa El Salvador, Lima")</f>
      </c>
      <c r="O3" t="str">
        <v>Se movio</v>
      </c>
      <c r="P3" t="str">
        <v/>
      </c>
      <c r="Q3">
        <v>135084.3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93</v>
      </c>
      <c r="AC3" t="str">
        <v>28/09/2026</v>
      </c>
      <c r="AD3" t="str">
        <v>08:58:28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08:58:49</v>
      </c>
      <c r="AL3" t="str">
        <v>08:58:49</v>
      </c>
      <c r="AM3" t="str">
        <v/>
      </c>
    </row>
    <row r="4">
      <c r="A4">
        <v>3</v>
      </c>
      <c r="B4" t="str">
        <v>MASS BSF</v>
      </c>
      <c r="C4" t="str">
        <v>F6V-794</v>
      </c>
      <c r="D4" t="str">
        <v>F6V-794</v>
      </c>
      <c r="E4" t="str">
        <v/>
      </c>
      <c r="F4" t="str">
        <v>865235053167082</v>
      </c>
      <c r="G4" t="str">
        <v>TBD</v>
      </c>
      <c r="H4" t="str">
        <v/>
      </c>
      <c r="I4" t="str">
        <v/>
      </c>
      <c r="J4" t="str">
        <v>28/09/2026</v>
      </c>
      <c r="K4" t="str">
        <v>09:01:18</v>
      </c>
      <c r="L4">
        <v>-12.21317</v>
      </c>
      <c r="M4">
        <v>-76.958824</v>
      </c>
      <c r="N4">
        <f>HYPERLINK("https://www.google.com/maps/search/?api=1&amp;query=-12.21317,-76.958824","Villa El Salvador, Lima")</f>
      </c>
      <c r="O4" t="str">
        <v>Inicio de ralentí</v>
      </c>
      <c r="P4" t="str">
        <v>Vehículo Detenido</v>
      </c>
      <c r="Q4">
        <v>135084.3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93</v>
      </c>
      <c r="AC4" t="str">
        <v>28/09/2026</v>
      </c>
      <c r="AD4" t="str">
        <v>09:01:15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09:01:28</v>
      </c>
      <c r="AL4" t="str">
        <v>09:01:28</v>
      </c>
      <c r="AM4" t="str">
        <v/>
      </c>
    </row>
    <row r="5">
      <c r="A5">
        <v>4</v>
      </c>
      <c r="B5" t="str">
        <v>MASS BSF</v>
      </c>
      <c r="C5" t="str">
        <v>F6V-794</v>
      </c>
      <c r="D5" t="str">
        <v>F6V-794</v>
      </c>
      <c r="E5" t="str">
        <v/>
      </c>
      <c r="F5" t="str">
        <v>865235053167082</v>
      </c>
      <c r="G5" t="str">
        <v>TBD</v>
      </c>
      <c r="H5" t="str">
        <v/>
      </c>
      <c r="I5" t="str">
        <v/>
      </c>
      <c r="J5" t="str">
        <v>28/09/2026</v>
      </c>
      <c r="K5" t="str">
        <v>09:14:43</v>
      </c>
      <c r="L5">
        <v>-12.212915</v>
      </c>
      <c r="M5">
        <v>-76.95933</v>
      </c>
      <c r="N5">
        <f>HYPERLINK("https://www.google.com/maps/search/?api=1&amp;query=-12.212915,-76.95933","Avenida Villa del Mar, Villa El Salvador, Lima")</f>
      </c>
      <c r="O5" t="str">
        <v>Fin de ralentí</v>
      </c>
      <c r="P5" t="str">
        <v/>
      </c>
      <c r="Q5">
        <v>135084.4</v>
      </c>
      <c r="R5" t="str">
        <v/>
      </c>
      <c r="S5">
        <v>6.6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95</v>
      </c>
      <c r="AC5" t="str">
        <v>28/09/2026</v>
      </c>
      <c r="AD5" t="str">
        <v>09:14:41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09:14:53</v>
      </c>
      <c r="AL5" t="str">
        <v>09:14:53</v>
      </c>
      <c r="AM5" t="str">
        <v/>
      </c>
    </row>
    <row r="6">
      <c r="A6">
        <v>5</v>
      </c>
      <c r="B6" t="str">
        <v>MASS BSF</v>
      </c>
      <c r="C6" t="str">
        <v>F6V-794</v>
      </c>
      <c r="D6" t="str">
        <v>F6V-794</v>
      </c>
      <c r="E6" t="str">
        <v/>
      </c>
      <c r="F6" t="str">
        <v>865235053167082</v>
      </c>
      <c r="G6" t="str">
        <v>TBD</v>
      </c>
      <c r="H6" t="str">
        <v/>
      </c>
      <c r="I6" t="str">
        <v/>
      </c>
      <c r="J6" t="str">
        <v>28/09/2026</v>
      </c>
      <c r="K6" t="str">
        <v>09:14:47</v>
      </c>
      <c r="L6">
        <v>-12.212936</v>
      </c>
      <c r="M6">
        <v>-76.95938</v>
      </c>
      <c r="N6">
        <f>HYPERLINK("https://www.google.com/maps/search/?api=1&amp;query=-12.212936,-76.95938","Avenida Villa del Mar, Villa El Salvador, Lima")</f>
      </c>
      <c r="O6" t="str">
        <v>Se movio</v>
      </c>
      <c r="P6" t="str">
        <v/>
      </c>
      <c r="Q6">
        <v>135084.4</v>
      </c>
      <c r="R6" t="str">
        <v/>
      </c>
      <c r="S6">
        <v>7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95</v>
      </c>
      <c r="AC6" t="str">
        <v>28/09/2026</v>
      </c>
      <c r="AD6" t="str">
        <v>09:14:44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09:14:52</v>
      </c>
      <c r="AL6" t="str">
        <v>09:14:52</v>
      </c>
      <c r="AM6" t="str">
        <v/>
      </c>
    </row>
    <row r="7">
      <c r="A7">
        <v>6</v>
      </c>
      <c r="B7" t="str">
        <v>MASS BSF</v>
      </c>
      <c r="C7" t="str">
        <v>F6V-794</v>
      </c>
      <c r="D7" t="str">
        <v>F6V-794</v>
      </c>
      <c r="E7" t="str">
        <v/>
      </c>
      <c r="F7" t="str">
        <v>865235053167082</v>
      </c>
      <c r="G7" t="str">
        <v>TBD</v>
      </c>
      <c r="H7" t="str">
        <v/>
      </c>
      <c r="I7" t="str">
        <v/>
      </c>
      <c r="J7" t="str">
        <v>28/09/2026</v>
      </c>
      <c r="K7" t="str">
        <v>09:28:15</v>
      </c>
      <c r="L7">
        <v>-12.216722</v>
      </c>
      <c r="M7">
        <v>-76.967865</v>
      </c>
      <c r="N7">
        <f>HYPERLINK("https://www.google.com/maps/search/?api=1&amp;query=-12.216722,-76.967865","Calle 8, Villa El Salvador, Lima")</f>
      </c>
      <c r="O7" t="str">
        <v>Inicio de ralentí</v>
      </c>
      <c r="P7" t="str">
        <v>Vehículo Detenido</v>
      </c>
      <c r="Q7">
        <v>135086.1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98</v>
      </c>
      <c r="AC7" t="str">
        <v>28/09/2026</v>
      </c>
      <c r="AD7" t="str">
        <v>09:28:12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09:28:21</v>
      </c>
      <c r="AL7" t="str">
        <v>09:28:21</v>
      </c>
      <c r="AM7" t="str">
        <v/>
      </c>
    </row>
    <row r="8">
      <c r="A8">
        <v>7</v>
      </c>
      <c r="B8" t="str">
        <v>MASS BSF</v>
      </c>
      <c r="C8" t="str">
        <v>F6V-794</v>
      </c>
      <c r="D8" t="str">
        <v>F6V-794</v>
      </c>
      <c r="E8" t="str">
        <v/>
      </c>
      <c r="F8" t="str">
        <v>865235053167082</v>
      </c>
      <c r="G8" t="str">
        <v>TBD</v>
      </c>
      <c r="H8" t="str">
        <v/>
      </c>
      <c r="I8" t="str">
        <v/>
      </c>
      <c r="J8" t="str">
        <v>28/09/2026</v>
      </c>
      <c r="K8" t="str">
        <v>09:36:38</v>
      </c>
      <c r="L8">
        <v>-12.21679</v>
      </c>
      <c r="M8">
        <v>-76.96782</v>
      </c>
      <c r="N8">
        <f>HYPERLINK("https://www.google.com/maps/search/?api=1&amp;query=-12.21679,-76.96782","Calle 8, Villa El Salvador, Lima")</f>
      </c>
      <c r="O8" t="str">
        <v>Fin de ralentí</v>
      </c>
      <c r="P8" t="str">
        <v/>
      </c>
      <c r="Q8">
        <v>135086.1</v>
      </c>
      <c r="R8" t="str">
        <v/>
      </c>
      <c r="S8">
        <v>12.9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95</v>
      </c>
      <c r="AC8" t="str">
        <v>28/09/2026</v>
      </c>
      <c r="AD8" t="str">
        <v>09:36:36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09:46:07</v>
      </c>
      <c r="AL8" t="str">
        <v>09:46:07</v>
      </c>
      <c r="AM8" t="str">
        <v/>
      </c>
    </row>
    <row r="9">
      <c r="A9">
        <v>8</v>
      </c>
      <c r="B9" t="str">
        <v>MASS BSF</v>
      </c>
      <c r="C9" t="str">
        <v>F6V-794</v>
      </c>
      <c r="D9" t="str">
        <v>F6V-794</v>
      </c>
      <c r="E9" t="str">
        <v/>
      </c>
      <c r="F9" t="str">
        <v>865235053167082</v>
      </c>
      <c r="G9" t="str">
        <v>TBD</v>
      </c>
      <c r="H9" t="str">
        <v/>
      </c>
      <c r="I9" t="str">
        <v/>
      </c>
      <c r="J9" t="str">
        <v>28/09/2026</v>
      </c>
      <c r="K9" t="str">
        <v>09:42:38</v>
      </c>
      <c r="L9">
        <v>-12.216858</v>
      </c>
      <c r="M9">
        <v>-76.96762</v>
      </c>
      <c r="N9">
        <f>HYPERLINK("https://www.google.com/maps/search/?api=1&amp;query=-12.216858,-76.96762","Calle 8, Villa El Salvador, Lima")</f>
      </c>
      <c r="O9" t="str">
        <v>Inicio de ralentí</v>
      </c>
      <c r="P9" t="str">
        <v>Vehículo Detenido</v>
      </c>
      <c r="Q9">
        <v>135086.1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09:42:35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09:46:25</v>
      </c>
      <c r="AL9" t="str">
        <v>09:46:25</v>
      </c>
      <c r="AM9" t="str">
        <v/>
      </c>
    </row>
    <row r="10">
      <c r="A10">
        <v>9</v>
      </c>
      <c r="B10" t="str">
        <v>MASS BSF</v>
      </c>
      <c r="C10" t="str">
        <v>F6V-794</v>
      </c>
      <c r="D10" t="str">
        <v>F6V-794</v>
      </c>
      <c r="E10" t="str">
        <v/>
      </c>
      <c r="F10" t="str">
        <v>865235053167082</v>
      </c>
      <c r="G10" t="str">
        <v>TBD</v>
      </c>
      <c r="H10" t="str">
        <v/>
      </c>
      <c r="I10" t="str">
        <v/>
      </c>
      <c r="J10" t="str">
        <v>28/09/2026</v>
      </c>
      <c r="K10" t="str">
        <v>09:47:44</v>
      </c>
      <c r="L10">
        <v>-12.21682</v>
      </c>
      <c r="M10">
        <v>-76.96758</v>
      </c>
      <c r="N10">
        <f>HYPERLINK("https://www.google.com/maps/search/?api=1&amp;query=-12.21682,-76.96758","Calle 8, Villa El Salvador, Lima")</f>
      </c>
      <c r="O10" t="str">
        <v>Fin de ralentí</v>
      </c>
      <c r="P10" t="str">
        <v/>
      </c>
      <c r="Q10">
        <v>135086.2</v>
      </c>
      <c r="R10" t="str">
        <v/>
      </c>
      <c r="S10">
        <v>7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09:47:42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09:47:54</v>
      </c>
      <c r="AL10" t="str">
        <v>09:47:54</v>
      </c>
      <c r="AM10" t="str">
        <v/>
      </c>
    </row>
    <row r="11">
      <c r="A11">
        <v>10</v>
      </c>
      <c r="B11" t="str">
        <v>MASS BSF</v>
      </c>
      <c r="C11" t="str">
        <v>F6V-794</v>
      </c>
      <c r="D11" t="str">
        <v>F6V-794</v>
      </c>
      <c r="E11" t="str">
        <v/>
      </c>
      <c r="F11" t="str">
        <v>865235053167082</v>
      </c>
      <c r="G11" t="str">
        <v>TBD</v>
      </c>
      <c r="H11" t="str">
        <v/>
      </c>
      <c r="I11" t="str">
        <v/>
      </c>
      <c r="J11" t="str">
        <v>28/09/2026</v>
      </c>
      <c r="K11" t="str">
        <v>09:49:02</v>
      </c>
      <c r="L11">
        <v>-12.216697</v>
      </c>
      <c r="M11">
        <v>-76.96768</v>
      </c>
      <c r="N11">
        <f>HYPERLINK("https://www.google.com/maps/search/?api=1&amp;query=-12.216697,-76.96768","Calle 8, Villa El Salvador, Lima")</f>
      </c>
      <c r="O11" t="str">
        <v>Vehículo apagado</v>
      </c>
      <c r="P11" t="str">
        <v>Vehículo Apagado</v>
      </c>
      <c r="Q11">
        <v>135086.2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09:48:59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09:49:07</v>
      </c>
      <c r="AL11" t="str">
        <v>09:49:07</v>
      </c>
      <c r="AM11" t="str">
        <v/>
      </c>
    </row>
    <row r="12">
      <c r="A12">
        <v>11</v>
      </c>
      <c r="B12" t="str">
        <v>MASS BSF</v>
      </c>
      <c r="C12" t="str">
        <v>F6V-794</v>
      </c>
      <c r="D12" t="str">
        <v>F6V-794</v>
      </c>
      <c r="E12" t="str">
        <v/>
      </c>
      <c r="F12" t="str">
        <v>865235053167082</v>
      </c>
      <c r="G12" t="str">
        <v>TBD</v>
      </c>
      <c r="H12" t="str">
        <v/>
      </c>
      <c r="I12" t="str">
        <v/>
      </c>
      <c r="J12" t="str">
        <v>28/09/2026</v>
      </c>
      <c r="K12" t="str">
        <v>09:52:11</v>
      </c>
      <c r="L12">
        <v>-12.216679</v>
      </c>
      <c r="M12">
        <v>-76.96769</v>
      </c>
      <c r="N12">
        <f>HYPERLINK("https://www.google.com/maps/search/?api=1&amp;query=-12.216679,-76.96769","Calle 8, Villa El Salvador, Lima")</f>
      </c>
      <c r="O12" t="str">
        <v>Vehículo encendido</v>
      </c>
      <c r="P12" t="str">
        <v/>
      </c>
      <c r="Q12">
        <v>135086.2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09:52:08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09:52:21</v>
      </c>
      <c r="AL12" t="str">
        <v>09:52:21</v>
      </c>
      <c r="AM12" t="str">
        <v/>
      </c>
    </row>
    <row r="13">
      <c r="A13">
        <v>12</v>
      </c>
      <c r="B13" t="str">
        <v>MASS BSF</v>
      </c>
      <c r="C13" t="str">
        <v>F6V-794</v>
      </c>
      <c r="D13" t="str">
        <v>F6V-794</v>
      </c>
      <c r="E13" t="str">
        <v/>
      </c>
      <c r="F13" t="str">
        <v>865235053167082</v>
      </c>
      <c r="G13" t="str">
        <v>TBD</v>
      </c>
      <c r="H13" t="str">
        <v/>
      </c>
      <c r="I13" t="str">
        <v/>
      </c>
      <c r="J13" t="str">
        <v>28/09/2026</v>
      </c>
      <c r="K13" t="str">
        <v>09:52:32</v>
      </c>
      <c r="L13">
        <v>-12.216679</v>
      </c>
      <c r="M13">
        <v>-76.96769</v>
      </c>
      <c r="N13">
        <f>HYPERLINK("https://www.google.com/maps/search/?api=1&amp;query=-12.216679,-76.96769","Calle 8, Villa El Salvador, Lima")</f>
      </c>
      <c r="O13" t="str">
        <v>Se movio</v>
      </c>
      <c r="P13" t="str">
        <v/>
      </c>
      <c r="Q13">
        <v>135086.2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09:52:29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09:52:41</v>
      </c>
      <c r="AL13" t="str">
        <v>09:52:41</v>
      </c>
      <c r="AM13" t="str">
        <v/>
      </c>
    </row>
    <row r="14">
      <c r="A14">
        <v>13</v>
      </c>
      <c r="B14" t="str">
        <v>MASS BSF</v>
      </c>
      <c r="C14" t="str">
        <v>F6V-794</v>
      </c>
      <c r="D14" t="str">
        <v>F6V-794</v>
      </c>
      <c r="E14" t="str">
        <v/>
      </c>
      <c r="F14" t="str">
        <v>865235053167082</v>
      </c>
      <c r="G14" t="str">
        <v>TBD</v>
      </c>
      <c r="H14" t="str">
        <v/>
      </c>
      <c r="I14" t="str">
        <v/>
      </c>
      <c r="J14" t="str">
        <v>28/09/2026</v>
      </c>
      <c r="K14" t="str">
        <v>09:54:47</v>
      </c>
      <c r="L14">
        <v>-12.216625</v>
      </c>
      <c r="M14">
        <v>-76.96779</v>
      </c>
      <c r="N14">
        <f>HYPERLINK("https://www.google.com/maps/search/?api=1&amp;query=-12.216625,-76.96779","Calle 8, Villa El Salvador, Lima")</f>
      </c>
      <c r="O14" t="str">
        <v>Bache</v>
      </c>
      <c r="P14" t="str">
        <v/>
      </c>
      <c r="Q14">
        <v>135086.2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09:54:44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09:54:58</v>
      </c>
      <c r="AL14" t="str">
        <v>09:54:58</v>
      </c>
      <c r="AM14" t="str">
        <v/>
      </c>
    </row>
    <row r="15">
      <c r="A15">
        <v>14</v>
      </c>
      <c r="B15" t="str">
        <v>MASS BSF</v>
      </c>
      <c r="C15" t="str">
        <v>F6V-794</v>
      </c>
      <c r="D15" t="str">
        <v>F6V-794</v>
      </c>
      <c r="E15" t="str">
        <v/>
      </c>
      <c r="F15" t="str">
        <v>865235053167082</v>
      </c>
      <c r="G15" t="str">
        <v>TBD</v>
      </c>
      <c r="H15" t="str">
        <v/>
      </c>
      <c r="I15" t="str">
        <v/>
      </c>
      <c r="J15" t="str">
        <v>28/09/2026</v>
      </c>
      <c r="K15" t="str">
        <v>09:55:23</v>
      </c>
      <c r="L15">
        <v>-12.216612</v>
      </c>
      <c r="M15">
        <v>-76.967804</v>
      </c>
      <c r="N15">
        <f>HYPERLINK("https://www.google.com/maps/search/?api=1&amp;query=-12.216612,-76.967804","Calle 8, Villa El Salvador, Lima")</f>
      </c>
      <c r="O15" t="str">
        <v>Inicio de ralentí</v>
      </c>
      <c r="P15" t="str">
        <v>Vehículo Detenido</v>
      </c>
      <c r="Q15">
        <v>135086.2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99</v>
      </c>
      <c r="AC15" t="str">
        <v>28/09/2026</v>
      </c>
      <c r="AD15" t="str">
        <v>09:55:20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09:55:47</v>
      </c>
      <c r="AL15" t="str">
        <v>09:55:47</v>
      </c>
      <c r="AM15" t="str">
        <v/>
      </c>
    </row>
    <row r="16">
      <c r="A16">
        <v>15</v>
      </c>
      <c r="B16" t="str">
        <v>MASS BSF</v>
      </c>
      <c r="C16" t="str">
        <v>F6V-794</v>
      </c>
      <c r="D16" t="str">
        <v>F6V-794</v>
      </c>
      <c r="E16" t="str">
        <v/>
      </c>
      <c r="F16" t="str">
        <v>865235053167082</v>
      </c>
      <c r="G16" t="str">
        <v>TBD</v>
      </c>
      <c r="H16" t="str">
        <v/>
      </c>
      <c r="I16" t="str">
        <v/>
      </c>
      <c r="J16" t="str">
        <v>28/09/2026</v>
      </c>
      <c r="K16" t="str">
        <v>09:59:44</v>
      </c>
      <c r="L16">
        <v>-12.216532</v>
      </c>
      <c r="M16">
        <v>-76.96803</v>
      </c>
      <c r="N16">
        <f>HYPERLINK("https://www.google.com/maps/search/?api=1&amp;query=-12.216532,-76.96803","Avenida El Sol, Villa El Salvador, Lima")</f>
      </c>
      <c r="O16" t="str">
        <v>Vehículo apagado</v>
      </c>
      <c r="P16" t="str">
        <v>Vehículo Apagado</v>
      </c>
      <c r="Q16">
        <v>135086.2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99</v>
      </c>
      <c r="AC16" t="str">
        <v>28/09/2026</v>
      </c>
      <c r="AD16" t="str">
        <v>09:59:41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10:00:40</v>
      </c>
      <c r="AL16" t="str">
        <v>10:00:40</v>
      </c>
      <c r="AM16" t="str">
        <v/>
      </c>
    </row>
    <row r="17">
      <c r="A17">
        <v>16</v>
      </c>
      <c r="B17" t="str">
        <v>MASS BSF</v>
      </c>
      <c r="C17" t="str">
        <v>F6V-794</v>
      </c>
      <c r="D17" t="str">
        <v>F6V-794</v>
      </c>
      <c r="E17" t="str">
        <v/>
      </c>
      <c r="F17" t="str">
        <v>865235053167082</v>
      </c>
      <c r="G17" t="str">
        <v>TBD</v>
      </c>
      <c r="H17" t="str">
        <v/>
      </c>
      <c r="I17" t="str">
        <v/>
      </c>
      <c r="J17" t="str">
        <v>28/09/2026</v>
      </c>
      <c r="K17" t="str">
        <v>09:59:44</v>
      </c>
      <c r="L17">
        <v>-12.216532</v>
      </c>
      <c r="M17">
        <v>-76.96803</v>
      </c>
      <c r="N17">
        <f>HYPERLINK("https://www.google.com/maps/search/?api=1&amp;query=-12.216532,-76.96803","Avenida El Sol, Villa El Salvador, Lima")</f>
      </c>
      <c r="O17" t="str">
        <v>Fin de ralentí</v>
      </c>
      <c r="P17" t="str">
        <v/>
      </c>
      <c r="Q17">
        <v>135086.2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99</v>
      </c>
      <c r="AC17" t="str">
        <v>28/09/2026</v>
      </c>
      <c r="AD17" t="str">
        <v>09:59:41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10:00:39</v>
      </c>
      <c r="AL17" t="str">
        <v>10:00:39</v>
      </c>
      <c r="AM17" t="str">
        <v/>
      </c>
    </row>
    <row r="18">
      <c r="A18">
        <v>17</v>
      </c>
      <c r="B18" t="str">
        <v>MASS BSF</v>
      </c>
      <c r="C18" t="str">
        <v>F6V-794</v>
      </c>
      <c r="D18" t="str">
        <v>F6V-794</v>
      </c>
      <c r="E18" t="str">
        <v/>
      </c>
      <c r="F18" t="str">
        <v>865235053167082</v>
      </c>
      <c r="G18" t="str">
        <v>TBD</v>
      </c>
      <c r="H18" t="str">
        <v/>
      </c>
      <c r="I18" t="str">
        <v/>
      </c>
      <c r="J18" t="str">
        <v>28/09/2026</v>
      </c>
      <c r="K18" t="str">
        <v>10:01:37</v>
      </c>
      <c r="L18">
        <v>-12.216532</v>
      </c>
      <c r="M18">
        <v>-76.96803</v>
      </c>
      <c r="N18">
        <f>HYPERLINK("https://www.google.com/maps/search/?api=1&amp;query=-12.216532,-76.96803","Avenida El Sol, Villa El Salvador, Lima")</f>
      </c>
      <c r="O18" t="str">
        <v>Vehículo encendido</v>
      </c>
      <c r="P18" t="str">
        <v/>
      </c>
      <c r="Q18">
        <v>135086.2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99</v>
      </c>
      <c r="AC18" t="str">
        <v>28/09/2026</v>
      </c>
      <c r="AD18" t="str">
        <v>10:01:35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10:01:53</v>
      </c>
      <c r="AL18" t="str">
        <v>10:01:53</v>
      </c>
      <c r="AM18" t="str">
        <v/>
      </c>
    </row>
    <row r="19">
      <c r="A19">
        <v>18</v>
      </c>
      <c r="B19" t="str">
        <v>MASS BSF</v>
      </c>
      <c r="C19" t="str">
        <v>F6V-794</v>
      </c>
      <c r="D19" t="str">
        <v>F6V-794</v>
      </c>
      <c r="E19" t="str">
        <v/>
      </c>
      <c r="F19" t="str">
        <v>865235053167082</v>
      </c>
      <c r="G19" t="str">
        <v>TBD</v>
      </c>
      <c r="H19" t="str">
        <v/>
      </c>
      <c r="I19" t="str">
        <v/>
      </c>
      <c r="J19" t="str">
        <v>28/09/2026</v>
      </c>
      <c r="K19" t="str">
        <v>10:03:11</v>
      </c>
      <c r="L19">
        <v>-12.216532</v>
      </c>
      <c r="M19">
        <v>-76.96803</v>
      </c>
      <c r="N19">
        <f>HYPERLINK("https://www.google.com/maps/search/?api=1&amp;query=-12.216532,-76.96803","Avenida El Sol, Villa El Salvador, Lima")</f>
      </c>
      <c r="O19" t="str">
        <v>Vehículo apagado</v>
      </c>
      <c r="P19" t="str">
        <v>Vehículo Apagado</v>
      </c>
      <c r="Q19">
        <v>135086.2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10:03:08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10:03:36</v>
      </c>
      <c r="AL19" t="str">
        <v>10:03:36</v>
      </c>
      <c r="AM19" t="str">
        <v/>
      </c>
    </row>
    <row r="20">
      <c r="A20">
        <v>19</v>
      </c>
      <c r="B20" t="str">
        <v>MASS BSF</v>
      </c>
      <c r="C20" t="str">
        <v>F6V-794</v>
      </c>
      <c r="D20" t="str">
        <v>F6V-794</v>
      </c>
      <c r="E20" t="str">
        <v/>
      </c>
      <c r="F20" t="str">
        <v>865235053167082</v>
      </c>
      <c r="G20" t="str">
        <v>TBD</v>
      </c>
      <c r="H20" t="str">
        <v/>
      </c>
      <c r="I20" t="str">
        <v/>
      </c>
      <c r="J20" t="str">
        <v>28/09/2026</v>
      </c>
      <c r="K20" t="str">
        <v>10:19:54</v>
      </c>
      <c r="L20">
        <v>-12.216532</v>
      </c>
      <c r="M20">
        <v>-76.96803</v>
      </c>
      <c r="N20">
        <f>HYPERLINK("https://www.google.com/maps/search/?api=1&amp;query=-12.216532,-76.96803","Avenida El Sol, Villa El Salvador, Lima")</f>
      </c>
      <c r="O20" t="str">
        <v>Vehículo encendido</v>
      </c>
      <c r="P20" t="str">
        <v/>
      </c>
      <c r="Q20">
        <v>135086.2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10:19:51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10:20:03</v>
      </c>
      <c r="AL20" t="str">
        <v>10:20:03</v>
      </c>
      <c r="AM20" t="str">
        <v/>
      </c>
    </row>
    <row r="21">
      <c r="A21">
        <v>20</v>
      </c>
      <c r="B21" t="str">
        <v>MASS BSF</v>
      </c>
      <c r="C21" t="str">
        <v>F6V-794</v>
      </c>
      <c r="D21" t="str">
        <v>F6V-794</v>
      </c>
      <c r="E21" t="str">
        <v/>
      </c>
      <c r="F21" t="str">
        <v>865235053167082</v>
      </c>
      <c r="G21" t="str">
        <v>TBD</v>
      </c>
      <c r="H21" t="str">
        <v/>
      </c>
      <c r="I21" t="str">
        <v/>
      </c>
      <c r="J21" t="str">
        <v>28/09/2026</v>
      </c>
      <c r="K21" t="str">
        <v>10:20:20</v>
      </c>
      <c r="L21">
        <v>-12.216418</v>
      </c>
      <c r="M21">
        <v>-76.9681</v>
      </c>
      <c r="N21">
        <f>HYPERLINK("https://www.google.com/maps/search/?api=1&amp;query=-12.216418,-76.9681","Avenida El Sol, Villa El Salvador, Lima")</f>
      </c>
      <c r="O21" t="str">
        <v>Se movio</v>
      </c>
      <c r="P21" t="str">
        <v/>
      </c>
      <c r="Q21">
        <v>135086.2</v>
      </c>
      <c r="R21" t="str">
        <v/>
      </c>
      <c r="S21">
        <v>7.4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10:20:17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10:20:56</v>
      </c>
      <c r="AL21" t="str">
        <v>10:20:56</v>
      </c>
      <c r="AM21" t="str">
        <v/>
      </c>
    </row>
    <row r="22">
      <c r="A22">
        <v>21</v>
      </c>
      <c r="B22" t="str">
        <v>MASS BSF</v>
      </c>
      <c r="C22" t="str">
        <v>F6V-794</v>
      </c>
      <c r="D22" t="str">
        <v>F6V-794</v>
      </c>
      <c r="E22" t="str">
        <v/>
      </c>
      <c r="F22" t="str">
        <v>865235053167082</v>
      </c>
      <c r="G22" t="str">
        <v>TBD</v>
      </c>
      <c r="H22" t="str">
        <v/>
      </c>
      <c r="I22" t="str">
        <v/>
      </c>
      <c r="J22" t="str">
        <v>28/09/2026</v>
      </c>
      <c r="K22" t="str">
        <v>10:20:20</v>
      </c>
      <c r="L22">
        <v>-12.216418</v>
      </c>
      <c r="M22">
        <v>-76.9681</v>
      </c>
      <c r="N22">
        <f>HYPERLINK("https://www.google.com/maps/search/?api=1&amp;query=-12.216418,-76.9681","Avenida El Sol, Villa El Salvador, Lima")</f>
      </c>
      <c r="O22" t="str">
        <v>Se movio</v>
      </c>
      <c r="P22" t="str">
        <v/>
      </c>
      <c r="Q22">
        <v>135086.2</v>
      </c>
      <c r="R22" t="str">
        <v/>
      </c>
      <c r="S22">
        <v>7.4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98</v>
      </c>
      <c r="AC22" t="str">
        <v>28/09/2026</v>
      </c>
      <c r="AD22" t="str">
        <v>10:20:17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10:20:55</v>
      </c>
      <c r="AL22" t="str">
        <v>10:20:55</v>
      </c>
      <c r="AM22" t="str">
        <v/>
      </c>
    </row>
    <row r="23">
      <c r="A23">
        <v>22</v>
      </c>
      <c r="B23" t="str">
        <v>MASS BSF</v>
      </c>
      <c r="C23" t="str">
        <v>F6V-794</v>
      </c>
      <c r="D23" t="str">
        <v>F6V-794</v>
      </c>
      <c r="E23" t="str">
        <v/>
      </c>
      <c r="F23" t="str">
        <v>865235053167082</v>
      </c>
      <c r="G23" t="str">
        <v>TBD</v>
      </c>
      <c r="H23" t="str">
        <v/>
      </c>
      <c r="I23" t="str">
        <v/>
      </c>
      <c r="J23" t="str">
        <v>28/09/2026</v>
      </c>
      <c r="K23" t="str">
        <v>10:23:08</v>
      </c>
      <c r="L23">
        <v>-12.214762</v>
      </c>
      <c r="M23">
        <v>-76.967186</v>
      </c>
      <c r="N23">
        <f>HYPERLINK("https://www.google.com/maps/search/?api=1&amp;query=-12.214762,-76.967186","Avenida El Sol, Villa El Salvador, Lima")</f>
      </c>
      <c r="O23" t="str">
        <v>Aceleración brusca</v>
      </c>
      <c r="P23" t="str">
        <v>CMT-910</v>
      </c>
      <c r="Q23">
        <v>135087.4</v>
      </c>
      <c r="R23" t="str">
        <v/>
      </c>
      <c r="S23">
        <v>43.1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99</v>
      </c>
      <c r="AC23" t="str">
        <v>28/09/2026</v>
      </c>
      <c r="AD23" t="str">
        <v>10:23:05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10:23:23</v>
      </c>
      <c r="AL23" t="str">
        <v>10:23:23</v>
      </c>
      <c r="AM23" t="str">
        <v/>
      </c>
    </row>
    <row r="24">
      <c r="A24">
        <v>23</v>
      </c>
      <c r="B24" t="str">
        <v>MASS BSF</v>
      </c>
      <c r="C24" t="str">
        <v>F6V-794</v>
      </c>
      <c r="D24" t="str">
        <v>F6V-794</v>
      </c>
      <c r="E24" t="str">
        <v/>
      </c>
      <c r="F24" t="str">
        <v>865235053167082</v>
      </c>
      <c r="G24" t="str">
        <v>TBD</v>
      </c>
      <c r="H24" t="str">
        <v/>
      </c>
      <c r="I24" t="str">
        <v/>
      </c>
      <c r="J24" t="str">
        <v>28/09/2026</v>
      </c>
      <c r="K24" t="str">
        <v>10:23:36</v>
      </c>
      <c r="L24">
        <v>-12.216475</v>
      </c>
      <c r="M24">
        <v>-76.96844</v>
      </c>
      <c r="N24">
        <f>HYPERLINK("https://www.google.com/maps/search/?api=1&amp;query=-12.216475,-76.96844","Avenida El Sol, Villa El Salvador, Lima")</f>
      </c>
      <c r="O24" t="str">
        <v>Aceleración brusca</v>
      </c>
      <c r="P24" t="str">
        <v>CMT-910</v>
      </c>
      <c r="Q24">
        <v>135087.6</v>
      </c>
      <c r="R24" t="str">
        <v/>
      </c>
      <c r="S24">
        <v>6.1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99</v>
      </c>
      <c r="AC24" t="str">
        <v>28/09/2026</v>
      </c>
      <c r="AD24" t="str">
        <v>10:23:33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10:23:52</v>
      </c>
      <c r="AL24" t="str">
        <v>10:23:52</v>
      </c>
      <c r="AM24" t="str">
        <v/>
      </c>
    </row>
    <row r="25">
      <c r="A25">
        <v>24</v>
      </c>
      <c r="B25" t="str">
        <v>MASS BSF</v>
      </c>
      <c r="C25" t="str">
        <v>F6V-794</v>
      </c>
      <c r="D25" t="str">
        <v>F6V-794</v>
      </c>
      <c r="E25" t="str">
        <v/>
      </c>
      <c r="F25" t="str">
        <v>865235053167082</v>
      </c>
      <c r="G25" t="str">
        <v>TBD</v>
      </c>
      <c r="H25" t="str">
        <v/>
      </c>
      <c r="I25" t="str">
        <v/>
      </c>
      <c r="J25" t="str">
        <v>28/09/2026</v>
      </c>
      <c r="K25" t="str">
        <v>10:24:16</v>
      </c>
      <c r="L25">
        <v>-12.217974</v>
      </c>
      <c r="M25">
        <v>-76.97006</v>
      </c>
      <c r="N25">
        <f>HYPERLINK("https://www.google.com/maps/search/?api=1&amp;query=-12.217974,-76.97006","Avenida El Sol, Villa El Salvador, Lima")</f>
      </c>
      <c r="O25" t="str">
        <v>Aceleración brusca</v>
      </c>
      <c r="P25" t="str">
        <v>CMT-910</v>
      </c>
      <c r="Q25">
        <v>135087.9</v>
      </c>
      <c r="R25" t="str">
        <v/>
      </c>
      <c r="S25">
        <v>9.2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99</v>
      </c>
      <c r="AC25" t="str">
        <v>28/09/2026</v>
      </c>
      <c r="AD25" t="str">
        <v>10:24:13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10:24:27</v>
      </c>
      <c r="AL25" t="str">
        <v>10:24:27</v>
      </c>
      <c r="AM25" t="str">
        <v/>
      </c>
    </row>
    <row r="26">
      <c r="A26">
        <v>25</v>
      </c>
      <c r="B26" t="str">
        <v>MASS BSF</v>
      </c>
      <c r="C26" t="str">
        <v>F6V-794</v>
      </c>
      <c r="D26" t="str">
        <v>F6V-794</v>
      </c>
      <c r="E26" t="str">
        <v/>
      </c>
      <c r="F26" t="str">
        <v>865235053167082</v>
      </c>
      <c r="G26" t="str">
        <v>TBD</v>
      </c>
      <c r="H26" t="str">
        <v/>
      </c>
      <c r="I26" t="str">
        <v/>
      </c>
      <c r="J26" t="str">
        <v>28/09/2026</v>
      </c>
      <c r="K26" t="str">
        <v>10:24:49</v>
      </c>
      <c r="L26">
        <v>-12.219345</v>
      </c>
      <c r="M26">
        <v>-76.97151</v>
      </c>
      <c r="N26">
        <f>HYPERLINK("https://www.google.com/maps/search/?api=1&amp;query=-12.219345,-76.97151","Avenida El Sol, Villa El Salvador, Lima")</f>
      </c>
      <c r="O26" t="str">
        <v>Aceleración brusca</v>
      </c>
      <c r="P26" t="str">
        <v>CMT-910</v>
      </c>
      <c r="Q26">
        <v>135088.1</v>
      </c>
      <c r="R26" t="str">
        <v/>
      </c>
      <c r="S26">
        <v>30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28/09/2026</v>
      </c>
      <c r="AD26" t="str">
        <v>10:24:46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10:24:59</v>
      </c>
      <c r="AL26" t="str">
        <v>10:24:59</v>
      </c>
      <c r="AM26" t="str">
        <v/>
      </c>
    </row>
    <row r="27">
      <c r="A27">
        <v>26</v>
      </c>
      <c r="B27" t="str">
        <v>MASS BSF</v>
      </c>
      <c r="C27" t="str">
        <v>F6V-794</v>
      </c>
      <c r="D27" t="str">
        <v>F6V-794</v>
      </c>
      <c r="E27" t="str">
        <v/>
      </c>
      <c r="F27" t="str">
        <v>865235053167082</v>
      </c>
      <c r="G27" t="str">
        <v>TBD</v>
      </c>
      <c r="H27" t="str">
        <v/>
      </c>
      <c r="I27" t="str">
        <v/>
      </c>
      <c r="J27" t="str">
        <v>28/09/2026</v>
      </c>
      <c r="K27" t="str">
        <v>10:24:51</v>
      </c>
      <c r="L27">
        <v>-12.219443</v>
      </c>
      <c r="M27">
        <v>-76.97163</v>
      </c>
      <c r="N27">
        <f>HYPERLINK("https://www.google.com/maps/search/?api=1&amp;query=-12.219443,-76.97163","Avenida El Sol, Villa El Salvador, Lima")</f>
      </c>
      <c r="O27" t="str">
        <v>Bache</v>
      </c>
      <c r="P27" t="str">
        <v/>
      </c>
      <c r="Q27">
        <v>135088.1</v>
      </c>
      <c r="R27" t="str">
        <v/>
      </c>
      <c r="S27">
        <v>29.4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28/09/2026</v>
      </c>
      <c r="AD27" t="str">
        <v>10:24:48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10:24:57</v>
      </c>
      <c r="AL27" t="str">
        <v>10:24:57</v>
      </c>
      <c r="AM27" t="str">
        <v/>
      </c>
    </row>
    <row r="28">
      <c r="A28">
        <v>27</v>
      </c>
      <c r="B28" t="str">
        <v>MASS BSF</v>
      </c>
      <c r="C28" t="str">
        <v>F6V-794</v>
      </c>
      <c r="D28" t="str">
        <v>F6V-794</v>
      </c>
      <c r="E28" t="str">
        <v/>
      </c>
      <c r="F28" t="str">
        <v>865235053167082</v>
      </c>
      <c r="G28" t="str">
        <v>TBD</v>
      </c>
      <c r="H28" t="str">
        <v/>
      </c>
      <c r="I28" t="str">
        <v/>
      </c>
      <c r="J28" t="str">
        <v>28/09/2026</v>
      </c>
      <c r="K28" t="str">
        <v>10:25:38</v>
      </c>
      <c r="L28">
        <v>-12.22208</v>
      </c>
      <c r="M28">
        <v>-76.97435</v>
      </c>
      <c r="N28">
        <f>HYPERLINK("https://www.google.com/maps/search/?api=1&amp;query=-12.22208,-76.97435","Avenida El Sol, Villa El Salvador, Lima")</f>
      </c>
      <c r="O28" t="str">
        <v>Bache</v>
      </c>
      <c r="P28" t="str">
        <v/>
      </c>
      <c r="Q28">
        <v>135088.5</v>
      </c>
      <c r="R28" t="str">
        <v/>
      </c>
      <c r="S28">
        <v>12.9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28/09/2026</v>
      </c>
      <c r="AD28" t="str">
        <v>10:25:35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10:26:05</v>
      </c>
      <c r="AL28" t="str">
        <v>10:26:05</v>
      </c>
      <c r="AM28" t="str">
        <v/>
      </c>
    </row>
    <row r="29">
      <c r="A29">
        <v>28</v>
      </c>
      <c r="B29" t="str">
        <v>MASS BSF</v>
      </c>
      <c r="C29" t="str">
        <v>F6V-794</v>
      </c>
      <c r="D29" t="str">
        <v>F6V-794</v>
      </c>
      <c r="E29" t="str">
        <v/>
      </c>
      <c r="F29" t="str">
        <v>865235053167082</v>
      </c>
      <c r="G29" t="str">
        <v>TBD</v>
      </c>
      <c r="H29" t="str">
        <v/>
      </c>
      <c r="I29" t="str">
        <v/>
      </c>
      <c r="J29" t="str">
        <v>28/09/2026</v>
      </c>
      <c r="K29" t="str">
        <v>10:30:43</v>
      </c>
      <c r="L29">
        <v>-12.22599</v>
      </c>
      <c r="M29">
        <v>-76.97133</v>
      </c>
      <c r="N29">
        <f>HYPERLINK("https://www.google.com/maps/search/?api=1&amp;query=-12.22599,-76.97133","Carretera Panamericana Sur, Villa El Salvador, Lima")</f>
      </c>
      <c r="O29" t="str">
        <v>Bache</v>
      </c>
      <c r="P29" t="str">
        <v/>
      </c>
      <c r="Q29">
        <v>135091.3</v>
      </c>
      <c r="R29" t="str">
        <v/>
      </c>
      <c r="S29">
        <v>31.4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99</v>
      </c>
      <c r="AC29" t="str">
        <v>28/09/2026</v>
      </c>
      <c r="AD29" t="str">
        <v>10:30:40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10:31:11</v>
      </c>
      <c r="AL29" t="str">
        <v>10:31:11</v>
      </c>
      <c r="AM29" t="str">
        <v/>
      </c>
    </row>
    <row r="30">
      <c r="A30">
        <v>29</v>
      </c>
      <c r="B30" t="str">
        <v>MASS BSF</v>
      </c>
      <c r="C30" t="str">
        <v>F6V-794</v>
      </c>
      <c r="D30" t="str">
        <v>F6V-794</v>
      </c>
      <c r="E30" t="str">
        <v/>
      </c>
      <c r="F30" t="str">
        <v>865235053167082</v>
      </c>
      <c r="G30" t="str">
        <v>TBD</v>
      </c>
      <c r="H30" t="str">
        <v/>
      </c>
      <c r="I30" t="str">
        <v/>
      </c>
      <c r="J30" t="str">
        <v>28/09/2026</v>
      </c>
      <c r="K30" t="str">
        <v>10:50:28</v>
      </c>
      <c r="L30">
        <v>-12.334887</v>
      </c>
      <c r="M30">
        <v>-76.81978</v>
      </c>
      <c r="N30">
        <f>HYPERLINK("https://www.google.com/maps/search/?api=1&amp;query=-12.334887,-76.81978","Antigua Panamericana Sur, Punta Hermosa, Lima")</f>
      </c>
      <c r="O30" t="str">
        <v>Bache</v>
      </c>
      <c r="P30" t="str">
        <v/>
      </c>
      <c r="Q30">
        <v>135112.2</v>
      </c>
      <c r="R30" t="str">
        <v/>
      </c>
      <c r="S30">
        <v>20.5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28/09/2026</v>
      </c>
      <c r="AD30" t="str">
        <v>10:50:25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10:50:50</v>
      </c>
      <c r="AL30" t="str">
        <v>10:50:50</v>
      </c>
      <c r="AM30" t="str">
        <v/>
      </c>
    </row>
    <row r="31">
      <c r="A31">
        <v>30</v>
      </c>
      <c r="B31" t="str">
        <v>MASS BSF</v>
      </c>
      <c r="C31" t="str">
        <v>F6V-794</v>
      </c>
      <c r="D31" t="str">
        <v>F6V-794</v>
      </c>
      <c r="E31" t="str">
        <v/>
      </c>
      <c r="F31" t="str">
        <v>865235053167082</v>
      </c>
      <c r="G31" t="str">
        <v>TBD</v>
      </c>
      <c r="H31" t="str">
        <v/>
      </c>
      <c r="I31" t="str">
        <v xml:space="preserve"> </v>
      </c>
      <c r="J31" t="str">
        <v>28/09/2026</v>
      </c>
      <c r="K31" t="str">
        <v>10:54:00</v>
      </c>
      <c r="L31">
        <v>-12.317536</v>
      </c>
      <c r="M31">
        <v>-76.82955</v>
      </c>
      <c r="N31">
        <f>HYPERLINK("https://www.google.com/maps/search/?api=1&amp;query=-12.317536,-76.82955","Punta Hermosa, Lima")</f>
      </c>
      <c r="O31" t="str">
        <v>Llegó a la zona</v>
      </c>
      <c r="P31" t="str">
        <v/>
      </c>
      <c r="Q31">
        <v>135114.5</v>
      </c>
      <c r="R31" t="str">
        <v>MASS BSF 1</v>
      </c>
      <c r="S31">
        <v>17.2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28/09/2026</v>
      </c>
      <c r="AD31" t="str">
        <v>10:53:57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10:54:07</v>
      </c>
      <c r="AL31" t="str">
        <v>10:54:07</v>
      </c>
      <c r="AM31" t="str">
        <v/>
      </c>
    </row>
    <row r="32">
      <c r="A32">
        <v>31</v>
      </c>
      <c r="B32" t="str">
        <v>MASS BSF</v>
      </c>
      <c r="C32" t="str">
        <v>F6V-794</v>
      </c>
      <c r="D32" t="str">
        <v>F6V-794</v>
      </c>
      <c r="E32" t="str">
        <v/>
      </c>
      <c r="F32" t="str">
        <v>865235053167082</v>
      </c>
      <c r="G32" t="str">
        <v>TBD</v>
      </c>
      <c r="H32" t="str">
        <v/>
      </c>
      <c r="I32" t="str">
        <v/>
      </c>
      <c r="J32" t="str">
        <v>28/09/2026</v>
      </c>
      <c r="K32" t="str">
        <v>10:56:21</v>
      </c>
      <c r="L32">
        <v>-12.317228</v>
      </c>
      <c r="M32">
        <v>-76.825905</v>
      </c>
      <c r="N32">
        <f>HYPERLINK("https://www.google.com/maps/search/?api=1&amp;query=-12.317228,-76.825905","Punta Hermosa, Lima")</f>
      </c>
      <c r="O32" t="str">
        <v>Bache</v>
      </c>
      <c r="P32" t="str">
        <v/>
      </c>
      <c r="Q32">
        <v>135115.1</v>
      </c>
      <c r="R32" t="str">
        <v/>
      </c>
      <c r="S32">
        <v>20.7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98</v>
      </c>
      <c r="AC32" t="str">
        <v>28/09/2026</v>
      </c>
      <c r="AD32" t="str">
        <v>10:56:18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10:56:34</v>
      </c>
      <c r="AL32" t="str">
        <v>10:56:34</v>
      </c>
      <c r="AM32" t="str">
        <v/>
      </c>
    </row>
    <row r="33">
      <c r="A33">
        <v>32</v>
      </c>
      <c r="B33" t="str">
        <v>MASS BSF</v>
      </c>
      <c r="C33" t="str">
        <v>F6V-794</v>
      </c>
      <c r="D33" t="str">
        <v>F6V-794</v>
      </c>
      <c r="E33" t="str">
        <v/>
      </c>
      <c r="F33" t="str">
        <v>865235053167082</v>
      </c>
      <c r="G33" t="str">
        <v>TBD</v>
      </c>
      <c r="H33" t="str">
        <v/>
      </c>
      <c r="I33" t="str">
        <v/>
      </c>
      <c r="J33" t="str">
        <v>28/09/2026</v>
      </c>
      <c r="K33" t="str">
        <v>10:56:29</v>
      </c>
      <c r="L33">
        <v>-12.31696</v>
      </c>
      <c r="M33">
        <v>-76.82551</v>
      </c>
      <c r="N33">
        <f>HYPERLINK("https://www.google.com/maps/search/?api=1&amp;query=-12.31696,-76.82551","Punta Hermosa, Lima")</f>
      </c>
      <c r="O33" t="str">
        <v>Bache</v>
      </c>
      <c r="P33" t="str">
        <v/>
      </c>
      <c r="Q33">
        <v>135115.1</v>
      </c>
      <c r="R33" t="str">
        <v/>
      </c>
      <c r="S33">
        <v>22.7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98</v>
      </c>
      <c r="AC33" t="str">
        <v>28/09/2026</v>
      </c>
      <c r="AD33" t="str">
        <v>10:56:26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10:56:39</v>
      </c>
      <c r="AL33" t="str">
        <v>10:56:39</v>
      </c>
      <c r="AM33" t="str">
        <v/>
      </c>
    </row>
    <row r="34">
      <c r="A34">
        <v>33</v>
      </c>
      <c r="B34" t="str">
        <v>MASS BSF</v>
      </c>
      <c r="C34" t="str">
        <v>F6V-794</v>
      </c>
      <c r="D34" t="str">
        <v>F6V-794</v>
      </c>
      <c r="E34" t="str">
        <v/>
      </c>
      <c r="F34" t="str">
        <v>865235053167082</v>
      </c>
      <c r="G34" t="str">
        <v>TBD</v>
      </c>
      <c r="H34" t="str">
        <v/>
      </c>
      <c r="I34" t="str">
        <v/>
      </c>
      <c r="J34" t="str">
        <v>28/09/2026</v>
      </c>
      <c r="K34" t="str">
        <v>10:56:33</v>
      </c>
      <c r="L34">
        <v>-12.316875</v>
      </c>
      <c r="M34">
        <v>-76.82538</v>
      </c>
      <c r="N34">
        <f>HYPERLINK("https://www.google.com/maps/search/?api=1&amp;query=-12.316875,-76.82538","Punta Hermosa, Lima")</f>
      </c>
      <c r="O34" t="str">
        <v>Bache</v>
      </c>
      <c r="P34" t="str">
        <v/>
      </c>
      <c r="Q34">
        <v>135115.1</v>
      </c>
      <c r="R34" t="str">
        <v/>
      </c>
      <c r="S34">
        <v>17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98</v>
      </c>
      <c r="AC34" t="str">
        <v>28/09/2026</v>
      </c>
      <c r="AD34" t="str">
        <v>10:56:29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10:56:55</v>
      </c>
      <c r="AL34" t="str">
        <v>10:56:55</v>
      </c>
      <c r="AM34" t="str">
        <v/>
      </c>
    </row>
    <row r="35">
      <c r="A35">
        <v>34</v>
      </c>
      <c r="B35" t="str">
        <v>MASS BSF</v>
      </c>
      <c r="C35" t="str">
        <v>F6V-794</v>
      </c>
      <c r="D35" t="str">
        <v>F6V-794</v>
      </c>
      <c r="E35" t="str">
        <v/>
      </c>
      <c r="F35" t="str">
        <v>865235053167082</v>
      </c>
      <c r="G35" t="str">
        <v>TBD</v>
      </c>
      <c r="H35" t="str">
        <v/>
      </c>
      <c r="I35" t="str">
        <v/>
      </c>
      <c r="J35" t="str">
        <v>28/09/2026</v>
      </c>
      <c r="K35" t="str">
        <v>10:59:50</v>
      </c>
      <c r="L35">
        <v>-12.31742</v>
      </c>
      <c r="M35">
        <v>-76.82288</v>
      </c>
      <c r="N35">
        <f>HYPERLINK("https://www.google.com/maps/search/?api=1&amp;query=-12.31742,-76.82288","Punta Hermosa, Lima")</f>
      </c>
      <c r="O35" t="str">
        <v>Vehículo apagado</v>
      </c>
      <c r="P35" t="str">
        <v>Vehículo Apagado</v>
      </c>
      <c r="Q35">
        <v>135115.6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28/09/2026</v>
      </c>
      <c r="AD35" t="str">
        <v>10:59:47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11:00:01</v>
      </c>
      <c r="AL35" t="str">
        <v>11:00:01</v>
      </c>
      <c r="AM35" t="str">
        <v/>
      </c>
    </row>
    <row r="36">
      <c r="A36">
        <v>35</v>
      </c>
      <c r="B36" t="str">
        <v>MASS BSF</v>
      </c>
      <c r="C36" t="str">
        <v>F6V-794</v>
      </c>
      <c r="D36" t="str">
        <v>F6V-794</v>
      </c>
      <c r="E36" t="str">
        <v/>
      </c>
      <c r="F36" t="str">
        <v>865235053167082</v>
      </c>
      <c r="G36" t="str">
        <v>TBD</v>
      </c>
      <c r="H36" t="str">
        <v/>
      </c>
      <c r="I36" t="str">
        <v/>
      </c>
      <c r="J36" t="str">
        <v>28/09/2026</v>
      </c>
      <c r="K36" t="str">
        <v>11:15:13</v>
      </c>
      <c r="L36">
        <v>-12.31742</v>
      </c>
      <c r="M36">
        <v>-76.82288</v>
      </c>
      <c r="N36">
        <f>HYPERLINK("https://www.google.com/maps/search/?api=1&amp;query=-12.31742,-76.82288","Punta Hermosa, Lima")</f>
      </c>
      <c r="O36" t="str">
        <v>Vehículo encendido</v>
      </c>
      <c r="P36" t="str">
        <v/>
      </c>
      <c r="Q36">
        <v>135115.6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28/09/2026</v>
      </c>
      <c r="AD36" t="str">
        <v>11:15:10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11:15:25</v>
      </c>
      <c r="AL36" t="str">
        <v>11:15:25</v>
      </c>
      <c r="AM36" t="str">
        <v/>
      </c>
    </row>
    <row r="37">
      <c r="A37">
        <v>36</v>
      </c>
      <c r="B37" t="str">
        <v>MASS BSF</v>
      </c>
      <c r="C37" t="str">
        <v>F6V-794</v>
      </c>
      <c r="D37" t="str">
        <v>F6V-794</v>
      </c>
      <c r="E37" t="str">
        <v/>
      </c>
      <c r="F37" t="str">
        <v>865235053167082</v>
      </c>
      <c r="G37" t="str">
        <v>TBD</v>
      </c>
      <c r="H37" t="str">
        <v/>
      </c>
      <c r="I37" t="str">
        <v/>
      </c>
      <c r="J37" t="str">
        <v>28/09/2026</v>
      </c>
      <c r="K37" t="str">
        <v>11:17:17</v>
      </c>
      <c r="L37">
        <v>-12.31774</v>
      </c>
      <c r="M37">
        <v>-76.82287</v>
      </c>
      <c r="N37">
        <f>HYPERLINK("https://www.google.com/maps/search/?api=1&amp;query=-12.31774,-76.82287","Punta Hermosa, Lima")</f>
      </c>
      <c r="O37" t="str">
        <v>Se movio</v>
      </c>
      <c r="P37" t="str">
        <v/>
      </c>
      <c r="Q37">
        <v>135115.7</v>
      </c>
      <c r="R37" t="str">
        <v/>
      </c>
      <c r="S37">
        <v>10.7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28/09/2026</v>
      </c>
      <c r="AD37" t="str">
        <v>11:17:14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11:17:30</v>
      </c>
      <c r="AL37" t="str">
        <v>11:17:30</v>
      </c>
      <c r="AM37" t="str">
        <v/>
      </c>
    </row>
    <row r="38">
      <c r="A38">
        <v>37</v>
      </c>
      <c r="B38" t="str">
        <v>MASS BSF</v>
      </c>
      <c r="C38" t="str">
        <v>F6V-794</v>
      </c>
      <c r="D38" t="str">
        <v>F6V-794</v>
      </c>
      <c r="E38" t="str">
        <v/>
      </c>
      <c r="F38" t="str">
        <v>865235053167082</v>
      </c>
      <c r="G38" t="str">
        <v>TBD</v>
      </c>
      <c r="H38" t="str">
        <v/>
      </c>
      <c r="I38" t="str">
        <v/>
      </c>
      <c r="J38" t="str">
        <v>28/09/2026</v>
      </c>
      <c r="K38" t="str">
        <v>11:19:13</v>
      </c>
      <c r="L38">
        <v>-12.317605</v>
      </c>
      <c r="M38">
        <v>-76.82435</v>
      </c>
      <c r="N38">
        <f>HYPERLINK("https://www.google.com/maps/search/?api=1&amp;query=-12.317605,-76.82435","Punta Hermosa, Lima")</f>
      </c>
      <c r="O38" t="str">
        <v>Vehículo apagado</v>
      </c>
      <c r="P38" t="str">
        <v>Vehículo Apagado</v>
      </c>
      <c r="Q38">
        <v>135115.9</v>
      </c>
      <c r="R38" t="str">
        <v/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28/09/2026</v>
      </c>
      <c r="AD38" t="str">
        <v>11:19:10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11:19:54</v>
      </c>
      <c r="AL38" t="str">
        <v>11:19:54</v>
      </c>
      <c r="AM38" t="str">
        <v/>
      </c>
    </row>
    <row r="39">
      <c r="A39">
        <v>38</v>
      </c>
      <c r="B39" t="str">
        <v>MASS BSF</v>
      </c>
      <c r="C39" t="str">
        <v>F6V-794</v>
      </c>
      <c r="D39" t="str">
        <v>F6V-794</v>
      </c>
      <c r="E39" t="str">
        <v/>
      </c>
      <c r="F39" t="str">
        <v>865235053167082</v>
      </c>
      <c r="G39" t="str">
        <v>TBD</v>
      </c>
      <c r="H39" t="str">
        <v/>
      </c>
      <c r="I39" t="str">
        <v/>
      </c>
      <c r="J39" t="str">
        <v>28/09/2026</v>
      </c>
      <c r="K39" t="str">
        <v>11:42:27</v>
      </c>
      <c r="L39">
        <v>-12.317605</v>
      </c>
      <c r="M39">
        <v>-76.82435</v>
      </c>
      <c r="N39">
        <f>HYPERLINK("https://www.google.com/maps/search/?api=1&amp;query=-12.317605,-76.82435","Punta Hermosa, Lima")</f>
      </c>
      <c r="O39" t="str">
        <v>Vehículo encendido</v>
      </c>
      <c r="P39" t="str">
        <v/>
      </c>
      <c r="Q39">
        <v>135115.9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28/09/2026</v>
      </c>
      <c r="AD39" t="str">
        <v>11:42:24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11:42:41</v>
      </c>
      <c r="AL39" t="str">
        <v>11:42:41</v>
      </c>
      <c r="AM39" t="str">
        <v/>
      </c>
    </row>
    <row r="40">
      <c r="A40">
        <v>39</v>
      </c>
      <c r="B40" t="str">
        <v>MASS BSF</v>
      </c>
      <c r="C40" t="str">
        <v>F6V-794</v>
      </c>
      <c r="D40" t="str">
        <v>F6V-794</v>
      </c>
      <c r="E40" t="str">
        <v/>
      </c>
      <c r="F40" t="str">
        <v>865235053167082</v>
      </c>
      <c r="G40" t="str">
        <v>TBD</v>
      </c>
      <c r="H40" t="str">
        <v/>
      </c>
      <c r="I40" t="str">
        <v/>
      </c>
      <c r="J40" t="str">
        <v>28/09/2026</v>
      </c>
      <c r="K40" t="str">
        <v>11:43:47</v>
      </c>
      <c r="L40">
        <v>-12.317882</v>
      </c>
      <c r="M40">
        <v>-76.82419</v>
      </c>
      <c r="N40">
        <f>HYPERLINK("https://www.google.com/maps/search/?api=1&amp;query=-12.317882,-76.82419","Punta Hermosa, Lima")</f>
      </c>
      <c r="O40" t="str">
        <v>Vehículo apagado</v>
      </c>
      <c r="P40" t="str">
        <v>Vehículo Apagado</v>
      </c>
      <c r="Q40">
        <v>135116</v>
      </c>
      <c r="R40" t="str">
        <v/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98</v>
      </c>
      <c r="AC40" t="str">
        <v>28/09/2026</v>
      </c>
      <c r="AD40" t="str">
        <v>11:43:44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11:43:53</v>
      </c>
      <c r="AL40" t="str">
        <v>11:43:53</v>
      </c>
      <c r="AM40" t="str">
        <v/>
      </c>
    </row>
    <row r="41">
      <c r="A41">
        <v>40</v>
      </c>
      <c r="B41" t="str">
        <v>MASS BSF</v>
      </c>
      <c r="C41" t="str">
        <v>F6V-794</v>
      </c>
      <c r="D41" t="str">
        <v>F6V-794</v>
      </c>
      <c r="E41" t="str">
        <v/>
      </c>
      <c r="F41" t="str">
        <v>865235053167082</v>
      </c>
      <c r="G41" t="str">
        <v>TBD</v>
      </c>
      <c r="H41" t="str">
        <v/>
      </c>
      <c r="I41" t="str">
        <v/>
      </c>
      <c r="J41" t="str">
        <v>28/09/2026</v>
      </c>
      <c r="K41" t="str">
        <v>11:46:19</v>
      </c>
      <c r="L41">
        <v>-12.317882</v>
      </c>
      <c r="M41">
        <v>-76.82419</v>
      </c>
      <c r="N41">
        <f>HYPERLINK("https://www.google.com/maps/search/?api=1&amp;query=-12.317882,-76.82419","Punta Hermosa, Lima")</f>
      </c>
      <c r="O41" t="str">
        <v>Vehículo encendido</v>
      </c>
      <c r="P41" t="str">
        <v/>
      </c>
      <c r="Q41">
        <v>135116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98</v>
      </c>
      <c r="AC41" t="str">
        <v>28/09/2026</v>
      </c>
      <c r="AD41" t="str">
        <v>11:46:16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11:46:28</v>
      </c>
      <c r="AL41" t="str">
        <v>11:46:28</v>
      </c>
      <c r="AM41" t="str">
        <v/>
      </c>
    </row>
    <row r="42">
      <c r="A42">
        <v>41</v>
      </c>
      <c r="B42" t="str">
        <v>MASS BSF</v>
      </c>
      <c r="C42" t="str">
        <v>F6V-794</v>
      </c>
      <c r="D42" t="str">
        <v>F6V-794</v>
      </c>
      <c r="E42" t="str">
        <v/>
      </c>
      <c r="F42" t="str">
        <v>865235053167082</v>
      </c>
      <c r="G42" t="str">
        <v>TBD</v>
      </c>
      <c r="H42" t="str">
        <v/>
      </c>
      <c r="I42" t="str">
        <v/>
      </c>
      <c r="J42" t="str">
        <v>28/09/2026</v>
      </c>
      <c r="K42" t="str">
        <v>11:49:01</v>
      </c>
      <c r="L42">
        <v>-12.317873</v>
      </c>
      <c r="M42">
        <v>-76.824196</v>
      </c>
      <c r="N42">
        <f>HYPERLINK("https://www.google.com/maps/search/?api=1&amp;query=-12.317873,-76.824196","Punta Hermosa, Lima")</f>
      </c>
      <c r="O42" t="str">
        <v>Vehículo apagado</v>
      </c>
      <c r="P42" t="str">
        <v>Vehículo Apagado</v>
      </c>
      <c r="Q42">
        <v>135116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98</v>
      </c>
      <c r="AC42" t="str">
        <v>28/09/2026</v>
      </c>
      <c r="AD42" t="str">
        <v>11:48:58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11:49:19</v>
      </c>
      <c r="AL42" t="str">
        <v>11:49:19</v>
      </c>
      <c r="AM42" t="str">
        <v/>
      </c>
    </row>
    <row r="43">
      <c r="A43">
        <v>42</v>
      </c>
      <c r="B43" t="str">
        <v>MASS BSF</v>
      </c>
      <c r="C43" t="str">
        <v>F6V-794</v>
      </c>
      <c r="D43" t="str">
        <v>F6V-794</v>
      </c>
      <c r="E43" t="str">
        <v/>
      </c>
      <c r="F43" t="str">
        <v>865235053167082</v>
      </c>
      <c r="G43" t="str">
        <v>TBD</v>
      </c>
      <c r="H43" t="str">
        <v/>
      </c>
      <c r="I43" t="str">
        <v/>
      </c>
      <c r="J43" t="str">
        <v>28/09/2026</v>
      </c>
      <c r="K43" t="str">
        <v>12:02:18</v>
      </c>
      <c r="L43">
        <v>-12.317873</v>
      </c>
      <c r="M43">
        <v>-76.824196</v>
      </c>
      <c r="N43">
        <f>HYPERLINK("https://www.google.com/maps/search/?api=1&amp;query=-12.317873,-76.824196","Punta Hermosa, Lima")</f>
      </c>
      <c r="O43" t="str">
        <v>Vehículo encendido</v>
      </c>
      <c r="P43" t="str">
        <v/>
      </c>
      <c r="Q43">
        <v>135116</v>
      </c>
      <c r="R43" t="str">
        <v/>
      </c>
      <c r="S43">
        <v>0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98</v>
      </c>
      <c r="AC43" t="str">
        <v>28/09/2026</v>
      </c>
      <c r="AD43" t="str">
        <v>12:02:15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12:02:26</v>
      </c>
      <c r="AL43" t="str">
        <v>12:02:26</v>
      </c>
      <c r="AM43" t="str">
        <v/>
      </c>
    </row>
    <row r="44">
      <c r="A44">
        <v>43</v>
      </c>
      <c r="B44" t="str">
        <v>MASS BSF</v>
      </c>
      <c r="C44" t="str">
        <v>F6V-794</v>
      </c>
      <c r="D44" t="str">
        <v>F6V-794</v>
      </c>
      <c r="E44" t="str">
        <v/>
      </c>
      <c r="F44" t="str">
        <v>865235053167082</v>
      </c>
      <c r="G44" t="str">
        <v>TBD</v>
      </c>
      <c r="H44" t="str">
        <v/>
      </c>
      <c r="I44" t="str">
        <v/>
      </c>
      <c r="J44" t="str">
        <v>28/09/2026</v>
      </c>
      <c r="K44" t="str">
        <v>12:02:25</v>
      </c>
      <c r="L44">
        <v>-12.317873</v>
      </c>
      <c r="M44">
        <v>-76.824196</v>
      </c>
      <c r="N44">
        <f>HYPERLINK("https://www.google.com/maps/search/?api=1&amp;query=-12.317873,-76.824196","Punta Hermosa, Lima")</f>
      </c>
      <c r="O44" t="str">
        <v>Vehículo apagado</v>
      </c>
      <c r="P44" t="str">
        <v>Vehículo Apagado</v>
      </c>
      <c r="Q44">
        <v>135116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98</v>
      </c>
      <c r="AC44" t="str">
        <v>28/09/2026</v>
      </c>
      <c r="AD44" t="str">
        <v>12:02:21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12:02:36</v>
      </c>
      <c r="AL44" t="str">
        <v>12:02:36</v>
      </c>
      <c r="AM44" t="str">
        <v/>
      </c>
    </row>
    <row r="45">
      <c r="A45">
        <v>44</v>
      </c>
      <c r="B45" t="str">
        <v>MASS BSF</v>
      </c>
      <c r="C45" t="str">
        <v>F6V-794</v>
      </c>
      <c r="D45" t="str">
        <v>F6V-794</v>
      </c>
      <c r="E45" t="str">
        <v/>
      </c>
      <c r="F45" t="str">
        <v>865235053167082</v>
      </c>
      <c r="G45" t="str">
        <v>TBD</v>
      </c>
      <c r="H45" t="str">
        <v/>
      </c>
      <c r="I45" t="str">
        <v/>
      </c>
      <c r="J45" t="str">
        <v>28/09/2026</v>
      </c>
      <c r="K45" t="str">
        <v>12:32:26</v>
      </c>
      <c r="L45">
        <v>-12.317873</v>
      </c>
      <c r="M45">
        <v>-76.824196</v>
      </c>
      <c r="N45">
        <f>HYPERLINK("https://www.google.com/maps/search/?api=1&amp;query=-12.317873,-76.824196","Punta Hermosa, Lima")</f>
      </c>
      <c r="O45" t="str">
        <v>Vehículo encendido</v>
      </c>
      <c r="P45" t="str">
        <v/>
      </c>
      <c r="Q45">
        <v>135116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98</v>
      </c>
      <c r="AC45" t="str">
        <v>28/09/2026</v>
      </c>
      <c r="AD45" t="str">
        <v>12:32:22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12:32:50</v>
      </c>
      <c r="AL45" t="str">
        <v>12:32:50</v>
      </c>
      <c r="AM45" t="str">
        <v/>
      </c>
    </row>
    <row r="46">
      <c r="A46">
        <v>45</v>
      </c>
      <c r="B46" t="str">
        <v>MASS BSF</v>
      </c>
      <c r="C46" t="str">
        <v>F6V-794</v>
      </c>
      <c r="D46" t="str">
        <v>F6V-794</v>
      </c>
      <c r="E46" t="str">
        <v/>
      </c>
      <c r="F46" t="str">
        <v>865235053167082</v>
      </c>
      <c r="G46" t="str">
        <v>TBD</v>
      </c>
      <c r="H46" t="str">
        <v/>
      </c>
      <c r="I46" t="str">
        <v/>
      </c>
      <c r="J46" t="str">
        <v>28/09/2026</v>
      </c>
      <c r="K46" t="str">
        <v>12:37:42</v>
      </c>
      <c r="L46">
        <v>-12.315786</v>
      </c>
      <c r="M46">
        <v>-76.82686</v>
      </c>
      <c r="N46">
        <f>HYPERLINK("https://www.google.com/maps/search/?api=1&amp;query=-12.315786,-76.82686","Punta Hermosa, Lima")</f>
      </c>
      <c r="O46" t="str">
        <v>Se movio</v>
      </c>
      <c r="P46" t="str">
        <v/>
      </c>
      <c r="Q46">
        <v>135116.4</v>
      </c>
      <c r="R46" t="str">
        <v/>
      </c>
      <c r="S46">
        <v>10.9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28/09/2026</v>
      </c>
      <c r="AD46" t="str">
        <v>12:37:38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12:37:59</v>
      </c>
      <c r="AL46" t="str">
        <v>12:37:59</v>
      </c>
      <c r="AM46" t="str">
        <v/>
      </c>
    </row>
    <row r="47">
      <c r="A47">
        <v>46</v>
      </c>
      <c r="B47" t="str">
        <v>MASS BSF</v>
      </c>
      <c r="C47" t="str">
        <v>F6V-794</v>
      </c>
      <c r="D47" t="str">
        <v>F6V-794</v>
      </c>
      <c r="E47" t="str">
        <v/>
      </c>
      <c r="F47" t="str">
        <v>865235053167082</v>
      </c>
      <c r="G47" t="str">
        <v>TBD</v>
      </c>
      <c r="H47" t="str">
        <v/>
      </c>
      <c r="I47" t="str">
        <v xml:space="preserve"> </v>
      </c>
      <c r="J47" t="str">
        <v>28/09/2026</v>
      </c>
      <c r="K47" t="str">
        <v>12:40:20</v>
      </c>
      <c r="L47">
        <v>-12.31754</v>
      </c>
      <c r="M47">
        <v>-76.83</v>
      </c>
      <c r="N47">
        <f>HYPERLINK("https://www.google.com/maps/search/?api=1&amp;query=-12.31754,-76.83","Punta Hermosa, Lima")</f>
      </c>
      <c r="O47" t="str">
        <v>Salió de zona</v>
      </c>
      <c r="P47" t="str">
        <v/>
      </c>
      <c r="Q47">
        <v>135116.8</v>
      </c>
      <c r="R47" t="str">
        <v>MASS BSF 1</v>
      </c>
      <c r="S47">
        <v>13.8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99</v>
      </c>
      <c r="AC47" t="str">
        <v>28/09/2026</v>
      </c>
      <c r="AD47" t="str">
        <v>12:40:17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12:40:32</v>
      </c>
      <c r="AL47" t="str">
        <v>12:40:32</v>
      </c>
      <c r="AM47" t="str">
        <v/>
      </c>
    </row>
    <row r="48">
      <c r="A48">
        <v>47</v>
      </c>
      <c r="B48" t="str">
        <v>MASS BSF</v>
      </c>
      <c r="C48" t="str">
        <v>F6V-794</v>
      </c>
      <c r="D48" t="str">
        <v>F6V-794</v>
      </c>
      <c r="E48" t="str">
        <v/>
      </c>
      <c r="F48" t="str">
        <v>865235053167082</v>
      </c>
      <c r="G48" t="str">
        <v>TBD</v>
      </c>
      <c r="H48" t="str">
        <v/>
      </c>
      <c r="I48" t="str">
        <v/>
      </c>
      <c r="J48" t="str">
        <v>28/09/2026</v>
      </c>
      <c r="K48" t="str">
        <v>13:04:35</v>
      </c>
      <c r="L48">
        <v>-12.238655</v>
      </c>
      <c r="M48">
        <v>-76.91255</v>
      </c>
      <c r="N48">
        <f>HYPERLINK("https://www.google.com/maps/search/?api=1&amp;query=-12.238655,-76.91255","Avenida Lima, Villa El Salvador")</f>
      </c>
      <c r="O48" t="str">
        <v>Bache</v>
      </c>
      <c r="P48" t="str">
        <v/>
      </c>
      <c r="Q48">
        <v>135132.7</v>
      </c>
      <c r="R48" t="str">
        <v/>
      </c>
      <c r="S48">
        <v>6.4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28/09/2026</v>
      </c>
      <c r="AD48" t="str">
        <v>13:04:31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13:04:59</v>
      </c>
      <c r="AL48" t="str">
        <v>13:04:59</v>
      </c>
      <c r="AM48" t="str">
        <v/>
      </c>
    </row>
    <row r="49">
      <c r="A49">
        <v>48</v>
      </c>
      <c r="B49" t="str">
        <v>MASS BSF</v>
      </c>
      <c r="C49" t="str">
        <v>F6V-794</v>
      </c>
      <c r="D49" t="str">
        <v>F6V-794</v>
      </c>
      <c r="E49" t="str">
        <v/>
      </c>
      <c r="F49" t="str">
        <v>865235053167082</v>
      </c>
      <c r="G49" t="str">
        <v>TBD</v>
      </c>
      <c r="H49" t="str">
        <v/>
      </c>
      <c r="I49" t="str">
        <v/>
      </c>
      <c r="J49" t="str">
        <v>28/09/2026</v>
      </c>
      <c r="K49" t="str">
        <v>13:06:38</v>
      </c>
      <c r="L49">
        <v>-12.233597</v>
      </c>
      <c r="M49">
        <v>-76.91103</v>
      </c>
      <c r="N49">
        <f>HYPERLINK("https://www.google.com/maps/search/?api=1&amp;query=-12.233597,-76.91103","Avenida Lima, Villa El Salvador")</f>
      </c>
      <c r="O49" t="str">
        <v>Bache</v>
      </c>
      <c r="P49" t="str">
        <v/>
      </c>
      <c r="Q49">
        <v>135133.3</v>
      </c>
      <c r="R49" t="str">
        <v/>
      </c>
      <c r="S49">
        <v>5.5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28/09/2026</v>
      </c>
      <c r="AD49" t="str">
        <v>13:06:34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13:06:48</v>
      </c>
      <c r="AL49" t="str">
        <v>13:06:48</v>
      </c>
      <c r="AM49" t="str">
        <v/>
      </c>
    </row>
    <row r="50">
      <c r="A50">
        <v>49</v>
      </c>
      <c r="B50" t="str">
        <v>MASS BSF</v>
      </c>
      <c r="C50" t="str">
        <v>F6V-794</v>
      </c>
      <c r="D50" t="str">
        <v>F6V-794</v>
      </c>
      <c r="E50" t="str">
        <v/>
      </c>
      <c r="F50" t="str">
        <v>865235053167082</v>
      </c>
      <c r="G50" t="str">
        <v>TBD</v>
      </c>
      <c r="H50" t="str">
        <v/>
      </c>
      <c r="I50" t="str">
        <v/>
      </c>
      <c r="J50" t="str">
        <v>28/09/2026</v>
      </c>
      <c r="K50" t="str">
        <v>13:10:11</v>
      </c>
      <c r="L50">
        <v>-12.227538</v>
      </c>
      <c r="M50">
        <v>-76.90904</v>
      </c>
      <c r="N50">
        <f>HYPERLINK("https://www.google.com/maps/search/?api=1&amp;query=-12.227538,-76.90904","Avenida Lima, Villa María del Triunfo")</f>
      </c>
      <c r="O50" t="str">
        <v>Bache</v>
      </c>
      <c r="P50" t="str">
        <v/>
      </c>
      <c r="Q50">
        <v>135134</v>
      </c>
      <c r="R50" t="str">
        <v/>
      </c>
      <c r="S50">
        <v>5.9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28/09/2026</v>
      </c>
      <c r="AD50" t="str">
        <v>13:10:07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13:10:19</v>
      </c>
      <c r="AL50" t="str">
        <v>13:10:19</v>
      </c>
      <c r="AM50" t="str">
        <v/>
      </c>
    </row>
    <row r="51">
      <c r="A51">
        <v>50</v>
      </c>
      <c r="B51" t="str">
        <v>MASS BSF</v>
      </c>
      <c r="C51" t="str">
        <v>F6V-794</v>
      </c>
      <c r="D51" t="str">
        <v>F6V-794</v>
      </c>
      <c r="E51" t="str">
        <v/>
      </c>
      <c r="F51" t="str">
        <v>865235053167082</v>
      </c>
      <c r="G51" t="str">
        <v>TBD</v>
      </c>
      <c r="H51" t="str">
        <v/>
      </c>
      <c r="I51" t="str">
        <v/>
      </c>
      <c r="J51" t="str">
        <v>28/09/2026</v>
      </c>
      <c r="K51" t="str">
        <v>13:10:55</v>
      </c>
      <c r="L51">
        <v>-12.225003</v>
      </c>
      <c r="M51">
        <v>-76.90845</v>
      </c>
      <c r="N51">
        <f>HYPERLINK("https://www.google.com/maps/search/?api=1&amp;query=-12.225003,-76.90845","Avenida Lima, Villa María del Triunfo")</f>
      </c>
      <c r="O51" t="str">
        <v>Bache</v>
      </c>
      <c r="P51" t="str">
        <v/>
      </c>
      <c r="Q51">
        <v>135134.3</v>
      </c>
      <c r="R51" t="str">
        <v/>
      </c>
      <c r="S51">
        <v>7.4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28/09/2026</v>
      </c>
      <c r="AD51" t="str">
        <v>13:10:51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13:11:14</v>
      </c>
      <c r="AL51" t="str">
        <v>13:11:14</v>
      </c>
      <c r="AM51" t="str">
        <v/>
      </c>
    </row>
    <row r="52">
      <c r="A52">
        <v>51</v>
      </c>
      <c r="B52" t="str">
        <v>MASS BSF</v>
      </c>
      <c r="C52" t="str">
        <v>F6V-794</v>
      </c>
      <c r="D52" t="str">
        <v>F6V-794</v>
      </c>
      <c r="E52" t="str">
        <v/>
      </c>
      <c r="F52" t="str">
        <v>865235053167082</v>
      </c>
      <c r="G52" t="str">
        <v>TBD</v>
      </c>
      <c r="H52" t="str">
        <v/>
      </c>
      <c r="I52" t="str">
        <v/>
      </c>
      <c r="J52" t="str">
        <v>28/09/2026</v>
      </c>
      <c r="K52" t="str">
        <v>13:11:22</v>
      </c>
      <c r="L52">
        <v>-12.223833</v>
      </c>
      <c r="M52">
        <v>-76.908226</v>
      </c>
      <c r="N52">
        <f>HYPERLINK("https://www.google.com/maps/search/?api=1&amp;query=-12.223833,-76.908226","Avenida Lima, Villa María del Triunfo")</f>
      </c>
      <c r="O52" t="str">
        <v>Bache</v>
      </c>
      <c r="P52" t="str">
        <v/>
      </c>
      <c r="Q52">
        <v>135134.4</v>
      </c>
      <c r="R52" t="str">
        <v/>
      </c>
      <c r="S52">
        <v>6.6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28/09/2026</v>
      </c>
      <c r="AD52" t="str">
        <v>13:11:18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13:11:38</v>
      </c>
      <c r="AL52" t="str">
        <v>13:11:38</v>
      </c>
      <c r="AM52" t="str">
        <v/>
      </c>
    </row>
    <row r="53">
      <c r="A53">
        <v>52</v>
      </c>
      <c r="B53" t="str">
        <v>MASS BSF</v>
      </c>
      <c r="C53" t="str">
        <v>F6V-794</v>
      </c>
      <c r="D53" t="str">
        <v>F6V-794</v>
      </c>
      <c r="E53" t="str">
        <v/>
      </c>
      <c r="F53" t="str">
        <v>865235053167082</v>
      </c>
      <c r="G53" t="str">
        <v>TBD</v>
      </c>
      <c r="H53" t="str">
        <v/>
      </c>
      <c r="I53" t="str">
        <v/>
      </c>
      <c r="J53" t="str">
        <v>28/09/2026</v>
      </c>
      <c r="K53" t="str">
        <v>13:16:49</v>
      </c>
      <c r="L53">
        <v>-12.220228</v>
      </c>
      <c r="M53">
        <v>-76.90759</v>
      </c>
      <c r="N53">
        <f>HYPERLINK("https://www.google.com/maps/search/?api=1&amp;query=-12.220228,-76.90759","Avenida Lima, Villa María del Triunfo")</f>
      </c>
      <c r="O53" t="str">
        <v>Bache</v>
      </c>
      <c r="P53" t="str">
        <v/>
      </c>
      <c r="Q53">
        <v>135135</v>
      </c>
      <c r="R53" t="str">
        <v/>
      </c>
      <c r="S53">
        <v>5.5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99</v>
      </c>
      <c r="AC53" t="str">
        <v>28/09/2026</v>
      </c>
      <c r="AD53" t="str">
        <v>13:16:45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13:16:59</v>
      </c>
      <c r="AL53" t="str">
        <v>13:16:59</v>
      </c>
      <c r="AM53" t="str">
        <v/>
      </c>
    </row>
    <row r="54">
      <c r="A54">
        <v>53</v>
      </c>
      <c r="B54" t="str">
        <v>MASS BSF</v>
      </c>
      <c r="C54" t="str">
        <v>F6V-794</v>
      </c>
      <c r="D54" t="str">
        <v>F6V-794</v>
      </c>
      <c r="E54" t="str">
        <v/>
      </c>
      <c r="F54" t="str">
        <v>865235053167082</v>
      </c>
      <c r="G54" t="str">
        <v>TBD</v>
      </c>
      <c r="H54" t="str">
        <v/>
      </c>
      <c r="I54" t="str">
        <v/>
      </c>
      <c r="J54" t="str">
        <v>28/09/2026</v>
      </c>
      <c r="K54" t="str">
        <v>13:18:56</v>
      </c>
      <c r="L54">
        <v>-12.215555</v>
      </c>
      <c r="M54">
        <v>-76.90678</v>
      </c>
      <c r="N54">
        <f>HYPERLINK("https://www.google.com/maps/search/?api=1&amp;query=-12.215555,-76.90678","Avenida Lima, Villa María del Triunfo")</f>
      </c>
      <c r="O54" t="str">
        <v>Bache</v>
      </c>
      <c r="P54" t="str">
        <v/>
      </c>
      <c r="Q54">
        <v>135135.5</v>
      </c>
      <c r="R54" t="str">
        <v/>
      </c>
      <c r="S54">
        <v>7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99</v>
      </c>
      <c r="AC54" t="str">
        <v>28/09/2026</v>
      </c>
      <c r="AD54" t="str">
        <v>13:18:52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13:19:04</v>
      </c>
      <c r="AL54" t="str">
        <v>13:19:04</v>
      </c>
      <c r="AM54" t="str">
        <v/>
      </c>
    </row>
    <row r="55">
      <c r="A55">
        <v>54</v>
      </c>
      <c r="B55" t="str">
        <v>MASS BSF</v>
      </c>
      <c r="C55" t="str">
        <v>F6V-794</v>
      </c>
      <c r="D55" t="str">
        <v>F6V-794</v>
      </c>
      <c r="E55" t="str">
        <v/>
      </c>
      <c r="F55" t="str">
        <v>865235053167082</v>
      </c>
      <c r="G55" t="str">
        <v>TBD</v>
      </c>
      <c r="H55" t="str">
        <v/>
      </c>
      <c r="I55" t="str">
        <v/>
      </c>
      <c r="J55" t="str">
        <v>28/09/2026</v>
      </c>
      <c r="K55" t="str">
        <v>13:20:11</v>
      </c>
      <c r="L55">
        <v>-12.21225</v>
      </c>
      <c r="M55">
        <v>-76.906235</v>
      </c>
      <c r="N55">
        <f>HYPERLINK("https://www.google.com/maps/search/?api=1&amp;query=-12.21225,-76.906235","Avenida Lima, Villa María del Triunfo")</f>
      </c>
      <c r="O55" t="str">
        <v>Bache</v>
      </c>
      <c r="P55" t="str">
        <v/>
      </c>
      <c r="Q55">
        <v>135135.9</v>
      </c>
      <c r="R55" t="str">
        <v/>
      </c>
      <c r="S55">
        <v>6.1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99</v>
      </c>
      <c r="AC55" t="str">
        <v>28/09/2026</v>
      </c>
      <c r="AD55" t="str">
        <v>13:20:07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13:20:20</v>
      </c>
      <c r="AL55" t="str">
        <v>13:20:20</v>
      </c>
      <c r="AM55" t="str">
        <v/>
      </c>
    </row>
    <row r="56">
      <c r="A56">
        <v>55</v>
      </c>
      <c r="B56" t="str">
        <v>MASS BSF</v>
      </c>
      <c r="C56" t="str">
        <v>F6V-794</v>
      </c>
      <c r="D56" t="str">
        <v>F6V-794</v>
      </c>
      <c r="E56" t="str">
        <v/>
      </c>
      <c r="F56" t="str">
        <v>865235053167082</v>
      </c>
      <c r="G56" t="str">
        <v>TBD</v>
      </c>
      <c r="H56" t="str">
        <v/>
      </c>
      <c r="I56" t="str">
        <v xml:space="preserve"> </v>
      </c>
      <c r="J56" t="str">
        <v>28/09/2026</v>
      </c>
      <c r="K56" t="str">
        <v>13:20:11</v>
      </c>
      <c r="L56">
        <v>-12.21225</v>
      </c>
      <c r="M56">
        <v>-76.906235</v>
      </c>
      <c r="N56">
        <f>HYPERLINK("https://www.google.com/maps/search/?api=1&amp;query=-12.21225,-76.906235","Avenida Lima, Villa María del Triunfo")</f>
      </c>
      <c r="O56" t="str">
        <v>Llegó a la zona</v>
      </c>
      <c r="P56" t="str">
        <v/>
      </c>
      <c r="Q56">
        <v>135135.7</v>
      </c>
      <c r="R56" t="str">
        <v>1087-LIMA 9 VMT MS</v>
      </c>
      <c r="S56">
        <v>6.1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28/09/2026</v>
      </c>
      <c r="AD56" t="str">
        <v>13:20:07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13:20:26</v>
      </c>
      <c r="AL56" t="str">
        <v>13:20:26</v>
      </c>
      <c r="AM56" t="str">
        <v/>
      </c>
    </row>
    <row r="57">
      <c r="A57">
        <v>56</v>
      </c>
      <c r="B57" t="str">
        <v>MASS BSF</v>
      </c>
      <c r="C57" t="str">
        <v>F6V-794</v>
      </c>
      <c r="D57" t="str">
        <v>F6V-794</v>
      </c>
      <c r="E57" t="str">
        <v/>
      </c>
      <c r="F57" t="str">
        <v>865235053167082</v>
      </c>
      <c r="G57" t="str">
        <v>TBD</v>
      </c>
      <c r="H57" t="str">
        <v/>
      </c>
      <c r="I57" t="str">
        <v xml:space="preserve"> </v>
      </c>
      <c r="J57" t="str">
        <v>28/09/2026</v>
      </c>
      <c r="K57" t="str">
        <v>13:20:32</v>
      </c>
      <c r="L57">
        <v>-12.211547</v>
      </c>
      <c r="M57">
        <v>-76.906204</v>
      </c>
      <c r="N57">
        <f>HYPERLINK("https://www.google.com/maps/search/?api=1&amp;query=-12.211547,-76.906204","Avenida Lima, Villa María del Triunfo")</f>
      </c>
      <c r="O57" t="str">
        <v>Salió de zona</v>
      </c>
      <c r="P57" t="str">
        <v/>
      </c>
      <c r="Q57">
        <v>135135.7</v>
      </c>
      <c r="R57" t="str">
        <v>1087-LIMA 9 VMT MS</v>
      </c>
      <c r="S57">
        <v>6.1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28/09/2026</v>
      </c>
      <c r="AD57" t="str">
        <v>13:20:28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13:20:44</v>
      </c>
      <c r="AL57" t="str">
        <v>13:20:44</v>
      </c>
      <c r="AM57" t="str">
        <v/>
      </c>
    </row>
    <row r="58">
      <c r="A58">
        <v>57</v>
      </c>
      <c r="B58" t="str">
        <v>MASS BSF</v>
      </c>
      <c r="C58" t="str">
        <v>F6V-794</v>
      </c>
      <c r="D58" t="str">
        <v>F6V-794</v>
      </c>
      <c r="E58" t="str">
        <v/>
      </c>
      <c r="F58" t="str">
        <v>865235053167082</v>
      </c>
      <c r="G58" t="str">
        <v>TBD</v>
      </c>
      <c r="H58" t="str">
        <v/>
      </c>
      <c r="I58" t="str">
        <v/>
      </c>
      <c r="J58" t="str">
        <v>28/09/2026</v>
      </c>
      <c r="K58" t="str">
        <v>13:20:32</v>
      </c>
      <c r="L58">
        <v>-12.211547</v>
      </c>
      <c r="M58">
        <v>-76.906204</v>
      </c>
      <c r="N58">
        <f>HYPERLINK("https://www.google.com/maps/search/?api=1&amp;query=-12.211547,-76.906204","Avenida Lima, Villa María del Triunfo")</f>
      </c>
      <c r="O58" t="str">
        <v>Bache</v>
      </c>
      <c r="P58" t="str">
        <v/>
      </c>
      <c r="Q58">
        <v>135136</v>
      </c>
      <c r="R58" t="str">
        <v/>
      </c>
      <c r="S58">
        <v>6.1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99</v>
      </c>
      <c r="AC58" t="str">
        <v>28/09/2026</v>
      </c>
      <c r="AD58" t="str">
        <v>13:20:28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13:20:39</v>
      </c>
      <c r="AL58" t="str">
        <v>13:20:39</v>
      </c>
      <c r="AM58" t="str">
        <v/>
      </c>
    </row>
    <row r="59">
      <c r="A59">
        <v>58</v>
      </c>
      <c r="B59" t="str">
        <v>MASS BSF</v>
      </c>
      <c r="C59" t="str">
        <v>F6V-794</v>
      </c>
      <c r="D59" t="str">
        <v>F6V-794</v>
      </c>
      <c r="E59" t="str">
        <v/>
      </c>
      <c r="F59" t="str">
        <v>865235053167082</v>
      </c>
      <c r="G59" t="str">
        <v>TBD</v>
      </c>
      <c r="H59" t="str">
        <v/>
      </c>
      <c r="I59" t="str">
        <v xml:space="preserve"> </v>
      </c>
      <c r="J59" t="str">
        <v>28/09/2026</v>
      </c>
      <c r="K59" t="str">
        <v>13:21:17</v>
      </c>
      <c r="L59">
        <v>-12.210114</v>
      </c>
      <c r="M59">
        <v>-76.90616</v>
      </c>
      <c r="N59">
        <f>HYPERLINK("https://www.google.com/maps/search/?api=1&amp;query=-12.210114,-76.90616","Avenida Lima, Villa María del Triunfo")</f>
      </c>
      <c r="O59" t="str">
        <v>Llegó a la zona</v>
      </c>
      <c r="P59" t="str">
        <v/>
      </c>
      <c r="Q59">
        <v>135136.1</v>
      </c>
      <c r="R59" t="str">
        <v>2606-LIMA771 VMT MS</v>
      </c>
      <c r="S59">
        <v>6.8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28/09/2026</v>
      </c>
      <c r="AD59" t="str">
        <v>13:21:13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13:21:28</v>
      </c>
      <c r="AL59" t="str">
        <v>13:21:28</v>
      </c>
      <c r="AM59" t="str">
        <v/>
      </c>
    </row>
    <row r="60">
      <c r="A60">
        <v>59</v>
      </c>
      <c r="B60" t="str">
        <v>MASS BSF</v>
      </c>
      <c r="C60" t="str">
        <v>F6V-794</v>
      </c>
      <c r="D60" t="str">
        <v>F6V-794</v>
      </c>
      <c r="E60" t="str">
        <v/>
      </c>
      <c r="F60" t="str">
        <v>865235053167082</v>
      </c>
      <c r="G60" t="str">
        <v>TBD</v>
      </c>
      <c r="H60" t="str">
        <v/>
      </c>
      <c r="I60" t="str">
        <v/>
      </c>
      <c r="J60" t="str">
        <v>28/09/2026</v>
      </c>
      <c r="K60" t="str">
        <v>13:22:11</v>
      </c>
      <c r="L60">
        <v>-12.209891</v>
      </c>
      <c r="M60">
        <v>-76.90613</v>
      </c>
      <c r="N60">
        <f>HYPERLINK("https://www.google.com/maps/search/?api=1&amp;query=-12.209891,-76.90613","Avenida Lima, Villa María del Triunfo")</f>
      </c>
      <c r="O60" t="str">
        <v>Vehículo apagado</v>
      </c>
      <c r="P60" t="str">
        <v>Vehículo Apagado</v>
      </c>
      <c r="Q60">
        <v>135136.1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99</v>
      </c>
      <c r="AC60" t="str">
        <v>28/09/2026</v>
      </c>
      <c r="AD60" t="str">
        <v>13:22:07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13:22:15</v>
      </c>
      <c r="AL60" t="str">
        <v>13:22:15</v>
      </c>
      <c r="AM60" t="str">
        <v/>
      </c>
    </row>
    <row r="61">
      <c r="A61">
        <v>60</v>
      </c>
      <c r="B61" t="str">
        <v>MASS BSF</v>
      </c>
      <c r="C61" t="str">
        <v>F6V-794</v>
      </c>
      <c r="D61" t="str">
        <v>F6V-794</v>
      </c>
      <c r="E61" t="str">
        <v/>
      </c>
      <c r="F61" t="str">
        <v>865235053167082</v>
      </c>
      <c r="G61" t="str">
        <v>TBD</v>
      </c>
      <c r="H61" t="str">
        <v/>
      </c>
      <c r="I61" t="str">
        <v/>
      </c>
      <c r="J61" t="str">
        <v>28/09/2026</v>
      </c>
      <c r="K61" t="str">
        <v>13:33:34</v>
      </c>
      <c r="L61">
        <v>-12.209891</v>
      </c>
      <c r="M61">
        <v>-76.90613</v>
      </c>
      <c r="N61">
        <f>HYPERLINK("https://www.google.com/maps/search/?api=1&amp;query=-12.209891,-76.90613","Avenida Lima, Villa María del Triunfo")</f>
      </c>
      <c r="O61" t="str">
        <v>Vehículo encendido</v>
      </c>
      <c r="P61" t="str">
        <v/>
      </c>
      <c r="Q61">
        <v>135136.1</v>
      </c>
      <c r="R61" t="str">
        <v/>
      </c>
      <c r="S61">
        <v>0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99</v>
      </c>
      <c r="AC61" t="str">
        <v>28/09/2026</v>
      </c>
      <c r="AD61" t="str">
        <v>13:33:30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13:33:43</v>
      </c>
      <c r="AL61" t="str">
        <v>13:33:43</v>
      </c>
      <c r="AM61" t="str">
        <v/>
      </c>
    </row>
    <row r="62">
      <c r="A62">
        <v>61</v>
      </c>
      <c r="B62" t="str">
        <v>MASS BSF</v>
      </c>
      <c r="C62" t="str">
        <v>F6V-794</v>
      </c>
      <c r="D62" t="str">
        <v>F6V-794</v>
      </c>
      <c r="E62" t="str">
        <v/>
      </c>
      <c r="F62" t="str">
        <v>865235053167082</v>
      </c>
      <c r="G62" t="str">
        <v>TBD</v>
      </c>
      <c r="H62" t="str">
        <v/>
      </c>
      <c r="I62" t="str">
        <v xml:space="preserve"> </v>
      </c>
      <c r="J62" t="str">
        <v>28/09/2026</v>
      </c>
      <c r="K62" t="str">
        <v>13:34:08</v>
      </c>
      <c r="L62">
        <v>-12.209267</v>
      </c>
      <c r="M62">
        <v>-76.906105</v>
      </c>
      <c r="N62">
        <f>HYPERLINK("https://www.google.com/maps/search/?api=1&amp;query=-12.209267,-76.906105","Avenida Lima, Villa María del Triunfo")</f>
      </c>
      <c r="O62" t="str">
        <v>Salió de zona</v>
      </c>
      <c r="P62" t="str">
        <v/>
      </c>
      <c r="Q62">
        <v>135136.2</v>
      </c>
      <c r="R62" t="str">
        <v>2606-LIMA771 VMT MS</v>
      </c>
      <c r="S62">
        <v>18.7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28/09/2026</v>
      </c>
      <c r="AD62" t="str">
        <v>13:34:04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13:34:17</v>
      </c>
      <c r="AL62" t="str">
        <v>13:34:17</v>
      </c>
      <c r="AM62" t="str">
        <v/>
      </c>
    </row>
    <row r="63">
      <c r="A63">
        <v>62</v>
      </c>
      <c r="B63" t="str">
        <v>MASS BSF</v>
      </c>
      <c r="C63" t="str">
        <v>F6V-794</v>
      </c>
      <c r="D63" t="str">
        <v>F6V-794</v>
      </c>
      <c r="E63" t="str">
        <v/>
      </c>
      <c r="F63" t="str">
        <v>865235053167082</v>
      </c>
      <c r="G63" t="str">
        <v>TBD</v>
      </c>
      <c r="H63" t="str">
        <v/>
      </c>
      <c r="I63" t="str">
        <v xml:space="preserve"> </v>
      </c>
      <c r="J63" t="str">
        <v>28/09/2026</v>
      </c>
      <c r="K63" t="str">
        <v>13:35:08</v>
      </c>
      <c r="L63">
        <v>-12.210228</v>
      </c>
      <c r="M63">
        <v>-76.90623</v>
      </c>
      <c r="N63">
        <f>HYPERLINK("https://www.google.com/maps/search/?api=1&amp;query=-12.210228,-76.90623","Avenida Lima, Villa María del Triunfo")</f>
      </c>
      <c r="O63" t="str">
        <v>Llegó a la zona</v>
      </c>
      <c r="P63" t="str">
        <v/>
      </c>
      <c r="Q63">
        <v>135136.5</v>
      </c>
      <c r="R63" t="str">
        <v>2606-LIMA771 VMT MS</v>
      </c>
      <c r="S63">
        <v>14.2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99</v>
      </c>
      <c r="AC63" t="str">
        <v>28/09/2026</v>
      </c>
      <c r="AD63" t="str">
        <v>13:35:03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28/09/2026 13:35:31</v>
      </c>
      <c r="AL63" t="str">
        <v>13:35:31</v>
      </c>
      <c r="AM63" t="str">
        <v/>
      </c>
    </row>
    <row r="64">
      <c r="A64">
        <v>63</v>
      </c>
      <c r="B64" t="str">
        <v>MASS BSF</v>
      </c>
      <c r="C64" t="str">
        <v>F6V-794</v>
      </c>
      <c r="D64" t="str">
        <v>F6V-794</v>
      </c>
      <c r="E64" t="str">
        <v/>
      </c>
      <c r="F64" t="str">
        <v>865235053167082</v>
      </c>
      <c r="G64" t="str">
        <v>TBD</v>
      </c>
      <c r="H64" t="str">
        <v/>
      </c>
      <c r="I64" t="str">
        <v xml:space="preserve"> </v>
      </c>
      <c r="J64" t="str">
        <v>28/09/2026</v>
      </c>
      <c r="K64" t="str">
        <v>13:35:16</v>
      </c>
      <c r="L64">
        <v>-12.21071</v>
      </c>
      <c r="M64">
        <v>-76.90624</v>
      </c>
      <c r="N64">
        <f>HYPERLINK("https://www.google.com/maps/search/?api=1&amp;query=-12.21071,-76.90624","Avenida Lima, Villa María del Triunfo")</f>
      </c>
      <c r="O64" t="str">
        <v>Salió de zona</v>
      </c>
      <c r="P64" t="str">
        <v/>
      </c>
      <c r="Q64">
        <v>135136.5</v>
      </c>
      <c r="R64" t="str">
        <v>2606-LIMA771 VMT MS</v>
      </c>
      <c r="S64">
        <v>23.8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99</v>
      </c>
      <c r="AC64" t="str">
        <v>28/09/2026</v>
      </c>
      <c r="AD64" t="str">
        <v>13:35:12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28/09/2026 13:35:23</v>
      </c>
      <c r="AL64" t="str">
        <v>13:35:23</v>
      </c>
      <c r="AM64" t="str">
        <v/>
      </c>
    </row>
    <row r="65">
      <c r="A65">
        <v>64</v>
      </c>
      <c r="B65" t="str">
        <v>MASS BSF</v>
      </c>
      <c r="C65" t="str">
        <v>F6V-794</v>
      </c>
      <c r="D65" t="str">
        <v>F6V-794</v>
      </c>
      <c r="E65" t="str">
        <v/>
      </c>
      <c r="F65" t="str">
        <v>865235053167082</v>
      </c>
      <c r="G65" t="str">
        <v>TBD</v>
      </c>
      <c r="H65" t="str">
        <v/>
      </c>
      <c r="I65" t="str">
        <v/>
      </c>
      <c r="J65" t="str">
        <v>28/09/2026</v>
      </c>
      <c r="K65" t="str">
        <v>13:35:16</v>
      </c>
      <c r="L65">
        <v>-12.21071</v>
      </c>
      <c r="M65">
        <v>-76.90624</v>
      </c>
      <c r="N65">
        <f>HYPERLINK("https://www.google.com/maps/search/?api=1&amp;query=-12.21071,-76.90624","Avenida Lima, Villa María del Triunfo")</f>
      </c>
      <c r="O65" t="str">
        <v>Se movio</v>
      </c>
      <c r="P65" t="str">
        <v/>
      </c>
      <c r="Q65">
        <v>135136.5</v>
      </c>
      <c r="R65" t="str">
        <v/>
      </c>
      <c r="S65">
        <v>23.8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99</v>
      </c>
      <c r="AC65" t="str">
        <v>28/09/2026</v>
      </c>
      <c r="AD65" t="str">
        <v>13:35:12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28/09/2026 13:35:24</v>
      </c>
      <c r="AL65" t="str">
        <v>13:35:24</v>
      </c>
      <c r="AM65" t="str">
        <v/>
      </c>
    </row>
    <row r="66">
      <c r="A66">
        <v>65</v>
      </c>
      <c r="B66" t="str">
        <v>MASS BSF</v>
      </c>
      <c r="C66" t="str">
        <v>F6V-794</v>
      </c>
      <c r="D66" t="str">
        <v>F6V-794</v>
      </c>
      <c r="E66" t="str">
        <v/>
      </c>
      <c r="F66" t="str">
        <v>865235053167082</v>
      </c>
      <c r="G66" t="str">
        <v>TBD</v>
      </c>
      <c r="H66" t="str">
        <v/>
      </c>
      <c r="I66" t="str">
        <v xml:space="preserve"> </v>
      </c>
      <c r="J66" t="str">
        <v>28/09/2026</v>
      </c>
      <c r="K66" t="str">
        <v>13:36:37</v>
      </c>
      <c r="L66">
        <v>-12.212152</v>
      </c>
      <c r="M66">
        <v>-76.9063</v>
      </c>
      <c r="N66">
        <f>HYPERLINK("https://www.google.com/maps/search/?api=1&amp;query=-12.212152,-76.9063","Avenida Lima, Villa María del Triunfo")</f>
      </c>
      <c r="O66" t="str">
        <v>Llegó a la zona</v>
      </c>
      <c r="P66" t="str">
        <v/>
      </c>
      <c r="Q66">
        <v>135136.7</v>
      </c>
      <c r="R66" t="str">
        <v>1087-LIMA 9 VMT MS</v>
      </c>
      <c r="S66">
        <v>9.8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99</v>
      </c>
      <c r="AC66" t="str">
        <v>28/09/2026</v>
      </c>
      <c r="AD66" t="str">
        <v>13:36:32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28/09/2026 13:36:45</v>
      </c>
      <c r="AL66" t="str">
        <v>13:36:45</v>
      </c>
      <c r="AM66" t="str">
        <v/>
      </c>
    </row>
    <row r="67">
      <c r="A67">
        <v>66</v>
      </c>
      <c r="B67" t="str">
        <v>MASS BSF</v>
      </c>
      <c r="C67" t="str">
        <v>F6V-794</v>
      </c>
      <c r="D67" t="str">
        <v>F6V-794</v>
      </c>
      <c r="E67" t="str">
        <v/>
      </c>
      <c r="F67" t="str">
        <v>865235053167082</v>
      </c>
      <c r="G67" t="str">
        <v>TBD</v>
      </c>
      <c r="H67" t="str">
        <v/>
      </c>
      <c r="I67" t="str">
        <v xml:space="preserve"> </v>
      </c>
      <c r="J67" t="str">
        <v>28/09/2026</v>
      </c>
      <c r="K67" t="str">
        <v>13:38:37</v>
      </c>
      <c r="L67">
        <v>-12.214401</v>
      </c>
      <c r="M67">
        <v>-76.90662</v>
      </c>
      <c r="N67">
        <f>HYPERLINK("https://www.google.com/maps/search/?api=1&amp;query=-12.214401,-76.90662","Avenida Lima, Villa María del Triunfo")</f>
      </c>
      <c r="O67" t="str">
        <v>Salió de zona</v>
      </c>
      <c r="P67" t="str">
        <v/>
      </c>
      <c r="Q67">
        <v>135136.9</v>
      </c>
      <c r="R67" t="str">
        <v>1087-LIMA 9 VMT MS</v>
      </c>
      <c r="S67">
        <v>18.1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98</v>
      </c>
      <c r="AC67" t="str">
        <v>28/09/2026</v>
      </c>
      <c r="AD67" t="str">
        <v>13:38:32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28/09/2026 13:38:46</v>
      </c>
      <c r="AL67" t="str">
        <v>13:38:46</v>
      </c>
      <c r="AM67" t="str">
        <v/>
      </c>
    </row>
    <row r="68">
      <c r="A68">
        <v>67</v>
      </c>
      <c r="B68" t="str">
        <v>MASS BSF</v>
      </c>
      <c r="C68" t="str">
        <v>F6V-794</v>
      </c>
      <c r="D68" t="str">
        <v>F6V-794</v>
      </c>
      <c r="E68" t="str">
        <v/>
      </c>
      <c r="F68" t="str">
        <v>865235053167082</v>
      </c>
      <c r="G68" t="str">
        <v>TBD</v>
      </c>
      <c r="H68" t="str">
        <v/>
      </c>
      <c r="I68" t="str">
        <v xml:space="preserve"> </v>
      </c>
      <c r="J68" t="str">
        <v>28/09/2026</v>
      </c>
      <c r="K68" t="str">
        <v>13:41:13</v>
      </c>
      <c r="L68">
        <v>-12.219508</v>
      </c>
      <c r="M68">
        <v>-76.90644</v>
      </c>
      <c r="N68">
        <f>HYPERLINK("https://www.google.com/maps/search/?api=1&amp;query=-12.219508,-76.90644","Avenida Miguel Grau, Villa María del Triunfo, Lima")</f>
      </c>
      <c r="O68" t="str">
        <v>Llegó a la zona</v>
      </c>
      <c r="P68" t="str">
        <v/>
      </c>
      <c r="Q68">
        <v>135137.3</v>
      </c>
      <c r="R68" t="str">
        <v>1019-GRAU15 PA MS</v>
      </c>
      <c r="S68">
        <v>15.1</v>
      </c>
      <c r="T68">
        <v>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28/09/2026</v>
      </c>
      <c r="AD68" t="str">
        <v>13:41:09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28/09/2026 13:41:24</v>
      </c>
      <c r="AL68" t="str">
        <v>13:41:24</v>
      </c>
      <c r="AM68" t="str">
        <v/>
      </c>
    </row>
    <row r="69">
      <c r="A69">
        <v>68</v>
      </c>
      <c r="B69" t="str">
        <v>MASS BSF</v>
      </c>
      <c r="C69" t="str">
        <v>F6V-794</v>
      </c>
      <c r="D69" t="str">
        <v>F6V-794</v>
      </c>
      <c r="E69" t="str">
        <v/>
      </c>
      <c r="F69" t="str">
        <v>865235053167082</v>
      </c>
      <c r="G69" t="str">
        <v>TBD</v>
      </c>
      <c r="H69" t="str">
        <v/>
      </c>
      <c r="I69" t="str">
        <v/>
      </c>
      <c r="J69" t="str">
        <v>28/09/2026</v>
      </c>
      <c r="K69" t="str">
        <v>13:42:45</v>
      </c>
      <c r="L69">
        <v>-12.219965</v>
      </c>
      <c r="M69">
        <v>-76.90657</v>
      </c>
      <c r="N69">
        <f>HYPERLINK("https://www.google.com/maps/search/?api=1&amp;query=-12.219965,-76.90657","Avenida Miguel Grau, Villa María del Triunfo, Lima")</f>
      </c>
      <c r="O69" t="str">
        <v>Vehículo apagado</v>
      </c>
      <c r="P69" t="str">
        <v>Vehículo Apagado</v>
      </c>
      <c r="Q69">
        <v>135137.5</v>
      </c>
      <c r="R69" t="str">
        <v/>
      </c>
      <c r="S69">
        <v>0</v>
      </c>
      <c r="T69">
        <v>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28/09/2026</v>
      </c>
      <c r="AD69" t="str">
        <v>13:42:41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28/09/2026 13:43:00</v>
      </c>
      <c r="AL69" t="str">
        <v>13:43:00</v>
      </c>
      <c r="AM69" t="str">
        <v/>
      </c>
    </row>
    <row r="70">
      <c r="A70">
        <v>69</v>
      </c>
      <c r="B70" t="str">
        <v>MASS BSF</v>
      </c>
      <c r="C70" t="str">
        <v>F6V-794</v>
      </c>
      <c r="D70" t="str">
        <v>F6V-794</v>
      </c>
      <c r="E70" t="str">
        <v/>
      </c>
      <c r="F70" t="str">
        <v>865235053167082</v>
      </c>
      <c r="G70" t="str">
        <v>TBD</v>
      </c>
      <c r="H70" t="str">
        <v/>
      </c>
      <c r="I70" t="str">
        <v/>
      </c>
      <c r="J70" t="str">
        <v>28/09/2026</v>
      </c>
      <c r="K70" t="str">
        <v>14:34:52</v>
      </c>
      <c r="L70">
        <v>-12.219965</v>
      </c>
      <c r="M70">
        <v>-76.90657</v>
      </c>
      <c r="N70">
        <f>HYPERLINK("https://www.google.com/maps/search/?api=1&amp;query=-12.219965,-76.90657","Avenida Miguel Grau, Villa María del Triunfo, Lima")</f>
      </c>
      <c r="O70" t="str">
        <v>Vehículo encendido</v>
      </c>
      <c r="P70" t="str">
        <v/>
      </c>
      <c r="Q70">
        <v>135137.5</v>
      </c>
      <c r="R70" t="str">
        <v/>
      </c>
      <c r="S70">
        <v>0</v>
      </c>
      <c r="T70">
        <v>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98</v>
      </c>
      <c r="AC70" t="str">
        <v>28/09/2026</v>
      </c>
      <c r="AD70" t="str">
        <v>14:34:47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28/09/2026 14:34:57</v>
      </c>
      <c r="AL70" t="str">
        <v>14:34:57</v>
      </c>
      <c r="AM70" t="str">
        <v/>
      </c>
    </row>
    <row r="71">
      <c r="A71">
        <v>70</v>
      </c>
      <c r="B71" t="str">
        <v>MASS BSF</v>
      </c>
      <c r="C71" t="str">
        <v>F6V-794</v>
      </c>
      <c r="D71" t="str">
        <v>F6V-794</v>
      </c>
      <c r="E71" t="str">
        <v/>
      </c>
      <c r="F71" t="str">
        <v>865235053167082</v>
      </c>
      <c r="G71" t="str">
        <v>TBD</v>
      </c>
      <c r="H71" t="str">
        <v/>
      </c>
      <c r="I71" t="str">
        <v xml:space="preserve"> </v>
      </c>
      <c r="J71" t="str">
        <v>28/09/2026</v>
      </c>
      <c r="K71" t="str">
        <v>14:35:23</v>
      </c>
      <c r="L71">
        <v>-12.220257</v>
      </c>
      <c r="M71">
        <v>-76.906555</v>
      </c>
      <c r="N71">
        <f>HYPERLINK("https://www.google.com/maps/search/?api=1&amp;query=-12.220257,-76.906555","Jirón Ricardo Palma, Villa María del Triunfo, Lima")</f>
      </c>
      <c r="O71" t="str">
        <v>Llegó a la zona</v>
      </c>
      <c r="P71" t="str">
        <v/>
      </c>
      <c r="Q71">
        <v>135137.6</v>
      </c>
      <c r="R71" t="str">
        <v>1019-GRAU15 PA MS</v>
      </c>
      <c r="S71">
        <v>11.6</v>
      </c>
      <c r="T71">
        <v>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99</v>
      </c>
      <c r="AC71" t="str">
        <v>28/09/2026</v>
      </c>
      <c r="AD71" t="str">
        <v>14:35:19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28/09/2026 14:35:45</v>
      </c>
      <c r="AL71" t="str">
        <v>14:35:45</v>
      </c>
      <c r="AM71" t="str">
        <v/>
      </c>
    </row>
    <row r="72">
      <c r="A72">
        <v>71</v>
      </c>
      <c r="B72" t="str">
        <v>MASS BSF</v>
      </c>
      <c r="C72" t="str">
        <v>F6V-794</v>
      </c>
      <c r="D72" t="str">
        <v>F6V-794</v>
      </c>
      <c r="E72" t="str">
        <v/>
      </c>
      <c r="F72" t="str">
        <v>865235053167082</v>
      </c>
      <c r="G72" t="str">
        <v>TBD</v>
      </c>
      <c r="H72" t="str">
        <v/>
      </c>
      <c r="I72" t="str">
        <v/>
      </c>
      <c r="J72" t="str">
        <v>28/09/2026</v>
      </c>
      <c r="K72" t="str">
        <v>14:35:23</v>
      </c>
      <c r="L72">
        <v>-12.220257</v>
      </c>
      <c r="M72">
        <v>-76.906555</v>
      </c>
      <c r="N72">
        <f>HYPERLINK("https://www.google.com/maps/search/?api=1&amp;query=-12.220257,-76.906555","Jirón Ricardo Palma, Villa María del Triunfo, Lima")</f>
      </c>
      <c r="O72" t="str">
        <v>Se movio</v>
      </c>
      <c r="P72" t="str">
        <v/>
      </c>
      <c r="Q72">
        <v>135137.6</v>
      </c>
      <c r="R72" t="str">
        <v/>
      </c>
      <c r="S72">
        <v>11.6</v>
      </c>
      <c r="T72">
        <v>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99</v>
      </c>
      <c r="AC72" t="str">
        <v>28/09/2026</v>
      </c>
      <c r="AD72" t="str">
        <v>14:35:19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28/09/2026 14:35:42</v>
      </c>
      <c r="AL72" t="str">
        <v>14:35:42</v>
      </c>
      <c r="AM72" t="str">
        <v/>
      </c>
    </row>
    <row r="73">
      <c r="A73">
        <v>72</v>
      </c>
      <c r="B73" t="str">
        <v>MASS BSF</v>
      </c>
      <c r="C73" t="str">
        <v>F6V-794</v>
      </c>
      <c r="D73" t="str">
        <v>F6V-794</v>
      </c>
      <c r="E73" t="str">
        <v/>
      </c>
      <c r="F73" t="str">
        <v>865235053167082</v>
      </c>
      <c r="G73" t="str">
        <v>TBD</v>
      </c>
      <c r="H73" t="str">
        <v/>
      </c>
      <c r="I73" t="str">
        <v xml:space="preserve"> </v>
      </c>
      <c r="J73" t="str">
        <v>28/09/2026</v>
      </c>
      <c r="K73" t="str">
        <v>14:35:27</v>
      </c>
      <c r="L73">
        <v>-12.2203</v>
      </c>
      <c r="M73">
        <v>-76.90645</v>
      </c>
      <c r="N73">
        <f>HYPERLINK("https://www.google.com/maps/search/?api=1&amp;query=-12.2203,-76.90645","Jirón Ricardo Palma, Villa María del Triunfo, Lima")</f>
      </c>
      <c r="O73" t="str">
        <v>Salió de zona</v>
      </c>
      <c r="P73" t="str">
        <v/>
      </c>
      <c r="Q73">
        <v>135137.6</v>
      </c>
      <c r="R73" t="str">
        <v>1019-GRAU15 PA MS</v>
      </c>
      <c r="S73">
        <v>10.3</v>
      </c>
      <c r="T73">
        <v>0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99</v>
      </c>
      <c r="AC73" t="str">
        <v>28/09/2026</v>
      </c>
      <c r="AD73" t="str">
        <v>14:35:23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28/09/2026 14:35:32</v>
      </c>
      <c r="AL73" t="str">
        <v>14:35:32</v>
      </c>
      <c r="AM73" t="str">
        <v/>
      </c>
    </row>
    <row r="74">
      <c r="A74">
        <v>73</v>
      </c>
      <c r="B74" t="str">
        <v>MASS BSF</v>
      </c>
      <c r="C74" t="str">
        <v>F6V-794</v>
      </c>
      <c r="D74" t="str">
        <v>F6V-794</v>
      </c>
      <c r="E74" t="str">
        <v/>
      </c>
      <c r="F74" t="str">
        <v>865235053167082</v>
      </c>
      <c r="G74" t="str">
        <v>TBD</v>
      </c>
      <c r="H74" t="str">
        <v/>
      </c>
      <c r="I74" t="str">
        <v xml:space="preserve"> </v>
      </c>
      <c r="J74" t="str">
        <v>28/09/2026</v>
      </c>
      <c r="K74" t="str">
        <v>14:35:41</v>
      </c>
      <c r="L74">
        <v>-12.220317</v>
      </c>
      <c r="M74">
        <v>-76.90612</v>
      </c>
      <c r="N74">
        <f>HYPERLINK("https://www.google.com/maps/search/?api=1&amp;query=-12.220317,-76.90612","Jirón Ricardo Palma, Villa María del Triunfo, Lima")</f>
      </c>
      <c r="O74" t="str">
        <v>Salió de zona</v>
      </c>
      <c r="P74" t="str">
        <v/>
      </c>
      <c r="Q74">
        <v>135137.6</v>
      </c>
      <c r="R74" t="str">
        <v>1019-GRAU15 PA MS</v>
      </c>
      <c r="S74">
        <v>7.5</v>
      </c>
      <c r="T74">
        <v>0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99</v>
      </c>
      <c r="AC74" t="str">
        <v>28/09/2026</v>
      </c>
      <c r="AD74" t="str">
        <v>14:35:37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28/09/2026 14:35:56</v>
      </c>
      <c r="AL74" t="str">
        <v>14:35:56</v>
      </c>
      <c r="AM74" t="str">
        <v/>
      </c>
    </row>
    <row r="75">
      <c r="A75">
        <v>74</v>
      </c>
      <c r="B75" t="str">
        <v>MASS BSF</v>
      </c>
      <c r="C75" t="str">
        <v>F6V-794</v>
      </c>
      <c r="D75" t="str">
        <v>F6V-794</v>
      </c>
      <c r="E75" t="str">
        <v/>
      </c>
      <c r="F75" t="str">
        <v>865235053167082</v>
      </c>
      <c r="G75" t="str">
        <v>TBD</v>
      </c>
      <c r="H75" t="str">
        <v/>
      </c>
      <c r="I75" t="str">
        <v/>
      </c>
      <c r="J75" t="str">
        <v>28/09/2026</v>
      </c>
      <c r="K75" t="str">
        <v>14:35:41</v>
      </c>
      <c r="L75">
        <v>-12.220317</v>
      </c>
      <c r="M75">
        <v>-76.90612</v>
      </c>
      <c r="N75">
        <f>HYPERLINK("https://www.google.com/maps/search/?api=1&amp;query=-12.220317,-76.90612","Jirón Ricardo Palma, Villa María del Triunfo, Lima")</f>
      </c>
      <c r="O75" t="str">
        <v>Bache</v>
      </c>
      <c r="P75" t="str">
        <v/>
      </c>
      <c r="Q75">
        <v>135137.6</v>
      </c>
      <c r="R75" t="str">
        <v/>
      </c>
      <c r="S75">
        <v>7.5</v>
      </c>
      <c r="T75">
        <v>0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99</v>
      </c>
      <c r="AC75" t="str">
        <v>28/09/2026</v>
      </c>
      <c r="AD75" t="str">
        <v>14:35:37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28/09/2026 14:35:51</v>
      </c>
      <c r="AL75" t="str">
        <v>14:35:51</v>
      </c>
      <c r="AM75" t="str">
        <v/>
      </c>
    </row>
    <row r="76">
      <c r="A76">
        <v>75</v>
      </c>
      <c r="B76" t="str">
        <v>MASS BSF</v>
      </c>
      <c r="C76" t="str">
        <v>F6V-794</v>
      </c>
      <c r="D76" t="str">
        <v>F6V-794</v>
      </c>
      <c r="E76" t="str">
        <v/>
      </c>
      <c r="F76" t="str">
        <v>865235053167082</v>
      </c>
      <c r="G76" t="str">
        <v>TBD</v>
      </c>
      <c r="H76" t="str">
        <v/>
      </c>
      <c r="I76" t="str">
        <v/>
      </c>
      <c r="J76" t="str">
        <v>28/09/2026</v>
      </c>
      <c r="K76" t="str">
        <v>14:35:44</v>
      </c>
      <c r="L76">
        <v>-12.220326</v>
      </c>
      <c r="M76">
        <v>-76.90607</v>
      </c>
      <c r="N76">
        <f>HYPERLINK("https://www.google.com/maps/search/?api=1&amp;query=-12.220326,-76.90607","Jirón Ricardo Palma, Villa María del Triunfo, Lima")</f>
      </c>
      <c r="O76" t="str">
        <v>Bache</v>
      </c>
      <c r="P76" t="str">
        <v/>
      </c>
      <c r="Q76">
        <v>135137.6</v>
      </c>
      <c r="R76" t="str">
        <v/>
      </c>
      <c r="S76">
        <v>7</v>
      </c>
      <c r="T76">
        <v>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99</v>
      </c>
      <c r="AC76" t="str">
        <v>28/09/2026</v>
      </c>
      <c r="AD76" t="str">
        <v>14:35:40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28/09/2026 14:36:02</v>
      </c>
      <c r="AL76" t="str">
        <v>14:36:02</v>
      </c>
      <c r="AM76" t="str">
        <v/>
      </c>
    </row>
    <row r="77">
      <c r="A77">
        <v>76</v>
      </c>
      <c r="B77" t="str">
        <v>MASS BSF</v>
      </c>
      <c r="C77" t="str">
        <v>F6V-794</v>
      </c>
      <c r="D77" t="str">
        <v>F6V-794</v>
      </c>
      <c r="E77" t="str">
        <v/>
      </c>
      <c r="F77" t="str">
        <v>865235053167082</v>
      </c>
      <c r="G77" t="str">
        <v>TBD</v>
      </c>
      <c r="H77" t="str">
        <v/>
      </c>
      <c r="I77" t="str">
        <v/>
      </c>
      <c r="J77" t="str">
        <v>28/09/2026</v>
      </c>
      <c r="K77" t="str">
        <v>14:35:47</v>
      </c>
      <c r="L77">
        <v>-12.220331</v>
      </c>
      <c r="M77">
        <v>-76.90603</v>
      </c>
      <c r="N77">
        <f>HYPERLINK("https://www.google.com/maps/search/?api=1&amp;query=-12.220331,-76.90603","Jirón Ricardo Palma, Villa María del Triunfo, Lima")</f>
      </c>
      <c r="O77" t="str">
        <v>Bache</v>
      </c>
      <c r="P77" t="str">
        <v/>
      </c>
      <c r="Q77">
        <v>135137.6</v>
      </c>
      <c r="R77" t="str">
        <v/>
      </c>
      <c r="S77">
        <v>6.8</v>
      </c>
      <c r="T77">
        <v>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99</v>
      </c>
      <c r="AC77" t="str">
        <v>28/09/2026</v>
      </c>
      <c r="AD77" t="str">
        <v>14:35:42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28/09/2026 14:36:04</v>
      </c>
      <c r="AL77" t="str">
        <v>14:36:04</v>
      </c>
      <c r="AM77" t="str">
        <v/>
      </c>
    </row>
    <row r="78">
      <c r="A78">
        <v>77</v>
      </c>
      <c r="B78" t="str">
        <v>MASS BSF</v>
      </c>
      <c r="C78" t="str">
        <v>F6V-794</v>
      </c>
      <c r="D78" t="str">
        <v>F6V-794</v>
      </c>
      <c r="E78" t="str">
        <v/>
      </c>
      <c r="F78" t="str">
        <v>865235053167082</v>
      </c>
      <c r="G78" t="str">
        <v>TBD</v>
      </c>
      <c r="H78" t="str">
        <v/>
      </c>
      <c r="I78" t="str">
        <v/>
      </c>
      <c r="J78" t="str">
        <v>28/09/2026</v>
      </c>
      <c r="K78" t="str">
        <v>14:36:07</v>
      </c>
      <c r="L78">
        <v>-12.221104</v>
      </c>
      <c r="M78">
        <v>-76.90551</v>
      </c>
      <c r="N78">
        <f>HYPERLINK("https://www.google.com/maps/search/?api=1&amp;query=-12.221104,-76.90551","Avenida Zarumilla, Villa María del Triunfo, Lima")</f>
      </c>
      <c r="O78" t="str">
        <v>Bache</v>
      </c>
      <c r="P78" t="str">
        <v/>
      </c>
      <c r="Q78">
        <v>135137.8</v>
      </c>
      <c r="R78" t="str">
        <v/>
      </c>
      <c r="S78">
        <v>15.9</v>
      </c>
      <c r="T78">
        <v>0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99</v>
      </c>
      <c r="AC78" t="str">
        <v>28/09/2026</v>
      </c>
      <c r="AD78" t="str">
        <v>14:36:02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28/09/2026 14:36:20</v>
      </c>
      <c r="AL78" t="str">
        <v>14:36:20</v>
      </c>
      <c r="AM78" t="str">
        <v/>
      </c>
    </row>
    <row r="79">
      <c r="A79">
        <v>78</v>
      </c>
      <c r="B79" t="str">
        <v>MASS BSF</v>
      </c>
      <c r="C79" t="str">
        <v>F6V-794</v>
      </c>
      <c r="D79" t="str">
        <v>F6V-794</v>
      </c>
      <c r="E79" t="str">
        <v/>
      </c>
      <c r="F79" t="str">
        <v>865235053167082</v>
      </c>
      <c r="G79" t="str">
        <v>TBD</v>
      </c>
      <c r="H79" t="str">
        <v/>
      </c>
      <c r="I79" t="str">
        <v/>
      </c>
      <c r="J79" t="str">
        <v>28/09/2026</v>
      </c>
      <c r="K79" t="str">
        <v>14:37:10</v>
      </c>
      <c r="L79">
        <v>-12.224513</v>
      </c>
      <c r="M79">
        <v>-76.90364</v>
      </c>
      <c r="N79">
        <f>HYPERLINK("https://www.google.com/maps/search/?api=1&amp;query=-12.224513,-76.90364","Avenida Saenz Peña, Villa María del Triunfo, Lima")</f>
      </c>
      <c r="O79" t="str">
        <v>Acelerado y giro brusco</v>
      </c>
      <c r="P79" t="str">
        <v/>
      </c>
      <c r="Q79">
        <v>135138.2</v>
      </c>
      <c r="R79" t="str">
        <v/>
      </c>
      <c r="S79">
        <v>13.7</v>
      </c>
      <c r="T79">
        <v>0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28/09/2026</v>
      </c>
      <c r="AD79" t="str">
        <v>14:37:06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28/09/2026 14:37:23</v>
      </c>
      <c r="AL79" t="str">
        <v>14:37:23</v>
      </c>
      <c r="AM79" t="str">
        <v/>
      </c>
    </row>
    <row r="80">
      <c r="A80">
        <v>79</v>
      </c>
      <c r="B80" t="str">
        <v>MASS BSF</v>
      </c>
      <c r="C80" t="str">
        <v>F6V-794</v>
      </c>
      <c r="D80" t="str">
        <v>F6V-794</v>
      </c>
      <c r="E80" t="str">
        <v/>
      </c>
      <c r="F80" t="str">
        <v>865235053167082</v>
      </c>
      <c r="G80" t="str">
        <v>TBD</v>
      </c>
      <c r="H80" t="str">
        <v/>
      </c>
      <c r="I80" t="str">
        <v/>
      </c>
      <c r="J80" t="str">
        <v>28/09/2026</v>
      </c>
      <c r="K80" t="str">
        <v>14:37:20</v>
      </c>
      <c r="L80">
        <v>-12.22447</v>
      </c>
      <c r="M80">
        <v>-76.903946</v>
      </c>
      <c r="N80">
        <f>HYPERLINK("https://www.google.com/maps/search/?api=1&amp;query=-12.22447,-76.903946","Avenida Saenz Peña, Villa María del Triunfo, Lima")</f>
      </c>
      <c r="O80" t="str">
        <v>Bache</v>
      </c>
      <c r="P80" t="str">
        <v/>
      </c>
      <c r="Q80">
        <v>135138.2</v>
      </c>
      <c r="R80" t="str">
        <v/>
      </c>
      <c r="S80">
        <v>6.2</v>
      </c>
      <c r="T80">
        <v>0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28/09/2026</v>
      </c>
      <c r="AD80" t="str">
        <v>14:37:15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28/09/2026 14:37:35</v>
      </c>
      <c r="AL80" t="str">
        <v>14:37:35</v>
      </c>
      <c r="AM80" t="str">
        <v/>
      </c>
    </row>
    <row r="81">
      <c r="A81">
        <v>80</v>
      </c>
      <c r="B81" t="str">
        <v>MASS BSF</v>
      </c>
      <c r="C81" t="str">
        <v>F6V-794</v>
      </c>
      <c r="D81" t="str">
        <v>F6V-794</v>
      </c>
      <c r="E81" t="str">
        <v/>
      </c>
      <c r="F81" t="str">
        <v>865235053167082</v>
      </c>
      <c r="G81" t="str">
        <v>TBD</v>
      </c>
      <c r="H81" t="str">
        <v/>
      </c>
      <c r="I81" t="str">
        <v/>
      </c>
      <c r="J81" t="str">
        <v>28/09/2026</v>
      </c>
      <c r="K81" t="str">
        <v>14:37:27</v>
      </c>
      <c r="L81">
        <v>-12.224413</v>
      </c>
      <c r="M81">
        <v>-76.90416</v>
      </c>
      <c r="N81">
        <f>HYPERLINK("https://www.google.com/maps/search/?api=1&amp;query=-12.224413,-76.90416","Avenida Saenz Peña, Villa María del Triunfo, Lima")</f>
      </c>
      <c r="O81" t="str">
        <v>Bache</v>
      </c>
      <c r="P81" t="str">
        <v/>
      </c>
      <c r="Q81">
        <v>135138.2</v>
      </c>
      <c r="R81" t="str">
        <v/>
      </c>
      <c r="S81">
        <v>14.6</v>
      </c>
      <c r="T81">
        <v>0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28/09/2026</v>
      </c>
      <c r="AD81" t="str">
        <v>14:37:22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28/09/2026 14:37:39</v>
      </c>
      <c r="AL81" t="str">
        <v>14:37:39</v>
      </c>
      <c r="AM81" t="str">
        <v/>
      </c>
    </row>
    <row r="82">
      <c r="A82">
        <v>81</v>
      </c>
      <c r="B82" t="str">
        <v>MASS BSF</v>
      </c>
      <c r="C82" t="str">
        <v>F6V-794</v>
      </c>
      <c r="D82" t="str">
        <v>F6V-794</v>
      </c>
      <c r="E82" t="str">
        <v/>
      </c>
      <c r="F82" t="str">
        <v>865235053167082</v>
      </c>
      <c r="G82" t="str">
        <v>TBD</v>
      </c>
      <c r="H82" t="str">
        <v/>
      </c>
      <c r="I82" t="str">
        <v/>
      </c>
      <c r="J82" t="str">
        <v>28/09/2026</v>
      </c>
      <c r="K82" t="str">
        <v>14:37:36</v>
      </c>
      <c r="L82">
        <v>-12.224348</v>
      </c>
      <c r="M82">
        <v>-76.9045</v>
      </c>
      <c r="N82">
        <f>HYPERLINK("https://www.google.com/maps/search/?api=1&amp;query=-12.224348,-76.9045","Avenida Saenz Peña, Villa María del Triunfo, Lima")</f>
      </c>
      <c r="O82" t="str">
        <v>Bache</v>
      </c>
      <c r="P82" t="str">
        <v/>
      </c>
      <c r="Q82">
        <v>135138.3</v>
      </c>
      <c r="R82" t="str">
        <v/>
      </c>
      <c r="S82">
        <v>14</v>
      </c>
      <c r="T82">
        <v>0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28/09/2026</v>
      </c>
      <c r="AD82" t="str">
        <v>14:37:31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28/09/2026 14:37:48</v>
      </c>
      <c r="AL82" t="str">
        <v>14:37:48</v>
      </c>
      <c r="AM82" t="str">
        <v/>
      </c>
    </row>
    <row r="83">
      <c r="A83">
        <v>82</v>
      </c>
      <c r="B83" t="str">
        <v>MASS BSF</v>
      </c>
      <c r="C83" t="str">
        <v>F6V-794</v>
      </c>
      <c r="D83" t="str">
        <v>F6V-794</v>
      </c>
      <c r="E83" t="str">
        <v/>
      </c>
      <c r="F83" t="str">
        <v>865235053167082</v>
      </c>
      <c r="G83" t="str">
        <v>TBD</v>
      </c>
      <c r="H83" t="str">
        <v/>
      </c>
      <c r="I83" t="str">
        <v/>
      </c>
      <c r="J83" t="str">
        <v>28/09/2026</v>
      </c>
      <c r="K83" t="str">
        <v>14:37:41</v>
      </c>
      <c r="L83">
        <v>-12.22433</v>
      </c>
      <c r="M83">
        <v>-76.90464</v>
      </c>
      <c r="N83">
        <f>HYPERLINK("https://www.google.com/maps/search/?api=1&amp;query=-12.22433,-76.90464","Avenida Saenz Peña, Villa María del Triunfo, Lima")</f>
      </c>
      <c r="O83" t="str">
        <v>Bache</v>
      </c>
      <c r="P83" t="str">
        <v/>
      </c>
      <c r="Q83">
        <v>135138.3</v>
      </c>
      <c r="R83" t="str">
        <v/>
      </c>
      <c r="S83">
        <v>5.9</v>
      </c>
      <c r="T83">
        <v>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28/09/2026</v>
      </c>
      <c r="AD83" t="str">
        <v>14:37:36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28/09/2026 14:37:55</v>
      </c>
      <c r="AL83" t="str">
        <v>14:37:55</v>
      </c>
      <c r="AM83" t="str">
        <v/>
      </c>
    </row>
    <row r="84">
      <c r="A84">
        <v>83</v>
      </c>
      <c r="B84" t="str">
        <v>MASS BSF</v>
      </c>
      <c r="C84" t="str">
        <v>F6V-794</v>
      </c>
      <c r="D84" t="str">
        <v>F6V-794</v>
      </c>
      <c r="E84" t="str">
        <v/>
      </c>
      <c r="F84" t="str">
        <v>865235053167082</v>
      </c>
      <c r="G84" t="str">
        <v>TBD</v>
      </c>
      <c r="H84" t="str">
        <v/>
      </c>
      <c r="I84" t="str">
        <v/>
      </c>
      <c r="J84" t="str">
        <v>28/09/2026</v>
      </c>
      <c r="K84" t="str">
        <v>14:37:57</v>
      </c>
      <c r="L84">
        <v>-12.224288</v>
      </c>
      <c r="M84">
        <v>-76.90498</v>
      </c>
      <c r="N84">
        <f>HYPERLINK("https://www.google.com/maps/search/?api=1&amp;query=-12.224288,-76.90498","Avenida Saenz Peña, Villa María del Triunfo, Lima")</f>
      </c>
      <c r="O84" t="str">
        <v>Bache</v>
      </c>
      <c r="P84" t="str">
        <v/>
      </c>
      <c r="Q84">
        <v>135138.3</v>
      </c>
      <c r="R84" t="str">
        <v/>
      </c>
      <c r="S84">
        <v>9</v>
      </c>
      <c r="T84">
        <v>0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28/09/2026</v>
      </c>
      <c r="AD84" t="str">
        <v>14:37:52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28/09/2026 14:38:06</v>
      </c>
      <c r="AL84" t="str">
        <v>14:38:06</v>
      </c>
      <c r="AM84" t="str">
        <v/>
      </c>
    </row>
    <row r="85">
      <c r="A85">
        <v>84</v>
      </c>
      <c r="B85" t="str">
        <v>MASS BSF</v>
      </c>
      <c r="C85" t="str">
        <v>F6V-794</v>
      </c>
      <c r="D85" t="str">
        <v>F6V-794</v>
      </c>
      <c r="E85" t="str">
        <v/>
      </c>
      <c r="F85" t="str">
        <v>865235053167082</v>
      </c>
      <c r="G85" t="str">
        <v>TBD</v>
      </c>
      <c r="H85" t="str">
        <v/>
      </c>
      <c r="I85" t="str">
        <v/>
      </c>
      <c r="J85" t="str">
        <v>28/09/2026</v>
      </c>
      <c r="K85" t="str">
        <v>14:38:26</v>
      </c>
      <c r="L85">
        <v>-12.224129</v>
      </c>
      <c r="M85">
        <v>-76.90579</v>
      </c>
      <c r="N85">
        <f>HYPERLINK("https://www.google.com/maps/search/?api=1&amp;query=-12.224129,-76.90579","Avenida Saenz Peña, Villa María del Triunfo, Lima")</f>
      </c>
      <c r="O85" t="str">
        <v>Bache</v>
      </c>
      <c r="P85" t="str">
        <v/>
      </c>
      <c r="Q85">
        <v>135138.4</v>
      </c>
      <c r="R85" t="str">
        <v/>
      </c>
      <c r="S85">
        <v>6.4</v>
      </c>
      <c r="T85">
        <v>0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28/09/2026</v>
      </c>
      <c r="AD85" t="str">
        <v>14:38:22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28/09/2026 14:38:44</v>
      </c>
      <c r="AL85" t="str">
        <v>14:38:44</v>
      </c>
      <c r="AM85" t="str">
        <v/>
      </c>
    </row>
    <row r="86">
      <c r="A86">
        <v>85</v>
      </c>
      <c r="B86" t="str">
        <v>MASS BSF</v>
      </c>
      <c r="C86" t="str">
        <v>F6V-794</v>
      </c>
      <c r="D86" t="str">
        <v>F6V-794</v>
      </c>
      <c r="E86" t="str">
        <v/>
      </c>
      <c r="F86" t="str">
        <v>865235053167082</v>
      </c>
      <c r="G86" t="str">
        <v>TBD</v>
      </c>
      <c r="H86" t="str">
        <v/>
      </c>
      <c r="I86" t="str">
        <v/>
      </c>
      <c r="J86" t="str">
        <v>28/09/2026</v>
      </c>
      <c r="K86" t="str">
        <v>14:38:39</v>
      </c>
      <c r="L86">
        <v>-12.224075</v>
      </c>
      <c r="M86">
        <v>-76.906075</v>
      </c>
      <c r="N86">
        <f>HYPERLINK("https://www.google.com/maps/search/?api=1&amp;query=-12.224075,-76.906075","Avenida Saenz Peña, Villa María del Triunfo, Lima")</f>
      </c>
      <c r="O86" t="str">
        <v>Bache</v>
      </c>
      <c r="P86" t="str">
        <v/>
      </c>
      <c r="Q86">
        <v>135138.4</v>
      </c>
      <c r="R86" t="str">
        <v/>
      </c>
      <c r="S86">
        <v>11.1</v>
      </c>
      <c r="T86">
        <v>0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28/09/2026</v>
      </c>
      <c r="AD86" t="str">
        <v>14:38:35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28/09/2026 14:38:48</v>
      </c>
      <c r="AL86" t="str">
        <v>14:38:48</v>
      </c>
      <c r="AM86" t="str">
        <v/>
      </c>
    </row>
    <row r="87">
      <c r="A87">
        <v>86</v>
      </c>
      <c r="B87" t="str">
        <v>MASS BSF</v>
      </c>
      <c r="C87" t="str">
        <v>F6V-794</v>
      </c>
      <c r="D87" t="str">
        <v>F6V-794</v>
      </c>
      <c r="E87" t="str">
        <v/>
      </c>
      <c r="F87" t="str">
        <v>865235053167082</v>
      </c>
      <c r="G87" t="str">
        <v>TBD</v>
      </c>
      <c r="H87" t="str">
        <v/>
      </c>
      <c r="I87" t="str">
        <v/>
      </c>
      <c r="J87" t="str">
        <v>28/09/2026</v>
      </c>
      <c r="K87" t="str">
        <v>14:38:54</v>
      </c>
      <c r="L87">
        <v>-12.223984</v>
      </c>
      <c r="M87">
        <v>-76.90665</v>
      </c>
      <c r="N87">
        <f>HYPERLINK("https://www.google.com/maps/search/?api=1&amp;query=-12.223984,-76.90665","Avenida Saenz Peña, Villa María del Triunfo, Lima")</f>
      </c>
      <c r="O87" t="str">
        <v>Bache</v>
      </c>
      <c r="P87" t="str">
        <v/>
      </c>
      <c r="Q87">
        <v>135138.5</v>
      </c>
      <c r="R87" t="str">
        <v/>
      </c>
      <c r="S87">
        <v>5.1</v>
      </c>
      <c r="T87">
        <v>0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28/09/2026</v>
      </c>
      <c r="AD87" t="str">
        <v>14:38:50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28/09/2026 14:39:07</v>
      </c>
      <c r="AL87" t="str">
        <v>14:39:07</v>
      </c>
      <c r="AM87" t="str">
        <v/>
      </c>
    </row>
    <row r="88">
      <c r="A88">
        <v>87</v>
      </c>
      <c r="B88" t="str">
        <v>MASS BSF</v>
      </c>
      <c r="C88" t="str">
        <v>F6V-794</v>
      </c>
      <c r="D88" t="str">
        <v>F6V-794</v>
      </c>
      <c r="E88" t="str">
        <v/>
      </c>
      <c r="F88" t="str">
        <v>865235053167082</v>
      </c>
      <c r="G88" t="str">
        <v>TBD</v>
      </c>
      <c r="H88" t="str">
        <v/>
      </c>
      <c r="I88" t="str">
        <v/>
      </c>
      <c r="J88" t="str">
        <v>28/09/2026</v>
      </c>
      <c r="K88" t="str">
        <v>14:38:57</v>
      </c>
      <c r="L88">
        <v>-12.223975</v>
      </c>
      <c r="M88">
        <v>-76.90669</v>
      </c>
      <c r="N88">
        <f>HYPERLINK("https://www.google.com/maps/search/?api=1&amp;query=-12.223975,-76.90669","Avenida Saenz Peña, Villa María del Triunfo, Lima")</f>
      </c>
      <c r="O88" t="str">
        <v>Bache</v>
      </c>
      <c r="P88" t="str">
        <v/>
      </c>
      <c r="Q88">
        <v>135138.5</v>
      </c>
      <c r="R88" t="str">
        <v/>
      </c>
      <c r="S88">
        <v>7.9</v>
      </c>
      <c r="T88">
        <v>0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28/09/2026</v>
      </c>
      <c r="AD88" t="str">
        <v>14:38:53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28/09/2026 14:39:02</v>
      </c>
      <c r="AL88" t="str">
        <v>14:39:02</v>
      </c>
      <c r="AM88" t="str">
        <v/>
      </c>
    </row>
    <row r="89">
      <c r="A89">
        <v>88</v>
      </c>
      <c r="B89" t="str">
        <v>MASS BSF</v>
      </c>
      <c r="C89" t="str">
        <v>F6V-794</v>
      </c>
      <c r="D89" t="str">
        <v>F6V-794</v>
      </c>
      <c r="E89" t="str">
        <v/>
      </c>
      <c r="F89" t="str">
        <v>865235053167082</v>
      </c>
      <c r="G89" t="str">
        <v>TBD</v>
      </c>
      <c r="H89" t="str">
        <v/>
      </c>
      <c r="I89" t="str">
        <v/>
      </c>
      <c r="J89" t="str">
        <v>28/09/2026</v>
      </c>
      <c r="K89" t="str">
        <v>14:39:08</v>
      </c>
      <c r="L89">
        <v>-12.223928</v>
      </c>
      <c r="M89">
        <v>-76.90689</v>
      </c>
      <c r="N89">
        <f>HYPERLINK("https://www.google.com/maps/search/?api=1&amp;query=-12.223928,-76.90689","Avenida Saenz Peña, Villa María del Triunfo, Lima")</f>
      </c>
      <c r="O89" t="str">
        <v>Bache</v>
      </c>
      <c r="P89" t="str">
        <v/>
      </c>
      <c r="Q89">
        <v>135138.5</v>
      </c>
      <c r="R89" t="str">
        <v/>
      </c>
      <c r="S89">
        <v>3.1</v>
      </c>
      <c r="T89">
        <v>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28/09/2026</v>
      </c>
      <c r="AD89" t="str">
        <v>14:39:04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28/09/2026 14:39:16</v>
      </c>
      <c r="AL89" t="str">
        <v>14:39:16</v>
      </c>
      <c r="AM89" t="str">
        <v/>
      </c>
    </row>
    <row r="90">
      <c r="A90">
        <v>89</v>
      </c>
      <c r="B90" t="str">
        <v>MASS BSF</v>
      </c>
      <c r="C90" t="str">
        <v>F6V-794</v>
      </c>
      <c r="D90" t="str">
        <v>F6V-794</v>
      </c>
      <c r="E90" t="str">
        <v/>
      </c>
      <c r="F90" t="str">
        <v>865235053167082</v>
      </c>
      <c r="G90" t="str">
        <v>TBD</v>
      </c>
      <c r="H90" t="str">
        <v/>
      </c>
      <c r="I90" t="str">
        <v/>
      </c>
      <c r="J90" t="str">
        <v>28/09/2026</v>
      </c>
      <c r="K90" t="str">
        <v>14:39:35</v>
      </c>
      <c r="L90">
        <v>-12.223928</v>
      </c>
      <c r="M90">
        <v>-76.90693</v>
      </c>
      <c r="N90">
        <f>HYPERLINK("https://www.google.com/maps/search/?api=1&amp;query=-12.223928,-76.90693","Avenida Saenz Peña, Villa María del Triunfo, Lima")</f>
      </c>
      <c r="O90" t="str">
        <v>Bache</v>
      </c>
      <c r="P90" t="str">
        <v/>
      </c>
      <c r="Q90">
        <v>135138.5</v>
      </c>
      <c r="R90" t="str">
        <v/>
      </c>
      <c r="S90">
        <v>6.1</v>
      </c>
      <c r="T90">
        <v>0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28/09/2026</v>
      </c>
      <c r="AD90" t="str">
        <v>14:39:31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28/09/2026 14:39:40</v>
      </c>
      <c r="AL90" t="str">
        <v>14:39:40</v>
      </c>
      <c r="AM90" t="str">
        <v/>
      </c>
    </row>
    <row r="91">
      <c r="A91">
        <v>90</v>
      </c>
      <c r="B91" t="str">
        <v>MASS BSF</v>
      </c>
      <c r="C91" t="str">
        <v>F6V-794</v>
      </c>
      <c r="D91" t="str">
        <v>F6V-794</v>
      </c>
      <c r="E91" t="str">
        <v/>
      </c>
      <c r="F91" t="str">
        <v>865235053167082</v>
      </c>
      <c r="G91" t="str">
        <v>TBD</v>
      </c>
      <c r="H91" t="str">
        <v/>
      </c>
      <c r="I91" t="str">
        <v/>
      </c>
      <c r="J91" t="str">
        <v>28/09/2026</v>
      </c>
      <c r="K91" t="str">
        <v>14:39:55</v>
      </c>
      <c r="L91">
        <v>-12.22406</v>
      </c>
      <c r="M91">
        <v>-76.907295</v>
      </c>
      <c r="N91">
        <f>HYPERLINK("https://www.google.com/maps/search/?api=1&amp;query=-12.22406,-76.907295","Avenida Miguel Grau, Villa María del Triunfo, Lima")</f>
      </c>
      <c r="O91" t="str">
        <v>Bache</v>
      </c>
      <c r="P91" t="str">
        <v/>
      </c>
      <c r="Q91">
        <v>135138.6</v>
      </c>
      <c r="R91" t="str">
        <v/>
      </c>
      <c r="S91">
        <v>8.3</v>
      </c>
      <c r="T91">
        <v>0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28/09/2026</v>
      </c>
      <c r="AD91" t="str">
        <v>14:39:50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28/09/2026 14:40:00</v>
      </c>
      <c r="AL91" t="str">
        <v>14:40:00</v>
      </c>
      <c r="AM91" t="str">
        <v/>
      </c>
    </row>
    <row r="92">
      <c r="A92">
        <v>91</v>
      </c>
      <c r="B92" t="str">
        <v>MASS BSF</v>
      </c>
      <c r="C92" t="str">
        <v>F6V-794</v>
      </c>
      <c r="D92" t="str">
        <v>F6V-794</v>
      </c>
      <c r="E92" t="str">
        <v/>
      </c>
      <c r="F92" t="str">
        <v>865235053167082</v>
      </c>
      <c r="G92" t="str">
        <v>TBD</v>
      </c>
      <c r="H92" t="str">
        <v/>
      </c>
      <c r="I92" t="str">
        <v/>
      </c>
      <c r="J92" t="str">
        <v>28/09/2026</v>
      </c>
      <c r="K92" t="str">
        <v>14:40:16</v>
      </c>
      <c r="L92">
        <v>-12.224945</v>
      </c>
      <c r="M92">
        <v>-76.90745</v>
      </c>
      <c r="N92">
        <f>HYPERLINK("https://www.google.com/maps/search/?api=1&amp;query=-12.224945,-76.90745","Avenida Miguel Grau, Villa María del Triunfo, Lima")</f>
      </c>
      <c r="O92" t="str">
        <v>Aceleración brusca</v>
      </c>
      <c r="P92" t="str">
        <v>CMT-910</v>
      </c>
      <c r="Q92">
        <v>135138.7</v>
      </c>
      <c r="R92" t="str">
        <v/>
      </c>
      <c r="S92">
        <v>13.7</v>
      </c>
      <c r="T92">
        <v>0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28/09/2026</v>
      </c>
      <c r="AD92" t="str">
        <v>14:40:11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28/09/2026 14:40:34</v>
      </c>
      <c r="AL92" t="str">
        <v>14:40:34</v>
      </c>
      <c r="AM92" t="str">
        <v/>
      </c>
    </row>
    <row r="93">
      <c r="A93">
        <v>92</v>
      </c>
      <c r="B93" t="str">
        <v>MASS BSF</v>
      </c>
      <c r="C93" t="str">
        <v>F6V-794</v>
      </c>
      <c r="D93" t="str">
        <v>F6V-794</v>
      </c>
      <c r="E93" t="str">
        <v/>
      </c>
      <c r="F93" t="str">
        <v>865235053167082</v>
      </c>
      <c r="G93" t="str">
        <v>TBD</v>
      </c>
      <c r="H93" t="str">
        <v/>
      </c>
      <c r="I93" t="str">
        <v/>
      </c>
      <c r="J93" t="str">
        <v>28/09/2026</v>
      </c>
      <c r="K93" t="str">
        <v>14:40:17</v>
      </c>
      <c r="L93">
        <v>-12.224995</v>
      </c>
      <c r="M93">
        <v>-76.907455</v>
      </c>
      <c r="N93">
        <f>HYPERLINK("https://www.google.com/maps/search/?api=1&amp;query=-12.224995,-76.907455","Avenida Miguel Grau, Villa María del Triunfo, Lima")</f>
      </c>
      <c r="O93" t="str">
        <v>Bache</v>
      </c>
      <c r="P93" t="str">
        <v/>
      </c>
      <c r="Q93">
        <v>135138.7</v>
      </c>
      <c r="R93" t="str">
        <v/>
      </c>
      <c r="S93">
        <v>7.4</v>
      </c>
      <c r="T93">
        <v>0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28/09/2026</v>
      </c>
      <c r="AD93" t="str">
        <v>14:40:13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28/09/2026 14:40:26</v>
      </c>
      <c r="AL93" t="str">
        <v>14:40:26</v>
      </c>
      <c r="AM93" t="str">
        <v/>
      </c>
    </row>
    <row r="94">
      <c r="A94">
        <v>93</v>
      </c>
      <c r="B94" t="str">
        <v>MASS BSF</v>
      </c>
      <c r="C94" t="str">
        <v>F6V-794</v>
      </c>
      <c r="D94" t="str">
        <v>F6V-794</v>
      </c>
      <c r="E94" t="str">
        <v/>
      </c>
      <c r="F94" t="str">
        <v>865235053167082</v>
      </c>
      <c r="G94" t="str">
        <v>TBD</v>
      </c>
      <c r="H94" t="str">
        <v/>
      </c>
      <c r="I94" t="str">
        <v/>
      </c>
      <c r="J94" t="str">
        <v>28/09/2026</v>
      </c>
      <c r="K94" t="str">
        <v>14:40:50</v>
      </c>
      <c r="L94">
        <v>-12.22677</v>
      </c>
      <c r="M94">
        <v>-76.90775</v>
      </c>
      <c r="N94">
        <f>HYPERLINK("https://www.google.com/maps/search/?api=1&amp;query=-12.22677,-76.90775","Avenida Miguel Grau, Villa María del Triunfo, Lima")</f>
      </c>
      <c r="O94" t="str">
        <v>Aceleración brusca</v>
      </c>
      <c r="P94" t="str">
        <v>CMT-910</v>
      </c>
      <c r="Q94">
        <v>135138.9</v>
      </c>
      <c r="R94" t="str">
        <v/>
      </c>
      <c r="S94">
        <v>6.8</v>
      </c>
      <c r="T94">
        <v>0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28/09/2026</v>
      </c>
      <c r="AD94" t="str">
        <v>14:40:46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28/09/2026 14:40:57</v>
      </c>
      <c r="AL94" t="str">
        <v>14:40:57</v>
      </c>
      <c r="AM94" t="str">
        <v/>
      </c>
    </row>
    <row r="95">
      <c r="A95">
        <v>94</v>
      </c>
      <c r="B95" t="str">
        <v>MASS BSF</v>
      </c>
      <c r="C95" t="str">
        <v>F6V-794</v>
      </c>
      <c r="D95" t="str">
        <v>F6V-794</v>
      </c>
      <c r="E95" t="str">
        <v/>
      </c>
      <c r="F95" t="str">
        <v>865235053167082</v>
      </c>
      <c r="G95" t="str">
        <v>TBD</v>
      </c>
      <c r="H95" t="str">
        <v/>
      </c>
      <c r="I95" t="str">
        <v/>
      </c>
      <c r="J95" t="str">
        <v>28/09/2026</v>
      </c>
      <c r="K95" t="str">
        <v>14:41:03</v>
      </c>
      <c r="L95">
        <v>-12.227237</v>
      </c>
      <c r="M95">
        <v>-76.90785</v>
      </c>
      <c r="N95">
        <f>HYPERLINK("https://www.google.com/maps/search/?api=1&amp;query=-12.227237,-76.90785","Avenida Miguel Grau, Villa María del Triunfo, Lima")</f>
      </c>
      <c r="O95" t="str">
        <v>Aceleración brusca</v>
      </c>
      <c r="P95" t="str">
        <v>CMT-910</v>
      </c>
      <c r="Q95">
        <v>135138.9</v>
      </c>
      <c r="R95" t="str">
        <v/>
      </c>
      <c r="S95">
        <v>13.5</v>
      </c>
      <c r="T95">
        <v>0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28/09/2026</v>
      </c>
      <c r="AD95" t="str">
        <v>14:40:58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28/09/2026 14:41:24</v>
      </c>
      <c r="AL95" t="str">
        <v>14:41:24</v>
      </c>
      <c r="AM95" t="str">
        <v/>
      </c>
    </row>
    <row r="96">
      <c r="A96">
        <v>95</v>
      </c>
      <c r="B96" t="str">
        <v>MASS BSF</v>
      </c>
      <c r="C96" t="str">
        <v>F6V-794</v>
      </c>
      <c r="D96" t="str">
        <v>F6V-794</v>
      </c>
      <c r="E96" t="str">
        <v/>
      </c>
      <c r="F96" t="str">
        <v>865235053167082</v>
      </c>
      <c r="G96" t="str">
        <v>TBD</v>
      </c>
      <c r="H96" t="str">
        <v/>
      </c>
      <c r="I96" t="str">
        <v/>
      </c>
      <c r="J96" t="str">
        <v>28/09/2026</v>
      </c>
      <c r="K96" t="str">
        <v>14:41:04</v>
      </c>
      <c r="L96">
        <v>-12.227279</v>
      </c>
      <c r="M96">
        <v>-76.90786</v>
      </c>
      <c r="N96">
        <f>HYPERLINK("https://www.google.com/maps/search/?api=1&amp;query=-12.227279,-76.90786","Avenida Miguel Grau, Villa María del Triunfo, Lima")</f>
      </c>
      <c r="O96" t="str">
        <v>Bache</v>
      </c>
      <c r="P96" t="str">
        <v/>
      </c>
      <c r="Q96">
        <v>135138.9</v>
      </c>
      <c r="R96" t="str">
        <v/>
      </c>
      <c r="S96">
        <v>6.4</v>
      </c>
      <c r="T96">
        <v>0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28/09/2026</v>
      </c>
      <c r="AD96" t="str">
        <v>14:41:00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28/09/2026 14:41:16</v>
      </c>
      <c r="AL96" t="str">
        <v>14:41:16</v>
      </c>
      <c r="AM96" t="str">
        <v/>
      </c>
    </row>
    <row r="97">
      <c r="A97">
        <v>96</v>
      </c>
      <c r="B97" t="str">
        <v>MASS BSF</v>
      </c>
      <c r="C97" t="str">
        <v>F6V-794</v>
      </c>
      <c r="D97" t="str">
        <v>F6V-794</v>
      </c>
      <c r="E97" t="str">
        <v/>
      </c>
      <c r="F97" t="str">
        <v>865235053167082</v>
      </c>
      <c r="G97" t="str">
        <v>TBD</v>
      </c>
      <c r="H97" t="str">
        <v/>
      </c>
      <c r="I97" t="str">
        <v/>
      </c>
      <c r="J97" t="str">
        <v>28/09/2026</v>
      </c>
      <c r="K97" t="str">
        <v>14:41:22</v>
      </c>
      <c r="L97">
        <v>-12.227939</v>
      </c>
      <c r="M97">
        <v>-76.90797</v>
      </c>
      <c r="N97">
        <f>HYPERLINK("https://www.google.com/maps/search/?api=1&amp;query=-12.227939,-76.90797","Avenida Miguel Grau, Villa María del Triunfo, Lima")</f>
      </c>
      <c r="O97" t="str">
        <v>Aceleración brusca</v>
      </c>
      <c r="P97" t="str">
        <v>CMT-910</v>
      </c>
      <c r="Q97">
        <v>135139</v>
      </c>
      <c r="R97" t="str">
        <v/>
      </c>
      <c r="S97">
        <v>10.9</v>
      </c>
      <c r="T97">
        <v>0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28/09/2026</v>
      </c>
      <c r="AD97" t="str">
        <v>14:41:18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28/09/2026 14:41:25</v>
      </c>
      <c r="AL97" t="str">
        <v>14:41:25</v>
      </c>
      <c r="AM97" t="str">
        <v/>
      </c>
    </row>
    <row r="98">
      <c r="A98">
        <v>97</v>
      </c>
      <c r="B98" t="str">
        <v>MASS BSF</v>
      </c>
      <c r="C98" t="str">
        <v>F6V-794</v>
      </c>
      <c r="D98" t="str">
        <v>F6V-794</v>
      </c>
      <c r="E98" t="str">
        <v/>
      </c>
      <c r="F98" t="str">
        <v>865235053167082</v>
      </c>
      <c r="G98" t="str">
        <v>TBD</v>
      </c>
      <c r="H98" t="str">
        <v/>
      </c>
      <c r="I98" t="str">
        <v/>
      </c>
      <c r="J98" t="str">
        <v>28/09/2026</v>
      </c>
      <c r="K98" t="str">
        <v>14:41:24</v>
      </c>
      <c r="L98">
        <v>-12.227962</v>
      </c>
      <c r="M98">
        <v>-76.907974</v>
      </c>
      <c r="N98">
        <f>HYPERLINK("https://www.google.com/maps/search/?api=1&amp;query=-12.227962,-76.907974","Avenida Miguel Grau, Villa María del Triunfo, Lima")</f>
      </c>
      <c r="O98" t="str">
        <v>Bache</v>
      </c>
      <c r="P98" t="str">
        <v/>
      </c>
      <c r="Q98">
        <v>135139</v>
      </c>
      <c r="R98" t="str">
        <v/>
      </c>
      <c r="S98">
        <v>8.1</v>
      </c>
      <c r="T98">
        <v>0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100</v>
      </c>
      <c r="AC98" t="str">
        <v>28/09/2026</v>
      </c>
      <c r="AD98" t="str">
        <v>14:41:19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28/09/2026 14:41:33</v>
      </c>
      <c r="AL98" t="str">
        <v>14:41:33</v>
      </c>
      <c r="AM98" t="str">
        <v/>
      </c>
    </row>
    <row r="99">
      <c r="A99">
        <v>98</v>
      </c>
      <c r="B99" t="str">
        <v>MASS BSF</v>
      </c>
      <c r="C99" t="str">
        <v>F6V-794</v>
      </c>
      <c r="D99" t="str">
        <v>F6V-794</v>
      </c>
      <c r="E99" t="str">
        <v/>
      </c>
      <c r="F99" t="str">
        <v>865235053167082</v>
      </c>
      <c r="G99" t="str">
        <v>TBD</v>
      </c>
      <c r="H99" t="str">
        <v/>
      </c>
      <c r="I99" t="str">
        <v/>
      </c>
      <c r="J99" t="str">
        <v>28/09/2026</v>
      </c>
      <c r="K99" t="str">
        <v>14:41:51</v>
      </c>
      <c r="L99">
        <v>-12.229425</v>
      </c>
      <c r="M99">
        <v>-76.90826</v>
      </c>
      <c r="N99">
        <f>HYPERLINK("https://www.google.com/maps/search/?api=1&amp;query=-12.229425,-76.90826","Avenida Los Cipreces, Villa María del Triunfo, Lima")</f>
      </c>
      <c r="O99" t="str">
        <v>Acelerado y giro brusco</v>
      </c>
      <c r="P99" t="str">
        <v/>
      </c>
      <c r="Q99">
        <v>135139.2</v>
      </c>
      <c r="R99" t="str">
        <v/>
      </c>
      <c r="S99">
        <v>13.8</v>
      </c>
      <c r="T99">
        <v>0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100</v>
      </c>
      <c r="AC99" t="str">
        <v>28/09/2026</v>
      </c>
      <c r="AD99" t="str">
        <v>14:41:47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28/09/2026 14:42:01</v>
      </c>
      <c r="AL99" t="str">
        <v>14:42:01</v>
      </c>
      <c r="AM99" t="str">
        <v/>
      </c>
    </row>
    <row r="100">
      <c r="A100">
        <v>99</v>
      </c>
      <c r="B100" t="str">
        <v>MASS BSF</v>
      </c>
      <c r="C100" t="str">
        <v>F6V-794</v>
      </c>
      <c r="D100" t="str">
        <v>F6V-794</v>
      </c>
      <c r="E100" t="str">
        <v/>
      </c>
      <c r="F100" t="str">
        <v>865235053167082</v>
      </c>
      <c r="G100" t="str">
        <v>TBD</v>
      </c>
      <c r="H100" t="str">
        <v/>
      </c>
      <c r="I100" t="str">
        <v/>
      </c>
      <c r="J100" t="str">
        <v>28/09/2026</v>
      </c>
      <c r="K100" t="str">
        <v>14:42:13</v>
      </c>
      <c r="L100">
        <v>-12.229293</v>
      </c>
      <c r="M100">
        <v>-76.90912</v>
      </c>
      <c r="N100">
        <f>HYPERLINK("https://www.google.com/maps/search/?api=1&amp;query=-12.229293,-76.90912","Avenida Los Cipreces, Villa María del Triunfo, Lima")</f>
      </c>
      <c r="O100" t="str">
        <v>Bache</v>
      </c>
      <c r="P100" t="str">
        <v/>
      </c>
      <c r="Q100">
        <v>135139.3</v>
      </c>
      <c r="R100" t="str">
        <v/>
      </c>
      <c r="S100">
        <v>8.1</v>
      </c>
      <c r="T100">
        <v>0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100</v>
      </c>
      <c r="AC100" t="str">
        <v>28/09/2026</v>
      </c>
      <c r="AD100" t="str">
        <v>14:42:08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28/09/2026 14:42:32</v>
      </c>
      <c r="AL100" t="str">
        <v>14:42:32</v>
      </c>
      <c r="AM100" t="str">
        <v/>
      </c>
    </row>
    <row r="101">
      <c r="A101">
        <v>100</v>
      </c>
      <c r="B101" t="str">
        <v>MASS BSF</v>
      </c>
      <c r="C101" t="str">
        <v>F6V-794</v>
      </c>
      <c r="D101" t="str">
        <v>F6V-794</v>
      </c>
      <c r="E101" t="str">
        <v/>
      </c>
      <c r="F101" t="str">
        <v>865235053167082</v>
      </c>
      <c r="G101" t="str">
        <v>TBD</v>
      </c>
      <c r="H101" t="str">
        <v/>
      </c>
      <c r="I101" t="str">
        <v/>
      </c>
      <c r="J101" t="str">
        <v>28/09/2026</v>
      </c>
      <c r="K101" t="str">
        <v>14:42:51</v>
      </c>
      <c r="L101">
        <v>-12.23022</v>
      </c>
      <c r="M101">
        <v>-76.909615</v>
      </c>
      <c r="N101">
        <f>HYPERLINK("https://www.google.com/maps/search/?api=1&amp;query=-12.23022,-76.909615","Calle 2, Villa María del Triunfo, Lima")</f>
      </c>
      <c r="O101" t="str">
        <v>Acelerado y giro brusco</v>
      </c>
      <c r="P101" t="str">
        <v/>
      </c>
      <c r="Q101">
        <v>135139.4</v>
      </c>
      <c r="R101" t="str">
        <v/>
      </c>
      <c r="S101">
        <v>7.9</v>
      </c>
      <c r="T101">
        <v>0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100</v>
      </c>
      <c r="AC101" t="str">
        <v>28/09/2026</v>
      </c>
      <c r="AD101" t="str">
        <v>14:42:46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28/09/2026 14:43:07</v>
      </c>
      <c r="AL101" t="str">
        <v>14:43:07</v>
      </c>
      <c r="AM101" t="str">
        <v/>
      </c>
    </row>
    <row r="102">
      <c r="A102">
        <v>101</v>
      </c>
      <c r="B102" t="str">
        <v>MASS BSF</v>
      </c>
      <c r="C102" t="str">
        <v>F6V-794</v>
      </c>
      <c r="D102" t="str">
        <v>F6V-794</v>
      </c>
      <c r="E102" t="str">
        <v/>
      </c>
      <c r="F102" t="str">
        <v>865235053167082</v>
      </c>
      <c r="G102" t="str">
        <v>TBD</v>
      </c>
      <c r="H102" t="str">
        <v/>
      </c>
      <c r="I102" t="str">
        <v/>
      </c>
      <c r="J102" t="str">
        <v>28/09/2026</v>
      </c>
      <c r="K102" t="str">
        <v>14:43:21</v>
      </c>
      <c r="L102">
        <v>-12.231263</v>
      </c>
      <c r="M102">
        <v>-76.909775</v>
      </c>
      <c r="N102">
        <f>HYPERLINK("https://www.google.com/maps/search/?api=1&amp;query=-12.231263,-76.909775","Avenida Lima, Villa María del Triunfo")</f>
      </c>
      <c r="O102" t="str">
        <v>Aceleración brusca</v>
      </c>
      <c r="P102" t="str">
        <v>CMT-910</v>
      </c>
      <c r="Q102">
        <v>135139.5</v>
      </c>
      <c r="R102" t="str">
        <v/>
      </c>
      <c r="S102">
        <v>9.6</v>
      </c>
      <c r="T102">
        <v>0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98</v>
      </c>
      <c r="AC102" t="str">
        <v>28/09/2026</v>
      </c>
      <c r="AD102" t="str">
        <v>14:43:16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28/09/2026 14:43:32</v>
      </c>
      <c r="AL102" t="str">
        <v>14:43:32</v>
      </c>
      <c r="AM102" t="str">
        <v/>
      </c>
    </row>
    <row r="103">
      <c r="A103">
        <v>102</v>
      </c>
      <c r="B103" t="str">
        <v>MASS BSF</v>
      </c>
      <c r="C103" t="str">
        <v>F6V-794</v>
      </c>
      <c r="D103" t="str">
        <v>F6V-794</v>
      </c>
      <c r="E103" t="str">
        <v/>
      </c>
      <c r="F103" t="str">
        <v>865235053167082</v>
      </c>
      <c r="G103" t="str">
        <v>TBD</v>
      </c>
      <c r="H103" t="str">
        <v/>
      </c>
      <c r="I103" t="str">
        <v/>
      </c>
      <c r="J103" t="str">
        <v>28/09/2026</v>
      </c>
      <c r="K103" t="str">
        <v>14:43:25</v>
      </c>
      <c r="L103">
        <v>-12.23133</v>
      </c>
      <c r="M103">
        <v>-76.90979</v>
      </c>
      <c r="N103">
        <f>HYPERLINK("https://www.google.com/maps/search/?api=1&amp;query=-12.23133,-76.90979","Avenida Lima, Villa María del Triunfo")</f>
      </c>
      <c r="O103" t="str">
        <v>Bache</v>
      </c>
      <c r="P103" t="str">
        <v/>
      </c>
      <c r="Q103">
        <v>135139.5</v>
      </c>
      <c r="R103" t="str">
        <v/>
      </c>
      <c r="S103">
        <v>7.2</v>
      </c>
      <c r="T103">
        <v>0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100</v>
      </c>
      <c r="AC103" t="str">
        <v>28/09/2026</v>
      </c>
      <c r="AD103" t="str">
        <v>14:43:20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28/09/2026 14:43:41</v>
      </c>
      <c r="AL103" t="str">
        <v>14:43:41</v>
      </c>
      <c r="AM103" t="str">
        <v/>
      </c>
    </row>
    <row r="104">
      <c r="A104">
        <v>103</v>
      </c>
      <c r="B104" t="str">
        <v>MASS BSF</v>
      </c>
      <c r="C104" t="str">
        <v>F6V-794</v>
      </c>
      <c r="D104" t="str">
        <v>F6V-794</v>
      </c>
      <c r="E104" t="str">
        <v/>
      </c>
      <c r="F104" t="str">
        <v>865235053167082</v>
      </c>
      <c r="G104" t="str">
        <v>TBD</v>
      </c>
      <c r="H104" t="str">
        <v/>
      </c>
      <c r="I104" t="str">
        <v/>
      </c>
      <c r="J104" t="str">
        <v>28/09/2026</v>
      </c>
      <c r="K104" t="str">
        <v>14:44:00</v>
      </c>
      <c r="L104">
        <v>-12.232727</v>
      </c>
      <c r="M104">
        <v>-76.91035</v>
      </c>
      <c r="N104">
        <f>HYPERLINK("https://www.google.com/maps/search/?api=1&amp;query=-12.232727,-76.91035","Avenida Lima, Villa María del Triunfo")</f>
      </c>
      <c r="O104" t="str">
        <v>Acelerado y giro brusco</v>
      </c>
      <c r="P104" t="str">
        <v/>
      </c>
      <c r="Q104">
        <v>135139.7</v>
      </c>
      <c r="R104" t="str">
        <v/>
      </c>
      <c r="S104">
        <v>8.1</v>
      </c>
      <c r="T104">
        <v>0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100</v>
      </c>
      <c r="AC104" t="str">
        <v>28/09/2026</v>
      </c>
      <c r="AD104" t="str">
        <v>14:43:55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28/09/2026 14:44:21</v>
      </c>
      <c r="AL104" t="str">
        <v>14:44:21</v>
      </c>
      <c r="AM104" t="str">
        <v/>
      </c>
    </row>
    <row r="105">
      <c r="A105">
        <v>104</v>
      </c>
      <c r="B105" t="str">
        <v>MASS BSF</v>
      </c>
      <c r="C105" t="str">
        <v>F6V-794</v>
      </c>
      <c r="D105" t="str">
        <v>F6V-794</v>
      </c>
      <c r="E105" t="str">
        <v/>
      </c>
      <c r="F105" t="str">
        <v>865235053167082</v>
      </c>
      <c r="G105" t="str">
        <v>TBD</v>
      </c>
      <c r="H105" t="str">
        <v/>
      </c>
      <c r="I105" t="str">
        <v/>
      </c>
      <c r="J105" t="str">
        <v>28/09/2026</v>
      </c>
      <c r="K105" t="str">
        <v>14:45:00</v>
      </c>
      <c r="L105">
        <v>-12.23478</v>
      </c>
      <c r="M105">
        <v>-76.91159</v>
      </c>
      <c r="N105">
        <f>HYPERLINK("https://www.google.com/maps/search/?api=1&amp;query=-12.23478,-76.91159","Avenida Lima, Villa El Salvador")</f>
      </c>
      <c r="O105" t="str">
        <v>Aceleración brusca</v>
      </c>
      <c r="P105" t="str">
        <v>CMT-910</v>
      </c>
      <c r="Q105">
        <v>135140</v>
      </c>
      <c r="R105" t="str">
        <v/>
      </c>
      <c r="S105">
        <v>13.7</v>
      </c>
      <c r="T105">
        <v>0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100</v>
      </c>
      <c r="AC105" t="str">
        <v>28/09/2026</v>
      </c>
      <c r="AD105" t="str">
        <v>14:44:55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28/09/2026 14:45:11</v>
      </c>
      <c r="AL105" t="str">
        <v>14:45:11</v>
      </c>
      <c r="AM105" t="str">
        <v/>
      </c>
    </row>
    <row r="106">
      <c r="A106">
        <v>105</v>
      </c>
      <c r="B106" t="str">
        <v>MASS BSF</v>
      </c>
      <c r="C106" t="str">
        <v>F6V-794</v>
      </c>
      <c r="D106" t="str">
        <v>F6V-794</v>
      </c>
      <c r="E106" t="str">
        <v/>
      </c>
      <c r="F106" t="str">
        <v>865235053167082</v>
      </c>
      <c r="G106" t="str">
        <v>TBD</v>
      </c>
      <c r="H106" t="str">
        <v/>
      </c>
      <c r="I106" t="str">
        <v/>
      </c>
      <c r="J106" t="str">
        <v>28/09/2026</v>
      </c>
      <c r="K106" t="str">
        <v>14:53:25</v>
      </c>
      <c r="L106">
        <v>-12.234475</v>
      </c>
      <c r="M106">
        <v>-76.93412</v>
      </c>
      <c r="N106">
        <f>HYPERLINK("https://www.google.com/maps/search/?api=1&amp;query=-12.234475,-76.93412","Avenida Prolongación Mariano Pastor Sevilla, Villa El Salvador, Lima")</f>
      </c>
      <c r="O106" t="str">
        <v>Bache</v>
      </c>
      <c r="P106" t="str">
        <v/>
      </c>
      <c r="Q106">
        <v>135143.7</v>
      </c>
      <c r="R106" t="str">
        <v/>
      </c>
      <c r="S106">
        <v>7</v>
      </c>
      <c r="T106">
        <v>0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100</v>
      </c>
      <c r="AC106" t="str">
        <v>28/09/2026</v>
      </c>
      <c r="AD106" t="str">
        <v>14:53:21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28/09/2026 14:53:48</v>
      </c>
      <c r="AL106" t="str">
        <v>14:53:48</v>
      </c>
      <c r="AM106" t="str">
        <v/>
      </c>
    </row>
    <row r="107">
      <c r="A107">
        <v>106</v>
      </c>
      <c r="B107" t="str">
        <v>MASS BSF</v>
      </c>
      <c r="C107" t="str">
        <v>F6V-794</v>
      </c>
      <c r="D107" t="str">
        <v>F6V-794</v>
      </c>
      <c r="E107" t="str">
        <v/>
      </c>
      <c r="F107" t="str">
        <v>865235053167082</v>
      </c>
      <c r="G107" t="str">
        <v>TBD</v>
      </c>
      <c r="H107" t="str">
        <v/>
      </c>
      <c r="I107" t="str">
        <v/>
      </c>
      <c r="J107" t="str">
        <v>28/09/2026</v>
      </c>
      <c r="K107" t="str">
        <v>14:54:11</v>
      </c>
      <c r="L107">
        <v>-12.231725</v>
      </c>
      <c r="M107">
        <v>-76.9373</v>
      </c>
      <c r="N107">
        <f>HYPERLINK("https://www.google.com/maps/search/?api=1&amp;query=-12.231725,-76.9373","Avenida Mariano Pastor Sevilla, Villa El Salvador, Lima")</f>
      </c>
      <c r="O107" t="str">
        <v>Ingreso a camino vecinal</v>
      </c>
      <c r="P107" t="str">
        <v/>
      </c>
      <c r="Q107">
        <v>135144.2</v>
      </c>
      <c r="R107" t="str">
        <v/>
      </c>
      <c r="S107">
        <v>50.3</v>
      </c>
      <c r="T107">
        <v>0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100</v>
      </c>
      <c r="AC107" t="str">
        <v>28/09/2026</v>
      </c>
      <c r="AD107" t="str">
        <v>14:54:06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28/09/2026 14:54:20</v>
      </c>
      <c r="AL107" t="str">
        <v>14:54:20</v>
      </c>
      <c r="AM107" t="str">
        <v/>
      </c>
    </row>
    <row r="108">
      <c r="A108">
        <v>107</v>
      </c>
      <c r="B108" t="str">
        <v>MASS BSF</v>
      </c>
      <c r="C108" t="str">
        <v>F6V-794</v>
      </c>
      <c r="D108" t="str">
        <v>F6V-794</v>
      </c>
      <c r="E108" t="str">
        <v/>
      </c>
      <c r="F108" t="str">
        <v>865235053167082</v>
      </c>
      <c r="G108" t="str">
        <v>TBD</v>
      </c>
      <c r="H108" t="str">
        <v/>
      </c>
      <c r="I108" t="str">
        <v/>
      </c>
      <c r="J108" t="str">
        <v>28/09/2026</v>
      </c>
      <c r="K108" t="str">
        <v>14:55:11</v>
      </c>
      <c r="L108">
        <v>-12.227163</v>
      </c>
      <c r="M108">
        <v>-76.94003</v>
      </c>
      <c r="N108">
        <f>HYPERLINK("https://www.google.com/maps/search/?api=1&amp;query=-12.227163,-76.94003","Avenida Mariano Pastor Sevilla, Villa El Salvador, Lima")</f>
      </c>
      <c r="O108" t="str">
        <v>Salida de camino vecinal</v>
      </c>
      <c r="P108" t="str">
        <v/>
      </c>
      <c r="Q108">
        <v>135144.8</v>
      </c>
      <c r="R108" t="str">
        <v/>
      </c>
      <c r="S108">
        <v>43.8</v>
      </c>
      <c r="T108">
        <v>0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28/09/2026</v>
      </c>
      <c r="AD108" t="str">
        <v>14:55:06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28/09/2026 14:55:22</v>
      </c>
      <c r="AL108" t="str">
        <v>14:55:22</v>
      </c>
      <c r="AM108" t="str">
        <v/>
      </c>
    </row>
    <row r="109">
      <c r="A109">
        <v>108</v>
      </c>
      <c r="B109" t="str">
        <v>MASS BSF</v>
      </c>
      <c r="C109" t="str">
        <v>F6V-794</v>
      </c>
      <c r="D109" t="str">
        <v>F6V-794</v>
      </c>
      <c r="E109" t="str">
        <v/>
      </c>
      <c r="F109" t="str">
        <v>865235053167082</v>
      </c>
      <c r="G109" t="str">
        <v>TBD</v>
      </c>
      <c r="H109" t="str">
        <v/>
      </c>
      <c r="I109" t="str">
        <v/>
      </c>
      <c r="J109" t="str">
        <v>28/09/2026</v>
      </c>
      <c r="K109" t="str">
        <v>14:55:22</v>
      </c>
      <c r="L109">
        <v>-12.226321</v>
      </c>
      <c r="M109">
        <v>-76.94053</v>
      </c>
      <c r="N109">
        <f>HYPERLINK("https://www.google.com/maps/search/?api=1&amp;query=-12.226321,-76.94053","Avenida Mariano Pastor Sevilla, Villa El Salvador, Lima")</f>
      </c>
      <c r="O109" t="str">
        <v>Aceleración brusca</v>
      </c>
      <c r="P109" t="str">
        <v>CMT-910</v>
      </c>
      <c r="Q109">
        <v>135144.9</v>
      </c>
      <c r="R109" t="str">
        <v/>
      </c>
      <c r="S109">
        <v>16.8</v>
      </c>
      <c r="T109">
        <v>0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100</v>
      </c>
      <c r="AC109" t="str">
        <v>28/09/2026</v>
      </c>
      <c r="AD109" t="str">
        <v>14:55:17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28/09/2026 14:55:29</v>
      </c>
      <c r="AL109" t="str">
        <v>14:55:29</v>
      </c>
      <c r="AM109" t="str">
        <v/>
      </c>
    </row>
    <row r="110">
      <c r="A110">
        <v>109</v>
      </c>
      <c r="B110" t="str">
        <v>MASS BSF</v>
      </c>
      <c r="C110" t="str">
        <v>F6V-794</v>
      </c>
      <c r="D110" t="str">
        <v>F6V-794</v>
      </c>
      <c r="E110" t="str">
        <v/>
      </c>
      <c r="F110" t="str">
        <v>865235053167082</v>
      </c>
      <c r="G110" t="str">
        <v>TBD</v>
      </c>
      <c r="H110" t="str">
        <v/>
      </c>
      <c r="I110" t="str">
        <v/>
      </c>
      <c r="J110" t="str">
        <v>28/09/2026</v>
      </c>
      <c r="K110" t="str">
        <v>14:55:23</v>
      </c>
      <c r="L110">
        <v>-12.226294</v>
      </c>
      <c r="M110">
        <v>-76.94055</v>
      </c>
      <c r="N110">
        <f>HYPERLINK("https://www.google.com/maps/search/?api=1&amp;query=-12.226294,-76.94055","Avenida Mariano Pastor Sevilla, Villa El Salvador, Lima")</f>
      </c>
      <c r="O110" t="str">
        <v>Bache</v>
      </c>
      <c r="P110" t="str">
        <v/>
      </c>
      <c r="Q110">
        <v>135144.9</v>
      </c>
      <c r="R110" t="str">
        <v/>
      </c>
      <c r="S110">
        <v>11.2</v>
      </c>
      <c r="T110">
        <v>0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100</v>
      </c>
      <c r="AC110" t="str">
        <v>28/09/2026</v>
      </c>
      <c r="AD110" t="str">
        <v>14:55:18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28/09/2026 14:55:26</v>
      </c>
      <c r="AL110" t="str">
        <v>14:55:26</v>
      </c>
      <c r="AM110" t="str">
        <v/>
      </c>
    </row>
    <row r="111">
      <c r="A111">
        <v>110</v>
      </c>
      <c r="B111" t="str">
        <v>MASS BSF</v>
      </c>
      <c r="C111" t="str">
        <v>F6V-794</v>
      </c>
      <c r="D111" t="str">
        <v>F6V-794</v>
      </c>
      <c r="E111" t="str">
        <v/>
      </c>
      <c r="F111" t="str">
        <v>865235053167082</v>
      </c>
      <c r="G111" t="str">
        <v>TBD</v>
      </c>
      <c r="H111" t="str">
        <v/>
      </c>
      <c r="I111" t="str">
        <v/>
      </c>
      <c r="J111" t="str">
        <v>28/09/2026</v>
      </c>
      <c r="K111" t="str">
        <v>14:56:47</v>
      </c>
      <c r="L111">
        <v>-12.227845</v>
      </c>
      <c r="M111">
        <v>-76.94458</v>
      </c>
      <c r="N111">
        <f>HYPERLINK("https://www.google.com/maps/search/?api=1&amp;query=-12.227845,-76.94458","Avenida José Carlos Mariátegui, Villa El Salvador, Lima")</f>
      </c>
      <c r="O111" t="str">
        <v>Bache</v>
      </c>
      <c r="P111" t="str">
        <v/>
      </c>
      <c r="Q111">
        <v>135145.4</v>
      </c>
      <c r="R111" t="str">
        <v/>
      </c>
      <c r="S111">
        <v>5.1</v>
      </c>
      <c r="T111">
        <v>0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100</v>
      </c>
      <c r="AC111" t="str">
        <v>28/09/2026</v>
      </c>
      <c r="AD111" t="str">
        <v>14:56:43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28/09/2026 14:57:03</v>
      </c>
      <c r="AL111" t="str">
        <v>14:57:03</v>
      </c>
      <c r="AM111" t="str">
        <v/>
      </c>
    </row>
    <row r="112">
      <c r="A112">
        <v>111</v>
      </c>
      <c r="B112" t="str">
        <v>MASS BSF</v>
      </c>
      <c r="C112" t="str">
        <v>F6V-794</v>
      </c>
      <c r="D112" t="str">
        <v>F6V-794</v>
      </c>
      <c r="E112" t="str">
        <v/>
      </c>
      <c r="F112" t="str">
        <v>865235053167082</v>
      </c>
      <c r="G112" t="str">
        <v>TBD</v>
      </c>
      <c r="H112" t="str">
        <v/>
      </c>
      <c r="I112" t="str">
        <v/>
      </c>
      <c r="J112" t="str">
        <v>28/09/2026</v>
      </c>
      <c r="K112" t="str">
        <v>15:01:47</v>
      </c>
      <c r="L112">
        <v>-12.217568</v>
      </c>
      <c r="M112">
        <v>-76.95459</v>
      </c>
      <c r="N112">
        <f>HYPERLINK("https://www.google.com/maps/search/?api=1&amp;query=-12.217568,-76.95459","Calle 8, Villa El Salvador, Lima")</f>
      </c>
      <c r="O112" t="str">
        <v>Vehículo apagado</v>
      </c>
      <c r="P112" t="str">
        <v>Vehículo Apagado</v>
      </c>
      <c r="Q112">
        <v>135147.3</v>
      </c>
      <c r="R112" t="str">
        <v/>
      </c>
      <c r="S112">
        <v>0</v>
      </c>
      <c r="T112">
        <v>0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100</v>
      </c>
      <c r="AC112" t="str">
        <v>28/09/2026</v>
      </c>
      <c r="AD112" t="str">
        <v>15:01:43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28/09/2026 15:02:05</v>
      </c>
      <c r="AL112" t="str">
        <v>15:02:05</v>
      </c>
      <c r="AM112" t="str">
        <v/>
      </c>
    </row>
    <row r="113">
      <c r="A113">
        <v>112</v>
      </c>
      <c r="B113" t="str">
        <v>MASS BSF</v>
      </c>
      <c r="C113" t="str">
        <v>F6V-794</v>
      </c>
      <c r="D113" t="str">
        <v>F6V-794</v>
      </c>
      <c r="E113" t="str">
        <v/>
      </c>
      <c r="F113" t="str">
        <v>865235053167082</v>
      </c>
      <c r="G113" t="str">
        <v>TBD</v>
      </c>
      <c r="H113" t="str">
        <v/>
      </c>
      <c r="I113" t="str">
        <v/>
      </c>
      <c r="J113" t="str">
        <v>28/09/2026</v>
      </c>
      <c r="K113" t="str">
        <v>15:01:53</v>
      </c>
      <c r="L113">
        <v>-12.217568</v>
      </c>
      <c r="M113">
        <v>-76.95459</v>
      </c>
      <c r="N113">
        <f>HYPERLINK("https://www.google.com/maps/search/?api=1&amp;query=-12.217568,-76.95459","Calle 8, Villa El Salvador, Lima")</f>
      </c>
      <c r="O113" t="str">
        <v>Vehículo encendido</v>
      </c>
      <c r="P113" t="str">
        <v/>
      </c>
      <c r="Q113">
        <v>135147.3</v>
      </c>
      <c r="R113" t="str">
        <v/>
      </c>
      <c r="S113">
        <v>0</v>
      </c>
      <c r="T113">
        <v>0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100</v>
      </c>
      <c r="AC113" t="str">
        <v>28/09/2026</v>
      </c>
      <c r="AD113" t="str">
        <v>15:01:48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28/09/2026 15:02:15</v>
      </c>
      <c r="AL113" t="str">
        <v>15:02:15</v>
      </c>
      <c r="AM113" t="str">
        <v/>
      </c>
    </row>
    <row r="114">
      <c r="A114">
        <v>113</v>
      </c>
      <c r="B114" t="str">
        <v>MASS BSF</v>
      </c>
      <c r="C114" t="str">
        <v>F6V-794</v>
      </c>
      <c r="D114" t="str">
        <v>F6V-794</v>
      </c>
      <c r="E114" t="str">
        <v/>
      </c>
      <c r="F114" t="str">
        <v>865235053167082</v>
      </c>
      <c r="G114" t="str">
        <v>TBD</v>
      </c>
      <c r="H114" t="str">
        <v/>
      </c>
      <c r="I114" t="str">
        <v/>
      </c>
      <c r="J114" t="str">
        <v>28/09/2026</v>
      </c>
      <c r="K114" t="str">
        <v>15:47:37</v>
      </c>
      <c r="L114">
        <v>-12.217555</v>
      </c>
      <c r="M114">
        <v>-76.954636</v>
      </c>
      <c r="N114">
        <f>HYPERLINK("https://www.google.com/maps/search/?api=1&amp;query=-12.217555,-76.954636","Avenida Separadora Agroindustrial, Villa El Salvador, Lima")</f>
      </c>
      <c r="O114" t="str">
        <v>Vehículo apagado</v>
      </c>
      <c r="P114" t="str">
        <v>Vehículo Apagado</v>
      </c>
      <c r="Q114">
        <v>135147.3</v>
      </c>
      <c r="R114" t="str">
        <v/>
      </c>
      <c r="S114">
        <v>0</v>
      </c>
      <c r="T114">
        <v>0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99</v>
      </c>
      <c r="AC114" t="str">
        <v>28/09/2026</v>
      </c>
      <c r="AD114" t="str">
        <v>15:47:32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28/09/2026 15:47:44</v>
      </c>
      <c r="AL114" t="str">
        <v>15:47:44</v>
      </c>
      <c r="AM114" t="str">
        <v/>
      </c>
    </row>
    <row r="115">
      <c r="A115">
        <v>114</v>
      </c>
      <c r="B115" t="str">
        <v>MASS BSF</v>
      </c>
      <c r="C115" t="str">
        <v>F6V-794</v>
      </c>
      <c r="D115" t="str">
        <v>F6V-794</v>
      </c>
      <c r="E115" t="str">
        <v/>
      </c>
      <c r="F115" t="str">
        <v>865235053167082</v>
      </c>
      <c r="G115" t="str">
        <v>TBD</v>
      </c>
      <c r="H115" t="str">
        <v/>
      </c>
      <c r="I115" t="str">
        <v/>
      </c>
      <c r="J115" t="str">
        <v>28/09/2026</v>
      </c>
      <c r="K115" t="str">
        <v>15:49:54</v>
      </c>
      <c r="L115">
        <v>-12.217555</v>
      </c>
      <c r="M115">
        <v>-76.954636</v>
      </c>
      <c r="N115">
        <f>HYPERLINK("https://www.google.com/maps/search/?api=1&amp;query=-12.217555,-76.954636","Avenida Separadora Agroindustrial, Villa El Salvador, Lima")</f>
      </c>
      <c r="O115" t="str">
        <v>Vehículo encendido</v>
      </c>
      <c r="P115" t="str">
        <v/>
      </c>
      <c r="Q115">
        <v>135147.3</v>
      </c>
      <c r="R115" t="str">
        <v/>
      </c>
      <c r="S115">
        <v>0</v>
      </c>
      <c r="T115">
        <v>0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99</v>
      </c>
      <c r="AC115" t="str">
        <v>28/09/2026</v>
      </c>
      <c r="AD115" t="str">
        <v>15:49:49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28/09/2026 15:50:00</v>
      </c>
      <c r="AL115" t="str">
        <v>15:50:00</v>
      </c>
      <c r="AM115" t="str">
        <v/>
      </c>
    </row>
    <row r="116">
      <c r="A116">
        <v>115</v>
      </c>
      <c r="B116" t="str">
        <v>MASS BSF</v>
      </c>
      <c r="C116" t="str">
        <v>F6V-794</v>
      </c>
      <c r="D116" t="str">
        <v>F6V-794</v>
      </c>
      <c r="E116" t="str">
        <v/>
      </c>
      <c r="F116" t="str">
        <v>865235053167082</v>
      </c>
      <c r="G116" t="str">
        <v>TBD</v>
      </c>
      <c r="H116" t="str">
        <v/>
      </c>
      <c r="I116" t="str">
        <v/>
      </c>
      <c r="J116" t="str">
        <v>28/09/2026</v>
      </c>
      <c r="K116" t="str">
        <v>15:53:50</v>
      </c>
      <c r="L116">
        <v>-12.217235</v>
      </c>
      <c r="M116">
        <v>-76.954834</v>
      </c>
      <c r="N116">
        <f>HYPERLINK("https://www.google.com/maps/search/?api=1&amp;query=-12.217235,-76.954834","Avenida Separadora Agroindustrial, Villa El Salvador, Lima")</f>
      </c>
      <c r="O116" t="str">
        <v>Se movio</v>
      </c>
      <c r="P116" t="str">
        <v/>
      </c>
      <c r="Q116">
        <v>135147.3</v>
      </c>
      <c r="R116" t="str">
        <v/>
      </c>
      <c r="S116">
        <v>16.6</v>
      </c>
      <c r="T116">
        <v>0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99</v>
      </c>
      <c r="AC116" t="str">
        <v>28/09/2026</v>
      </c>
      <c r="AD116" t="str">
        <v>15:53:50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28/09/2026 15:54:04</v>
      </c>
      <c r="AL116" t="str">
        <v>15:54:04</v>
      </c>
      <c r="AM116" t="str">
        <v/>
      </c>
    </row>
    <row r="117">
      <c r="A117">
        <v>116</v>
      </c>
      <c r="B117" t="str">
        <v>MASS BSF</v>
      </c>
      <c r="C117" t="str">
        <v>F6V-794</v>
      </c>
      <c r="D117" t="str">
        <v>F6V-794</v>
      </c>
      <c r="E117" t="str">
        <v/>
      </c>
      <c r="F117" t="str">
        <v>865235053167082</v>
      </c>
      <c r="G117" t="str">
        <v>TBD</v>
      </c>
      <c r="H117" t="str">
        <v/>
      </c>
      <c r="I117" t="str">
        <v/>
      </c>
      <c r="J117" t="str">
        <v>28/09/2026</v>
      </c>
      <c r="K117" t="str">
        <v>15:56:35</v>
      </c>
      <c r="L117">
        <v>-12.216338</v>
      </c>
      <c r="M117">
        <v>-76.96055</v>
      </c>
      <c r="N117">
        <f>HYPERLINK("https://www.google.com/maps/search/?api=1&amp;query=-12.216338,-76.96055","Calle 3, Villa El Salvador, Lima")</f>
      </c>
      <c r="O117" t="str">
        <v>Bache</v>
      </c>
      <c r="P117" t="str">
        <v/>
      </c>
      <c r="Q117">
        <v>135148.2</v>
      </c>
      <c r="R117" t="str">
        <v/>
      </c>
      <c r="S117">
        <v>12.7</v>
      </c>
      <c r="T117">
        <v>0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100</v>
      </c>
      <c r="AC117" t="str">
        <v>28/09/2026</v>
      </c>
      <c r="AD117" t="str">
        <v>15:56:35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28/09/2026 15:56:54</v>
      </c>
      <c r="AL117" t="str">
        <v>15:56:54</v>
      </c>
      <c r="AM117" t="str">
        <v/>
      </c>
    </row>
    <row r="118">
      <c r="A118">
        <v>117</v>
      </c>
      <c r="B118" t="str">
        <v>MASS BSF</v>
      </c>
      <c r="C118" t="str">
        <v>F6V-794</v>
      </c>
      <c r="D118" t="str">
        <v>F6V-794</v>
      </c>
      <c r="E118" t="str">
        <v/>
      </c>
      <c r="F118" t="str">
        <v>865235053167082</v>
      </c>
      <c r="G118" t="str">
        <v>TBD</v>
      </c>
      <c r="H118" t="str">
        <v/>
      </c>
      <c r="I118" t="str">
        <v xml:space="preserve"> </v>
      </c>
      <c r="J118" t="str">
        <v>28/09/2026</v>
      </c>
      <c r="K118" t="str">
        <v>15:59:55</v>
      </c>
      <c r="L118">
        <v>-12.212847</v>
      </c>
      <c r="M118">
        <v>-76.95931</v>
      </c>
      <c r="N118">
        <f>HYPERLINK("https://www.google.com/maps/search/?api=1&amp;query=-12.212847,-76.95931","Avenida Villa del Mar, Villa El Salvador, Lima")</f>
      </c>
      <c r="O118" t="str">
        <v>Llegó a la zona</v>
      </c>
      <c r="P118" t="str">
        <v/>
      </c>
      <c r="Q118">
        <v>135148.7</v>
      </c>
      <c r="R118" t="str">
        <v>BASE-OSLOGISTICS</v>
      </c>
      <c r="S118">
        <v>9.6</v>
      </c>
      <c r="T118">
        <v>0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99</v>
      </c>
      <c r="AC118" t="str">
        <v>28/09/2026</v>
      </c>
      <c r="AD118" t="str">
        <v>15:59:55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28/09/2026 16:00:06</v>
      </c>
      <c r="AL118" t="str">
        <v>16:00:06</v>
      </c>
      <c r="AM118" t="str">
        <v/>
      </c>
    </row>
    <row r="119">
      <c r="A119">
        <v>118</v>
      </c>
      <c r="B119" t="str">
        <v>MASS BSF</v>
      </c>
      <c r="C119" t="str">
        <v>F6V-794</v>
      </c>
      <c r="D119" t="str">
        <v>F6V-794</v>
      </c>
      <c r="E119" t="str">
        <v/>
      </c>
      <c r="F119" t="str">
        <v>865235053167082</v>
      </c>
      <c r="G119" t="str">
        <v>TBD</v>
      </c>
      <c r="H119" t="str">
        <v/>
      </c>
      <c r="I119" t="str">
        <v/>
      </c>
      <c r="J119" t="str">
        <v>28/09/2026</v>
      </c>
      <c r="K119" t="str">
        <v>16:01:21</v>
      </c>
      <c r="L119">
        <v>-12.212838</v>
      </c>
      <c r="M119">
        <v>-76.95891</v>
      </c>
      <c r="N119">
        <f>HYPERLINK("https://www.google.com/maps/search/?api=1&amp;query=-12.212838,-76.95891","Avenida Villa del Mar, Villa El Salvador, Lima")</f>
      </c>
      <c r="O119" t="str">
        <v>Vehículo apagado</v>
      </c>
      <c r="P119" t="str">
        <v>Vehículo Apagado</v>
      </c>
      <c r="Q119">
        <v>135148.8</v>
      </c>
      <c r="R119" t="str">
        <v/>
      </c>
      <c r="S119">
        <v>0</v>
      </c>
      <c r="T119">
        <v>0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99</v>
      </c>
      <c r="AC119" t="str">
        <v>28/09/2026</v>
      </c>
      <c r="AD119" t="str">
        <v>16:01:21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28/09/2026 16:01:43</v>
      </c>
      <c r="AL119" t="str">
        <v>16:01:43</v>
      </c>
      <c r="AM119" t="str">
        <v/>
      </c>
    </row>
    <row r="120">
      <c r="A120">
        <v>119</v>
      </c>
      <c r="B120" t="str">
        <v>MASS BSF</v>
      </c>
      <c r="C120" t="str">
        <v>F6V-794</v>
      </c>
      <c r="D120" t="str">
        <v>F6V-794</v>
      </c>
      <c r="E120" t="str">
        <v/>
      </c>
      <c r="F120" t="str">
        <v>865235053167082</v>
      </c>
      <c r="G120" t="str">
        <v>TBD</v>
      </c>
      <c r="H120" t="str">
        <v/>
      </c>
      <c r="I120" t="str">
        <v/>
      </c>
      <c r="J120" t="str">
        <v>28/09/2026</v>
      </c>
      <c r="K120" t="str">
        <v>16:09:04</v>
      </c>
      <c r="L120">
        <v>-12.212838</v>
      </c>
      <c r="M120">
        <v>-76.95891</v>
      </c>
      <c r="N120">
        <f>HYPERLINK("https://www.google.com/maps/search/?api=1&amp;query=-12.212838,-76.95891","Avenida Villa del Mar, Villa El Salvador, Lima")</f>
      </c>
      <c r="O120" t="str">
        <v>Vehículo encendido</v>
      </c>
      <c r="P120" t="str">
        <v/>
      </c>
      <c r="Q120">
        <v>135148.8</v>
      </c>
      <c r="R120" t="str">
        <v/>
      </c>
      <c r="S120">
        <v>0</v>
      </c>
      <c r="T120">
        <v>0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99</v>
      </c>
      <c r="AC120" t="str">
        <v>28/09/2026</v>
      </c>
      <c r="AD120" t="str">
        <v>16:09:04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28/09/2026 16:09:24</v>
      </c>
      <c r="AL120" t="str">
        <v>16:09:24</v>
      </c>
      <c r="AM120" t="str">
        <v/>
      </c>
    </row>
    <row r="121">
      <c r="A121">
        <v>120</v>
      </c>
      <c r="B121" t="str">
        <v>MASS BSF</v>
      </c>
      <c r="C121" t="str">
        <v>F6V-794</v>
      </c>
      <c r="D121" t="str">
        <v>F6V-794</v>
      </c>
      <c r="E121" t="str">
        <v/>
      </c>
      <c r="F121" t="str">
        <v>865235053167082</v>
      </c>
      <c r="G121" t="str">
        <v>TBD</v>
      </c>
      <c r="H121" t="str">
        <v/>
      </c>
      <c r="I121" t="str">
        <v/>
      </c>
      <c r="J121" t="str">
        <v>28/09/2026</v>
      </c>
      <c r="K121" t="str">
        <v>16:10:22</v>
      </c>
      <c r="L121">
        <v>-12.212807</v>
      </c>
      <c r="M121">
        <v>-76.95885</v>
      </c>
      <c r="N121">
        <f>HYPERLINK("https://www.google.com/maps/search/?api=1&amp;query=-12.212807,-76.95885","Avenida Villa del Mar, Villa El Salvador, Lima")</f>
      </c>
      <c r="O121" t="str">
        <v>Vehículo apagado</v>
      </c>
      <c r="P121" t="str">
        <v>Vehículo Apagado</v>
      </c>
      <c r="Q121">
        <v>135148.8</v>
      </c>
      <c r="R121" t="str">
        <v/>
      </c>
      <c r="S121">
        <v>0</v>
      </c>
      <c r="T121">
        <v>0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>
        <v>99</v>
      </c>
      <c r="AC121" t="str">
        <v>28/09/2026</v>
      </c>
      <c r="AD121" t="str">
        <v>16:10:22</v>
      </c>
      <c r="AE121">
        <f>IF("ONLINE"="NOGPS","GPS Antiguo","En línea")</f>
      </c>
      <c r="AF121">
        <f>IF(0=0,"Sin atender", IF(0=1,"Atendida","Atendida y Reportada"))</f>
      </c>
      <c r="AG121" t="str">
        <v/>
      </c>
      <c r="AH121" t="str">
        <v/>
      </c>
      <c r="AI121" t="str">
        <v/>
      </c>
      <c r="AJ121" t="str">
        <v/>
      </c>
      <c r="AK121" t="str">
        <v>28/09/2026 16:10:35</v>
      </c>
      <c r="AL121" t="str">
        <v>16:10:35</v>
      </c>
      <c r="AM121" t="str">
        <v/>
      </c>
    </row>
    <row r="122">
      <c r="A122">
        <v>121</v>
      </c>
      <c r="B122" t="str">
        <v>MASS BSF</v>
      </c>
      <c r="C122" t="str">
        <v>F6V-794</v>
      </c>
      <c r="D122" t="str">
        <v>F6V-794</v>
      </c>
      <c r="E122" t="str">
        <v/>
      </c>
      <c r="F122" t="str">
        <v>865235053167082</v>
      </c>
      <c r="G122" t="str">
        <v>TBD</v>
      </c>
      <c r="H122" t="str">
        <v/>
      </c>
      <c r="I122" t="str">
        <v/>
      </c>
      <c r="J122" t="str">
        <v>28/09/2026</v>
      </c>
      <c r="K122" t="str">
        <v>16:18:14</v>
      </c>
      <c r="L122">
        <v>-12.212807</v>
      </c>
      <c r="M122">
        <v>-76.95885</v>
      </c>
      <c r="N122">
        <f>HYPERLINK("https://www.google.com/maps/search/?api=1&amp;query=-12.212807,-76.95885","Avenida Villa del Mar, Villa El Salvador, Lima")</f>
      </c>
      <c r="O122" t="str">
        <v>Vehículo encendido</v>
      </c>
      <c r="P122" t="str">
        <v/>
      </c>
      <c r="Q122">
        <v>135148.8</v>
      </c>
      <c r="R122" t="str">
        <v/>
      </c>
      <c r="S122">
        <v>0</v>
      </c>
      <c r="T122">
        <v>0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>
        <v>99</v>
      </c>
      <c r="AC122" t="str">
        <v>28/09/2026</v>
      </c>
      <c r="AD122" t="str">
        <v>16:18:14</v>
      </c>
      <c r="AE122">
        <f>IF("ONLINE"="NOGPS","GPS Antiguo","En línea")</f>
      </c>
      <c r="AF122">
        <f>IF(0=0,"Sin atender", IF(0=1,"Atendida","Atendida y Reportada"))</f>
      </c>
      <c r="AG122" t="str">
        <v/>
      </c>
      <c r="AH122" t="str">
        <v/>
      </c>
      <c r="AI122" t="str">
        <v/>
      </c>
      <c r="AJ122" t="str">
        <v/>
      </c>
      <c r="AK122" t="str">
        <v>28/09/2026 16:18:32</v>
      </c>
      <c r="AL122" t="str">
        <v>16:18:32</v>
      </c>
      <c r="AM122" t="str">
        <v/>
      </c>
    </row>
    <row r="123">
      <c r="A123">
        <v>122</v>
      </c>
      <c r="B123" t="str">
        <v>MASS BSF</v>
      </c>
      <c r="C123" t="str">
        <v>F6V-794</v>
      </c>
      <c r="D123" t="str">
        <v>F6V-794</v>
      </c>
      <c r="E123" t="str">
        <v/>
      </c>
      <c r="F123" t="str">
        <v>865235053167082</v>
      </c>
      <c r="G123" t="str">
        <v>TBD</v>
      </c>
      <c r="H123" t="str">
        <v/>
      </c>
      <c r="I123" t="str">
        <v/>
      </c>
      <c r="J123" t="str">
        <v>28/09/2026</v>
      </c>
      <c r="K123" t="str">
        <v>16:24:49</v>
      </c>
      <c r="L123">
        <v>-12.213462</v>
      </c>
      <c r="M123">
        <v>-76.96028</v>
      </c>
      <c r="N123">
        <f>HYPERLINK("https://www.google.com/maps/search/?api=1&amp;query=-12.213462,-76.96028","Avenida Villa del Mar, Villa El Salvador, Lima")</f>
      </c>
      <c r="O123" t="str">
        <v>Se movio</v>
      </c>
      <c r="P123" t="str">
        <v/>
      </c>
      <c r="Q123">
        <v>135148.9</v>
      </c>
      <c r="R123" t="str">
        <v/>
      </c>
      <c r="S123">
        <v>8.1</v>
      </c>
      <c r="T123">
        <v>0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97</v>
      </c>
      <c r="AC123" t="str">
        <v>28/09/2026</v>
      </c>
      <c r="AD123" t="str">
        <v>16:24:49</v>
      </c>
      <c r="AE123">
        <f>IF("ONLINE"="NOGPS","GPS Antiguo","En línea")</f>
      </c>
      <c r="AF123">
        <f>IF(0=0,"Sin atender", IF(0=1,"Atendida","Atendida y Reportada"))</f>
      </c>
      <c r="AG123" t="str">
        <v/>
      </c>
      <c r="AH123" t="str">
        <v/>
      </c>
      <c r="AI123" t="str">
        <v/>
      </c>
      <c r="AJ123" t="str">
        <v/>
      </c>
      <c r="AK123" t="str">
        <v>28/09/2026 16:25:16</v>
      </c>
      <c r="AL123" t="str">
        <v>16:25:16</v>
      </c>
      <c r="AM123" t="str">
        <v/>
      </c>
    </row>
    <row r="124">
      <c r="A124">
        <v>123</v>
      </c>
      <c r="B124" t="str">
        <v>MASS BSF</v>
      </c>
      <c r="C124" t="str">
        <v>F6V-794</v>
      </c>
      <c r="D124" t="str">
        <v>F6V-794</v>
      </c>
      <c r="E124" t="str">
        <v/>
      </c>
      <c r="F124" t="str">
        <v>865235053167082</v>
      </c>
      <c r="G124" t="str">
        <v>TBD</v>
      </c>
      <c r="H124" t="str">
        <v/>
      </c>
      <c r="I124" t="str">
        <v xml:space="preserve"> </v>
      </c>
      <c r="J124" t="str">
        <v>28/09/2026</v>
      </c>
      <c r="K124" t="str">
        <v>16:24:49</v>
      </c>
      <c r="L124">
        <v>-12.213462</v>
      </c>
      <c r="M124">
        <v>-76.96028</v>
      </c>
      <c r="N124">
        <f>HYPERLINK("https://www.google.com/maps/search/?api=1&amp;query=-12.213462,-76.96028","Avenida Villa del Mar, Villa El Salvador, Lima")</f>
      </c>
      <c r="O124" t="str">
        <v>Salió de zona</v>
      </c>
      <c r="P124" t="str">
        <v/>
      </c>
      <c r="Q124">
        <v>135148.9</v>
      </c>
      <c r="R124" t="str">
        <v>BASE-OSLOGISTICS</v>
      </c>
      <c r="S124">
        <v>8.1</v>
      </c>
      <c r="T124">
        <v>0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>
        <v>97</v>
      </c>
      <c r="AC124" t="str">
        <v>28/09/2026</v>
      </c>
      <c r="AD124" t="str">
        <v>16:24:49</v>
      </c>
      <c r="AE124">
        <f>IF("ONLINE"="NOGPS","GPS Antiguo","En línea")</f>
      </c>
      <c r="AF124">
        <f>IF(0=0,"Sin atender", IF(0=1,"Atendida","Atendida y Reportada"))</f>
      </c>
      <c r="AG124" t="str">
        <v/>
      </c>
      <c r="AH124" t="str">
        <v/>
      </c>
      <c r="AI124" t="str">
        <v/>
      </c>
      <c r="AJ124" t="str">
        <v/>
      </c>
      <c r="AK124" t="str">
        <v>28/09/2026 16:25:16</v>
      </c>
      <c r="AL124" t="str">
        <v>16:25:16</v>
      </c>
      <c r="AM124" t="str">
        <v/>
      </c>
    </row>
    <row r="125">
      <c r="A125">
        <v>124</v>
      </c>
      <c r="B125" t="str">
        <v>MASS BSF</v>
      </c>
      <c r="C125" t="str">
        <v>F6V-794</v>
      </c>
      <c r="D125" t="str">
        <v>F6V-794</v>
      </c>
      <c r="E125" t="str">
        <v/>
      </c>
      <c r="F125" t="str">
        <v>865235053167082</v>
      </c>
      <c r="G125" t="str">
        <v>TBD</v>
      </c>
      <c r="H125" t="str">
        <v/>
      </c>
      <c r="I125" t="str">
        <v/>
      </c>
      <c r="J125" t="str">
        <v>28/09/2026</v>
      </c>
      <c r="K125" t="str">
        <v>16:25:12</v>
      </c>
      <c r="L125">
        <v>-12.213738</v>
      </c>
      <c r="M125">
        <v>-76.960686</v>
      </c>
      <c r="N125">
        <f>HYPERLINK("https://www.google.com/maps/search/?api=1&amp;query=-12.213738,-76.960686","Avenida Villa del Mar, Villa El Salvador, Lima")</f>
      </c>
      <c r="O125" t="str">
        <v>Bache</v>
      </c>
      <c r="P125" t="str">
        <v/>
      </c>
      <c r="Q125">
        <v>135149</v>
      </c>
      <c r="R125" t="str">
        <v/>
      </c>
      <c r="S125">
        <v>7.9</v>
      </c>
      <c r="T125">
        <v>0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>
        <v>97</v>
      </c>
      <c r="AC125" t="str">
        <v>28/09/2026</v>
      </c>
      <c r="AD125" t="str">
        <v>16:25:12</v>
      </c>
      <c r="AE125">
        <f>IF("ONLINE"="NOGPS","GPS Antiguo","En línea")</f>
      </c>
      <c r="AF125">
        <f>IF(0=0,"Sin atender", IF(0=1,"Atendida","Atendida y Reportada"))</f>
      </c>
      <c r="AG125" t="str">
        <v/>
      </c>
      <c r="AH125" t="str">
        <v/>
      </c>
      <c r="AI125" t="str">
        <v/>
      </c>
      <c r="AJ125" t="str">
        <v/>
      </c>
      <c r="AK125" t="str">
        <v>28/09/2026 16:25:40</v>
      </c>
      <c r="AL125" t="str">
        <v>16:25:40</v>
      </c>
      <c r="AM125" t="str">
        <v/>
      </c>
    </row>
    <row r="126">
      <c r="A126">
        <v>125</v>
      </c>
      <c r="B126" t="str">
        <v>MASS BSF</v>
      </c>
      <c r="C126" t="str">
        <v>F6V-794</v>
      </c>
      <c r="D126" t="str">
        <v>F6V-794</v>
      </c>
      <c r="E126" t="str">
        <v/>
      </c>
      <c r="F126" t="str">
        <v>865235053167082</v>
      </c>
      <c r="G126" t="str">
        <v>TBD</v>
      </c>
      <c r="H126" t="str">
        <v/>
      </c>
      <c r="I126" t="str">
        <v/>
      </c>
      <c r="J126" t="str">
        <v>28/09/2026</v>
      </c>
      <c r="K126" t="str">
        <v>16:32:06</v>
      </c>
      <c r="L126">
        <v>-12.216503</v>
      </c>
      <c r="M126">
        <v>-76.96839</v>
      </c>
      <c r="N126">
        <f>HYPERLINK("https://www.google.com/maps/search/?api=1&amp;query=-12.216503,-76.96839","Avenida El Sol, Villa El Salvador, Lima")</f>
      </c>
      <c r="O126" t="str">
        <v>Bache</v>
      </c>
      <c r="P126" t="str">
        <v/>
      </c>
      <c r="Q126">
        <v>135150.5</v>
      </c>
      <c r="R126" t="str">
        <v/>
      </c>
      <c r="S126">
        <v>5.9</v>
      </c>
      <c r="T126">
        <v>0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98</v>
      </c>
      <c r="AC126" t="str">
        <v>28/09/2026</v>
      </c>
      <c r="AD126" t="str">
        <v>16:32:05</v>
      </c>
      <c r="AE126">
        <f>IF("ONLINE"="NOGPS","GPS Antiguo","En línea")</f>
      </c>
      <c r="AF126">
        <f>IF(0=0,"Sin atender", IF(0=1,"Atendida","Atendida y Reportada"))</f>
      </c>
      <c r="AG126" t="str">
        <v/>
      </c>
      <c r="AH126" t="str">
        <v/>
      </c>
      <c r="AI126" t="str">
        <v/>
      </c>
      <c r="AJ126" t="str">
        <v/>
      </c>
      <c r="AK126" t="str">
        <v>28/09/2026 16:33:19</v>
      </c>
      <c r="AL126" t="str">
        <v>16:33:19</v>
      </c>
      <c r="AM126" t="str">
        <v/>
      </c>
    </row>
    <row r="127">
      <c r="A127">
        <v>126</v>
      </c>
      <c r="B127" t="str">
        <v>MASS BSF</v>
      </c>
      <c r="C127" t="str">
        <v>F6V-794</v>
      </c>
      <c r="D127" t="str">
        <v>F6V-794</v>
      </c>
      <c r="E127" t="str">
        <v/>
      </c>
      <c r="F127" t="str">
        <v>865235053167082</v>
      </c>
      <c r="G127" t="str">
        <v>TBD</v>
      </c>
      <c r="H127" t="str">
        <v/>
      </c>
      <c r="I127" t="str">
        <v/>
      </c>
      <c r="J127" t="str">
        <v>28/09/2026</v>
      </c>
      <c r="K127" t="str">
        <v>16:35:26</v>
      </c>
      <c r="L127">
        <v>-12.216806</v>
      </c>
      <c r="M127">
        <v>-76.967896</v>
      </c>
      <c r="N127">
        <f>HYPERLINK("https://www.google.com/maps/search/?api=1&amp;query=-12.216806,-76.967896","Calle 8, Villa El Salvador, Lima")</f>
      </c>
      <c r="O127" t="str">
        <v>Vehículo apagado</v>
      </c>
      <c r="P127" t="str">
        <v>Vehículo Apagado</v>
      </c>
      <c r="Q127">
        <v>135150.6</v>
      </c>
      <c r="R127" t="str">
        <v/>
      </c>
      <c r="S127">
        <v>0</v>
      </c>
      <c r="T127">
        <v>0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100</v>
      </c>
      <c r="AC127" t="str">
        <v>28/09/2026</v>
      </c>
      <c r="AD127" t="str">
        <v>16:35:25</v>
      </c>
      <c r="AE127">
        <f>IF("ONLINE"="NOGPS","GPS Antiguo","En línea")</f>
      </c>
      <c r="AF127">
        <f>IF(0=0,"Sin atender", IF(0=1,"Atendida","Atendida y Reportada"))</f>
      </c>
      <c r="AG127" t="str">
        <v/>
      </c>
      <c r="AH127" t="str">
        <v/>
      </c>
      <c r="AI127" t="str">
        <v/>
      </c>
      <c r="AJ127" t="str">
        <v/>
      </c>
      <c r="AK127" t="str">
        <v>28/09/2026 16:35:40</v>
      </c>
      <c r="AL127" t="str">
        <v>16:35:40</v>
      </c>
      <c r="AM127" t="str">
        <v/>
      </c>
    </row>
    <row r="128">
      <c r="A128">
        <v>127</v>
      </c>
      <c r="B128" t="str">
        <v>MASS BSF</v>
      </c>
      <c r="C128" t="str">
        <v>F6V-794</v>
      </c>
      <c r="D128" t="str">
        <v>F6V-794</v>
      </c>
      <c r="E128" t="str">
        <v/>
      </c>
      <c r="F128" t="str">
        <v>865235053167082</v>
      </c>
      <c r="G128" t="str">
        <v>TBD</v>
      </c>
      <c r="H128" t="str">
        <v/>
      </c>
      <c r="I128" t="str">
        <v/>
      </c>
      <c r="J128" t="str">
        <v>28/09/2026</v>
      </c>
      <c r="K128" t="str">
        <v>16:37:06</v>
      </c>
      <c r="L128">
        <v>-12.216806</v>
      </c>
      <c r="M128">
        <v>-76.967896</v>
      </c>
      <c r="N128">
        <f>HYPERLINK("https://www.google.com/maps/search/?api=1&amp;query=-12.216806,-76.967896","Calle 8, Villa El Salvador, Lima")</f>
      </c>
      <c r="O128" t="str">
        <v>Vehículo encendido</v>
      </c>
      <c r="P128" t="str">
        <v/>
      </c>
      <c r="Q128">
        <v>135150.6</v>
      </c>
      <c r="R128" t="str">
        <v/>
      </c>
      <c r="S128">
        <v>0</v>
      </c>
      <c r="T128">
        <v>0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100</v>
      </c>
      <c r="AC128" t="str">
        <v>28/09/2026</v>
      </c>
      <c r="AD128" t="str">
        <v>16:37:06</v>
      </c>
      <c r="AE128">
        <f>IF("ONLINE"="NOGPS","GPS Antiguo","En línea")</f>
      </c>
      <c r="AF128">
        <f>IF(0=0,"Sin atender", IF(0=1,"Atendida","Atendida y Reportada"))</f>
      </c>
      <c r="AG128" t="str">
        <v/>
      </c>
      <c r="AH128" t="str">
        <v/>
      </c>
      <c r="AI128" t="str">
        <v/>
      </c>
      <c r="AJ128" t="str">
        <v/>
      </c>
      <c r="AK128" t="str">
        <v>28/09/2026 16:37:16</v>
      </c>
      <c r="AL128" t="str">
        <v>16:37:16</v>
      </c>
      <c r="AM128" t="str">
        <v/>
      </c>
    </row>
    <row r="129">
      <c r="A129">
        <v>128</v>
      </c>
      <c r="B129" t="str">
        <v>MASS BSF</v>
      </c>
      <c r="C129" t="str">
        <v>F6V-794</v>
      </c>
      <c r="D129" t="str">
        <v>F6V-794</v>
      </c>
      <c r="E129" t="str">
        <v/>
      </c>
      <c r="F129" t="str">
        <v>865235053167082</v>
      </c>
      <c r="G129" t="str">
        <v>TBD</v>
      </c>
      <c r="H129" t="str">
        <v/>
      </c>
      <c r="I129" t="str">
        <v/>
      </c>
      <c r="J129" t="str">
        <v>28/09/2026</v>
      </c>
      <c r="K129" t="str">
        <v>16:40:18</v>
      </c>
      <c r="L129">
        <v>-12.216864</v>
      </c>
      <c r="M129">
        <v>-76.96762</v>
      </c>
      <c r="N129">
        <f>HYPERLINK("https://www.google.com/maps/search/?api=1&amp;query=-12.216864,-76.96762","Calle 8, Villa El Salvador, Lima")</f>
      </c>
      <c r="O129" t="str">
        <v>Inicio de ralentí</v>
      </c>
      <c r="P129" t="str">
        <v>Vehículo Detenido</v>
      </c>
      <c r="Q129">
        <v>135150.6</v>
      </c>
      <c r="R129" t="str">
        <v/>
      </c>
      <c r="S129">
        <v>0</v>
      </c>
      <c r="T129">
        <v>0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>
        <v>100</v>
      </c>
      <c r="AC129" t="str">
        <v>28/09/2026</v>
      </c>
      <c r="AD129" t="str">
        <v>16:40:17</v>
      </c>
      <c r="AE129">
        <f>IF("ONLINE"="NOGPS","GPS Antiguo","En línea")</f>
      </c>
      <c r="AF129">
        <f>IF(0=0,"Sin atender", IF(0=1,"Atendida","Atendida y Reportada"))</f>
      </c>
      <c r="AG129" t="str">
        <v/>
      </c>
      <c r="AH129" t="str">
        <v/>
      </c>
      <c r="AI129" t="str">
        <v/>
      </c>
      <c r="AJ129" t="str">
        <v/>
      </c>
      <c r="AK129" t="str">
        <v>28/09/2026 16:40:39</v>
      </c>
      <c r="AL129" t="str">
        <v>16:40:39</v>
      </c>
      <c r="AM129" t="str">
        <v/>
      </c>
    </row>
    <row r="130">
      <c r="A130">
        <v>129</v>
      </c>
      <c r="B130" t="str">
        <v>MASS BSF</v>
      </c>
      <c r="C130" t="str">
        <v>F6V-794</v>
      </c>
      <c r="D130" t="str">
        <v>F6V-794</v>
      </c>
      <c r="E130" t="str">
        <v/>
      </c>
      <c r="F130" t="str">
        <v>865235053167082</v>
      </c>
      <c r="G130" t="str">
        <v>TBD</v>
      </c>
      <c r="H130" t="str">
        <v/>
      </c>
      <c r="I130" t="str">
        <v/>
      </c>
      <c r="J130" t="str">
        <v>28/09/2026</v>
      </c>
      <c r="K130" t="str">
        <v>16:45:44</v>
      </c>
      <c r="L130">
        <v>-12.216737</v>
      </c>
      <c r="M130">
        <v>-76.967606</v>
      </c>
      <c r="N130">
        <f>HYPERLINK("https://www.google.com/maps/search/?api=1&amp;query=-12.216737,-76.967606","Calle 8, Villa El Salvador, Lima")</f>
      </c>
      <c r="O130" t="str">
        <v>Fin de ralentí</v>
      </c>
      <c r="P130" t="str">
        <v/>
      </c>
      <c r="Q130">
        <v>135150.7</v>
      </c>
      <c r="R130" t="str">
        <v/>
      </c>
      <c r="S130">
        <v>5.9</v>
      </c>
      <c r="T130">
        <v>0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98</v>
      </c>
      <c r="AC130" t="str">
        <v>28/09/2026</v>
      </c>
      <c r="AD130" t="str">
        <v>16:45:44</v>
      </c>
      <c r="AE130">
        <f>IF("ONLINE"="NOGPS","GPS Antiguo","En línea")</f>
      </c>
      <c r="AF130">
        <f>IF(0=0,"Sin atender", IF(0=1,"Atendida","Atendida y Reportada"))</f>
      </c>
      <c r="AG130" t="str">
        <v/>
      </c>
      <c r="AH130" t="str">
        <v/>
      </c>
      <c r="AI130" t="str">
        <v/>
      </c>
      <c r="AJ130" t="str">
        <v/>
      </c>
      <c r="AK130" t="str">
        <v>28/09/2026 16:45:57</v>
      </c>
      <c r="AL130" t="str">
        <v>16:45:57</v>
      </c>
      <c r="AM130" t="str">
        <v/>
      </c>
    </row>
    <row r="131">
      <c r="A131">
        <v>130</v>
      </c>
      <c r="B131" t="str">
        <v>MASS BSF</v>
      </c>
      <c r="C131" t="str">
        <v>F6V-794</v>
      </c>
      <c r="D131" t="str">
        <v>F6V-794</v>
      </c>
      <c r="E131" t="str">
        <v/>
      </c>
      <c r="F131" t="str">
        <v>865235053167082</v>
      </c>
      <c r="G131" t="str">
        <v>TBD</v>
      </c>
      <c r="H131" t="str">
        <v/>
      </c>
      <c r="I131" t="str">
        <v/>
      </c>
      <c r="J131" t="str">
        <v>28/09/2026</v>
      </c>
      <c r="K131" t="str">
        <v>16:48:45</v>
      </c>
      <c r="L131">
        <v>-12.216713</v>
      </c>
      <c r="M131">
        <v>-76.96766</v>
      </c>
      <c r="N131">
        <f>HYPERLINK("https://www.google.com/maps/search/?api=1&amp;query=-12.216713,-76.96766","Calle 8, Villa El Salvador, Lima")</f>
      </c>
      <c r="O131" t="str">
        <v>Inicio de ralentí</v>
      </c>
      <c r="P131" t="str">
        <v>Vehículo Detenido</v>
      </c>
      <c r="Q131">
        <v>135150.7</v>
      </c>
      <c r="R131" t="str">
        <v/>
      </c>
      <c r="S131">
        <v>0</v>
      </c>
      <c r="T131">
        <v>0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>
        <v>98</v>
      </c>
      <c r="AC131" t="str">
        <v>28/09/2026</v>
      </c>
      <c r="AD131" t="str">
        <v>16:48:44</v>
      </c>
      <c r="AE131">
        <f>IF("ONLINE"="NOGPS","GPS Antiguo","En línea")</f>
      </c>
      <c r="AF131">
        <f>IF(0=0,"Sin atender", IF(0=1,"Atendida","Atendida y Reportada"))</f>
      </c>
      <c r="AG131" t="str">
        <v/>
      </c>
      <c r="AH131" t="str">
        <v/>
      </c>
      <c r="AI131" t="str">
        <v/>
      </c>
      <c r="AJ131" t="str">
        <v/>
      </c>
      <c r="AK131" t="str">
        <v>28/09/2026 16:49:06</v>
      </c>
      <c r="AL131" t="str">
        <v>16:49:06</v>
      </c>
      <c r="AM131" t="str">
        <v/>
      </c>
    </row>
    <row r="132">
      <c r="A132">
        <v>131</v>
      </c>
      <c r="B132" t="str">
        <v>MASS BSF</v>
      </c>
      <c r="C132" t="str">
        <v>F6V-794</v>
      </c>
      <c r="D132" t="str">
        <v>F6V-794</v>
      </c>
      <c r="E132" t="str">
        <v/>
      </c>
      <c r="F132" t="str">
        <v>865235053167082</v>
      </c>
      <c r="G132" t="str">
        <v>TBD</v>
      </c>
      <c r="H132" t="str">
        <v/>
      </c>
      <c r="I132" t="str">
        <v/>
      </c>
      <c r="J132" t="str">
        <v>28/09/2026</v>
      </c>
      <c r="K132" t="str">
        <v>16:53:19</v>
      </c>
      <c r="L132">
        <v>-12.216561</v>
      </c>
      <c r="M132">
        <v>-76.96805</v>
      </c>
      <c r="N132">
        <f>HYPERLINK("https://www.google.com/maps/search/?api=1&amp;query=-12.216561,-76.96805","Calle 8, Villa El Salvador, Lima")</f>
      </c>
      <c r="O132" t="str">
        <v>Vehículo apagado</v>
      </c>
      <c r="P132" t="str">
        <v>Vehículo Apagado</v>
      </c>
      <c r="Q132">
        <v>135150.7</v>
      </c>
      <c r="R132" t="str">
        <v/>
      </c>
      <c r="S132">
        <v>0</v>
      </c>
      <c r="T132">
        <v>0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>
        <v>98</v>
      </c>
      <c r="AC132" t="str">
        <v>28/09/2026</v>
      </c>
      <c r="AD132" t="str">
        <v>16:53:19</v>
      </c>
      <c r="AE132">
        <f>IF("ONLINE"="NOGPS","GPS Antiguo","En línea")</f>
      </c>
      <c r="AF132">
        <f>IF(0=0,"Sin atender", IF(0=1,"Atendida","Atendida y Reportada"))</f>
      </c>
      <c r="AG132" t="str">
        <v/>
      </c>
      <c r="AH132" t="str">
        <v/>
      </c>
      <c r="AI132" t="str">
        <v/>
      </c>
      <c r="AJ132" t="str">
        <v/>
      </c>
      <c r="AK132" t="str">
        <v>28/09/2026 16:53:33</v>
      </c>
      <c r="AL132" t="str">
        <v>16:53:33</v>
      </c>
      <c r="AM132" t="str">
        <v/>
      </c>
    </row>
    <row r="133">
      <c r="A133">
        <v>132</v>
      </c>
      <c r="B133" t="str">
        <v>MASS BSF</v>
      </c>
      <c r="C133" t="str">
        <v>F6V-794</v>
      </c>
      <c r="D133" t="str">
        <v>F6V-794</v>
      </c>
      <c r="E133" t="str">
        <v/>
      </c>
      <c r="F133" t="str">
        <v>865235053167082</v>
      </c>
      <c r="G133" t="str">
        <v>TBD</v>
      </c>
      <c r="H133" t="str">
        <v/>
      </c>
      <c r="I133" t="str">
        <v/>
      </c>
      <c r="J133" t="str">
        <v>28/09/2026</v>
      </c>
      <c r="K133" t="str">
        <v>16:53:19</v>
      </c>
      <c r="L133">
        <v>-12.216561</v>
      </c>
      <c r="M133">
        <v>-76.96805</v>
      </c>
      <c r="N133">
        <f>HYPERLINK("https://www.google.com/maps/search/?api=1&amp;query=-12.216561,-76.96805","Calle 8, Villa El Salvador, Lima")</f>
      </c>
      <c r="O133" t="str">
        <v>Fin de ralentí</v>
      </c>
      <c r="P133" t="str">
        <v/>
      </c>
      <c r="Q133">
        <v>135150.7</v>
      </c>
      <c r="R133" t="str">
        <v/>
      </c>
      <c r="S133">
        <v>0</v>
      </c>
      <c r="T133">
        <v>0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>
        <v>98</v>
      </c>
      <c r="AC133" t="str">
        <v>28/09/2026</v>
      </c>
      <c r="AD133" t="str">
        <v>16:53:19</v>
      </c>
      <c r="AE133">
        <f>IF("ONLINE"="NOGPS","GPS Antiguo","En línea")</f>
      </c>
      <c r="AF133">
        <f>IF(0=0,"Sin atender", IF(0=1,"Atendida","Atendida y Reportada"))</f>
      </c>
      <c r="AG133" t="str">
        <v/>
      </c>
      <c r="AH133" t="str">
        <v/>
      </c>
      <c r="AI133" t="str">
        <v/>
      </c>
      <c r="AJ133" t="str">
        <v/>
      </c>
      <c r="AK133" t="str">
        <v>28/09/2026 16:53:40</v>
      </c>
      <c r="AL133" t="str">
        <v>16:53:40</v>
      </c>
      <c r="AM133" t="str">
        <v/>
      </c>
    </row>
    <row r="134">
      <c r="A134">
        <v>133</v>
      </c>
      <c r="B134" t="str">
        <v>MASS BSF</v>
      </c>
      <c r="C134" t="str">
        <v>F6V-794</v>
      </c>
      <c r="D134" t="str">
        <v>F6V-794</v>
      </c>
      <c r="E134" t="str">
        <v/>
      </c>
      <c r="F134" t="str">
        <v>865235053167082</v>
      </c>
      <c r="G134" t="str">
        <v>TBD</v>
      </c>
      <c r="H134" t="str">
        <v/>
      </c>
      <c r="I134" t="str">
        <v/>
      </c>
      <c r="J134" t="str">
        <v>28/09/2026</v>
      </c>
      <c r="K134" t="str">
        <v>17:02:16</v>
      </c>
      <c r="L134">
        <v>-12.216561</v>
      </c>
      <c r="M134">
        <v>-76.96805</v>
      </c>
      <c r="N134">
        <f>HYPERLINK("https://www.google.com/maps/search/?api=1&amp;query=-12.216561,-76.96805","Calle 8, Villa El Salvador, Lima")</f>
      </c>
      <c r="O134" t="str">
        <v>Vehículo encendido</v>
      </c>
      <c r="P134" t="str">
        <v/>
      </c>
      <c r="Q134">
        <v>135150.7</v>
      </c>
      <c r="R134" t="str">
        <v/>
      </c>
      <c r="S134">
        <v>0</v>
      </c>
      <c r="T134">
        <v>0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>
        <v>98</v>
      </c>
      <c r="AC134" t="str">
        <v>28/09/2026</v>
      </c>
      <c r="AD134" t="str">
        <v>17:02:15</v>
      </c>
      <c r="AE134">
        <f>IF("ONLINE"="NOGPS","GPS Antiguo","En línea")</f>
      </c>
      <c r="AF134">
        <f>IF(0=0,"Sin atender", IF(0=1,"Atendida","Atendida y Reportada"))</f>
      </c>
      <c r="AG134" t="str">
        <v/>
      </c>
      <c r="AH134" t="str">
        <v/>
      </c>
      <c r="AI134" t="str">
        <v/>
      </c>
      <c r="AJ134" t="str">
        <v/>
      </c>
      <c r="AK134" t="str">
        <v>28/09/2026 17:02:29</v>
      </c>
      <c r="AL134" t="str">
        <v>17:02:29</v>
      </c>
      <c r="AM134" t="str">
        <v/>
      </c>
    </row>
    <row r="135">
      <c r="A135">
        <v>134</v>
      </c>
      <c r="B135" t="str">
        <v>MASS BSF</v>
      </c>
      <c r="C135" t="str">
        <v>F6V-794</v>
      </c>
      <c r="D135" t="str">
        <v>F6V-794</v>
      </c>
      <c r="E135" t="str">
        <v/>
      </c>
      <c r="F135" t="str">
        <v>865235053167082</v>
      </c>
      <c r="G135" t="str">
        <v>TBD</v>
      </c>
      <c r="H135" t="str">
        <v/>
      </c>
      <c r="I135" t="str">
        <v/>
      </c>
      <c r="J135" t="str">
        <v>28/09/2026</v>
      </c>
      <c r="K135" t="str">
        <v>17:02:59</v>
      </c>
      <c r="L135">
        <v>-12.215692</v>
      </c>
      <c r="M135">
        <v>-76.967575</v>
      </c>
      <c r="N135">
        <f>HYPERLINK("https://www.google.com/maps/search/?api=1&amp;query=-12.215692,-76.967575","Avenida El Sol, Villa El Salvador, Lima")</f>
      </c>
      <c r="O135" t="str">
        <v>Se movio</v>
      </c>
      <c r="P135" t="str">
        <v/>
      </c>
      <c r="Q135">
        <v>135150.8</v>
      </c>
      <c r="R135" t="str">
        <v/>
      </c>
      <c r="S135">
        <v>29</v>
      </c>
      <c r="T135">
        <v>0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>
        <v>98</v>
      </c>
      <c r="AC135" t="str">
        <v>28/09/2026</v>
      </c>
      <c r="AD135" t="str">
        <v>17:02:58</v>
      </c>
      <c r="AE135">
        <f>IF("ONLINE"="NOGPS","GPS Antiguo","En línea")</f>
      </c>
      <c r="AF135">
        <f>IF(0=0,"Sin atender", IF(0=1,"Atendida","Atendida y Reportada"))</f>
      </c>
      <c r="AG135" t="str">
        <v/>
      </c>
      <c r="AH135" t="str">
        <v/>
      </c>
      <c r="AI135" t="str">
        <v/>
      </c>
      <c r="AJ135" t="str">
        <v/>
      </c>
      <c r="AK135" t="str">
        <v>28/09/2026 17:03:36</v>
      </c>
      <c r="AL135" t="str">
        <v>17:03:36</v>
      </c>
      <c r="AM135" t="str">
        <v/>
      </c>
    </row>
    <row r="136">
      <c r="A136">
        <v>135</v>
      </c>
      <c r="B136" t="str">
        <v>MASS BSF</v>
      </c>
      <c r="C136" t="str">
        <v>F6V-794</v>
      </c>
      <c r="D136" t="str">
        <v>F6V-794</v>
      </c>
      <c r="E136" t="str">
        <v/>
      </c>
      <c r="F136" t="str">
        <v>865235053167082</v>
      </c>
      <c r="G136" t="str">
        <v>TBD</v>
      </c>
      <c r="H136" t="str">
        <v/>
      </c>
      <c r="I136" t="str">
        <v xml:space="preserve"> </v>
      </c>
      <c r="J136" t="str">
        <v>28/09/2026</v>
      </c>
      <c r="K136" t="str">
        <v>17:07:37</v>
      </c>
      <c r="L136">
        <v>-12.212895</v>
      </c>
      <c r="M136">
        <v>-76.95935</v>
      </c>
      <c r="N136">
        <f>HYPERLINK("https://www.google.com/maps/search/?api=1&amp;query=-12.212895,-76.95935","Avenida Villa del Mar, Villa El Salvador, Lima")</f>
      </c>
      <c r="O136" t="str">
        <v>Llegó a la zona</v>
      </c>
      <c r="P136" t="str">
        <v/>
      </c>
      <c r="Q136">
        <v>135152.1</v>
      </c>
      <c r="R136" t="str">
        <v>BASE-OSLOGISTICS</v>
      </c>
      <c r="S136">
        <v>9.6</v>
      </c>
      <c r="T136">
        <v>0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>
        <v>99</v>
      </c>
      <c r="AC136" t="str">
        <v>28/09/2026</v>
      </c>
      <c r="AD136" t="str">
        <v>17:07:37</v>
      </c>
      <c r="AE136">
        <f>IF("ONLINE"="NOGPS","GPS Antiguo","En línea")</f>
      </c>
      <c r="AF136">
        <f>IF(0=0,"Sin atender", IF(0=1,"Atendida","Atendida y Reportada"))</f>
      </c>
      <c r="AG136" t="str">
        <v/>
      </c>
      <c r="AH136" t="str">
        <v/>
      </c>
      <c r="AI136" t="str">
        <v/>
      </c>
      <c r="AJ136" t="str">
        <v/>
      </c>
      <c r="AK136" t="str">
        <v>28/09/2026 17:07:51</v>
      </c>
      <c r="AL136" t="str">
        <v>17:07:51</v>
      </c>
      <c r="AM136" t="str">
        <v/>
      </c>
    </row>
    <row r="137">
      <c r="A137">
        <v>136</v>
      </c>
      <c r="B137" t="str">
        <v>MASS BSF</v>
      </c>
      <c r="C137" t="str">
        <v>F6V-794</v>
      </c>
      <c r="D137" t="str">
        <v>F6V-794</v>
      </c>
      <c r="E137" t="str">
        <v/>
      </c>
      <c r="F137" t="str">
        <v>865235053167082</v>
      </c>
      <c r="G137" t="str">
        <v>TBD</v>
      </c>
      <c r="H137" t="str">
        <v/>
      </c>
      <c r="I137" t="str">
        <v/>
      </c>
      <c r="J137" t="str">
        <v>28/09/2026</v>
      </c>
      <c r="K137" t="str">
        <v>17:09:36</v>
      </c>
      <c r="L137">
        <v>-12.213035</v>
      </c>
      <c r="M137">
        <v>-76.9589</v>
      </c>
      <c r="N137">
        <f>HYPERLINK("https://www.google.com/maps/search/?api=1&amp;query=-12.213035,-76.9589","Villa El Salvador, Lima")</f>
      </c>
      <c r="O137" t="str">
        <v>Vehículo apagado</v>
      </c>
      <c r="P137" t="str">
        <v>Vehículo Apagado</v>
      </c>
      <c r="Q137">
        <v>135152.1</v>
      </c>
      <c r="R137" t="str">
        <v/>
      </c>
      <c r="S137">
        <v>0</v>
      </c>
      <c r="T137">
        <v>0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98</v>
      </c>
      <c r="AC137" t="str">
        <v>28/09/2026</v>
      </c>
      <c r="AD137" t="str">
        <v>17:09:35</v>
      </c>
      <c r="AE137">
        <f>IF("ONLINE"="NOGPS","GPS Antiguo","En línea")</f>
      </c>
      <c r="AF137">
        <f>IF(0=0,"Sin atender", IF(0=1,"Atendida","Atendida y Reportada"))</f>
      </c>
      <c r="AG137" t="str">
        <v/>
      </c>
      <c r="AH137" t="str">
        <v/>
      </c>
      <c r="AI137" t="str">
        <v/>
      </c>
      <c r="AJ137" t="str">
        <v/>
      </c>
      <c r="AK137" t="str">
        <v>28/09/2026 17:09:50</v>
      </c>
      <c r="AL137" t="str">
        <v>17:09:50</v>
      </c>
      <c r="AM137" t="str">
        <v/>
      </c>
    </row>
  </sheetData>
  <ignoredErrors>
    <ignoredError numberStoredAsText="1" sqref="A1:AM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