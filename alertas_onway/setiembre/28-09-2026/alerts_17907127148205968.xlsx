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F6V-792</v>
      </c>
      <c r="D2" t="str">
        <v>F6V-792</v>
      </c>
      <c r="E2" t="str">
        <v/>
      </c>
      <c r="F2" t="str">
        <v>867162026042390</v>
      </c>
      <c r="G2" t="str">
        <v>Minivan</v>
      </c>
      <c r="H2" t="str">
        <v/>
      </c>
      <c r="I2" t="str">
        <v/>
      </c>
      <c r="J2" t="str">
        <v>28/09/2026</v>
      </c>
      <c r="K2" t="str">
        <v>11:56:31</v>
      </c>
      <c r="L2">
        <v>-12.212994</v>
      </c>
      <c r="M2">
        <v>-76.95884</v>
      </c>
      <c r="N2">
        <f>HYPERLINK("https://www.google.com/maps/search/?api=1&amp;query=-12.212994,-76.95884","Villa El Salvador, Lima")</f>
      </c>
      <c r="O2" t="str">
        <v>Vehículo encendido</v>
      </c>
      <c r="P2" t="str">
        <v/>
      </c>
      <c r="Q2">
        <v>556097.5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11:31:13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11:56:52</v>
      </c>
      <c r="AL2" t="str">
        <v>11:56:52</v>
      </c>
      <c r="AM2" t="str">
        <v/>
      </c>
    </row>
    <row r="3">
      <c r="A3">
        <v>2</v>
      </c>
      <c r="B3" t="str">
        <v>MASS BSF</v>
      </c>
      <c r="C3" t="str">
        <v>F6V-792</v>
      </c>
      <c r="D3" t="str">
        <v>F6V-792</v>
      </c>
      <c r="E3" t="str">
        <v/>
      </c>
      <c r="F3" t="str">
        <v>867162026042390</v>
      </c>
      <c r="G3" t="str">
        <v>Minivan</v>
      </c>
      <c r="H3" t="str">
        <v/>
      </c>
      <c r="I3" t="str">
        <v xml:space="preserve"> </v>
      </c>
      <c r="J3" t="str">
        <v>28/09/2026</v>
      </c>
      <c r="K3" t="str">
        <v>12:35:36</v>
      </c>
      <c r="L3">
        <v>-12.317585</v>
      </c>
      <c r="M3">
        <v>-76.82963</v>
      </c>
      <c r="N3">
        <f>HYPERLINK("https://www.google.com/maps/search/?api=1&amp;query=-12.317585,-76.82963","Punta Hermosa, Lima")</f>
      </c>
      <c r="O3" t="str">
        <v>Llegó a la zona</v>
      </c>
      <c r="P3" t="str">
        <v/>
      </c>
      <c r="Q3">
        <v>556125.4</v>
      </c>
      <c r="R3" t="str">
        <v>MASS BSF 1</v>
      </c>
      <c r="S3">
        <v>13.5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12:35:35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12:35:44</v>
      </c>
      <c r="AL3" t="str">
        <v>12:35:44</v>
      </c>
      <c r="AM3" t="str">
        <v/>
      </c>
    </row>
    <row r="4">
      <c r="A4">
        <v>3</v>
      </c>
      <c r="B4" t="str">
        <v>MASS BSF</v>
      </c>
      <c r="C4" t="str">
        <v>F6V-792</v>
      </c>
      <c r="D4" t="str">
        <v>F6V-792</v>
      </c>
      <c r="E4" t="str">
        <v/>
      </c>
      <c r="F4" t="str">
        <v>867162026042390</v>
      </c>
      <c r="G4" t="str">
        <v>Minivan</v>
      </c>
      <c r="H4" t="str">
        <v/>
      </c>
      <c r="I4" t="str">
        <v/>
      </c>
      <c r="J4" t="str">
        <v>28/09/2026</v>
      </c>
      <c r="K4" t="str">
        <v>12:53:59</v>
      </c>
      <c r="L4">
        <v>-12.317399</v>
      </c>
      <c r="M4">
        <v>-76.82288</v>
      </c>
      <c r="N4">
        <f>HYPERLINK("https://www.google.com/maps/search/?api=1&amp;query=-12.317399,-76.82288","Punta Hermosa, Lima")</f>
      </c>
      <c r="O4" t="str">
        <v>Vehículo apagado</v>
      </c>
      <c r="P4" t="str">
        <v>Vehículo Apagado</v>
      </c>
      <c r="Q4">
        <v>556127.5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12:53:32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12:54:13</v>
      </c>
      <c r="AL4" t="str">
        <v>12:54:13</v>
      </c>
      <c r="AM4" t="str">
        <v/>
      </c>
    </row>
    <row r="5">
      <c r="A5">
        <v>4</v>
      </c>
      <c r="B5" t="str">
        <v>MASS BSF</v>
      </c>
      <c r="C5" t="str">
        <v>F6V-792</v>
      </c>
      <c r="D5" t="str">
        <v>F6V-792</v>
      </c>
      <c r="E5" t="str">
        <v/>
      </c>
      <c r="F5" t="str">
        <v>867162026042390</v>
      </c>
      <c r="G5" t="str">
        <v>Minivan</v>
      </c>
      <c r="H5" t="str">
        <v/>
      </c>
      <c r="I5" t="str">
        <v/>
      </c>
      <c r="J5" t="str">
        <v>28/09/2026</v>
      </c>
      <c r="K5" t="str">
        <v>13:07:33</v>
      </c>
      <c r="L5">
        <v>-12.317399</v>
      </c>
      <c r="M5">
        <v>-76.82288</v>
      </c>
      <c r="N5">
        <f>HYPERLINK("https://www.google.com/maps/search/?api=1&amp;query=-12.317399,-76.82288","Punta Hermosa, Lima")</f>
      </c>
      <c r="O5" t="str">
        <v>Vehículo encendido</v>
      </c>
      <c r="P5" t="str">
        <v/>
      </c>
      <c r="Q5">
        <v>556127.5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12:54:01</v>
      </c>
      <c r="AE5">
        <f>IF("NOGPS"="NOGPS","GPS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13:07:58</v>
      </c>
      <c r="AL5" t="str">
        <v>13:07:58</v>
      </c>
      <c r="AM5" t="str">
        <v/>
      </c>
    </row>
    <row r="6">
      <c r="A6">
        <v>5</v>
      </c>
      <c r="B6" t="str">
        <v>MASS BSF</v>
      </c>
      <c r="C6" t="str">
        <v>F6V-792</v>
      </c>
      <c r="D6" t="str">
        <v>F6V-792</v>
      </c>
      <c r="E6" t="str">
        <v/>
      </c>
      <c r="F6" t="str">
        <v>867162026042390</v>
      </c>
      <c r="G6" t="str">
        <v>Minivan</v>
      </c>
      <c r="H6" t="str">
        <v/>
      </c>
      <c r="I6" t="str">
        <v xml:space="preserve"> </v>
      </c>
      <c r="J6" t="str">
        <v>28/09/2026</v>
      </c>
      <c r="K6" t="str">
        <v>13:08:01</v>
      </c>
      <c r="L6">
        <v>-12.318098</v>
      </c>
      <c r="M6">
        <v>-76.82264</v>
      </c>
      <c r="N6">
        <f>HYPERLINK("https://www.google.com/maps/search/?api=1&amp;query=-12.318098,-76.82264","Punta Hermosa, Lima")</f>
      </c>
      <c r="O6" t="str">
        <v>Salió de zona</v>
      </c>
      <c r="P6" t="str">
        <v/>
      </c>
      <c r="Q6">
        <v>556127.5</v>
      </c>
      <c r="R6" t="str">
        <v>MASS BSF 1</v>
      </c>
      <c r="S6">
        <v>11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13:08:00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13:08:10</v>
      </c>
      <c r="AL6" t="str">
        <v>13:08:10</v>
      </c>
      <c r="AM6" t="str">
        <v/>
      </c>
    </row>
    <row r="7">
      <c r="A7">
        <v>6</v>
      </c>
      <c r="B7" t="str">
        <v>MASS BSF</v>
      </c>
      <c r="C7" t="str">
        <v>F6V-792</v>
      </c>
      <c r="D7" t="str">
        <v>F6V-792</v>
      </c>
      <c r="E7" t="str">
        <v/>
      </c>
      <c r="F7" t="str">
        <v>867162026042390</v>
      </c>
      <c r="G7" t="str">
        <v>Minivan</v>
      </c>
      <c r="H7" t="str">
        <v/>
      </c>
      <c r="I7" t="str">
        <v xml:space="preserve"> </v>
      </c>
      <c r="J7" t="str">
        <v>28/09/2026</v>
      </c>
      <c r="K7" t="str">
        <v>13:08:47</v>
      </c>
      <c r="L7">
        <v>-12.318442</v>
      </c>
      <c r="M7">
        <v>-76.82332</v>
      </c>
      <c r="N7">
        <f>HYPERLINK("https://www.google.com/maps/search/?api=1&amp;query=-12.318442,-76.82332","Punta Hermosa, Lima")</f>
      </c>
      <c r="O7" t="str">
        <v>Llegó a la zona</v>
      </c>
      <c r="P7" t="str">
        <v/>
      </c>
      <c r="Q7">
        <v>556127.5</v>
      </c>
      <c r="R7" t="str">
        <v>MASS BSF 1</v>
      </c>
      <c r="S7">
        <v>8.1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13:08:34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13:09:01</v>
      </c>
      <c r="AL7" t="str">
        <v>13:09:01</v>
      </c>
      <c r="AM7" t="str">
        <v/>
      </c>
    </row>
    <row r="8">
      <c r="A8">
        <v>7</v>
      </c>
      <c r="B8" t="str">
        <v>MASS BSF</v>
      </c>
      <c r="C8" t="str">
        <v>F6V-792</v>
      </c>
      <c r="D8" t="str">
        <v>F6V-792</v>
      </c>
      <c r="E8" t="str">
        <v/>
      </c>
      <c r="F8" t="str">
        <v>867162026042390</v>
      </c>
      <c r="G8" t="str">
        <v>Minivan</v>
      </c>
      <c r="H8" t="str">
        <v/>
      </c>
      <c r="I8" t="str">
        <v/>
      </c>
      <c r="J8" t="str">
        <v>28/09/2026</v>
      </c>
      <c r="K8" t="str">
        <v>13:13:41</v>
      </c>
      <c r="L8">
        <v>-12.317986</v>
      </c>
      <c r="M8">
        <v>-76.82431</v>
      </c>
      <c r="N8">
        <f>HYPERLINK("https://www.google.com/maps/search/?api=1&amp;query=-12.317986,-76.82431","Punta Hermosa, Lima")</f>
      </c>
      <c r="O8" t="str">
        <v>Vehículo apagado</v>
      </c>
      <c r="P8" t="str">
        <v>Vehículo Apagado</v>
      </c>
      <c r="Q8">
        <v>556127.8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13:12:34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13:13:47</v>
      </c>
      <c r="AL8" t="str">
        <v>13:13:47</v>
      </c>
      <c r="AM8" t="str">
        <v/>
      </c>
    </row>
    <row r="9">
      <c r="A9">
        <v>8</v>
      </c>
      <c r="B9" t="str">
        <v>MASS BSF</v>
      </c>
      <c r="C9" t="str">
        <v>F6V-792</v>
      </c>
      <c r="D9" t="str">
        <v>F6V-792</v>
      </c>
      <c r="E9" t="str">
        <v/>
      </c>
      <c r="F9" t="str">
        <v>867162026042390</v>
      </c>
      <c r="G9" t="str">
        <v>Minivan</v>
      </c>
      <c r="H9" t="str">
        <v/>
      </c>
      <c r="I9" t="str">
        <v/>
      </c>
      <c r="J9" t="str">
        <v>28/09/2026</v>
      </c>
      <c r="K9" t="str">
        <v>13:26:48</v>
      </c>
      <c r="L9">
        <v>-12.317986</v>
      </c>
      <c r="M9">
        <v>-76.82431</v>
      </c>
      <c r="N9">
        <f>HYPERLINK("https://www.google.com/maps/search/?api=1&amp;query=-12.317986,-76.82431","Punta Hermosa, Lima")</f>
      </c>
      <c r="O9" t="str">
        <v>Vehículo encendido</v>
      </c>
      <c r="P9" t="str">
        <v/>
      </c>
      <c r="Q9">
        <v>556127.8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13:13:45</v>
      </c>
      <c r="AE9">
        <f>IF("NOGPS"="NOGPS","GPS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13:27:05</v>
      </c>
      <c r="AL9" t="str">
        <v>13:27:05</v>
      </c>
      <c r="AM9" t="str">
        <v/>
      </c>
    </row>
    <row r="10">
      <c r="A10">
        <v>9</v>
      </c>
      <c r="B10" t="str">
        <v>MASS BSF</v>
      </c>
      <c r="C10" t="str">
        <v>F6V-792</v>
      </c>
      <c r="D10" t="str">
        <v>F6V-792</v>
      </c>
      <c r="E10" t="str">
        <v/>
      </c>
      <c r="F10" t="str">
        <v>867162026042390</v>
      </c>
      <c r="G10" t="str">
        <v>Minivan</v>
      </c>
      <c r="H10" t="str">
        <v/>
      </c>
      <c r="I10" t="str">
        <v/>
      </c>
      <c r="J10" t="str">
        <v>28/09/2026</v>
      </c>
      <c r="K10" t="str">
        <v>13:31:05</v>
      </c>
      <c r="L10">
        <v>-12.317885</v>
      </c>
      <c r="M10">
        <v>-76.82427</v>
      </c>
      <c r="N10">
        <f>HYPERLINK("https://www.google.com/maps/search/?api=1&amp;query=-12.317885,-76.82427","Punta Hermosa, Lima")</f>
      </c>
      <c r="O10" t="str">
        <v>Vehículo apagado</v>
      </c>
      <c r="P10" t="str">
        <v>Vehículo Apagado</v>
      </c>
      <c r="Q10">
        <v>556127.8</v>
      </c>
      <c r="R10" t="str">
        <v/>
      </c>
      <c r="S10">
        <v>0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13:30:45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13:31:21</v>
      </c>
      <c r="AL10" t="str">
        <v>13:31:21</v>
      </c>
      <c r="AM10" t="str">
        <v/>
      </c>
    </row>
    <row r="11">
      <c r="A11">
        <v>10</v>
      </c>
      <c r="B11" t="str">
        <v>MASS BSF</v>
      </c>
      <c r="C11" t="str">
        <v>F6V-792</v>
      </c>
      <c r="D11" t="str">
        <v>F6V-792</v>
      </c>
      <c r="E11" t="str">
        <v/>
      </c>
      <c r="F11" t="str">
        <v>867162026042390</v>
      </c>
      <c r="G11" t="str">
        <v>Minivan</v>
      </c>
      <c r="H11" t="str">
        <v/>
      </c>
      <c r="I11" t="str">
        <v/>
      </c>
      <c r="J11" t="str">
        <v>28/09/2026</v>
      </c>
      <c r="K11" t="str">
        <v>13:34:38</v>
      </c>
      <c r="L11">
        <v>-12.317885</v>
      </c>
      <c r="M11">
        <v>-76.82427</v>
      </c>
      <c r="N11">
        <f>HYPERLINK("https://www.google.com/maps/search/?api=1&amp;query=-12.317885,-76.82427","Punta Hermosa, Lima")</f>
      </c>
      <c r="O11" t="str">
        <v>Vehículo encendido</v>
      </c>
      <c r="P11" t="str">
        <v/>
      </c>
      <c r="Q11">
        <v>556127.8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13:31:08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13:34:53</v>
      </c>
      <c r="AL11" t="str">
        <v>13:34:53</v>
      </c>
      <c r="AM11" t="str">
        <v/>
      </c>
    </row>
    <row r="12">
      <c r="A12">
        <v>11</v>
      </c>
      <c r="B12" t="str">
        <v>MASS BSF</v>
      </c>
      <c r="C12" t="str">
        <v>F6V-792</v>
      </c>
      <c r="D12" t="str">
        <v>F6V-792</v>
      </c>
      <c r="E12" t="str">
        <v/>
      </c>
      <c r="F12" t="str">
        <v>867162026042390</v>
      </c>
      <c r="G12" t="str">
        <v>Minivan</v>
      </c>
      <c r="H12" t="str">
        <v/>
      </c>
      <c r="I12" t="str">
        <v/>
      </c>
      <c r="J12" t="str">
        <v>28/09/2026</v>
      </c>
      <c r="K12" t="str">
        <v>13:38:46</v>
      </c>
      <c r="L12">
        <v>-12.317567</v>
      </c>
      <c r="M12">
        <v>-76.82447</v>
      </c>
      <c r="N12">
        <f>HYPERLINK("https://www.google.com/maps/search/?api=1&amp;query=-12.317567,-76.82447","Punta Hermosa, Lima")</f>
      </c>
      <c r="O12" t="str">
        <v>Vehículo apagado</v>
      </c>
      <c r="P12" t="str">
        <v>Vehículo Apagado</v>
      </c>
      <c r="Q12">
        <v>556127.9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13:38:36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13:38:58</v>
      </c>
      <c r="AL12" t="str">
        <v>13:38:58</v>
      </c>
      <c r="AM12" t="str">
        <v/>
      </c>
    </row>
    <row r="13">
      <c r="A13">
        <v>12</v>
      </c>
      <c r="B13" t="str">
        <v>MASS BSF</v>
      </c>
      <c r="C13" t="str">
        <v>F6V-792</v>
      </c>
      <c r="D13" t="str">
        <v>F6V-792</v>
      </c>
      <c r="E13" t="str">
        <v/>
      </c>
      <c r="F13" t="str">
        <v>867162026042390</v>
      </c>
      <c r="G13" t="str">
        <v>Minivan</v>
      </c>
      <c r="H13" t="str">
        <v/>
      </c>
      <c r="I13" t="str">
        <v/>
      </c>
      <c r="J13" t="str">
        <v>28/09/2026</v>
      </c>
      <c r="K13" t="str">
        <v>15:30:41</v>
      </c>
      <c r="L13">
        <v>-12.317567</v>
      </c>
      <c r="M13">
        <v>-76.82447</v>
      </c>
      <c r="N13">
        <f>HYPERLINK("https://www.google.com/maps/search/?api=1&amp;query=-12.317567,-76.82447","Punta Hermosa, Lima")</f>
      </c>
      <c r="O13" t="str">
        <v>Vehículo encendido</v>
      </c>
      <c r="P13" t="str">
        <v/>
      </c>
      <c r="Q13">
        <v>556127.9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15:06:25</v>
      </c>
      <c r="AE13">
        <f>IF("NOGPS"="NOGPS","GPS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15:31:13</v>
      </c>
      <c r="AL13" t="str">
        <v>15:31:13</v>
      </c>
      <c r="AM13" t="str">
        <v/>
      </c>
    </row>
    <row r="14">
      <c r="A14">
        <v>13</v>
      </c>
      <c r="B14" t="str">
        <v>MASS BSF</v>
      </c>
      <c r="C14" t="str">
        <v>F6V-792</v>
      </c>
      <c r="D14" t="str">
        <v>F6V-792</v>
      </c>
      <c r="E14" t="str">
        <v/>
      </c>
      <c r="F14" t="str">
        <v>867162026042390</v>
      </c>
      <c r="G14" t="str">
        <v>Minivan</v>
      </c>
      <c r="H14" t="str">
        <v/>
      </c>
      <c r="I14" t="str">
        <v/>
      </c>
      <c r="J14" t="str">
        <v>28/09/2026</v>
      </c>
      <c r="K14" t="str">
        <v>15:39:16</v>
      </c>
      <c r="L14">
        <v>-12.317825</v>
      </c>
      <c r="M14">
        <v>-76.824295</v>
      </c>
      <c r="N14">
        <f>HYPERLINK("https://www.google.com/maps/search/?api=1&amp;query=-12.317825,-76.824295","Punta Hermosa, Lima")</f>
      </c>
      <c r="O14" t="str">
        <v>Vehículo apagado</v>
      </c>
      <c r="P14" t="str">
        <v>Vehículo Apagado</v>
      </c>
      <c r="Q14">
        <v>556127.9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15:38:41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15:39:27</v>
      </c>
      <c r="AL14" t="str">
        <v>15:39:27</v>
      </c>
      <c r="AM14" t="str">
        <v/>
      </c>
    </row>
    <row r="15">
      <c r="A15">
        <v>14</v>
      </c>
      <c r="B15" t="str">
        <v>MASS BSF</v>
      </c>
      <c r="C15" t="str">
        <v>F6V-792</v>
      </c>
      <c r="D15" t="str">
        <v>F6V-792</v>
      </c>
      <c r="E15" t="str">
        <v/>
      </c>
      <c r="F15" t="str">
        <v>867162026042390</v>
      </c>
      <c r="G15" t="str">
        <v>Minivan</v>
      </c>
      <c r="H15" t="str">
        <v/>
      </c>
      <c r="I15" t="str">
        <v/>
      </c>
      <c r="J15" t="str">
        <v>28/09/2026</v>
      </c>
      <c r="K15" t="str">
        <v>15:59:38</v>
      </c>
      <c r="L15">
        <v>-12.317825</v>
      </c>
      <c r="M15">
        <v>-76.824295</v>
      </c>
      <c r="N15">
        <f>HYPERLINK("https://www.google.com/maps/search/?api=1&amp;query=-12.317825,-76.824295","Punta Hermosa, Lima")</f>
      </c>
      <c r="O15" t="str">
        <v>Vehículo encendido</v>
      </c>
      <c r="P15" t="str">
        <v/>
      </c>
      <c r="Q15">
        <v>556127.9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15:39:19</v>
      </c>
      <c r="AE15">
        <f>IF("NOGPS"="NOGPS","GPS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15:59:58</v>
      </c>
      <c r="AL15" t="str">
        <v>15:59:58</v>
      </c>
      <c r="AM15" t="str">
        <v/>
      </c>
    </row>
    <row r="16">
      <c r="A16">
        <v>15</v>
      </c>
      <c r="B16" t="str">
        <v>MASS BSF</v>
      </c>
      <c r="C16" t="str">
        <v>F6V-792</v>
      </c>
      <c r="D16" t="str">
        <v>F6V-792</v>
      </c>
      <c r="E16" t="str">
        <v/>
      </c>
      <c r="F16" t="str">
        <v>867162026042390</v>
      </c>
      <c r="G16" t="str">
        <v>Minivan</v>
      </c>
      <c r="H16" t="str">
        <v/>
      </c>
      <c r="I16" t="str">
        <v xml:space="preserve"> </v>
      </c>
      <c r="J16" t="str">
        <v>28/09/2026</v>
      </c>
      <c r="K16" t="str">
        <v>16:08:31</v>
      </c>
      <c r="L16">
        <v>-12.317529</v>
      </c>
      <c r="M16">
        <v>-76.83004</v>
      </c>
      <c r="N16">
        <f>HYPERLINK("https://www.google.com/maps/search/?api=1&amp;query=-12.317529,-76.83004","Punta Hermosa, Lima")</f>
      </c>
      <c r="O16" t="str">
        <v>Salió de zona</v>
      </c>
      <c r="P16" t="str">
        <v/>
      </c>
      <c r="Q16">
        <v>556128.7</v>
      </c>
      <c r="R16" t="str">
        <v>MASS BSF 1</v>
      </c>
      <c r="S16">
        <v>20.2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28/09/2026</v>
      </c>
      <c r="AD16" t="str">
        <v>16:08:30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16:08:49</v>
      </c>
      <c r="AL16" t="str">
        <v>16:08:49</v>
      </c>
      <c r="AM16" t="str">
        <v/>
      </c>
    </row>
    <row r="17">
      <c r="A17">
        <v>16</v>
      </c>
      <c r="B17" t="str">
        <v>MASS BSF</v>
      </c>
      <c r="C17" t="str">
        <v>F6V-792</v>
      </c>
      <c r="D17" t="str">
        <v>F6V-792</v>
      </c>
      <c r="E17" t="str">
        <v/>
      </c>
      <c r="F17" t="str">
        <v>867162026042390</v>
      </c>
      <c r="G17" t="str">
        <v>Minivan</v>
      </c>
      <c r="H17" t="str">
        <v/>
      </c>
      <c r="I17" t="str">
        <v xml:space="preserve"> </v>
      </c>
      <c r="J17" t="str">
        <v>28/09/2026</v>
      </c>
      <c r="K17" t="str">
        <v>16:38:46</v>
      </c>
      <c r="L17">
        <v>-12.212795</v>
      </c>
      <c r="M17">
        <v>-76.95929</v>
      </c>
      <c r="N17">
        <f>HYPERLINK("https://www.google.com/maps/search/?api=1&amp;query=-12.212795,-76.95929","Avenida Villa del Mar, Villa El Salvador, Lima")</f>
      </c>
      <c r="O17" t="str">
        <v>Llegó a la zona</v>
      </c>
      <c r="P17" t="str">
        <v/>
      </c>
      <c r="Q17">
        <v>556150.3</v>
      </c>
      <c r="R17" t="str">
        <v>BASE-OSLOGISTICS</v>
      </c>
      <c r="S17">
        <v>2.4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28/09/2026</v>
      </c>
      <c r="AD17" t="str">
        <v>16:38:36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16:38:59</v>
      </c>
      <c r="AL17" t="str">
        <v>16:38:59</v>
      </c>
      <c r="AM17" t="str">
        <v/>
      </c>
    </row>
    <row r="18">
      <c r="A18">
        <v>17</v>
      </c>
      <c r="B18" t="str">
        <v>MASS BSF</v>
      </c>
      <c r="C18" t="str">
        <v>F6V-792</v>
      </c>
      <c r="D18" t="str">
        <v>F6V-792</v>
      </c>
      <c r="E18" t="str">
        <v/>
      </c>
      <c r="F18" t="str">
        <v>867162026042390</v>
      </c>
      <c r="G18" t="str">
        <v>Minivan</v>
      </c>
      <c r="H18" t="str">
        <v/>
      </c>
      <c r="I18" t="str">
        <v/>
      </c>
      <c r="J18" t="str">
        <v>28/09/2026</v>
      </c>
      <c r="K18" t="str">
        <v>16:43:22</v>
      </c>
      <c r="L18">
        <v>-12.212885</v>
      </c>
      <c r="M18">
        <v>-76.959076</v>
      </c>
      <c r="N18">
        <f>HYPERLINK("https://www.google.com/maps/search/?api=1&amp;query=-12.212885,-76.959076","Avenida Villa del Mar, Villa El Salvador, Lima")</f>
      </c>
      <c r="O18" t="str">
        <v>Vehículo apagado</v>
      </c>
      <c r="P18" t="str">
        <v>Vehículo Apagado</v>
      </c>
      <c r="Q18">
        <v>556150.4</v>
      </c>
      <c r="R18" t="str">
        <v/>
      </c>
      <c r="S18">
        <v>0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28/09/2026</v>
      </c>
      <c r="AD18" t="str">
        <v>16:43:26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16:43:41</v>
      </c>
      <c r="AL18" t="str">
        <v>16:43:41</v>
      </c>
      <c r="AM18" t="str">
        <v/>
      </c>
    </row>
    <row r="19">
      <c r="A19">
        <v>18</v>
      </c>
      <c r="B19" t="str">
        <v>MASS BSF</v>
      </c>
      <c r="C19" t="str">
        <v>F6V-792</v>
      </c>
      <c r="D19" t="str">
        <v>F6V-792</v>
      </c>
      <c r="E19" t="str">
        <v/>
      </c>
      <c r="F19" t="str">
        <v>867162026042390</v>
      </c>
      <c r="G19" t="str">
        <v>Minivan</v>
      </c>
      <c r="H19" t="str">
        <v/>
      </c>
      <c r="I19" t="str">
        <v/>
      </c>
      <c r="J19" t="str">
        <v>28/09/2026</v>
      </c>
      <c r="K19" t="str">
        <v>16:45:41</v>
      </c>
      <c r="L19">
        <v>-12.212885</v>
      </c>
      <c r="M19">
        <v>-76.959076</v>
      </c>
      <c r="N19">
        <f>HYPERLINK("https://www.google.com/maps/search/?api=1&amp;query=-12.212885,-76.959076","Avenida Villa del Mar, Villa El Salvador, Lima")</f>
      </c>
      <c r="O19" t="str">
        <v>Vehículo encendido</v>
      </c>
      <c r="P19" t="str">
        <v/>
      </c>
      <c r="Q19">
        <v>556150.5</v>
      </c>
      <c r="R19" t="str">
        <v/>
      </c>
      <c r="S19">
        <v>0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16:43:26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16:46:10</v>
      </c>
      <c r="AL19" t="str">
        <v>16:46:10</v>
      </c>
      <c r="AM19" t="str">
        <v/>
      </c>
    </row>
    <row r="20">
      <c r="A20">
        <v>19</v>
      </c>
      <c r="B20" t="str">
        <v>MASS BSF</v>
      </c>
      <c r="C20" t="str">
        <v>F6V-792</v>
      </c>
      <c r="D20" t="str">
        <v>F6V-792</v>
      </c>
      <c r="E20" t="str">
        <v/>
      </c>
      <c r="F20" t="str">
        <v>867162026042390</v>
      </c>
      <c r="G20" t="str">
        <v>Minivan</v>
      </c>
      <c r="H20" t="str">
        <v/>
      </c>
      <c r="I20" t="str">
        <v/>
      </c>
      <c r="J20" t="str">
        <v>28/09/2026</v>
      </c>
      <c r="K20" t="str">
        <v>16:54:04</v>
      </c>
      <c r="L20">
        <v>-12.213053</v>
      </c>
      <c r="M20">
        <v>-76.958954</v>
      </c>
      <c r="N20">
        <f>HYPERLINK("https://www.google.com/maps/search/?api=1&amp;query=-12.213053,-76.958954","Villa El Salvador, Lima")</f>
      </c>
      <c r="O20" t="str">
        <v>Vehículo apagado</v>
      </c>
      <c r="P20" t="str">
        <v>Vehículo Apagado</v>
      </c>
      <c r="Q20">
        <v>556150.5</v>
      </c>
      <c r="R20" t="str">
        <v/>
      </c>
      <c r="S20">
        <v>0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16:54:05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16:54:23</v>
      </c>
      <c r="AL20" t="str">
        <v>16:54:23</v>
      </c>
      <c r="AM20" t="str">
        <v/>
      </c>
    </row>
  </sheetData>
  <ignoredErrors>
    <ignoredError numberStoredAsText="1" sqref="A1:A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