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F2F-768</v>
      </c>
      <c r="D2" t="str">
        <v>F2F-768</v>
      </c>
      <c r="E2" t="str">
        <v/>
      </c>
      <c r="F2" t="str">
        <v>867162029832136</v>
      </c>
      <c r="G2" t="str">
        <v>TBD</v>
      </c>
      <c r="H2" t="str">
        <v/>
      </c>
      <c r="I2" t="str">
        <v/>
      </c>
      <c r="J2" t="str">
        <v>28/09/2026</v>
      </c>
      <c r="K2" t="str">
        <v>10:49:22</v>
      </c>
      <c r="L2">
        <v>-12.193309</v>
      </c>
      <c r="M2">
        <v>-76.92702</v>
      </c>
      <c r="N2">
        <f>HYPERLINK("https://www.google.com/maps/search/?api=1&amp;query=-12.193309,-76.92702","Avenida La Mariscala, Villa María del Triunfo, Lima")</f>
      </c>
      <c r="O2" t="str">
        <v>Vehículo encendido</v>
      </c>
      <c r="P2" t="str">
        <v/>
      </c>
      <c r="Q2">
        <v>3147.2</v>
      </c>
      <c r="R2" t="str">
        <v/>
      </c>
      <c r="S2">
        <v>0</v>
      </c>
      <c r="T2">
        <v>116.03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10:31:07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10:49:37</v>
      </c>
      <c r="AL2" t="str">
        <v>10:49:37</v>
      </c>
      <c r="AM2" t="str">
        <v/>
      </c>
    </row>
    <row r="3">
      <c r="A3">
        <v>2</v>
      </c>
      <c r="B3" t="str">
        <v>MASS BSF</v>
      </c>
      <c r="C3" t="str">
        <v>F2F-768</v>
      </c>
      <c r="D3" t="str">
        <v>F2F-768</v>
      </c>
      <c r="E3" t="str">
        <v/>
      </c>
      <c r="F3" t="str">
        <v>867162029832136</v>
      </c>
      <c r="G3" t="str">
        <v>TBD</v>
      </c>
      <c r="H3" t="str">
        <v/>
      </c>
      <c r="I3" t="str">
        <v/>
      </c>
      <c r="J3" t="str">
        <v>28/09/2026</v>
      </c>
      <c r="K3" t="str">
        <v>11:10:59</v>
      </c>
      <c r="L3">
        <v>-12.193373</v>
      </c>
      <c r="M3">
        <v>-76.927086</v>
      </c>
      <c r="N3">
        <f>HYPERLINK("https://www.google.com/maps/search/?api=1&amp;query=-12.193373,-76.927086","Jirón Ramón Castilla, Villa María del Triunfo, Lima")</f>
      </c>
      <c r="O3" t="str">
        <v>Vehículo apagado</v>
      </c>
      <c r="P3" t="str">
        <v>Vehículo Apagado</v>
      </c>
      <c r="Q3">
        <v>3147.2</v>
      </c>
      <c r="R3" t="str">
        <v/>
      </c>
      <c r="S3">
        <v>0</v>
      </c>
      <c r="T3">
        <v>116.4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11:11:02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11:11:11</v>
      </c>
      <c r="AL3" t="str">
        <v>11:11:11</v>
      </c>
      <c r="AM3" t="str">
        <v/>
      </c>
    </row>
    <row r="4">
      <c r="A4">
        <v>3</v>
      </c>
      <c r="B4" t="str">
        <v>MASS BSF</v>
      </c>
      <c r="C4" t="str">
        <v>F2F-768</v>
      </c>
      <c r="D4" t="str">
        <v>F2F-768</v>
      </c>
      <c r="E4" t="str">
        <v/>
      </c>
      <c r="F4" t="str">
        <v>867162029832136</v>
      </c>
      <c r="G4" t="str">
        <v>TBD</v>
      </c>
      <c r="H4" t="str">
        <v/>
      </c>
      <c r="I4" t="str">
        <v/>
      </c>
      <c r="J4" t="str">
        <v>28/09/2026</v>
      </c>
      <c r="K4" t="str">
        <v>11:12:31</v>
      </c>
      <c r="L4">
        <v>-12.193373</v>
      </c>
      <c r="M4">
        <v>-76.927086</v>
      </c>
      <c r="N4">
        <f>HYPERLINK("https://www.google.com/maps/search/?api=1&amp;query=-12.193373,-76.927086","Jirón Ramón Castilla, Villa María del Triunfo, Lima")</f>
      </c>
      <c r="O4" t="str">
        <v>Vehículo encendido</v>
      </c>
      <c r="P4" t="str">
        <v/>
      </c>
      <c r="Q4">
        <v>3147.2</v>
      </c>
      <c r="R4" t="str">
        <v/>
      </c>
      <c r="S4">
        <v>0</v>
      </c>
      <c r="T4">
        <v>116.4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11:11:02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11:12:50</v>
      </c>
      <c r="AL4" t="str">
        <v>11:12:50</v>
      </c>
      <c r="AM4" t="str">
        <v/>
      </c>
    </row>
    <row r="5">
      <c r="A5">
        <v>4</v>
      </c>
      <c r="B5" t="str">
        <v>MASS BSF</v>
      </c>
      <c r="C5" t="str">
        <v>F2F-768</v>
      </c>
      <c r="D5" t="str">
        <v>F2F-768</v>
      </c>
      <c r="E5" t="str">
        <v/>
      </c>
      <c r="F5" t="str">
        <v>867162029832136</v>
      </c>
      <c r="G5" t="str">
        <v>TBD</v>
      </c>
      <c r="H5" t="str">
        <v/>
      </c>
      <c r="I5" t="str">
        <v/>
      </c>
      <c r="J5" t="str">
        <v>28/09/2026</v>
      </c>
      <c r="K5" t="str">
        <v>11:13:07</v>
      </c>
      <c r="L5">
        <v>-12.193332</v>
      </c>
      <c r="M5">
        <v>-76.927284</v>
      </c>
      <c r="N5">
        <f>HYPERLINK("https://www.google.com/maps/search/?api=1&amp;query=-12.193332,-76.927284","Jirón Ramón Castilla, Villa María del Triunfo, Lima")</f>
      </c>
      <c r="O5" t="str">
        <v>Vehículo apagado</v>
      </c>
      <c r="P5" t="str">
        <v>Vehículo Apagado</v>
      </c>
      <c r="Q5">
        <v>3147.2</v>
      </c>
      <c r="R5" t="str">
        <v/>
      </c>
      <c r="S5">
        <v>0.6</v>
      </c>
      <c r="T5">
        <v>116.42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11:12:37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11:13:22</v>
      </c>
      <c r="AL5" t="str">
        <v>11:13:22</v>
      </c>
      <c r="AM5" t="str">
        <v/>
      </c>
    </row>
    <row r="6">
      <c r="A6">
        <v>5</v>
      </c>
      <c r="B6" t="str">
        <v>MASS BSF</v>
      </c>
      <c r="C6" t="str">
        <v>F2F-768</v>
      </c>
      <c r="D6" t="str">
        <v>F2F-768</v>
      </c>
      <c r="E6" t="str">
        <v/>
      </c>
      <c r="F6" t="str">
        <v>867162029832136</v>
      </c>
      <c r="G6" t="str">
        <v>TBD</v>
      </c>
      <c r="H6" t="str">
        <v/>
      </c>
      <c r="I6" t="str">
        <v/>
      </c>
      <c r="J6" t="str">
        <v>28/09/2026</v>
      </c>
      <c r="K6" t="str">
        <v>11:15:46</v>
      </c>
      <c r="L6">
        <v>-12.193332</v>
      </c>
      <c r="M6">
        <v>-76.927284</v>
      </c>
      <c r="N6">
        <f>HYPERLINK("https://www.google.com/maps/search/?api=1&amp;query=-12.193332,-76.927284","Jirón Ramón Castilla, Villa María del Triunfo, Lima")</f>
      </c>
      <c r="O6" t="str">
        <v>Vehículo encendido</v>
      </c>
      <c r="P6" t="str">
        <v/>
      </c>
      <c r="Q6">
        <v>3147.2</v>
      </c>
      <c r="R6" t="str">
        <v/>
      </c>
      <c r="S6">
        <v>0</v>
      </c>
      <c r="T6">
        <v>116.42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11:13:09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11:15:55</v>
      </c>
      <c r="AL6" t="str">
        <v>11:15:55</v>
      </c>
      <c r="AM6" t="str">
        <v/>
      </c>
    </row>
    <row r="7">
      <c r="A7">
        <v>6</v>
      </c>
      <c r="B7" t="str">
        <v>MASS BSF</v>
      </c>
      <c r="C7" t="str">
        <v>F2F-768</v>
      </c>
      <c r="D7" t="str">
        <v>F2F-768</v>
      </c>
      <c r="E7" t="str">
        <v/>
      </c>
      <c r="F7" t="str">
        <v>867162029832136</v>
      </c>
      <c r="G7" t="str">
        <v>TBD</v>
      </c>
      <c r="H7" t="str">
        <v/>
      </c>
      <c r="I7" t="str">
        <v/>
      </c>
      <c r="J7" t="str">
        <v>28/09/2026</v>
      </c>
      <c r="K7" t="str">
        <v>11:18:47</v>
      </c>
      <c r="L7">
        <v>-12.193414</v>
      </c>
      <c r="M7">
        <v>-76.92671</v>
      </c>
      <c r="N7">
        <f>HYPERLINK("https://www.google.com/maps/search/?api=1&amp;query=-12.193414,-76.92671","Avenida La Mariscala, Villa María del Triunfo, Lima")</f>
      </c>
      <c r="O7" t="str">
        <v>Vehículo apagado</v>
      </c>
      <c r="P7" t="str">
        <v>Vehículo Apagado</v>
      </c>
      <c r="Q7">
        <v>3147.3</v>
      </c>
      <c r="R7" t="str">
        <v/>
      </c>
      <c r="S7">
        <v>0</v>
      </c>
      <c r="T7">
        <v>116.47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11:17:48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11:19:05</v>
      </c>
      <c r="AL7" t="str">
        <v>11:19:05</v>
      </c>
      <c r="AM7" t="str">
        <v/>
      </c>
    </row>
    <row r="8">
      <c r="A8">
        <v>7</v>
      </c>
      <c r="B8" t="str">
        <v>MASS BSF</v>
      </c>
      <c r="C8" t="str">
        <v>F2F-768</v>
      </c>
      <c r="D8" t="str">
        <v>F2F-768</v>
      </c>
      <c r="E8" t="str">
        <v/>
      </c>
      <c r="F8" t="str">
        <v>867162029832136</v>
      </c>
      <c r="G8" t="str">
        <v>TBD</v>
      </c>
      <c r="H8" t="str">
        <v/>
      </c>
      <c r="I8" t="str">
        <v/>
      </c>
      <c r="J8" t="str">
        <v>28/09/2026</v>
      </c>
      <c r="K8" t="str">
        <v>11:23:01</v>
      </c>
      <c r="L8">
        <v>-12.193414</v>
      </c>
      <c r="M8">
        <v>-76.92671</v>
      </c>
      <c r="N8">
        <f>HYPERLINK("https://www.google.com/maps/search/?api=1&amp;query=-12.193414,-76.92671","Avenida La Mariscala, Villa María del Triunfo, Lima")</f>
      </c>
      <c r="O8" t="str">
        <v>Vehículo encendido</v>
      </c>
      <c r="P8" t="str">
        <v/>
      </c>
      <c r="Q8">
        <v>3147.3</v>
      </c>
      <c r="R8" t="str">
        <v/>
      </c>
      <c r="S8">
        <v>0</v>
      </c>
      <c r="T8">
        <v>116.47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11:18:50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11:23:08</v>
      </c>
      <c r="AL8" t="str">
        <v>11:23:08</v>
      </c>
      <c r="AM8" t="str">
        <v/>
      </c>
    </row>
    <row r="9">
      <c r="A9">
        <v>8</v>
      </c>
      <c r="B9" t="str">
        <v>MASS BSF</v>
      </c>
      <c r="C9" t="str">
        <v>F2F-768</v>
      </c>
      <c r="D9" t="str">
        <v>F2F-768</v>
      </c>
      <c r="E9" t="str">
        <v/>
      </c>
      <c r="F9" t="str">
        <v>867162029832136</v>
      </c>
      <c r="G9" t="str">
        <v>TBD</v>
      </c>
      <c r="H9" t="str">
        <v/>
      </c>
      <c r="I9" t="str">
        <v/>
      </c>
      <c r="J9" t="str">
        <v>28/09/2026</v>
      </c>
      <c r="K9" t="str">
        <v>11:25:21</v>
      </c>
      <c r="L9">
        <v>-12.193315</v>
      </c>
      <c r="M9">
        <v>-76.92672</v>
      </c>
      <c r="N9">
        <f>HYPERLINK("https://www.google.com/maps/search/?api=1&amp;query=-12.193315,-76.92672","Avenida La Mariscala, Villa María del Triunfo, Lima")</f>
      </c>
      <c r="O9" t="str">
        <v>Vehículo apagado</v>
      </c>
      <c r="P9" t="str">
        <v>Vehículo Apagado</v>
      </c>
      <c r="Q9">
        <v>3147.3</v>
      </c>
      <c r="R9" t="str">
        <v/>
      </c>
      <c r="S9">
        <v>0</v>
      </c>
      <c r="T9">
        <v>116.5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11:25:23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11:25:40</v>
      </c>
      <c r="AL9" t="str">
        <v>11:25:40</v>
      </c>
      <c r="AM9" t="str">
        <v/>
      </c>
    </row>
    <row r="10">
      <c r="A10">
        <v>9</v>
      </c>
      <c r="B10" t="str">
        <v>MASS BSF</v>
      </c>
      <c r="C10" t="str">
        <v>F2F-768</v>
      </c>
      <c r="D10" t="str">
        <v>F2F-768</v>
      </c>
      <c r="E10" t="str">
        <v/>
      </c>
      <c r="F10" t="str">
        <v>867162029832136</v>
      </c>
      <c r="G10" t="str">
        <v>TBD</v>
      </c>
      <c r="H10" t="str">
        <v/>
      </c>
      <c r="I10" t="str">
        <v/>
      </c>
      <c r="J10" t="str">
        <v>28/09/2026</v>
      </c>
      <c r="K10" t="str">
        <v>11:29:57</v>
      </c>
      <c r="L10">
        <v>-12.193315</v>
      </c>
      <c r="M10">
        <v>-76.92672</v>
      </c>
      <c r="N10">
        <f>HYPERLINK("https://www.google.com/maps/search/?api=1&amp;query=-12.193315,-76.92672","Avenida La Mariscala, Villa María del Triunfo, Lima")</f>
      </c>
      <c r="O10" t="str">
        <v>Vehículo encendido</v>
      </c>
      <c r="P10" t="str">
        <v/>
      </c>
      <c r="Q10">
        <v>3147.3</v>
      </c>
      <c r="R10" t="str">
        <v/>
      </c>
      <c r="S10">
        <v>0</v>
      </c>
      <c r="T10">
        <v>116.5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11:25:23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11:30:09</v>
      </c>
      <c r="AL10" t="str">
        <v>11:30:09</v>
      </c>
      <c r="AM10" t="str">
        <v/>
      </c>
    </row>
    <row r="11">
      <c r="A11">
        <v>10</v>
      </c>
      <c r="B11" t="str">
        <v>MASS BSF</v>
      </c>
      <c r="C11" t="str">
        <v>F2F-768</v>
      </c>
      <c r="D11" t="str">
        <v>F2F-768</v>
      </c>
      <c r="E11" t="str">
        <v/>
      </c>
      <c r="F11" t="str">
        <v>867162029832136</v>
      </c>
      <c r="G11" t="str">
        <v>TBD</v>
      </c>
      <c r="H11" t="str">
        <v/>
      </c>
      <c r="I11" t="str">
        <v/>
      </c>
      <c r="J11" t="str">
        <v>28/09/2026</v>
      </c>
      <c r="K11" t="str">
        <v>11:31:34</v>
      </c>
      <c r="L11">
        <v>-12.193437</v>
      </c>
      <c r="M11">
        <v>-76.9268</v>
      </c>
      <c r="N11">
        <f>HYPERLINK("https://www.google.com/maps/search/?api=1&amp;query=-12.193437,-76.9268","Avenida La Mariscala, Villa María del Triunfo, Lima")</f>
      </c>
      <c r="O11" t="str">
        <v>Vehículo apagado</v>
      </c>
      <c r="P11" t="str">
        <v>Vehículo Apagado</v>
      </c>
      <c r="Q11">
        <v>3147.3</v>
      </c>
      <c r="R11" t="str">
        <v/>
      </c>
      <c r="S11">
        <v>0</v>
      </c>
      <c r="T11">
        <v>116.53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11:30:59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11:31:55</v>
      </c>
      <c r="AL11" t="str">
        <v>11:31:55</v>
      </c>
      <c r="AM11" t="str">
        <v/>
      </c>
    </row>
    <row r="12">
      <c r="A12">
        <v>11</v>
      </c>
      <c r="B12" t="str">
        <v>MASS BSF</v>
      </c>
      <c r="C12" t="str">
        <v>F2F-768</v>
      </c>
      <c r="D12" t="str">
        <v>F2F-768</v>
      </c>
      <c r="E12" t="str">
        <v/>
      </c>
      <c r="F12" t="str">
        <v>867162029832136</v>
      </c>
      <c r="G12" t="str">
        <v>TBD</v>
      </c>
      <c r="H12" t="str">
        <v/>
      </c>
      <c r="I12" t="str">
        <v/>
      </c>
      <c r="J12" t="str">
        <v>28/09/2026</v>
      </c>
      <c r="K12" t="str">
        <v>11:40:19</v>
      </c>
      <c r="L12">
        <v>-12.193437</v>
      </c>
      <c r="M12">
        <v>-76.9268</v>
      </c>
      <c r="N12">
        <f>HYPERLINK("https://www.google.com/maps/search/?api=1&amp;query=-12.193437,-76.9268","Avenida La Mariscala, Villa María del Triunfo, Lima")</f>
      </c>
      <c r="O12" t="str">
        <v>Vehículo encendido</v>
      </c>
      <c r="P12" t="str">
        <v/>
      </c>
      <c r="Q12">
        <v>3147.3</v>
      </c>
      <c r="R12" t="str">
        <v/>
      </c>
      <c r="S12">
        <v>0</v>
      </c>
      <c r="T12">
        <v>116.53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11:31:37</v>
      </c>
      <c r="AE12">
        <f>IF("NOGPS"="NOGPS","GPS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11:40:26</v>
      </c>
      <c r="AL12" t="str">
        <v>11:40:26</v>
      </c>
      <c r="AM12" t="str">
        <v/>
      </c>
    </row>
    <row r="13">
      <c r="A13">
        <v>12</v>
      </c>
      <c r="B13" t="str">
        <v>MASS BSF</v>
      </c>
      <c r="C13" t="str">
        <v>F2F-768</v>
      </c>
      <c r="D13" t="str">
        <v>F2F-768</v>
      </c>
      <c r="E13" t="str">
        <v/>
      </c>
      <c r="F13" t="str">
        <v>867162029832136</v>
      </c>
      <c r="G13" t="str">
        <v>TBD</v>
      </c>
      <c r="H13" t="str">
        <v/>
      </c>
      <c r="I13" t="str">
        <v/>
      </c>
      <c r="J13" t="str">
        <v>28/09/2026</v>
      </c>
      <c r="K13" t="str">
        <v>12:08:17</v>
      </c>
      <c r="L13">
        <v>-12.281846</v>
      </c>
      <c r="M13">
        <v>-76.88073</v>
      </c>
      <c r="N13">
        <f>HYPERLINK("https://www.google.com/maps/search/?api=1&amp;query=-12.281846,-76.88073","Carretera Panamericana Sur, Lurín, Lima")</f>
      </c>
      <c r="O13" t="str">
        <v>Excedió el límite de velocidad</v>
      </c>
      <c r="P13" t="str">
        <v/>
      </c>
      <c r="Q13">
        <v>3163.8</v>
      </c>
      <c r="R13" t="str">
        <v/>
      </c>
      <c r="S13">
        <v>82</v>
      </c>
      <c r="T13">
        <v>116.53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12:08:16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12:08:33</v>
      </c>
      <c r="AL13" t="str">
        <v>12:08:33</v>
      </c>
      <c r="AM13" t="str">
        <v/>
      </c>
    </row>
    <row r="14">
      <c r="A14">
        <v>13</v>
      </c>
      <c r="B14" t="str">
        <v>MASS BSF</v>
      </c>
      <c r="C14" t="str">
        <v>F2F-768</v>
      </c>
      <c r="D14" t="str">
        <v>F2F-768</v>
      </c>
      <c r="E14" t="str">
        <v/>
      </c>
      <c r="F14" t="str">
        <v>867162029832136</v>
      </c>
      <c r="G14" t="str">
        <v>TBD</v>
      </c>
      <c r="H14" t="str">
        <v/>
      </c>
      <c r="I14" t="str">
        <v/>
      </c>
      <c r="J14" t="str">
        <v>28/09/2026</v>
      </c>
      <c r="K14" t="str">
        <v>12:09:44</v>
      </c>
      <c r="L14">
        <v>-12.29171</v>
      </c>
      <c r="M14">
        <v>-76.86501</v>
      </c>
      <c r="N14">
        <f>HYPERLINK("https://www.google.com/maps/search/?api=1&amp;query=-12.29171,-76.86501","Carretera Panamericana Sur, Lurín, Lima")</f>
      </c>
      <c r="O14" t="str">
        <v>Excedió el límite de velocidad</v>
      </c>
      <c r="P14" t="str">
        <v/>
      </c>
      <c r="Q14">
        <v>3165.9</v>
      </c>
      <c r="R14" t="str">
        <v/>
      </c>
      <c r="S14">
        <v>80.9</v>
      </c>
      <c r="T14">
        <v>116.53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12:09:43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12:09:55</v>
      </c>
      <c r="AL14" t="str">
        <v>12:09:55</v>
      </c>
      <c r="AM14" t="str">
        <v/>
      </c>
    </row>
    <row r="15">
      <c r="A15">
        <v>14</v>
      </c>
      <c r="B15" t="str">
        <v>MASS BSF</v>
      </c>
      <c r="C15" t="str">
        <v>F2F-768</v>
      </c>
      <c r="D15" t="str">
        <v>F2F-768</v>
      </c>
      <c r="E15" t="str">
        <v/>
      </c>
      <c r="F15" t="str">
        <v>867162029832136</v>
      </c>
      <c r="G15" t="str">
        <v>TBD</v>
      </c>
      <c r="H15" t="str">
        <v/>
      </c>
      <c r="I15" t="str">
        <v/>
      </c>
      <c r="J15" t="str">
        <v>28/09/2026</v>
      </c>
      <c r="K15" t="str">
        <v>12:10:14</v>
      </c>
      <c r="L15">
        <v>-12.294984</v>
      </c>
      <c r="M15">
        <v>-76.85979</v>
      </c>
      <c r="N15">
        <f>HYPERLINK("https://www.google.com/maps/search/?api=1&amp;query=-12.294984,-76.85979","Carretera Panamericana Sur, Lurín, Lima")</f>
      </c>
      <c r="O15" t="str">
        <v>Excedió el límite de velocidad</v>
      </c>
      <c r="P15" t="str">
        <v/>
      </c>
      <c r="Q15">
        <v>3166.5</v>
      </c>
      <c r="R15" t="str">
        <v/>
      </c>
      <c r="S15">
        <v>81.6</v>
      </c>
      <c r="T15">
        <v>116.53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12:10:13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12:10:39</v>
      </c>
      <c r="AL15" t="str">
        <v>12:10:39</v>
      </c>
      <c r="AM15" t="str">
        <v/>
      </c>
    </row>
    <row r="16">
      <c r="A16">
        <v>15</v>
      </c>
      <c r="B16" t="str">
        <v>MASS BSF</v>
      </c>
      <c r="C16" t="str">
        <v>F2F-768</v>
      </c>
      <c r="D16" t="str">
        <v>F2F-768</v>
      </c>
      <c r="E16" t="str">
        <v/>
      </c>
      <c r="F16" t="str">
        <v>867162029832136</v>
      </c>
      <c r="G16" t="str">
        <v>TBD</v>
      </c>
      <c r="H16" t="str">
        <v/>
      </c>
      <c r="I16" t="str">
        <v/>
      </c>
      <c r="J16" t="str">
        <v>28/09/2026</v>
      </c>
      <c r="K16" t="str">
        <v>12:10:56</v>
      </c>
      <c r="L16">
        <v>-12.298759</v>
      </c>
      <c r="M16">
        <v>-76.85196</v>
      </c>
      <c r="N16">
        <f>HYPERLINK("https://www.google.com/maps/search/?api=1&amp;query=-12.298759,-76.85196","Carretera Panamericana Sur, Lurín, Lima")</f>
      </c>
      <c r="O16" t="str">
        <v>Excedió el límite de velocidad</v>
      </c>
      <c r="P16" t="str">
        <v/>
      </c>
      <c r="Q16">
        <v>3167.5</v>
      </c>
      <c r="R16" t="str">
        <v/>
      </c>
      <c r="S16">
        <v>80.5</v>
      </c>
      <c r="T16">
        <v>116.53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12:10:55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12:11:29</v>
      </c>
      <c r="AL16" t="str">
        <v>12:11:29</v>
      </c>
      <c r="AM16" t="str">
        <v/>
      </c>
    </row>
    <row r="17">
      <c r="A17">
        <v>16</v>
      </c>
      <c r="B17" t="str">
        <v>MASS BSF</v>
      </c>
      <c r="C17" t="str">
        <v>F2F-768</v>
      </c>
      <c r="D17" t="str">
        <v>F2F-768</v>
      </c>
      <c r="E17" t="str">
        <v/>
      </c>
      <c r="F17" t="str">
        <v>867162029832136</v>
      </c>
      <c r="G17" t="str">
        <v>TBD</v>
      </c>
      <c r="H17" t="str">
        <v/>
      </c>
      <c r="I17" t="str">
        <v/>
      </c>
      <c r="J17" t="str">
        <v>28/09/2026</v>
      </c>
      <c r="K17" t="str">
        <v>12:12:14</v>
      </c>
      <c r="L17">
        <v>-12.306203</v>
      </c>
      <c r="M17">
        <v>-76.8385</v>
      </c>
      <c r="N17">
        <f>HYPERLINK("https://www.google.com/maps/search/?api=1&amp;query=-12.306203,-76.8385","Carretera Panamericana Sur, Lurín, Lima")</f>
      </c>
      <c r="O17" t="str">
        <v>Exceso de velocidad en segmento vial</v>
      </c>
      <c r="P17" t="str">
        <v/>
      </c>
      <c r="Q17">
        <v>3169.2</v>
      </c>
      <c r="R17" t="str">
        <v/>
      </c>
      <c r="S17">
        <v>81.4</v>
      </c>
      <c r="T17">
        <v>116.53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12:12:13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12:12:34</v>
      </c>
      <c r="AL17" t="str">
        <v>12:12:34</v>
      </c>
      <c r="AM17" t="str">
        <v/>
      </c>
    </row>
    <row r="18">
      <c r="A18">
        <v>17</v>
      </c>
      <c r="B18" t="str">
        <v>MASS BSF</v>
      </c>
      <c r="C18" t="str">
        <v>F2F-768</v>
      </c>
      <c r="D18" t="str">
        <v>F2F-768</v>
      </c>
      <c r="E18" t="str">
        <v/>
      </c>
      <c r="F18" t="str">
        <v>867162029832136</v>
      </c>
      <c r="G18" t="str">
        <v>TBD</v>
      </c>
      <c r="H18" t="str">
        <v/>
      </c>
      <c r="I18" t="str">
        <v/>
      </c>
      <c r="J18" t="str">
        <v>28/09/2026</v>
      </c>
      <c r="K18" t="str">
        <v>12:12:17</v>
      </c>
      <c r="L18">
        <v>-12.306658</v>
      </c>
      <c r="M18">
        <v>-76.83808</v>
      </c>
      <c r="N18">
        <f>HYPERLINK("https://www.google.com/maps/search/?api=1&amp;query=-12.306658,-76.83808","Carretera Panamericana Sur, Punta Hermosa, Lima")</f>
      </c>
      <c r="O18" t="str">
        <v>Excedió el límite de velocidad</v>
      </c>
      <c r="P18" t="str">
        <v/>
      </c>
      <c r="Q18">
        <v>3169.3</v>
      </c>
      <c r="R18" t="str">
        <v/>
      </c>
      <c r="S18">
        <v>81.7</v>
      </c>
      <c r="T18">
        <v>116.53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12:12:16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12:12:36</v>
      </c>
      <c r="AL18" t="str">
        <v>12:12:36</v>
      </c>
      <c r="AM18" t="str">
        <v/>
      </c>
    </row>
    <row r="19">
      <c r="A19">
        <v>18</v>
      </c>
      <c r="B19" t="str">
        <v>MASS BSF</v>
      </c>
      <c r="C19" t="str">
        <v>F2F-768</v>
      </c>
      <c r="D19" t="str">
        <v>F2F-768</v>
      </c>
      <c r="E19" t="str">
        <v/>
      </c>
      <c r="F19" t="str">
        <v>867162029832136</v>
      </c>
      <c r="G19" t="str">
        <v>TBD</v>
      </c>
      <c r="H19" t="str">
        <v/>
      </c>
      <c r="I19" t="str">
        <v/>
      </c>
      <c r="J19" t="str">
        <v>28/09/2026</v>
      </c>
      <c r="K19" t="str">
        <v>12:12:25</v>
      </c>
      <c r="L19">
        <v>-12.307128</v>
      </c>
      <c r="M19">
        <v>-76.83768</v>
      </c>
      <c r="N19">
        <f>HYPERLINK("https://www.google.com/maps/search/?api=1&amp;query=-12.307128,-76.83768","Carretera Panamericana Sur, Punta Hermosa, Lima")</f>
      </c>
      <c r="O19" t="str">
        <v>Exceso de velocidad en segmento vial</v>
      </c>
      <c r="P19" t="str">
        <v/>
      </c>
      <c r="Q19">
        <v>3169.4</v>
      </c>
      <c r="R19" t="str">
        <v/>
      </c>
      <c r="S19">
        <v>81.8</v>
      </c>
      <c r="T19">
        <v>116.53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12:12:19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12:12:49</v>
      </c>
      <c r="AL19" t="str">
        <v>12:12:49</v>
      </c>
      <c r="AM19" t="str">
        <v/>
      </c>
    </row>
    <row r="20">
      <c r="A20">
        <v>19</v>
      </c>
      <c r="B20" t="str">
        <v>MASS BSF</v>
      </c>
      <c r="C20" t="str">
        <v>F2F-768</v>
      </c>
      <c r="D20" t="str">
        <v>F2F-768</v>
      </c>
      <c r="E20" t="str">
        <v/>
      </c>
      <c r="F20" t="str">
        <v>867162029832136</v>
      </c>
      <c r="G20" t="str">
        <v>TBD</v>
      </c>
      <c r="H20" t="str">
        <v/>
      </c>
      <c r="I20" t="str">
        <v/>
      </c>
      <c r="J20" t="str">
        <v>28/09/2026</v>
      </c>
      <c r="K20" t="str">
        <v>12:13:35</v>
      </c>
      <c r="L20">
        <v>-12.319403</v>
      </c>
      <c r="M20">
        <v>-76.82934</v>
      </c>
      <c r="N20">
        <f>HYPERLINK("https://www.google.com/maps/search/?api=1&amp;query=-12.319403,-76.82934","Carretera Panamericana Sur, Punta Hermosa, Lima")</f>
      </c>
      <c r="O20" t="str">
        <v>Excedió el límite de velocidad</v>
      </c>
      <c r="P20" t="str">
        <v/>
      </c>
      <c r="Q20">
        <v>3171</v>
      </c>
      <c r="R20" t="str">
        <v/>
      </c>
      <c r="S20">
        <v>82.4</v>
      </c>
      <c r="T20">
        <v>116.53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12:13:34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12:13:44</v>
      </c>
      <c r="AL20" t="str">
        <v>12:13:44</v>
      </c>
      <c r="AM20" t="str">
        <v/>
      </c>
    </row>
    <row r="21">
      <c r="A21">
        <v>20</v>
      </c>
      <c r="B21" t="str">
        <v>MASS BSF</v>
      </c>
      <c r="C21" t="str">
        <v>F2F-768</v>
      </c>
      <c r="D21" t="str">
        <v>F2F-768</v>
      </c>
      <c r="E21" t="str">
        <v/>
      </c>
      <c r="F21" t="str">
        <v>867162029832136</v>
      </c>
      <c r="G21" t="str">
        <v>TBD</v>
      </c>
      <c r="H21" t="str">
        <v/>
      </c>
      <c r="I21" t="str">
        <v/>
      </c>
      <c r="J21" t="str">
        <v>28/09/2026</v>
      </c>
      <c r="K21" t="str">
        <v>12:14:25</v>
      </c>
      <c r="L21">
        <v>-12.327845</v>
      </c>
      <c r="M21">
        <v>-76.82371</v>
      </c>
      <c r="N21">
        <f>HYPERLINK("https://www.google.com/maps/search/?api=1&amp;query=-12.327845,-76.82371","Carretera Panamericana Sur, Punta Hermosa, Lima")</f>
      </c>
      <c r="O21" t="str">
        <v>Exceso de velocidad en segmento vial</v>
      </c>
      <c r="P21" t="str">
        <v/>
      </c>
      <c r="Q21">
        <v>3172.1</v>
      </c>
      <c r="R21" t="str">
        <v/>
      </c>
      <c r="S21">
        <v>83.4</v>
      </c>
      <c r="T21">
        <v>116.53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12:14:22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12:14:43</v>
      </c>
      <c r="AL21" t="str">
        <v>12:14:43</v>
      </c>
      <c r="AM21" t="str">
        <v/>
      </c>
    </row>
    <row r="22">
      <c r="A22">
        <v>21</v>
      </c>
      <c r="B22" t="str">
        <v>MASS BSF</v>
      </c>
      <c r="C22" t="str">
        <v>F2F-768</v>
      </c>
      <c r="D22" t="str">
        <v>F2F-768</v>
      </c>
      <c r="E22" t="str">
        <v/>
      </c>
      <c r="F22" t="str">
        <v>867162029832136</v>
      </c>
      <c r="G22" t="str">
        <v>TBD</v>
      </c>
      <c r="H22" t="str">
        <v/>
      </c>
      <c r="I22" t="str">
        <v xml:space="preserve"> </v>
      </c>
      <c r="J22" t="str">
        <v>28/09/2026</v>
      </c>
      <c r="K22" t="str">
        <v>12:18:53</v>
      </c>
      <c r="L22">
        <v>-12.317477</v>
      </c>
      <c r="M22">
        <v>-76.82955</v>
      </c>
      <c r="N22">
        <f>HYPERLINK("https://www.google.com/maps/search/?api=1&amp;query=-12.317477,-76.82955","Punta Hermosa, Lima")</f>
      </c>
      <c r="O22" t="str">
        <v>Llegó a la zona</v>
      </c>
      <c r="P22" t="str">
        <v/>
      </c>
      <c r="Q22">
        <v>3175.5</v>
      </c>
      <c r="R22" t="str">
        <v>MASS BSF 1</v>
      </c>
      <c r="S22">
        <v>10.2</v>
      </c>
      <c r="T22">
        <v>116.62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12:18:52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12:19:06</v>
      </c>
      <c r="AL22" t="str">
        <v>12:19:06</v>
      </c>
      <c r="AM22" t="str">
        <v/>
      </c>
    </row>
    <row r="23">
      <c r="A23">
        <v>22</v>
      </c>
      <c r="B23" t="str">
        <v>MASS BSF</v>
      </c>
      <c r="C23" t="str">
        <v>F2F-768</v>
      </c>
      <c r="D23" t="str">
        <v>F2F-768</v>
      </c>
      <c r="E23" t="str">
        <v/>
      </c>
      <c r="F23" t="str">
        <v>867162029832136</v>
      </c>
      <c r="G23" t="str">
        <v>TBD</v>
      </c>
      <c r="H23" t="str">
        <v/>
      </c>
      <c r="I23" t="str">
        <v/>
      </c>
      <c r="J23" t="str">
        <v>28/09/2026</v>
      </c>
      <c r="K23" t="str">
        <v>12:25:59</v>
      </c>
      <c r="L23">
        <v>-12.317267</v>
      </c>
      <c r="M23">
        <v>-76.82304</v>
      </c>
      <c r="N23">
        <f>HYPERLINK("https://www.google.com/maps/search/?api=1&amp;query=-12.317267,-76.82304","Punta Hermosa, Lima")</f>
      </c>
      <c r="O23" t="str">
        <v>Vehículo apagado</v>
      </c>
      <c r="P23" t="str">
        <v>Vehículo Apagado</v>
      </c>
      <c r="Q23">
        <v>3176.7</v>
      </c>
      <c r="R23" t="str">
        <v/>
      </c>
      <c r="S23">
        <v>0</v>
      </c>
      <c r="T23">
        <v>117.3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28/09/2026</v>
      </c>
      <c r="AD23" t="str">
        <v>12:25:22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12:26:06</v>
      </c>
      <c r="AL23" t="str">
        <v>12:26:06</v>
      </c>
      <c r="AM23" t="str">
        <v/>
      </c>
    </row>
    <row r="24">
      <c r="A24">
        <v>23</v>
      </c>
      <c r="B24" t="str">
        <v>MASS BSF</v>
      </c>
      <c r="C24" t="str">
        <v>F2F-768</v>
      </c>
      <c r="D24" t="str">
        <v>F2F-768</v>
      </c>
      <c r="E24" t="str">
        <v/>
      </c>
      <c r="F24" t="str">
        <v>867162029832136</v>
      </c>
      <c r="G24" t="str">
        <v>TBD</v>
      </c>
      <c r="H24" t="str">
        <v/>
      </c>
      <c r="I24" t="str">
        <v/>
      </c>
      <c r="J24" t="str">
        <v>28/09/2026</v>
      </c>
      <c r="K24" t="str">
        <v>12:26:55</v>
      </c>
      <c r="L24">
        <v>-12.317323</v>
      </c>
      <c r="M24">
        <v>-76.82308</v>
      </c>
      <c r="N24">
        <f>HYPERLINK("https://www.google.com/maps/search/?api=1&amp;query=-12.317323,-76.82308","Punta Hermosa, Lima")</f>
      </c>
      <c r="O24" t="str">
        <v>Vehículo encendido</v>
      </c>
      <c r="P24" t="str">
        <v/>
      </c>
      <c r="Q24">
        <v>3176.7</v>
      </c>
      <c r="R24" t="str">
        <v/>
      </c>
      <c r="S24">
        <v>0</v>
      </c>
      <c r="T24">
        <v>117.3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12:27:00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12:27:22</v>
      </c>
      <c r="AL24" t="str">
        <v>12:27:22</v>
      </c>
      <c r="AM24" t="str">
        <v/>
      </c>
    </row>
    <row r="25">
      <c r="A25">
        <v>24</v>
      </c>
      <c r="B25" t="str">
        <v>MASS BSF</v>
      </c>
      <c r="C25" t="str">
        <v>F2F-768</v>
      </c>
      <c r="D25" t="str">
        <v>F2F-768</v>
      </c>
      <c r="E25" t="str">
        <v/>
      </c>
      <c r="F25" t="str">
        <v>867162029832136</v>
      </c>
      <c r="G25" t="str">
        <v>TBD</v>
      </c>
      <c r="H25" t="str">
        <v/>
      </c>
      <c r="I25" t="str">
        <v/>
      </c>
      <c r="J25" t="str">
        <v>28/09/2026</v>
      </c>
      <c r="K25" t="str">
        <v>12:28:35</v>
      </c>
      <c r="L25">
        <v>-12.317376</v>
      </c>
      <c r="M25">
        <v>-76.8229</v>
      </c>
      <c r="N25">
        <f>HYPERLINK("https://www.google.com/maps/search/?api=1&amp;query=-12.317376,-76.8229","Punta Hermosa, Lima")</f>
      </c>
      <c r="O25" t="str">
        <v>Vehículo apagado</v>
      </c>
      <c r="P25" t="str">
        <v>Vehículo Apagado</v>
      </c>
      <c r="Q25">
        <v>3176.7</v>
      </c>
      <c r="R25" t="str">
        <v/>
      </c>
      <c r="S25">
        <v>0</v>
      </c>
      <c r="T25">
        <v>117.33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28/09/2026</v>
      </c>
      <c r="AD25" t="str">
        <v>12:28:38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12:28:54</v>
      </c>
      <c r="AL25" t="str">
        <v>12:28:54</v>
      </c>
      <c r="AM25" t="str">
        <v/>
      </c>
    </row>
    <row r="26">
      <c r="A26">
        <v>25</v>
      </c>
      <c r="B26" t="str">
        <v>MASS BSF</v>
      </c>
      <c r="C26" t="str">
        <v>F2F-768</v>
      </c>
      <c r="D26" t="str">
        <v>F2F-768</v>
      </c>
      <c r="E26" t="str">
        <v/>
      </c>
      <c r="F26" t="str">
        <v>867162029832136</v>
      </c>
      <c r="G26" t="str">
        <v>TBD</v>
      </c>
      <c r="H26" t="str">
        <v/>
      </c>
      <c r="I26" t="str">
        <v/>
      </c>
      <c r="J26" t="str">
        <v>28/09/2026</v>
      </c>
      <c r="K26" t="str">
        <v>12:54:34</v>
      </c>
      <c r="L26">
        <v>-12.317376</v>
      </c>
      <c r="M26">
        <v>-76.8229</v>
      </c>
      <c r="N26">
        <f>HYPERLINK("https://www.google.com/maps/search/?api=1&amp;query=-12.317376,-76.8229","Punta Hermosa, Lima")</f>
      </c>
      <c r="O26" t="str">
        <v>Vehículo encendido</v>
      </c>
      <c r="P26" t="str">
        <v/>
      </c>
      <c r="Q26">
        <v>3176.7</v>
      </c>
      <c r="R26" t="str">
        <v/>
      </c>
      <c r="S26">
        <v>0</v>
      </c>
      <c r="T26">
        <v>117.33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12:28:38</v>
      </c>
      <c r="AE26">
        <f>IF("NOGPS"="NOGPS","GPS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12:54:54</v>
      </c>
      <c r="AL26" t="str">
        <v>12:54:54</v>
      </c>
      <c r="AM26" t="str">
        <v/>
      </c>
    </row>
    <row r="27">
      <c r="A27">
        <v>26</v>
      </c>
      <c r="B27" t="str">
        <v>MASS BSF</v>
      </c>
      <c r="C27" t="str">
        <v>F2F-768</v>
      </c>
      <c r="D27" t="str">
        <v>F2F-768</v>
      </c>
      <c r="E27" t="str">
        <v/>
      </c>
      <c r="F27" t="str">
        <v>867162029832136</v>
      </c>
      <c r="G27" t="str">
        <v>TBD</v>
      </c>
      <c r="H27" t="str">
        <v/>
      </c>
      <c r="I27" t="str">
        <v/>
      </c>
      <c r="J27" t="str">
        <v>28/09/2026</v>
      </c>
      <c r="K27" t="str">
        <v>12:57:09</v>
      </c>
      <c r="L27">
        <v>-12.317886</v>
      </c>
      <c r="M27">
        <v>-76.82425</v>
      </c>
      <c r="N27">
        <f>HYPERLINK("https://www.google.com/maps/search/?api=1&amp;query=-12.317886,-76.82425","Punta Hermosa, Lima")</f>
      </c>
      <c r="O27" t="str">
        <v>Vehículo apagado</v>
      </c>
      <c r="P27" t="str">
        <v>Vehículo Apagado</v>
      </c>
      <c r="Q27">
        <v>3177</v>
      </c>
      <c r="R27" t="str">
        <v/>
      </c>
      <c r="S27">
        <v>0</v>
      </c>
      <c r="T27">
        <v>117.38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28/09/2026</v>
      </c>
      <c r="AD27" t="str">
        <v>12:57:12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12:57:30</v>
      </c>
      <c r="AL27" t="str">
        <v>12:57:30</v>
      </c>
      <c r="AM27" t="str">
        <v/>
      </c>
    </row>
    <row r="28">
      <c r="A28">
        <v>27</v>
      </c>
      <c r="B28" t="str">
        <v>MASS BSF</v>
      </c>
      <c r="C28" t="str">
        <v>F2F-768</v>
      </c>
      <c r="D28" t="str">
        <v>F2F-768</v>
      </c>
      <c r="E28" t="str">
        <v/>
      </c>
      <c r="F28" t="str">
        <v>867162029832136</v>
      </c>
      <c r="G28" t="str">
        <v>TBD</v>
      </c>
      <c r="H28" t="str">
        <v/>
      </c>
      <c r="I28" t="str">
        <v/>
      </c>
      <c r="J28" t="str">
        <v>28/09/2026</v>
      </c>
      <c r="K28" t="str">
        <v>13:26:29</v>
      </c>
      <c r="L28">
        <v>-12.317886</v>
      </c>
      <c r="M28">
        <v>-76.82425</v>
      </c>
      <c r="N28">
        <f>HYPERLINK("https://www.google.com/maps/search/?api=1&amp;query=-12.317886,-76.82425","Punta Hermosa, Lima")</f>
      </c>
      <c r="O28" t="str">
        <v>Vehículo encendido</v>
      </c>
      <c r="P28" t="str">
        <v/>
      </c>
      <c r="Q28">
        <v>3177</v>
      </c>
      <c r="R28" t="str">
        <v/>
      </c>
      <c r="S28">
        <v>0</v>
      </c>
      <c r="T28">
        <v>117.38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28/09/2026</v>
      </c>
      <c r="AD28" t="str">
        <v>13:24:38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13:26:47</v>
      </c>
      <c r="AL28" t="str">
        <v>13:26:47</v>
      </c>
      <c r="AM28" t="str">
        <v/>
      </c>
    </row>
    <row r="29">
      <c r="A29">
        <v>28</v>
      </c>
      <c r="B29" t="str">
        <v>MASS BSF</v>
      </c>
      <c r="C29" t="str">
        <v>F2F-768</v>
      </c>
      <c r="D29" t="str">
        <v>F2F-768</v>
      </c>
      <c r="E29" t="str">
        <v/>
      </c>
      <c r="F29" t="str">
        <v>867162029832136</v>
      </c>
      <c r="G29" t="str">
        <v>TBD</v>
      </c>
      <c r="H29" t="str">
        <v/>
      </c>
      <c r="I29" t="str">
        <v/>
      </c>
      <c r="J29" t="str">
        <v>28/09/2026</v>
      </c>
      <c r="K29" t="str">
        <v>13:26:37</v>
      </c>
      <c r="L29">
        <v>-12.317884</v>
      </c>
      <c r="M29">
        <v>-76.824165</v>
      </c>
      <c r="N29">
        <f>HYPERLINK("https://www.google.com/maps/search/?api=1&amp;query=-12.317884,-76.824165","Punta Hermosa, Lima")</f>
      </c>
      <c r="O29" t="str">
        <v>Vehículo apagado</v>
      </c>
      <c r="P29" t="str">
        <v>Vehículo Apagado</v>
      </c>
      <c r="Q29">
        <v>3177</v>
      </c>
      <c r="R29" t="str">
        <v/>
      </c>
      <c r="S29">
        <v>0</v>
      </c>
      <c r="T29">
        <v>117.38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28/09/2026</v>
      </c>
      <c r="AD29" t="str">
        <v>13:26:39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13:27:03</v>
      </c>
      <c r="AL29" t="str">
        <v>13:27:03</v>
      </c>
      <c r="AM29" t="str">
        <v/>
      </c>
    </row>
    <row r="30">
      <c r="A30">
        <v>29</v>
      </c>
      <c r="B30" t="str">
        <v>MASS BSF</v>
      </c>
      <c r="C30" t="str">
        <v>F2F-768</v>
      </c>
      <c r="D30" t="str">
        <v>F2F-768</v>
      </c>
      <c r="E30" t="str">
        <v/>
      </c>
      <c r="F30" t="str">
        <v>867162029832136</v>
      </c>
      <c r="G30" t="str">
        <v>TBD</v>
      </c>
      <c r="H30" t="str">
        <v/>
      </c>
      <c r="I30" t="str">
        <v/>
      </c>
      <c r="J30" t="str">
        <v>28/09/2026</v>
      </c>
      <c r="K30" t="str">
        <v>13:31:03</v>
      </c>
      <c r="L30">
        <v>-12.317884</v>
      </c>
      <c r="M30">
        <v>-76.824165</v>
      </c>
      <c r="N30">
        <f>HYPERLINK("https://www.google.com/maps/search/?api=1&amp;query=-12.317884,-76.824165","Punta Hermosa, Lima")</f>
      </c>
      <c r="O30" t="str">
        <v>Vehículo encendido</v>
      </c>
      <c r="P30" t="str">
        <v/>
      </c>
      <c r="Q30">
        <v>3177</v>
      </c>
      <c r="R30" t="str">
        <v/>
      </c>
      <c r="S30">
        <v>0</v>
      </c>
      <c r="T30">
        <v>117.38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28/09/2026</v>
      </c>
      <c r="AD30" t="str">
        <v>13:26:39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13:31:28</v>
      </c>
      <c r="AL30" t="str">
        <v>13:31:28</v>
      </c>
      <c r="AM30" t="str">
        <v/>
      </c>
    </row>
    <row r="31">
      <c r="A31">
        <v>30</v>
      </c>
      <c r="B31" t="str">
        <v>MASS BSF</v>
      </c>
      <c r="C31" t="str">
        <v>F2F-768</v>
      </c>
      <c r="D31" t="str">
        <v>F2F-768</v>
      </c>
      <c r="E31" t="str">
        <v/>
      </c>
      <c r="F31" t="str">
        <v>867162029832136</v>
      </c>
      <c r="G31" t="str">
        <v>TBD</v>
      </c>
      <c r="H31" t="str">
        <v/>
      </c>
      <c r="I31" t="str">
        <v/>
      </c>
      <c r="J31" t="str">
        <v>28/09/2026</v>
      </c>
      <c r="K31" t="str">
        <v>13:31:40</v>
      </c>
      <c r="L31">
        <v>-12.317828</v>
      </c>
      <c r="M31">
        <v>-76.824196</v>
      </c>
      <c r="N31">
        <f>HYPERLINK("https://www.google.com/maps/search/?api=1&amp;query=-12.317828,-76.824196","Punta Hermosa, Lima")</f>
      </c>
      <c r="O31" t="str">
        <v>Vehículo apagado</v>
      </c>
      <c r="P31" t="str">
        <v>Vehículo Apagado</v>
      </c>
      <c r="Q31">
        <v>3177</v>
      </c>
      <c r="R31" t="str">
        <v/>
      </c>
      <c r="S31">
        <v>3.7</v>
      </c>
      <c r="T31">
        <v>117.4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28/09/2026</v>
      </c>
      <c r="AD31" t="str">
        <v>13:31:31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13:32:05</v>
      </c>
      <c r="AL31" t="str">
        <v>13:32:05</v>
      </c>
      <c r="AM31" t="str">
        <v/>
      </c>
    </row>
    <row r="32">
      <c r="A32">
        <v>31</v>
      </c>
      <c r="B32" t="str">
        <v>MASS BSF</v>
      </c>
      <c r="C32" t="str">
        <v>F2F-768</v>
      </c>
      <c r="D32" t="str">
        <v>F2F-768</v>
      </c>
      <c r="E32" t="str">
        <v/>
      </c>
      <c r="F32" t="str">
        <v>867162029832136</v>
      </c>
      <c r="G32" t="str">
        <v>TBD</v>
      </c>
      <c r="H32" t="str">
        <v/>
      </c>
      <c r="I32" t="str">
        <v/>
      </c>
      <c r="J32" t="str">
        <v>28/09/2026</v>
      </c>
      <c r="K32" t="str">
        <v>14:27:57</v>
      </c>
      <c r="L32">
        <v>-12.317805</v>
      </c>
      <c r="M32">
        <v>-76.82414</v>
      </c>
      <c r="N32">
        <f>HYPERLINK("https://www.google.com/maps/search/?api=1&amp;query=-12.317805,-76.82414","Punta Hermosa, Lima")</f>
      </c>
      <c r="O32" t="str">
        <v>Vehículo encendido</v>
      </c>
      <c r="P32" t="str">
        <v/>
      </c>
      <c r="Q32">
        <v>3177</v>
      </c>
      <c r="R32" t="str">
        <v/>
      </c>
      <c r="S32">
        <v>0</v>
      </c>
      <c r="T32">
        <v>117.38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28/09/2026</v>
      </c>
      <c r="AD32" t="str">
        <v>13:59:10</v>
      </c>
      <c r="AE32">
        <f>IF("NOGPS"="NOGPS","GPS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14:28:06</v>
      </c>
      <c r="AL32" t="str">
        <v>14:28:06</v>
      </c>
      <c r="AM32" t="str">
        <v/>
      </c>
    </row>
    <row r="33">
      <c r="A33">
        <v>32</v>
      </c>
      <c r="B33" t="str">
        <v>MASS BSF</v>
      </c>
      <c r="C33" t="str">
        <v>F2F-768</v>
      </c>
      <c r="D33" t="str">
        <v>F2F-768</v>
      </c>
      <c r="E33" t="str">
        <v/>
      </c>
      <c r="F33" t="str">
        <v>867162029832136</v>
      </c>
      <c r="G33" t="str">
        <v>TBD</v>
      </c>
      <c r="H33" t="str">
        <v/>
      </c>
      <c r="I33" t="str">
        <v/>
      </c>
      <c r="J33" t="str">
        <v>28/09/2026</v>
      </c>
      <c r="K33" t="str">
        <v>14:29:39</v>
      </c>
      <c r="L33">
        <v>-12.317837</v>
      </c>
      <c r="M33">
        <v>-76.82424</v>
      </c>
      <c r="N33">
        <f>HYPERLINK("https://www.google.com/maps/search/?api=1&amp;query=-12.317837,-76.82424","Punta Hermosa, Lima")</f>
      </c>
      <c r="O33" t="str">
        <v>Vehículo apagado</v>
      </c>
      <c r="P33" t="str">
        <v>Vehículo Apagado</v>
      </c>
      <c r="Q33">
        <v>3177</v>
      </c>
      <c r="R33" t="str">
        <v/>
      </c>
      <c r="S33">
        <v>0</v>
      </c>
      <c r="T33">
        <v>117.42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28/09/2026</v>
      </c>
      <c r="AD33" t="str">
        <v>14:28:55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14:29:43</v>
      </c>
      <c r="AL33" t="str">
        <v>14:29:43</v>
      </c>
      <c r="AM33" t="str">
        <v/>
      </c>
    </row>
    <row r="34">
      <c r="A34">
        <v>33</v>
      </c>
      <c r="B34" t="str">
        <v>MASS BSF</v>
      </c>
      <c r="C34" t="str">
        <v>F2F-768</v>
      </c>
      <c r="D34" t="str">
        <v>F2F-768</v>
      </c>
      <c r="E34" t="str">
        <v/>
      </c>
      <c r="F34" t="str">
        <v>867162029832136</v>
      </c>
      <c r="G34" t="str">
        <v>TBD</v>
      </c>
      <c r="H34" t="str">
        <v/>
      </c>
      <c r="I34" t="str">
        <v/>
      </c>
      <c r="J34" t="str">
        <v>28/09/2026</v>
      </c>
      <c r="K34" t="str">
        <v>15:28:09</v>
      </c>
      <c r="L34">
        <v>-12.317837</v>
      </c>
      <c r="M34">
        <v>-76.82424</v>
      </c>
      <c r="N34">
        <f>HYPERLINK("https://www.google.com/maps/search/?api=1&amp;query=-12.317837,-76.82424","Punta Hermosa, Lima")</f>
      </c>
      <c r="O34" t="str">
        <v>Vehículo encendido</v>
      </c>
      <c r="P34" t="str">
        <v/>
      </c>
      <c r="Q34">
        <v>3177</v>
      </c>
      <c r="R34" t="str">
        <v/>
      </c>
      <c r="S34">
        <v>0</v>
      </c>
      <c r="T34">
        <v>117.42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28/09/2026</v>
      </c>
      <c r="AD34" t="str">
        <v>15:27:08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15:28:20</v>
      </c>
      <c r="AL34" t="str">
        <v>15:28:20</v>
      </c>
      <c r="AM34" t="str">
        <v/>
      </c>
    </row>
    <row r="35">
      <c r="A35">
        <v>34</v>
      </c>
      <c r="B35" t="str">
        <v>MASS BSF</v>
      </c>
      <c r="C35" t="str">
        <v>F2F-768</v>
      </c>
      <c r="D35" t="str">
        <v>F2F-768</v>
      </c>
      <c r="E35" t="str">
        <v/>
      </c>
      <c r="F35" t="str">
        <v>867162029832136</v>
      </c>
      <c r="G35" t="str">
        <v>TBD</v>
      </c>
      <c r="H35" t="str">
        <v/>
      </c>
      <c r="I35" t="str">
        <v/>
      </c>
      <c r="J35" t="str">
        <v>28/09/2026</v>
      </c>
      <c r="K35" t="str">
        <v>15:28:21</v>
      </c>
      <c r="L35">
        <v>-12.31785</v>
      </c>
      <c r="M35">
        <v>-76.82418</v>
      </c>
      <c r="N35">
        <f>HYPERLINK("https://www.google.com/maps/search/?api=1&amp;query=-12.31785,-76.82418","Punta Hermosa, Lima")</f>
      </c>
      <c r="O35" t="str">
        <v>Vehículo apagado</v>
      </c>
      <c r="P35" t="str">
        <v>Vehículo Apagado</v>
      </c>
      <c r="Q35">
        <v>3177</v>
      </c>
      <c r="R35" t="str">
        <v/>
      </c>
      <c r="S35">
        <v>0</v>
      </c>
      <c r="T35">
        <v>117.42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28/09/2026</v>
      </c>
      <c r="AD35" t="str">
        <v>15:28:24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15:28:40</v>
      </c>
      <c r="AL35" t="str">
        <v>15:28:40</v>
      </c>
      <c r="AM35" t="str">
        <v/>
      </c>
    </row>
    <row r="36">
      <c r="A36">
        <v>35</v>
      </c>
      <c r="B36" t="str">
        <v>MASS BSF</v>
      </c>
      <c r="C36" t="str">
        <v>F2F-768</v>
      </c>
      <c r="D36" t="str">
        <v>F2F-768</v>
      </c>
      <c r="E36" t="str">
        <v/>
      </c>
      <c r="F36" t="str">
        <v>867162029832136</v>
      </c>
      <c r="G36" t="str">
        <v>TBD</v>
      </c>
      <c r="H36" t="str">
        <v/>
      </c>
      <c r="I36" t="str">
        <v/>
      </c>
      <c r="J36" t="str">
        <v>28/09/2026</v>
      </c>
      <c r="K36" t="str">
        <v>15:36:54</v>
      </c>
      <c r="L36">
        <v>-12.31785</v>
      </c>
      <c r="M36">
        <v>-76.82418</v>
      </c>
      <c r="N36">
        <f>HYPERLINK("https://www.google.com/maps/search/?api=1&amp;query=-12.31785,-76.82418","Punta Hermosa, Lima")</f>
      </c>
      <c r="O36" t="str">
        <v>Vehículo encendido</v>
      </c>
      <c r="P36" t="str">
        <v/>
      </c>
      <c r="Q36">
        <v>3177</v>
      </c>
      <c r="R36" t="str">
        <v/>
      </c>
      <c r="S36">
        <v>0</v>
      </c>
      <c r="T36">
        <v>117.42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28/09/2026</v>
      </c>
      <c r="AD36" t="str">
        <v>15:28:24</v>
      </c>
      <c r="AE36">
        <f>IF("NOGPS"="NOGPS","GPS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15:37:04</v>
      </c>
      <c r="AL36" t="str">
        <v>15:37:04</v>
      </c>
      <c r="AM36" t="str">
        <v/>
      </c>
    </row>
    <row r="37">
      <c r="A37">
        <v>36</v>
      </c>
      <c r="B37" t="str">
        <v>MASS BSF</v>
      </c>
      <c r="C37" t="str">
        <v>F2F-768</v>
      </c>
      <c r="D37" t="str">
        <v>F2F-768</v>
      </c>
      <c r="E37" t="str">
        <v/>
      </c>
      <c r="F37" t="str">
        <v>867162029832136</v>
      </c>
      <c r="G37" t="str">
        <v>TBD</v>
      </c>
      <c r="H37" t="str">
        <v/>
      </c>
      <c r="I37" t="str">
        <v xml:space="preserve"> </v>
      </c>
      <c r="J37" t="str">
        <v>28/09/2026</v>
      </c>
      <c r="K37" t="str">
        <v>15:41:38</v>
      </c>
      <c r="L37">
        <v>-12.317509</v>
      </c>
      <c r="M37">
        <v>-76.82996</v>
      </c>
      <c r="N37">
        <f>HYPERLINK("https://www.google.com/maps/search/?api=1&amp;query=-12.317509,-76.82996","Punta Hermosa, Lima")</f>
      </c>
      <c r="O37" t="str">
        <v>Salió de zona</v>
      </c>
      <c r="P37" t="str">
        <v/>
      </c>
      <c r="Q37">
        <v>3177.6</v>
      </c>
      <c r="R37" t="str">
        <v>MASS BSF 1</v>
      </c>
      <c r="S37">
        <v>17.6</v>
      </c>
      <c r="T37">
        <v>117.48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28/09/2026</v>
      </c>
      <c r="AD37" t="str">
        <v>15:41:37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15:41:48</v>
      </c>
      <c r="AL37" t="str">
        <v>15:41:48</v>
      </c>
      <c r="AM37" t="str">
        <v/>
      </c>
    </row>
    <row r="38">
      <c r="A38">
        <v>37</v>
      </c>
      <c r="B38" t="str">
        <v>MASS BSF</v>
      </c>
      <c r="C38" t="str">
        <v>F2F-768</v>
      </c>
      <c r="D38" t="str">
        <v>F2F-768</v>
      </c>
      <c r="E38" t="str">
        <v/>
      </c>
      <c r="F38" t="str">
        <v>867162029832136</v>
      </c>
      <c r="G38" t="str">
        <v>TBD</v>
      </c>
      <c r="H38" t="str">
        <v/>
      </c>
      <c r="I38" t="str">
        <v xml:space="preserve"> </v>
      </c>
      <c r="J38" t="str">
        <v>28/09/2026</v>
      </c>
      <c r="K38" t="str">
        <v>16:14:29</v>
      </c>
      <c r="L38">
        <v>-12.212886</v>
      </c>
      <c r="M38">
        <v>-76.95925</v>
      </c>
      <c r="N38">
        <f>HYPERLINK("https://www.google.com/maps/search/?api=1&amp;query=-12.212886,-76.95925","Avenida Villa del Mar, Villa El Salvador, Lima")</f>
      </c>
      <c r="O38" t="str">
        <v>Llegó a la zona</v>
      </c>
      <c r="P38" t="str">
        <v/>
      </c>
      <c r="Q38">
        <v>3199.3</v>
      </c>
      <c r="R38" t="str">
        <v>BASE-OSLOGISTICS</v>
      </c>
      <c r="S38">
        <v>10.7</v>
      </c>
      <c r="T38">
        <v>117.48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28/09/2026</v>
      </c>
      <c r="AD38" t="str">
        <v>16:14:28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16:14:39</v>
      </c>
      <c r="AL38" t="str">
        <v>16:14:39</v>
      </c>
      <c r="AM38" t="str">
        <v/>
      </c>
    </row>
    <row r="39">
      <c r="A39">
        <v>38</v>
      </c>
      <c r="B39" t="str">
        <v>MASS BSF</v>
      </c>
      <c r="C39" t="str">
        <v>F2F-768</v>
      </c>
      <c r="D39" t="str">
        <v>F2F-768</v>
      </c>
      <c r="E39" t="str">
        <v/>
      </c>
      <c r="F39" t="str">
        <v>867162029832136</v>
      </c>
      <c r="G39" t="str">
        <v>TBD</v>
      </c>
      <c r="H39" t="str">
        <v/>
      </c>
      <c r="I39" t="str">
        <v/>
      </c>
      <c r="J39" t="str">
        <v>28/09/2026</v>
      </c>
      <c r="K39" t="str">
        <v>16:15:53</v>
      </c>
      <c r="L39">
        <v>-12.213087</v>
      </c>
      <c r="M39">
        <v>-76.95908</v>
      </c>
      <c r="N39">
        <f>HYPERLINK("https://www.google.com/maps/search/?api=1&amp;query=-12.213087,-76.95908","Avenida Villa del Mar, Villa El Salvador, Lima")</f>
      </c>
      <c r="O39" t="str">
        <v>Vehículo apagado</v>
      </c>
      <c r="P39" t="str">
        <v>Vehículo Apagado</v>
      </c>
      <c r="Q39">
        <v>3199.5</v>
      </c>
      <c r="R39" t="str">
        <v/>
      </c>
      <c r="S39">
        <v>0</v>
      </c>
      <c r="T39">
        <v>118.07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28/09/2026</v>
      </c>
      <c r="AD39" t="str">
        <v>16:15:57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16:16:23</v>
      </c>
      <c r="AL39" t="str">
        <v>16:16:23</v>
      </c>
      <c r="AM39" t="str">
        <v/>
      </c>
    </row>
  </sheetData>
  <ignoredErrors>
    <ignoredError numberStoredAsText="1" sqref="A1:AM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