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nsporte.ope4\Pictures\AS\Automatizaciones\MASS\REPORTE ALERTAS ONWAY\alertas_onway\setiembre\28-09-2026\"/>
    </mc:Choice>
  </mc:AlternateContent>
  <xr:revisionPtr revIDLastSave="0" documentId="13_ncr:1_{C787C727-98D2-4773-A2A0-59B633796F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 Ale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5" i="1" l="1"/>
  <c r="Y45" i="1"/>
  <c r="I45" i="1"/>
  <c r="Z44" i="1"/>
  <c r="Y44" i="1"/>
  <c r="I44" i="1"/>
  <c r="Z43" i="1"/>
  <c r="Y43" i="1"/>
  <c r="I43" i="1"/>
  <c r="Z42" i="1"/>
  <c r="Y42" i="1"/>
  <c r="I42" i="1"/>
  <c r="Z41" i="1"/>
  <c r="Y41" i="1"/>
  <c r="I41" i="1"/>
  <c r="Z40" i="1"/>
  <c r="Y40" i="1"/>
  <c r="I40" i="1"/>
  <c r="Z39" i="1"/>
  <c r="Y39" i="1"/>
  <c r="I39" i="1"/>
  <c r="Z38" i="1"/>
  <c r="Y38" i="1"/>
  <c r="I38" i="1"/>
  <c r="Z37" i="1"/>
  <c r="Y37" i="1"/>
  <c r="I37" i="1"/>
  <c r="Z36" i="1"/>
  <c r="Y36" i="1"/>
  <c r="I36" i="1"/>
  <c r="Z35" i="1"/>
  <c r="Y35" i="1"/>
  <c r="I35" i="1"/>
  <c r="Z34" i="1"/>
  <c r="Y34" i="1"/>
  <c r="I34" i="1"/>
  <c r="Z33" i="1"/>
  <c r="Y33" i="1"/>
  <c r="I33" i="1"/>
  <c r="Z32" i="1"/>
  <c r="Y32" i="1"/>
  <c r="I32" i="1"/>
  <c r="Z31" i="1"/>
  <c r="Y31" i="1"/>
  <c r="I31" i="1"/>
  <c r="Z30" i="1"/>
  <c r="Y30" i="1"/>
  <c r="I30" i="1"/>
  <c r="Z29" i="1"/>
  <c r="Y29" i="1"/>
  <c r="I29" i="1"/>
  <c r="Z28" i="1"/>
  <c r="Y28" i="1"/>
  <c r="I28" i="1"/>
  <c r="Z27" i="1"/>
  <c r="Y27" i="1"/>
  <c r="I27" i="1"/>
  <c r="Z26" i="1"/>
  <c r="Y26" i="1"/>
  <c r="I26" i="1"/>
  <c r="Z25" i="1"/>
  <c r="Y25" i="1"/>
  <c r="I25" i="1"/>
  <c r="Z24" i="1"/>
  <c r="Y24" i="1"/>
  <c r="I24" i="1"/>
  <c r="Z23" i="1"/>
  <c r="Y23" i="1"/>
  <c r="I23" i="1"/>
  <c r="Z22" i="1"/>
  <c r="Y22" i="1"/>
  <c r="I22" i="1"/>
  <c r="Z21" i="1"/>
  <c r="Y21" i="1"/>
  <c r="I21" i="1"/>
  <c r="Z20" i="1"/>
  <c r="Y20" i="1"/>
  <c r="I20" i="1"/>
  <c r="Z19" i="1"/>
  <c r="Y19" i="1"/>
  <c r="I19" i="1"/>
  <c r="Z18" i="1"/>
  <c r="Y18" i="1"/>
  <c r="I18" i="1"/>
  <c r="Z17" i="1"/>
  <c r="Y17" i="1"/>
  <c r="I17" i="1"/>
  <c r="Z16" i="1"/>
  <c r="Y16" i="1"/>
  <c r="I16" i="1"/>
  <c r="Z15" i="1"/>
  <c r="Y15" i="1"/>
  <c r="I15" i="1"/>
  <c r="Z14" i="1"/>
  <c r="Y14" i="1"/>
  <c r="I14" i="1"/>
  <c r="Z13" i="1"/>
  <c r="Y13" i="1"/>
  <c r="I13" i="1"/>
  <c r="Z12" i="1"/>
  <c r="Y12" i="1"/>
  <c r="I12" i="1"/>
  <c r="Z11" i="1"/>
  <c r="Y11" i="1"/>
  <c r="I11" i="1"/>
  <c r="Z10" i="1"/>
  <c r="Y10" i="1"/>
  <c r="I10" i="1"/>
  <c r="Z9" i="1"/>
  <c r="Y9" i="1"/>
  <c r="I9" i="1"/>
  <c r="Z8" i="1"/>
  <c r="Y8" i="1"/>
  <c r="I8" i="1"/>
  <c r="Z7" i="1"/>
  <c r="Y7" i="1"/>
  <c r="I7" i="1"/>
  <c r="Z6" i="1"/>
  <c r="Y6" i="1"/>
  <c r="I6" i="1"/>
  <c r="Z5" i="1"/>
  <c r="Y5" i="1"/>
  <c r="I5" i="1"/>
  <c r="Z4" i="1"/>
  <c r="Y4" i="1"/>
  <c r="I4" i="1"/>
  <c r="Z3" i="1"/>
  <c r="Y3" i="1"/>
  <c r="I3" i="1"/>
  <c r="Z2" i="1"/>
  <c r="Y2" i="1"/>
  <c r="I2" i="1"/>
</calcChain>
</file>

<file path=xl/sharedStrings.xml><?xml version="1.0" encoding="utf-8"?>
<sst xmlns="http://schemas.openxmlformats.org/spreadsheetml/2006/main" count="1089" uniqueCount="221">
  <si>
    <t>Secuencia</t>
  </si>
  <si>
    <t>Alias</t>
  </si>
  <si>
    <t>Conductor</t>
  </si>
  <si>
    <t>Fecha</t>
  </si>
  <si>
    <t>Hora</t>
  </si>
  <si>
    <t>Latitud</t>
  </si>
  <si>
    <t>Longitud</t>
  </si>
  <si>
    <t>Dirección</t>
  </si>
  <si>
    <t>Alerta</t>
  </si>
  <si>
    <t>Alerta alias</t>
  </si>
  <si>
    <t>Odómetro (Km)</t>
  </si>
  <si>
    <t>Zona</t>
  </si>
  <si>
    <t>Velocidad (Km/h)</t>
  </si>
  <si>
    <t>Horómetro (Hrs)</t>
  </si>
  <si>
    <t>Velocidad máxima permitida</t>
  </si>
  <si>
    <t>Velocidad máxima alcanzada</t>
  </si>
  <si>
    <t>Velocidad promedio</t>
  </si>
  <si>
    <t>Duración (segundos)</t>
  </si>
  <si>
    <t>Severidad de la alerta</t>
  </si>
  <si>
    <t>Fecha y hora de inicio del exceso</t>
  </si>
  <si>
    <t>Fecha y hora de fin del exceso</t>
  </si>
  <si>
    <t>Fecha GPS</t>
  </si>
  <si>
    <t>Hora GPS</t>
  </si>
  <si>
    <t>Estado GPS</t>
  </si>
  <si>
    <t>Atención Alerta</t>
  </si>
  <si>
    <t>Reporte de Alerta</t>
  </si>
  <si>
    <t>Fecha Reporte Al.</t>
  </si>
  <si>
    <t>Hora Reporte Al.</t>
  </si>
  <si>
    <t>Registro de Atención</t>
  </si>
  <si>
    <t>Fecha Registro At.</t>
  </si>
  <si>
    <t>Hora Registro At.</t>
  </si>
  <si>
    <t>Notas</t>
  </si>
  <si>
    <t>CPH-709</t>
  </si>
  <si>
    <t/>
  </si>
  <si>
    <t>28/09/2026</t>
  </si>
  <si>
    <t>08:30:46</t>
  </si>
  <si>
    <t>Vehículo encendido</t>
  </si>
  <si>
    <t>08:29:02</t>
  </si>
  <si>
    <t>28/09/2026 08:30:55</t>
  </si>
  <si>
    <t>08:30:55</t>
  </si>
  <si>
    <t xml:space="preserve"> </t>
  </si>
  <si>
    <t>09:11:18</t>
  </si>
  <si>
    <t>Llegó a la zona</t>
  </si>
  <si>
    <t>MASS BSF 1</t>
  </si>
  <si>
    <t>28/09/2026 09:11:36</t>
  </si>
  <si>
    <t>09:11:36</t>
  </si>
  <si>
    <t>09:17:12</t>
  </si>
  <si>
    <t>Vehículo apagado</t>
  </si>
  <si>
    <t>Vehículo Apagado</t>
  </si>
  <si>
    <t>09:16:45</t>
  </si>
  <si>
    <t>28/09/2026 09:17:18</t>
  </si>
  <si>
    <t>09:17:18</t>
  </si>
  <si>
    <t>09:22:53</t>
  </si>
  <si>
    <t>09:17:14</t>
  </si>
  <si>
    <t>28/09/2026 09:23:07</t>
  </si>
  <si>
    <t>09:23:07</t>
  </si>
  <si>
    <t>09:27:18</t>
  </si>
  <si>
    <t>09:26:50</t>
  </si>
  <si>
    <t>28/09/2026 09:27:28</t>
  </si>
  <si>
    <t>09:27:28</t>
  </si>
  <si>
    <t>10:48:08</t>
  </si>
  <si>
    <t>10:24:48</t>
  </si>
  <si>
    <t>28/09/2026 10:48:28</t>
  </si>
  <si>
    <t>10:48:28</t>
  </si>
  <si>
    <t>10:51:45</t>
  </si>
  <si>
    <t>10:51:05</t>
  </si>
  <si>
    <t>28/09/2026 10:51:52</t>
  </si>
  <si>
    <t>10:51:52</t>
  </si>
  <si>
    <t>11:44:38</t>
  </si>
  <si>
    <t>11:19:14</t>
  </si>
  <si>
    <t>28/09/2026 11:44:54</t>
  </si>
  <si>
    <t>11:44:54</t>
  </si>
  <si>
    <t>11:52:44</t>
  </si>
  <si>
    <t>Salió de zona</t>
  </si>
  <si>
    <t>28/09/2026 11:52:57</t>
  </si>
  <si>
    <t>11:52:57</t>
  </si>
  <si>
    <t>12:28:42</t>
  </si>
  <si>
    <t>1226-DEFENSOR1SJM MS</t>
  </si>
  <si>
    <t>12:28:39</t>
  </si>
  <si>
    <t>28/09/2026 12:28:56</t>
  </si>
  <si>
    <t>12:28:56</t>
  </si>
  <si>
    <t>12:28:45</t>
  </si>
  <si>
    <t>12:28:44</t>
  </si>
  <si>
    <t>28/09/2026 12:28:55</t>
  </si>
  <si>
    <t>12:28:55</t>
  </si>
  <si>
    <t>12:34:42</t>
  </si>
  <si>
    <t>1029-MARIATE17VMT MS</t>
  </si>
  <si>
    <t>12:34:39</t>
  </si>
  <si>
    <t>28/09/2026 12:34:53</t>
  </si>
  <si>
    <t>12:34:53</t>
  </si>
  <si>
    <t>12:35:42</t>
  </si>
  <si>
    <t>12:35:39</t>
  </si>
  <si>
    <t>28/09/2026 12:35:57</t>
  </si>
  <si>
    <t>12:35:57</t>
  </si>
  <si>
    <t>12:37:42</t>
  </si>
  <si>
    <t>312-PRIMAVERA</t>
  </si>
  <si>
    <t>12:37:39</t>
  </si>
  <si>
    <t>28/09/2026 12:37:53</t>
  </si>
  <si>
    <t>12:37:53</t>
  </si>
  <si>
    <t>12:38:35</t>
  </si>
  <si>
    <t>12:38:02</t>
  </si>
  <si>
    <t>28/09/2026 12:38:45</t>
  </si>
  <si>
    <t>12:38:45</t>
  </si>
  <si>
    <t>12:40:10</t>
  </si>
  <si>
    <t>12:38:38</t>
  </si>
  <si>
    <t>28/09/2026 12:40:20</t>
  </si>
  <si>
    <t>12:40:20</t>
  </si>
  <si>
    <t>12:40:22</t>
  </si>
  <si>
    <t>12:40:17</t>
  </si>
  <si>
    <t>28/09/2026 12:40:43</t>
  </si>
  <si>
    <t>12:40:43</t>
  </si>
  <si>
    <t>13:20:23</t>
  </si>
  <si>
    <t>13:07:50</t>
  </si>
  <si>
    <t>28/09/2026 13:20:42</t>
  </si>
  <si>
    <t>13:20:42</t>
  </si>
  <si>
    <t>13:20:38</t>
  </si>
  <si>
    <t>13:20:37</t>
  </si>
  <si>
    <t>28/09/2026 13:20:47</t>
  </si>
  <si>
    <t>13:20:47</t>
  </si>
  <si>
    <t>13:27:28</t>
  </si>
  <si>
    <t>857-JCM B32 VMT</t>
  </si>
  <si>
    <t>13:27:25</t>
  </si>
  <si>
    <t>28/09/2026 13:27:46</t>
  </si>
  <si>
    <t>13:27:46</t>
  </si>
  <si>
    <t>13:28:17</t>
  </si>
  <si>
    <t>13:28:16</t>
  </si>
  <si>
    <t>28/09/2026 13:28:28</t>
  </si>
  <si>
    <t>13:28:28</t>
  </si>
  <si>
    <t>13:29:28</t>
  </si>
  <si>
    <t>13:29:25</t>
  </si>
  <si>
    <t>28/09/2026 13:29:44</t>
  </si>
  <si>
    <t>13:29:44</t>
  </si>
  <si>
    <t>13:30:28</t>
  </si>
  <si>
    <t>13:30:25</t>
  </si>
  <si>
    <t>28/09/2026 13:30:35</t>
  </si>
  <si>
    <t>13:30:35</t>
  </si>
  <si>
    <t>13:33:28</t>
  </si>
  <si>
    <t>Exceso de velocidad en segmento vial</t>
  </si>
  <si>
    <t>13:33:25</t>
  </si>
  <si>
    <t>28/09/2026 13:33:46</t>
  </si>
  <si>
    <t>13:33:46</t>
  </si>
  <si>
    <t>13:48:40</t>
  </si>
  <si>
    <t>Excedió el límite de velocidad</t>
  </si>
  <si>
    <t>13:48:39</t>
  </si>
  <si>
    <t>28/09/2026 13:48:57</t>
  </si>
  <si>
    <t>13:48:57</t>
  </si>
  <si>
    <t>13:52:46</t>
  </si>
  <si>
    <t>13:52:45</t>
  </si>
  <si>
    <t>28/09/2026 13:53:05</t>
  </si>
  <si>
    <t>13:53:05</t>
  </si>
  <si>
    <t>13:55:25</t>
  </si>
  <si>
    <t>13:55:24</t>
  </si>
  <si>
    <t>28/09/2026 13:55:52</t>
  </si>
  <si>
    <t>13:55:52</t>
  </si>
  <si>
    <t>13:57:46</t>
  </si>
  <si>
    <t>13:57:45</t>
  </si>
  <si>
    <t>28/09/2026 13:58:07</t>
  </si>
  <si>
    <t>13:58:07</t>
  </si>
  <si>
    <t>14:02:10</t>
  </si>
  <si>
    <t>14:02:09</t>
  </si>
  <si>
    <t>28/09/2026 14:02:29</t>
  </si>
  <si>
    <t>14:02:29</t>
  </si>
  <si>
    <t>14:02:24</t>
  </si>
  <si>
    <t>28/09/2026 14:02:47</t>
  </si>
  <si>
    <t>14:02:47</t>
  </si>
  <si>
    <t>14:06:55</t>
  </si>
  <si>
    <t>14:06:54</t>
  </si>
  <si>
    <t>28/09/2026 14:07:10</t>
  </si>
  <si>
    <t>14:07:10</t>
  </si>
  <si>
    <t>14:13:40</t>
  </si>
  <si>
    <t>14:13:44</t>
  </si>
  <si>
    <t>28/09/2026 14:14:05</t>
  </si>
  <si>
    <t>14:14:05</t>
  </si>
  <si>
    <t>14:21:48</t>
  </si>
  <si>
    <t>28/09/2026 14:21:58</t>
  </si>
  <si>
    <t>14:21:58</t>
  </si>
  <si>
    <t>14:24:49</t>
  </si>
  <si>
    <t>14:24:12</t>
  </si>
  <si>
    <t>28/09/2026 14:24:58</t>
  </si>
  <si>
    <t>14:24:58</t>
  </si>
  <si>
    <t>16:02:42</t>
  </si>
  <si>
    <t>15:52:29</t>
  </si>
  <si>
    <t>28/09/2026 16:03:02</t>
  </si>
  <si>
    <t>16:03:02</t>
  </si>
  <si>
    <t>16:04:04</t>
  </si>
  <si>
    <t>16:04:11</t>
  </si>
  <si>
    <t>28/09/2026 16:04:22</t>
  </si>
  <si>
    <t>16:04:22</t>
  </si>
  <si>
    <t>16:32:19</t>
  </si>
  <si>
    <t>16:32:24</t>
  </si>
  <si>
    <t>28/09/2026 16:32:43</t>
  </si>
  <si>
    <t>16:32:43</t>
  </si>
  <si>
    <t>16:35:59</t>
  </si>
  <si>
    <t>16:35:15</t>
  </si>
  <si>
    <t>28/09/2026 16:36:11</t>
  </si>
  <si>
    <t>16:36:11</t>
  </si>
  <si>
    <t>17:15:43</t>
  </si>
  <si>
    <t>17:03:28</t>
  </si>
  <si>
    <t>28/09/2026 17:15:56</t>
  </si>
  <si>
    <t>17:15:56</t>
  </si>
  <si>
    <t>17:23:14</t>
  </si>
  <si>
    <t>17:23:13</t>
  </si>
  <si>
    <t>28/09/2026 17:23:36</t>
  </si>
  <si>
    <t>17:23:36</t>
  </si>
  <si>
    <t>17:54:46</t>
  </si>
  <si>
    <t>BASE-OSLOGISTICS</t>
  </si>
  <si>
    <t>17:54:43</t>
  </si>
  <si>
    <t>28/09/2026 17:54:55</t>
  </si>
  <si>
    <t>17:54:55</t>
  </si>
  <si>
    <t>17:57:05</t>
  </si>
  <si>
    <t>17:57:09</t>
  </si>
  <si>
    <t>28/09/2026 17:57:30</t>
  </si>
  <si>
    <t>17:57:30</t>
  </si>
  <si>
    <t>18:05:39</t>
  </si>
  <si>
    <t>28/09/2026 18:05:53</t>
  </si>
  <si>
    <t>18:05:53</t>
  </si>
  <si>
    <t>18:06:23</t>
  </si>
  <si>
    <t>18:06:26</t>
  </si>
  <si>
    <t>28/09/2026 18:06:49</t>
  </si>
  <si>
    <t>18:06:49</t>
  </si>
  <si>
    <t>Placa/Patente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</si>
</sst>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5"/>
  <sheetViews>
    <sheetView tabSelected="1" topLeftCell="A4" workbookViewId="0">
      <selection activeCell="C2" sqref="C2:C45"/>
    </sheetView>
  </sheetViews>
  <sheetFormatPr baseColWidth="10" defaultRowHeight="15.75" x14ac:dyDescent="0.25"/>
  <sheetData>
    <row r="1" spans="1:33" x14ac:dyDescent="0.25">
      <c r="A1" t="s">
        <v>0</v>
      </c>
      <c r="B1" t="s">
        <v>1</v>
      </c>
      <c r="C1" t="s">
        <v>220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5">
      <c r="A2">
        <v>1</v>
      </c>
      <c r="B2" t="s">
        <v>32</v>
      </c>
      <c r="C2" t="s">
        <v>32</v>
      </c>
      <c r="D2" t="s">
        <v>33</v>
      </c>
      <c r="E2" t="s">
        <v>34</v>
      </c>
      <c r="F2" t="s">
        <v>35</v>
      </c>
      <c r="G2">
        <v>-12.212975</v>
      </c>
      <c r="H2">
        <v>-76.959029999999998</v>
      </c>
      <c r="I2" t="str">
        <f>HYPERLINK("https://www.google.com/maps/search/?api=1&amp;query=-12.212975,-76.95903","Avenida Villa del Mar, Villa El Salvador, Lima")</f>
        <v>Avenida Villa del Mar, Villa El Salvador, Lima</v>
      </c>
      <c r="J2" t="s">
        <v>36</v>
      </c>
      <c r="K2" t="s">
        <v>33</v>
      </c>
      <c r="L2">
        <v>1550.5</v>
      </c>
      <c r="M2" t="s">
        <v>33</v>
      </c>
      <c r="N2">
        <v>0</v>
      </c>
      <c r="O2">
        <v>0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34</v>
      </c>
      <c r="X2" t="s">
        <v>37</v>
      </c>
      <c r="Y2" t="str">
        <f>IF("ONLINE"="NOGPS","GPS Antiguo","En línea")</f>
        <v>En línea</v>
      </c>
      <c r="Z2" t="str">
        <f t="shared" ref="Z2:Z45" si="0">IF(0=0,"Sin atender", IF(0=1,"Atendida","Atendida y Reportada"))</f>
        <v>Sin atender</v>
      </c>
      <c r="AA2" t="s">
        <v>33</v>
      </c>
      <c r="AB2" t="s">
        <v>33</v>
      </c>
      <c r="AC2" t="s">
        <v>33</v>
      </c>
      <c r="AD2" t="s">
        <v>33</v>
      </c>
      <c r="AE2" t="s">
        <v>38</v>
      </c>
      <c r="AF2" t="s">
        <v>39</v>
      </c>
      <c r="AG2" t="s">
        <v>33</v>
      </c>
    </row>
    <row r="3" spans="1:33" x14ac:dyDescent="0.25">
      <c r="A3">
        <v>2</v>
      </c>
      <c r="B3" t="s">
        <v>32</v>
      </c>
      <c r="C3" t="s">
        <v>32</v>
      </c>
      <c r="D3" t="s">
        <v>40</v>
      </c>
      <c r="E3" t="s">
        <v>34</v>
      </c>
      <c r="F3" t="s">
        <v>41</v>
      </c>
      <c r="G3">
        <v>-12.317625</v>
      </c>
      <c r="H3">
        <v>-76.829669999999993</v>
      </c>
      <c r="I3" t="str">
        <f>HYPERLINK("https://www.google.com/maps/search/?api=1&amp;query=-12.317625,-76.82967","Punta Hermosa, Lima")</f>
        <v>Punta Hermosa, Lima</v>
      </c>
      <c r="J3" t="s">
        <v>42</v>
      </c>
      <c r="K3" t="s">
        <v>33</v>
      </c>
      <c r="L3">
        <v>1579.2</v>
      </c>
      <c r="M3" t="s">
        <v>43</v>
      </c>
      <c r="N3">
        <v>8.1</v>
      </c>
      <c r="O3">
        <v>0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34</v>
      </c>
      <c r="X3" t="s">
        <v>41</v>
      </c>
      <c r="Y3" t="str">
        <f>IF("ONLINE"="NOGPS","GPS Antiguo","En línea")</f>
        <v>En línea</v>
      </c>
      <c r="Z3" t="str">
        <f t="shared" si="0"/>
        <v>Sin atender</v>
      </c>
      <c r="AA3" t="s">
        <v>33</v>
      </c>
      <c r="AB3" t="s">
        <v>33</v>
      </c>
      <c r="AC3" t="s">
        <v>33</v>
      </c>
      <c r="AD3" t="s">
        <v>33</v>
      </c>
      <c r="AE3" t="s">
        <v>44</v>
      </c>
      <c r="AF3" t="s">
        <v>45</v>
      </c>
      <c r="AG3" t="s">
        <v>33</v>
      </c>
    </row>
    <row r="4" spans="1:33" x14ac:dyDescent="0.25">
      <c r="A4">
        <v>3</v>
      </c>
      <c r="B4" t="s">
        <v>32</v>
      </c>
      <c r="C4" t="s">
        <v>32</v>
      </c>
      <c r="D4" t="s">
        <v>33</v>
      </c>
      <c r="E4" t="s">
        <v>34</v>
      </c>
      <c r="F4" t="s">
        <v>46</v>
      </c>
      <c r="G4">
        <v>-12.317333</v>
      </c>
      <c r="H4">
        <v>-76.822909999999993</v>
      </c>
      <c r="I4" t="str">
        <f>HYPERLINK("https://www.google.com/maps/search/?api=1&amp;query=-12.317333,-76.82291","Punta Hermosa, Lima")</f>
        <v>Punta Hermosa, Lima</v>
      </c>
      <c r="J4" t="s">
        <v>47</v>
      </c>
      <c r="K4" t="s">
        <v>48</v>
      </c>
      <c r="L4">
        <v>1580.5</v>
      </c>
      <c r="M4" t="s">
        <v>33</v>
      </c>
      <c r="N4">
        <v>6.8</v>
      </c>
      <c r="O4">
        <v>0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34</v>
      </c>
      <c r="X4" t="s">
        <v>49</v>
      </c>
      <c r="Y4" t="str">
        <f>IF("ONLINE"="NOGPS","GPS Antiguo","En línea")</f>
        <v>En línea</v>
      </c>
      <c r="Z4" t="str">
        <f t="shared" si="0"/>
        <v>Sin atender</v>
      </c>
      <c r="AA4" t="s">
        <v>33</v>
      </c>
      <c r="AB4" t="s">
        <v>33</v>
      </c>
      <c r="AC4" t="s">
        <v>33</v>
      </c>
      <c r="AD4" t="s">
        <v>33</v>
      </c>
      <c r="AE4" t="s">
        <v>50</v>
      </c>
      <c r="AF4" t="s">
        <v>51</v>
      </c>
      <c r="AG4" t="s">
        <v>33</v>
      </c>
    </row>
    <row r="5" spans="1:33" x14ac:dyDescent="0.25">
      <c r="A5">
        <v>4</v>
      </c>
      <c r="B5" t="s">
        <v>32</v>
      </c>
      <c r="C5" t="s">
        <v>32</v>
      </c>
      <c r="D5" t="s">
        <v>33</v>
      </c>
      <c r="E5" t="s">
        <v>34</v>
      </c>
      <c r="F5" t="s">
        <v>52</v>
      </c>
      <c r="G5">
        <v>-12.317326</v>
      </c>
      <c r="H5">
        <v>-76.822879999999998</v>
      </c>
      <c r="I5" t="str">
        <f>HYPERLINK("https://www.google.com/maps/search/?api=1&amp;query=-12.317326,-76.82288","Punta Hermosa, Lima")</f>
        <v>Punta Hermosa, Lima</v>
      </c>
      <c r="J5" t="s">
        <v>36</v>
      </c>
      <c r="K5" t="s">
        <v>33</v>
      </c>
      <c r="L5">
        <v>1580.5</v>
      </c>
      <c r="M5" t="s">
        <v>33</v>
      </c>
      <c r="N5">
        <v>0</v>
      </c>
      <c r="O5">
        <v>0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34</v>
      </c>
      <c r="X5" t="s">
        <v>53</v>
      </c>
      <c r="Y5" t="str">
        <f>IF("NOGPS"="NOGPS","GPS Antiguo","En línea")</f>
        <v>GPS Antiguo</v>
      </c>
      <c r="Z5" t="str">
        <f t="shared" si="0"/>
        <v>Sin atender</v>
      </c>
      <c r="AA5" t="s">
        <v>33</v>
      </c>
      <c r="AB5" t="s">
        <v>33</v>
      </c>
      <c r="AC5" t="s">
        <v>33</v>
      </c>
      <c r="AD5" t="s">
        <v>33</v>
      </c>
      <c r="AE5" t="s">
        <v>54</v>
      </c>
      <c r="AF5" t="s">
        <v>55</v>
      </c>
      <c r="AG5" t="s">
        <v>33</v>
      </c>
    </row>
    <row r="6" spans="1:33" x14ac:dyDescent="0.25">
      <c r="A6">
        <v>5</v>
      </c>
      <c r="B6" t="s">
        <v>32</v>
      </c>
      <c r="C6" t="s">
        <v>32</v>
      </c>
      <c r="D6" t="s">
        <v>33</v>
      </c>
      <c r="E6" t="s">
        <v>34</v>
      </c>
      <c r="F6" t="s">
        <v>56</v>
      </c>
      <c r="G6">
        <v>-12.317944000000001</v>
      </c>
      <c r="H6">
        <v>-76.824240000000003</v>
      </c>
      <c r="I6" t="str">
        <f>HYPERLINK("https://www.google.com/maps/search/?api=1&amp;query=-12.317944,-76.82424","Punta Hermosa, Lima")</f>
        <v>Punta Hermosa, Lima</v>
      </c>
      <c r="J6" t="s">
        <v>47</v>
      </c>
      <c r="K6" t="s">
        <v>48</v>
      </c>
      <c r="L6">
        <v>1580.9</v>
      </c>
      <c r="M6" t="s">
        <v>33</v>
      </c>
      <c r="N6">
        <v>0</v>
      </c>
      <c r="O6">
        <v>0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34</v>
      </c>
      <c r="X6" t="s">
        <v>57</v>
      </c>
      <c r="Y6" t="str">
        <f>IF("ONLINE"="NOGPS","GPS Antiguo","En línea")</f>
        <v>En línea</v>
      </c>
      <c r="Z6" t="str">
        <f t="shared" si="0"/>
        <v>Sin atender</v>
      </c>
      <c r="AA6" t="s">
        <v>33</v>
      </c>
      <c r="AB6" t="s">
        <v>33</v>
      </c>
      <c r="AC6" t="s">
        <v>33</v>
      </c>
      <c r="AD6" t="s">
        <v>33</v>
      </c>
      <c r="AE6" t="s">
        <v>58</v>
      </c>
      <c r="AF6" t="s">
        <v>59</v>
      </c>
      <c r="AG6" t="s">
        <v>33</v>
      </c>
    </row>
    <row r="7" spans="1:33" x14ac:dyDescent="0.25">
      <c r="A7">
        <v>6</v>
      </c>
      <c r="B7" t="s">
        <v>32</v>
      </c>
      <c r="C7" t="s">
        <v>32</v>
      </c>
      <c r="D7" t="s">
        <v>33</v>
      </c>
      <c r="E7" t="s">
        <v>34</v>
      </c>
      <c r="F7" t="s">
        <v>60</v>
      </c>
      <c r="G7">
        <v>-12.317944000000001</v>
      </c>
      <c r="H7">
        <v>-76.824240000000003</v>
      </c>
      <c r="I7" t="str">
        <f>HYPERLINK("https://www.google.com/maps/search/?api=1&amp;query=-12.317944,-76.82424","Punta Hermosa, Lima")</f>
        <v>Punta Hermosa, Lima</v>
      </c>
      <c r="J7" t="s">
        <v>36</v>
      </c>
      <c r="K7" t="s">
        <v>33</v>
      </c>
      <c r="L7">
        <v>1580.9</v>
      </c>
      <c r="M7" t="s">
        <v>33</v>
      </c>
      <c r="N7">
        <v>0</v>
      </c>
      <c r="O7">
        <v>0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34</v>
      </c>
      <c r="X7" t="s">
        <v>61</v>
      </c>
      <c r="Y7" t="str">
        <f>IF("NOGPS"="NOGPS","GPS Antiguo","En línea")</f>
        <v>GPS Antiguo</v>
      </c>
      <c r="Z7" t="str">
        <f t="shared" si="0"/>
        <v>Sin atender</v>
      </c>
      <c r="AA7" t="s">
        <v>33</v>
      </c>
      <c r="AB7" t="s">
        <v>33</v>
      </c>
      <c r="AC7" t="s">
        <v>33</v>
      </c>
      <c r="AD7" t="s">
        <v>33</v>
      </c>
      <c r="AE7" t="s">
        <v>62</v>
      </c>
      <c r="AF7" t="s">
        <v>63</v>
      </c>
      <c r="AG7" t="s">
        <v>33</v>
      </c>
    </row>
    <row r="8" spans="1:33" x14ac:dyDescent="0.25">
      <c r="A8">
        <v>7</v>
      </c>
      <c r="B8" t="s">
        <v>32</v>
      </c>
      <c r="C8" t="s">
        <v>32</v>
      </c>
      <c r="D8" t="s">
        <v>33</v>
      </c>
      <c r="E8" t="s">
        <v>34</v>
      </c>
      <c r="F8" t="s">
        <v>64</v>
      </c>
      <c r="G8">
        <v>-12.317917</v>
      </c>
      <c r="H8">
        <v>-76.824134999999998</v>
      </c>
      <c r="I8" t="str">
        <f>HYPERLINK("https://www.google.com/maps/search/?api=1&amp;query=-12.317917,-76.824135","Punta Hermosa, Lima")</f>
        <v>Punta Hermosa, Lima</v>
      </c>
      <c r="J8" t="s">
        <v>47</v>
      </c>
      <c r="K8" t="s">
        <v>48</v>
      </c>
      <c r="L8">
        <v>1580.9</v>
      </c>
      <c r="M8" t="s">
        <v>33</v>
      </c>
      <c r="N8">
        <v>0</v>
      </c>
      <c r="O8">
        <v>0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34</v>
      </c>
      <c r="X8" t="s">
        <v>65</v>
      </c>
      <c r="Y8" t="str">
        <f>IF("ONLINE"="NOGPS","GPS Antiguo","En línea")</f>
        <v>En línea</v>
      </c>
      <c r="Z8" t="str">
        <f t="shared" si="0"/>
        <v>Sin atender</v>
      </c>
      <c r="AA8" t="s">
        <v>33</v>
      </c>
      <c r="AB8" t="s">
        <v>33</v>
      </c>
      <c r="AC8" t="s">
        <v>33</v>
      </c>
      <c r="AD8" t="s">
        <v>33</v>
      </c>
      <c r="AE8" t="s">
        <v>66</v>
      </c>
      <c r="AF8" t="s">
        <v>67</v>
      </c>
      <c r="AG8" t="s">
        <v>33</v>
      </c>
    </row>
    <row r="9" spans="1:33" x14ac:dyDescent="0.25">
      <c r="A9">
        <v>8</v>
      </c>
      <c r="B9" t="s">
        <v>32</v>
      </c>
      <c r="C9" t="s">
        <v>32</v>
      </c>
      <c r="D9" t="s">
        <v>33</v>
      </c>
      <c r="E9" t="s">
        <v>34</v>
      </c>
      <c r="F9" t="s">
        <v>68</v>
      </c>
      <c r="G9">
        <v>-12.317917</v>
      </c>
      <c r="H9">
        <v>-76.824134999999998</v>
      </c>
      <c r="I9" t="str">
        <f>HYPERLINK("https://www.google.com/maps/search/?api=1&amp;query=-12.317917,-76.824135","Punta Hermosa, Lima")</f>
        <v>Punta Hermosa, Lima</v>
      </c>
      <c r="J9" t="s">
        <v>36</v>
      </c>
      <c r="K9" t="s">
        <v>33</v>
      </c>
      <c r="L9">
        <v>1580.9</v>
      </c>
      <c r="M9" t="s">
        <v>33</v>
      </c>
      <c r="N9">
        <v>0</v>
      </c>
      <c r="O9">
        <v>0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34</v>
      </c>
      <c r="X9" t="s">
        <v>69</v>
      </c>
      <c r="Y9" t="str">
        <f>IF("NOGPS"="NOGPS","GPS Antiguo","En línea")</f>
        <v>GPS Antiguo</v>
      </c>
      <c r="Z9" t="str">
        <f t="shared" si="0"/>
        <v>Sin atender</v>
      </c>
      <c r="AA9" t="s">
        <v>33</v>
      </c>
      <c r="AB9" t="s">
        <v>33</v>
      </c>
      <c r="AC9" t="s">
        <v>33</v>
      </c>
      <c r="AD9" t="s">
        <v>33</v>
      </c>
      <c r="AE9" t="s">
        <v>70</v>
      </c>
      <c r="AF9" t="s">
        <v>71</v>
      </c>
      <c r="AG9" t="s">
        <v>33</v>
      </c>
    </row>
    <row r="10" spans="1:33" x14ac:dyDescent="0.25">
      <c r="A10">
        <v>9</v>
      </c>
      <c r="B10" t="s">
        <v>32</v>
      </c>
      <c r="C10" t="s">
        <v>32</v>
      </c>
      <c r="D10" t="s">
        <v>40</v>
      </c>
      <c r="E10" t="s">
        <v>34</v>
      </c>
      <c r="F10" t="s">
        <v>72</v>
      </c>
      <c r="G10">
        <v>-12.317463999999999</v>
      </c>
      <c r="H10">
        <v>-76.829864999999998</v>
      </c>
      <c r="I10" t="str">
        <f>HYPERLINK("https://www.google.com/maps/search/?api=1&amp;query=-12.317464,-76.829865","Punta Hermosa, Lima")</f>
        <v>Punta Hermosa, Lima</v>
      </c>
      <c r="J10" t="s">
        <v>73</v>
      </c>
      <c r="K10" t="s">
        <v>33</v>
      </c>
      <c r="L10">
        <v>1581.7</v>
      </c>
      <c r="M10" t="s">
        <v>43</v>
      </c>
      <c r="N10">
        <v>14.4</v>
      </c>
      <c r="O10">
        <v>0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34</v>
      </c>
      <c r="X10" t="s">
        <v>72</v>
      </c>
      <c r="Y10" t="str">
        <f t="shared" ref="Y10:Y18" si="1">IF("ONLINE"="NOGPS","GPS Antiguo","En línea")</f>
        <v>En línea</v>
      </c>
      <c r="Z10" t="str">
        <f t="shared" si="0"/>
        <v>Sin atender</v>
      </c>
      <c r="AA10" t="s">
        <v>33</v>
      </c>
      <c r="AB10" t="s">
        <v>33</v>
      </c>
      <c r="AC10" t="s">
        <v>33</v>
      </c>
      <c r="AD10" t="s">
        <v>33</v>
      </c>
      <c r="AE10" t="s">
        <v>74</v>
      </c>
      <c r="AF10" t="s">
        <v>75</v>
      </c>
      <c r="AG10" t="s">
        <v>33</v>
      </c>
    </row>
    <row r="11" spans="1:33" x14ac:dyDescent="0.25">
      <c r="A11">
        <v>10</v>
      </c>
      <c r="B11" t="s">
        <v>32</v>
      </c>
      <c r="C11" t="s">
        <v>32</v>
      </c>
      <c r="D11" t="s">
        <v>40</v>
      </c>
      <c r="E11" t="s">
        <v>34</v>
      </c>
      <c r="F11" t="s">
        <v>76</v>
      </c>
      <c r="G11">
        <v>-12.158548</v>
      </c>
      <c r="H11">
        <v>-76.957700000000003</v>
      </c>
      <c r="I11" t="str">
        <f>HYPERLINK("https://www.google.com/maps/search/?api=1&amp;query=-12.158548,-76.9577","Avenida Nicolás de Piérola, San Juan de Miraflores, Lima")</f>
        <v>Avenida Nicolás de Piérola, San Juan de Miraflores, Lima</v>
      </c>
      <c r="J11" t="s">
        <v>42</v>
      </c>
      <c r="K11" t="s">
        <v>33</v>
      </c>
      <c r="L11">
        <v>1612.3</v>
      </c>
      <c r="M11" t="s">
        <v>77</v>
      </c>
      <c r="N11">
        <v>5.2</v>
      </c>
      <c r="O11">
        <v>0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34</v>
      </c>
      <c r="X11" t="s">
        <v>78</v>
      </c>
      <c r="Y11" t="str">
        <f t="shared" si="1"/>
        <v>En línea</v>
      </c>
      <c r="Z11" t="str">
        <f t="shared" si="0"/>
        <v>Sin atender</v>
      </c>
      <c r="AA11" t="s">
        <v>33</v>
      </c>
      <c r="AB11" t="s">
        <v>33</v>
      </c>
      <c r="AC11" t="s">
        <v>33</v>
      </c>
      <c r="AD11" t="s">
        <v>33</v>
      </c>
      <c r="AE11" t="s">
        <v>79</v>
      </c>
      <c r="AF11" t="s">
        <v>80</v>
      </c>
      <c r="AG11" t="s">
        <v>33</v>
      </c>
    </row>
    <row r="12" spans="1:33" x14ac:dyDescent="0.25">
      <c r="A12">
        <v>11</v>
      </c>
      <c r="B12" t="s">
        <v>32</v>
      </c>
      <c r="C12" t="s">
        <v>32</v>
      </c>
      <c r="D12" t="s">
        <v>40</v>
      </c>
      <c r="E12" t="s">
        <v>34</v>
      </c>
      <c r="F12" t="s">
        <v>81</v>
      </c>
      <c r="G12">
        <v>-12.158556000000001</v>
      </c>
      <c r="H12">
        <v>-76.957629999999995</v>
      </c>
      <c r="I12" t="str">
        <f>HYPERLINK("https://www.google.com/maps/search/?api=1&amp;query=-12.158556,-76.95763","Avenida Nicolás de Piérola, San Juan de Miraflores, Lima")</f>
        <v>Avenida Nicolás de Piérola, San Juan de Miraflores, Lima</v>
      </c>
      <c r="J12" t="s">
        <v>73</v>
      </c>
      <c r="K12" t="s">
        <v>33</v>
      </c>
      <c r="L12">
        <v>1612.3</v>
      </c>
      <c r="M12" t="s">
        <v>77</v>
      </c>
      <c r="N12">
        <v>7.7</v>
      </c>
      <c r="O12">
        <v>0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34</v>
      </c>
      <c r="X12" t="s">
        <v>82</v>
      </c>
      <c r="Y12" t="str">
        <f t="shared" si="1"/>
        <v>En línea</v>
      </c>
      <c r="Z12" t="str">
        <f t="shared" si="0"/>
        <v>Sin atender</v>
      </c>
      <c r="AA12" t="s">
        <v>33</v>
      </c>
      <c r="AB12" t="s">
        <v>33</v>
      </c>
      <c r="AC12" t="s">
        <v>33</v>
      </c>
      <c r="AD12" t="s">
        <v>33</v>
      </c>
      <c r="AE12" t="s">
        <v>83</v>
      </c>
      <c r="AF12" t="s">
        <v>84</v>
      </c>
      <c r="AG12" t="s">
        <v>33</v>
      </c>
    </row>
    <row r="13" spans="1:33" x14ac:dyDescent="0.25">
      <c r="A13">
        <v>12</v>
      </c>
      <c r="B13" t="s">
        <v>32</v>
      </c>
      <c r="C13" t="s">
        <v>32</v>
      </c>
      <c r="D13" t="s">
        <v>40</v>
      </c>
      <c r="E13" t="s">
        <v>34</v>
      </c>
      <c r="F13" t="s">
        <v>85</v>
      </c>
      <c r="G13">
        <v>-12.148148000000001</v>
      </c>
      <c r="H13">
        <v>-76.950689999999994</v>
      </c>
      <c r="I13" t="str">
        <f>HYPERLINK("https://www.google.com/maps/search/?api=1&amp;query=-12.148148,-76.95069","Avenida José Carlos Mariátegui, Villa María del Triunfo, Lima")</f>
        <v>Avenida José Carlos Mariátegui, Villa María del Triunfo, Lima</v>
      </c>
      <c r="J13" t="s">
        <v>42</v>
      </c>
      <c r="K13" t="s">
        <v>33</v>
      </c>
      <c r="L13">
        <v>1613.7</v>
      </c>
      <c r="M13" t="s">
        <v>86</v>
      </c>
      <c r="N13">
        <v>19.7</v>
      </c>
      <c r="O13">
        <v>0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34</v>
      </c>
      <c r="X13" t="s">
        <v>87</v>
      </c>
      <c r="Y13" t="str">
        <f t="shared" si="1"/>
        <v>En línea</v>
      </c>
      <c r="Z13" t="str">
        <f t="shared" si="0"/>
        <v>Sin atender</v>
      </c>
      <c r="AA13" t="s">
        <v>33</v>
      </c>
      <c r="AB13" t="s">
        <v>33</v>
      </c>
      <c r="AC13" t="s">
        <v>33</v>
      </c>
      <c r="AD13" t="s">
        <v>33</v>
      </c>
      <c r="AE13" t="s">
        <v>88</v>
      </c>
      <c r="AF13" t="s">
        <v>89</v>
      </c>
      <c r="AG13" t="s">
        <v>33</v>
      </c>
    </row>
    <row r="14" spans="1:33" x14ac:dyDescent="0.25">
      <c r="A14">
        <v>13</v>
      </c>
      <c r="B14" t="s">
        <v>32</v>
      </c>
      <c r="C14" t="s">
        <v>32</v>
      </c>
      <c r="D14" t="s">
        <v>40</v>
      </c>
      <c r="E14" t="s">
        <v>34</v>
      </c>
      <c r="F14" t="s">
        <v>90</v>
      </c>
      <c r="G14">
        <v>-12.146132</v>
      </c>
      <c r="H14">
        <v>-76.950270000000003</v>
      </c>
      <c r="I14" t="str">
        <f>HYPERLINK("https://www.google.com/maps/search/?api=1&amp;query=-12.146132,-76.95027","Avenida José Carlos Mariátegui, Villa María del Triunfo, Lima")</f>
        <v>Avenida José Carlos Mariátegui, Villa María del Triunfo, Lima</v>
      </c>
      <c r="J14" t="s">
        <v>73</v>
      </c>
      <c r="K14" t="s">
        <v>33</v>
      </c>
      <c r="L14">
        <v>1614.3</v>
      </c>
      <c r="M14" t="s">
        <v>86</v>
      </c>
      <c r="N14">
        <v>7.6</v>
      </c>
      <c r="O14">
        <v>0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34</v>
      </c>
      <c r="X14" t="s">
        <v>91</v>
      </c>
      <c r="Y14" t="str">
        <f t="shared" si="1"/>
        <v>En línea</v>
      </c>
      <c r="Z14" t="str">
        <f t="shared" si="0"/>
        <v>Sin atender</v>
      </c>
      <c r="AA14" t="s">
        <v>33</v>
      </c>
      <c r="AB14" t="s">
        <v>33</v>
      </c>
      <c r="AC14" t="s">
        <v>33</v>
      </c>
      <c r="AD14" t="s">
        <v>33</v>
      </c>
      <c r="AE14" t="s">
        <v>92</v>
      </c>
      <c r="AF14" t="s">
        <v>93</v>
      </c>
      <c r="AG14" t="s">
        <v>33</v>
      </c>
    </row>
    <row r="15" spans="1:33" x14ac:dyDescent="0.25">
      <c r="A15">
        <v>14</v>
      </c>
      <c r="B15" t="s">
        <v>32</v>
      </c>
      <c r="C15" t="s">
        <v>32</v>
      </c>
      <c r="D15" t="s">
        <v>40</v>
      </c>
      <c r="E15" t="s">
        <v>34</v>
      </c>
      <c r="F15" t="s">
        <v>94</v>
      </c>
      <c r="G15">
        <v>-12.142049999999999</v>
      </c>
      <c r="H15">
        <v>-76.949325999999999</v>
      </c>
      <c r="I15" t="str">
        <f>HYPERLINK("https://www.google.com/maps/search/?api=1&amp;query=-12.14205,-76.949326","Avenida José Carlos Mariátegui, Villa María del Triunfo, Lima")</f>
        <v>Avenida José Carlos Mariátegui, Villa María del Triunfo, Lima</v>
      </c>
      <c r="J15" t="s">
        <v>42</v>
      </c>
      <c r="K15" t="s">
        <v>33</v>
      </c>
      <c r="L15">
        <v>1614.6</v>
      </c>
      <c r="M15" t="s">
        <v>95</v>
      </c>
      <c r="N15">
        <v>11.4</v>
      </c>
      <c r="O15">
        <v>0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34</v>
      </c>
      <c r="X15" t="s">
        <v>96</v>
      </c>
      <c r="Y15" t="str">
        <f t="shared" si="1"/>
        <v>En línea</v>
      </c>
      <c r="Z15" t="str">
        <f t="shared" si="0"/>
        <v>Sin atender</v>
      </c>
      <c r="AA15" t="s">
        <v>33</v>
      </c>
      <c r="AB15" t="s">
        <v>33</v>
      </c>
      <c r="AC15" t="s">
        <v>33</v>
      </c>
      <c r="AD15" t="s">
        <v>33</v>
      </c>
      <c r="AE15" t="s">
        <v>97</v>
      </c>
      <c r="AF15" t="s">
        <v>98</v>
      </c>
      <c r="AG15" t="s">
        <v>33</v>
      </c>
    </row>
    <row r="16" spans="1:33" x14ac:dyDescent="0.25">
      <c r="A16">
        <v>15</v>
      </c>
      <c r="B16" t="s">
        <v>32</v>
      </c>
      <c r="C16" t="s">
        <v>32</v>
      </c>
      <c r="D16" t="s">
        <v>33</v>
      </c>
      <c r="E16" t="s">
        <v>34</v>
      </c>
      <c r="F16" t="s">
        <v>99</v>
      </c>
      <c r="G16">
        <v>-12.141738999999999</v>
      </c>
      <c r="H16">
        <v>-76.949680000000001</v>
      </c>
      <c r="I16" t="str">
        <f>HYPERLINK("https://www.google.com/maps/search/?api=1&amp;query=-12.141739,-76.94968","Avenida Primavera, Villa María del Triunfo, Lima")</f>
        <v>Avenida Primavera, Villa María del Triunfo, Lima</v>
      </c>
      <c r="J16" t="s">
        <v>47</v>
      </c>
      <c r="K16" t="s">
        <v>48</v>
      </c>
      <c r="L16">
        <v>1614.8</v>
      </c>
      <c r="M16" t="s">
        <v>33</v>
      </c>
      <c r="N16">
        <v>11</v>
      </c>
      <c r="O16">
        <v>0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34</v>
      </c>
      <c r="X16" t="s">
        <v>100</v>
      </c>
      <c r="Y16" t="str">
        <f t="shared" si="1"/>
        <v>En línea</v>
      </c>
      <c r="Z16" t="str">
        <f t="shared" si="0"/>
        <v>Sin atender</v>
      </c>
      <c r="AA16" t="s">
        <v>33</v>
      </c>
      <c r="AB16" t="s">
        <v>33</v>
      </c>
      <c r="AC16" t="s">
        <v>33</v>
      </c>
      <c r="AD16" t="s">
        <v>33</v>
      </c>
      <c r="AE16" t="s">
        <v>101</v>
      </c>
      <c r="AF16" t="s">
        <v>102</v>
      </c>
      <c r="AG16" t="s">
        <v>33</v>
      </c>
    </row>
    <row r="17" spans="1:33" x14ac:dyDescent="0.25">
      <c r="A17">
        <v>16</v>
      </c>
      <c r="B17" t="s">
        <v>32</v>
      </c>
      <c r="C17" t="s">
        <v>32</v>
      </c>
      <c r="D17" t="s">
        <v>33</v>
      </c>
      <c r="E17" t="s">
        <v>34</v>
      </c>
      <c r="F17" t="s">
        <v>103</v>
      </c>
      <c r="G17">
        <v>-12.141913000000001</v>
      </c>
      <c r="H17">
        <v>-76.949740000000006</v>
      </c>
      <c r="I17" t="str">
        <f>HYPERLINK("https://www.google.com/maps/search/?api=1&amp;query=-12.141913,-76.94974","Avenida Primavera, Villa María del Triunfo, Lima")</f>
        <v>Avenida Primavera, Villa María del Triunfo, Lima</v>
      </c>
      <c r="J17" t="s">
        <v>36</v>
      </c>
      <c r="K17" t="s">
        <v>33</v>
      </c>
      <c r="L17">
        <v>1614.8</v>
      </c>
      <c r="M17" t="s">
        <v>33</v>
      </c>
      <c r="N17">
        <v>0</v>
      </c>
      <c r="O17">
        <v>0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34</v>
      </c>
      <c r="X17" t="s">
        <v>104</v>
      </c>
      <c r="Y17" t="str">
        <f t="shared" si="1"/>
        <v>En línea</v>
      </c>
      <c r="Z17" t="str">
        <f t="shared" si="0"/>
        <v>Sin atender</v>
      </c>
      <c r="AA17" t="s">
        <v>33</v>
      </c>
      <c r="AB17" t="s">
        <v>33</v>
      </c>
      <c r="AC17" t="s">
        <v>33</v>
      </c>
      <c r="AD17" t="s">
        <v>33</v>
      </c>
      <c r="AE17" t="s">
        <v>105</v>
      </c>
      <c r="AF17" t="s">
        <v>106</v>
      </c>
      <c r="AG17" t="s">
        <v>33</v>
      </c>
    </row>
    <row r="18" spans="1:33" x14ac:dyDescent="0.25">
      <c r="A18">
        <v>17</v>
      </c>
      <c r="B18" t="s">
        <v>32</v>
      </c>
      <c r="C18" t="s">
        <v>32</v>
      </c>
      <c r="D18" t="s">
        <v>33</v>
      </c>
      <c r="E18" t="s">
        <v>34</v>
      </c>
      <c r="F18" t="s">
        <v>107</v>
      </c>
      <c r="G18">
        <v>-12.141939000000001</v>
      </c>
      <c r="H18">
        <v>-76.949749999999995</v>
      </c>
      <c r="I18" t="str">
        <f>HYPERLINK("https://www.google.com/maps/search/?api=1&amp;query=-12.141939,-76.94975","Avenida Primavera, Villa María del Triunfo, Lima")</f>
        <v>Avenida Primavera, Villa María del Triunfo, Lima</v>
      </c>
      <c r="J18" t="s">
        <v>47</v>
      </c>
      <c r="K18" t="s">
        <v>48</v>
      </c>
      <c r="L18">
        <v>1614.8</v>
      </c>
      <c r="M18" t="s">
        <v>33</v>
      </c>
      <c r="N18">
        <v>0.8</v>
      </c>
      <c r="O18">
        <v>0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34</v>
      </c>
      <c r="X18" t="s">
        <v>108</v>
      </c>
      <c r="Y18" t="str">
        <f t="shared" si="1"/>
        <v>En línea</v>
      </c>
      <c r="Z18" t="str">
        <f t="shared" si="0"/>
        <v>Sin atender</v>
      </c>
      <c r="AA18" t="s">
        <v>33</v>
      </c>
      <c r="AB18" t="s">
        <v>33</v>
      </c>
      <c r="AC18" t="s">
        <v>33</v>
      </c>
      <c r="AD18" t="s">
        <v>33</v>
      </c>
      <c r="AE18" t="s">
        <v>109</v>
      </c>
      <c r="AF18" t="s">
        <v>110</v>
      </c>
      <c r="AG18" t="s">
        <v>33</v>
      </c>
    </row>
    <row r="19" spans="1:33" x14ac:dyDescent="0.25">
      <c r="A19">
        <v>18</v>
      </c>
      <c r="B19" t="s">
        <v>32</v>
      </c>
      <c r="C19" t="s">
        <v>32</v>
      </c>
      <c r="D19" t="s">
        <v>33</v>
      </c>
      <c r="E19" t="s">
        <v>34</v>
      </c>
      <c r="F19" t="s">
        <v>111</v>
      </c>
      <c r="G19">
        <v>-12.141953000000001</v>
      </c>
      <c r="H19">
        <v>-76.949780000000004</v>
      </c>
      <c r="I19" t="str">
        <f>HYPERLINK("https://www.google.com/maps/search/?api=1&amp;query=-12.141953,-76.94978","Avenida Primavera, Villa María del Triunfo, Lima")</f>
        <v>Avenida Primavera, Villa María del Triunfo, Lima</v>
      </c>
      <c r="J19" t="s">
        <v>36</v>
      </c>
      <c r="K19" t="s">
        <v>33</v>
      </c>
      <c r="L19">
        <v>1614.8</v>
      </c>
      <c r="M19" t="s">
        <v>33</v>
      </c>
      <c r="N19">
        <v>0</v>
      </c>
      <c r="O19">
        <v>0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34</v>
      </c>
      <c r="X19" t="s">
        <v>112</v>
      </c>
      <c r="Y19" t="str">
        <f>IF("NOGPS"="NOGPS","GPS Antiguo","En línea")</f>
        <v>GPS Antiguo</v>
      </c>
      <c r="Z19" t="str">
        <f t="shared" si="0"/>
        <v>Sin atender</v>
      </c>
      <c r="AA19" t="s">
        <v>33</v>
      </c>
      <c r="AB19" t="s">
        <v>33</v>
      </c>
      <c r="AC19" t="s">
        <v>33</v>
      </c>
      <c r="AD19" t="s">
        <v>33</v>
      </c>
      <c r="AE19" t="s">
        <v>113</v>
      </c>
      <c r="AF19" t="s">
        <v>114</v>
      </c>
      <c r="AG19" t="s">
        <v>33</v>
      </c>
    </row>
    <row r="20" spans="1:33" x14ac:dyDescent="0.25">
      <c r="A20">
        <v>19</v>
      </c>
      <c r="B20" t="s">
        <v>32</v>
      </c>
      <c r="C20" t="s">
        <v>32</v>
      </c>
      <c r="D20" t="s">
        <v>40</v>
      </c>
      <c r="E20" t="s">
        <v>34</v>
      </c>
      <c r="F20" t="s">
        <v>115</v>
      </c>
      <c r="G20">
        <v>-12.14198</v>
      </c>
      <c r="H20">
        <v>-76.95</v>
      </c>
      <c r="I20" t="str">
        <f>HYPERLINK("https://www.google.com/maps/search/?api=1&amp;query=-12.14198,-76.95","Avenida Ramon Castilla, Villa María del Triunfo, Lima")</f>
        <v>Avenida Ramon Castilla, Villa María del Triunfo, Lima</v>
      </c>
      <c r="J20" t="s">
        <v>73</v>
      </c>
      <c r="K20" t="s">
        <v>33</v>
      </c>
      <c r="L20">
        <v>1614.8</v>
      </c>
      <c r="M20" t="s">
        <v>95</v>
      </c>
      <c r="N20">
        <v>0</v>
      </c>
      <c r="O20">
        <v>0</v>
      </c>
      <c r="P20" t="s">
        <v>33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34</v>
      </c>
      <c r="X20" t="s">
        <v>116</v>
      </c>
      <c r="Y20" t="str">
        <f t="shared" ref="Y20:Y33" si="2">IF("ONLINE"="NOGPS","GPS Antiguo","En línea")</f>
        <v>En línea</v>
      </c>
      <c r="Z20" t="str">
        <f t="shared" si="0"/>
        <v>Sin atender</v>
      </c>
      <c r="AA20" t="s">
        <v>33</v>
      </c>
      <c r="AB20" t="s">
        <v>33</v>
      </c>
      <c r="AC20" t="s">
        <v>33</v>
      </c>
      <c r="AD20" t="s">
        <v>33</v>
      </c>
      <c r="AE20" t="s">
        <v>117</v>
      </c>
      <c r="AF20" t="s">
        <v>118</v>
      </c>
      <c r="AG20" t="s">
        <v>33</v>
      </c>
    </row>
    <row r="21" spans="1:33" x14ac:dyDescent="0.25">
      <c r="A21">
        <v>20</v>
      </c>
      <c r="B21" t="s">
        <v>32</v>
      </c>
      <c r="C21" t="s">
        <v>32</v>
      </c>
      <c r="D21" t="s">
        <v>40</v>
      </c>
      <c r="E21" t="s">
        <v>34</v>
      </c>
      <c r="F21" t="s">
        <v>119</v>
      </c>
      <c r="G21">
        <v>-12.156079</v>
      </c>
      <c r="H21">
        <v>-76.955929999999995</v>
      </c>
      <c r="I21" t="str">
        <f>HYPERLINK("https://www.google.com/maps/search/?api=1&amp;query=-12.156079,-76.95593","Avenida Pando Egusquiza, Villa María del Triunfo, Lima")</f>
        <v>Avenida Pando Egusquiza, Villa María del Triunfo, Lima</v>
      </c>
      <c r="J21" t="s">
        <v>42</v>
      </c>
      <c r="K21" t="s">
        <v>33</v>
      </c>
      <c r="L21">
        <v>1616.8</v>
      </c>
      <c r="M21" t="s">
        <v>120</v>
      </c>
      <c r="N21">
        <v>30.3</v>
      </c>
      <c r="O21">
        <v>0</v>
      </c>
      <c r="P21" t="s">
        <v>33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34</v>
      </c>
      <c r="X21" t="s">
        <v>121</v>
      </c>
      <c r="Y21" t="str">
        <f t="shared" si="2"/>
        <v>En línea</v>
      </c>
      <c r="Z21" t="str">
        <f t="shared" si="0"/>
        <v>Sin atender</v>
      </c>
      <c r="AA21" t="s">
        <v>33</v>
      </c>
      <c r="AB21" t="s">
        <v>33</v>
      </c>
      <c r="AC21" t="s">
        <v>33</v>
      </c>
      <c r="AD21" t="s">
        <v>33</v>
      </c>
      <c r="AE21" t="s">
        <v>122</v>
      </c>
      <c r="AF21" t="s">
        <v>123</v>
      </c>
      <c r="AG21" t="s">
        <v>33</v>
      </c>
    </row>
    <row r="22" spans="1:33" x14ac:dyDescent="0.25">
      <c r="A22">
        <v>21</v>
      </c>
      <c r="B22" t="s">
        <v>32</v>
      </c>
      <c r="C22" t="s">
        <v>32</v>
      </c>
      <c r="D22" t="s">
        <v>40</v>
      </c>
      <c r="E22" t="s">
        <v>34</v>
      </c>
      <c r="F22" t="s">
        <v>124</v>
      </c>
      <c r="G22">
        <v>-12.158049999999999</v>
      </c>
      <c r="H22">
        <v>-76.957750000000004</v>
      </c>
      <c r="I22" t="str">
        <f>HYPERLINK("https://www.google.com/maps/search/?api=1&amp;query=-12.15805,-76.95775","Avenida Nicolás de Piérola, Villa María del Triunfo, Lima")</f>
        <v>Avenida Nicolás de Piérola, Villa María del Triunfo, Lima</v>
      </c>
      <c r="J22" t="s">
        <v>73</v>
      </c>
      <c r="K22" t="s">
        <v>33</v>
      </c>
      <c r="L22">
        <v>1616.8</v>
      </c>
      <c r="M22" t="s">
        <v>120</v>
      </c>
      <c r="N22">
        <v>12.5</v>
      </c>
      <c r="O22">
        <v>0</v>
      </c>
      <c r="P22" t="s">
        <v>33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34</v>
      </c>
      <c r="X22" t="s">
        <v>125</v>
      </c>
      <c r="Y22" t="str">
        <f t="shared" si="2"/>
        <v>En línea</v>
      </c>
      <c r="Z22" t="str">
        <f t="shared" si="0"/>
        <v>Sin atender</v>
      </c>
      <c r="AA22" t="s">
        <v>33</v>
      </c>
      <c r="AB22" t="s">
        <v>33</v>
      </c>
      <c r="AC22" t="s">
        <v>33</v>
      </c>
      <c r="AD22" t="s">
        <v>33</v>
      </c>
      <c r="AE22" t="s">
        <v>126</v>
      </c>
      <c r="AF22" t="s">
        <v>127</v>
      </c>
      <c r="AG22" t="s">
        <v>33</v>
      </c>
    </row>
    <row r="23" spans="1:33" x14ac:dyDescent="0.25">
      <c r="A23">
        <v>22</v>
      </c>
      <c r="B23" t="s">
        <v>32</v>
      </c>
      <c r="C23" t="s">
        <v>32</v>
      </c>
      <c r="D23" t="s">
        <v>40</v>
      </c>
      <c r="E23" t="s">
        <v>34</v>
      </c>
      <c r="F23" t="s">
        <v>128</v>
      </c>
      <c r="G23">
        <v>-12.158461000000001</v>
      </c>
      <c r="H23">
        <v>-76.958269999999999</v>
      </c>
      <c r="I23" t="str">
        <f>HYPERLINK("https://www.google.com/maps/search/?api=1&amp;query=-12.158461,-76.95827","Jirón Túpac Amaru, San Juan de Miraflores, Lima")</f>
        <v>Jirón Túpac Amaru, San Juan de Miraflores, Lima</v>
      </c>
      <c r="J23" t="s">
        <v>42</v>
      </c>
      <c r="K23" t="s">
        <v>33</v>
      </c>
      <c r="L23">
        <v>1617.2</v>
      </c>
      <c r="M23" t="s">
        <v>77</v>
      </c>
      <c r="N23">
        <v>14.8</v>
      </c>
      <c r="O23">
        <v>0</v>
      </c>
      <c r="P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34</v>
      </c>
      <c r="X23" t="s">
        <v>129</v>
      </c>
      <c r="Y23" t="str">
        <f t="shared" si="2"/>
        <v>En línea</v>
      </c>
      <c r="Z23" t="str">
        <f t="shared" si="0"/>
        <v>Sin atender</v>
      </c>
      <c r="AA23" t="s">
        <v>33</v>
      </c>
      <c r="AB23" t="s">
        <v>33</v>
      </c>
      <c r="AC23" t="s">
        <v>33</v>
      </c>
      <c r="AD23" t="s">
        <v>33</v>
      </c>
      <c r="AE23" t="s">
        <v>130</v>
      </c>
      <c r="AF23" t="s">
        <v>131</v>
      </c>
      <c r="AG23" t="s">
        <v>33</v>
      </c>
    </row>
    <row r="24" spans="1:33" x14ac:dyDescent="0.25">
      <c r="A24">
        <v>23</v>
      </c>
      <c r="B24" t="s">
        <v>32</v>
      </c>
      <c r="C24" t="s">
        <v>32</v>
      </c>
      <c r="D24" t="s">
        <v>40</v>
      </c>
      <c r="E24" t="s">
        <v>34</v>
      </c>
      <c r="F24" t="s">
        <v>132</v>
      </c>
      <c r="G24">
        <v>-12.158719</v>
      </c>
      <c r="H24">
        <v>-76.958519999999993</v>
      </c>
      <c r="I24" t="str">
        <f>HYPERLINK("https://www.google.com/maps/search/?api=1&amp;query=-12.158719,-76.95852","Jirón Túpac Amaru, San Juan de Miraflores, Lima")</f>
        <v>Jirón Túpac Amaru, San Juan de Miraflores, Lima</v>
      </c>
      <c r="J24" t="s">
        <v>73</v>
      </c>
      <c r="K24" t="s">
        <v>33</v>
      </c>
      <c r="L24">
        <v>1617.2</v>
      </c>
      <c r="M24" t="s">
        <v>77</v>
      </c>
      <c r="N24">
        <v>0</v>
      </c>
      <c r="O24">
        <v>0</v>
      </c>
      <c r="P24" t="s">
        <v>33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34</v>
      </c>
      <c r="X24" t="s">
        <v>133</v>
      </c>
      <c r="Y24" t="str">
        <f t="shared" si="2"/>
        <v>En línea</v>
      </c>
      <c r="Z24" t="str">
        <f t="shared" si="0"/>
        <v>Sin atender</v>
      </c>
      <c r="AA24" t="s">
        <v>33</v>
      </c>
      <c r="AB24" t="s">
        <v>33</v>
      </c>
      <c r="AC24" t="s">
        <v>33</v>
      </c>
      <c r="AD24" t="s">
        <v>33</v>
      </c>
      <c r="AE24" t="s">
        <v>134</v>
      </c>
      <c r="AF24" t="s">
        <v>135</v>
      </c>
      <c r="AG24" t="s">
        <v>33</v>
      </c>
    </row>
    <row r="25" spans="1:33" x14ac:dyDescent="0.25">
      <c r="A25">
        <v>24</v>
      </c>
      <c r="B25" t="s">
        <v>32</v>
      </c>
      <c r="C25" t="s">
        <v>32</v>
      </c>
      <c r="D25" t="s">
        <v>33</v>
      </c>
      <c r="E25" t="s">
        <v>34</v>
      </c>
      <c r="F25" t="s">
        <v>136</v>
      </c>
      <c r="G25">
        <v>-12.155125999999999</v>
      </c>
      <c r="H25">
        <v>-76.968834000000001</v>
      </c>
      <c r="I25" t="str">
        <f>HYPERLINK("https://www.google.com/maps/search/?api=1&amp;query=-12.155126,-76.968834","Avenida Los Héroes, San Juan de Miraflores, Lima")</f>
        <v>Avenida Los Héroes, San Juan de Miraflores, Lima</v>
      </c>
      <c r="J25" t="s">
        <v>137</v>
      </c>
      <c r="K25" t="s">
        <v>33</v>
      </c>
      <c r="L25">
        <v>1618.4</v>
      </c>
      <c r="M25" t="s">
        <v>33</v>
      </c>
      <c r="N25">
        <v>61.9</v>
      </c>
      <c r="O25">
        <v>0</v>
      </c>
      <c r="P25" t="s">
        <v>33</v>
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34</v>
      </c>
      <c r="X25" t="s">
        <v>138</v>
      </c>
      <c r="Y25" t="str">
        <f t="shared" si="2"/>
        <v>En línea</v>
      </c>
      <c r="Z25" t="str">
        <f t="shared" si="0"/>
        <v>Sin atender</v>
      </c>
      <c r="AA25" t="s">
        <v>33</v>
      </c>
      <c r="AB25" t="s">
        <v>33</v>
      </c>
      <c r="AC25" t="s">
        <v>33</v>
      </c>
      <c r="AD25" t="s">
        <v>33</v>
      </c>
      <c r="AE25" t="s">
        <v>139</v>
      </c>
      <c r="AF25" t="s">
        <v>140</v>
      </c>
      <c r="AG25" t="s">
        <v>33</v>
      </c>
    </row>
    <row r="26" spans="1:33" x14ac:dyDescent="0.25">
      <c r="A26">
        <v>25</v>
      </c>
      <c r="B26" t="s">
        <v>32</v>
      </c>
      <c r="C26" t="s">
        <v>32</v>
      </c>
      <c r="D26" t="s">
        <v>33</v>
      </c>
      <c r="E26" t="s">
        <v>34</v>
      </c>
      <c r="F26" t="s">
        <v>141</v>
      </c>
      <c r="G26">
        <v>-12.237817</v>
      </c>
      <c r="H26">
        <v>-76.952929999999995</v>
      </c>
      <c r="I26" t="str">
        <f>HYPERLINK("https://www.google.com/maps/search/?api=1&amp;query=-12.237817,-76.95293","Carretera Panamericana Sur, Villa El Salvador, Lima")</f>
        <v>Carretera Panamericana Sur, Villa El Salvador, Lima</v>
      </c>
      <c r="J26" t="s">
        <v>142</v>
      </c>
      <c r="K26" t="s">
        <v>33</v>
      </c>
      <c r="L26">
        <v>1631.5</v>
      </c>
      <c r="M26" t="s">
        <v>33</v>
      </c>
      <c r="N26">
        <v>80.599999999999994</v>
      </c>
      <c r="O26">
        <v>0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34</v>
      </c>
      <c r="X26" t="s">
        <v>143</v>
      </c>
      <c r="Y26" t="str">
        <f t="shared" si="2"/>
        <v>En línea</v>
      </c>
      <c r="Z26" t="str">
        <f t="shared" si="0"/>
        <v>Sin atender</v>
      </c>
      <c r="AA26" t="s">
        <v>33</v>
      </c>
      <c r="AB26" t="s">
        <v>33</v>
      </c>
      <c r="AC26" t="s">
        <v>33</v>
      </c>
      <c r="AD26" t="s">
        <v>33</v>
      </c>
      <c r="AE26" t="s">
        <v>144</v>
      </c>
      <c r="AF26" t="s">
        <v>145</v>
      </c>
      <c r="AG26" t="s">
        <v>33</v>
      </c>
    </row>
    <row r="27" spans="1:33" x14ac:dyDescent="0.25">
      <c r="A27">
        <v>26</v>
      </c>
      <c r="B27" t="s">
        <v>32</v>
      </c>
      <c r="C27" t="s">
        <v>32</v>
      </c>
      <c r="D27" t="s">
        <v>33</v>
      </c>
      <c r="E27" t="s">
        <v>34</v>
      </c>
      <c r="F27" t="s">
        <v>146</v>
      </c>
      <c r="G27">
        <v>-12.262112</v>
      </c>
      <c r="H27">
        <v>-76.91225</v>
      </c>
      <c r="I27" t="str">
        <f>HYPERLINK("https://www.google.com/maps/search/?api=1&amp;query=-12.262112,-76.91225","Carretera Panamericana Sur, Lurín, Lima")</f>
        <v>Carretera Panamericana Sur, Lurín, Lima</v>
      </c>
      <c r="J27" t="s">
        <v>142</v>
      </c>
      <c r="K27" t="s">
        <v>33</v>
      </c>
      <c r="L27">
        <v>1636.5</v>
      </c>
      <c r="M27" t="s">
        <v>33</v>
      </c>
      <c r="N27">
        <v>81.2</v>
      </c>
      <c r="O27">
        <v>0</v>
      </c>
      <c r="P27" t="s">
        <v>33</v>
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34</v>
      </c>
      <c r="X27" t="s">
        <v>147</v>
      </c>
      <c r="Y27" t="str">
        <f t="shared" si="2"/>
        <v>En línea</v>
      </c>
      <c r="Z27" t="str">
        <f t="shared" si="0"/>
        <v>Sin atender</v>
      </c>
      <c r="AA27" t="s">
        <v>33</v>
      </c>
      <c r="AB27" t="s">
        <v>33</v>
      </c>
      <c r="AC27" t="s">
        <v>33</v>
      </c>
      <c r="AD27" t="s">
        <v>33</v>
      </c>
      <c r="AE27" t="s">
        <v>148</v>
      </c>
      <c r="AF27" t="s">
        <v>149</v>
      </c>
      <c r="AG27" t="s">
        <v>33</v>
      </c>
    </row>
    <row r="28" spans="1:33" x14ac:dyDescent="0.25">
      <c r="A28">
        <v>27</v>
      </c>
      <c r="B28" t="s">
        <v>32</v>
      </c>
      <c r="C28" t="s">
        <v>32</v>
      </c>
      <c r="D28" t="s">
        <v>33</v>
      </c>
      <c r="E28" t="s">
        <v>34</v>
      </c>
      <c r="F28" t="s">
        <v>150</v>
      </c>
      <c r="G28">
        <v>-12.278836</v>
      </c>
      <c r="H28">
        <v>-76.885604999999998</v>
      </c>
      <c r="I28" t="str">
        <f>HYPERLINK("https://www.google.com/maps/search/?api=1&amp;query=-12.278836,-76.885605","Carretera Panamericana Sur, Lurín, Lima")</f>
        <v>Carretera Panamericana Sur, Lurín, Lima</v>
      </c>
      <c r="J28" t="s">
        <v>142</v>
      </c>
      <c r="K28" t="s">
        <v>33</v>
      </c>
      <c r="L28">
        <v>1640.5</v>
      </c>
      <c r="M28" t="s">
        <v>33</v>
      </c>
      <c r="N28">
        <v>81.599999999999994</v>
      </c>
      <c r="O28">
        <v>0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34</v>
      </c>
      <c r="X28" t="s">
        <v>151</v>
      </c>
      <c r="Y28" t="str">
        <f t="shared" si="2"/>
        <v>En línea</v>
      </c>
      <c r="Z28" t="str">
        <f t="shared" si="0"/>
        <v>Sin atender</v>
      </c>
      <c r="AA28" t="s">
        <v>33</v>
      </c>
      <c r="AB28" t="s">
        <v>33</v>
      </c>
      <c r="AC28" t="s">
        <v>33</v>
      </c>
      <c r="AD28" t="s">
        <v>33</v>
      </c>
      <c r="AE28" t="s">
        <v>152</v>
      </c>
      <c r="AF28" t="s">
        <v>153</v>
      </c>
      <c r="AG28" t="s">
        <v>33</v>
      </c>
    </row>
    <row r="29" spans="1:33" x14ac:dyDescent="0.25">
      <c r="A29">
        <v>28</v>
      </c>
      <c r="B29" t="s">
        <v>32</v>
      </c>
      <c r="C29" t="s">
        <v>32</v>
      </c>
      <c r="D29" t="s">
        <v>33</v>
      </c>
      <c r="E29" t="s">
        <v>34</v>
      </c>
      <c r="F29" t="s">
        <v>154</v>
      </c>
      <c r="G29">
        <v>-12.293697</v>
      </c>
      <c r="H29">
        <v>-76.861909999999995</v>
      </c>
      <c r="I29" t="str">
        <f>HYPERLINK("https://www.google.com/maps/search/?api=1&amp;query=-12.293697,-76.86191","Carretera Panamericana Sur, Lurín, Lima")</f>
        <v>Carretera Panamericana Sur, Lurín, Lima</v>
      </c>
      <c r="J29" t="s">
        <v>142</v>
      </c>
      <c r="K29" t="s">
        <v>33</v>
      </c>
      <c r="L29">
        <v>1643.1</v>
      </c>
      <c r="M29" t="s">
        <v>33</v>
      </c>
      <c r="N29">
        <v>80.099999999999994</v>
      </c>
      <c r="O29">
        <v>0</v>
      </c>
      <c r="P29" t="s">
        <v>33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34</v>
      </c>
      <c r="X29" t="s">
        <v>155</v>
      </c>
      <c r="Y29" t="str">
        <f t="shared" si="2"/>
        <v>En línea</v>
      </c>
      <c r="Z29" t="str">
        <f t="shared" si="0"/>
        <v>Sin atender</v>
      </c>
      <c r="AA29" t="s">
        <v>33</v>
      </c>
      <c r="AB29" t="s">
        <v>33</v>
      </c>
      <c r="AC29" t="s">
        <v>33</v>
      </c>
      <c r="AD29" t="s">
        <v>33</v>
      </c>
      <c r="AE29" t="s">
        <v>156</v>
      </c>
      <c r="AF29" t="s">
        <v>157</v>
      </c>
      <c r="AG29" t="s">
        <v>33</v>
      </c>
    </row>
    <row r="30" spans="1:33" x14ac:dyDescent="0.25">
      <c r="A30">
        <v>29</v>
      </c>
      <c r="B30" t="s">
        <v>32</v>
      </c>
      <c r="C30" t="s">
        <v>32</v>
      </c>
      <c r="D30" t="s">
        <v>33</v>
      </c>
      <c r="E30" t="s">
        <v>34</v>
      </c>
      <c r="F30" t="s">
        <v>158</v>
      </c>
      <c r="G30">
        <v>-12.325384</v>
      </c>
      <c r="H30">
        <v>-76.825329999999994</v>
      </c>
      <c r="I30" t="str">
        <f>HYPERLINK("https://www.google.com/maps/search/?api=1&amp;query=-12.325384,-76.82533","Carretera Panamericana Sur, Punta Hermosa, Lima")</f>
        <v>Carretera Panamericana Sur, Punta Hermosa, Lima</v>
      </c>
      <c r="J30" t="s">
        <v>142</v>
      </c>
      <c r="K30" t="s">
        <v>33</v>
      </c>
      <c r="L30">
        <v>1648.1</v>
      </c>
      <c r="M30" t="s">
        <v>33</v>
      </c>
      <c r="N30">
        <v>83.2</v>
      </c>
      <c r="O30">
        <v>0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34</v>
      </c>
      <c r="X30" t="s">
        <v>159</v>
      </c>
      <c r="Y30" t="str">
        <f t="shared" si="2"/>
        <v>En línea</v>
      </c>
      <c r="Z30" t="str">
        <f t="shared" si="0"/>
        <v>Sin atender</v>
      </c>
      <c r="AA30" t="s">
        <v>33</v>
      </c>
      <c r="AB30" t="s">
        <v>33</v>
      </c>
      <c r="AC30" t="s">
        <v>33</v>
      </c>
      <c r="AD30" t="s">
        <v>33</v>
      </c>
      <c r="AE30" t="s">
        <v>160</v>
      </c>
      <c r="AF30" t="s">
        <v>161</v>
      </c>
      <c r="AG30" t="s">
        <v>33</v>
      </c>
    </row>
    <row r="31" spans="1:33" x14ac:dyDescent="0.25">
      <c r="A31">
        <v>30</v>
      </c>
      <c r="B31" t="s">
        <v>32</v>
      </c>
      <c r="C31" t="s">
        <v>32</v>
      </c>
      <c r="D31" t="s">
        <v>33</v>
      </c>
      <c r="E31" t="s">
        <v>34</v>
      </c>
      <c r="F31" t="s">
        <v>161</v>
      </c>
      <c r="G31">
        <v>-12.328042999999999</v>
      </c>
      <c r="H31">
        <v>-76.823589999999996</v>
      </c>
      <c r="I31" t="str">
        <f>HYPERLINK("https://www.google.com/maps/search/?api=1&amp;query=-12.328043,-76.82359","Carretera Panamericana Sur, Punta Hermosa, Lima")</f>
        <v>Carretera Panamericana Sur, Punta Hermosa, Lima</v>
      </c>
      <c r="J31" t="s">
        <v>137</v>
      </c>
      <c r="K31" t="s">
        <v>33</v>
      </c>
      <c r="L31">
        <v>1648.1</v>
      </c>
      <c r="M31" t="s">
        <v>33</v>
      </c>
      <c r="N31">
        <v>83.8</v>
      </c>
      <c r="O31">
        <v>0</v>
      </c>
      <c r="P31" t="s">
        <v>33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34</v>
      </c>
      <c r="X31" t="s">
        <v>162</v>
      </c>
      <c r="Y31" t="str">
        <f t="shared" si="2"/>
        <v>En línea</v>
      </c>
      <c r="Z31" t="str">
        <f t="shared" si="0"/>
        <v>Sin atender</v>
      </c>
      <c r="AA31" t="s">
        <v>33</v>
      </c>
      <c r="AB31" t="s">
        <v>33</v>
      </c>
      <c r="AC31" t="s">
        <v>33</v>
      </c>
      <c r="AD31" t="s">
        <v>33</v>
      </c>
      <c r="AE31" t="s">
        <v>163</v>
      </c>
      <c r="AF31" t="s">
        <v>164</v>
      </c>
      <c r="AG31" t="s">
        <v>33</v>
      </c>
    </row>
    <row r="32" spans="1:33" x14ac:dyDescent="0.25">
      <c r="A32">
        <v>31</v>
      </c>
      <c r="B32" t="s">
        <v>32</v>
      </c>
      <c r="C32" t="s">
        <v>32</v>
      </c>
      <c r="D32" t="s">
        <v>40</v>
      </c>
      <c r="E32" t="s">
        <v>34</v>
      </c>
      <c r="F32" t="s">
        <v>165</v>
      </c>
      <c r="G32">
        <v>-12.317584</v>
      </c>
      <c r="H32">
        <v>-76.829605000000001</v>
      </c>
      <c r="I32" t="str">
        <f>HYPERLINK("https://www.google.com/maps/search/?api=1&amp;query=-12.317584,-76.829605","Punta Hermosa, Lima")</f>
        <v>Punta Hermosa, Lima</v>
      </c>
      <c r="J32" t="s">
        <v>42</v>
      </c>
      <c r="K32" t="s">
        <v>33</v>
      </c>
      <c r="L32">
        <v>1652.6</v>
      </c>
      <c r="M32" t="s">
        <v>43</v>
      </c>
      <c r="N32">
        <v>5.0999999999999996</v>
      </c>
      <c r="O32">
        <v>0</v>
      </c>
      <c r="P32" t="s">
        <v>33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34</v>
      </c>
      <c r="X32" t="s">
        <v>166</v>
      </c>
      <c r="Y32" t="str">
        <f t="shared" si="2"/>
        <v>En línea</v>
      </c>
      <c r="Z32" t="str">
        <f t="shared" si="0"/>
        <v>Sin atender</v>
      </c>
      <c r="AA32" t="s">
        <v>33</v>
      </c>
      <c r="AB32" t="s">
        <v>33</v>
      </c>
      <c r="AC32" t="s">
        <v>33</v>
      </c>
      <c r="AD32" t="s">
        <v>33</v>
      </c>
      <c r="AE32" t="s">
        <v>167</v>
      </c>
      <c r="AF32" t="s">
        <v>168</v>
      </c>
      <c r="AG32" t="s">
        <v>33</v>
      </c>
    </row>
    <row r="33" spans="1:33" x14ac:dyDescent="0.25">
      <c r="A33">
        <v>32</v>
      </c>
      <c r="B33" t="s">
        <v>32</v>
      </c>
      <c r="C33" t="s">
        <v>32</v>
      </c>
      <c r="D33" t="s">
        <v>33</v>
      </c>
      <c r="E33" t="s">
        <v>34</v>
      </c>
      <c r="F33" t="s">
        <v>169</v>
      </c>
      <c r="G33">
        <v>-12.317335999999999</v>
      </c>
      <c r="H33">
        <v>-76.822869999999995</v>
      </c>
      <c r="I33" t="str">
        <f>HYPERLINK("https://www.google.com/maps/search/?api=1&amp;query=-12.317336,-76.82287","Punta Hermosa, Lima")</f>
        <v>Punta Hermosa, Lima</v>
      </c>
      <c r="J33" t="s">
        <v>47</v>
      </c>
      <c r="K33" t="s">
        <v>48</v>
      </c>
      <c r="L33">
        <v>1654</v>
      </c>
      <c r="M33" t="s">
        <v>33</v>
      </c>
      <c r="N33">
        <v>0</v>
      </c>
      <c r="O33">
        <v>0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34</v>
      </c>
      <c r="X33" t="s">
        <v>170</v>
      </c>
      <c r="Y33" t="str">
        <f t="shared" si="2"/>
        <v>En línea</v>
      </c>
      <c r="Z33" t="str">
        <f t="shared" si="0"/>
        <v>Sin atender</v>
      </c>
      <c r="AA33" t="s">
        <v>33</v>
      </c>
      <c r="AB33" t="s">
        <v>33</v>
      </c>
      <c r="AC33" t="s">
        <v>33</v>
      </c>
      <c r="AD33" t="s">
        <v>33</v>
      </c>
      <c r="AE33" t="s">
        <v>171</v>
      </c>
      <c r="AF33" t="s">
        <v>172</v>
      </c>
      <c r="AG33" t="s">
        <v>33</v>
      </c>
    </row>
    <row r="34" spans="1:33" x14ac:dyDescent="0.25">
      <c r="A34">
        <v>33</v>
      </c>
      <c r="B34" t="s">
        <v>32</v>
      </c>
      <c r="C34" t="s">
        <v>32</v>
      </c>
      <c r="D34" t="s">
        <v>33</v>
      </c>
      <c r="E34" t="s">
        <v>34</v>
      </c>
      <c r="F34" t="s">
        <v>173</v>
      </c>
      <c r="G34">
        <v>-12.317335999999999</v>
      </c>
      <c r="H34">
        <v>-76.822869999999995</v>
      </c>
      <c r="I34" t="str">
        <f>HYPERLINK("https://www.google.com/maps/search/?api=1&amp;query=-12.317336,-76.82287","Punta Hermosa, Lima")</f>
        <v>Punta Hermosa, Lima</v>
      </c>
      <c r="J34" t="s">
        <v>36</v>
      </c>
      <c r="K34" t="s">
        <v>33</v>
      </c>
      <c r="L34">
        <v>1654.1</v>
      </c>
      <c r="M34" t="s">
        <v>33</v>
      </c>
      <c r="N34">
        <v>0</v>
      </c>
      <c r="O34">
        <v>0</v>
      </c>
      <c r="P34" t="s">
        <v>33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34</v>
      </c>
      <c r="X34" t="s">
        <v>170</v>
      </c>
      <c r="Y34" t="str">
        <f>IF("NOGPS"="NOGPS","GPS Antiguo","En línea")</f>
        <v>GPS Antiguo</v>
      </c>
      <c r="Z34" t="str">
        <f t="shared" si="0"/>
        <v>Sin atender</v>
      </c>
      <c r="AA34" t="s">
        <v>33</v>
      </c>
      <c r="AB34" t="s">
        <v>33</v>
      </c>
      <c r="AC34" t="s">
        <v>33</v>
      </c>
      <c r="AD34" t="s">
        <v>33</v>
      </c>
      <c r="AE34" t="s">
        <v>174</v>
      </c>
      <c r="AF34" t="s">
        <v>175</v>
      </c>
      <c r="AG34" t="s">
        <v>33</v>
      </c>
    </row>
    <row r="35" spans="1:33" x14ac:dyDescent="0.25">
      <c r="A35">
        <v>34</v>
      </c>
      <c r="B35" t="s">
        <v>32</v>
      </c>
      <c r="C35" t="s">
        <v>32</v>
      </c>
      <c r="D35" t="s">
        <v>33</v>
      </c>
      <c r="E35" t="s">
        <v>34</v>
      </c>
      <c r="F35" t="s">
        <v>176</v>
      </c>
      <c r="G35">
        <v>-12.317959999999999</v>
      </c>
      <c r="H35">
        <v>-76.824234000000004</v>
      </c>
      <c r="I35" t="str">
        <f>HYPERLINK("https://www.google.com/maps/search/?api=1&amp;query=-12.31796,-76.824234","Punta Hermosa, Lima")</f>
        <v>Punta Hermosa, Lima</v>
      </c>
      <c r="J35" t="s">
        <v>47</v>
      </c>
      <c r="K35" t="s">
        <v>48</v>
      </c>
      <c r="L35">
        <v>1654.3</v>
      </c>
      <c r="M35" t="s">
        <v>33</v>
      </c>
      <c r="N35">
        <v>5.5</v>
      </c>
      <c r="O35">
        <v>0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34</v>
      </c>
      <c r="X35" t="s">
        <v>177</v>
      </c>
      <c r="Y35" t="str">
        <f>IF("ONLINE"="NOGPS","GPS Antiguo","En línea")</f>
        <v>En línea</v>
      </c>
      <c r="Z35" t="str">
        <f t="shared" si="0"/>
        <v>Sin atender</v>
      </c>
      <c r="AA35" t="s">
        <v>33</v>
      </c>
      <c r="AB35" t="s">
        <v>33</v>
      </c>
      <c r="AC35" t="s">
        <v>33</v>
      </c>
      <c r="AD35" t="s">
        <v>33</v>
      </c>
      <c r="AE35" t="s">
        <v>178</v>
      </c>
      <c r="AF35" t="s">
        <v>179</v>
      </c>
      <c r="AG35" t="s">
        <v>33</v>
      </c>
    </row>
    <row r="36" spans="1:33" x14ac:dyDescent="0.25">
      <c r="A36">
        <v>35</v>
      </c>
      <c r="B36" t="s">
        <v>32</v>
      </c>
      <c r="C36" t="s">
        <v>32</v>
      </c>
      <c r="D36" t="s">
        <v>33</v>
      </c>
      <c r="E36" t="s">
        <v>34</v>
      </c>
      <c r="F36" t="s">
        <v>180</v>
      </c>
      <c r="G36">
        <v>-12.317963000000001</v>
      </c>
      <c r="H36">
        <v>-76.824240000000003</v>
      </c>
      <c r="I36" t="str">
        <f>HYPERLINK("https://www.google.com/maps/search/?api=1&amp;query=-12.317963,-76.82424","Punta Hermosa, Lima")</f>
        <v>Punta Hermosa, Lima</v>
      </c>
      <c r="J36" t="s">
        <v>36</v>
      </c>
      <c r="K36" t="s">
        <v>33</v>
      </c>
      <c r="L36">
        <v>1654.4</v>
      </c>
      <c r="M36" t="s">
        <v>33</v>
      </c>
      <c r="N36">
        <v>0</v>
      </c>
      <c r="O36">
        <v>0</v>
      </c>
      <c r="P36" t="s">
        <v>33</v>
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34</v>
      </c>
      <c r="X36" t="s">
        <v>181</v>
      </c>
      <c r="Y36" t="str">
        <f>IF("NOGPS"="NOGPS","GPS Antiguo","En línea")</f>
        <v>GPS Antiguo</v>
      </c>
      <c r="Z36" t="str">
        <f t="shared" si="0"/>
        <v>Sin atender</v>
      </c>
      <c r="AA36" t="s">
        <v>33</v>
      </c>
      <c r="AB36" t="s">
        <v>33</v>
      </c>
      <c r="AC36" t="s">
        <v>33</v>
      </c>
      <c r="AD36" t="s">
        <v>33</v>
      </c>
      <c r="AE36" t="s">
        <v>182</v>
      </c>
      <c r="AF36" t="s">
        <v>183</v>
      </c>
      <c r="AG36" t="s">
        <v>33</v>
      </c>
    </row>
    <row r="37" spans="1:33" x14ac:dyDescent="0.25">
      <c r="A37">
        <v>36</v>
      </c>
      <c r="B37" t="s">
        <v>32</v>
      </c>
      <c r="C37" t="s">
        <v>32</v>
      </c>
      <c r="D37" t="s">
        <v>33</v>
      </c>
      <c r="E37" t="s">
        <v>34</v>
      </c>
      <c r="F37" t="s">
        <v>184</v>
      </c>
      <c r="G37">
        <v>-12.317823000000001</v>
      </c>
      <c r="H37">
        <v>-76.824290000000005</v>
      </c>
      <c r="I37" t="str">
        <f>HYPERLINK("https://www.google.com/maps/search/?api=1&amp;query=-12.317823,-76.82429","Punta Hermosa, Lima")</f>
        <v>Punta Hermosa, Lima</v>
      </c>
      <c r="J37" t="s">
        <v>47</v>
      </c>
      <c r="K37" t="s">
        <v>48</v>
      </c>
      <c r="L37">
        <v>1654.4</v>
      </c>
      <c r="M37" t="s">
        <v>33</v>
      </c>
      <c r="N37">
        <v>0.2</v>
      </c>
      <c r="O37">
        <v>0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34</v>
      </c>
      <c r="X37" t="s">
        <v>185</v>
      </c>
      <c r="Y37" t="str">
        <f>IF("ONLINE"="NOGPS","GPS Antiguo","En línea")</f>
        <v>En línea</v>
      </c>
      <c r="Z37" t="str">
        <f t="shared" si="0"/>
        <v>Sin atender</v>
      </c>
      <c r="AA37" t="s">
        <v>33</v>
      </c>
      <c r="AB37" t="s">
        <v>33</v>
      </c>
      <c r="AC37" t="s">
        <v>33</v>
      </c>
      <c r="AD37" t="s">
        <v>33</v>
      </c>
      <c r="AE37" t="s">
        <v>186</v>
      </c>
      <c r="AF37" t="s">
        <v>187</v>
      </c>
      <c r="AG37" t="s">
        <v>33</v>
      </c>
    </row>
    <row r="38" spans="1:33" x14ac:dyDescent="0.25">
      <c r="A38">
        <v>37</v>
      </c>
      <c r="B38" t="s">
        <v>32</v>
      </c>
      <c r="C38" t="s">
        <v>32</v>
      </c>
      <c r="D38" t="s">
        <v>33</v>
      </c>
      <c r="E38" t="s">
        <v>34</v>
      </c>
      <c r="F38" t="s">
        <v>188</v>
      </c>
      <c r="G38">
        <v>-12.317895</v>
      </c>
      <c r="H38">
        <v>-76.824209999999994</v>
      </c>
      <c r="I38" t="str">
        <f>HYPERLINK("https://www.google.com/maps/search/?api=1&amp;query=-12.317895,-76.82421","Punta Hermosa, Lima")</f>
        <v>Punta Hermosa, Lima</v>
      </c>
      <c r="J38" t="s">
        <v>36</v>
      </c>
      <c r="K38" t="s">
        <v>33</v>
      </c>
      <c r="L38">
        <v>1654.4</v>
      </c>
      <c r="M38" t="s">
        <v>33</v>
      </c>
      <c r="N38">
        <v>0</v>
      </c>
      <c r="O38">
        <v>0</v>
      </c>
      <c r="P38" t="s">
        <v>33</v>
      </c>
      <c r="Q38" t="s">
        <v>33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34</v>
      </c>
      <c r="X38" t="s">
        <v>189</v>
      </c>
      <c r="Y38" t="str">
        <f>IF("ONLINE"="NOGPS","GPS Antiguo","En línea")</f>
        <v>En línea</v>
      </c>
      <c r="Z38" t="str">
        <f t="shared" si="0"/>
        <v>Sin atender</v>
      </c>
      <c r="AA38" t="s">
        <v>33</v>
      </c>
      <c r="AB38" t="s">
        <v>33</v>
      </c>
      <c r="AC38" t="s">
        <v>33</v>
      </c>
      <c r="AD38" t="s">
        <v>33</v>
      </c>
      <c r="AE38" t="s">
        <v>190</v>
      </c>
      <c r="AF38" t="s">
        <v>191</v>
      </c>
      <c r="AG38" t="s">
        <v>33</v>
      </c>
    </row>
    <row r="39" spans="1:33" x14ac:dyDescent="0.25">
      <c r="A39">
        <v>38</v>
      </c>
      <c r="B39" t="s">
        <v>32</v>
      </c>
      <c r="C39" t="s">
        <v>32</v>
      </c>
      <c r="D39" t="s">
        <v>33</v>
      </c>
      <c r="E39" t="s">
        <v>34</v>
      </c>
      <c r="F39" t="s">
        <v>192</v>
      </c>
      <c r="G39">
        <v>-12.317867</v>
      </c>
      <c r="H39">
        <v>-76.824209999999994</v>
      </c>
      <c r="I39" t="str">
        <f>HYPERLINK("https://www.google.com/maps/search/?api=1&amp;query=-12.317867,-76.82421","Punta Hermosa, Lima")</f>
        <v>Punta Hermosa, Lima</v>
      </c>
      <c r="J39" t="s">
        <v>47</v>
      </c>
      <c r="K39" t="s">
        <v>48</v>
      </c>
      <c r="L39">
        <v>1654.5</v>
      </c>
      <c r="M39" t="s">
        <v>33</v>
      </c>
      <c r="N39">
        <v>0</v>
      </c>
      <c r="O39">
        <v>0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34</v>
      </c>
      <c r="X39" t="s">
        <v>193</v>
      </c>
      <c r="Y39" t="str">
        <f>IF("ONLINE"="NOGPS","GPS Antiguo","En línea")</f>
        <v>En línea</v>
      </c>
      <c r="Z39" t="str">
        <f t="shared" si="0"/>
        <v>Sin atender</v>
      </c>
      <c r="AA39" t="s">
        <v>33</v>
      </c>
      <c r="AB39" t="s">
        <v>33</v>
      </c>
      <c r="AC39" t="s">
        <v>33</v>
      </c>
      <c r="AD39" t="s">
        <v>33</v>
      </c>
      <c r="AE39" t="s">
        <v>194</v>
      </c>
      <c r="AF39" t="s">
        <v>195</v>
      </c>
      <c r="AG39" t="s">
        <v>33</v>
      </c>
    </row>
    <row r="40" spans="1:33" x14ac:dyDescent="0.25">
      <c r="A40">
        <v>39</v>
      </c>
      <c r="B40" t="s">
        <v>32</v>
      </c>
      <c r="C40" t="s">
        <v>32</v>
      </c>
      <c r="D40" t="s">
        <v>33</v>
      </c>
      <c r="E40" t="s">
        <v>34</v>
      </c>
      <c r="F40" t="s">
        <v>196</v>
      </c>
      <c r="G40">
        <v>-12.317867</v>
      </c>
      <c r="H40">
        <v>-76.824209999999994</v>
      </c>
      <c r="I40" t="str">
        <f>HYPERLINK("https://www.google.com/maps/search/?api=1&amp;query=-12.317867,-76.82421","Punta Hermosa, Lima")</f>
        <v>Punta Hermosa, Lima</v>
      </c>
      <c r="J40" t="s">
        <v>36</v>
      </c>
      <c r="K40" t="s">
        <v>33</v>
      </c>
      <c r="L40">
        <v>1654.5</v>
      </c>
      <c r="M40" t="s">
        <v>33</v>
      </c>
      <c r="N40">
        <v>0</v>
      </c>
      <c r="O40">
        <v>0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34</v>
      </c>
      <c r="X40" t="s">
        <v>197</v>
      </c>
      <c r="Y40" t="str">
        <f>IF("NOGPS"="NOGPS","GPS Antiguo","En línea")</f>
        <v>GPS Antiguo</v>
      </c>
      <c r="Z40" t="str">
        <f t="shared" si="0"/>
        <v>Sin atender</v>
      </c>
      <c r="AA40" t="s">
        <v>33</v>
      </c>
      <c r="AB40" t="s">
        <v>33</v>
      </c>
      <c r="AC40" t="s">
        <v>33</v>
      </c>
      <c r="AD40" t="s">
        <v>33</v>
      </c>
      <c r="AE40" t="s">
        <v>198</v>
      </c>
      <c r="AF40" t="s">
        <v>199</v>
      </c>
      <c r="AG40" t="s">
        <v>33</v>
      </c>
    </row>
    <row r="41" spans="1:33" x14ac:dyDescent="0.25">
      <c r="A41">
        <v>40</v>
      </c>
      <c r="B41" t="s">
        <v>32</v>
      </c>
      <c r="C41" t="s">
        <v>32</v>
      </c>
      <c r="D41" t="s">
        <v>40</v>
      </c>
      <c r="E41" t="s">
        <v>34</v>
      </c>
      <c r="F41" t="s">
        <v>200</v>
      </c>
      <c r="G41">
        <v>-12.317494</v>
      </c>
      <c r="H41">
        <v>-76.830010000000001</v>
      </c>
      <c r="I41" t="str">
        <f>HYPERLINK("https://www.google.com/maps/search/?api=1&amp;query=-12.317494,-76.83001","Punta Hermosa, Lima")</f>
        <v>Punta Hermosa, Lima</v>
      </c>
      <c r="J41" t="s">
        <v>73</v>
      </c>
      <c r="K41" t="s">
        <v>33</v>
      </c>
      <c r="L41">
        <v>1655.3</v>
      </c>
      <c r="M41" t="s">
        <v>43</v>
      </c>
      <c r="N41">
        <v>22.5</v>
      </c>
      <c r="O41">
        <v>0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34</v>
      </c>
      <c r="X41" t="s">
        <v>201</v>
      </c>
      <c r="Y41" t="str">
        <f>IF("ONLINE"="NOGPS","GPS Antiguo","En línea")</f>
        <v>En línea</v>
      </c>
      <c r="Z41" t="str">
        <f t="shared" si="0"/>
        <v>Sin atender</v>
      </c>
      <c r="AA41" t="s">
        <v>33</v>
      </c>
      <c r="AB41" t="s">
        <v>33</v>
      </c>
      <c r="AC41" t="s">
        <v>33</v>
      </c>
      <c r="AD41" t="s">
        <v>33</v>
      </c>
      <c r="AE41" t="s">
        <v>202</v>
      </c>
      <c r="AF41" t="s">
        <v>203</v>
      </c>
      <c r="AG41" t="s">
        <v>33</v>
      </c>
    </row>
    <row r="42" spans="1:33" x14ac:dyDescent="0.25">
      <c r="A42">
        <v>41</v>
      </c>
      <c r="B42" t="s">
        <v>32</v>
      </c>
      <c r="C42" t="s">
        <v>32</v>
      </c>
      <c r="D42" t="s">
        <v>40</v>
      </c>
      <c r="E42" t="s">
        <v>34</v>
      </c>
      <c r="F42" t="s">
        <v>204</v>
      </c>
      <c r="G42">
        <v>-12.213329</v>
      </c>
      <c r="H42">
        <v>-76.960089999999994</v>
      </c>
      <c r="I42" t="str">
        <f>HYPERLINK("https://www.google.com/maps/search/?api=1&amp;query=-12.213329,-76.96009","Avenida Villa del Mar, Villa El Salvador, Lima")</f>
        <v>Avenida Villa del Mar, Villa El Salvador, Lima</v>
      </c>
      <c r="J42" t="s">
        <v>42</v>
      </c>
      <c r="K42" t="s">
        <v>33</v>
      </c>
      <c r="L42">
        <v>1677.1</v>
      </c>
      <c r="M42" t="s">
        <v>205</v>
      </c>
      <c r="N42">
        <v>10.1</v>
      </c>
      <c r="O42">
        <v>0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34</v>
      </c>
      <c r="X42" t="s">
        <v>206</v>
      </c>
      <c r="Y42" t="str">
        <f>IF("ONLINE"="NOGPS","GPS Antiguo","En línea")</f>
        <v>En línea</v>
      </c>
      <c r="Z42" t="str">
        <f t="shared" si="0"/>
        <v>Sin atender</v>
      </c>
      <c r="AA42" t="s">
        <v>33</v>
      </c>
      <c r="AB42" t="s">
        <v>33</v>
      </c>
      <c r="AC42" t="s">
        <v>33</v>
      </c>
      <c r="AD42" t="s">
        <v>33</v>
      </c>
      <c r="AE42" t="s">
        <v>207</v>
      </c>
      <c r="AF42" t="s">
        <v>208</v>
      </c>
      <c r="AG42" t="s">
        <v>33</v>
      </c>
    </row>
    <row r="43" spans="1:33" x14ac:dyDescent="0.25">
      <c r="A43">
        <v>42</v>
      </c>
      <c r="B43" t="s">
        <v>32</v>
      </c>
      <c r="C43" t="s">
        <v>32</v>
      </c>
      <c r="D43" t="s">
        <v>33</v>
      </c>
      <c r="E43" t="s">
        <v>34</v>
      </c>
      <c r="F43" t="s">
        <v>209</v>
      </c>
      <c r="G43">
        <v>-12.21306</v>
      </c>
      <c r="H43">
        <v>-76.958979999999997</v>
      </c>
      <c r="I43" t="str">
        <f>HYPERLINK("https://www.google.com/maps/search/?api=1&amp;query=-12.21306,-76.95898","Villa El Salvador, Lima")</f>
        <v>Villa El Salvador, Lima</v>
      </c>
      <c r="J43" t="s">
        <v>47</v>
      </c>
      <c r="K43" t="s">
        <v>48</v>
      </c>
      <c r="L43">
        <v>1677.2</v>
      </c>
      <c r="M43" t="s">
        <v>33</v>
      </c>
      <c r="N43">
        <v>0</v>
      </c>
      <c r="O43">
        <v>0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34</v>
      </c>
      <c r="X43" t="s">
        <v>210</v>
      </c>
      <c r="Y43" t="str">
        <f>IF("ONLINE"="NOGPS","GPS Antiguo","En línea")</f>
        <v>En línea</v>
      </c>
      <c r="Z43" t="str">
        <f t="shared" si="0"/>
        <v>Sin atender</v>
      </c>
      <c r="AA43" t="s">
        <v>33</v>
      </c>
      <c r="AB43" t="s">
        <v>33</v>
      </c>
      <c r="AC43" t="s">
        <v>33</v>
      </c>
      <c r="AD43" t="s">
        <v>33</v>
      </c>
      <c r="AE43" t="s">
        <v>211</v>
      </c>
      <c r="AF43" t="s">
        <v>212</v>
      </c>
      <c r="AG43" t="s">
        <v>33</v>
      </c>
    </row>
    <row r="44" spans="1:33" x14ac:dyDescent="0.25">
      <c r="A44">
        <v>43</v>
      </c>
      <c r="B44" t="s">
        <v>32</v>
      </c>
      <c r="C44" t="s">
        <v>32</v>
      </c>
      <c r="D44" t="s">
        <v>33</v>
      </c>
      <c r="E44" t="s">
        <v>34</v>
      </c>
      <c r="F44" t="s">
        <v>213</v>
      </c>
      <c r="G44">
        <v>-12.21306</v>
      </c>
      <c r="H44">
        <v>-76.958979999999997</v>
      </c>
      <c r="I44" t="str">
        <f>HYPERLINK("https://www.google.com/maps/search/?api=1&amp;query=-12.21306,-76.95898","Villa El Salvador, Lima")</f>
        <v>Villa El Salvador, Lima</v>
      </c>
      <c r="J44" t="s">
        <v>36</v>
      </c>
      <c r="K44" t="s">
        <v>33</v>
      </c>
      <c r="L44">
        <v>1677.2</v>
      </c>
      <c r="M44" t="s">
        <v>33</v>
      </c>
      <c r="N44">
        <v>0</v>
      </c>
      <c r="O44">
        <v>0</v>
      </c>
      <c r="P44" t="s">
        <v>33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34</v>
      </c>
      <c r="X44" t="s">
        <v>210</v>
      </c>
      <c r="Y44" t="str">
        <f>IF("NOGPS"="NOGPS","GPS Antiguo","En línea")</f>
        <v>GPS Antiguo</v>
      </c>
      <c r="Z44" t="str">
        <f t="shared" si="0"/>
        <v>Sin atender</v>
      </c>
      <c r="AA44" t="s">
        <v>33</v>
      </c>
      <c r="AB44" t="s">
        <v>33</v>
      </c>
      <c r="AC44" t="s">
        <v>33</v>
      </c>
      <c r="AD44" t="s">
        <v>33</v>
      </c>
      <c r="AE44" t="s">
        <v>214</v>
      </c>
      <c r="AF44" t="s">
        <v>215</v>
      </c>
      <c r="AG44" t="s">
        <v>33</v>
      </c>
    </row>
    <row r="45" spans="1:33" x14ac:dyDescent="0.25">
      <c r="A45">
        <v>44</v>
      </c>
      <c r="B45" t="s">
        <v>32</v>
      </c>
      <c r="C45" t="s">
        <v>32</v>
      </c>
      <c r="D45" t="s">
        <v>33</v>
      </c>
      <c r="E45" t="s">
        <v>34</v>
      </c>
      <c r="F45" t="s">
        <v>216</v>
      </c>
      <c r="G45">
        <v>-12.212949</v>
      </c>
      <c r="H45">
        <v>-76.958889999999997</v>
      </c>
      <c r="I45" t="str">
        <f>HYPERLINK("https://www.google.com/maps/search/?api=1&amp;query=-12.212949,-76.95889","Avenida Villa del Mar, Villa El Salvador, Lima")</f>
        <v>Avenida Villa del Mar, Villa El Salvador, Lima</v>
      </c>
      <c r="J45" t="s">
        <v>47</v>
      </c>
      <c r="K45" t="s">
        <v>48</v>
      </c>
      <c r="L45">
        <v>1677.2</v>
      </c>
      <c r="M45" t="s">
        <v>33</v>
      </c>
      <c r="N45">
        <v>0</v>
      </c>
      <c r="O45">
        <v>0</v>
      </c>
      <c r="P45" t="s">
        <v>33</v>
      </c>
      <c r="Q45" t="s">
        <v>33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34</v>
      </c>
      <c r="X45" t="s">
        <v>217</v>
      </c>
      <c r="Y45" t="str">
        <f>IF("ONLINE"="NOGPS","GPS Antiguo","En línea")</f>
        <v>En línea</v>
      </c>
      <c r="Z45" t="str">
        <f t="shared" si="0"/>
        <v>Sin atender</v>
      </c>
      <c r="AA45" t="s">
        <v>33</v>
      </c>
      <c r="AB45" t="s">
        <v>33</v>
      </c>
      <c r="AC45" t="s">
        <v>33</v>
      </c>
      <c r="AD45" t="s">
        <v>33</v>
      </c>
      <c r="AE45" t="s">
        <v>218</v>
      </c>
      <c r="AF45" t="s">
        <v>219</v>
      </c>
      <c r="AG45" t="s">
        <v>33</v>
      </c>
    </row>
  </sheetData>
  <phoneticPr fontId="1" type="noConversion"/>
  <pageMargins left="0.7" right="0.7" top="0.75" bottom="0.75" header="0.3" footer="0.3"/>
  <ignoredErrors>
    <ignoredError sqref="D1:AG45 A1:B1 A3:B45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Alerts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Alerts</dc:title>
  <dc:subject>Report Alerts</dc:subject>
  <dc:creator>Location World</dc:creator>
  <cp:lastModifiedBy>Operaciones 4 SLI Perú</cp:lastModifiedBy>
  <dcterms:modified xsi:type="dcterms:W3CDTF">2026-09-29T21:26:57Z</dcterms:modified>
</cp:coreProperties>
</file>