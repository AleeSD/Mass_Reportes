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porte.ope4\Pictures\AS\Automatizaciones\MASS\REPORTE ALERTAS ONWAY\alertas_onway\setiembre\28-09-2026\"/>
    </mc:Choice>
  </mc:AlternateContent>
  <xr:revisionPtr revIDLastSave="0" documentId="13_ncr:1_{FD32EBE4-5A2B-485F-B3CA-04358432D9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Al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9" i="1" l="1"/>
  <c r="AA29" i="1"/>
  <c r="J29" i="1"/>
  <c r="AB28" i="1"/>
  <c r="AA28" i="1"/>
  <c r="J28" i="1"/>
  <c r="AB27" i="1"/>
  <c r="AA27" i="1"/>
  <c r="J27" i="1"/>
  <c r="AB26" i="1"/>
  <c r="AA26" i="1"/>
  <c r="J26" i="1"/>
  <c r="AB25" i="1"/>
  <c r="AA25" i="1"/>
  <c r="J25" i="1"/>
  <c r="AB24" i="1"/>
  <c r="AA24" i="1"/>
  <c r="J24" i="1"/>
  <c r="AB23" i="1"/>
  <c r="AA23" i="1"/>
  <c r="J23" i="1"/>
  <c r="AB22" i="1"/>
  <c r="AA22" i="1"/>
  <c r="J22" i="1"/>
  <c r="AB21" i="1"/>
  <c r="AA21" i="1"/>
  <c r="J21" i="1"/>
  <c r="AB20" i="1"/>
  <c r="AA20" i="1"/>
  <c r="J20" i="1"/>
  <c r="AB19" i="1"/>
  <c r="AA19" i="1"/>
  <c r="J19" i="1"/>
  <c r="AB18" i="1"/>
  <c r="AA18" i="1"/>
  <c r="J18" i="1"/>
  <c r="AB17" i="1"/>
  <c r="AA17" i="1"/>
  <c r="J17" i="1"/>
  <c r="AB16" i="1"/>
  <c r="AA16" i="1"/>
  <c r="J16" i="1"/>
  <c r="AB15" i="1"/>
  <c r="AA15" i="1"/>
  <c r="J15" i="1"/>
  <c r="AB14" i="1"/>
  <c r="AA14" i="1"/>
  <c r="J14" i="1"/>
  <c r="AB13" i="1"/>
  <c r="AA13" i="1"/>
  <c r="J13" i="1"/>
  <c r="AB12" i="1"/>
  <c r="AA12" i="1"/>
  <c r="J12" i="1"/>
  <c r="AB11" i="1"/>
  <c r="AA11" i="1"/>
  <c r="J11" i="1"/>
  <c r="AB10" i="1"/>
  <c r="AA10" i="1"/>
  <c r="J10" i="1"/>
  <c r="AB9" i="1"/>
  <c r="AA9" i="1"/>
  <c r="J9" i="1"/>
  <c r="AB8" i="1"/>
  <c r="AA8" i="1"/>
  <c r="J8" i="1"/>
  <c r="AB7" i="1"/>
  <c r="AA7" i="1"/>
  <c r="J7" i="1"/>
  <c r="AB6" i="1"/>
  <c r="AA6" i="1"/>
  <c r="J6" i="1"/>
  <c r="AB5" i="1"/>
  <c r="AA5" i="1"/>
  <c r="J5" i="1"/>
  <c r="AB4" i="1"/>
  <c r="AA4" i="1"/>
  <c r="J4" i="1"/>
  <c r="AB3" i="1"/>
  <c r="AA3" i="1"/>
  <c r="J3" i="1"/>
  <c r="AB2" i="1"/>
  <c r="AA2" i="1"/>
  <c r="J2" i="1"/>
</calcChain>
</file>

<file path=xl/sharedStrings.xml><?xml version="1.0" encoding="utf-8"?>
<sst xmlns="http://schemas.openxmlformats.org/spreadsheetml/2006/main" count="735" uniqueCount="160">
  <si>
    <t>Secuencia</t>
  </si>
  <si>
    <t>Grupo</t>
  </si>
  <si>
    <t>Alias</t>
  </si>
  <si>
    <t>Conductor</t>
  </si>
  <si>
    <t>Fecha</t>
  </si>
  <si>
    <t>Hora</t>
  </si>
  <si>
    <t>Latitud</t>
  </si>
  <si>
    <t>Longitud</t>
  </si>
  <si>
    <t>Dirección</t>
  </si>
  <si>
    <t>Alerta</t>
  </si>
  <si>
    <t>Alerta alias</t>
  </si>
  <si>
    <t>Odómetro (Km)</t>
  </si>
  <si>
    <t>Zona</t>
  </si>
  <si>
    <t>Velocidad (Km/h)</t>
  </si>
  <si>
    <t>Horómetro (Hrs)</t>
  </si>
  <si>
    <t>Velocidad máxima permitida</t>
  </si>
  <si>
    <t>Velocidad máxima alcanzada</t>
  </si>
  <si>
    <t>Velocidad promedio</t>
  </si>
  <si>
    <t>Duración (segundos)</t>
  </si>
  <si>
    <t>Severidad de la alerta</t>
  </si>
  <si>
    <t>Fecha y hora de inicio del exceso</t>
  </si>
  <si>
    <t>Fecha y hora de fin del exceso</t>
  </si>
  <si>
    <t>% Batería</t>
  </si>
  <si>
    <t>Fecha GPS</t>
  </si>
  <si>
    <t>Hora GPS</t>
  </si>
  <si>
    <t>Estado GPS</t>
  </si>
  <si>
    <t>Atención Alerta</t>
  </si>
  <si>
    <t>Reporte de Alerta</t>
  </si>
  <si>
    <t>Fecha Reporte Al.</t>
  </si>
  <si>
    <t>Hora Reporte Al.</t>
  </si>
  <si>
    <t>Registro de Atención</t>
  </si>
  <si>
    <t>Fecha Registro At.</t>
  </si>
  <si>
    <t>Hora Registro At.</t>
  </si>
  <si>
    <t>Notas</t>
  </si>
  <si>
    <t>MASS BSF</t>
  </si>
  <si>
    <t>CPF-781</t>
  </si>
  <si>
    <t/>
  </si>
  <si>
    <t xml:space="preserve"> </t>
  </si>
  <si>
    <t>28/09/2026</t>
  </si>
  <si>
    <t>12:31:38</t>
  </si>
  <si>
    <t>Llegó a la zona</t>
  </si>
  <si>
    <t>BASE-OSLOGISTICS</t>
  </si>
  <si>
    <t>12:29:02</t>
  </si>
  <si>
    <t>28/09/2026 12:31:54</t>
  </si>
  <si>
    <t>12:31:54</t>
  </si>
  <si>
    <t>13:31:36</t>
  </si>
  <si>
    <t>Vehículo encendido</t>
  </si>
  <si>
    <t>13:29:02</t>
  </si>
  <si>
    <t>28/09/2026 13:31:52</t>
  </si>
  <si>
    <t>13:31:52</t>
  </si>
  <si>
    <t>13:36:18</t>
  </si>
  <si>
    <t>Salió de zona</t>
  </si>
  <si>
    <t>13:35:34</t>
  </si>
  <si>
    <t>28/09/2026 13:36:30</t>
  </si>
  <si>
    <t>13:36:30</t>
  </si>
  <si>
    <t>13:56:44</t>
  </si>
  <si>
    <t>Excedió el límite de velocidad</t>
  </si>
  <si>
    <t>13:56:43</t>
  </si>
  <si>
    <t>28/09/2026 13:57:05</t>
  </si>
  <si>
    <t>13:57:05</t>
  </si>
  <si>
    <t>13:57:56</t>
  </si>
  <si>
    <t>13:57:55</t>
  </si>
  <si>
    <t>28/09/2026 13:58:13</t>
  </si>
  <si>
    <t>13:58:13</t>
  </si>
  <si>
    <t>13:59:38</t>
  </si>
  <si>
    <t>13:59:37</t>
  </si>
  <si>
    <t>28/09/2026 13:59:46</t>
  </si>
  <si>
    <t>13:59:46</t>
  </si>
  <si>
    <t>14:00:23</t>
  </si>
  <si>
    <t>14:00:22</t>
  </si>
  <si>
    <t>28/09/2026 14:00:40</t>
  </si>
  <si>
    <t>14:00:40</t>
  </si>
  <si>
    <t>14:03:44</t>
  </si>
  <si>
    <t>14:03:43</t>
  </si>
  <si>
    <t>28/09/2026 14:04:09</t>
  </si>
  <si>
    <t>14:04:09</t>
  </si>
  <si>
    <t>14:04:11</t>
  </si>
  <si>
    <t>14:04:10</t>
  </si>
  <si>
    <t>28/09/2026 14:04:19</t>
  </si>
  <si>
    <t>14:04:19</t>
  </si>
  <si>
    <t>14:05:34</t>
  </si>
  <si>
    <t>Exceso de velocidad en segmento vial</t>
  </si>
  <si>
    <t>14:04:34</t>
  </si>
  <si>
    <t>28/09/2026 14:05:56</t>
  </si>
  <si>
    <t>14:05:56</t>
  </si>
  <si>
    <t>14:09:39</t>
  </si>
  <si>
    <t>MASS BSF 1</t>
  </si>
  <si>
    <t>14:09:34</t>
  </si>
  <si>
    <t>28/09/2026 14:09:54</t>
  </si>
  <si>
    <t>14:09:54</t>
  </si>
  <si>
    <t>14:16:49</t>
  </si>
  <si>
    <t>Vehículo apagado</t>
  </si>
  <si>
    <t>Vehículo Apagado</t>
  </si>
  <si>
    <t>14:16:34</t>
  </si>
  <si>
    <t>28/09/2026 14:16:57</t>
  </si>
  <si>
    <t>14:16:57</t>
  </si>
  <si>
    <t>14:41:33</t>
  </si>
  <si>
    <t>14:16:51</t>
  </si>
  <si>
    <t>28/09/2026 14:41:44</t>
  </si>
  <si>
    <t>14:41:44</t>
  </si>
  <si>
    <t>14:44:17</t>
  </si>
  <si>
    <t>14:43:31</t>
  </si>
  <si>
    <t>28/09/2026 14:44:27</t>
  </si>
  <si>
    <t>14:44:27</t>
  </si>
  <si>
    <t>14:48:34</t>
  </si>
  <si>
    <t>14:44:21</t>
  </si>
  <si>
    <t>28/09/2026 14:48:53</t>
  </si>
  <si>
    <t>14:48:53</t>
  </si>
  <si>
    <t>14:49:42</t>
  </si>
  <si>
    <t>14:49:30</t>
  </si>
  <si>
    <t>28/09/2026 14:49:56</t>
  </si>
  <si>
    <t>14:49:56</t>
  </si>
  <si>
    <t>15:54:34</t>
  </si>
  <si>
    <t>15:47:22</t>
  </si>
  <si>
    <t>28/09/2026 15:54:59</t>
  </si>
  <si>
    <t>15:54:59</t>
  </si>
  <si>
    <t>16:00:01</t>
  </si>
  <si>
    <t>15:59:38</t>
  </si>
  <si>
    <t>28/09/2026 16:00:12</t>
  </si>
  <si>
    <t>16:00:12</t>
  </si>
  <si>
    <t>16:01:45</t>
  </si>
  <si>
    <t>16:00:04</t>
  </si>
  <si>
    <t>28/09/2026 16:02:02</t>
  </si>
  <si>
    <t>16:02:02</t>
  </si>
  <si>
    <t>16:08:18</t>
  </si>
  <si>
    <t>16:07:40</t>
  </si>
  <si>
    <t>28/09/2026 16:08:25</t>
  </si>
  <si>
    <t>16:08:25</t>
  </si>
  <si>
    <t>16:31:58</t>
  </si>
  <si>
    <t>16:08:21</t>
  </si>
  <si>
    <t>28/09/2026 16:32:20</t>
  </si>
  <si>
    <t>16:32:20</t>
  </si>
  <si>
    <t>16:39:23</t>
  </si>
  <si>
    <t>16:39:22</t>
  </si>
  <si>
    <t>28/09/2026 16:39:49</t>
  </si>
  <si>
    <t>16:39:49</t>
  </si>
  <si>
    <t>16:45:47</t>
  </si>
  <si>
    <t>16:45:46</t>
  </si>
  <si>
    <t>28/09/2026 16:45:54</t>
  </si>
  <si>
    <t>16:45:54</t>
  </si>
  <si>
    <t>16:47:11</t>
  </si>
  <si>
    <t>16:47:10</t>
  </si>
  <si>
    <t>28/09/2026 16:47:26</t>
  </si>
  <si>
    <t>16:47:26</t>
  </si>
  <si>
    <t>17:13:47</t>
  </si>
  <si>
    <t>17:13:46</t>
  </si>
  <si>
    <t>28/09/2026 17:13:59</t>
  </si>
  <si>
    <t>17:13:59</t>
  </si>
  <si>
    <t>17:17:02</t>
  </si>
  <si>
    <t>17:17:03</t>
  </si>
  <si>
    <t>28/09/2026 17:17:08</t>
  </si>
  <si>
    <t>17:17:08</t>
  </si>
  <si>
    <t>17:21:24</t>
  </si>
  <si>
    <t>28/09/2026 17:21:39</t>
  </si>
  <si>
    <t>17:21:39</t>
  </si>
  <si>
    <t>17:23:26</t>
  </si>
  <si>
    <t>17:23:29</t>
  </si>
  <si>
    <t>28/09/2026 17:23:42</t>
  </si>
  <si>
    <t>17:23:42</t>
  </si>
  <si>
    <t>Placa/Patente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</si>
</sst>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tabSelected="1" workbookViewId="0">
      <selection activeCell="F18" sqref="F18"/>
    </sheetView>
  </sheetViews>
  <sheetFormatPr baseColWidth="10" defaultRowHeight="15.7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159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>
        <v>1</v>
      </c>
      <c r="B2" t="s">
        <v>34</v>
      </c>
      <c r="C2" t="s">
        <v>35</v>
      </c>
      <c r="D2" t="s">
        <v>35</v>
      </c>
      <c r="E2" t="s">
        <v>37</v>
      </c>
      <c r="F2" t="s">
        <v>38</v>
      </c>
      <c r="G2" t="s">
        <v>39</v>
      </c>
      <c r="H2">
        <v>-12.213050000000001</v>
      </c>
      <c r="I2">
        <v>-76.958839999999995</v>
      </c>
      <c r="J2" t="str">
        <f>HYPERLINK("https://www.google.com/maps/search/?api=1&amp;query=-12.21305,-76.95884","Villa El Salvador, Lima")</f>
        <v>Villa El Salvador, Lima</v>
      </c>
      <c r="K2" t="s">
        <v>40</v>
      </c>
      <c r="L2" t="s">
        <v>36</v>
      </c>
      <c r="M2">
        <v>2725.7</v>
      </c>
      <c r="N2" t="s">
        <v>41</v>
      </c>
      <c r="O2">
        <v>0</v>
      </c>
      <c r="P2">
        <v>603.20000000000005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>
        <v>100</v>
      </c>
      <c r="Y2" t="s">
        <v>38</v>
      </c>
      <c r="Z2" t="s">
        <v>42</v>
      </c>
      <c r="AA2" t="str">
        <f t="shared" ref="AA2:AA13" si="0">IF("ONLINE"="NOGPS","GPS Antiguo","En línea")</f>
        <v>En línea</v>
      </c>
      <c r="AB2" t="str">
        <f t="shared" ref="AB2:AB29" si="1">IF(0=0,"Sin atender", IF(0=1,"Atendida","Atendida y Reportada"))</f>
        <v>Sin atender</v>
      </c>
      <c r="AC2" t="s">
        <v>36</v>
      </c>
      <c r="AD2" t="s">
        <v>36</v>
      </c>
      <c r="AE2" t="s">
        <v>36</v>
      </c>
      <c r="AF2" t="s">
        <v>36</v>
      </c>
      <c r="AG2" t="s">
        <v>43</v>
      </c>
      <c r="AH2" t="s">
        <v>44</v>
      </c>
      <c r="AI2" t="s">
        <v>36</v>
      </c>
    </row>
    <row r="3" spans="1:35" x14ac:dyDescent="0.25">
      <c r="A3">
        <v>2</v>
      </c>
      <c r="B3" t="s">
        <v>34</v>
      </c>
      <c r="C3" t="s">
        <v>35</v>
      </c>
      <c r="D3" t="s">
        <v>35</v>
      </c>
      <c r="E3" t="s">
        <v>36</v>
      </c>
      <c r="F3" t="s">
        <v>38</v>
      </c>
      <c r="G3" t="s">
        <v>45</v>
      </c>
      <c r="H3">
        <v>-12.213050000000001</v>
      </c>
      <c r="I3">
        <v>-76.958839999999995</v>
      </c>
      <c r="J3" t="str">
        <f>HYPERLINK("https://www.google.com/maps/search/?api=1&amp;query=-12.21305,-76.95884","Villa El Salvador, Lima")</f>
        <v>Villa El Salvador, Lima</v>
      </c>
      <c r="K3" t="s">
        <v>46</v>
      </c>
      <c r="L3" t="s">
        <v>36</v>
      </c>
      <c r="M3">
        <v>2725.7</v>
      </c>
      <c r="N3" t="s">
        <v>36</v>
      </c>
      <c r="O3">
        <v>0</v>
      </c>
      <c r="P3">
        <v>603.20000000000005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>
        <v>100</v>
      </c>
      <c r="Y3" t="s">
        <v>38</v>
      </c>
      <c r="Z3" t="s">
        <v>47</v>
      </c>
      <c r="AA3" t="str">
        <f t="shared" si="0"/>
        <v>En línea</v>
      </c>
      <c r="AB3" t="str">
        <f t="shared" si="1"/>
        <v>Sin atender</v>
      </c>
      <c r="AC3" t="s">
        <v>36</v>
      </c>
      <c r="AD3" t="s">
        <v>36</v>
      </c>
      <c r="AE3" t="s">
        <v>36</v>
      </c>
      <c r="AF3" t="s">
        <v>36</v>
      </c>
      <c r="AG3" t="s">
        <v>48</v>
      </c>
      <c r="AH3" t="s">
        <v>49</v>
      </c>
      <c r="AI3" t="s">
        <v>36</v>
      </c>
    </row>
    <row r="4" spans="1:35" x14ac:dyDescent="0.25">
      <c r="A4">
        <v>3</v>
      </c>
      <c r="B4" t="s">
        <v>34</v>
      </c>
      <c r="C4" t="s">
        <v>35</v>
      </c>
      <c r="D4" t="s">
        <v>35</v>
      </c>
      <c r="E4" t="s">
        <v>37</v>
      </c>
      <c r="F4" t="s">
        <v>38</v>
      </c>
      <c r="G4" t="s">
        <v>50</v>
      </c>
      <c r="H4">
        <v>-12.213464999999999</v>
      </c>
      <c r="I4">
        <v>-76.960239999999999</v>
      </c>
      <c r="J4" t="str">
        <f>HYPERLINK("https://www.google.com/maps/search/?api=1&amp;query=-12.213465,-76.96024","Avenida Villa del Mar, Villa El Salvador, Lima")</f>
        <v>Avenida Villa del Mar, Villa El Salvador, Lima</v>
      </c>
      <c r="K4" t="s">
        <v>51</v>
      </c>
      <c r="L4" t="s">
        <v>36</v>
      </c>
      <c r="M4">
        <v>2725.9</v>
      </c>
      <c r="N4" t="s">
        <v>41</v>
      </c>
      <c r="O4">
        <v>0</v>
      </c>
      <c r="P4">
        <v>602.91999999999996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>
        <v>100</v>
      </c>
      <c r="Y4" t="s">
        <v>38</v>
      </c>
      <c r="Z4" t="s">
        <v>52</v>
      </c>
      <c r="AA4" t="str">
        <f t="shared" si="0"/>
        <v>En línea</v>
      </c>
      <c r="AB4" t="str">
        <f t="shared" si="1"/>
        <v>Sin atender</v>
      </c>
      <c r="AC4" t="s">
        <v>36</v>
      </c>
      <c r="AD4" t="s">
        <v>36</v>
      </c>
      <c r="AE4" t="s">
        <v>36</v>
      </c>
      <c r="AF4" t="s">
        <v>36</v>
      </c>
      <c r="AG4" t="s">
        <v>53</v>
      </c>
      <c r="AH4" t="s">
        <v>54</v>
      </c>
      <c r="AI4" t="s">
        <v>36</v>
      </c>
    </row>
    <row r="5" spans="1:35" x14ac:dyDescent="0.25">
      <c r="A5">
        <v>4</v>
      </c>
      <c r="B5" t="s">
        <v>34</v>
      </c>
      <c r="C5" t="s">
        <v>35</v>
      </c>
      <c r="D5" t="s">
        <v>35</v>
      </c>
      <c r="E5" t="s">
        <v>36</v>
      </c>
      <c r="F5" t="s">
        <v>38</v>
      </c>
      <c r="G5" t="s">
        <v>55</v>
      </c>
      <c r="H5">
        <v>-12.267846</v>
      </c>
      <c r="I5">
        <v>-76.903014999999996</v>
      </c>
      <c r="J5" t="str">
        <f>HYPERLINK("https://www.google.com/maps/search/?api=1&amp;query=-12.267846,-76.903015","Carretera Panamericana Sur, Lurín, Lima")</f>
        <v>Carretera Panamericana Sur, Lurín, Lima</v>
      </c>
      <c r="K5" t="s">
        <v>56</v>
      </c>
      <c r="L5" t="s">
        <v>36</v>
      </c>
      <c r="M5">
        <v>2739.8</v>
      </c>
      <c r="N5" t="s">
        <v>36</v>
      </c>
      <c r="O5">
        <v>86.9</v>
      </c>
      <c r="P5">
        <v>603.27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>
        <v>100</v>
      </c>
      <c r="Y5" t="s">
        <v>38</v>
      </c>
      <c r="Z5" t="s">
        <v>57</v>
      </c>
      <c r="AA5" t="str">
        <f t="shared" si="0"/>
        <v>En línea</v>
      </c>
      <c r="AB5" t="str">
        <f t="shared" si="1"/>
        <v>Sin atender</v>
      </c>
      <c r="AC5" t="s">
        <v>36</v>
      </c>
      <c r="AD5" t="s">
        <v>36</v>
      </c>
      <c r="AE5" t="s">
        <v>36</v>
      </c>
      <c r="AF5" t="s">
        <v>36</v>
      </c>
      <c r="AG5" t="s">
        <v>58</v>
      </c>
      <c r="AH5" t="s">
        <v>59</v>
      </c>
      <c r="AI5" t="s">
        <v>36</v>
      </c>
    </row>
    <row r="6" spans="1:35" x14ac:dyDescent="0.25">
      <c r="A6">
        <v>5</v>
      </c>
      <c r="B6" t="s">
        <v>34</v>
      </c>
      <c r="C6" t="s">
        <v>35</v>
      </c>
      <c r="D6" t="s">
        <v>35</v>
      </c>
      <c r="E6" t="s">
        <v>36</v>
      </c>
      <c r="F6" t="s">
        <v>38</v>
      </c>
      <c r="G6" t="s">
        <v>60</v>
      </c>
      <c r="H6">
        <v>-12.276082000000001</v>
      </c>
      <c r="I6">
        <v>-76.890020000000007</v>
      </c>
      <c r="J6" t="str">
        <f>HYPERLINK("https://www.google.com/maps/search/?api=1&amp;query=-12.276082,-76.89002","Carretera Panamericana Sur, Lurín, Lima")</f>
        <v>Carretera Panamericana Sur, Lurín, Lima</v>
      </c>
      <c r="K6" t="s">
        <v>56</v>
      </c>
      <c r="L6" t="s">
        <v>36</v>
      </c>
      <c r="M6">
        <v>2741.3</v>
      </c>
      <c r="N6" t="s">
        <v>36</v>
      </c>
      <c r="O6">
        <v>83.7</v>
      </c>
      <c r="P6">
        <v>603.28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>
        <v>100</v>
      </c>
      <c r="Y6" t="s">
        <v>38</v>
      </c>
      <c r="Z6" t="s">
        <v>61</v>
      </c>
      <c r="AA6" t="str">
        <f t="shared" si="0"/>
        <v>En línea</v>
      </c>
      <c r="AB6" t="str">
        <f t="shared" si="1"/>
        <v>Sin atender</v>
      </c>
      <c r="AC6" t="s">
        <v>36</v>
      </c>
      <c r="AD6" t="s">
        <v>36</v>
      </c>
      <c r="AE6" t="s">
        <v>36</v>
      </c>
      <c r="AF6" t="s">
        <v>36</v>
      </c>
      <c r="AG6" t="s">
        <v>62</v>
      </c>
      <c r="AH6" t="s">
        <v>63</v>
      </c>
      <c r="AI6" t="s">
        <v>36</v>
      </c>
    </row>
    <row r="7" spans="1:35" x14ac:dyDescent="0.25">
      <c r="A7">
        <v>6</v>
      </c>
      <c r="B7" t="s">
        <v>34</v>
      </c>
      <c r="C7" t="s">
        <v>35</v>
      </c>
      <c r="D7" t="s">
        <v>35</v>
      </c>
      <c r="E7" t="s">
        <v>36</v>
      </c>
      <c r="F7" t="s">
        <v>38</v>
      </c>
      <c r="G7" t="s">
        <v>64</v>
      </c>
      <c r="H7">
        <v>-12.287908</v>
      </c>
      <c r="I7">
        <v>-76.871086000000005</v>
      </c>
      <c r="J7" t="str">
        <f>HYPERLINK("https://www.google.com/maps/search/?api=1&amp;query=-12.287908,-76.871086","Carretera Panamericana Sur, Lurín, Lima")</f>
        <v>Carretera Panamericana Sur, Lurín, Lima</v>
      </c>
      <c r="K7" t="s">
        <v>56</v>
      </c>
      <c r="L7" t="s">
        <v>36</v>
      </c>
      <c r="M7">
        <v>2742.6</v>
      </c>
      <c r="N7" t="s">
        <v>36</v>
      </c>
      <c r="O7">
        <v>87.1</v>
      </c>
      <c r="P7">
        <v>603.32000000000005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>
        <v>100</v>
      </c>
      <c r="Y7" t="s">
        <v>38</v>
      </c>
      <c r="Z7" t="s">
        <v>65</v>
      </c>
      <c r="AA7" t="str">
        <f t="shared" si="0"/>
        <v>En línea</v>
      </c>
      <c r="AB7" t="str">
        <f t="shared" si="1"/>
        <v>Sin atender</v>
      </c>
      <c r="AC7" t="s">
        <v>36</v>
      </c>
      <c r="AD7" t="s">
        <v>36</v>
      </c>
      <c r="AE7" t="s">
        <v>36</v>
      </c>
      <c r="AF7" t="s">
        <v>36</v>
      </c>
      <c r="AG7" t="s">
        <v>66</v>
      </c>
      <c r="AH7" t="s">
        <v>67</v>
      </c>
      <c r="AI7" t="s">
        <v>36</v>
      </c>
    </row>
    <row r="8" spans="1:35" x14ac:dyDescent="0.25">
      <c r="A8">
        <v>7</v>
      </c>
      <c r="B8" t="s">
        <v>34</v>
      </c>
      <c r="C8" t="s">
        <v>35</v>
      </c>
      <c r="D8" t="s">
        <v>35</v>
      </c>
      <c r="E8" t="s">
        <v>36</v>
      </c>
      <c r="F8" t="s">
        <v>38</v>
      </c>
      <c r="G8" t="s">
        <v>68</v>
      </c>
      <c r="H8">
        <v>-12.293044</v>
      </c>
      <c r="I8">
        <v>-76.862840000000006</v>
      </c>
      <c r="J8" t="str">
        <f>HYPERLINK("https://www.google.com/maps/search/?api=1&amp;query=-12.293044,-76.86284","Carretera Panamericana Sur, Lurín, Lima")</f>
        <v>Carretera Panamericana Sur, Lurín, Lima</v>
      </c>
      <c r="K8" t="s">
        <v>56</v>
      </c>
      <c r="L8" t="s">
        <v>36</v>
      </c>
      <c r="M8">
        <v>2744.1</v>
      </c>
      <c r="N8" t="s">
        <v>36</v>
      </c>
      <c r="O8">
        <v>85.8</v>
      </c>
      <c r="P8">
        <v>603.32000000000005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>
        <v>100</v>
      </c>
      <c r="Y8" t="s">
        <v>38</v>
      </c>
      <c r="Z8" t="s">
        <v>69</v>
      </c>
      <c r="AA8" t="str">
        <f t="shared" si="0"/>
        <v>En línea</v>
      </c>
      <c r="AB8" t="str">
        <f t="shared" si="1"/>
        <v>Sin atender</v>
      </c>
      <c r="AC8" t="s">
        <v>36</v>
      </c>
      <c r="AD8" t="s">
        <v>36</v>
      </c>
      <c r="AE8" t="s">
        <v>36</v>
      </c>
      <c r="AF8" t="s">
        <v>36</v>
      </c>
      <c r="AG8" t="s">
        <v>70</v>
      </c>
      <c r="AH8" t="s">
        <v>71</v>
      </c>
      <c r="AI8" t="s">
        <v>36</v>
      </c>
    </row>
    <row r="9" spans="1:35" x14ac:dyDescent="0.25">
      <c r="A9">
        <v>8</v>
      </c>
      <c r="B9" t="s">
        <v>34</v>
      </c>
      <c r="C9" t="s">
        <v>35</v>
      </c>
      <c r="D9" t="s">
        <v>35</v>
      </c>
      <c r="E9" t="s">
        <v>36</v>
      </c>
      <c r="F9" t="s">
        <v>38</v>
      </c>
      <c r="G9" t="s">
        <v>72</v>
      </c>
      <c r="H9">
        <v>-12.314997999999999</v>
      </c>
      <c r="I9">
        <v>-76.832274999999996</v>
      </c>
      <c r="J9" t="str">
        <f>HYPERLINK("https://www.google.com/maps/search/?api=1&amp;query=-12.314998,-76.832275","Carretera Panamericana Sur, Punta Hermosa, Lima")</f>
        <v>Carretera Panamericana Sur, Punta Hermosa, Lima</v>
      </c>
      <c r="K9" t="s">
        <v>56</v>
      </c>
      <c r="L9" t="s">
        <v>36</v>
      </c>
      <c r="M9">
        <v>2749.3</v>
      </c>
      <c r="N9" t="s">
        <v>36</v>
      </c>
      <c r="O9">
        <v>82.7</v>
      </c>
      <c r="P9">
        <v>603.38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>
        <v>100</v>
      </c>
      <c r="Y9" t="s">
        <v>38</v>
      </c>
      <c r="Z9" t="s">
        <v>73</v>
      </c>
      <c r="AA9" t="str">
        <f t="shared" si="0"/>
        <v>En línea</v>
      </c>
      <c r="AB9" t="str">
        <f t="shared" si="1"/>
        <v>Sin atender</v>
      </c>
      <c r="AC9" t="s">
        <v>36</v>
      </c>
      <c r="AD9" t="s">
        <v>36</v>
      </c>
      <c r="AE9" t="s">
        <v>36</v>
      </c>
      <c r="AF9" t="s">
        <v>36</v>
      </c>
      <c r="AG9" t="s">
        <v>74</v>
      </c>
      <c r="AH9" t="s">
        <v>75</v>
      </c>
      <c r="AI9" t="s">
        <v>36</v>
      </c>
    </row>
    <row r="10" spans="1:35" x14ac:dyDescent="0.25">
      <c r="A10">
        <v>9</v>
      </c>
      <c r="B10" t="s">
        <v>34</v>
      </c>
      <c r="C10" t="s">
        <v>35</v>
      </c>
      <c r="D10" t="s">
        <v>35</v>
      </c>
      <c r="E10" t="s">
        <v>36</v>
      </c>
      <c r="F10" t="s">
        <v>38</v>
      </c>
      <c r="G10" t="s">
        <v>76</v>
      </c>
      <c r="H10">
        <v>-12.319678</v>
      </c>
      <c r="I10">
        <v>-76.829139999999995</v>
      </c>
      <c r="J10" t="str">
        <f>HYPERLINK("https://www.google.com/maps/search/?api=1&amp;query=-12.319678,-76.82914","Carretera Panamericana Sur, Punta Hermosa, Lima")</f>
        <v>Carretera Panamericana Sur, Punta Hermosa, Lima</v>
      </c>
      <c r="K10" t="s">
        <v>56</v>
      </c>
      <c r="L10" t="s">
        <v>36</v>
      </c>
      <c r="M10">
        <v>2749.3</v>
      </c>
      <c r="N10" t="s">
        <v>36</v>
      </c>
      <c r="O10">
        <v>82.6</v>
      </c>
      <c r="P10">
        <v>603.38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>
        <v>100</v>
      </c>
      <c r="Y10" t="s">
        <v>38</v>
      </c>
      <c r="Z10" t="s">
        <v>77</v>
      </c>
      <c r="AA10" t="str">
        <f t="shared" si="0"/>
        <v>En línea</v>
      </c>
      <c r="AB10" t="str">
        <f t="shared" si="1"/>
        <v>Sin atender</v>
      </c>
      <c r="AC10" t="s">
        <v>36</v>
      </c>
      <c r="AD10" t="s">
        <v>36</v>
      </c>
      <c r="AE10" t="s">
        <v>36</v>
      </c>
      <c r="AF10" t="s">
        <v>36</v>
      </c>
      <c r="AG10" t="s">
        <v>78</v>
      </c>
      <c r="AH10" t="s">
        <v>79</v>
      </c>
      <c r="AI10" t="s">
        <v>36</v>
      </c>
    </row>
    <row r="11" spans="1:35" x14ac:dyDescent="0.25">
      <c r="A11">
        <v>10</v>
      </c>
      <c r="B11" t="s">
        <v>34</v>
      </c>
      <c r="C11" t="s">
        <v>35</v>
      </c>
      <c r="D11" t="s">
        <v>35</v>
      </c>
      <c r="E11" t="s">
        <v>36</v>
      </c>
      <c r="F11" t="s">
        <v>38</v>
      </c>
      <c r="G11" t="s">
        <v>80</v>
      </c>
      <c r="H11">
        <v>-12.323966</v>
      </c>
      <c r="I11">
        <v>-76.826279999999997</v>
      </c>
      <c r="J11" t="str">
        <f>HYPERLINK("https://www.google.com/maps/search/?api=1&amp;query=-12.323966,-76.82628","Carretera Panamericana Sur, Punta Hermosa, Lima")</f>
        <v>Carretera Panamericana Sur, Punta Hermosa, Lima</v>
      </c>
      <c r="K11" t="s">
        <v>81</v>
      </c>
      <c r="L11" t="s">
        <v>36</v>
      </c>
      <c r="M11">
        <v>2750.7</v>
      </c>
      <c r="N11" t="s">
        <v>36</v>
      </c>
      <c r="O11">
        <v>86.7</v>
      </c>
      <c r="P11">
        <v>603.41999999999996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>
        <v>100</v>
      </c>
      <c r="Y11" t="s">
        <v>38</v>
      </c>
      <c r="Z11" t="s">
        <v>82</v>
      </c>
      <c r="AA11" t="str">
        <f t="shared" si="0"/>
        <v>En línea</v>
      </c>
      <c r="AB11" t="str">
        <f t="shared" si="1"/>
        <v>Sin atender</v>
      </c>
      <c r="AC11" t="s">
        <v>36</v>
      </c>
      <c r="AD11" t="s">
        <v>36</v>
      </c>
      <c r="AE11" t="s">
        <v>36</v>
      </c>
      <c r="AF11" t="s">
        <v>36</v>
      </c>
      <c r="AG11" t="s">
        <v>83</v>
      </c>
      <c r="AH11" t="s">
        <v>84</v>
      </c>
      <c r="AI11" t="s">
        <v>36</v>
      </c>
    </row>
    <row r="12" spans="1:35" x14ac:dyDescent="0.25">
      <c r="A12">
        <v>11</v>
      </c>
      <c r="B12" t="s">
        <v>34</v>
      </c>
      <c r="C12" t="s">
        <v>35</v>
      </c>
      <c r="D12" t="s">
        <v>35</v>
      </c>
      <c r="E12" t="s">
        <v>37</v>
      </c>
      <c r="F12" t="s">
        <v>38</v>
      </c>
      <c r="G12" t="s">
        <v>85</v>
      </c>
      <c r="H12">
        <v>-12.317608999999999</v>
      </c>
      <c r="I12">
        <v>-76.829620000000006</v>
      </c>
      <c r="J12" t="str">
        <f>HYPERLINK("https://www.google.com/maps/search/?api=1&amp;query=-12.317609,-76.82962","Punta Hermosa, Lima")</f>
        <v>Punta Hermosa, Lima</v>
      </c>
      <c r="K12" t="s">
        <v>40</v>
      </c>
      <c r="L12" t="s">
        <v>36</v>
      </c>
      <c r="M12">
        <v>2754.1</v>
      </c>
      <c r="N12" t="s">
        <v>86</v>
      </c>
      <c r="O12">
        <v>15.1</v>
      </c>
      <c r="P12">
        <v>603.47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>
        <v>100</v>
      </c>
      <c r="Y12" t="s">
        <v>38</v>
      </c>
      <c r="Z12" t="s">
        <v>87</v>
      </c>
      <c r="AA12" t="str">
        <f t="shared" si="0"/>
        <v>En línea</v>
      </c>
      <c r="AB12" t="str">
        <f t="shared" si="1"/>
        <v>Sin atender</v>
      </c>
      <c r="AC12" t="s">
        <v>36</v>
      </c>
      <c r="AD12" t="s">
        <v>36</v>
      </c>
      <c r="AE12" t="s">
        <v>36</v>
      </c>
      <c r="AF12" t="s">
        <v>36</v>
      </c>
      <c r="AG12" t="s">
        <v>88</v>
      </c>
      <c r="AH12" t="s">
        <v>89</v>
      </c>
      <c r="AI12" t="s">
        <v>36</v>
      </c>
    </row>
    <row r="13" spans="1:35" x14ac:dyDescent="0.25">
      <c r="A13">
        <v>12</v>
      </c>
      <c r="B13" t="s">
        <v>34</v>
      </c>
      <c r="C13" t="s">
        <v>35</v>
      </c>
      <c r="D13" t="s">
        <v>35</v>
      </c>
      <c r="E13" t="s">
        <v>36</v>
      </c>
      <c r="F13" t="s">
        <v>38</v>
      </c>
      <c r="G13" t="s">
        <v>90</v>
      </c>
      <c r="H13">
        <v>-12.317302</v>
      </c>
      <c r="I13">
        <v>-76.822869999999995</v>
      </c>
      <c r="J13" t="str">
        <f>HYPERLINK("https://www.google.com/maps/search/?api=1&amp;query=-12.317302,-76.82287","Punta Hermosa, Lima")</f>
        <v>Punta Hermosa, Lima</v>
      </c>
      <c r="K13" t="s">
        <v>91</v>
      </c>
      <c r="L13" t="s">
        <v>92</v>
      </c>
      <c r="M13">
        <v>2755.8</v>
      </c>
      <c r="N13" t="s">
        <v>36</v>
      </c>
      <c r="O13">
        <v>0</v>
      </c>
      <c r="P13">
        <v>603.58000000000004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>
        <v>100</v>
      </c>
      <c r="Y13" t="s">
        <v>38</v>
      </c>
      <c r="Z13" t="s">
        <v>93</v>
      </c>
      <c r="AA13" t="str">
        <f t="shared" si="0"/>
        <v>En línea</v>
      </c>
      <c r="AB13" t="str">
        <f t="shared" si="1"/>
        <v>Sin atender</v>
      </c>
      <c r="AC13" t="s">
        <v>36</v>
      </c>
      <c r="AD13" t="s">
        <v>36</v>
      </c>
      <c r="AE13" t="s">
        <v>36</v>
      </c>
      <c r="AF13" t="s">
        <v>36</v>
      </c>
      <c r="AG13" t="s">
        <v>94</v>
      </c>
      <c r="AH13" t="s">
        <v>95</v>
      </c>
      <c r="AI13" t="s">
        <v>36</v>
      </c>
    </row>
    <row r="14" spans="1:35" x14ac:dyDescent="0.25">
      <c r="A14">
        <v>13</v>
      </c>
      <c r="B14" t="s">
        <v>34</v>
      </c>
      <c r="C14" t="s">
        <v>35</v>
      </c>
      <c r="D14" t="s">
        <v>35</v>
      </c>
      <c r="E14" t="s">
        <v>36</v>
      </c>
      <c r="F14" t="s">
        <v>38</v>
      </c>
      <c r="G14" t="s">
        <v>96</v>
      </c>
      <c r="H14">
        <v>-12.317302</v>
      </c>
      <c r="I14">
        <v>-76.822869999999995</v>
      </c>
      <c r="J14" t="str">
        <f>HYPERLINK("https://www.google.com/maps/search/?api=1&amp;query=-12.317302,-76.82287","Punta Hermosa, Lima")</f>
        <v>Punta Hermosa, Lima</v>
      </c>
      <c r="K14" t="s">
        <v>46</v>
      </c>
      <c r="L14" t="s">
        <v>36</v>
      </c>
      <c r="M14">
        <v>2755.9</v>
      </c>
      <c r="N14" t="s">
        <v>36</v>
      </c>
      <c r="O14">
        <v>0</v>
      </c>
      <c r="P14">
        <v>603.58000000000004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>
        <v>100</v>
      </c>
      <c r="Y14" t="s">
        <v>38</v>
      </c>
      <c r="Z14" t="s">
        <v>97</v>
      </c>
      <c r="AA14" t="str">
        <f>IF("NOGPS"="NOGPS","GPS Antiguo","En línea")</f>
        <v>GPS Antiguo</v>
      </c>
      <c r="AB14" t="str">
        <f t="shared" si="1"/>
        <v>Sin atender</v>
      </c>
      <c r="AC14" t="s">
        <v>36</v>
      </c>
      <c r="AD14" t="s">
        <v>36</v>
      </c>
      <c r="AE14" t="s">
        <v>36</v>
      </c>
      <c r="AF14" t="s">
        <v>36</v>
      </c>
      <c r="AG14" t="s">
        <v>98</v>
      </c>
      <c r="AH14" t="s">
        <v>99</v>
      </c>
      <c r="AI14" t="s">
        <v>36</v>
      </c>
    </row>
    <row r="15" spans="1:35" x14ac:dyDescent="0.25">
      <c r="A15">
        <v>14</v>
      </c>
      <c r="B15" t="s">
        <v>34</v>
      </c>
      <c r="C15" t="s">
        <v>35</v>
      </c>
      <c r="D15" t="s">
        <v>35</v>
      </c>
      <c r="E15" t="s">
        <v>36</v>
      </c>
      <c r="F15" t="s">
        <v>38</v>
      </c>
      <c r="G15" t="s">
        <v>100</v>
      </c>
      <c r="H15">
        <v>-12.318159</v>
      </c>
      <c r="I15">
        <v>-76.824110000000005</v>
      </c>
      <c r="J15" t="str">
        <f>HYPERLINK("https://www.google.com/maps/search/?api=1&amp;query=-12.318159,-76.82411","Punta Hermosa, Lima")</f>
        <v>Punta Hermosa, Lima</v>
      </c>
      <c r="K15" t="s">
        <v>91</v>
      </c>
      <c r="L15" t="s">
        <v>92</v>
      </c>
      <c r="M15">
        <v>2756.1</v>
      </c>
      <c r="N15" t="s">
        <v>36</v>
      </c>
      <c r="O15">
        <v>10.3</v>
      </c>
      <c r="P15">
        <v>603.63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>
        <v>100</v>
      </c>
      <c r="Y15" t="s">
        <v>38</v>
      </c>
      <c r="Z15" t="s">
        <v>101</v>
      </c>
      <c r="AA15" t="str">
        <f>IF("ONLINE"="NOGPS","GPS Antiguo","En línea")</f>
        <v>En línea</v>
      </c>
      <c r="AB15" t="str">
        <f t="shared" si="1"/>
        <v>Sin atender</v>
      </c>
      <c r="AC15" t="s">
        <v>36</v>
      </c>
      <c r="AD15" t="s">
        <v>36</v>
      </c>
      <c r="AE15" t="s">
        <v>36</v>
      </c>
      <c r="AF15" t="s">
        <v>36</v>
      </c>
      <c r="AG15" t="s">
        <v>102</v>
      </c>
      <c r="AH15" t="s">
        <v>103</v>
      </c>
      <c r="AI15" t="s">
        <v>36</v>
      </c>
    </row>
    <row r="16" spans="1:35" x14ac:dyDescent="0.25">
      <c r="A16">
        <v>15</v>
      </c>
      <c r="B16" t="s">
        <v>34</v>
      </c>
      <c r="C16" t="s">
        <v>35</v>
      </c>
      <c r="D16" t="s">
        <v>35</v>
      </c>
      <c r="E16" t="s">
        <v>36</v>
      </c>
      <c r="F16" t="s">
        <v>38</v>
      </c>
      <c r="G16" t="s">
        <v>104</v>
      </c>
      <c r="H16">
        <v>-12.317878</v>
      </c>
      <c r="I16">
        <v>-76.82441</v>
      </c>
      <c r="J16" t="str">
        <f>HYPERLINK("https://www.google.com/maps/search/?api=1&amp;query=-12.317878,-76.82441","Punta Hermosa, Lima")</f>
        <v>Punta Hermosa, Lima</v>
      </c>
      <c r="K16" t="s">
        <v>46</v>
      </c>
      <c r="L16" t="s">
        <v>36</v>
      </c>
      <c r="M16">
        <v>2756.1</v>
      </c>
      <c r="N16" t="s">
        <v>36</v>
      </c>
      <c r="O16">
        <v>0</v>
      </c>
      <c r="P16">
        <v>603.63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>
        <v>100</v>
      </c>
      <c r="Y16" t="s">
        <v>38</v>
      </c>
      <c r="Z16" t="s">
        <v>105</v>
      </c>
      <c r="AA16" t="str">
        <f>IF("ONLINE"="NOGPS","GPS Antiguo","En línea")</f>
        <v>En línea</v>
      </c>
      <c r="AB16" t="str">
        <f t="shared" si="1"/>
        <v>Sin atender</v>
      </c>
      <c r="AC16" t="s">
        <v>36</v>
      </c>
      <c r="AD16" t="s">
        <v>36</v>
      </c>
      <c r="AE16" t="s">
        <v>36</v>
      </c>
      <c r="AF16" t="s">
        <v>36</v>
      </c>
      <c r="AG16" t="s">
        <v>106</v>
      </c>
      <c r="AH16" t="s">
        <v>107</v>
      </c>
      <c r="AI16" t="s">
        <v>36</v>
      </c>
    </row>
    <row r="17" spans="1:35" x14ac:dyDescent="0.25">
      <c r="A17">
        <v>16</v>
      </c>
      <c r="B17" t="s">
        <v>34</v>
      </c>
      <c r="C17" t="s">
        <v>35</v>
      </c>
      <c r="D17" t="s">
        <v>35</v>
      </c>
      <c r="E17" t="s">
        <v>36</v>
      </c>
      <c r="F17" t="s">
        <v>38</v>
      </c>
      <c r="G17" t="s">
        <v>108</v>
      </c>
      <c r="H17">
        <v>-12.317707</v>
      </c>
      <c r="I17">
        <v>-76.824380000000005</v>
      </c>
      <c r="J17" t="str">
        <f>HYPERLINK("https://www.google.com/maps/search/?api=1&amp;query=-12.317707,-76.82438","Punta Hermosa, Lima")</f>
        <v>Punta Hermosa, Lima</v>
      </c>
      <c r="K17" t="s">
        <v>91</v>
      </c>
      <c r="L17" t="s">
        <v>92</v>
      </c>
      <c r="M17">
        <v>2756.1</v>
      </c>
      <c r="N17" t="s">
        <v>36</v>
      </c>
      <c r="O17">
        <v>0</v>
      </c>
      <c r="P17">
        <v>603.63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>
        <v>100</v>
      </c>
      <c r="Y17" t="s">
        <v>38</v>
      </c>
      <c r="Z17" t="s">
        <v>109</v>
      </c>
      <c r="AA17" t="str">
        <f>IF("ONLINE"="NOGPS","GPS Antiguo","En línea")</f>
        <v>En línea</v>
      </c>
      <c r="AB17" t="str">
        <f t="shared" si="1"/>
        <v>Sin atender</v>
      </c>
      <c r="AC17" t="s">
        <v>36</v>
      </c>
      <c r="AD17" t="s">
        <v>36</v>
      </c>
      <c r="AE17" t="s">
        <v>36</v>
      </c>
      <c r="AF17" t="s">
        <v>36</v>
      </c>
      <c r="AG17" t="s">
        <v>110</v>
      </c>
      <c r="AH17" t="s">
        <v>111</v>
      </c>
      <c r="AI17" t="s">
        <v>36</v>
      </c>
    </row>
    <row r="18" spans="1:35" x14ac:dyDescent="0.25">
      <c r="A18">
        <v>17</v>
      </c>
      <c r="B18" t="s">
        <v>34</v>
      </c>
      <c r="C18" t="s">
        <v>35</v>
      </c>
      <c r="D18" t="s">
        <v>35</v>
      </c>
      <c r="E18" t="s">
        <v>36</v>
      </c>
      <c r="F18" t="s">
        <v>38</v>
      </c>
      <c r="G18" t="s">
        <v>112</v>
      </c>
      <c r="H18">
        <v>-12.317876999999999</v>
      </c>
      <c r="I18">
        <v>-76.824330000000003</v>
      </c>
      <c r="J18" t="str">
        <f>HYPERLINK("https://www.google.com/maps/search/?api=1&amp;query=-12.317877,-76.82433","Punta Hermosa, Lima")</f>
        <v>Punta Hermosa, Lima</v>
      </c>
      <c r="K18" t="s">
        <v>46</v>
      </c>
      <c r="L18" t="s">
        <v>36</v>
      </c>
      <c r="M18">
        <v>2756.2</v>
      </c>
      <c r="N18" t="s">
        <v>36</v>
      </c>
      <c r="O18">
        <v>0</v>
      </c>
      <c r="P18">
        <v>603.63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>
        <v>100</v>
      </c>
      <c r="Y18" t="s">
        <v>38</v>
      </c>
      <c r="Z18" t="s">
        <v>113</v>
      </c>
      <c r="AA18" t="str">
        <f>IF("NOGPS"="NOGPS","GPS Antiguo","En línea")</f>
        <v>GPS Antiguo</v>
      </c>
      <c r="AB18" t="str">
        <f t="shared" si="1"/>
        <v>Sin atender</v>
      </c>
      <c r="AC18" t="s">
        <v>36</v>
      </c>
      <c r="AD18" t="s">
        <v>36</v>
      </c>
      <c r="AE18" t="s">
        <v>36</v>
      </c>
      <c r="AF18" t="s">
        <v>36</v>
      </c>
      <c r="AG18" t="s">
        <v>114</v>
      </c>
      <c r="AH18" t="s">
        <v>115</v>
      </c>
      <c r="AI18" t="s">
        <v>36</v>
      </c>
    </row>
    <row r="19" spans="1:35" x14ac:dyDescent="0.25">
      <c r="A19">
        <v>18</v>
      </c>
      <c r="B19" t="s">
        <v>34</v>
      </c>
      <c r="C19" t="s">
        <v>35</v>
      </c>
      <c r="D19" t="s">
        <v>35</v>
      </c>
      <c r="E19" t="s">
        <v>36</v>
      </c>
      <c r="F19" t="s">
        <v>38</v>
      </c>
      <c r="G19" t="s">
        <v>116</v>
      </c>
      <c r="H19">
        <v>-12.3177</v>
      </c>
      <c r="I19">
        <v>-76.824460000000002</v>
      </c>
      <c r="J19" t="str">
        <f>HYPERLINK("https://www.google.com/maps/search/?api=1&amp;query=-12.3177,-76.82446","Punta Hermosa, Lima")</f>
        <v>Punta Hermosa, Lima</v>
      </c>
      <c r="K19" t="s">
        <v>91</v>
      </c>
      <c r="L19" t="s">
        <v>92</v>
      </c>
      <c r="M19">
        <v>2756.3</v>
      </c>
      <c r="N19" t="s">
        <v>36</v>
      </c>
      <c r="O19">
        <v>9.1999999999999993</v>
      </c>
      <c r="P19">
        <v>603.75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>
        <v>100</v>
      </c>
      <c r="Y19" t="s">
        <v>38</v>
      </c>
      <c r="Z19" t="s">
        <v>117</v>
      </c>
      <c r="AA19" t="str">
        <f>IF("ONLINE"="NOGPS","GPS Antiguo","En línea")</f>
        <v>En línea</v>
      </c>
      <c r="AB19" t="str">
        <f t="shared" si="1"/>
        <v>Sin atender</v>
      </c>
      <c r="AC19" t="s">
        <v>36</v>
      </c>
      <c r="AD19" t="s">
        <v>36</v>
      </c>
      <c r="AE19" t="s">
        <v>36</v>
      </c>
      <c r="AF19" t="s">
        <v>36</v>
      </c>
      <c r="AG19" t="s">
        <v>118</v>
      </c>
      <c r="AH19" t="s">
        <v>119</v>
      </c>
      <c r="AI19" t="s">
        <v>36</v>
      </c>
    </row>
    <row r="20" spans="1:35" x14ac:dyDescent="0.25">
      <c r="A20">
        <v>19</v>
      </c>
      <c r="B20" t="s">
        <v>34</v>
      </c>
      <c r="C20" t="s">
        <v>35</v>
      </c>
      <c r="D20" t="s">
        <v>35</v>
      </c>
      <c r="E20" t="s">
        <v>36</v>
      </c>
      <c r="F20" t="s">
        <v>38</v>
      </c>
      <c r="G20" t="s">
        <v>120</v>
      </c>
      <c r="H20">
        <v>-12.317985</v>
      </c>
      <c r="I20">
        <v>-76.824295000000006</v>
      </c>
      <c r="J20" t="str">
        <f>HYPERLINK("https://www.google.com/maps/search/?api=1&amp;query=-12.317985,-76.824295","Punta Hermosa, Lima")</f>
        <v>Punta Hermosa, Lima</v>
      </c>
      <c r="K20" t="s">
        <v>46</v>
      </c>
      <c r="L20" t="s">
        <v>36</v>
      </c>
      <c r="M20">
        <v>2756.3</v>
      </c>
      <c r="N20" t="s">
        <v>36</v>
      </c>
      <c r="O20">
        <v>0</v>
      </c>
      <c r="P20">
        <v>603.75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>
        <v>100</v>
      </c>
      <c r="Y20" t="s">
        <v>38</v>
      </c>
      <c r="Z20" t="s">
        <v>121</v>
      </c>
      <c r="AA20" t="str">
        <f>IF("ONLINE"="NOGPS","GPS Antiguo","En línea")</f>
        <v>En línea</v>
      </c>
      <c r="AB20" t="str">
        <f t="shared" si="1"/>
        <v>Sin atender</v>
      </c>
      <c r="AC20" t="s">
        <v>36</v>
      </c>
      <c r="AD20" t="s">
        <v>36</v>
      </c>
      <c r="AE20" t="s">
        <v>36</v>
      </c>
      <c r="AF20" t="s">
        <v>36</v>
      </c>
      <c r="AG20" t="s">
        <v>122</v>
      </c>
      <c r="AH20" t="s">
        <v>123</v>
      </c>
      <c r="AI20" t="s">
        <v>36</v>
      </c>
    </row>
    <row r="21" spans="1:35" x14ac:dyDescent="0.25">
      <c r="A21">
        <v>20</v>
      </c>
      <c r="B21" t="s">
        <v>34</v>
      </c>
      <c r="C21" t="s">
        <v>35</v>
      </c>
      <c r="D21" t="s">
        <v>35</v>
      </c>
      <c r="E21" t="s">
        <v>36</v>
      </c>
      <c r="F21" t="s">
        <v>38</v>
      </c>
      <c r="G21" t="s">
        <v>124</v>
      </c>
      <c r="H21">
        <v>-12.317610999999999</v>
      </c>
      <c r="I21">
        <v>-76.8245</v>
      </c>
      <c r="J21" t="str">
        <f>HYPERLINK("https://www.google.com/maps/search/?api=1&amp;query=-12.317611,-76.8245","Punta Hermosa, Lima")</f>
        <v>Punta Hermosa, Lima</v>
      </c>
      <c r="K21" t="s">
        <v>91</v>
      </c>
      <c r="L21" t="s">
        <v>92</v>
      </c>
      <c r="M21">
        <v>2756.5</v>
      </c>
      <c r="N21" t="s">
        <v>36</v>
      </c>
      <c r="O21">
        <v>0</v>
      </c>
      <c r="P21">
        <v>603.83000000000004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>
        <v>100</v>
      </c>
      <c r="Y21" t="s">
        <v>38</v>
      </c>
      <c r="Z21" t="s">
        <v>125</v>
      </c>
      <c r="AA21" t="str">
        <f>IF("ONLINE"="NOGPS","GPS Antiguo","En línea")</f>
        <v>En línea</v>
      </c>
      <c r="AB21" t="str">
        <f t="shared" si="1"/>
        <v>Sin atender</v>
      </c>
      <c r="AC21" t="s">
        <v>36</v>
      </c>
      <c r="AD21" t="s">
        <v>36</v>
      </c>
      <c r="AE21" t="s">
        <v>36</v>
      </c>
      <c r="AF21" t="s">
        <v>36</v>
      </c>
      <c r="AG21" t="s">
        <v>126</v>
      </c>
      <c r="AH21" t="s">
        <v>127</v>
      </c>
      <c r="AI21" t="s">
        <v>36</v>
      </c>
    </row>
    <row r="22" spans="1:35" x14ac:dyDescent="0.25">
      <c r="A22">
        <v>21</v>
      </c>
      <c r="B22" t="s">
        <v>34</v>
      </c>
      <c r="C22" t="s">
        <v>35</v>
      </c>
      <c r="D22" t="s">
        <v>35</v>
      </c>
      <c r="E22" t="s">
        <v>36</v>
      </c>
      <c r="F22" t="s">
        <v>38</v>
      </c>
      <c r="G22" t="s">
        <v>128</v>
      </c>
      <c r="H22">
        <v>-12.317610999999999</v>
      </c>
      <c r="I22">
        <v>-76.8245</v>
      </c>
      <c r="J22" t="str">
        <f>HYPERLINK("https://www.google.com/maps/search/?api=1&amp;query=-12.317611,-76.8245","Punta Hermosa, Lima")</f>
        <v>Punta Hermosa, Lima</v>
      </c>
      <c r="K22" t="s">
        <v>46</v>
      </c>
      <c r="L22" t="s">
        <v>36</v>
      </c>
      <c r="M22">
        <v>2756.5</v>
      </c>
      <c r="N22" t="s">
        <v>36</v>
      </c>
      <c r="O22">
        <v>0</v>
      </c>
      <c r="P22">
        <v>603.83000000000004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>
        <v>100</v>
      </c>
      <c r="Y22" t="s">
        <v>38</v>
      </c>
      <c r="Z22" t="s">
        <v>129</v>
      </c>
      <c r="AA22" t="str">
        <f>IF("NOGPS"="NOGPS","GPS Antiguo","En línea")</f>
        <v>GPS Antiguo</v>
      </c>
      <c r="AB22" t="str">
        <f t="shared" si="1"/>
        <v>Sin atender</v>
      </c>
      <c r="AC22" t="s">
        <v>36</v>
      </c>
      <c r="AD22" t="s">
        <v>36</v>
      </c>
      <c r="AE22" t="s">
        <v>36</v>
      </c>
      <c r="AF22" t="s">
        <v>36</v>
      </c>
      <c r="AG22" t="s">
        <v>130</v>
      </c>
      <c r="AH22" t="s">
        <v>131</v>
      </c>
      <c r="AI22" t="s">
        <v>36</v>
      </c>
    </row>
    <row r="23" spans="1:35" x14ac:dyDescent="0.25">
      <c r="A23">
        <v>22</v>
      </c>
      <c r="B23" t="s">
        <v>34</v>
      </c>
      <c r="C23" t="s">
        <v>35</v>
      </c>
      <c r="D23" t="s">
        <v>35</v>
      </c>
      <c r="E23" t="s">
        <v>37</v>
      </c>
      <c r="F23" t="s">
        <v>38</v>
      </c>
      <c r="G23" t="s">
        <v>132</v>
      </c>
      <c r="H23">
        <v>-12.317529</v>
      </c>
      <c r="I23">
        <v>-76.829859999999996</v>
      </c>
      <c r="J23" t="str">
        <f>HYPERLINK("https://www.google.com/maps/search/?api=1&amp;query=-12.317529,-76.82986","Punta Hermosa, Lima")</f>
        <v>Punta Hermosa, Lima</v>
      </c>
      <c r="K23" t="s">
        <v>51</v>
      </c>
      <c r="L23" t="s">
        <v>36</v>
      </c>
      <c r="M23">
        <v>2757.2</v>
      </c>
      <c r="N23" t="s">
        <v>86</v>
      </c>
      <c r="O23">
        <v>18.2</v>
      </c>
      <c r="P23">
        <v>603.97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>
        <v>100</v>
      </c>
      <c r="Y23" t="s">
        <v>38</v>
      </c>
      <c r="Z23" t="s">
        <v>133</v>
      </c>
      <c r="AA23" t="str">
        <f t="shared" ref="AA23:AA29" si="2">IF("ONLINE"="NOGPS","GPS Antiguo","En línea")</f>
        <v>En línea</v>
      </c>
      <c r="AB23" t="str">
        <f t="shared" si="1"/>
        <v>Sin atender</v>
      </c>
      <c r="AC23" t="s">
        <v>36</v>
      </c>
      <c r="AD23" t="s">
        <v>36</v>
      </c>
      <c r="AE23" t="s">
        <v>36</v>
      </c>
      <c r="AF23" t="s">
        <v>36</v>
      </c>
      <c r="AG23" t="s">
        <v>134</v>
      </c>
      <c r="AH23" t="s">
        <v>135</v>
      </c>
      <c r="AI23" t="s">
        <v>36</v>
      </c>
    </row>
    <row r="24" spans="1:35" x14ac:dyDescent="0.25">
      <c r="A24">
        <v>23</v>
      </c>
      <c r="B24" t="s">
        <v>34</v>
      </c>
      <c r="C24" t="s">
        <v>35</v>
      </c>
      <c r="D24" t="s">
        <v>35</v>
      </c>
      <c r="E24" t="s">
        <v>36</v>
      </c>
      <c r="F24" t="s">
        <v>38</v>
      </c>
      <c r="G24" t="s">
        <v>136</v>
      </c>
      <c r="H24">
        <v>-12.282598</v>
      </c>
      <c r="I24">
        <v>-76.879419999999996</v>
      </c>
      <c r="J24" t="str">
        <f>HYPERLINK("https://www.google.com/maps/search/?api=1&amp;query=-12.282598,-76.87942","Carretera Panamericana Sur, Lurín, Lima")</f>
        <v>Carretera Panamericana Sur, Lurín, Lima</v>
      </c>
      <c r="K24" t="s">
        <v>56</v>
      </c>
      <c r="L24" t="s">
        <v>36</v>
      </c>
      <c r="M24">
        <v>2763.1</v>
      </c>
      <c r="N24" t="s">
        <v>36</v>
      </c>
      <c r="O24">
        <v>85.5</v>
      </c>
      <c r="P24">
        <v>604.08000000000004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>
        <v>100</v>
      </c>
      <c r="Y24" t="s">
        <v>38</v>
      </c>
      <c r="Z24" t="s">
        <v>137</v>
      </c>
      <c r="AA24" t="str">
        <f t="shared" si="2"/>
        <v>En línea</v>
      </c>
      <c r="AB24" t="str">
        <f t="shared" si="1"/>
        <v>Sin atender</v>
      </c>
      <c r="AC24" t="s">
        <v>36</v>
      </c>
      <c r="AD24" t="s">
        <v>36</v>
      </c>
      <c r="AE24" t="s">
        <v>36</v>
      </c>
      <c r="AF24" t="s">
        <v>36</v>
      </c>
      <c r="AG24" t="s">
        <v>138</v>
      </c>
      <c r="AH24" t="s">
        <v>139</v>
      </c>
      <c r="AI24" t="s">
        <v>36</v>
      </c>
    </row>
    <row r="25" spans="1:35" x14ac:dyDescent="0.25">
      <c r="A25">
        <v>24</v>
      </c>
      <c r="B25" t="s">
        <v>34</v>
      </c>
      <c r="C25" t="s">
        <v>35</v>
      </c>
      <c r="D25" t="s">
        <v>35</v>
      </c>
      <c r="E25" t="s">
        <v>36</v>
      </c>
      <c r="F25" t="s">
        <v>38</v>
      </c>
      <c r="G25" t="s">
        <v>140</v>
      </c>
      <c r="H25">
        <v>-12.274058999999999</v>
      </c>
      <c r="I25">
        <v>-76.893029999999996</v>
      </c>
      <c r="J25" t="str">
        <f>HYPERLINK("https://www.google.com/maps/search/?api=1&amp;query=-12.274059,-76.89303","Carretera Panamericana Sur, Lurín, Lima")</f>
        <v>Carretera Panamericana Sur, Lurín, Lima</v>
      </c>
      <c r="K25" t="s">
        <v>56</v>
      </c>
      <c r="L25" t="s">
        <v>36</v>
      </c>
      <c r="M25">
        <v>2765.6</v>
      </c>
      <c r="N25" t="s">
        <v>36</v>
      </c>
      <c r="O25">
        <v>81.8</v>
      </c>
      <c r="P25">
        <v>604.12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>
        <v>100</v>
      </c>
      <c r="Y25" t="s">
        <v>38</v>
      </c>
      <c r="Z25" t="s">
        <v>141</v>
      </c>
      <c r="AA25" t="str">
        <f t="shared" si="2"/>
        <v>En línea</v>
      </c>
      <c r="AB25" t="str">
        <f t="shared" si="1"/>
        <v>Sin atender</v>
      </c>
      <c r="AC25" t="s">
        <v>36</v>
      </c>
      <c r="AD25" t="s">
        <v>36</v>
      </c>
      <c r="AE25" t="s">
        <v>36</v>
      </c>
      <c r="AF25" t="s">
        <v>36</v>
      </c>
      <c r="AG25" t="s">
        <v>142</v>
      </c>
      <c r="AH25" t="s">
        <v>143</v>
      </c>
      <c r="AI25" t="s">
        <v>36</v>
      </c>
    </row>
    <row r="26" spans="1:35" x14ac:dyDescent="0.25">
      <c r="A26">
        <v>25</v>
      </c>
      <c r="B26" t="s">
        <v>34</v>
      </c>
      <c r="C26" t="s">
        <v>35</v>
      </c>
      <c r="D26" t="s">
        <v>35</v>
      </c>
      <c r="E26" t="s">
        <v>37</v>
      </c>
      <c r="F26" t="s">
        <v>38</v>
      </c>
      <c r="G26" t="s">
        <v>144</v>
      </c>
      <c r="H26">
        <v>-12.212885</v>
      </c>
      <c r="I26">
        <v>-76.959366000000003</v>
      </c>
      <c r="J26" t="str">
        <f>HYPERLINK("https://www.google.com/maps/search/?api=1&amp;query=-12.212885,-76.959366","Avenida Villa del Mar, Villa El Salvador, Lima")</f>
        <v>Avenida Villa del Mar, Villa El Salvador, Lima</v>
      </c>
      <c r="K26" t="s">
        <v>40</v>
      </c>
      <c r="L26" t="s">
        <v>36</v>
      </c>
      <c r="M26">
        <v>2779.3</v>
      </c>
      <c r="N26" t="s">
        <v>41</v>
      </c>
      <c r="O26">
        <v>9.4</v>
      </c>
      <c r="P26">
        <v>604.54999999999995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>
        <v>100</v>
      </c>
      <c r="Y26" t="s">
        <v>38</v>
      </c>
      <c r="Z26" t="s">
        <v>145</v>
      </c>
      <c r="AA26" t="str">
        <f t="shared" si="2"/>
        <v>En línea</v>
      </c>
      <c r="AB26" t="str">
        <f t="shared" si="1"/>
        <v>Sin atender</v>
      </c>
      <c r="AC26" t="s">
        <v>36</v>
      </c>
      <c r="AD26" t="s">
        <v>36</v>
      </c>
      <c r="AE26" t="s">
        <v>36</v>
      </c>
      <c r="AF26" t="s">
        <v>36</v>
      </c>
      <c r="AG26" t="s">
        <v>146</v>
      </c>
      <c r="AH26" t="s">
        <v>147</v>
      </c>
      <c r="AI26" t="s">
        <v>36</v>
      </c>
    </row>
    <row r="27" spans="1:35" x14ac:dyDescent="0.25">
      <c r="A27">
        <v>26</v>
      </c>
      <c r="B27" t="s">
        <v>34</v>
      </c>
      <c r="C27" t="s">
        <v>35</v>
      </c>
      <c r="D27" t="s">
        <v>35</v>
      </c>
      <c r="E27" t="s">
        <v>36</v>
      </c>
      <c r="F27" t="s">
        <v>38</v>
      </c>
      <c r="G27" t="s">
        <v>148</v>
      </c>
      <c r="H27">
        <v>-12.212925</v>
      </c>
      <c r="I27">
        <v>-76.95917</v>
      </c>
      <c r="J27" t="str">
        <f>HYPERLINK("https://www.google.com/maps/search/?api=1&amp;query=-12.212925,-76.95917","Avenida Villa del Mar, Villa El Salvador, Lima")</f>
        <v>Avenida Villa del Mar, Villa El Salvador, Lima</v>
      </c>
      <c r="K27" t="s">
        <v>91</v>
      </c>
      <c r="L27" t="s">
        <v>92</v>
      </c>
      <c r="M27">
        <v>2779.5</v>
      </c>
      <c r="N27" t="s">
        <v>36</v>
      </c>
      <c r="O27">
        <v>0</v>
      </c>
      <c r="P27">
        <v>604.62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>
        <v>100</v>
      </c>
      <c r="Y27" t="s">
        <v>38</v>
      </c>
      <c r="Z27" t="s">
        <v>149</v>
      </c>
      <c r="AA27" t="str">
        <f t="shared" si="2"/>
        <v>En línea</v>
      </c>
      <c r="AB27" t="str">
        <f t="shared" si="1"/>
        <v>Sin atender</v>
      </c>
      <c r="AC27" t="s">
        <v>36</v>
      </c>
      <c r="AD27" t="s">
        <v>36</v>
      </c>
      <c r="AE27" t="s">
        <v>36</v>
      </c>
      <c r="AF27" t="s">
        <v>36</v>
      </c>
      <c r="AG27" t="s">
        <v>150</v>
      </c>
      <c r="AH27" t="s">
        <v>151</v>
      </c>
      <c r="AI27" t="s">
        <v>36</v>
      </c>
    </row>
    <row r="28" spans="1:35" x14ac:dyDescent="0.25">
      <c r="A28">
        <v>27</v>
      </c>
      <c r="B28" t="s">
        <v>34</v>
      </c>
      <c r="C28" t="s">
        <v>35</v>
      </c>
      <c r="D28" t="s">
        <v>35</v>
      </c>
      <c r="E28" t="s">
        <v>36</v>
      </c>
      <c r="F28" t="s">
        <v>38</v>
      </c>
      <c r="G28" t="s">
        <v>152</v>
      </c>
      <c r="H28">
        <v>-12.212925</v>
      </c>
      <c r="I28">
        <v>-76.95917</v>
      </c>
      <c r="J28" t="str">
        <f>HYPERLINK("https://www.google.com/maps/search/?api=1&amp;query=-12.212925,-76.95917","Avenida Villa del Mar, Villa El Salvador, Lima")</f>
        <v>Avenida Villa del Mar, Villa El Salvador, Lima</v>
      </c>
      <c r="K28" t="s">
        <v>46</v>
      </c>
      <c r="L28" t="s">
        <v>36</v>
      </c>
      <c r="M28">
        <v>2779.5</v>
      </c>
      <c r="N28" t="s">
        <v>36</v>
      </c>
      <c r="O28">
        <v>0</v>
      </c>
      <c r="P28">
        <v>604.62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>
        <v>100</v>
      </c>
      <c r="Y28" t="s">
        <v>38</v>
      </c>
      <c r="Z28" t="s">
        <v>149</v>
      </c>
      <c r="AA28" t="str">
        <f t="shared" si="2"/>
        <v>En línea</v>
      </c>
      <c r="AB28" t="str">
        <f t="shared" si="1"/>
        <v>Sin atender</v>
      </c>
      <c r="AC28" t="s">
        <v>36</v>
      </c>
      <c r="AD28" t="s">
        <v>36</v>
      </c>
      <c r="AE28" t="s">
        <v>36</v>
      </c>
      <c r="AF28" t="s">
        <v>36</v>
      </c>
      <c r="AG28" t="s">
        <v>153</v>
      </c>
      <c r="AH28" t="s">
        <v>154</v>
      </c>
      <c r="AI28" t="s">
        <v>36</v>
      </c>
    </row>
    <row r="29" spans="1:35" x14ac:dyDescent="0.25">
      <c r="A29">
        <v>28</v>
      </c>
      <c r="B29" t="s">
        <v>34</v>
      </c>
      <c r="C29" t="s">
        <v>35</v>
      </c>
      <c r="D29" t="s">
        <v>35</v>
      </c>
      <c r="E29" t="s">
        <v>36</v>
      </c>
      <c r="F29" t="s">
        <v>38</v>
      </c>
      <c r="G29" t="s">
        <v>155</v>
      </c>
      <c r="H29">
        <v>-12.212967000000001</v>
      </c>
      <c r="I29">
        <v>-76.95908</v>
      </c>
      <c r="J29" t="str">
        <f>HYPERLINK("https://www.google.com/maps/search/?api=1&amp;query=-12.212967,-76.95908","Avenida Villa del Mar, Villa El Salvador, Lima")</f>
        <v>Avenida Villa del Mar, Villa El Salvador, Lima</v>
      </c>
      <c r="K29" t="s">
        <v>91</v>
      </c>
      <c r="L29" t="s">
        <v>92</v>
      </c>
      <c r="M29">
        <v>2779.6</v>
      </c>
      <c r="N29" t="s">
        <v>36</v>
      </c>
      <c r="O29">
        <v>0</v>
      </c>
      <c r="P29">
        <v>604.63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>
        <v>100</v>
      </c>
      <c r="Y29" t="s">
        <v>38</v>
      </c>
      <c r="Z29" t="s">
        <v>156</v>
      </c>
      <c r="AA29" t="str">
        <f t="shared" si="2"/>
        <v>En línea</v>
      </c>
      <c r="AB29" t="str">
        <f t="shared" si="1"/>
        <v>Sin atender</v>
      </c>
      <c r="AC29" t="s">
        <v>36</v>
      </c>
      <c r="AD29" t="s">
        <v>36</v>
      </c>
      <c r="AE29" t="s">
        <v>36</v>
      </c>
      <c r="AF29" t="s">
        <v>36</v>
      </c>
      <c r="AG29" t="s">
        <v>157</v>
      </c>
      <c r="AH29" t="s">
        <v>158</v>
      </c>
      <c r="AI29" t="s">
        <v>36</v>
      </c>
    </row>
  </sheetData>
  <phoneticPr fontId="1" type="noConversion"/>
  <pageMargins left="0.7" right="0.7" top="0.75" bottom="0.75" header="0.3" footer="0.3"/>
  <ignoredErrors>
    <ignoredError sqref="A1:C2 E1:AI29 A4:C29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Alerts</dc:title>
  <dc:subject>Report Alerts</dc:subject>
  <dc:creator>Location World</dc:creator>
  <cp:lastModifiedBy>Operaciones 4 SLI Perú</cp:lastModifiedBy>
  <dcterms:modified xsi:type="dcterms:W3CDTF">2026-09-29T21:27:49Z</dcterms:modified>
</cp:coreProperties>
</file>