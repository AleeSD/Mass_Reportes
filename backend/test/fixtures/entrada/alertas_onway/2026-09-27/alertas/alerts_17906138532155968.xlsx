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/>
      </c>
      <c r="J2" t="str">
        <v>27/09/2026</v>
      </c>
      <c r="K2" t="str">
        <v>05:30:26</v>
      </c>
      <c r="L2">
        <v>-12.170452</v>
      </c>
      <c r="M2">
        <v>-76.929</v>
      </c>
      <c r="N2">
        <f>HYPERLINK("https://www.google.com/maps/search/?api=1&amp;query=-12.170452,-76.929","Avenida 28 de Julio, Villa María del Triunfo, Lima")</f>
      </c>
      <c r="O2" t="str">
        <v>Fuente principal conectada</v>
      </c>
      <c r="P2">
        <v>295479.5</v>
      </c>
      <c r="Q2" t="str">
        <v/>
      </c>
      <c r="R2">
        <v>0</v>
      </c>
      <c r="S2">
        <v>126.25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0</v>
      </c>
      <c r="AB2" t="str">
        <v>27/09/2026</v>
      </c>
      <c r="AC2" t="str">
        <v>05:30:21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27/09/2026 05:30:43</v>
      </c>
      <c r="AK2" t="str">
        <v>05:30:43</v>
      </c>
      <c r="AL2" t="str">
        <v/>
      </c>
    </row>
    <row r="3">
      <c r="A3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/>
      </c>
      <c r="J3" t="str">
        <v>27/09/2026</v>
      </c>
      <c r="K3" t="str">
        <v>05:30:39</v>
      </c>
      <c r="L3">
        <v>-12.170445</v>
      </c>
      <c r="M3">
        <v>-76.929</v>
      </c>
      <c r="N3">
        <f>HYPERLINK("https://www.google.com/maps/search/?api=1&amp;query=-12.170445,-76.929","Avenida 28 de Julio, Villa María del Triunfo, Lima")</f>
      </c>
      <c r="O3" t="str">
        <v>Vehículo encendido</v>
      </c>
      <c r="P3">
        <v>295479.5</v>
      </c>
      <c r="Q3" t="str">
        <v/>
      </c>
      <c r="R3">
        <v>0</v>
      </c>
      <c r="S3">
        <v>126.25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0</v>
      </c>
      <c r="AB3" t="str">
        <v>27/09/2026</v>
      </c>
      <c r="AC3" t="str">
        <v>05:30:35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27/09/2026 05:30:45</v>
      </c>
      <c r="AK3" t="str">
        <v>05:30:45</v>
      </c>
      <c r="AL3" t="str">
        <v/>
      </c>
    </row>
    <row r="4">
      <c r="A4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/>
      </c>
      <c r="J4" t="str">
        <v>27/09/2026</v>
      </c>
      <c r="K4" t="str">
        <v>05:34:58</v>
      </c>
      <c r="L4">
        <v>-12.171119</v>
      </c>
      <c r="M4">
        <v>-76.93081</v>
      </c>
      <c r="N4">
        <f>HYPERLINK("https://www.google.com/maps/search/?api=1&amp;query=-12.171119,-76.93081","Avenida 26 de Noviembre, Villa María del Triunfo, Lima")</f>
      </c>
      <c r="O4" t="str">
        <v>Acelerado y giro brusco</v>
      </c>
      <c r="P4">
        <v>295479.8</v>
      </c>
      <c r="Q4" t="str">
        <v/>
      </c>
      <c r="R4">
        <v>6.2</v>
      </c>
      <c r="S4">
        <v>126.25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34</v>
      </c>
      <c r="AB4" t="str">
        <v>27/09/2026</v>
      </c>
      <c r="AC4" t="str">
        <v>05:34:53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27/09/2026 05:35:24</v>
      </c>
      <c r="AK4" t="str">
        <v>05:35:24</v>
      </c>
      <c r="AL4" t="str">
        <v/>
      </c>
    </row>
    <row r="5">
      <c r="A5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/>
      </c>
      <c r="J5" t="str">
        <v>27/09/2026</v>
      </c>
      <c r="K5" t="str">
        <v>05:35:16</v>
      </c>
      <c r="L5">
        <v>-12.171725</v>
      </c>
      <c r="M5">
        <v>-76.93164</v>
      </c>
      <c r="N5">
        <f>HYPERLINK("https://www.google.com/maps/search/?api=1&amp;query=-12.171725,-76.93164","Avenida 26 de Noviembre, Villa María del Triunfo, Lima")</f>
      </c>
      <c r="O5" t="str">
        <v>Bache</v>
      </c>
      <c r="P5">
        <v>295479.9</v>
      </c>
      <c r="Q5" t="str">
        <v/>
      </c>
      <c r="R5">
        <v>36.6</v>
      </c>
      <c r="S5">
        <v>126.25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34</v>
      </c>
      <c r="AB5" t="str">
        <v>27/09/2026</v>
      </c>
      <c r="AC5" t="str">
        <v>05:35:11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27/09/2026 05:35:38</v>
      </c>
      <c r="AK5" t="str">
        <v>05:35:38</v>
      </c>
      <c r="AL5" t="str">
        <v/>
      </c>
    </row>
    <row r="6">
      <c r="A6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/>
      </c>
      <c r="J6" t="str">
        <v>27/09/2026</v>
      </c>
      <c r="K6" t="str">
        <v>05:35:35</v>
      </c>
      <c r="L6">
        <v>-12.172902</v>
      </c>
      <c r="M6">
        <v>-76.93325</v>
      </c>
      <c r="N6">
        <f>HYPERLINK("https://www.google.com/maps/search/?api=1&amp;query=-12.172902,-76.93325","Avenida 26 de Noviembre, Villa María del Triunfo, Lima")</f>
      </c>
      <c r="O6" t="str">
        <v>Bache</v>
      </c>
      <c r="P6">
        <v>295480.2</v>
      </c>
      <c r="Q6" t="str">
        <v/>
      </c>
      <c r="R6">
        <v>42</v>
      </c>
      <c r="S6">
        <v>126.25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32</v>
      </c>
      <c r="AB6" t="str">
        <v>27/09/2026</v>
      </c>
      <c r="AC6" t="str">
        <v>05:35:30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27/09/2026 05:36:02</v>
      </c>
      <c r="AK6" t="str">
        <v>05:36:02</v>
      </c>
      <c r="AL6" t="str">
        <v/>
      </c>
    </row>
    <row r="7">
      <c r="A7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/>
      </c>
      <c r="J7" t="str">
        <v>27/09/2026</v>
      </c>
      <c r="K7" t="str">
        <v>05:35:42</v>
      </c>
      <c r="L7">
        <v>-12.173402</v>
      </c>
      <c r="M7">
        <v>-76.93392</v>
      </c>
      <c r="N7">
        <f>HYPERLINK("https://www.google.com/maps/search/?api=1&amp;query=-12.173402,-76.93392","Avenida 26 de Noviembre, Villa María del Triunfo, Lima")</f>
      </c>
      <c r="O7" t="str">
        <v>Exceso de velocidad en segmento vial</v>
      </c>
      <c r="P7">
        <v>295480.3</v>
      </c>
      <c r="Q7" t="str">
        <v/>
      </c>
      <c r="R7">
        <v>52.9</v>
      </c>
      <c r="S7">
        <v>126.25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34</v>
      </c>
      <c r="AB7" t="str">
        <v>27/09/2026</v>
      </c>
      <c r="AC7" t="str">
        <v>05:35:37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27/09/2026 05:36:09</v>
      </c>
      <c r="AK7" t="str">
        <v>05:36:09</v>
      </c>
      <c r="AL7" t="str">
        <v/>
      </c>
    </row>
    <row r="8">
      <c r="A8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/>
      </c>
      <c r="J8" t="str">
        <v>27/09/2026</v>
      </c>
      <c r="K8" t="str">
        <v>05:35:48</v>
      </c>
      <c r="L8">
        <v>-12.173908</v>
      </c>
      <c r="M8">
        <v>-76.93461</v>
      </c>
      <c r="N8">
        <f>HYPERLINK("https://www.google.com/maps/search/?api=1&amp;query=-12.173908,-76.93461","Avenida 26 de Noviembre, Villa María del Triunfo, Lima")</f>
      </c>
      <c r="O8" t="str">
        <v>Ingreso a camino vecinal</v>
      </c>
      <c r="P8">
        <v>295480.3</v>
      </c>
      <c r="Q8" t="str">
        <v/>
      </c>
      <c r="R8">
        <v>57.2</v>
      </c>
      <c r="S8">
        <v>126.25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32</v>
      </c>
      <c r="AB8" t="str">
        <v>27/09/2026</v>
      </c>
      <c r="AC8" t="str">
        <v>05:35:43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27/09/2026 05:36:06</v>
      </c>
      <c r="AK8" t="str">
        <v>05:36:06</v>
      </c>
      <c r="AL8" t="str">
        <v/>
      </c>
    </row>
    <row r="9">
      <c r="A9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/>
      </c>
      <c r="J9" t="str">
        <v>27/09/2026</v>
      </c>
      <c r="K9" t="str">
        <v>05:37:40</v>
      </c>
      <c r="L9">
        <v>-12.182342</v>
      </c>
      <c r="M9">
        <v>-76.942505</v>
      </c>
      <c r="N9">
        <f>HYPERLINK("https://www.google.com/maps/search/?api=1&amp;query=-12.182342,-76.942505","Avenida Pachacútec, Villa María del Triunfo, Lima")</f>
      </c>
      <c r="O9" t="str">
        <v>Exceso de velocidad en segmento vial</v>
      </c>
      <c r="P9">
        <v>295481.8</v>
      </c>
      <c r="Q9" t="str">
        <v/>
      </c>
      <c r="R9">
        <v>41.2</v>
      </c>
      <c r="S9">
        <v>126.25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32</v>
      </c>
      <c r="AB9" t="str">
        <v>27/09/2026</v>
      </c>
      <c r="AC9" t="str">
        <v>05:37:36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27/09/2026 05:38:04</v>
      </c>
      <c r="AK9" t="str">
        <v>05:38:04</v>
      </c>
      <c r="AL9" t="str">
        <v/>
      </c>
    </row>
    <row r="10">
      <c r="A10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/>
      </c>
      <c r="J10" t="str">
        <v>27/09/2026</v>
      </c>
      <c r="K10" t="str">
        <v>05:38:49</v>
      </c>
      <c r="L10">
        <v>-12.18518</v>
      </c>
      <c r="M10">
        <v>-76.94634</v>
      </c>
      <c r="N10">
        <f>HYPERLINK("https://www.google.com/maps/search/?api=1&amp;query=-12.18518,-76.94634","Avenida Separadora Industrial, Villa El Salvador, Lima")</f>
      </c>
      <c r="O10" t="str">
        <v>Salida de camino vecinal</v>
      </c>
      <c r="P10">
        <v>295482.4</v>
      </c>
      <c r="Q10" t="str">
        <v/>
      </c>
      <c r="R10">
        <v>26.8</v>
      </c>
      <c r="S10">
        <v>126.25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33</v>
      </c>
      <c r="AB10" t="str">
        <v>27/09/2026</v>
      </c>
      <c r="AC10" t="str">
        <v>05:38:44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27/09/2026 05:39:06</v>
      </c>
      <c r="AK10" t="str">
        <v>05:39:06</v>
      </c>
      <c r="AL10" t="str">
        <v/>
      </c>
    </row>
    <row r="11">
      <c r="A11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/>
      </c>
      <c r="J11" t="str">
        <v>27/09/2026</v>
      </c>
      <c r="K11" t="str">
        <v>05:39:45</v>
      </c>
      <c r="L11">
        <v>-12.187714</v>
      </c>
      <c r="M11">
        <v>-76.94545</v>
      </c>
      <c r="N11">
        <f>HYPERLINK("https://www.google.com/maps/search/?api=1&amp;query=-12.187714,-76.94545","Avenida Separadora Industrial, Villa El Salvador, Lima")</f>
      </c>
      <c r="O11" t="str">
        <v>Bache</v>
      </c>
      <c r="P11">
        <v>295482.7</v>
      </c>
      <c r="Q11" t="str">
        <v/>
      </c>
      <c r="R11">
        <v>13.8</v>
      </c>
      <c r="S11">
        <v>126.25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33</v>
      </c>
      <c r="AB11" t="str">
        <v>27/09/2026</v>
      </c>
      <c r="AC11" t="str">
        <v>05:39:40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27/09/2026 05:40:11</v>
      </c>
      <c r="AK11" t="str">
        <v>05:40:11</v>
      </c>
      <c r="AL11" t="str">
        <v/>
      </c>
    </row>
    <row r="12">
      <c r="A12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/>
      </c>
      <c r="J12" t="str">
        <v>27/09/2026</v>
      </c>
      <c r="K12" t="str">
        <v>05:39:49</v>
      </c>
      <c r="L12">
        <v>-12.187847</v>
      </c>
      <c r="M12">
        <v>-76.94539</v>
      </c>
      <c r="N12">
        <f>HYPERLINK("https://www.google.com/maps/search/?api=1&amp;query=-12.187847,-76.94539","Avenida Separadora Industrial, Villa El Salvador, Lima")</f>
      </c>
      <c r="O12" t="str">
        <v>Ingreso a camino vecinal</v>
      </c>
      <c r="P12">
        <v>295482.7</v>
      </c>
      <c r="Q12" t="str">
        <v/>
      </c>
      <c r="R12">
        <v>16.2</v>
      </c>
      <c r="S12">
        <v>126.25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33</v>
      </c>
      <c r="AB12" t="str">
        <v>27/09/2026</v>
      </c>
      <c r="AC12" t="str">
        <v>05:39:44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27/09/2026 05:40:11</v>
      </c>
      <c r="AK12" t="str">
        <v>05:40:11</v>
      </c>
      <c r="AL12" t="str">
        <v/>
      </c>
    </row>
    <row r="13">
      <c r="A13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/>
      </c>
      <c r="J13" t="str">
        <v>27/09/2026</v>
      </c>
      <c r="K13" t="str">
        <v>05:40:49</v>
      </c>
      <c r="L13">
        <v>-12.190763</v>
      </c>
      <c r="M13">
        <v>-76.945045</v>
      </c>
      <c r="N13">
        <f>HYPERLINK("https://www.google.com/maps/search/?api=1&amp;query=-12.190763,-76.945045","Avenida Primero de Mayo, Villa El Salvador, Lima")</f>
      </c>
      <c r="O13" t="str">
        <v>Salida de camino vecinal</v>
      </c>
      <c r="P13">
        <v>295483.1</v>
      </c>
      <c r="Q13" t="str">
        <v/>
      </c>
      <c r="R13">
        <v>12.5</v>
      </c>
      <c r="S13">
        <v>126.25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37</v>
      </c>
      <c r="AB13" t="str">
        <v>27/09/2026</v>
      </c>
      <c r="AC13" t="str">
        <v>05:40:44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27/09/2026 05:41:18</v>
      </c>
      <c r="AK13" t="str">
        <v>05:41:18</v>
      </c>
      <c r="AL13" t="str">
        <v/>
      </c>
    </row>
    <row r="14">
      <c r="A14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/>
      </c>
      <c r="J14" t="str">
        <v>27/09/2026</v>
      </c>
      <c r="K14" t="str">
        <v>05:40:55</v>
      </c>
      <c r="L14">
        <v>-12.190805</v>
      </c>
      <c r="M14">
        <v>-76.94513</v>
      </c>
      <c r="N14">
        <f>HYPERLINK("https://www.google.com/maps/search/?api=1&amp;query=-12.190805,-76.94513","Avenida Primero de Mayo, Villa El Salvador, Lima")</f>
      </c>
      <c r="O14" t="str">
        <v>Bache</v>
      </c>
      <c r="P14">
        <v>295483.2</v>
      </c>
      <c r="Q14" t="str">
        <v/>
      </c>
      <c r="R14">
        <v>7.9</v>
      </c>
      <c r="S14">
        <v>126.25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37</v>
      </c>
      <c r="AB14" t="str">
        <v>27/09/2026</v>
      </c>
      <c r="AC14" t="str">
        <v>05:40:50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27/09/2026 05:41:03</v>
      </c>
      <c r="AK14" t="str">
        <v>05:41:03</v>
      </c>
      <c r="AL14" t="str">
        <v/>
      </c>
    </row>
    <row r="15">
      <c r="A15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/>
      </c>
      <c r="J15" t="str">
        <v>27/09/2026</v>
      </c>
      <c r="K15" t="str">
        <v>05:41:18</v>
      </c>
      <c r="L15">
        <v>-12.19154</v>
      </c>
      <c r="M15">
        <v>-76.9464</v>
      </c>
      <c r="N15">
        <f>HYPERLINK("https://www.google.com/maps/search/?api=1&amp;query=-12.19154,-76.9464","Avenida Primero de Mayo, Villa El Salvador, Lima")</f>
      </c>
      <c r="O15" t="str">
        <v>Aceleración brusca</v>
      </c>
      <c r="P15">
        <v>295483.3</v>
      </c>
      <c r="Q15" t="str">
        <v/>
      </c>
      <c r="R15">
        <v>0</v>
      </c>
      <c r="S15">
        <v>126.25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37</v>
      </c>
      <c r="AB15" t="str">
        <v>27/09/2026</v>
      </c>
      <c r="AC15" t="str">
        <v>05:41:14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27/09/2026 05:41:38</v>
      </c>
      <c r="AK15" t="str">
        <v>05:41:38</v>
      </c>
      <c r="AL15" t="str">
        <v/>
      </c>
    </row>
    <row r="16">
      <c r="A16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/>
      </c>
      <c r="J16" t="str">
        <v>27/09/2026</v>
      </c>
      <c r="K16" t="str">
        <v>05:41:49</v>
      </c>
      <c r="L16">
        <v>-12.193388</v>
      </c>
      <c r="M16">
        <v>-76.94544</v>
      </c>
      <c r="N16">
        <f>HYPERLINK("https://www.google.com/maps/search/?api=1&amp;query=-12.193388,-76.94544","Avenida Central, Villa El Salvador, Lima")</f>
      </c>
      <c r="O16" t="str">
        <v>Ingreso a camino vecinal</v>
      </c>
      <c r="P16">
        <v>295483.5</v>
      </c>
      <c r="Q16" t="str">
        <v/>
      </c>
      <c r="R16">
        <v>38.3</v>
      </c>
      <c r="S16">
        <v>126.25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38</v>
      </c>
      <c r="AB16" t="str">
        <v>27/09/2026</v>
      </c>
      <c r="AC16" t="str">
        <v>05:41:44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27/09/2026 05:42:16</v>
      </c>
      <c r="AK16" t="str">
        <v>05:42:16</v>
      </c>
      <c r="AL16" t="str">
        <v/>
      </c>
    </row>
    <row r="17">
      <c r="A17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/>
      </c>
      <c r="J17" t="str">
        <v>27/09/2026</v>
      </c>
      <c r="K17" t="str">
        <v>05:51:07</v>
      </c>
      <c r="L17">
        <v>-12.221731</v>
      </c>
      <c r="M17">
        <v>-76.97478</v>
      </c>
      <c r="N17">
        <f>HYPERLINK("https://www.google.com/maps/search/?api=1&amp;query=-12.221731,-76.97478","Antigua Panamericana Sur, Villa El Salvador, Lima")</f>
      </c>
      <c r="O17" t="str">
        <v>Vehículo apagado</v>
      </c>
      <c r="P17">
        <v>295488.7</v>
      </c>
      <c r="Q17" t="str">
        <v/>
      </c>
      <c r="R17">
        <v>0</v>
      </c>
      <c r="S17">
        <v>126.58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46</v>
      </c>
      <c r="AB17" t="str">
        <v>27/09/2026</v>
      </c>
      <c r="AC17" t="str">
        <v>05:51:02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27/09/2026 05:51:20</v>
      </c>
      <c r="AK17" t="str">
        <v>05:51:20</v>
      </c>
      <c r="AL17" t="str">
        <v/>
      </c>
    </row>
    <row r="18">
      <c r="A18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/>
      </c>
      <c r="J18" t="str">
        <v>27/09/2026</v>
      </c>
      <c r="K18" t="str">
        <v>05:51:08</v>
      </c>
      <c r="L18">
        <v>-12.221731</v>
      </c>
      <c r="M18">
        <v>-76.97478</v>
      </c>
      <c r="N18">
        <f>HYPERLINK("https://www.google.com/maps/search/?api=1&amp;query=-12.221731,-76.97478","Antigua Panamericana Sur, Villa El Salvador, Lima")</f>
      </c>
      <c r="O18" t="str">
        <v>Salida de camino vecinal</v>
      </c>
      <c r="P18">
        <v>295488.7</v>
      </c>
      <c r="Q18" t="str">
        <v/>
      </c>
      <c r="R18">
        <v>0</v>
      </c>
      <c r="S18">
        <v>126.25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46</v>
      </c>
      <c r="AB18" t="str">
        <v>27/09/2026</v>
      </c>
      <c r="AC18" t="str">
        <v>05:51:03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27/09/2026 05:51:24</v>
      </c>
      <c r="AK18" t="str">
        <v>05:51:24</v>
      </c>
      <c r="AL18" t="str">
        <v/>
      </c>
    </row>
    <row r="19">
      <c r="A19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/>
      </c>
      <c r="J19" t="str">
        <v>27/09/2026</v>
      </c>
      <c r="K19" t="str">
        <v>05:57:30</v>
      </c>
      <c r="L19">
        <v>-12.221731</v>
      </c>
      <c r="M19">
        <v>-76.97478</v>
      </c>
      <c r="N19">
        <f>HYPERLINK("https://www.google.com/maps/search/?api=1&amp;query=-12.221731,-76.97478","Antigua Panamericana Sur, Villa El Salvador, Lima")</f>
      </c>
      <c r="O19" t="str">
        <v>Se detuvo</v>
      </c>
      <c r="P19">
        <v>295488.7</v>
      </c>
      <c r="Q19" t="str">
        <v/>
      </c>
      <c r="R19">
        <v>0</v>
      </c>
      <c r="S19">
        <v>126.58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46</v>
      </c>
      <c r="AB19" t="str">
        <v>27/09/2026</v>
      </c>
      <c r="AC19" t="str">
        <v>05:57:25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27/09/2026 05:57:53</v>
      </c>
      <c r="AK19" t="str">
        <v>05:57:53</v>
      </c>
      <c r="AL19" t="str">
        <v/>
      </c>
    </row>
    <row r="20">
      <c r="A20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/>
      </c>
      <c r="J20" t="str">
        <v>27/09/2026</v>
      </c>
      <c r="K20" t="str">
        <v>06:29:58</v>
      </c>
      <c r="L20">
        <v>-12.221731</v>
      </c>
      <c r="M20">
        <v>-76.97478</v>
      </c>
      <c r="N20">
        <f>HYPERLINK("https://www.google.com/maps/search/?api=1&amp;query=-12.221731,-76.97478","Antigua Panamericana Sur, Villa El Salvador, Lima")</f>
      </c>
      <c r="O20" t="str">
        <v>Vehículo encendido</v>
      </c>
      <c r="P20">
        <v>295488.7</v>
      </c>
      <c r="Q20" t="str">
        <v/>
      </c>
      <c r="R20">
        <v>0</v>
      </c>
      <c r="S20">
        <v>126.58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29</v>
      </c>
      <c r="AB20" t="str">
        <v>27/09/2026</v>
      </c>
      <c r="AC20" t="str">
        <v>06:29:58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27/09/2026 06:30:35</v>
      </c>
      <c r="AK20" t="str">
        <v>06:30:35</v>
      </c>
      <c r="AL20" t="str">
        <v/>
      </c>
    </row>
    <row r="21">
      <c r="A21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/>
      </c>
      <c r="J21" t="str">
        <v>27/09/2026</v>
      </c>
      <c r="K21" t="str">
        <v>06:30:50</v>
      </c>
      <c r="L21">
        <v>-12.221731</v>
      </c>
      <c r="M21">
        <v>-76.97478</v>
      </c>
      <c r="N21">
        <f>HYPERLINK("https://www.google.com/maps/search/?api=1&amp;query=-12.221731,-76.97478","Antigua Panamericana Sur, Villa El Salvador, Lima")</f>
      </c>
      <c r="O21" t="str">
        <v>Vehículo apagado</v>
      </c>
      <c r="P21">
        <v>295488.7</v>
      </c>
      <c r="Q21" t="str">
        <v/>
      </c>
      <c r="R21">
        <v>0</v>
      </c>
      <c r="S21">
        <v>126.6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29</v>
      </c>
      <c r="AB21" t="str">
        <v>27/09/2026</v>
      </c>
      <c r="AC21" t="str">
        <v>06:30:50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27/09/2026 06:31:08</v>
      </c>
      <c r="AK21" t="str">
        <v>06:31:08</v>
      </c>
      <c r="AL21" t="str">
        <v/>
      </c>
    </row>
    <row r="22">
      <c r="A22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/>
      </c>
      <c r="J22" t="str">
        <v>27/09/2026</v>
      </c>
      <c r="K22" t="str">
        <v>07:00:06</v>
      </c>
      <c r="L22">
        <v>-12.221731</v>
      </c>
      <c r="M22">
        <v>-76.97478</v>
      </c>
      <c r="N22">
        <f>HYPERLINK("https://www.google.com/maps/search/?api=1&amp;query=-12.221731,-76.97478","Antigua Panamericana Sur, Villa El Salvador, Lima")</f>
      </c>
      <c r="O22" t="str">
        <v>Se detuvo</v>
      </c>
      <c r="P22">
        <v>295488.7</v>
      </c>
      <c r="Q22" t="str">
        <v/>
      </c>
      <c r="R22">
        <v>0</v>
      </c>
      <c r="S22">
        <v>126.6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31</v>
      </c>
      <c r="AB22" t="str">
        <v>27/09/2026</v>
      </c>
      <c r="AC22" t="str">
        <v>07:00:05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27/09/2026 07:00:21</v>
      </c>
      <c r="AK22" t="str">
        <v>07:00:21</v>
      </c>
      <c r="AL22" t="str">
        <v/>
      </c>
    </row>
    <row r="23">
      <c r="A23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/>
      </c>
      <c r="J23" t="str">
        <v>27/09/2026</v>
      </c>
      <c r="K23" t="str">
        <v>07:01:09</v>
      </c>
      <c r="L23">
        <v>-12.221731</v>
      </c>
      <c r="M23">
        <v>-76.97478</v>
      </c>
      <c r="N23">
        <f>HYPERLINK("https://www.google.com/maps/search/?api=1&amp;query=-12.221731,-76.97478","Antigua Panamericana Sur, Villa El Salvador, Lima")</f>
      </c>
      <c r="O23" t="str">
        <v>Vehículo encendido</v>
      </c>
      <c r="P23">
        <v>295488.7</v>
      </c>
      <c r="Q23" t="str">
        <v/>
      </c>
      <c r="R23">
        <v>0</v>
      </c>
      <c r="S23">
        <v>126.6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31</v>
      </c>
      <c r="AB23" t="str">
        <v>27/09/2026</v>
      </c>
      <c r="AC23" t="str">
        <v>07:01:09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27/09/2026 07:01:27</v>
      </c>
      <c r="AK23" t="str">
        <v>07:01:27</v>
      </c>
      <c r="AL23" t="str">
        <v/>
      </c>
    </row>
    <row r="24">
      <c r="A24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/>
      </c>
      <c r="J24" t="str">
        <v>27/09/2026</v>
      </c>
      <c r="K24" t="str">
        <v>07:02:45</v>
      </c>
      <c r="L24">
        <v>-12.217888</v>
      </c>
      <c r="M24">
        <v>-76.97788</v>
      </c>
      <c r="N24">
        <f>HYPERLINK("https://www.google.com/maps/search/?api=1&amp;query=-12.217888,-76.97788","Avenida Caminos del Inca, Chorrillos, Lima")</f>
      </c>
      <c r="O24" t="str">
        <v>Acelerado y giro brusco</v>
      </c>
      <c r="P24">
        <v>295489.3</v>
      </c>
      <c r="Q24" t="str">
        <v/>
      </c>
      <c r="R24">
        <v>20</v>
      </c>
      <c r="S24">
        <v>126.6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49</v>
      </c>
      <c r="AB24" t="str">
        <v>27/09/2026</v>
      </c>
      <c r="AC24" t="str">
        <v>07:02:44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27/09/2026 07:03:04</v>
      </c>
      <c r="AK24" t="str">
        <v>07:03:04</v>
      </c>
      <c r="AL24" t="str">
        <v/>
      </c>
    </row>
    <row r="25">
      <c r="A25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/>
      </c>
      <c r="J25" t="str">
        <v>27/09/2026</v>
      </c>
      <c r="K25" t="str">
        <v>07:02:47</v>
      </c>
      <c r="L25">
        <v>-12.217885</v>
      </c>
      <c r="M25">
        <v>-76.97798</v>
      </c>
      <c r="N25">
        <f>HYPERLINK("https://www.google.com/maps/search/?api=1&amp;query=-12.217885,-76.97798","Avenida Caminos del Inca, Chorrillos, Lima")</f>
      </c>
      <c r="O25" t="str">
        <v>Bache</v>
      </c>
      <c r="P25">
        <v>295489.3</v>
      </c>
      <c r="Q25" t="str">
        <v/>
      </c>
      <c r="R25">
        <v>11.1</v>
      </c>
      <c r="S25">
        <v>126.6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49</v>
      </c>
      <c r="AB25" t="str">
        <v>27/09/2026</v>
      </c>
      <c r="AC25" t="str">
        <v>07:02:47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27/09/2026 07:03:04</v>
      </c>
      <c r="AK25" t="str">
        <v>07:03:04</v>
      </c>
      <c r="AL25" t="str">
        <v/>
      </c>
    </row>
    <row r="26">
      <c r="A26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/>
      </c>
      <c r="J26" t="str">
        <v>27/09/2026</v>
      </c>
      <c r="K26" t="str">
        <v>07:05:26</v>
      </c>
      <c r="L26">
        <v>-12.225952</v>
      </c>
      <c r="M26">
        <v>-76.97146</v>
      </c>
      <c r="N26">
        <f>HYPERLINK("https://www.google.com/maps/search/?api=1&amp;query=-12.225952,-76.97146","Carretera Panamericana Sur, Villa El Salvador, Lima")</f>
      </c>
      <c r="O26" t="str">
        <v>Aceleración brusca</v>
      </c>
      <c r="P26">
        <v>295491.3</v>
      </c>
      <c r="Q26" t="str">
        <v/>
      </c>
      <c r="R26">
        <v>26.4</v>
      </c>
      <c r="S26">
        <v>126.6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54</v>
      </c>
      <c r="AB26" t="str">
        <v>27/09/2026</v>
      </c>
      <c r="AC26" t="str">
        <v>07:05:26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27/09/2026 07:05:44</v>
      </c>
      <c r="AK26" t="str">
        <v>07:05:44</v>
      </c>
      <c r="AL26" t="str">
        <v/>
      </c>
    </row>
    <row r="27">
      <c r="A27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/>
      </c>
      <c r="J27" t="str">
        <v>27/09/2026</v>
      </c>
      <c r="K27" t="str">
        <v>07:05:38</v>
      </c>
      <c r="L27">
        <v>-12.22665</v>
      </c>
      <c r="M27">
        <v>-76.9709</v>
      </c>
      <c r="N27">
        <f>HYPERLINK("https://www.google.com/maps/search/?api=1&amp;query=-12.22665,-76.9709","Carretera Panamericana Sur, Villa El Salvador, Lima")</f>
      </c>
      <c r="O27" t="str">
        <v>Bache</v>
      </c>
      <c r="P27">
        <v>295491.4</v>
      </c>
      <c r="Q27" t="str">
        <v/>
      </c>
      <c r="R27">
        <v>31.2</v>
      </c>
      <c r="S27">
        <v>126.6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54</v>
      </c>
      <c r="AB27" t="str">
        <v>27/09/2026</v>
      </c>
      <c r="AC27" t="str">
        <v>07:05:37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27/09/2026 07:05:51</v>
      </c>
      <c r="AK27" t="str">
        <v>07:05:51</v>
      </c>
      <c r="AL27" t="str">
        <v/>
      </c>
    </row>
    <row r="28">
      <c r="A28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/>
      </c>
      <c r="J28" t="str">
        <v>27/09/2026</v>
      </c>
      <c r="K28" t="str">
        <v>07:06:18</v>
      </c>
      <c r="L28">
        <v>-12.22986</v>
      </c>
      <c r="M28">
        <v>-76.96748</v>
      </c>
      <c r="N28">
        <f>HYPERLINK("https://www.google.com/maps/search/?api=1&amp;query=-12.22986,-76.96748","Carretera Panamericana Sur, Villa El Salvador, Lima")</f>
      </c>
      <c r="O28" t="str">
        <v>Ingreso a camino vecinal</v>
      </c>
      <c r="P28">
        <v>295491.9</v>
      </c>
      <c r="Q28" t="str">
        <v/>
      </c>
      <c r="R28">
        <v>62</v>
      </c>
      <c r="S28">
        <v>126.6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54</v>
      </c>
      <c r="AB28" t="str">
        <v>27/09/2026</v>
      </c>
      <c r="AC28" t="str">
        <v>07:06:17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27/09/2026 07:06:41</v>
      </c>
      <c r="AK28" t="str">
        <v>07:06:41</v>
      </c>
      <c r="AL28" t="str">
        <v/>
      </c>
    </row>
    <row r="29">
      <c r="A29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/>
      </c>
      <c r="J29" t="str">
        <v>27/09/2026</v>
      </c>
      <c r="K29" t="str">
        <v>07:10:18</v>
      </c>
      <c r="L29">
        <v>-12.250069</v>
      </c>
      <c r="M29">
        <v>-76.93107</v>
      </c>
      <c r="N29">
        <f>HYPERLINK("https://www.google.com/maps/search/?api=1&amp;query=-12.250069,-76.93107","Carretera Panamericana Sur, Lurín, Lima")</f>
      </c>
      <c r="O29" t="str">
        <v>Salida de camino vecinal</v>
      </c>
      <c r="P29">
        <v>295496.4</v>
      </c>
      <c r="Q29" t="str">
        <v/>
      </c>
      <c r="R29">
        <v>39.6</v>
      </c>
      <c r="S29">
        <v>126.6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62</v>
      </c>
      <c r="AB29" t="str">
        <v>27/09/2026</v>
      </c>
      <c r="AC29" t="str">
        <v>07:10:18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27/09/2026 07:10:27</v>
      </c>
      <c r="AK29" t="str">
        <v>07:10:27</v>
      </c>
      <c r="AL29" t="str">
        <v/>
      </c>
    </row>
    <row r="30">
      <c r="A30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/>
      </c>
      <c r="J30" t="str">
        <v>27/09/2026</v>
      </c>
      <c r="K30" t="str">
        <v>07:11:36</v>
      </c>
      <c r="L30">
        <v>-12.250642</v>
      </c>
      <c r="M30">
        <v>-76.9305</v>
      </c>
      <c r="N30">
        <f>HYPERLINK("https://www.google.com/maps/search/?api=1&amp;query=-12.250642,-76.9305","Carretera Panamericana Sur, Lurín, Lima")</f>
      </c>
      <c r="O30" t="str">
        <v>Vehículo apagado</v>
      </c>
      <c r="P30">
        <v>295496.5</v>
      </c>
      <c r="Q30" t="str">
        <v/>
      </c>
      <c r="R30">
        <v>0</v>
      </c>
      <c r="S30">
        <v>126.77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62</v>
      </c>
      <c r="AB30" t="str">
        <v>27/09/2026</v>
      </c>
      <c r="AC30" t="str">
        <v>07:11:36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27/09/2026 07:12:05</v>
      </c>
      <c r="AK30" t="str">
        <v>07:12:05</v>
      </c>
      <c r="AL30" t="str">
        <v/>
      </c>
    </row>
    <row r="31">
      <c r="A31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/>
      </c>
      <c r="J31" t="str">
        <v>27/09/2026</v>
      </c>
      <c r="K31" t="str">
        <v>07:11:59</v>
      </c>
      <c r="L31">
        <v>-12.250642</v>
      </c>
      <c r="M31">
        <v>-76.9305</v>
      </c>
      <c r="N31">
        <f>HYPERLINK("https://www.google.com/maps/search/?api=1&amp;query=-12.250642,-76.9305","Carretera Panamericana Sur, Lurín, Lima")</f>
      </c>
      <c r="O31" t="str">
        <v>Vehículo encendido</v>
      </c>
      <c r="P31">
        <v>295496.5</v>
      </c>
      <c r="Q31" t="str">
        <v/>
      </c>
      <c r="R31">
        <v>0</v>
      </c>
      <c r="S31">
        <v>126.77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62</v>
      </c>
      <c r="AB31" t="str">
        <v>27/09/2026</v>
      </c>
      <c r="AC31" t="str">
        <v>07:11:58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27/09/2026 07:12:31</v>
      </c>
      <c r="AK31" t="str">
        <v>07:12:31</v>
      </c>
      <c r="AL31" t="str">
        <v/>
      </c>
    </row>
    <row r="32">
      <c r="A32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/>
      </c>
      <c r="J32" t="str">
        <v>27/09/2026</v>
      </c>
      <c r="K32" t="str">
        <v>07:26:31</v>
      </c>
      <c r="L32">
        <v>-12.334817</v>
      </c>
      <c r="M32">
        <v>-76.819145</v>
      </c>
      <c r="N32">
        <f>HYPERLINK("https://www.google.com/maps/search/?api=1&amp;query=-12.334817,-76.819145","Carretera Panamericana Sur, Punta Hermosa, Lima")</f>
      </c>
      <c r="O32" t="str">
        <v>Bache</v>
      </c>
      <c r="P32">
        <v>295512</v>
      </c>
      <c r="Q32" t="str">
        <v/>
      </c>
      <c r="R32">
        <v>52.4</v>
      </c>
      <c r="S32">
        <v>126.77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68</v>
      </c>
      <c r="AB32" t="str">
        <v>27/09/2026</v>
      </c>
      <c r="AC32" t="str">
        <v>07:26:31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27/09/2026 07:26:46</v>
      </c>
      <c r="AK32" t="str">
        <v>07:26:46</v>
      </c>
      <c r="AL32" t="str">
        <v/>
      </c>
    </row>
    <row r="33">
      <c r="A33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/>
      </c>
      <c r="J33" t="str">
        <v>27/09/2026</v>
      </c>
      <c r="K33" t="str">
        <v>07:27:01</v>
      </c>
      <c r="L33">
        <v>-12.335005</v>
      </c>
      <c r="M33">
        <v>-76.81971</v>
      </c>
      <c r="N33">
        <f>HYPERLINK("https://www.google.com/maps/search/?api=1&amp;query=-12.335005,-76.81971","Antigua Panamericana Sur, Punta Hermosa, Lima")</f>
      </c>
      <c r="O33" t="str">
        <v>Aceleración brusca</v>
      </c>
      <c r="P33">
        <v>295512.3</v>
      </c>
      <c r="Q33" t="str">
        <v/>
      </c>
      <c r="R33">
        <v>27.9</v>
      </c>
      <c r="S33">
        <v>126.77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65</v>
      </c>
      <c r="AB33" t="str">
        <v>27/09/2026</v>
      </c>
      <c r="AC33" t="str">
        <v>07:27:00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27/09/2026 07:27:06</v>
      </c>
      <c r="AK33" t="str">
        <v>07:27:06</v>
      </c>
      <c r="AL33" t="str">
        <v/>
      </c>
    </row>
    <row r="34">
      <c r="A34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/>
      </c>
      <c r="J34" t="str">
        <v>27/09/2026</v>
      </c>
      <c r="K34" t="str">
        <v>07:27:03</v>
      </c>
      <c r="L34">
        <v>-12.334851</v>
      </c>
      <c r="M34">
        <v>-76.81982</v>
      </c>
      <c r="N34">
        <f>HYPERLINK("https://www.google.com/maps/search/?api=1&amp;query=-12.334851,-76.81982","Antigua Panamericana Sur, Punta Hermosa, Lima")</f>
      </c>
      <c r="O34" t="str">
        <v>Bache</v>
      </c>
      <c r="P34">
        <v>295512.3</v>
      </c>
      <c r="Q34" t="str">
        <v/>
      </c>
      <c r="R34">
        <v>24.8</v>
      </c>
      <c r="S34">
        <v>126.77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65</v>
      </c>
      <c r="AB34" t="str">
        <v>27/09/2026</v>
      </c>
      <c r="AC34" t="str">
        <v>07:27:03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27/09/2026 07:27:22</v>
      </c>
      <c r="AK34" t="str">
        <v>07:27:22</v>
      </c>
      <c r="AL34" t="str">
        <v/>
      </c>
    </row>
    <row r="35">
      <c r="A35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/>
      </c>
      <c r="J35" t="str">
        <v>27/09/2026</v>
      </c>
      <c r="K35" t="str">
        <v>07:27:43</v>
      </c>
      <c r="L35">
        <v>-12.332795</v>
      </c>
      <c r="M35">
        <v>-76.819954</v>
      </c>
      <c r="N35">
        <f>HYPERLINK("https://www.google.com/maps/search/?api=1&amp;query=-12.332795,-76.819954","Carretera Panamericana Sur, Punta Hermosa, Lima")</f>
      </c>
      <c r="O35" t="str">
        <v>Ingreso a camino vecinal</v>
      </c>
      <c r="P35">
        <v>295512.6</v>
      </c>
      <c r="Q35" t="str">
        <v/>
      </c>
      <c r="R35">
        <v>36.4</v>
      </c>
      <c r="S35">
        <v>126.77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65</v>
      </c>
      <c r="AB35" t="str">
        <v>27/09/2026</v>
      </c>
      <c r="AC35" t="str">
        <v>07:27:43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27/09/2026 07:28:08</v>
      </c>
      <c r="AK35" t="str">
        <v>07:28:08</v>
      </c>
      <c r="AL35" t="str">
        <v/>
      </c>
    </row>
    <row r="36">
      <c r="A36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/>
      </c>
      <c r="J36" t="str">
        <v>27/09/2026</v>
      </c>
      <c r="K36" t="str">
        <v>07:28:44</v>
      </c>
      <c r="L36">
        <v>-12.325905</v>
      </c>
      <c r="M36">
        <v>-76.824844</v>
      </c>
      <c r="N36">
        <f>HYPERLINK("https://www.google.com/maps/search/?api=1&amp;query=-12.325905,-76.824844","Carretera Panamericana Sur, Punta Hermosa, Lima")</f>
      </c>
      <c r="O36" t="str">
        <v>Salida de camino vecinal</v>
      </c>
      <c r="P36">
        <v>295513.6</v>
      </c>
      <c r="Q36" t="str">
        <v/>
      </c>
      <c r="R36">
        <v>67.5</v>
      </c>
      <c r="S36">
        <v>126.77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65</v>
      </c>
      <c r="AB36" t="str">
        <v>27/09/2026</v>
      </c>
      <c r="AC36" t="str">
        <v>07:28:43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27/09/2026 07:28:53</v>
      </c>
      <c r="AK36" t="str">
        <v>07:28:53</v>
      </c>
      <c r="AL36" t="str">
        <v/>
      </c>
    </row>
    <row r="37">
      <c r="A37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/>
      </c>
      <c r="J37" t="str">
        <v>27/09/2026</v>
      </c>
      <c r="K37" t="str">
        <v>07:29:34</v>
      </c>
      <c r="L37">
        <v>-12.318797</v>
      </c>
      <c r="M37">
        <v>-76.829506</v>
      </c>
      <c r="N37">
        <f>HYPERLINK("https://www.google.com/maps/search/?api=1&amp;query=-12.318797,-76.829506","Carretera Panamericana Sur, Punta Hermosa, Lima")</f>
      </c>
      <c r="O37" t="str">
        <v>Bache</v>
      </c>
      <c r="P37">
        <v>295514.5</v>
      </c>
      <c r="Q37" t="str">
        <v/>
      </c>
      <c r="R37">
        <v>51.6</v>
      </c>
      <c r="S37">
        <v>126.77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65</v>
      </c>
      <c r="AB37" t="str">
        <v>27/09/2026</v>
      </c>
      <c r="AC37" t="str">
        <v>07:29:33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27/09/2026 07:29:46</v>
      </c>
      <c r="AK37" t="str">
        <v>07:29:46</v>
      </c>
      <c r="AL37" t="str">
        <v/>
      </c>
    </row>
    <row r="38">
      <c r="A38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 xml:space="preserve"> </v>
      </c>
      <c r="J38" t="str">
        <v>27/09/2026</v>
      </c>
      <c r="K38" t="str">
        <v>07:31:09</v>
      </c>
      <c r="L38">
        <v>-12.317498</v>
      </c>
      <c r="M38">
        <v>-76.82961</v>
      </c>
      <c r="N38">
        <f>HYPERLINK("https://www.google.com/maps/search/?api=1&amp;query=-12.317498,-76.82961","Punta Hermosa, Lima")</f>
      </c>
      <c r="O38" t="str">
        <v>Llegó a la zona</v>
      </c>
      <c r="P38">
        <v>295514.6</v>
      </c>
      <c r="Q38" t="str">
        <v>MASS BSF 1</v>
      </c>
      <c r="R38">
        <v>6.1</v>
      </c>
      <c r="S38">
        <v>126.77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68</v>
      </c>
      <c r="AB38" t="str">
        <v>27/09/2026</v>
      </c>
      <c r="AC38" t="str">
        <v>07:31:09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27/09/2026 07:31:26</v>
      </c>
      <c r="AK38" t="str">
        <v>07:31:26</v>
      </c>
      <c r="AL38" t="str">
        <v/>
      </c>
    </row>
    <row r="39">
      <c r="A39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/>
      </c>
      <c r="J39" t="str">
        <v>27/09/2026</v>
      </c>
      <c r="K39" t="str">
        <v>07:33:31</v>
      </c>
      <c r="L39">
        <v>-12.317193</v>
      </c>
      <c r="M39">
        <v>-76.8259</v>
      </c>
      <c r="N39">
        <f>HYPERLINK("https://www.google.com/maps/search/?api=1&amp;query=-12.317193,-76.8259","Punta Hermosa, Lima")</f>
      </c>
      <c r="O39" t="str">
        <v>Bache</v>
      </c>
      <c r="P39">
        <v>295515.2</v>
      </c>
      <c r="Q39" t="str">
        <v/>
      </c>
      <c r="R39">
        <v>27</v>
      </c>
      <c r="S39">
        <v>126.77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70</v>
      </c>
      <c r="AB39" t="str">
        <v>27/09/2026</v>
      </c>
      <c r="AC39" t="str">
        <v>07:33:31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27/09/2026 07:34:06</v>
      </c>
      <c r="AK39" t="str">
        <v>07:34:06</v>
      </c>
      <c r="AL39" t="str">
        <v/>
      </c>
    </row>
    <row r="40">
      <c r="A40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/>
      </c>
      <c r="J40" t="str">
        <v>27/09/2026</v>
      </c>
      <c r="K40" t="str">
        <v>07:33:45</v>
      </c>
      <c r="L40">
        <v>-12.316749</v>
      </c>
      <c r="M40">
        <v>-76.825165</v>
      </c>
      <c r="N40">
        <f>HYPERLINK("https://www.google.com/maps/search/?api=1&amp;query=-12.316749,-76.825165","Punta Hermosa, Lima")</f>
      </c>
      <c r="O40" t="str">
        <v>Ingreso a camino vecinal</v>
      </c>
      <c r="P40">
        <v>295515.3</v>
      </c>
      <c r="Q40" t="str">
        <v/>
      </c>
      <c r="R40">
        <v>16.2</v>
      </c>
      <c r="S40">
        <v>126.77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70</v>
      </c>
      <c r="AB40" t="str">
        <v>27/09/2026</v>
      </c>
      <c r="AC40" t="str">
        <v>07:33:44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27/09/2026 07:33:56</v>
      </c>
      <c r="AK40" t="str">
        <v>07:33:56</v>
      </c>
      <c r="AL40" t="str">
        <v/>
      </c>
    </row>
    <row r="41">
      <c r="A41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/>
      </c>
      <c r="J41" t="str">
        <v>27/09/2026</v>
      </c>
      <c r="K41" t="str">
        <v>07:34:45</v>
      </c>
      <c r="L41">
        <v>-12.318087</v>
      </c>
      <c r="M41">
        <v>-76.824066</v>
      </c>
      <c r="N41">
        <f>HYPERLINK("https://www.google.com/maps/search/?api=1&amp;query=-12.318087,-76.824066","Punta Hermosa, Lima")</f>
      </c>
      <c r="O41" t="str">
        <v>Salida de camino vecinal</v>
      </c>
      <c r="P41">
        <v>295515.4</v>
      </c>
      <c r="Q41" t="str">
        <v/>
      </c>
      <c r="R41">
        <v>13.7</v>
      </c>
      <c r="S41">
        <v>126.77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70</v>
      </c>
      <c r="AB41" t="str">
        <v>27/09/2026</v>
      </c>
      <c r="AC41" t="str">
        <v>07:34:44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27/09/2026 07:35:00</v>
      </c>
      <c r="AK41" t="str">
        <v>07:35:00</v>
      </c>
      <c r="AL41" t="str">
        <v/>
      </c>
    </row>
    <row r="42">
      <c r="A42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/>
      </c>
      <c r="J42" t="str">
        <v>27/09/2026</v>
      </c>
      <c r="K42" t="str">
        <v>07:39:01</v>
      </c>
      <c r="L42">
        <v>-12.317265</v>
      </c>
      <c r="M42">
        <v>-76.82306</v>
      </c>
      <c r="N42">
        <f>HYPERLINK("https://www.google.com/maps/search/?api=1&amp;query=-12.317265,-76.82306","Punta Hermosa, Lima")</f>
      </c>
      <c r="O42" t="str">
        <v>Inicio de ralentí</v>
      </c>
      <c r="P42">
        <v>295515.7</v>
      </c>
      <c r="Q42" t="str">
        <v/>
      </c>
      <c r="R42">
        <v>0</v>
      </c>
      <c r="S42">
        <v>126.77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67</v>
      </c>
      <c r="AB42" t="str">
        <v>27/09/2026</v>
      </c>
      <c r="AC42" t="str">
        <v>07:39:00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27/09/2026 07:39:14</v>
      </c>
      <c r="AK42" t="str">
        <v>07:39:14</v>
      </c>
      <c r="AL42" t="str">
        <v/>
      </c>
    </row>
    <row r="43">
      <c r="A43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/>
      </c>
      <c r="J43" t="str">
        <v>27/09/2026</v>
      </c>
      <c r="K43" t="str">
        <v>07:39:08</v>
      </c>
      <c r="L43">
        <v>-12.31729</v>
      </c>
      <c r="M43">
        <v>-76.822975</v>
      </c>
      <c r="N43">
        <f>HYPERLINK("https://www.google.com/maps/search/?api=1&amp;query=-12.31729,-76.822975","Punta Hermosa, Lima")</f>
      </c>
      <c r="O43" t="str">
        <v>Fin de ralentí</v>
      </c>
      <c r="P43">
        <v>295515.8</v>
      </c>
      <c r="Q43" t="str">
        <v/>
      </c>
      <c r="R43">
        <v>5.5</v>
      </c>
      <c r="S43">
        <v>126.77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67</v>
      </c>
      <c r="AB43" t="str">
        <v>27/09/2026</v>
      </c>
      <c r="AC43" t="str">
        <v>07:39:08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27/09/2026 07:39:30</v>
      </c>
      <c r="AK43" t="str">
        <v>07:39:30</v>
      </c>
      <c r="AL43" t="str">
        <v/>
      </c>
    </row>
    <row r="44">
      <c r="A44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/>
      </c>
      <c r="J44" t="str">
        <v>27/09/2026</v>
      </c>
      <c r="K44" t="str">
        <v>07:39:51</v>
      </c>
      <c r="L44">
        <v>-12.317391</v>
      </c>
      <c r="M44">
        <v>-76.82293</v>
      </c>
      <c r="N44">
        <f>HYPERLINK("https://www.google.com/maps/search/?api=1&amp;query=-12.317391,-76.82293","Punta Hermosa, Lima")</f>
      </c>
      <c r="O44" t="str">
        <v>Vehículo apagado</v>
      </c>
      <c r="P44">
        <v>295515.8</v>
      </c>
      <c r="Q44" t="str">
        <v/>
      </c>
      <c r="R44">
        <v>0</v>
      </c>
      <c r="S44">
        <v>127.23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67</v>
      </c>
      <c r="AB44" t="str">
        <v>27/09/2026</v>
      </c>
      <c r="AC44" t="str">
        <v>07:39:50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27/09/2026 07:40:09</v>
      </c>
      <c r="AK44" t="str">
        <v>07:40:09</v>
      </c>
      <c r="AL44" t="str">
        <v/>
      </c>
    </row>
    <row r="45">
      <c r="A45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/>
      </c>
      <c r="J45" t="str">
        <v>27/09/2026</v>
      </c>
      <c r="K45" t="str">
        <v>07:44:25</v>
      </c>
      <c r="L45">
        <v>-12.317391</v>
      </c>
      <c r="M45">
        <v>-76.82293</v>
      </c>
      <c r="N45">
        <f>HYPERLINK("https://www.google.com/maps/search/?api=1&amp;query=-12.317391,-76.82293","Punta Hermosa, Lima")</f>
      </c>
      <c r="O45" t="str">
        <v>Vehículo encendido</v>
      </c>
      <c r="P45">
        <v>295515.8</v>
      </c>
      <c r="Q45" t="str">
        <v/>
      </c>
      <c r="R45">
        <v>0</v>
      </c>
      <c r="S45">
        <v>127.23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67</v>
      </c>
      <c r="AB45" t="str">
        <v>27/09/2026</v>
      </c>
      <c r="AC45" t="str">
        <v>07:44:24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27/09/2026 07:44:41</v>
      </c>
      <c r="AK45" t="str">
        <v>07:44:41</v>
      </c>
      <c r="AL45" t="str">
        <v/>
      </c>
    </row>
    <row r="46">
      <c r="A46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/>
      </c>
      <c r="J46" t="str">
        <v>27/09/2026</v>
      </c>
      <c r="K46" t="str">
        <v>07:46:25</v>
      </c>
      <c r="L46">
        <v>-12.317717</v>
      </c>
      <c r="M46">
        <v>-76.82433</v>
      </c>
      <c r="N46">
        <f>HYPERLINK("https://www.google.com/maps/search/?api=1&amp;query=-12.317717,-76.82433","Punta Hermosa, Lima")</f>
      </c>
      <c r="O46" t="str">
        <v>Vehículo apagado</v>
      </c>
      <c r="P46">
        <v>295516.1</v>
      </c>
      <c r="Q46" t="str">
        <v/>
      </c>
      <c r="R46">
        <v>0</v>
      </c>
      <c r="S46">
        <v>127.27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66</v>
      </c>
      <c r="AB46" t="str">
        <v>27/09/2026</v>
      </c>
      <c r="AC46" t="str">
        <v>07:46:24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27/09/2026 07:46:40</v>
      </c>
      <c r="AK46" t="str">
        <v>07:46:40</v>
      </c>
      <c r="AL46" t="str">
        <v/>
      </c>
    </row>
    <row r="47">
      <c r="A47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/>
      </c>
      <c r="J47" t="str">
        <v>27/09/2026</v>
      </c>
      <c r="K47" t="str">
        <v>07:53:20</v>
      </c>
      <c r="L47">
        <v>-12.317687</v>
      </c>
      <c r="M47">
        <v>-76.82424</v>
      </c>
      <c r="N47">
        <f>HYPERLINK("https://www.google.com/maps/search/?api=1&amp;query=-12.317687,-76.82424","Punta Hermosa, Lima")</f>
      </c>
      <c r="O47" t="str">
        <v>Se detuvo</v>
      </c>
      <c r="P47">
        <v>295516.1</v>
      </c>
      <c r="Q47" t="str">
        <v/>
      </c>
      <c r="R47">
        <v>0</v>
      </c>
      <c r="S47">
        <v>127.27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66</v>
      </c>
      <c r="AB47" t="str">
        <v>27/09/2026</v>
      </c>
      <c r="AC47" t="str">
        <v>07:53:19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27/09/2026 07:53:45</v>
      </c>
      <c r="AK47" t="str">
        <v>07:53:45</v>
      </c>
      <c r="AL47" t="str">
        <v/>
      </c>
    </row>
    <row r="48">
      <c r="A48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/>
      </c>
      <c r="J48" t="str">
        <v>27/09/2026</v>
      </c>
      <c r="K48" t="str">
        <v>08:16:43</v>
      </c>
      <c r="L48">
        <v>-12.317687</v>
      </c>
      <c r="M48">
        <v>-76.824265</v>
      </c>
      <c r="N48">
        <f>HYPERLINK("https://www.google.com/maps/search/?api=1&amp;query=-12.317687,-76.824265","Punta Hermosa, Lima")</f>
      </c>
      <c r="O48" t="str">
        <v>Vehículo encendido</v>
      </c>
      <c r="P48">
        <v>295516.1</v>
      </c>
      <c r="Q48" t="str">
        <v/>
      </c>
      <c r="R48">
        <v>0</v>
      </c>
      <c r="S48">
        <v>127.27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66</v>
      </c>
      <c r="AB48" t="str">
        <v>27/09/2026</v>
      </c>
      <c r="AC48" t="str">
        <v>08:16:42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27/09/2026 08:17:00</v>
      </c>
      <c r="AK48" t="str">
        <v>08:17:00</v>
      </c>
      <c r="AL48" t="str">
        <v/>
      </c>
    </row>
    <row r="49">
      <c r="A49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/>
      </c>
      <c r="J49" t="str">
        <v>27/09/2026</v>
      </c>
      <c r="K49" t="str">
        <v>08:20:30</v>
      </c>
      <c r="L49">
        <v>-12.317476</v>
      </c>
      <c r="M49">
        <v>-76.824455</v>
      </c>
      <c r="N49">
        <f>HYPERLINK("https://www.google.com/maps/search/?api=1&amp;query=-12.317476,-76.824455","Punta Hermosa, Lima")</f>
      </c>
      <c r="O49" t="str">
        <v>Vehículo apagado</v>
      </c>
      <c r="P49">
        <v>295516.1</v>
      </c>
      <c r="Q49" t="str">
        <v/>
      </c>
      <c r="R49">
        <v>0</v>
      </c>
      <c r="S49">
        <v>127.33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68</v>
      </c>
      <c r="AB49" t="str">
        <v>27/09/2026</v>
      </c>
      <c r="AC49" t="str">
        <v>08:20:29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27/09/2026 08:20:58</v>
      </c>
      <c r="AK49" t="str">
        <v>08:20:58</v>
      </c>
      <c r="AL49" t="str">
        <v/>
      </c>
    </row>
    <row r="50">
      <c r="A50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/>
      </c>
      <c r="J50" t="str">
        <v>27/09/2026</v>
      </c>
      <c r="K50" t="str">
        <v>08:25:39</v>
      </c>
      <c r="L50">
        <v>-12.317409</v>
      </c>
      <c r="M50">
        <v>-76.824394</v>
      </c>
      <c r="N50">
        <f>HYPERLINK("https://www.google.com/maps/search/?api=1&amp;query=-12.317409,-76.824394","Punta Hermosa, Lima")</f>
      </c>
      <c r="O50" t="str">
        <v>Se detuvo</v>
      </c>
      <c r="P50">
        <v>295516.1</v>
      </c>
      <c r="Q50" t="str">
        <v/>
      </c>
      <c r="R50">
        <v>0</v>
      </c>
      <c r="S50">
        <v>127.33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68</v>
      </c>
      <c r="AB50" t="str">
        <v>27/09/2026</v>
      </c>
      <c r="AC50" t="str">
        <v>08:25:38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27/09/2026 08:25:49</v>
      </c>
      <c r="AK50" t="str">
        <v>08:25:49</v>
      </c>
      <c r="AL50" t="str">
        <v/>
      </c>
    </row>
    <row r="51">
      <c r="A51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/>
      </c>
      <c r="J51" t="str">
        <v>27/09/2026</v>
      </c>
      <c r="K51" t="str">
        <v>08:52:47</v>
      </c>
      <c r="L51">
        <v>-12.317409</v>
      </c>
      <c r="M51">
        <v>-76.824394</v>
      </c>
      <c r="N51">
        <f>HYPERLINK("https://www.google.com/maps/search/?api=1&amp;query=-12.317409,-76.824394","Punta Hermosa, Lima")</f>
      </c>
      <c r="O51" t="str">
        <v>Vehículo encendido</v>
      </c>
      <c r="P51">
        <v>295516.1</v>
      </c>
      <c r="Q51" t="str">
        <v/>
      </c>
      <c r="R51">
        <v>0</v>
      </c>
      <c r="S51">
        <v>127.33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45</v>
      </c>
      <c r="AB51" t="str">
        <v>27/09/2026</v>
      </c>
      <c r="AC51" t="str">
        <v>08:52:46</v>
      </c>
      <c r="AD51">
        <f>IF("ONLINE"="NOGPS","GPS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27/09/2026 08:52:58</v>
      </c>
      <c r="AK51" t="str">
        <v>08:52:58</v>
      </c>
      <c r="AL51" t="str">
        <v/>
      </c>
    </row>
    <row r="52">
      <c r="A52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 xml:space="preserve"> </v>
      </c>
      <c r="J52" t="str">
        <v>27/09/2026</v>
      </c>
      <c r="K52" t="str">
        <v>08:59:18</v>
      </c>
      <c r="L52">
        <v>-12.317502</v>
      </c>
      <c r="M52">
        <v>-76.82991</v>
      </c>
      <c r="N52">
        <f>HYPERLINK("https://www.google.com/maps/search/?api=1&amp;query=-12.317502,-76.82991","Punta Hermosa, Lima")</f>
      </c>
      <c r="O52" t="str">
        <v>Salió de zona</v>
      </c>
      <c r="P52">
        <v>295516.9</v>
      </c>
      <c r="Q52" t="str">
        <v>MASS BSF 1</v>
      </c>
      <c r="R52">
        <v>13.5</v>
      </c>
      <c r="S52">
        <v>127.33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70</v>
      </c>
      <c r="AB52" t="str">
        <v>27/09/2026</v>
      </c>
      <c r="AC52" t="str">
        <v>08:59:17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27/09/2026 08:59:36</v>
      </c>
      <c r="AK52" t="str">
        <v>08:59:36</v>
      </c>
      <c r="AL52" t="str">
        <v/>
      </c>
    </row>
    <row r="53">
      <c r="A53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/>
      </c>
      <c r="J53" t="str">
        <v>27/09/2026</v>
      </c>
      <c r="K53" t="str">
        <v>09:11:12</v>
      </c>
      <c r="L53">
        <v>-12.360679</v>
      </c>
      <c r="M53">
        <v>-76.79578</v>
      </c>
      <c r="N53">
        <f>HYPERLINK("https://www.google.com/maps/search/?api=1&amp;query=-12.360679,-76.79578","Carretera Panamericana Sur, Punta Negra, Lima")</f>
      </c>
      <c r="O53" t="str">
        <v>Bache</v>
      </c>
      <c r="P53">
        <v>295527.9</v>
      </c>
      <c r="Q53" t="str">
        <v/>
      </c>
      <c r="R53">
        <v>75.3</v>
      </c>
      <c r="S53">
        <v>127.33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74</v>
      </c>
      <c r="AB53" t="str">
        <v>27/09/2026</v>
      </c>
      <c r="AC53" t="str">
        <v>09:11:10</v>
      </c>
      <c r="AD53">
        <f>IF("ONLINE"="NOGPS","GPS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27/09/2026 09:11:33</v>
      </c>
      <c r="AK53" t="str">
        <v>09:11:33</v>
      </c>
      <c r="AL53" t="str">
        <v/>
      </c>
    </row>
    <row r="54">
      <c r="A54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/>
      </c>
      <c r="J54" t="str">
        <v>27/09/2026</v>
      </c>
      <c r="K54" t="str">
        <v>09:13:17</v>
      </c>
      <c r="L54">
        <v>-12.374514</v>
      </c>
      <c r="M54">
        <v>-76.781425</v>
      </c>
      <c r="N54">
        <f>HYPERLINK("https://www.google.com/maps/search/?api=1&amp;query=-12.374514,-76.781425","Carretera Panamericana Sur, Punta Negra, Lima")</f>
      </c>
      <c r="O54" t="str">
        <v>Bache</v>
      </c>
      <c r="P54">
        <v>295530.1</v>
      </c>
      <c r="Q54" t="str">
        <v/>
      </c>
      <c r="R54">
        <v>60.3</v>
      </c>
      <c r="S54">
        <v>127.33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73</v>
      </c>
      <c r="AB54" t="str">
        <v>27/09/2026</v>
      </c>
      <c r="AC54" t="str">
        <v>09:13:16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27/09/2026 09:13:32</v>
      </c>
      <c r="AK54" t="str">
        <v>09:13:32</v>
      </c>
      <c r="AL54" t="str">
        <v/>
      </c>
    </row>
    <row r="55">
      <c r="A55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/>
      </c>
      <c r="J55" t="str">
        <v>27/09/2026</v>
      </c>
      <c r="K55" t="str">
        <v>09:29:32</v>
      </c>
      <c r="L55">
        <v>-12.46659</v>
      </c>
      <c r="M55">
        <v>-76.75299</v>
      </c>
      <c r="N55">
        <f>HYPERLINK("https://www.google.com/maps/search/?api=1&amp;query=-12.46659,-76.75299","D, Chilca, Cañete, Lima")</f>
      </c>
      <c r="O55" t="str">
        <v>Inicio de ralentí</v>
      </c>
      <c r="P55">
        <v>295541.5</v>
      </c>
      <c r="Q55" t="str">
        <v/>
      </c>
      <c r="R55">
        <v>0</v>
      </c>
      <c r="S55">
        <v>127.33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82</v>
      </c>
      <c r="AB55" t="str">
        <v>27/09/2026</v>
      </c>
      <c r="AC55" t="str">
        <v>09:29:30</v>
      </c>
      <c r="AD55">
        <f>IF("ONLINE"="NOGPS","GPS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27/09/2026 09:29:38</v>
      </c>
      <c r="AK55" t="str">
        <v>09:29:38</v>
      </c>
      <c r="AL55" t="str">
        <v/>
      </c>
    </row>
    <row r="56">
      <c r="A56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/>
      </c>
      <c r="J56" t="str">
        <v>27/09/2026</v>
      </c>
      <c r="K56" t="str">
        <v>09:31:11</v>
      </c>
      <c r="L56">
        <v>-12.46659</v>
      </c>
      <c r="M56">
        <v>-76.75299</v>
      </c>
      <c r="N56">
        <f>HYPERLINK("https://www.google.com/maps/search/?api=1&amp;query=-12.46659,-76.75299","D, Chilca, Cañete, Lima")</f>
      </c>
      <c r="O56" t="str">
        <v>Vehículo apagado</v>
      </c>
      <c r="P56">
        <v>295541.5</v>
      </c>
      <c r="Q56" t="str">
        <v/>
      </c>
      <c r="R56">
        <v>0</v>
      </c>
      <c r="S56">
        <v>127.97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83</v>
      </c>
      <c r="AB56" t="str">
        <v>27/09/2026</v>
      </c>
      <c r="AC56" t="str">
        <v>09:31:10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27/09/2026 09:31:37</v>
      </c>
      <c r="AK56" t="str">
        <v>09:31:37</v>
      </c>
      <c r="AL56" t="str">
        <v/>
      </c>
    </row>
    <row r="57">
      <c r="A57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/>
      </c>
      <c r="J57" t="str">
        <v>27/09/2026</v>
      </c>
      <c r="K57" t="str">
        <v>09:31:11</v>
      </c>
      <c r="L57">
        <v>-12.46659</v>
      </c>
      <c r="M57">
        <v>-76.75299</v>
      </c>
      <c r="N57">
        <f>HYPERLINK("https://www.google.com/maps/search/?api=1&amp;query=-12.46659,-76.75299","D, Chilca, Cañete, Lima")</f>
      </c>
      <c r="O57" t="str">
        <v>Fin de ralentí</v>
      </c>
      <c r="P57">
        <v>295541.5</v>
      </c>
      <c r="Q57" t="str">
        <v/>
      </c>
      <c r="R57">
        <v>0</v>
      </c>
      <c r="S57">
        <v>127.33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83</v>
      </c>
      <c r="AB57" t="str">
        <v>27/09/2026</v>
      </c>
      <c r="AC57" t="str">
        <v>09:31:10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27/09/2026 09:31:38</v>
      </c>
      <c r="AK57" t="str">
        <v>09:31:38</v>
      </c>
      <c r="AL57" t="str">
        <v/>
      </c>
    </row>
    <row r="58">
      <c r="A58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/>
      </c>
      <c r="J58" t="str">
        <v>27/09/2026</v>
      </c>
      <c r="K58" t="str">
        <v>09:38:08</v>
      </c>
      <c r="L58">
        <v>-12.46659</v>
      </c>
      <c r="M58">
        <v>-76.75299</v>
      </c>
      <c r="N58">
        <f>HYPERLINK("https://www.google.com/maps/search/?api=1&amp;query=-12.46659,-76.75299","D, Chilca, Cañete, Lima")</f>
      </c>
      <c r="O58" t="str">
        <v>Se detuvo</v>
      </c>
      <c r="P58">
        <v>295541.5</v>
      </c>
      <c r="Q58" t="str">
        <v/>
      </c>
      <c r="R58">
        <v>0</v>
      </c>
      <c r="S58">
        <v>127.33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83</v>
      </c>
      <c r="AB58" t="str">
        <v>27/09/2026</v>
      </c>
      <c r="AC58" t="str">
        <v>09:38:06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27/09/2026 09:38:26</v>
      </c>
      <c r="AK58" t="str">
        <v>09:38:26</v>
      </c>
      <c r="AL58" t="str">
        <v/>
      </c>
    </row>
    <row r="59">
      <c r="A59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/>
      </c>
      <c r="J59" t="str">
        <v>27/09/2026</v>
      </c>
      <c r="K59" t="str">
        <v>09:55:49</v>
      </c>
      <c r="L59">
        <v>-12.466681</v>
      </c>
      <c r="M59">
        <v>-76.753</v>
      </c>
      <c r="N59">
        <f>HYPERLINK("https://www.google.com/maps/search/?api=1&amp;query=-12.466681,-76.753","D, Chilca, Cañete, Lima")</f>
      </c>
      <c r="O59" t="str">
        <v>Vehículo encendido</v>
      </c>
      <c r="P59">
        <v>295541.5</v>
      </c>
      <c r="Q59" t="str">
        <v/>
      </c>
      <c r="R59">
        <v>0</v>
      </c>
      <c r="S59">
        <v>127.33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71</v>
      </c>
      <c r="AB59" t="str">
        <v>27/09/2026</v>
      </c>
      <c r="AC59" t="str">
        <v>09:55:48</v>
      </c>
      <c r="AD59">
        <f>IF("ONLINE"="NOGPS","GPS Antiguo","En línea")</f>
      </c>
      <c r="AE59">
        <f>IF(0=0,"Sin atender", IF(0=1,"Atendida","Atendida y Reportada"))</f>
      </c>
      <c r="AF59" t="str">
        <v/>
      </c>
      <c r="AG59" t="str">
        <v/>
      </c>
      <c r="AH59" t="str">
        <v/>
      </c>
      <c r="AI59" t="str">
        <v/>
      </c>
      <c r="AJ59" t="str">
        <v>27/09/2026 09:56:00</v>
      </c>
      <c r="AK59" t="str">
        <v>09:56:00</v>
      </c>
      <c r="AL59" t="str">
        <v/>
      </c>
    </row>
    <row r="60">
      <c r="A60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/>
      </c>
      <c r="J60" t="str">
        <v>27/09/2026</v>
      </c>
      <c r="K60" t="str">
        <v>09:56:23</v>
      </c>
      <c r="L60">
        <v>-12.466681</v>
      </c>
      <c r="M60">
        <v>-76.753</v>
      </c>
      <c r="N60">
        <f>HYPERLINK("https://www.google.com/maps/search/?api=1&amp;query=-12.466681,-76.753","D, Chilca, Cañete, Lima")</f>
      </c>
      <c r="O60" t="str">
        <v>Aceleración brusca</v>
      </c>
      <c r="P60">
        <v>295541.5</v>
      </c>
      <c r="Q60" t="str">
        <v/>
      </c>
      <c r="R60">
        <v>0</v>
      </c>
      <c r="S60">
        <v>127.33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71</v>
      </c>
      <c r="AB60" t="str">
        <v>27/09/2026</v>
      </c>
      <c r="AC60" t="str">
        <v>09:56:21</v>
      </c>
      <c r="AD60">
        <f>IF("ONLINE"="NOGPS","GPS Antiguo","En línea")</f>
      </c>
      <c r="AE60">
        <f>IF(0=0,"Sin atender", IF(0=1,"Atendida","Atendida y Reportada"))</f>
      </c>
      <c r="AF60" t="str">
        <v/>
      </c>
      <c r="AG60" t="str">
        <v/>
      </c>
      <c r="AH60" t="str">
        <v/>
      </c>
      <c r="AI60" t="str">
        <v/>
      </c>
      <c r="AJ60" t="str">
        <v>27/09/2026 09:56:42</v>
      </c>
      <c r="AK60" t="str">
        <v>09:56:42</v>
      </c>
      <c r="AL60" t="str">
        <v/>
      </c>
    </row>
    <row r="61">
      <c r="A61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/>
      </c>
      <c r="J61" t="str">
        <v>27/09/2026</v>
      </c>
      <c r="K61" t="str">
        <v>09:56:42</v>
      </c>
      <c r="L61">
        <v>-12.466993</v>
      </c>
      <c r="M61">
        <v>-76.75276</v>
      </c>
      <c r="N61">
        <f>HYPERLINK("https://www.google.com/maps/search/?api=1&amp;query=-12.466993,-76.75276","7, Chilca, Cañete, Lima")</f>
      </c>
      <c r="O61" t="str">
        <v>Aceleración brusca</v>
      </c>
      <c r="P61">
        <v>295541.6</v>
      </c>
      <c r="Q61" t="str">
        <v/>
      </c>
      <c r="R61">
        <v>5.9</v>
      </c>
      <c r="S61">
        <v>127.33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71</v>
      </c>
      <c r="AB61" t="str">
        <v>27/09/2026</v>
      </c>
      <c r="AC61" t="str">
        <v>09:56:40</v>
      </c>
      <c r="AD61">
        <f>IF("ONLINE"="NOGPS","GPS Antiguo","En línea")</f>
      </c>
      <c r="AE61">
        <f>IF(0=0,"Sin atender", IF(0=1,"Atendida","Atendida y Reportada"))</f>
      </c>
      <c r="AF61" t="str">
        <v/>
      </c>
      <c r="AG61" t="str">
        <v/>
      </c>
      <c r="AH61" t="str">
        <v/>
      </c>
      <c r="AI61" t="str">
        <v/>
      </c>
      <c r="AJ61" t="str">
        <v>27/09/2026 09:56:57</v>
      </c>
      <c r="AK61" t="str">
        <v>09:56:57</v>
      </c>
      <c r="AL61" t="str">
        <v/>
      </c>
    </row>
    <row r="62">
      <c r="A62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/>
      </c>
      <c r="J62" t="str">
        <v>27/09/2026</v>
      </c>
      <c r="K62" t="str">
        <v>09:58:38</v>
      </c>
      <c r="L62">
        <v>-12.46537</v>
      </c>
      <c r="M62">
        <v>-76.752304</v>
      </c>
      <c r="N62">
        <f>HYPERLINK("https://www.google.com/maps/search/?api=1&amp;query=-12.46537,-76.752304","Chilca, Cañete, Lima")</f>
      </c>
      <c r="O62" t="str">
        <v>Bache</v>
      </c>
      <c r="P62">
        <v>295541.8</v>
      </c>
      <c r="Q62" t="str">
        <v/>
      </c>
      <c r="R62">
        <v>22.9</v>
      </c>
      <c r="S62">
        <v>127.33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82</v>
      </c>
      <c r="AB62" t="str">
        <v>27/09/2026</v>
      </c>
      <c r="AC62" t="str">
        <v>09:58:36</v>
      </c>
      <c r="AD62">
        <f>IF("ONLINE"="NOGPS","GPS Antiguo","En línea")</f>
      </c>
      <c r="AE62">
        <f>IF(0=0,"Sin atender", IF(0=1,"Atendida","Atendida y Reportada"))</f>
      </c>
      <c r="AF62" t="str">
        <v/>
      </c>
      <c r="AG62" t="str">
        <v/>
      </c>
      <c r="AH62" t="str">
        <v/>
      </c>
      <c r="AI62" t="str">
        <v/>
      </c>
      <c r="AJ62" t="str">
        <v>27/09/2026 09:58:49</v>
      </c>
      <c r="AK62" t="str">
        <v>09:58:49</v>
      </c>
      <c r="AL62" t="str">
        <v/>
      </c>
    </row>
    <row r="63">
      <c r="A63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/>
      </c>
      <c r="J63" t="str">
        <v>27/09/2026</v>
      </c>
      <c r="K63" t="str">
        <v>09:58:55</v>
      </c>
      <c r="L63">
        <v>-12.464334</v>
      </c>
      <c r="M63">
        <v>-76.75124</v>
      </c>
      <c r="N63">
        <f>HYPERLINK("https://www.google.com/maps/search/?api=1&amp;query=-12.464334,-76.75124","Carretera Panamericana Sur, Chilca, Cañete, Lima")</f>
      </c>
      <c r="O63" t="str">
        <v>Bache</v>
      </c>
      <c r="P63">
        <v>295542</v>
      </c>
      <c r="Q63" t="str">
        <v/>
      </c>
      <c r="R63">
        <v>35.5</v>
      </c>
      <c r="S63">
        <v>127.33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82</v>
      </c>
      <c r="AB63" t="str">
        <v>27/09/2026</v>
      </c>
      <c r="AC63" t="str">
        <v>09:58:54</v>
      </c>
      <c r="AD63">
        <f>IF("ONLINE"="NOGPS","GPS Antiguo","En línea")</f>
      </c>
      <c r="AE63">
        <f>IF(0=0,"Sin atender", IF(0=1,"Atendida","Atendida y Reportada"))</f>
      </c>
      <c r="AF63" t="str">
        <v/>
      </c>
      <c r="AG63" t="str">
        <v/>
      </c>
      <c r="AH63" t="str">
        <v/>
      </c>
      <c r="AI63" t="str">
        <v/>
      </c>
      <c r="AJ63" t="str">
        <v>27/09/2026 09:59:17</v>
      </c>
      <c r="AK63" t="str">
        <v>09:59:17</v>
      </c>
      <c r="AL63" t="str">
        <v/>
      </c>
    </row>
    <row r="64">
      <c r="A64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/>
      </c>
      <c r="J64" t="str">
        <v>27/09/2026</v>
      </c>
      <c r="K64" t="str">
        <v>09:59:03</v>
      </c>
      <c r="L64">
        <v>-12.46401</v>
      </c>
      <c r="M64">
        <v>-76.75065</v>
      </c>
      <c r="N64">
        <f>HYPERLINK("https://www.google.com/maps/search/?api=1&amp;query=-12.46401,-76.75065","Chilca, Cañete, Lima")</f>
      </c>
      <c r="O64" t="str">
        <v>Acelerado y giro brusco</v>
      </c>
      <c r="P64">
        <v>295542.1</v>
      </c>
      <c r="Q64" t="str">
        <v/>
      </c>
      <c r="R64">
        <v>35.7</v>
      </c>
      <c r="S64">
        <v>127.33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82</v>
      </c>
      <c r="AB64" t="str">
        <v>27/09/2026</v>
      </c>
      <c r="AC64" t="str">
        <v>09:59:01</v>
      </c>
      <c r="AD64">
        <f>IF("ONLINE"="NOGPS","GPS Antiguo","En línea")</f>
      </c>
      <c r="AE64">
        <f>IF(0=0,"Sin atender", IF(0=1,"Atendida","Atendida y Reportada"))</f>
      </c>
      <c r="AF64" t="str">
        <v/>
      </c>
      <c r="AG64" t="str">
        <v/>
      </c>
      <c r="AH64" t="str">
        <v/>
      </c>
      <c r="AI64" t="str">
        <v/>
      </c>
      <c r="AJ64" t="str">
        <v>27/09/2026 09:59:21</v>
      </c>
      <c r="AK64" t="str">
        <v>09:59:21</v>
      </c>
      <c r="AL64" t="str">
        <v/>
      </c>
    </row>
    <row r="65">
      <c r="A65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/>
      </c>
      <c r="J65" t="str">
        <v>27/09/2026</v>
      </c>
      <c r="K65" t="str">
        <v>10:04:42</v>
      </c>
      <c r="L65">
        <v>-12.42761</v>
      </c>
      <c r="M65">
        <v>-76.75345</v>
      </c>
      <c r="N65">
        <f>HYPERLINK("https://www.google.com/maps/search/?api=1&amp;query=-12.42761,-76.75345","Carretera Panamericana Sur, Chilca, Cañete, Lima")</f>
      </c>
      <c r="O65" t="str">
        <v>Ingreso a camino vecinal</v>
      </c>
      <c r="P65">
        <v>295546.7</v>
      </c>
      <c r="Q65" t="str">
        <v/>
      </c>
      <c r="R65">
        <v>60.3</v>
      </c>
      <c r="S65">
        <v>127.33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87</v>
      </c>
      <c r="AB65" t="str">
        <v>27/09/2026</v>
      </c>
      <c r="AC65" t="str">
        <v>10:04:41</v>
      </c>
      <c r="AD65">
        <f>IF("ONLINE"="NOGPS","GPS Antiguo","En línea")</f>
      </c>
      <c r="AE65">
        <f>IF(0=0,"Sin atender", IF(0=1,"Atendida","Atendida y Reportada"))</f>
      </c>
      <c r="AF65" t="str">
        <v/>
      </c>
      <c r="AG65" t="str">
        <v/>
      </c>
      <c r="AH65" t="str">
        <v/>
      </c>
      <c r="AI65" t="str">
        <v/>
      </c>
      <c r="AJ65" t="str">
        <v>27/09/2026 10:05:09</v>
      </c>
      <c r="AK65" t="str">
        <v>10:05:09</v>
      </c>
      <c r="AL65" t="str">
        <v/>
      </c>
    </row>
    <row r="66">
      <c r="A66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/>
      </c>
      <c r="J66" t="str">
        <v>27/09/2026</v>
      </c>
      <c r="K66" t="str">
        <v>10:08:43</v>
      </c>
      <c r="L66">
        <v>-12.38777</v>
      </c>
      <c r="M66">
        <v>-76.767456</v>
      </c>
      <c r="N66">
        <f>HYPERLINK("https://www.google.com/maps/search/?api=1&amp;query=-12.38777,-76.767456","Carretera Panamericana Sur, San Bartolo, Lima")</f>
      </c>
      <c r="O66" t="str">
        <v>Salida de camino vecinal</v>
      </c>
      <c r="P66">
        <v>295551.6</v>
      </c>
      <c r="Q66" t="str">
        <v/>
      </c>
      <c r="R66">
        <v>68.1</v>
      </c>
      <c r="S66">
        <v>127.33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75</v>
      </c>
      <c r="AB66" t="str">
        <v>27/09/2026</v>
      </c>
      <c r="AC66" t="str">
        <v>10:08:41</v>
      </c>
      <c r="AD66">
        <f>IF("ONLINE"="NOGPS","GPS Antiguo","En línea")</f>
      </c>
      <c r="AE66">
        <f>IF(0=0,"Sin atender", IF(0=1,"Atendida","Atendida y Reportada"))</f>
      </c>
      <c r="AF66" t="str">
        <v/>
      </c>
      <c r="AG66" t="str">
        <v/>
      </c>
      <c r="AH66" t="str">
        <v/>
      </c>
      <c r="AI66" t="str">
        <v/>
      </c>
      <c r="AJ66" t="str">
        <v>27/09/2026 10:08:47</v>
      </c>
      <c r="AK66" t="str">
        <v>10:08:47</v>
      </c>
      <c r="AL66" t="str">
        <v/>
      </c>
    </row>
    <row r="67">
      <c r="A67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/>
      </c>
      <c r="J67" t="str">
        <v>27/09/2026</v>
      </c>
      <c r="K67" t="str">
        <v>10:11:34</v>
      </c>
      <c r="L67">
        <v>-12.367092</v>
      </c>
      <c r="M67">
        <v>-76.78853</v>
      </c>
      <c r="N67">
        <f>HYPERLINK("https://www.google.com/maps/search/?api=1&amp;query=-12.367092,-76.78853","Carretera Panamericana Sur, Punta Negra, Lima")</f>
      </c>
      <c r="O67" t="str">
        <v>Bache</v>
      </c>
      <c r="P67">
        <v>295554.8</v>
      </c>
      <c r="Q67" t="str">
        <v/>
      </c>
      <c r="R67">
        <v>50.7</v>
      </c>
      <c r="S67">
        <v>127.33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75</v>
      </c>
      <c r="AB67" t="str">
        <v>27/09/2026</v>
      </c>
      <c r="AC67" t="str">
        <v>10:11:33</v>
      </c>
      <c r="AD67">
        <f>IF("ONLINE"="NOGPS","GPS Antiguo","En línea")</f>
      </c>
      <c r="AE67">
        <f>IF(0=0,"Sin atender", IF(0=1,"Atendida","Atendida y Reportada"))</f>
      </c>
      <c r="AF67" t="str">
        <v/>
      </c>
      <c r="AG67" t="str">
        <v/>
      </c>
      <c r="AH67" t="str">
        <v/>
      </c>
      <c r="AI67" t="str">
        <v/>
      </c>
      <c r="AJ67" t="str">
        <v>27/09/2026 10:11:54</v>
      </c>
      <c r="AK67" t="str">
        <v>10:11:54</v>
      </c>
      <c r="AL67" t="str">
        <v/>
      </c>
    </row>
    <row r="68">
      <c r="A68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/>
      </c>
      <c r="J68" t="str">
        <v>27/09/2026</v>
      </c>
      <c r="K68" t="str">
        <v>10:11:40</v>
      </c>
      <c r="L68">
        <v>-12.366698</v>
      </c>
      <c r="M68">
        <v>-76.78887</v>
      </c>
      <c r="N68">
        <f>HYPERLINK("https://www.google.com/maps/search/?api=1&amp;query=-12.366698,-76.78887","Carretera Panamericana Sur, Punta Negra, Lima")</f>
      </c>
      <c r="O68" t="str">
        <v>Bache</v>
      </c>
      <c r="P68">
        <v>295554.8</v>
      </c>
      <c r="Q68" t="str">
        <v/>
      </c>
      <c r="R68">
        <v>37.4</v>
      </c>
      <c r="S68">
        <v>127.33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75</v>
      </c>
      <c r="AB68" t="str">
        <v>27/09/2026</v>
      </c>
      <c r="AC68" t="str">
        <v>10:11:38</v>
      </c>
      <c r="AD68">
        <f>IF("ONLINE"="NOGPS","GPS Antiguo","En línea")</f>
      </c>
      <c r="AE68">
        <f>IF(0=0,"Sin atender", IF(0=1,"Atendida","Atendida y Reportada"))</f>
      </c>
      <c r="AF68" t="str">
        <v/>
      </c>
      <c r="AG68" t="str">
        <v/>
      </c>
      <c r="AH68" t="str">
        <v/>
      </c>
      <c r="AI68" t="str">
        <v/>
      </c>
      <c r="AJ68" t="str">
        <v>27/09/2026 10:11:46</v>
      </c>
      <c r="AK68" t="str">
        <v>10:11:46</v>
      </c>
      <c r="AL68" t="str">
        <v/>
      </c>
    </row>
    <row r="69">
      <c r="A69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/>
      </c>
      <c r="J69" t="str">
        <v>27/09/2026</v>
      </c>
      <c r="K69" t="str">
        <v>10:11:43</v>
      </c>
      <c r="L69">
        <v>-12.366425</v>
      </c>
      <c r="M69">
        <v>-76.789154</v>
      </c>
      <c r="N69">
        <f>HYPERLINK("https://www.google.com/maps/search/?api=1&amp;query=-12.366425,-76.789154","Carretera Panamericana Sur, Punta Negra, Lima")</f>
      </c>
      <c r="O69" t="str">
        <v>Ingreso a camino vecinal</v>
      </c>
      <c r="P69">
        <v>295554.9</v>
      </c>
      <c r="Q69" t="str">
        <v/>
      </c>
      <c r="R69">
        <v>42.9</v>
      </c>
      <c r="S69">
        <v>127.33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75</v>
      </c>
      <c r="AB69" t="str">
        <v>27/09/2026</v>
      </c>
      <c r="AC69" t="str">
        <v>10:11:42</v>
      </c>
      <c r="AD69">
        <f>IF("ONLINE"="NOGPS","GPS Antiguo","En línea")</f>
      </c>
      <c r="AE69">
        <f>IF(0=0,"Sin atender", IF(0=1,"Atendida","Atendida y Reportada"))</f>
      </c>
      <c r="AF69" t="str">
        <v/>
      </c>
      <c r="AG69" t="str">
        <v/>
      </c>
      <c r="AH69" t="str">
        <v/>
      </c>
      <c r="AI69" t="str">
        <v/>
      </c>
      <c r="AJ69" t="str">
        <v>27/09/2026 10:12:06</v>
      </c>
      <c r="AK69" t="str">
        <v>10:12:06</v>
      </c>
      <c r="AL69" t="str">
        <v/>
      </c>
    </row>
    <row r="70">
      <c r="A70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/>
      </c>
      <c r="J70" t="str">
        <v>27/09/2026</v>
      </c>
      <c r="K70" t="str">
        <v>10:11:47</v>
      </c>
      <c r="L70">
        <v>-12.366118</v>
      </c>
      <c r="M70">
        <v>-76.7895</v>
      </c>
      <c r="N70">
        <f>HYPERLINK("https://www.google.com/maps/search/?api=1&amp;query=-12.366118,-76.7895","Carretera Panamericana Sur, Punta Negra, Lima")</f>
      </c>
      <c r="O70" t="str">
        <v>Exceso de velocidad en segmento vial</v>
      </c>
      <c r="P70">
        <v>295554.9</v>
      </c>
      <c r="Q70" t="str">
        <v/>
      </c>
      <c r="R70">
        <v>46.8</v>
      </c>
      <c r="S70">
        <v>127.33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75</v>
      </c>
      <c r="AB70" t="str">
        <v>27/09/2026</v>
      </c>
      <c r="AC70" t="str">
        <v>10:11:46</v>
      </c>
      <c r="AD70">
        <f>IF("ONLINE"="NOGPS","GPS Antiguo","En línea")</f>
      </c>
      <c r="AE70">
        <f>IF(0=0,"Sin atender", IF(0=1,"Atendida","Atendida y Reportada"))</f>
      </c>
      <c r="AF70" t="str">
        <v/>
      </c>
      <c r="AG70" t="str">
        <v/>
      </c>
      <c r="AH70" t="str">
        <v/>
      </c>
      <c r="AI70" t="str">
        <v/>
      </c>
      <c r="AJ70" t="str">
        <v>27/09/2026 10:12:18</v>
      </c>
      <c r="AK70" t="str">
        <v>10:12:18</v>
      </c>
      <c r="AL70" t="str">
        <v/>
      </c>
    </row>
    <row r="71">
      <c r="A71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/>
      </c>
      <c r="J71" t="str">
        <v>27/09/2026</v>
      </c>
      <c r="K71" t="str">
        <v>10:15:44</v>
      </c>
      <c r="L71">
        <v>-12.340603</v>
      </c>
      <c r="M71">
        <v>-76.815025</v>
      </c>
      <c r="N71">
        <f>HYPERLINK("https://www.google.com/maps/search/?api=1&amp;query=-12.340603,-76.815025","Carretera Panamericana Sur, Punta Hermosa, Lima")</f>
      </c>
      <c r="O71" t="str">
        <v>Salida de camino vecinal</v>
      </c>
      <c r="P71">
        <v>295558.9</v>
      </c>
      <c r="Q71" t="str">
        <v/>
      </c>
      <c r="R71">
        <v>56.4</v>
      </c>
      <c r="S71">
        <v>127.33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82</v>
      </c>
      <c r="AB71" t="str">
        <v>27/09/2026</v>
      </c>
      <c r="AC71" t="str">
        <v>10:15:43</v>
      </c>
      <c r="AD71">
        <f>IF("ONLINE"="NOGPS","GPS Antiguo","En línea")</f>
      </c>
      <c r="AE71">
        <f>IF(0=0,"Sin atender", IF(0=1,"Atendida","Atendida y Reportada"))</f>
      </c>
      <c r="AF71" t="str">
        <v/>
      </c>
      <c r="AG71" t="str">
        <v/>
      </c>
      <c r="AH71" t="str">
        <v/>
      </c>
      <c r="AI71" t="str">
        <v/>
      </c>
      <c r="AJ71" t="str">
        <v>27/09/2026 10:16:04</v>
      </c>
      <c r="AK71" t="str">
        <v>10:16:04</v>
      </c>
      <c r="AL71" t="str">
        <v/>
      </c>
    </row>
    <row r="72">
      <c r="A72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/>
      </c>
      <c r="J72" t="str">
        <v>27/09/2026</v>
      </c>
      <c r="K72" t="str">
        <v>10:18:28</v>
      </c>
      <c r="L72">
        <v>-12.318744</v>
      </c>
      <c r="M72">
        <v>-76.82954</v>
      </c>
      <c r="N72">
        <f>HYPERLINK("https://www.google.com/maps/search/?api=1&amp;query=-12.318744,-76.82954","Carretera Panamericana Sur, Punta Hermosa, Lima")</f>
      </c>
      <c r="O72" t="str">
        <v>Bache</v>
      </c>
      <c r="P72">
        <v>295561.8</v>
      </c>
      <c r="Q72" t="str">
        <v/>
      </c>
      <c r="R72">
        <v>54.2</v>
      </c>
      <c r="S72">
        <v>127.33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87</v>
      </c>
      <c r="AB72" t="str">
        <v>27/09/2026</v>
      </c>
      <c r="AC72" t="str">
        <v>10:18:26</v>
      </c>
      <c r="AD72">
        <f>IF("ONLINE"="NOGPS","GPS Antiguo","En línea")</f>
      </c>
      <c r="AE72">
        <f>IF(0=0,"Sin atender", IF(0=1,"Atendida","Atendida y Reportada"))</f>
      </c>
      <c r="AF72" t="str">
        <v/>
      </c>
      <c r="AG72" t="str">
        <v/>
      </c>
      <c r="AH72" t="str">
        <v/>
      </c>
      <c r="AI72" t="str">
        <v/>
      </c>
      <c r="AJ72" t="str">
        <v>27/09/2026 10:18:36</v>
      </c>
      <c r="AK72" t="str">
        <v>10:18:36</v>
      </c>
      <c r="AL72" t="str">
        <v/>
      </c>
    </row>
    <row r="73">
      <c r="A73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 xml:space="preserve"> </v>
      </c>
      <c r="J73" t="str">
        <v>27/09/2026</v>
      </c>
      <c r="K73" t="str">
        <v>10:19:52</v>
      </c>
      <c r="L73">
        <v>-12.317536</v>
      </c>
      <c r="M73">
        <v>-76.82962</v>
      </c>
      <c r="N73">
        <f>HYPERLINK("https://www.google.com/maps/search/?api=1&amp;query=-12.317536,-76.82962","Punta Hermosa, Lima")</f>
      </c>
      <c r="O73" t="str">
        <v>Llegó a la zona</v>
      </c>
      <c r="P73">
        <v>295561.9</v>
      </c>
      <c r="Q73" t="str">
        <v>MASS BSF 1</v>
      </c>
      <c r="R73">
        <v>8.7</v>
      </c>
      <c r="S73">
        <v>128.03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82</v>
      </c>
      <c r="AB73" t="str">
        <v>27/09/2026</v>
      </c>
      <c r="AC73" t="str">
        <v>10:19:51</v>
      </c>
      <c r="AD73">
        <f>IF("ONLINE"="NOGPS","GPS Antiguo","En línea")</f>
      </c>
      <c r="AE73">
        <f>IF(0=0,"Sin atender", IF(0=1,"Atendida","Atendida y Reportada"))</f>
      </c>
      <c r="AF73" t="str">
        <v/>
      </c>
      <c r="AG73" t="str">
        <v/>
      </c>
      <c r="AH73" t="str">
        <v/>
      </c>
      <c r="AI73" t="str">
        <v/>
      </c>
      <c r="AJ73" t="str">
        <v>27/09/2026 10:20:08</v>
      </c>
      <c r="AK73" t="str">
        <v>10:20:08</v>
      </c>
      <c r="AL73" t="str">
        <v/>
      </c>
    </row>
    <row r="74">
      <c r="A74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/>
      </c>
      <c r="J74" t="str">
        <v>27/09/2026</v>
      </c>
      <c r="K74" t="str">
        <v>10:22:26</v>
      </c>
      <c r="L74">
        <v>-12.316972</v>
      </c>
      <c r="M74">
        <v>-76.825485</v>
      </c>
      <c r="N74">
        <f>HYPERLINK("https://www.google.com/maps/search/?api=1&amp;query=-12.316972,-76.825485","Punta Hermosa, Lima")</f>
      </c>
      <c r="O74" t="str">
        <v>Bache</v>
      </c>
      <c r="P74">
        <v>295562.5</v>
      </c>
      <c r="Q74" t="str">
        <v/>
      </c>
      <c r="R74">
        <v>17</v>
      </c>
      <c r="S74">
        <v>127.33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76</v>
      </c>
      <c r="AB74" t="str">
        <v>27/09/2026</v>
      </c>
      <c r="AC74" t="str">
        <v>10:22:24</v>
      </c>
      <c r="AD74">
        <f>IF("ONLINE"="NOGPS","GPS Antiguo","En línea")</f>
      </c>
      <c r="AE74">
        <f>IF(0=0,"Sin atender", IF(0=1,"Atendida","Atendida y Reportada"))</f>
      </c>
      <c r="AF74" t="str">
        <v/>
      </c>
      <c r="AG74" t="str">
        <v/>
      </c>
      <c r="AH74" t="str">
        <v/>
      </c>
      <c r="AI74" t="str">
        <v/>
      </c>
      <c r="AJ74" t="str">
        <v>27/09/2026 10:22:38</v>
      </c>
      <c r="AK74" t="str">
        <v>10:22:38</v>
      </c>
      <c r="AL74" t="str">
        <v/>
      </c>
    </row>
    <row r="75">
      <c r="A75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/>
      </c>
      <c r="J75" t="str">
        <v>27/09/2026</v>
      </c>
      <c r="K75" t="str">
        <v>10:26:11</v>
      </c>
      <c r="L75">
        <v>-12.317382</v>
      </c>
      <c r="M75">
        <v>-76.82293</v>
      </c>
      <c r="N75">
        <f>HYPERLINK("https://www.google.com/maps/search/?api=1&amp;query=-12.317382,-76.82293","Punta Hermosa, Lima")</f>
      </c>
      <c r="O75" t="str">
        <v>Vehículo apagado</v>
      </c>
      <c r="P75">
        <v>295563</v>
      </c>
      <c r="Q75" t="str">
        <v/>
      </c>
      <c r="R75">
        <v>0</v>
      </c>
      <c r="S75">
        <v>127.83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83</v>
      </c>
      <c r="AB75" t="str">
        <v>27/09/2026</v>
      </c>
      <c r="AC75" t="str">
        <v>10:26:09</v>
      </c>
      <c r="AD75">
        <f>IF("ONLINE"="NOGPS","GPS Antiguo","En línea")</f>
      </c>
      <c r="AE75">
        <f>IF(0=0,"Sin atender", IF(0=1,"Atendida","Atendida y Reportada"))</f>
      </c>
      <c r="AF75" t="str">
        <v/>
      </c>
      <c r="AG75" t="str">
        <v/>
      </c>
      <c r="AH75" t="str">
        <v/>
      </c>
      <c r="AI75" t="str">
        <v/>
      </c>
      <c r="AJ75" t="str">
        <v>27/09/2026 10:26:22</v>
      </c>
      <c r="AK75" t="str">
        <v>10:26:22</v>
      </c>
      <c r="AL75" t="str">
        <v/>
      </c>
    </row>
    <row r="76">
      <c r="A76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/>
      </c>
      <c r="J76" t="str">
        <v>27/09/2026</v>
      </c>
      <c r="K76" t="str">
        <v>10:32:40</v>
      </c>
      <c r="L76">
        <v>-12.317382</v>
      </c>
      <c r="M76">
        <v>-76.82293</v>
      </c>
      <c r="N76">
        <f>HYPERLINK("https://www.google.com/maps/search/?api=1&amp;query=-12.317382,-76.82293","Punta Hermosa, Lima")</f>
      </c>
      <c r="O76" t="str">
        <v>Se detuvo</v>
      </c>
      <c r="P76">
        <v>295563</v>
      </c>
      <c r="Q76" t="str">
        <v/>
      </c>
      <c r="R76">
        <v>0</v>
      </c>
      <c r="S76">
        <v>127.83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83</v>
      </c>
      <c r="AB76" t="str">
        <v>27/09/2026</v>
      </c>
      <c r="AC76" t="str">
        <v>10:32:38</v>
      </c>
      <c r="AD76">
        <f>IF("ONLINE"="NOGPS","GPS Antiguo","En línea")</f>
      </c>
      <c r="AE76">
        <f>IF(0=0,"Sin atender", IF(0=1,"Atendida","Atendida y Reportada"))</f>
      </c>
      <c r="AF76" t="str">
        <v/>
      </c>
      <c r="AG76" t="str">
        <v/>
      </c>
      <c r="AH76" t="str">
        <v/>
      </c>
      <c r="AI76" t="str">
        <v/>
      </c>
      <c r="AJ76" t="str">
        <v>27/09/2026 10:32:58</v>
      </c>
      <c r="AK76" t="str">
        <v>10:32:58</v>
      </c>
      <c r="AL76" t="str">
        <v/>
      </c>
    </row>
    <row r="77">
      <c r="A77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/>
      </c>
      <c r="J77" t="str">
        <v>27/09/2026</v>
      </c>
      <c r="K77" t="str">
        <v>10:34:54</v>
      </c>
      <c r="L77">
        <v>-12.317382</v>
      </c>
      <c r="M77">
        <v>-76.82293</v>
      </c>
      <c r="N77">
        <f>HYPERLINK("https://www.google.com/maps/search/?api=1&amp;query=-12.317382,-76.82293","Punta Hermosa, Lima")</f>
      </c>
      <c r="O77" t="str">
        <v>Vehículo encendido</v>
      </c>
      <c r="P77">
        <v>295563</v>
      </c>
      <c r="Q77" t="str">
        <v/>
      </c>
      <c r="R77">
        <v>0</v>
      </c>
      <c r="S77">
        <v>127.83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83</v>
      </c>
      <c r="AB77" t="str">
        <v>27/09/2026</v>
      </c>
      <c r="AC77" t="str">
        <v>10:34:53</v>
      </c>
      <c r="AD77">
        <f>IF("ONLINE"="NOGPS","GPS Antiguo","En línea")</f>
      </c>
      <c r="AE77">
        <f>IF(0=0,"Sin atender", IF(0=1,"Atendida","Atendida y Reportada"))</f>
      </c>
      <c r="AF77" t="str">
        <v/>
      </c>
      <c r="AG77" t="str">
        <v/>
      </c>
      <c r="AH77" t="str">
        <v/>
      </c>
      <c r="AI77" t="str">
        <v/>
      </c>
      <c r="AJ77" t="str">
        <v>27/09/2026 10:35:13</v>
      </c>
      <c r="AK77" t="str">
        <v>10:35:13</v>
      </c>
      <c r="AL77" t="str">
        <v/>
      </c>
    </row>
    <row r="78">
      <c r="A78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/>
      </c>
      <c r="J78" t="str">
        <v>27/09/2026</v>
      </c>
      <c r="K78" t="str">
        <v>10:37:33</v>
      </c>
      <c r="L78">
        <v>-12.318125</v>
      </c>
      <c r="M78">
        <v>-76.82409</v>
      </c>
      <c r="N78">
        <f>HYPERLINK("https://www.google.com/maps/search/?api=1&amp;query=-12.318125,-76.82409","Punta Hermosa, Lima")</f>
      </c>
      <c r="O78" t="str">
        <v>Vehículo apagado</v>
      </c>
      <c r="P78">
        <v>295563.2</v>
      </c>
      <c r="Q78" t="str">
        <v/>
      </c>
      <c r="R78">
        <v>0</v>
      </c>
      <c r="S78">
        <v>127.88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83</v>
      </c>
      <c r="AB78" t="str">
        <v>27/09/2026</v>
      </c>
      <c r="AC78" t="str">
        <v>10:37:31</v>
      </c>
      <c r="AD78">
        <f>IF("ONLINE"="NOGPS","GPS Antiguo","En línea")</f>
      </c>
      <c r="AE78">
        <f>IF(0=0,"Sin atender", IF(0=1,"Atendida","Atendida y Reportada"))</f>
      </c>
      <c r="AF78" t="str">
        <v/>
      </c>
      <c r="AG78" t="str">
        <v/>
      </c>
      <c r="AH78" t="str">
        <v/>
      </c>
      <c r="AI78" t="str">
        <v/>
      </c>
      <c r="AJ78" t="str">
        <v>27/09/2026 10:37:46</v>
      </c>
      <c r="AK78" t="str">
        <v>10:37:46</v>
      </c>
      <c r="AL78" t="str">
        <v/>
      </c>
    </row>
    <row r="79">
      <c r="A79">
        <v>78</v>
      </c>
      <c r="B79" t="str">
        <v>MASS BSF</v>
      </c>
      <c r="C79" t="str">
        <v>C6E-921</v>
      </c>
      <c r="D79" t="str">
        <v>C6E-921</v>
      </c>
      <c r="E79" t="str">
        <v/>
      </c>
      <c r="F79" t="str">
        <v>867806078831353</v>
      </c>
      <c r="G79" t="str">
        <v>TBD</v>
      </c>
      <c r="H79" t="str">
        <v/>
      </c>
      <c r="I79" t="str">
        <v/>
      </c>
      <c r="J79" t="str">
        <v>27/09/2026</v>
      </c>
      <c r="K79" t="str">
        <v>10:43:39</v>
      </c>
      <c r="L79">
        <v>-12.318089</v>
      </c>
      <c r="M79">
        <v>-76.824005</v>
      </c>
      <c r="N79">
        <f>HYPERLINK("https://www.google.com/maps/search/?api=1&amp;query=-12.318089,-76.824005","Punta Hermosa, Lima")</f>
      </c>
      <c r="O79" t="str">
        <v>Se detuvo</v>
      </c>
      <c r="P79">
        <v>295563.2</v>
      </c>
      <c r="Q79" t="str">
        <v/>
      </c>
      <c r="R79">
        <v>0</v>
      </c>
      <c r="S79">
        <v>127.83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83</v>
      </c>
      <c r="AB79" t="str">
        <v>27/09/2026</v>
      </c>
      <c r="AC79" t="str">
        <v>10:43:37</v>
      </c>
      <c r="AD79">
        <f>IF("ONLINE"="NOGPS","GPS Antiguo","En línea")</f>
      </c>
      <c r="AE79">
        <f>IF(0=0,"Sin atender", IF(0=1,"Atendida","Atendida y Reportada"))</f>
      </c>
      <c r="AF79" t="str">
        <v/>
      </c>
      <c r="AG79" t="str">
        <v/>
      </c>
      <c r="AH79" t="str">
        <v/>
      </c>
      <c r="AI79" t="str">
        <v/>
      </c>
      <c r="AJ79" t="str">
        <v>27/09/2026 10:43:51</v>
      </c>
      <c r="AK79" t="str">
        <v>10:43:51</v>
      </c>
      <c r="AL79" t="str">
        <v/>
      </c>
    </row>
    <row r="80">
      <c r="A80">
        <v>79</v>
      </c>
      <c r="B80" t="str">
        <v>MASS BSF</v>
      </c>
      <c r="C80" t="str">
        <v>C6E-921</v>
      </c>
      <c r="D80" t="str">
        <v>C6E-921</v>
      </c>
      <c r="E80" t="str">
        <v/>
      </c>
      <c r="F80" t="str">
        <v>867806078831353</v>
      </c>
      <c r="G80" t="str">
        <v>TBD</v>
      </c>
      <c r="H80" t="str">
        <v/>
      </c>
      <c r="I80" t="str">
        <v/>
      </c>
      <c r="J80" t="str">
        <v>27/09/2026</v>
      </c>
      <c r="K80" t="str">
        <v>14:00:37</v>
      </c>
      <c r="L80">
        <v>-12.318089</v>
      </c>
      <c r="M80">
        <v>-76.824005</v>
      </c>
      <c r="N80">
        <f>HYPERLINK("https://www.google.com/maps/search/?api=1&amp;query=-12.318089,-76.824005","Punta Hermosa, Lima")</f>
      </c>
      <c r="O80" t="str">
        <v>Se movio</v>
      </c>
      <c r="P80">
        <v>295563.2</v>
      </c>
      <c r="Q80" t="str">
        <v/>
      </c>
      <c r="R80">
        <v>0</v>
      </c>
      <c r="S80">
        <v>128.67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73</v>
      </c>
      <c r="AB80" t="str">
        <v>27/09/2026</v>
      </c>
      <c r="AC80" t="str">
        <v>14:00:33</v>
      </c>
      <c r="AD80">
        <f>IF("ONLINE"="NOGPS","GPS Antiguo","En línea")</f>
      </c>
      <c r="AE80">
        <f>IF(0=0,"Sin atender", IF(0=1,"Atendida","Atendida y Reportada"))</f>
      </c>
      <c r="AF80" t="str">
        <v/>
      </c>
      <c r="AG80" t="str">
        <v/>
      </c>
      <c r="AH80" t="str">
        <v/>
      </c>
      <c r="AI80" t="str">
        <v/>
      </c>
      <c r="AJ80" t="str">
        <v>27/09/2026 14:00:41</v>
      </c>
      <c r="AK80" t="str">
        <v>14:00:41</v>
      </c>
      <c r="AL80" t="str">
        <v/>
      </c>
    </row>
    <row r="81">
      <c r="A81">
        <v>80</v>
      </c>
      <c r="B81" t="str">
        <v>MASS BSF</v>
      </c>
      <c r="C81" t="str">
        <v>C6E-921</v>
      </c>
      <c r="D81" t="str">
        <v>C6E-921</v>
      </c>
      <c r="E81" t="str">
        <v/>
      </c>
      <c r="F81" t="str">
        <v>867806078831353</v>
      </c>
      <c r="G81" t="str">
        <v>TBD</v>
      </c>
      <c r="H81" t="str">
        <v/>
      </c>
      <c r="I81" t="str">
        <v/>
      </c>
      <c r="J81" t="str">
        <v>27/09/2026</v>
      </c>
      <c r="K81" t="str">
        <v>14:00:45</v>
      </c>
      <c r="L81">
        <v>-12.318058</v>
      </c>
      <c r="M81">
        <v>-76.824</v>
      </c>
      <c r="N81">
        <f>HYPERLINK("https://www.google.com/maps/search/?api=1&amp;query=-12.318058,-76.824","Punta Hermosa, Lima")</f>
      </c>
      <c r="O81" t="str">
        <v>Vehículo encendido</v>
      </c>
      <c r="P81">
        <v>295563.2</v>
      </c>
      <c r="Q81" t="str">
        <v/>
      </c>
      <c r="R81">
        <v>0</v>
      </c>
      <c r="S81">
        <v>128.67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73</v>
      </c>
      <c r="AB81" t="str">
        <v>27/09/2026</v>
      </c>
      <c r="AC81" t="str">
        <v>14:00:42</v>
      </c>
      <c r="AD81">
        <f>IF("ONLINE"="NOGPS","GPS Antiguo","En línea")</f>
      </c>
      <c r="AE81">
        <f>IF(0=0,"Sin atender", IF(0=1,"Atendida","Atendida y Reportada"))</f>
      </c>
      <c r="AF81" t="str">
        <v/>
      </c>
      <c r="AG81" t="str">
        <v/>
      </c>
      <c r="AH81" t="str">
        <v/>
      </c>
      <c r="AI81" t="str">
        <v/>
      </c>
      <c r="AJ81" t="str">
        <v>27/09/2026 14:00:57</v>
      </c>
      <c r="AK81" t="str">
        <v>14:00:57</v>
      </c>
      <c r="AL81" t="str">
        <v/>
      </c>
    </row>
    <row r="82">
      <c r="A82">
        <v>81</v>
      </c>
      <c r="B82" t="str">
        <v>MASS BSF</v>
      </c>
      <c r="C82" t="str">
        <v>C6E-921</v>
      </c>
      <c r="D82" t="str">
        <v>C6E-921</v>
      </c>
      <c r="E82" t="str">
        <v/>
      </c>
      <c r="F82" t="str">
        <v>867806078831353</v>
      </c>
      <c r="G82" t="str">
        <v>TBD</v>
      </c>
      <c r="H82" t="str">
        <v/>
      </c>
      <c r="I82" t="str">
        <v/>
      </c>
      <c r="J82" t="str">
        <v>27/09/2026</v>
      </c>
      <c r="K82" t="str">
        <v>14:02:22</v>
      </c>
      <c r="L82">
        <v>-12.317897</v>
      </c>
      <c r="M82">
        <v>-76.824135</v>
      </c>
      <c r="N82">
        <f>HYPERLINK("https://www.google.com/maps/search/?api=1&amp;query=-12.317897,-76.824135","Punta Hermosa, Lima")</f>
      </c>
      <c r="O82" t="str">
        <v>Vehículo apagado</v>
      </c>
      <c r="P82">
        <v>295563.3</v>
      </c>
      <c r="Q82" t="str">
        <v/>
      </c>
      <c r="R82">
        <v>0</v>
      </c>
      <c r="S82">
        <v>128.7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78</v>
      </c>
      <c r="AB82" t="str">
        <v>27/09/2026</v>
      </c>
      <c r="AC82" t="str">
        <v>14:02:19</v>
      </c>
      <c r="AD82">
        <f>IF("ONLINE"="NOGPS","GPS Antiguo","En línea")</f>
      </c>
      <c r="AE82">
        <f>IF(0=0,"Sin atender", IF(0=1,"Atendida","Atendida y Reportada"))</f>
      </c>
      <c r="AF82" t="str">
        <v/>
      </c>
      <c r="AG82" t="str">
        <v/>
      </c>
      <c r="AH82" t="str">
        <v/>
      </c>
      <c r="AI82" t="str">
        <v/>
      </c>
      <c r="AJ82" t="str">
        <v>27/09/2026 14:02:44</v>
      </c>
      <c r="AK82" t="str">
        <v>14:02:44</v>
      </c>
      <c r="AL82" t="str">
        <v/>
      </c>
    </row>
    <row r="83">
      <c r="A83">
        <v>82</v>
      </c>
      <c r="B83" t="str">
        <v>MASS BSF</v>
      </c>
      <c r="C83" t="str">
        <v>C6E-921</v>
      </c>
      <c r="D83" t="str">
        <v>C6E-921</v>
      </c>
      <c r="E83" t="str">
        <v/>
      </c>
      <c r="F83" t="str">
        <v>867806078831353</v>
      </c>
      <c r="G83" t="str">
        <v>TBD</v>
      </c>
      <c r="H83" t="str">
        <v/>
      </c>
      <c r="I83" t="str">
        <v/>
      </c>
      <c r="J83" t="str">
        <v>27/09/2026</v>
      </c>
      <c r="K83" t="str">
        <v>14:09:34</v>
      </c>
      <c r="L83">
        <v>-12.317897</v>
      </c>
      <c r="M83">
        <v>-76.824135</v>
      </c>
      <c r="N83">
        <f>HYPERLINK("https://www.google.com/maps/search/?api=1&amp;query=-12.317897,-76.824135","Punta Hermosa, Lima")</f>
      </c>
      <c r="O83" t="str">
        <v>Vehículo encendido</v>
      </c>
      <c r="P83">
        <v>295563.3</v>
      </c>
      <c r="Q83" t="str">
        <v/>
      </c>
      <c r="R83">
        <v>0</v>
      </c>
      <c r="S83">
        <v>128.7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78</v>
      </c>
      <c r="AB83" t="str">
        <v>27/09/2026</v>
      </c>
      <c r="AC83" t="str">
        <v>14:09:31</v>
      </c>
      <c r="AD83">
        <f>IF("ONLINE"="NOGPS","GPS Antiguo","En línea")</f>
      </c>
      <c r="AE83">
        <f>IF(0=0,"Sin atender", IF(0=1,"Atendida","Atendida y Reportada"))</f>
      </c>
      <c r="AF83" t="str">
        <v/>
      </c>
      <c r="AG83" t="str">
        <v/>
      </c>
      <c r="AH83" t="str">
        <v/>
      </c>
      <c r="AI83" t="str">
        <v/>
      </c>
      <c r="AJ83" t="str">
        <v>27/09/2026 14:09:56</v>
      </c>
      <c r="AK83" t="str">
        <v>14:09:56</v>
      </c>
      <c r="AL83" t="str">
        <v/>
      </c>
    </row>
    <row r="84">
      <c r="A84">
        <v>83</v>
      </c>
      <c r="B84" t="str">
        <v>MASS BSF</v>
      </c>
      <c r="C84" t="str">
        <v>C6E-921</v>
      </c>
      <c r="D84" t="str">
        <v>C6E-921</v>
      </c>
      <c r="E84" t="str">
        <v/>
      </c>
      <c r="F84" t="str">
        <v>867806078831353</v>
      </c>
      <c r="G84" t="str">
        <v>TBD</v>
      </c>
      <c r="H84" t="str">
        <v/>
      </c>
      <c r="I84" t="str">
        <v/>
      </c>
      <c r="J84" t="str">
        <v>27/09/2026</v>
      </c>
      <c r="K84" t="str">
        <v>14:09:51</v>
      </c>
      <c r="L84">
        <v>-12.317897</v>
      </c>
      <c r="M84">
        <v>-76.824135</v>
      </c>
      <c r="N84">
        <f>HYPERLINK("https://www.google.com/maps/search/?api=1&amp;query=-12.317897,-76.824135","Punta Hermosa, Lima")</f>
      </c>
      <c r="O84" t="str">
        <v>Se movio</v>
      </c>
      <c r="P84">
        <v>295563.3</v>
      </c>
      <c r="Q84" t="str">
        <v/>
      </c>
      <c r="R84">
        <v>0</v>
      </c>
      <c r="S84">
        <v>128.7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85</v>
      </c>
      <c r="AB84" t="str">
        <v>27/09/2026</v>
      </c>
      <c r="AC84" t="str">
        <v>14:09:48</v>
      </c>
      <c r="AD84">
        <f>IF("ONLINE"="NOGPS","GPS Antiguo","En línea")</f>
      </c>
      <c r="AE84">
        <f>IF(0=0,"Sin atender", IF(0=1,"Atendida","Atendida y Reportada"))</f>
      </c>
      <c r="AF84" t="str">
        <v/>
      </c>
      <c r="AG84" t="str">
        <v/>
      </c>
      <c r="AH84" t="str">
        <v/>
      </c>
      <c r="AI84" t="str">
        <v/>
      </c>
      <c r="AJ84" t="str">
        <v>27/09/2026 14:10:03</v>
      </c>
      <c r="AK84" t="str">
        <v>14:10:03</v>
      </c>
      <c r="AL84" t="str">
        <v/>
      </c>
    </row>
    <row r="85">
      <c r="A85">
        <v>84</v>
      </c>
      <c r="B85" t="str">
        <v>MASS BSF</v>
      </c>
      <c r="C85" t="str">
        <v>C6E-921</v>
      </c>
      <c r="D85" t="str">
        <v>C6E-921</v>
      </c>
      <c r="E85" t="str">
        <v/>
      </c>
      <c r="F85" t="str">
        <v>867806078831353</v>
      </c>
      <c r="G85" t="str">
        <v>TBD</v>
      </c>
      <c r="H85" t="str">
        <v/>
      </c>
      <c r="I85" t="str">
        <v/>
      </c>
      <c r="J85" t="str">
        <v>27/09/2026</v>
      </c>
      <c r="K85" t="str">
        <v>14:11:31</v>
      </c>
      <c r="L85">
        <v>-12.315563</v>
      </c>
      <c r="M85">
        <v>-76.82653</v>
      </c>
      <c r="N85">
        <f>HYPERLINK("https://www.google.com/maps/search/?api=1&amp;query=-12.315563,-76.82653","Punta Hermosa, Lima")</f>
      </c>
      <c r="O85" t="str">
        <v>Bache</v>
      </c>
      <c r="P85">
        <v>295563.7</v>
      </c>
      <c r="Q85" t="str">
        <v/>
      </c>
      <c r="R85">
        <v>22.4</v>
      </c>
      <c r="S85">
        <v>128.7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85</v>
      </c>
      <c r="AB85" t="str">
        <v>27/09/2026</v>
      </c>
      <c r="AC85" t="str">
        <v>14:11:28</v>
      </c>
      <c r="AD85">
        <f>IF("ONLINE"="NOGPS","GPS Antiguo","En línea")</f>
      </c>
      <c r="AE85">
        <f>IF(0=0,"Sin atender", IF(0=1,"Atendida","Atendida y Reportada"))</f>
      </c>
      <c r="AF85" t="str">
        <v/>
      </c>
      <c r="AG85" t="str">
        <v/>
      </c>
      <c r="AH85" t="str">
        <v/>
      </c>
      <c r="AI85" t="str">
        <v/>
      </c>
      <c r="AJ85" t="str">
        <v>27/09/2026 14:11:39</v>
      </c>
      <c r="AK85" t="str">
        <v>14:11:39</v>
      </c>
      <c r="AL85" t="str">
        <v/>
      </c>
    </row>
    <row r="86">
      <c r="A86">
        <v>85</v>
      </c>
      <c r="B86" t="str">
        <v>MASS BSF</v>
      </c>
      <c r="C86" t="str">
        <v>C6E-921</v>
      </c>
      <c r="D86" t="str">
        <v>C6E-921</v>
      </c>
      <c r="E86" t="str">
        <v/>
      </c>
      <c r="F86" t="str">
        <v>867806078831353</v>
      </c>
      <c r="G86" t="str">
        <v>TBD</v>
      </c>
      <c r="H86" t="str">
        <v/>
      </c>
      <c r="I86" t="str">
        <v xml:space="preserve"> </v>
      </c>
      <c r="J86" t="str">
        <v>27/09/2026</v>
      </c>
      <c r="K86" t="str">
        <v>14:15:52</v>
      </c>
      <c r="L86">
        <v>-12.317515</v>
      </c>
      <c r="M86">
        <v>-76.82989</v>
      </c>
      <c r="N86">
        <f>HYPERLINK("https://www.google.com/maps/search/?api=1&amp;query=-12.317515,-76.82989","Punta Hermosa, Lima")</f>
      </c>
      <c r="O86" t="str">
        <v>Salió de zona</v>
      </c>
      <c r="P86">
        <v>295564.1</v>
      </c>
      <c r="Q86" t="str">
        <v>MASS BSF 1</v>
      </c>
      <c r="R86">
        <v>12.5</v>
      </c>
      <c r="S86">
        <v>128.7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76</v>
      </c>
      <c r="AB86" t="str">
        <v>27/09/2026</v>
      </c>
      <c r="AC86" t="str">
        <v>14:15:49</v>
      </c>
      <c r="AD86">
        <f>IF("ONLINE"="NOGPS","GPS Antiguo","En línea")</f>
      </c>
      <c r="AE86">
        <f>IF(0=0,"Sin atender", IF(0=1,"Atendida","Atendida y Reportada"))</f>
      </c>
      <c r="AF86" t="str">
        <v/>
      </c>
      <c r="AG86" t="str">
        <v/>
      </c>
      <c r="AH86" t="str">
        <v/>
      </c>
      <c r="AI86" t="str">
        <v/>
      </c>
      <c r="AJ86" t="str">
        <v>27/09/2026 14:16:07</v>
      </c>
      <c r="AK86" t="str">
        <v>14:16:07</v>
      </c>
      <c r="AL86" t="str">
        <v/>
      </c>
    </row>
    <row r="87">
      <c r="A87">
        <v>86</v>
      </c>
      <c r="B87" t="str">
        <v>MASS BSF</v>
      </c>
      <c r="C87" t="str">
        <v>C6E-921</v>
      </c>
      <c r="D87" t="str">
        <v>C6E-921</v>
      </c>
      <c r="E87" t="str">
        <v/>
      </c>
      <c r="F87" t="str">
        <v>867806078831353</v>
      </c>
      <c r="G87" t="str">
        <v>TBD</v>
      </c>
      <c r="H87" t="str">
        <v/>
      </c>
      <c r="I87" t="str">
        <v/>
      </c>
      <c r="J87" t="str">
        <v>27/09/2026</v>
      </c>
      <c r="K87" t="str">
        <v>14:20:14</v>
      </c>
      <c r="L87">
        <v>-12.294779</v>
      </c>
      <c r="M87">
        <v>-76.8598</v>
      </c>
      <c r="N87">
        <f>HYPERLINK("https://www.google.com/maps/search/?api=1&amp;query=-12.294779,-76.8598","Carretera Panamericana Sur, Lurín, Lima")</f>
      </c>
      <c r="O87" t="str">
        <v>Aceleración brusca</v>
      </c>
      <c r="P87">
        <v>295568.3</v>
      </c>
      <c r="Q87" t="str">
        <v/>
      </c>
      <c r="R87">
        <v>0</v>
      </c>
      <c r="S87">
        <v>128.7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80</v>
      </c>
      <c r="AB87" t="str">
        <v>27/09/2026</v>
      </c>
      <c r="AC87" t="str">
        <v>14:20:11</v>
      </c>
      <c r="AD87">
        <f>IF("ONLINE"="NOGPS","GPS Antiguo","En línea")</f>
      </c>
      <c r="AE87">
        <f>IF(0=0,"Sin atender", IF(0=1,"Atendida","Atendida y Reportada"))</f>
      </c>
      <c r="AF87" t="str">
        <v/>
      </c>
      <c r="AG87" t="str">
        <v/>
      </c>
      <c r="AH87" t="str">
        <v/>
      </c>
      <c r="AI87" t="str">
        <v/>
      </c>
      <c r="AJ87" t="str">
        <v>27/09/2026 14:20:40</v>
      </c>
      <c r="AK87" t="str">
        <v>14:20:40</v>
      </c>
      <c r="AL87" t="str">
        <v/>
      </c>
    </row>
    <row r="88">
      <c r="A88">
        <v>87</v>
      </c>
      <c r="B88" t="str">
        <v>MASS BSF</v>
      </c>
      <c r="C88" t="str">
        <v>C6E-921</v>
      </c>
      <c r="D88" t="str">
        <v>C6E-921</v>
      </c>
      <c r="E88" t="str">
        <v/>
      </c>
      <c r="F88" t="str">
        <v>867806078831353</v>
      </c>
      <c r="G88" t="str">
        <v>TBD</v>
      </c>
      <c r="H88" t="str">
        <v/>
      </c>
      <c r="I88" t="str">
        <v/>
      </c>
      <c r="J88" t="str">
        <v>27/09/2026</v>
      </c>
      <c r="K88" t="str">
        <v>14:23:16</v>
      </c>
      <c r="L88">
        <v>-12.281072</v>
      </c>
      <c r="M88">
        <v>-76.88177</v>
      </c>
      <c r="N88">
        <f>HYPERLINK("https://www.google.com/maps/search/?api=1&amp;query=-12.281072,-76.88177","Carretera Panamericana Sur, Lurín, Lima")</f>
      </c>
      <c r="O88" t="str">
        <v>Aceleración brusca</v>
      </c>
      <c r="P88">
        <v>295571.1</v>
      </c>
      <c r="Q88" t="str">
        <v/>
      </c>
      <c r="R88">
        <v>66.6</v>
      </c>
      <c r="S88">
        <v>128.7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80</v>
      </c>
      <c r="AB88" t="str">
        <v>27/09/2026</v>
      </c>
      <c r="AC88" t="str">
        <v>14:23:13</v>
      </c>
      <c r="AD88">
        <f>IF("ONLINE"="NOGPS","GPS Antiguo","En línea")</f>
      </c>
      <c r="AE88">
        <f>IF(0=0,"Sin atender", IF(0=1,"Atendida","Atendida y Reportada"))</f>
      </c>
      <c r="AF88" t="str">
        <v/>
      </c>
      <c r="AG88" t="str">
        <v/>
      </c>
      <c r="AH88" t="str">
        <v/>
      </c>
      <c r="AI88" t="str">
        <v/>
      </c>
      <c r="AJ88" t="str">
        <v>27/09/2026 14:23:35</v>
      </c>
      <c r="AK88" t="str">
        <v>14:23:35</v>
      </c>
      <c r="AL88" t="str">
        <v/>
      </c>
    </row>
    <row r="89">
      <c r="A89">
        <v>88</v>
      </c>
      <c r="B89" t="str">
        <v>MASS BSF</v>
      </c>
      <c r="C89" t="str">
        <v>C6E-921</v>
      </c>
      <c r="D89" t="str">
        <v>C6E-921</v>
      </c>
      <c r="E89" t="str">
        <v/>
      </c>
      <c r="F89" t="str">
        <v>867806078831353</v>
      </c>
      <c r="G89" t="str">
        <v>TBD</v>
      </c>
      <c r="H89" t="str">
        <v/>
      </c>
      <c r="I89" t="str">
        <v/>
      </c>
      <c r="J89" t="str">
        <v>27/09/2026</v>
      </c>
      <c r="K89" t="str">
        <v>14:30:54</v>
      </c>
      <c r="L89">
        <v>-12.239292</v>
      </c>
      <c r="M89">
        <v>-76.94985</v>
      </c>
      <c r="N89">
        <f>HYPERLINK("https://www.google.com/maps/search/?api=1&amp;query=-12.239292,-76.94985","Carretera Panamericana Sur, Villa El Salvador, Lima")</f>
      </c>
      <c r="O89" t="str">
        <v>Ingreso a camino vecinal</v>
      </c>
      <c r="P89">
        <v>295579.8</v>
      </c>
      <c r="Q89" t="str">
        <v/>
      </c>
      <c r="R89">
        <v>67</v>
      </c>
      <c r="S89">
        <v>128.7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79</v>
      </c>
      <c r="AB89" t="str">
        <v>27/09/2026</v>
      </c>
      <c r="AC89" t="str">
        <v>14:30:51</v>
      </c>
      <c r="AD89">
        <f>IF("ONLINE"="NOGPS","GPS Antiguo","En línea")</f>
      </c>
      <c r="AE89">
        <f>IF(0=0,"Sin atender", IF(0=1,"Atendida","Atendida y Reportada"))</f>
      </c>
      <c r="AF89" t="str">
        <v/>
      </c>
      <c r="AG89" t="str">
        <v/>
      </c>
      <c r="AH89" t="str">
        <v/>
      </c>
      <c r="AI89" t="str">
        <v/>
      </c>
      <c r="AJ89" t="str">
        <v>27/09/2026 14:31:12</v>
      </c>
      <c r="AK89" t="str">
        <v>14:31:12</v>
      </c>
      <c r="AL89" t="str">
        <v/>
      </c>
    </row>
    <row r="90">
      <c r="A90">
        <v>89</v>
      </c>
      <c r="B90" t="str">
        <v>MASS BSF</v>
      </c>
      <c r="C90" t="str">
        <v>C6E-921</v>
      </c>
      <c r="D90" t="str">
        <v>C6E-921</v>
      </c>
      <c r="E90" t="str">
        <v/>
      </c>
      <c r="F90" t="str">
        <v>867806078831353</v>
      </c>
      <c r="G90" t="str">
        <v>TBD</v>
      </c>
      <c r="H90" t="str">
        <v/>
      </c>
      <c r="I90" t="str">
        <v/>
      </c>
      <c r="J90" t="str">
        <v>27/09/2026</v>
      </c>
      <c r="K90" t="str">
        <v>14:31:54</v>
      </c>
      <c r="L90">
        <v>-12.234622</v>
      </c>
      <c r="M90">
        <v>-76.95884</v>
      </c>
      <c r="N90">
        <f>HYPERLINK("https://www.google.com/maps/search/?api=1&amp;query=-12.234622,-76.95884","Carretera Panamericana Sur, Villa El Salvador, Lima")</f>
      </c>
      <c r="O90" t="str">
        <v>Salida de camino vecinal</v>
      </c>
      <c r="P90">
        <v>295580.9</v>
      </c>
      <c r="Q90" t="str">
        <v/>
      </c>
      <c r="R90">
        <v>65.1</v>
      </c>
      <c r="S90">
        <v>128.7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79</v>
      </c>
      <c r="AB90" t="str">
        <v>27/09/2026</v>
      </c>
      <c r="AC90" t="str">
        <v>14:31:51</v>
      </c>
      <c r="AD90">
        <f>IF("ONLINE"="NOGPS","GPS Antiguo","En línea")</f>
      </c>
      <c r="AE90">
        <f>IF(0=0,"Sin atender", IF(0=1,"Atendida","Atendida y Reportada"))</f>
      </c>
      <c r="AF90" t="str">
        <v/>
      </c>
      <c r="AG90" t="str">
        <v/>
      </c>
      <c r="AH90" t="str">
        <v/>
      </c>
      <c r="AI90" t="str">
        <v/>
      </c>
      <c r="AJ90" t="str">
        <v>27/09/2026 14:31:57</v>
      </c>
      <c r="AK90" t="str">
        <v>14:31:57</v>
      </c>
      <c r="AL90" t="str">
        <v/>
      </c>
    </row>
    <row r="91">
      <c r="A91">
        <v>90</v>
      </c>
      <c r="B91" t="str">
        <v>MASS BSF</v>
      </c>
      <c r="C91" t="str">
        <v>C6E-921</v>
      </c>
      <c r="D91" t="str">
        <v>C6E-921</v>
      </c>
      <c r="E91" t="str">
        <v/>
      </c>
      <c r="F91" t="str">
        <v>867806078831353</v>
      </c>
      <c r="G91" t="str">
        <v>TBD</v>
      </c>
      <c r="H91" t="str">
        <v/>
      </c>
      <c r="I91" t="str">
        <v/>
      </c>
      <c r="J91" t="str">
        <v>27/09/2026</v>
      </c>
      <c r="K91" t="str">
        <v>14:34:23</v>
      </c>
      <c r="L91">
        <v>-12.219336</v>
      </c>
      <c r="M91">
        <v>-76.9758</v>
      </c>
      <c r="N91">
        <f>HYPERLINK("https://www.google.com/maps/search/?api=1&amp;query=-12.219336,-76.9758","Villa El Salvador, Lima")</f>
      </c>
      <c r="O91" t="str">
        <v>Bache</v>
      </c>
      <c r="P91">
        <v>295583.5</v>
      </c>
      <c r="Q91" t="str">
        <v/>
      </c>
      <c r="R91">
        <v>51.8</v>
      </c>
      <c r="S91">
        <v>128.7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80</v>
      </c>
      <c r="AB91" t="str">
        <v>27/09/2026</v>
      </c>
      <c r="AC91" t="str">
        <v>14:34:20</v>
      </c>
      <c r="AD91">
        <f>IF("ONLINE"="NOGPS","GPS Antiguo","En línea")</f>
      </c>
      <c r="AE91">
        <f>IF(0=0,"Sin atender", IF(0=1,"Atendida","Atendida y Reportada"))</f>
      </c>
      <c r="AF91" t="str">
        <v/>
      </c>
      <c r="AG91" t="str">
        <v/>
      </c>
      <c r="AH91" t="str">
        <v/>
      </c>
      <c r="AI91" t="str">
        <v/>
      </c>
      <c r="AJ91" t="str">
        <v>27/09/2026 14:34:41</v>
      </c>
      <c r="AK91" t="str">
        <v>14:34:41</v>
      </c>
      <c r="AL91" t="str">
        <v/>
      </c>
    </row>
    <row r="92">
      <c r="A92">
        <v>91</v>
      </c>
      <c r="B92" t="str">
        <v>MASS BSF</v>
      </c>
      <c r="C92" t="str">
        <v>C6E-921</v>
      </c>
      <c r="D92" t="str">
        <v>C6E-921</v>
      </c>
      <c r="E92" t="str">
        <v/>
      </c>
      <c r="F92" t="str">
        <v>867806078831353</v>
      </c>
      <c r="G92" t="str">
        <v>TBD</v>
      </c>
      <c r="H92" t="str">
        <v/>
      </c>
      <c r="I92" t="str">
        <v/>
      </c>
      <c r="J92" t="str">
        <v>27/09/2026</v>
      </c>
      <c r="K92" t="str">
        <v>14:34:50</v>
      </c>
      <c r="L92">
        <v>-12.217862</v>
      </c>
      <c r="M92">
        <v>-76.97793</v>
      </c>
      <c r="N92">
        <f>HYPERLINK("https://www.google.com/maps/search/?api=1&amp;query=-12.217862,-76.97793","Avenida Caminos del Inca, Chorrillos, Lima")</f>
      </c>
      <c r="O92" t="str">
        <v>Aceleración brusca</v>
      </c>
      <c r="P92">
        <v>295583.8</v>
      </c>
      <c r="Q92" t="str">
        <v/>
      </c>
      <c r="R92">
        <v>14</v>
      </c>
      <c r="S92">
        <v>128.7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80</v>
      </c>
      <c r="AB92" t="str">
        <v>27/09/2026</v>
      </c>
      <c r="AC92" t="str">
        <v>14:34:47</v>
      </c>
      <c r="AD92">
        <f>IF("ONLINE"="NOGPS","GPS Antiguo","En línea")</f>
      </c>
      <c r="AE92">
        <f>IF(0=0,"Sin atender", IF(0=1,"Atendida","Atendida y Reportada"))</f>
      </c>
      <c r="AF92" t="str">
        <v/>
      </c>
      <c r="AG92" t="str">
        <v/>
      </c>
      <c r="AH92" t="str">
        <v/>
      </c>
      <c r="AI92" t="str">
        <v/>
      </c>
      <c r="AJ92" t="str">
        <v>27/09/2026 14:34:57</v>
      </c>
      <c r="AK92" t="str">
        <v>14:34:57</v>
      </c>
      <c r="AL92" t="str">
        <v/>
      </c>
    </row>
    <row r="93">
      <c r="A93">
        <v>92</v>
      </c>
      <c r="B93" t="str">
        <v>MASS BSF</v>
      </c>
      <c r="C93" t="str">
        <v>C6E-921</v>
      </c>
      <c r="D93" t="str">
        <v>C6E-921</v>
      </c>
      <c r="E93" t="str">
        <v/>
      </c>
      <c r="F93" t="str">
        <v>867806078831353</v>
      </c>
      <c r="G93" t="str">
        <v>TBD</v>
      </c>
      <c r="H93" t="str">
        <v/>
      </c>
      <c r="I93" t="str">
        <v/>
      </c>
      <c r="J93" t="str">
        <v>27/09/2026</v>
      </c>
      <c r="K93" t="str">
        <v>14:34:55</v>
      </c>
      <c r="L93">
        <v>-12.217856</v>
      </c>
      <c r="M93">
        <v>-76.97806</v>
      </c>
      <c r="N93">
        <f>HYPERLINK("https://www.google.com/maps/search/?api=1&amp;query=-12.217856,-76.97806","Avenida Caminos del Inca, Chorrillos, Lima")</f>
      </c>
      <c r="O93" t="str">
        <v>Ingreso a camino vecinal</v>
      </c>
      <c r="P93">
        <v>295583.8</v>
      </c>
      <c r="Q93" t="str">
        <v/>
      </c>
      <c r="R93">
        <v>13.8</v>
      </c>
      <c r="S93">
        <v>128.7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78</v>
      </c>
      <c r="AB93" t="str">
        <v>27/09/2026</v>
      </c>
      <c r="AC93" t="str">
        <v>14:34:51</v>
      </c>
      <c r="AD93">
        <f>IF("ONLINE"="NOGPS","GPS Antiguo","En línea")</f>
      </c>
      <c r="AE93">
        <f>IF(0=0,"Sin atender", IF(0=1,"Atendida","Atendida y Reportada"))</f>
      </c>
      <c r="AF93" t="str">
        <v/>
      </c>
      <c r="AG93" t="str">
        <v/>
      </c>
      <c r="AH93" t="str">
        <v/>
      </c>
      <c r="AI93" t="str">
        <v/>
      </c>
      <c r="AJ93" t="str">
        <v>27/09/2026 14:35:17</v>
      </c>
      <c r="AK93" t="str">
        <v>14:35:17</v>
      </c>
      <c r="AL93" t="str">
        <v/>
      </c>
    </row>
    <row r="94">
      <c r="A94">
        <v>93</v>
      </c>
      <c r="B94" t="str">
        <v>MASS BSF</v>
      </c>
      <c r="C94" t="str">
        <v>C6E-921</v>
      </c>
      <c r="D94" t="str">
        <v>C6E-921</v>
      </c>
      <c r="E94" t="str">
        <v/>
      </c>
      <c r="F94" t="str">
        <v>867806078831353</v>
      </c>
      <c r="G94" t="str">
        <v>TBD</v>
      </c>
      <c r="H94" t="str">
        <v/>
      </c>
      <c r="I94" t="str">
        <v/>
      </c>
      <c r="J94" t="str">
        <v>27/09/2026</v>
      </c>
      <c r="K94" t="str">
        <v>14:35:55</v>
      </c>
      <c r="L94">
        <v>-12.216759</v>
      </c>
      <c r="M94">
        <v>-76.98015</v>
      </c>
      <c r="N94">
        <f>HYPERLINK("https://www.google.com/maps/search/?api=1&amp;query=-12.216759,-76.98015","Avenida Caminos del Inca, Chorrillos, Lima")</f>
      </c>
      <c r="O94" t="str">
        <v>Salida de camino vecinal</v>
      </c>
      <c r="P94">
        <v>295584.4</v>
      </c>
      <c r="Q94" t="str">
        <v/>
      </c>
      <c r="R94">
        <v>43.1</v>
      </c>
      <c r="S94">
        <v>128.7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82</v>
      </c>
      <c r="AB94" t="str">
        <v>27/09/2026</v>
      </c>
      <c r="AC94" t="str">
        <v>14:35:51</v>
      </c>
      <c r="AD94">
        <f>IF("ONLINE"="NOGPS","GPS Antiguo","En línea")</f>
      </c>
      <c r="AE94">
        <f>IF(0=0,"Sin atender", IF(0=1,"Atendida","Atendida y Reportada"))</f>
      </c>
      <c r="AF94" t="str">
        <v/>
      </c>
      <c r="AG94" t="str">
        <v/>
      </c>
      <c r="AH94" t="str">
        <v/>
      </c>
      <c r="AI94" t="str">
        <v/>
      </c>
      <c r="AJ94" t="str">
        <v>27/09/2026 14:36:19</v>
      </c>
      <c r="AK94" t="str">
        <v>14:36:19</v>
      </c>
      <c r="AL94" t="str">
        <v/>
      </c>
    </row>
    <row r="95">
      <c r="A95">
        <v>94</v>
      </c>
      <c r="B95" t="str">
        <v>MASS BSF</v>
      </c>
      <c r="C95" t="str">
        <v>C6E-921</v>
      </c>
      <c r="D95" t="str">
        <v>C6E-921</v>
      </c>
      <c r="E95" t="str">
        <v/>
      </c>
      <c r="F95" t="str">
        <v>867806078831353</v>
      </c>
      <c r="G95" t="str">
        <v>TBD</v>
      </c>
      <c r="H95" t="str">
        <v/>
      </c>
      <c r="I95" t="str">
        <v/>
      </c>
      <c r="J95" t="str">
        <v>27/09/2026</v>
      </c>
      <c r="K95" t="str">
        <v>14:36:34</v>
      </c>
      <c r="L95">
        <v>-12.220834</v>
      </c>
      <c r="M95">
        <v>-76.9764</v>
      </c>
      <c r="N95">
        <f>HYPERLINK("https://www.google.com/maps/search/?api=1&amp;query=-12.220834,-76.9764","Carretera Panamericana Sur, Chorrillos, Lima")</f>
      </c>
      <c r="O95" t="str">
        <v>Bache</v>
      </c>
      <c r="P95">
        <v>295585</v>
      </c>
      <c r="Q95" t="str">
        <v/>
      </c>
      <c r="R95">
        <v>59.6</v>
      </c>
      <c r="S95">
        <v>128.7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82</v>
      </c>
      <c r="AB95" t="str">
        <v>27/09/2026</v>
      </c>
      <c r="AC95" t="str">
        <v>14:36:31</v>
      </c>
      <c r="AD95">
        <f>IF("ONLINE"="NOGPS","GPS Antiguo","En línea")</f>
      </c>
      <c r="AE95">
        <f>IF(0=0,"Sin atender", IF(0=1,"Atendida","Atendida y Reportada"))</f>
      </c>
      <c r="AF95" t="str">
        <v/>
      </c>
      <c r="AG95" t="str">
        <v/>
      </c>
      <c r="AH95" t="str">
        <v/>
      </c>
      <c r="AI95" t="str">
        <v/>
      </c>
      <c r="AJ95" t="str">
        <v>27/09/2026 14:36:42</v>
      </c>
      <c r="AK95" t="str">
        <v>14:36:42</v>
      </c>
      <c r="AL95" t="str">
        <v/>
      </c>
    </row>
    <row r="96">
      <c r="A96">
        <v>95</v>
      </c>
      <c r="B96" t="str">
        <v>MASS BSF</v>
      </c>
      <c r="C96" t="str">
        <v>C6E-921</v>
      </c>
      <c r="D96" t="str">
        <v>C6E-921</v>
      </c>
      <c r="E96" t="str">
        <v/>
      </c>
      <c r="F96" t="str">
        <v>867806078831353</v>
      </c>
      <c r="G96" t="str">
        <v>TBD</v>
      </c>
      <c r="H96" t="str">
        <v/>
      </c>
      <c r="I96" t="str">
        <v/>
      </c>
      <c r="J96" t="str">
        <v>27/09/2026</v>
      </c>
      <c r="K96" t="str">
        <v>14:37:09</v>
      </c>
      <c r="L96">
        <v>-12.223777</v>
      </c>
      <c r="M96">
        <v>-76.973625</v>
      </c>
      <c r="N96">
        <f>HYPERLINK("https://www.google.com/maps/search/?api=1&amp;query=-12.223777,-76.973625","Carretera Panamericana Sur, Chorrillos, Lima")</f>
      </c>
      <c r="O96" t="str">
        <v>Bache</v>
      </c>
      <c r="P96">
        <v>295585.5</v>
      </c>
      <c r="Q96" t="str">
        <v/>
      </c>
      <c r="R96">
        <v>33.3</v>
      </c>
      <c r="S96">
        <v>128.7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82</v>
      </c>
      <c r="AB96" t="str">
        <v>27/09/2026</v>
      </c>
      <c r="AC96" t="str">
        <v>14:37:05</v>
      </c>
      <c r="AD96">
        <f>IF("ONLINE"="NOGPS","GPS Antiguo","En línea")</f>
      </c>
      <c r="AE96">
        <f>IF(0=0,"Sin atender", IF(0=1,"Atendida","Atendida y Reportada"))</f>
      </c>
      <c r="AF96" t="str">
        <v/>
      </c>
      <c r="AG96" t="str">
        <v/>
      </c>
      <c r="AH96" t="str">
        <v/>
      </c>
      <c r="AI96" t="str">
        <v/>
      </c>
      <c r="AJ96" t="str">
        <v>27/09/2026 14:37:26</v>
      </c>
      <c r="AK96" t="str">
        <v>14:37:26</v>
      </c>
      <c r="AL96" t="str">
        <v/>
      </c>
    </row>
    <row r="97">
      <c r="A97">
        <v>96</v>
      </c>
      <c r="B97" t="str">
        <v>MASS BSF</v>
      </c>
      <c r="C97" t="str">
        <v>C6E-921</v>
      </c>
      <c r="D97" t="str">
        <v>C6E-921</v>
      </c>
      <c r="E97" t="str">
        <v/>
      </c>
      <c r="F97" t="str">
        <v>867806078831353</v>
      </c>
      <c r="G97" t="str">
        <v>TBD</v>
      </c>
      <c r="H97" t="str">
        <v/>
      </c>
      <c r="I97" t="str">
        <v/>
      </c>
      <c r="J97" t="str">
        <v>27/09/2026</v>
      </c>
      <c r="K97" t="str">
        <v>14:39:58</v>
      </c>
      <c r="L97">
        <v>-12.224664</v>
      </c>
      <c r="M97">
        <v>-76.97307</v>
      </c>
      <c r="N97">
        <f>HYPERLINK("https://www.google.com/maps/search/?api=1&amp;query=-12.224664,-76.97307","Chorrillos, Lima")</f>
      </c>
      <c r="O97" t="str">
        <v>Vehículo apagado</v>
      </c>
      <c r="P97">
        <v>295585.6</v>
      </c>
      <c r="Q97" t="str">
        <v/>
      </c>
      <c r="R97">
        <v>0</v>
      </c>
      <c r="S97">
        <v>129.2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82</v>
      </c>
      <c r="AB97" t="str">
        <v>27/09/2026</v>
      </c>
      <c r="AC97" t="str">
        <v>14:39:54</v>
      </c>
      <c r="AD97">
        <f>IF("ONLINE"="NOGPS","GPS Antiguo","En línea")</f>
      </c>
      <c r="AE97">
        <f>IF(0=0,"Sin atender", IF(0=1,"Atendida","Atendida y Reportada"))</f>
      </c>
      <c r="AF97" t="str">
        <v/>
      </c>
      <c r="AG97" t="str">
        <v/>
      </c>
      <c r="AH97" t="str">
        <v/>
      </c>
      <c r="AI97" t="str">
        <v/>
      </c>
      <c r="AJ97" t="str">
        <v>27/09/2026 14:40:12</v>
      </c>
      <c r="AK97" t="str">
        <v>14:40:12</v>
      </c>
      <c r="AL97" t="str">
        <v/>
      </c>
    </row>
    <row r="98">
      <c r="A98">
        <v>97</v>
      </c>
      <c r="B98" t="str">
        <v>MASS BSF</v>
      </c>
      <c r="C98" t="str">
        <v>C6E-921</v>
      </c>
      <c r="D98" t="str">
        <v>C6E-921</v>
      </c>
      <c r="E98" t="str">
        <v/>
      </c>
      <c r="F98" t="str">
        <v>867806078831353</v>
      </c>
      <c r="G98" t="str">
        <v>TBD</v>
      </c>
      <c r="H98" t="str">
        <v/>
      </c>
      <c r="I98" t="str">
        <v/>
      </c>
      <c r="J98" t="str">
        <v>27/09/2026</v>
      </c>
      <c r="K98" t="str">
        <v>14:50:16</v>
      </c>
      <c r="L98">
        <v>-12.224664</v>
      </c>
      <c r="M98">
        <v>-76.97307</v>
      </c>
      <c r="N98">
        <f>HYPERLINK("https://www.google.com/maps/search/?api=1&amp;query=-12.224664,-76.97307","Chorrillos, Lima")</f>
      </c>
      <c r="O98" t="str">
        <v>Vehículo encendido</v>
      </c>
      <c r="P98">
        <v>295585.6</v>
      </c>
      <c r="Q98" t="str">
        <v/>
      </c>
      <c r="R98">
        <v>0</v>
      </c>
      <c r="S98">
        <v>129.2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75</v>
      </c>
      <c r="AB98" t="str">
        <v>27/09/2026</v>
      </c>
      <c r="AC98" t="str">
        <v>14:50:13</v>
      </c>
      <c r="AD98">
        <f>IF("ONLINE"="NOGPS","GPS Antiguo","En línea")</f>
      </c>
      <c r="AE98">
        <f>IF(0=0,"Sin atender", IF(0=1,"Atendida","Atendida y Reportada"))</f>
      </c>
      <c r="AF98" t="str">
        <v/>
      </c>
      <c r="AG98" t="str">
        <v/>
      </c>
      <c r="AH98" t="str">
        <v/>
      </c>
      <c r="AI98" t="str">
        <v/>
      </c>
      <c r="AJ98" t="str">
        <v>27/09/2026 14:50:26</v>
      </c>
      <c r="AK98" t="str">
        <v>14:50:26</v>
      </c>
      <c r="AL98" t="str">
        <v/>
      </c>
    </row>
    <row r="99">
      <c r="A99">
        <v>98</v>
      </c>
      <c r="B99" t="str">
        <v>MASS BSF</v>
      </c>
      <c r="C99" t="str">
        <v>C6E-921</v>
      </c>
      <c r="D99" t="str">
        <v>C6E-921</v>
      </c>
      <c r="E99" t="str">
        <v/>
      </c>
      <c r="F99" t="str">
        <v>867806078831353</v>
      </c>
      <c r="G99" t="str">
        <v>TBD</v>
      </c>
      <c r="H99" t="str">
        <v/>
      </c>
      <c r="I99" t="str">
        <v/>
      </c>
      <c r="J99" t="str">
        <v>27/09/2026</v>
      </c>
      <c r="K99" t="str">
        <v>14:50:50</v>
      </c>
      <c r="L99">
        <v>-12.224664</v>
      </c>
      <c r="M99">
        <v>-76.97307</v>
      </c>
      <c r="N99">
        <f>HYPERLINK("https://www.google.com/maps/search/?api=1&amp;query=-12.224664,-76.97307","Chorrillos, Lima")</f>
      </c>
      <c r="O99" t="str">
        <v>Se movio</v>
      </c>
      <c r="P99">
        <v>295585.6</v>
      </c>
      <c r="Q99" t="str">
        <v/>
      </c>
      <c r="R99">
        <v>0</v>
      </c>
      <c r="S99">
        <v>129.2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75</v>
      </c>
      <c r="AB99" t="str">
        <v>27/09/2026</v>
      </c>
      <c r="AC99" t="str">
        <v>14:50:46</v>
      </c>
      <c r="AD99">
        <f>IF("ONLINE"="NOGPS","GPS Antiguo","En línea")</f>
      </c>
      <c r="AE99">
        <f>IF(0=0,"Sin atender", IF(0=1,"Atendida","Atendida y Reportada"))</f>
      </c>
      <c r="AF99" t="str">
        <v/>
      </c>
      <c r="AG99" t="str">
        <v/>
      </c>
      <c r="AH99" t="str">
        <v/>
      </c>
      <c r="AI99" t="str">
        <v/>
      </c>
      <c r="AJ99" t="str">
        <v>27/09/2026 14:51:41</v>
      </c>
      <c r="AK99" t="str">
        <v>14:51:41</v>
      </c>
      <c r="AL99" t="str">
        <v/>
      </c>
    </row>
    <row r="100">
      <c r="A100">
        <v>99</v>
      </c>
      <c r="B100" t="str">
        <v>MASS BSF</v>
      </c>
      <c r="C100" t="str">
        <v>C6E-921</v>
      </c>
      <c r="D100" t="str">
        <v>C6E-921</v>
      </c>
      <c r="E100" t="str">
        <v/>
      </c>
      <c r="F100" t="str">
        <v>867806078831353</v>
      </c>
      <c r="G100" t="str">
        <v>TBD</v>
      </c>
      <c r="H100" t="str">
        <v/>
      </c>
      <c r="I100" t="str">
        <v/>
      </c>
      <c r="J100" t="str">
        <v>27/09/2026</v>
      </c>
      <c r="K100" t="str">
        <v>14:52:49</v>
      </c>
      <c r="L100">
        <v>-12.219913</v>
      </c>
      <c r="M100">
        <v>-76.97772</v>
      </c>
      <c r="N100">
        <f>HYPERLINK("https://www.google.com/maps/search/?api=1&amp;query=-12.219913,-76.97772","Prolongación Huaylas, Chorrillos, Lima")</f>
      </c>
      <c r="O100" t="str">
        <v>Bache</v>
      </c>
      <c r="P100">
        <v>295586.5</v>
      </c>
      <c r="Q100" t="str">
        <v/>
      </c>
      <c r="R100">
        <v>36.1</v>
      </c>
      <c r="S100">
        <v>129.2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80</v>
      </c>
      <c r="AB100" t="str">
        <v>27/09/2026</v>
      </c>
      <c r="AC100" t="str">
        <v>14:52:46</v>
      </c>
      <c r="AD100">
        <f>IF("ONLINE"="NOGPS","GPS Antiguo","En línea")</f>
      </c>
      <c r="AE100">
        <f>IF(0=0,"Sin atender", IF(0=1,"Atendida","Atendida y Reportada"))</f>
      </c>
      <c r="AF100" t="str">
        <v/>
      </c>
      <c r="AG100" t="str">
        <v/>
      </c>
      <c r="AH100" t="str">
        <v/>
      </c>
      <c r="AI100" t="str">
        <v/>
      </c>
      <c r="AJ100" t="str">
        <v>27/09/2026 14:53:13</v>
      </c>
      <c r="AK100" t="str">
        <v>14:53:13</v>
      </c>
      <c r="AL100" t="str">
        <v/>
      </c>
    </row>
    <row r="101">
      <c r="A101">
        <v>100</v>
      </c>
      <c r="B101" t="str">
        <v>MASS BSF</v>
      </c>
      <c r="C101" t="str">
        <v>C6E-921</v>
      </c>
      <c r="D101" t="str">
        <v>C6E-921</v>
      </c>
      <c r="E101" t="str">
        <v/>
      </c>
      <c r="F101" t="str">
        <v>867806078831353</v>
      </c>
      <c r="G101" t="str">
        <v>TBD</v>
      </c>
      <c r="H101" t="str">
        <v/>
      </c>
      <c r="I101" t="str">
        <v/>
      </c>
      <c r="J101" t="str">
        <v>27/09/2026</v>
      </c>
      <c r="K101" t="str">
        <v>14:55:07</v>
      </c>
      <c r="L101">
        <v>-12.218045</v>
      </c>
      <c r="M101">
        <v>-76.97695</v>
      </c>
      <c r="N101">
        <f>HYPERLINK("https://www.google.com/maps/search/?api=1&amp;query=-12.218045,-76.97695","Carretera Panamericana Sur, Chorrillos, Lima")</f>
      </c>
      <c r="O101" t="str">
        <v>Bache</v>
      </c>
      <c r="P101">
        <v>295587.6</v>
      </c>
      <c r="Q101" t="str">
        <v/>
      </c>
      <c r="R101">
        <v>30.3</v>
      </c>
      <c r="S101">
        <v>129.2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80</v>
      </c>
      <c r="AB101" t="str">
        <v>27/09/2026</v>
      </c>
      <c r="AC101" t="str">
        <v>14:55:04</v>
      </c>
      <c r="AD101">
        <f>IF("ONLINE"="NOGPS","GPS Antiguo","En línea")</f>
      </c>
      <c r="AE101">
        <f>IF(0=0,"Sin atender", IF(0=1,"Atendida","Atendida y Reportada"))</f>
      </c>
      <c r="AF101" t="str">
        <v/>
      </c>
      <c r="AG101" t="str">
        <v/>
      </c>
      <c r="AH101" t="str">
        <v/>
      </c>
      <c r="AI101" t="str">
        <v/>
      </c>
      <c r="AJ101" t="str">
        <v>27/09/2026 14:55:20</v>
      </c>
      <c r="AK101" t="str">
        <v>14:55:20</v>
      </c>
      <c r="AL101" t="str">
        <v/>
      </c>
    </row>
    <row r="102">
      <c r="A102">
        <v>101</v>
      </c>
      <c r="B102" t="str">
        <v>MASS BSF</v>
      </c>
      <c r="C102" t="str">
        <v>C6E-921</v>
      </c>
      <c r="D102" t="str">
        <v>C6E-921</v>
      </c>
      <c r="E102" t="str">
        <v/>
      </c>
      <c r="F102" t="str">
        <v>867806078831353</v>
      </c>
      <c r="G102" t="str">
        <v>TBD</v>
      </c>
      <c r="H102" t="str">
        <v/>
      </c>
      <c r="I102" t="str">
        <v/>
      </c>
      <c r="J102" t="str">
        <v>27/09/2026</v>
      </c>
      <c r="K102" t="str">
        <v>14:55:14</v>
      </c>
      <c r="L102">
        <v>-12.21815</v>
      </c>
      <c r="M102">
        <v>-76.97639</v>
      </c>
      <c r="N102">
        <f>HYPERLINK("https://www.google.com/maps/search/?api=1&amp;query=-12.21815,-76.97639","Villa El Salvador, Lima")</f>
      </c>
      <c r="O102" t="str">
        <v>Ingreso a camino vecinal</v>
      </c>
      <c r="P102">
        <v>295587.6</v>
      </c>
      <c r="Q102" t="str">
        <v/>
      </c>
      <c r="R102">
        <v>36.4</v>
      </c>
      <c r="S102">
        <v>129.2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80</v>
      </c>
      <c r="AB102" t="str">
        <v>27/09/2026</v>
      </c>
      <c r="AC102" t="str">
        <v>14:55:11</v>
      </c>
      <c r="AD102">
        <f>IF("ONLINE"="NOGPS","GPS Antiguo","En línea")</f>
      </c>
      <c r="AE102">
        <f>IF(0=0,"Sin atender", IF(0=1,"Atendida","Atendida y Reportada"))</f>
      </c>
      <c r="AF102" t="str">
        <v/>
      </c>
      <c r="AG102" t="str">
        <v/>
      </c>
      <c r="AH102" t="str">
        <v/>
      </c>
      <c r="AI102" t="str">
        <v/>
      </c>
      <c r="AJ102" t="str">
        <v>27/09/2026 14:55:35</v>
      </c>
      <c r="AK102" t="str">
        <v>14:55:35</v>
      </c>
      <c r="AL102" t="str">
        <v/>
      </c>
    </row>
    <row r="103">
      <c r="A103">
        <v>102</v>
      </c>
      <c r="B103" t="str">
        <v>MASS BSF</v>
      </c>
      <c r="C103" t="str">
        <v>C6E-921</v>
      </c>
      <c r="D103" t="str">
        <v>C6E-921</v>
      </c>
      <c r="E103" t="str">
        <v/>
      </c>
      <c r="F103" t="str">
        <v>867806078831353</v>
      </c>
      <c r="G103" t="str">
        <v>TBD</v>
      </c>
      <c r="H103" t="str">
        <v/>
      </c>
      <c r="I103" t="str">
        <v/>
      </c>
      <c r="J103" t="str">
        <v>27/09/2026</v>
      </c>
      <c r="K103" t="str">
        <v>15:01:15</v>
      </c>
      <c r="L103">
        <v>-12.197679</v>
      </c>
      <c r="M103">
        <v>-76.968185</v>
      </c>
      <c r="N103">
        <f>HYPERLINK("https://www.google.com/maps/search/?api=1&amp;query=-12.197679,-76.968185","Avenida Primero de Mayo, Villa El Salvador, Lima")</f>
      </c>
      <c r="O103" t="str">
        <v>Salida de camino vecinal</v>
      </c>
      <c r="P103">
        <v>295590.9</v>
      </c>
      <c r="Q103" t="str">
        <v/>
      </c>
      <c r="R103">
        <v>34.8</v>
      </c>
      <c r="S103">
        <v>129.2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79</v>
      </c>
      <c r="AB103" t="str">
        <v>27/09/2026</v>
      </c>
      <c r="AC103" t="str">
        <v>15:01:12</v>
      </c>
      <c r="AD103">
        <f>IF("ONLINE"="NOGPS","GPS Antiguo","En línea")</f>
      </c>
      <c r="AE103">
        <f>IF(0=0,"Sin atender", IF(0=1,"Atendida","Atendida y Reportada"))</f>
      </c>
      <c r="AF103" t="str">
        <v/>
      </c>
      <c r="AG103" t="str">
        <v/>
      </c>
      <c r="AH103" t="str">
        <v/>
      </c>
      <c r="AI103" t="str">
        <v/>
      </c>
      <c r="AJ103" t="str">
        <v>27/09/2026 15:01:27</v>
      </c>
      <c r="AK103" t="str">
        <v>15:01:27</v>
      </c>
      <c r="AL103" t="str">
        <v/>
      </c>
    </row>
    <row r="104">
      <c r="A104">
        <v>103</v>
      </c>
      <c r="B104" t="str">
        <v>MASS BSF</v>
      </c>
      <c r="C104" t="str">
        <v>C6E-921</v>
      </c>
      <c r="D104" t="str">
        <v>C6E-921</v>
      </c>
      <c r="E104" t="str">
        <v/>
      </c>
      <c r="F104" t="str">
        <v>867806078831353</v>
      </c>
      <c r="G104" t="str">
        <v>TBD</v>
      </c>
      <c r="H104" t="str">
        <v/>
      </c>
      <c r="I104" t="str">
        <v/>
      </c>
      <c r="J104" t="str">
        <v>27/09/2026</v>
      </c>
      <c r="K104" t="str">
        <v>15:04:53</v>
      </c>
      <c r="L104">
        <v>-12.199038</v>
      </c>
      <c r="M104">
        <v>-76.95878</v>
      </c>
      <c r="N104">
        <f>HYPERLINK("https://www.google.com/maps/search/?api=1&amp;query=-12.199038,-76.95878","Avenida Primero de Mayo, Villa El Salvador, Lima")</f>
      </c>
      <c r="O104" t="str">
        <v>Bache</v>
      </c>
      <c r="P104">
        <v>295591.9</v>
      </c>
      <c r="Q104" t="str">
        <v/>
      </c>
      <c r="R104">
        <v>28.1</v>
      </c>
      <c r="S104">
        <v>129.2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80</v>
      </c>
      <c r="AB104" t="str">
        <v>27/09/2026</v>
      </c>
      <c r="AC104" t="str">
        <v>15:04:49</v>
      </c>
      <c r="AD104">
        <f>IF("ONLINE"="NOGPS","GPS Antiguo","En línea")</f>
      </c>
      <c r="AE104">
        <f>IF(0=0,"Sin atender", IF(0=1,"Atendida","Atendida y Reportada"))</f>
      </c>
      <c r="AF104" t="str">
        <v/>
      </c>
      <c r="AG104" t="str">
        <v/>
      </c>
      <c r="AH104" t="str">
        <v/>
      </c>
      <c r="AI104" t="str">
        <v/>
      </c>
      <c r="AJ104" t="str">
        <v>27/09/2026 15:05:03</v>
      </c>
      <c r="AK104" t="str">
        <v>15:05:03</v>
      </c>
      <c r="AL104" t="str">
        <v/>
      </c>
    </row>
    <row r="105">
      <c r="A105">
        <v>104</v>
      </c>
      <c r="B105" t="str">
        <v>MASS BSF</v>
      </c>
      <c r="C105" t="str">
        <v>C6E-921</v>
      </c>
      <c r="D105" t="str">
        <v>C6E-921</v>
      </c>
      <c r="E105" t="str">
        <v/>
      </c>
      <c r="F105" t="str">
        <v>867806078831353</v>
      </c>
      <c r="G105" t="str">
        <v>TBD</v>
      </c>
      <c r="H105" t="str">
        <v/>
      </c>
      <c r="I105" t="str">
        <v/>
      </c>
      <c r="J105" t="str">
        <v>27/09/2026</v>
      </c>
      <c r="K105" t="str">
        <v>15:06:37</v>
      </c>
      <c r="L105">
        <v>-12.196881</v>
      </c>
      <c r="M105">
        <v>-76.95502</v>
      </c>
      <c r="N105">
        <f>HYPERLINK("https://www.google.com/maps/search/?api=1&amp;query=-12.196881,-76.95502","Avenida Primero de Mayo, Villa El Salvador, Lima")</f>
      </c>
      <c r="O105" t="str">
        <v>Bache</v>
      </c>
      <c r="P105">
        <v>295592.4</v>
      </c>
      <c r="Q105" t="str">
        <v/>
      </c>
      <c r="R105">
        <v>27.5</v>
      </c>
      <c r="S105">
        <v>129.2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80</v>
      </c>
      <c r="AB105" t="str">
        <v>27/09/2026</v>
      </c>
      <c r="AC105" t="str">
        <v>15:06:33</v>
      </c>
      <c r="AD105">
        <f>IF("ONLINE"="NOGPS","GPS Antiguo","En línea")</f>
      </c>
      <c r="AE105">
        <f>IF(0=0,"Sin atender", IF(0=1,"Atendida","Atendida y Reportada"))</f>
      </c>
      <c r="AF105" t="str">
        <v/>
      </c>
      <c r="AG105" t="str">
        <v/>
      </c>
      <c r="AH105" t="str">
        <v/>
      </c>
      <c r="AI105" t="str">
        <v/>
      </c>
      <c r="AJ105" t="str">
        <v>27/09/2026 15:06:52</v>
      </c>
      <c r="AK105" t="str">
        <v>15:06:52</v>
      </c>
      <c r="AL105" t="str">
        <v/>
      </c>
    </row>
    <row r="106">
      <c r="A106">
        <v>105</v>
      </c>
      <c r="B106" t="str">
        <v>MASS BSF</v>
      </c>
      <c r="C106" t="str">
        <v>C6E-921</v>
      </c>
      <c r="D106" t="str">
        <v>C6E-921</v>
      </c>
      <c r="E106" t="str">
        <v/>
      </c>
      <c r="F106" t="str">
        <v>867806078831353</v>
      </c>
      <c r="G106" t="str">
        <v>TBD</v>
      </c>
      <c r="H106" t="str">
        <v/>
      </c>
      <c r="I106" t="str">
        <v/>
      </c>
      <c r="J106" t="str">
        <v>27/09/2026</v>
      </c>
      <c r="K106" t="str">
        <v>15:06:41</v>
      </c>
      <c r="L106">
        <v>-12.196716</v>
      </c>
      <c r="M106">
        <v>-76.954765</v>
      </c>
      <c r="N106">
        <f>HYPERLINK("https://www.google.com/maps/search/?api=1&amp;query=-12.196716,-76.954765","Avenida Primero de Mayo, Villa El Salvador, Lima")</f>
      </c>
      <c r="O106" t="str">
        <v>Bache</v>
      </c>
      <c r="P106">
        <v>295592.4</v>
      </c>
      <c r="Q106" t="str">
        <v/>
      </c>
      <c r="R106">
        <v>32</v>
      </c>
      <c r="S106">
        <v>129.2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80</v>
      </c>
      <c r="AB106" t="str">
        <v>27/09/2026</v>
      </c>
      <c r="AC106" t="str">
        <v>15:06:37</v>
      </c>
      <c r="AD106">
        <f>IF("ONLINE"="NOGPS","GPS Antiguo","En línea")</f>
      </c>
      <c r="AE106">
        <f>IF(0=0,"Sin atender", IF(0=1,"Atendida","Atendida y Reportada"))</f>
      </c>
      <c r="AF106" t="str">
        <v/>
      </c>
      <c r="AG106" t="str">
        <v/>
      </c>
      <c r="AH106" t="str">
        <v/>
      </c>
      <c r="AI106" t="str">
        <v/>
      </c>
      <c r="AJ106" t="str">
        <v>27/09/2026 15:06:55</v>
      </c>
      <c r="AK106" t="str">
        <v>15:06:55</v>
      </c>
      <c r="AL106" t="str">
        <v/>
      </c>
    </row>
    <row r="107">
      <c r="A107">
        <v>106</v>
      </c>
      <c r="B107" t="str">
        <v>MASS BSF</v>
      </c>
      <c r="C107" t="str">
        <v>C6E-921</v>
      </c>
      <c r="D107" t="str">
        <v>C6E-921</v>
      </c>
      <c r="E107" t="str">
        <v/>
      </c>
      <c r="F107" t="str">
        <v>867806078831353</v>
      </c>
      <c r="G107" t="str">
        <v>TBD</v>
      </c>
      <c r="H107" t="str">
        <v/>
      </c>
      <c r="I107" t="str">
        <v/>
      </c>
      <c r="J107" t="str">
        <v>27/09/2026</v>
      </c>
      <c r="K107" t="str">
        <v>15:06:42</v>
      </c>
      <c r="L107">
        <v>-12.196675</v>
      </c>
      <c r="M107">
        <v>-76.95469</v>
      </c>
      <c r="N107">
        <f>HYPERLINK("https://www.google.com/maps/search/?api=1&amp;query=-12.196675,-76.95469","Avenida Primero de Mayo, Villa El Salvador, Lima")</f>
      </c>
      <c r="O107" t="str">
        <v>Acelerado y giro brusco</v>
      </c>
      <c r="P107">
        <v>295592.4</v>
      </c>
      <c r="Q107" t="str">
        <v/>
      </c>
      <c r="R107">
        <v>32.2</v>
      </c>
      <c r="S107">
        <v>129.2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80</v>
      </c>
      <c r="AB107" t="str">
        <v>27/09/2026</v>
      </c>
      <c r="AC107" t="str">
        <v>15:06:38</v>
      </c>
      <c r="AD107">
        <f>IF("ONLINE"="NOGPS","GPS Antiguo","En línea")</f>
      </c>
      <c r="AE107">
        <f>IF(0=0,"Sin atender", IF(0=1,"Atendida","Atendida y Reportada"))</f>
      </c>
      <c r="AF107" t="str">
        <v/>
      </c>
      <c r="AG107" t="str">
        <v/>
      </c>
      <c r="AH107" t="str">
        <v/>
      </c>
      <c r="AI107" t="str">
        <v/>
      </c>
      <c r="AJ107" t="str">
        <v>27/09/2026 15:06:49</v>
      </c>
      <c r="AK107" t="str">
        <v>15:06:49</v>
      </c>
      <c r="AL107" t="str">
        <v/>
      </c>
    </row>
    <row r="108">
      <c r="A108">
        <v>107</v>
      </c>
      <c r="B108" t="str">
        <v>MASS BSF</v>
      </c>
      <c r="C108" t="str">
        <v>C6E-921</v>
      </c>
      <c r="D108" t="str">
        <v>C6E-921</v>
      </c>
      <c r="E108" t="str">
        <v/>
      </c>
      <c r="F108" t="str">
        <v>867806078831353</v>
      </c>
      <c r="G108" t="str">
        <v>TBD</v>
      </c>
      <c r="H108" t="str">
        <v/>
      </c>
      <c r="I108" t="str">
        <v/>
      </c>
      <c r="J108" t="str">
        <v>27/09/2026</v>
      </c>
      <c r="K108" t="str">
        <v>15:07:16</v>
      </c>
      <c r="L108">
        <v>-12.1963</v>
      </c>
      <c r="M108">
        <v>-76.954</v>
      </c>
      <c r="N108">
        <f>HYPERLINK("https://www.google.com/maps/search/?api=1&amp;query=-12.1963,-76.954","Avenida Primero de Mayo, Villa El Salvador, Lima")</f>
      </c>
      <c r="O108" t="str">
        <v>Ingreso a camino vecinal</v>
      </c>
      <c r="P108">
        <v>295592.5</v>
      </c>
      <c r="Q108" t="str">
        <v/>
      </c>
      <c r="R108">
        <v>7.5</v>
      </c>
      <c r="S108">
        <v>129.2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80</v>
      </c>
      <c r="AB108" t="str">
        <v>27/09/2026</v>
      </c>
      <c r="AC108" t="str">
        <v>15:07:12</v>
      </c>
      <c r="AD108">
        <f>IF("ONLINE"="NOGPS","GPS Antiguo","En línea")</f>
      </c>
      <c r="AE108">
        <f>IF(0=0,"Sin atender", IF(0=1,"Atendida","Atendida y Reportada"))</f>
      </c>
      <c r="AF108" t="str">
        <v/>
      </c>
      <c r="AG108" t="str">
        <v/>
      </c>
      <c r="AH108" t="str">
        <v/>
      </c>
      <c r="AI108" t="str">
        <v/>
      </c>
      <c r="AJ108" t="str">
        <v>27/09/2026 15:07:27</v>
      </c>
      <c r="AK108" t="str">
        <v>15:07:27</v>
      </c>
      <c r="AL108" t="str">
        <v/>
      </c>
    </row>
    <row r="109">
      <c r="A109">
        <v>108</v>
      </c>
      <c r="B109" t="str">
        <v>MASS BSF</v>
      </c>
      <c r="C109" t="str">
        <v>C6E-921</v>
      </c>
      <c r="D109" t="str">
        <v>C6E-921</v>
      </c>
      <c r="E109" t="str">
        <v/>
      </c>
      <c r="F109" t="str">
        <v>867806078831353</v>
      </c>
      <c r="G109" t="str">
        <v>TBD</v>
      </c>
      <c r="H109" t="str">
        <v/>
      </c>
      <c r="I109" t="str">
        <v/>
      </c>
      <c r="J109" t="str">
        <v>27/09/2026</v>
      </c>
      <c r="K109" t="str">
        <v>15:08:16</v>
      </c>
      <c r="L109">
        <v>-12.194868</v>
      </c>
      <c r="M109">
        <v>-76.95162</v>
      </c>
      <c r="N109">
        <f>HYPERLINK("https://www.google.com/maps/search/?api=1&amp;query=-12.194868,-76.95162","Avenida Primero de Mayo, Villa El Salvador, Lima")</f>
      </c>
      <c r="O109" t="str">
        <v>Salida de camino vecinal</v>
      </c>
      <c r="P109">
        <v>295592.8</v>
      </c>
      <c r="Q109" t="str">
        <v/>
      </c>
      <c r="R109">
        <v>17.7</v>
      </c>
      <c r="S109">
        <v>129.2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80</v>
      </c>
      <c r="AB109" t="str">
        <v>27/09/2026</v>
      </c>
      <c r="AC109" t="str">
        <v>15:08:12</v>
      </c>
      <c r="AD109">
        <f>IF("ONLINE"="NOGPS","GPS Antiguo","En línea")</f>
      </c>
      <c r="AE109">
        <f>IF(0=0,"Sin atender", IF(0=1,"Atendida","Atendida y Reportada"))</f>
      </c>
      <c r="AF109" t="str">
        <v/>
      </c>
      <c r="AG109" t="str">
        <v/>
      </c>
      <c r="AH109" t="str">
        <v/>
      </c>
      <c r="AI109" t="str">
        <v/>
      </c>
      <c r="AJ109" t="str">
        <v>27/09/2026 15:08:38</v>
      </c>
      <c r="AK109" t="str">
        <v>15:08:38</v>
      </c>
      <c r="AL109" t="str">
        <v/>
      </c>
    </row>
    <row r="110">
      <c r="A110">
        <v>109</v>
      </c>
      <c r="B110" t="str">
        <v>MASS BSF</v>
      </c>
      <c r="C110" t="str">
        <v>C6E-921</v>
      </c>
      <c r="D110" t="str">
        <v>C6E-921</v>
      </c>
      <c r="E110" t="str">
        <v/>
      </c>
      <c r="F110" t="str">
        <v>867806078831353</v>
      </c>
      <c r="G110" t="str">
        <v>TBD</v>
      </c>
      <c r="H110" t="str">
        <v/>
      </c>
      <c r="I110" t="str">
        <v/>
      </c>
      <c r="J110" t="str">
        <v>27/09/2026</v>
      </c>
      <c r="K110" t="str">
        <v>15:09:14</v>
      </c>
      <c r="L110">
        <v>-12.193347</v>
      </c>
      <c r="M110">
        <v>-76.94899</v>
      </c>
      <c r="N110">
        <f>HYPERLINK("https://www.google.com/maps/search/?api=1&amp;query=-12.193347,-76.94899","Avenida Primero de Mayo, Villa El Salvador, Lima")</f>
      </c>
      <c r="O110" t="str">
        <v>Aceleración brusca</v>
      </c>
      <c r="P110">
        <v>295593.1</v>
      </c>
      <c r="Q110" t="str">
        <v/>
      </c>
      <c r="R110">
        <v>5.3</v>
      </c>
      <c r="S110">
        <v>129.2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80</v>
      </c>
      <c r="AB110" t="str">
        <v>27/09/2026</v>
      </c>
      <c r="AC110" t="str">
        <v>15:09:11</v>
      </c>
      <c r="AD110">
        <f>IF("ONLINE"="NOGPS","GPS Antiguo","En línea")</f>
      </c>
      <c r="AE110">
        <f>IF(0=0,"Sin atender", IF(0=1,"Atendida","Atendida y Reportada"))</f>
      </c>
      <c r="AF110" t="str">
        <v/>
      </c>
      <c r="AG110" t="str">
        <v/>
      </c>
      <c r="AH110" t="str">
        <v/>
      </c>
      <c r="AI110" t="str">
        <v/>
      </c>
      <c r="AJ110" t="str">
        <v>27/09/2026 15:09:20</v>
      </c>
      <c r="AK110" t="str">
        <v>15:09:20</v>
      </c>
      <c r="AL110" t="str">
        <v/>
      </c>
    </row>
    <row r="111">
      <c r="A111">
        <v>110</v>
      </c>
      <c r="B111" t="str">
        <v>MASS BSF</v>
      </c>
      <c r="C111" t="str">
        <v>C6E-921</v>
      </c>
      <c r="D111" t="str">
        <v>C6E-921</v>
      </c>
      <c r="E111" t="str">
        <v/>
      </c>
      <c r="F111" t="str">
        <v>867806078831353</v>
      </c>
      <c r="G111" t="str">
        <v>TBD</v>
      </c>
      <c r="H111" t="str">
        <v/>
      </c>
      <c r="I111" t="str">
        <v/>
      </c>
      <c r="J111" t="str">
        <v>27/09/2026</v>
      </c>
      <c r="K111" t="str">
        <v>15:09:16</v>
      </c>
      <c r="L111">
        <v>-12.193325</v>
      </c>
      <c r="M111">
        <v>-76.94895</v>
      </c>
      <c r="N111">
        <f>HYPERLINK("https://www.google.com/maps/search/?api=1&amp;query=-12.193325,-76.94895","Avenida Primero de Mayo, Villa El Salvador, Lima")</f>
      </c>
      <c r="O111" t="str">
        <v>Ingreso a camino vecinal</v>
      </c>
      <c r="P111">
        <v>295593.1</v>
      </c>
      <c r="Q111" t="str">
        <v/>
      </c>
      <c r="R111">
        <v>11.1</v>
      </c>
      <c r="S111">
        <v>129.2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80</v>
      </c>
      <c r="AB111" t="str">
        <v>27/09/2026</v>
      </c>
      <c r="AC111" t="str">
        <v>15:09:13</v>
      </c>
      <c r="AD111">
        <f>IF("ONLINE"="NOGPS","GPS Antiguo","En línea")</f>
      </c>
      <c r="AE111">
        <f>IF(0=0,"Sin atender", IF(0=1,"Atendida","Atendida y Reportada"))</f>
      </c>
      <c r="AF111" t="str">
        <v/>
      </c>
      <c r="AG111" t="str">
        <v/>
      </c>
      <c r="AH111" t="str">
        <v/>
      </c>
      <c r="AI111" t="str">
        <v/>
      </c>
      <c r="AJ111" t="str">
        <v>27/09/2026 15:09:35</v>
      </c>
      <c r="AK111" t="str">
        <v>15:09:35</v>
      </c>
      <c r="AL111" t="str">
        <v/>
      </c>
    </row>
    <row r="112">
      <c r="A112">
        <v>111</v>
      </c>
      <c r="B112" t="str">
        <v>MASS BSF</v>
      </c>
      <c r="C112" t="str">
        <v>C6E-921</v>
      </c>
      <c r="D112" t="str">
        <v>C6E-921</v>
      </c>
      <c r="E112" t="str">
        <v/>
      </c>
      <c r="F112" t="str">
        <v>867806078831353</v>
      </c>
      <c r="G112" t="str">
        <v>TBD</v>
      </c>
      <c r="H112" t="str">
        <v/>
      </c>
      <c r="I112" t="str">
        <v/>
      </c>
      <c r="J112" t="str">
        <v>27/09/2026</v>
      </c>
      <c r="K112" t="str">
        <v>15:11:16</v>
      </c>
      <c r="L112">
        <v>-12.189363</v>
      </c>
      <c r="M112">
        <v>-76.94423</v>
      </c>
      <c r="N112">
        <f>HYPERLINK("https://www.google.com/maps/search/?api=1&amp;query=-12.189363,-76.94423","Avenida Separadora Industrial, Villa El Salvador, Lima")</f>
      </c>
      <c r="O112" t="str">
        <v>Salida de camino vecinal</v>
      </c>
      <c r="P112">
        <v>295593.9</v>
      </c>
      <c r="Q112" t="str">
        <v/>
      </c>
      <c r="R112">
        <v>35.9</v>
      </c>
      <c r="S112">
        <v>129.2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80</v>
      </c>
      <c r="AB112" t="str">
        <v>27/09/2026</v>
      </c>
      <c r="AC112" t="str">
        <v>15:11:13</v>
      </c>
      <c r="AD112">
        <f>IF("ONLINE"="NOGPS","GPS Antiguo","En línea")</f>
      </c>
      <c r="AE112">
        <f>IF(0=0,"Sin atender", IF(0=1,"Atendida","Atendida y Reportada"))</f>
      </c>
      <c r="AF112" t="str">
        <v/>
      </c>
      <c r="AG112" t="str">
        <v/>
      </c>
      <c r="AH112" t="str">
        <v/>
      </c>
      <c r="AI112" t="str">
        <v/>
      </c>
      <c r="AJ112" t="str">
        <v>27/09/2026 15:11:32</v>
      </c>
      <c r="AK112" t="str">
        <v>15:11:32</v>
      </c>
      <c r="AL112" t="str">
        <v/>
      </c>
    </row>
    <row r="113">
      <c r="A113">
        <v>112</v>
      </c>
      <c r="B113" t="str">
        <v>MASS BSF</v>
      </c>
      <c r="C113" t="str">
        <v>C6E-921</v>
      </c>
      <c r="D113" t="str">
        <v>C6E-921</v>
      </c>
      <c r="E113" t="str">
        <v/>
      </c>
      <c r="F113" t="str">
        <v>867806078831353</v>
      </c>
      <c r="G113" t="str">
        <v>TBD</v>
      </c>
      <c r="H113" t="str">
        <v/>
      </c>
      <c r="I113" t="str">
        <v/>
      </c>
      <c r="J113" t="str">
        <v>27/09/2026</v>
      </c>
      <c r="K113" t="str">
        <v>15:11:39</v>
      </c>
      <c r="L113">
        <v>-12.187794</v>
      </c>
      <c r="M113">
        <v>-76.94516</v>
      </c>
      <c r="N113">
        <f>HYPERLINK("https://www.google.com/maps/search/?api=1&amp;query=-12.187794,-76.94516","Avenida Separadora Industrial, Villa El Salvador, Lima")</f>
      </c>
      <c r="O113" t="str">
        <v>Aceleración brusca</v>
      </c>
      <c r="P113">
        <v>295594.1</v>
      </c>
      <c r="Q113" t="str">
        <v/>
      </c>
      <c r="R113">
        <v>7.4</v>
      </c>
      <c r="S113">
        <v>129.2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80</v>
      </c>
      <c r="AB113" t="str">
        <v>27/09/2026</v>
      </c>
      <c r="AC113" t="str">
        <v>15:11:36</v>
      </c>
      <c r="AD113">
        <f>IF("ONLINE"="NOGPS","GPS Antiguo","En línea")</f>
      </c>
      <c r="AE113">
        <f>IF(0=0,"Sin atender", IF(0=1,"Atendida","Atendida y Reportada"))</f>
      </c>
      <c r="AF113" t="str">
        <v/>
      </c>
      <c r="AG113" t="str">
        <v/>
      </c>
      <c r="AH113" t="str">
        <v/>
      </c>
      <c r="AI113" t="str">
        <v/>
      </c>
      <c r="AJ113" t="str">
        <v>27/09/2026 15:11:54</v>
      </c>
      <c r="AK113" t="str">
        <v>15:11:54</v>
      </c>
      <c r="AL113" t="str">
        <v/>
      </c>
    </row>
    <row r="114">
      <c r="A114">
        <v>113</v>
      </c>
      <c r="B114" t="str">
        <v>MASS BSF</v>
      </c>
      <c r="C114" t="str">
        <v>C6E-921</v>
      </c>
      <c r="D114" t="str">
        <v>C6E-921</v>
      </c>
      <c r="E114" t="str">
        <v/>
      </c>
      <c r="F114" t="str">
        <v>867806078831353</v>
      </c>
      <c r="G114" t="str">
        <v>TBD</v>
      </c>
      <c r="H114" t="str">
        <v/>
      </c>
      <c r="I114" t="str">
        <v/>
      </c>
      <c r="J114" t="str">
        <v>27/09/2026</v>
      </c>
      <c r="K114" t="str">
        <v>15:11:47</v>
      </c>
      <c r="L114">
        <v>-12.18763</v>
      </c>
      <c r="M114">
        <v>-76.94526</v>
      </c>
      <c r="N114">
        <f>HYPERLINK("https://www.google.com/maps/search/?api=1&amp;query=-12.18763,-76.94526","Avenida Separadora Industrial, Villa El Salvador, Lima")</f>
      </c>
      <c r="O114" t="str">
        <v>Aceleración brusca</v>
      </c>
      <c r="P114">
        <v>295594.1</v>
      </c>
      <c r="Q114" t="str">
        <v/>
      </c>
      <c r="R114">
        <v>9.4</v>
      </c>
      <c r="S114">
        <v>129.2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77</v>
      </c>
      <c r="AB114" t="str">
        <v>27/09/2026</v>
      </c>
      <c r="AC114" t="str">
        <v>15:11:43</v>
      </c>
      <c r="AD114">
        <f>IF("ONLINE"="NOGPS","GPS Antiguo","En línea")</f>
      </c>
      <c r="AE114">
        <f>IF(0=0,"Sin atender", IF(0=1,"Atendida","Atendida y Reportada"))</f>
      </c>
      <c r="AF114" t="str">
        <v/>
      </c>
      <c r="AG114" t="str">
        <v/>
      </c>
      <c r="AH114" t="str">
        <v/>
      </c>
      <c r="AI114" t="str">
        <v/>
      </c>
      <c r="AJ114" t="str">
        <v>27/09/2026 15:12:09</v>
      </c>
      <c r="AK114" t="str">
        <v>15:12:09</v>
      </c>
      <c r="AL114" t="str">
        <v/>
      </c>
    </row>
    <row r="115">
      <c r="A115">
        <v>114</v>
      </c>
      <c r="B115" t="str">
        <v>MASS BSF</v>
      </c>
      <c r="C115" t="str">
        <v>C6E-921</v>
      </c>
      <c r="D115" t="str">
        <v>C6E-921</v>
      </c>
      <c r="E115" t="str">
        <v/>
      </c>
      <c r="F115" t="str">
        <v>867806078831353</v>
      </c>
      <c r="G115" t="str">
        <v>TBD</v>
      </c>
      <c r="H115" t="str">
        <v/>
      </c>
      <c r="I115" t="str">
        <v/>
      </c>
      <c r="J115" t="str">
        <v>27/09/2026</v>
      </c>
      <c r="K115" t="str">
        <v>15:11:50</v>
      </c>
      <c r="L115">
        <v>-12.187527</v>
      </c>
      <c r="M115">
        <v>-76.94523</v>
      </c>
      <c r="N115">
        <f>HYPERLINK("https://www.google.com/maps/search/?api=1&amp;query=-12.187527,-76.94523","Avenida Modelo, Villa El Salvador, Lima")</f>
      </c>
      <c r="O115" t="str">
        <v>Bache</v>
      </c>
      <c r="P115">
        <v>295594.1</v>
      </c>
      <c r="Q115" t="str">
        <v/>
      </c>
      <c r="R115">
        <v>12.2</v>
      </c>
      <c r="S115">
        <v>129.2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77</v>
      </c>
      <c r="AB115" t="str">
        <v>27/09/2026</v>
      </c>
      <c r="AC115" t="str">
        <v>15:11:47</v>
      </c>
      <c r="AD115">
        <f>IF("ONLINE"="NOGPS","GPS Antiguo","En línea")</f>
      </c>
      <c r="AE115">
        <f>IF(0=0,"Sin atender", IF(0=1,"Atendida","Atendida y Reportada"))</f>
      </c>
      <c r="AF115" t="str">
        <v/>
      </c>
      <c r="AG115" t="str">
        <v/>
      </c>
      <c r="AH115" t="str">
        <v/>
      </c>
      <c r="AI115" t="str">
        <v/>
      </c>
      <c r="AJ115" t="str">
        <v>27/09/2026 15:12:09</v>
      </c>
      <c r="AK115" t="str">
        <v>15:12:09</v>
      </c>
      <c r="AL115" t="str">
        <v/>
      </c>
    </row>
    <row r="116">
      <c r="A116">
        <v>115</v>
      </c>
      <c r="B116" t="str">
        <v>MASS BSF</v>
      </c>
      <c r="C116" t="str">
        <v>C6E-921</v>
      </c>
      <c r="D116" t="str">
        <v>C6E-921</v>
      </c>
      <c r="E116" t="str">
        <v/>
      </c>
      <c r="F116" t="str">
        <v>867806078831353</v>
      </c>
      <c r="G116" t="str">
        <v>TBD</v>
      </c>
      <c r="H116" t="str">
        <v/>
      </c>
      <c r="I116" t="str">
        <v/>
      </c>
      <c r="J116" t="str">
        <v>27/09/2026</v>
      </c>
      <c r="K116" t="str">
        <v>15:12:06</v>
      </c>
      <c r="L116">
        <v>-12.187155</v>
      </c>
      <c r="M116">
        <v>-76.94524</v>
      </c>
      <c r="N116">
        <f>HYPERLINK("https://www.google.com/maps/search/?api=1&amp;query=-12.187155,-76.94524","Avenida Separadora Industrial, Villa El Salvador, Lima")</f>
      </c>
      <c r="O116" t="str">
        <v>Aceleración brusca</v>
      </c>
      <c r="P116">
        <v>295594.2</v>
      </c>
      <c r="Q116" t="str">
        <v/>
      </c>
      <c r="R116">
        <v>13.1</v>
      </c>
      <c r="S116">
        <v>129.2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79</v>
      </c>
      <c r="AB116" t="str">
        <v>27/09/2026</v>
      </c>
      <c r="AC116" t="str">
        <v>15:12:03</v>
      </c>
      <c r="AD116">
        <f>IF("ONLINE"="NOGPS","GPS Antiguo","En línea")</f>
      </c>
      <c r="AE116">
        <f>IF(0=0,"Sin atender", IF(0=1,"Atendida","Atendida y Reportada"))</f>
      </c>
      <c r="AF116" t="str">
        <v/>
      </c>
      <c r="AG116" t="str">
        <v/>
      </c>
      <c r="AH116" t="str">
        <v/>
      </c>
      <c r="AI116" t="str">
        <v/>
      </c>
      <c r="AJ116" t="str">
        <v>27/09/2026 15:12:14</v>
      </c>
      <c r="AK116" t="str">
        <v>15:12:14</v>
      </c>
      <c r="AL116" t="str">
        <v/>
      </c>
    </row>
    <row r="117">
      <c r="A117">
        <v>116</v>
      </c>
      <c r="B117" t="str">
        <v>MASS BSF</v>
      </c>
      <c r="C117" t="str">
        <v>C6E-921</v>
      </c>
      <c r="D117" t="str">
        <v>C6E-921</v>
      </c>
      <c r="E117" t="str">
        <v/>
      </c>
      <c r="F117" t="str">
        <v>867806078831353</v>
      </c>
      <c r="G117" t="str">
        <v>TBD</v>
      </c>
      <c r="H117" t="str">
        <v/>
      </c>
      <c r="I117" t="str">
        <v/>
      </c>
      <c r="J117" t="str">
        <v>27/09/2026</v>
      </c>
      <c r="K117" t="str">
        <v>15:12:17</v>
      </c>
      <c r="L117">
        <v>-12.186499</v>
      </c>
      <c r="M117">
        <v>-76.945625</v>
      </c>
      <c r="N117">
        <f>HYPERLINK("https://www.google.com/maps/search/?api=1&amp;query=-12.186499,-76.945625","Avenida Separadora Industrial, Villa El Salvador, Lima")</f>
      </c>
      <c r="O117" t="str">
        <v>Acelerado y giro brusco</v>
      </c>
      <c r="P117">
        <v>295594.3</v>
      </c>
      <c r="Q117" t="str">
        <v/>
      </c>
      <c r="R117">
        <v>34.2</v>
      </c>
      <c r="S117">
        <v>129.2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79</v>
      </c>
      <c r="AB117" t="str">
        <v>27/09/2026</v>
      </c>
      <c r="AC117" t="str">
        <v>15:12:14</v>
      </c>
      <c r="AD117">
        <f>IF("ONLINE"="NOGPS","GPS Antiguo","En línea")</f>
      </c>
      <c r="AE117">
        <f>IF(0=0,"Sin atender", IF(0=1,"Atendida","Atendida y Reportada"))</f>
      </c>
      <c r="AF117" t="str">
        <v/>
      </c>
      <c r="AG117" t="str">
        <v/>
      </c>
      <c r="AH117" t="str">
        <v/>
      </c>
      <c r="AI117" t="str">
        <v/>
      </c>
      <c r="AJ117" t="str">
        <v>27/09/2026 15:12:37</v>
      </c>
      <c r="AK117" t="str">
        <v>15:12:37</v>
      </c>
      <c r="AL117" t="str">
        <v/>
      </c>
    </row>
    <row r="118">
      <c r="A118">
        <v>117</v>
      </c>
      <c r="B118" t="str">
        <v>MASS BSF</v>
      </c>
      <c r="C118" t="str">
        <v>C6E-921</v>
      </c>
      <c r="D118" t="str">
        <v>C6E-921</v>
      </c>
      <c r="E118" t="str">
        <v/>
      </c>
      <c r="F118" t="str">
        <v>867806078831353</v>
      </c>
      <c r="G118" t="str">
        <v>TBD</v>
      </c>
      <c r="H118" t="str">
        <v/>
      </c>
      <c r="I118" t="str">
        <v/>
      </c>
      <c r="J118" t="str">
        <v>27/09/2026</v>
      </c>
      <c r="K118" t="str">
        <v>15:12:38</v>
      </c>
      <c r="L118">
        <v>-12.18508</v>
      </c>
      <c r="M118">
        <v>-76.94632</v>
      </c>
      <c r="N118">
        <f>HYPERLINK("https://www.google.com/maps/search/?api=1&amp;query=-12.18508,-76.94632","Avenida Mateo Pumacahua, Villa María del Triunfo, Lima")</f>
      </c>
      <c r="O118" t="str">
        <v>Acelerado y giro brusco</v>
      </c>
      <c r="P118">
        <v>295594.4</v>
      </c>
      <c r="Q118" t="str">
        <v/>
      </c>
      <c r="R118">
        <v>13.8</v>
      </c>
      <c r="S118">
        <v>129.2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79</v>
      </c>
      <c r="AB118" t="str">
        <v>27/09/2026</v>
      </c>
      <c r="AC118" t="str">
        <v>15:12:34</v>
      </c>
      <c r="AD118">
        <f>IF("ONLINE"="NOGPS","GPS Antiguo","En línea")</f>
      </c>
      <c r="AE118">
        <f>IF(0=0,"Sin atender", IF(0=1,"Atendida","Atendida y Reportada"))</f>
      </c>
      <c r="AF118" t="str">
        <v/>
      </c>
      <c r="AG118" t="str">
        <v/>
      </c>
      <c r="AH118" t="str">
        <v/>
      </c>
      <c r="AI118" t="str">
        <v/>
      </c>
      <c r="AJ118" t="str">
        <v>27/09/2026 15:12:51</v>
      </c>
      <c r="AK118" t="str">
        <v>15:12:51</v>
      </c>
      <c r="AL118" t="str">
        <v/>
      </c>
    </row>
    <row r="119">
      <c r="A119">
        <v>118</v>
      </c>
      <c r="B119" t="str">
        <v>MASS BSF</v>
      </c>
      <c r="C119" t="str">
        <v>C6E-921</v>
      </c>
      <c r="D119" t="str">
        <v>C6E-921</v>
      </c>
      <c r="E119" t="str">
        <v/>
      </c>
      <c r="F119" t="str">
        <v>867806078831353</v>
      </c>
      <c r="G119" t="str">
        <v>TBD</v>
      </c>
      <c r="H119" t="str">
        <v/>
      </c>
      <c r="I119" t="str">
        <v/>
      </c>
      <c r="J119" t="str">
        <v>27/09/2026</v>
      </c>
      <c r="K119" t="str">
        <v>15:13:16</v>
      </c>
      <c r="L119">
        <v>-12.183475</v>
      </c>
      <c r="M119">
        <v>-76.94364</v>
      </c>
      <c r="N119">
        <f>HYPERLINK("https://www.google.com/maps/search/?api=1&amp;query=-12.183475,-76.94364","Avenida Mateo Pumacahua, Villa El Salvador, Lima")</f>
      </c>
      <c r="O119" t="str">
        <v>Bache</v>
      </c>
      <c r="P119">
        <v>295594.8</v>
      </c>
      <c r="Q119" t="str">
        <v/>
      </c>
      <c r="R119">
        <v>34.2</v>
      </c>
      <c r="S119">
        <v>129.2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77</v>
      </c>
      <c r="AB119" t="str">
        <v>27/09/2026</v>
      </c>
      <c r="AC119" t="str">
        <v>15:13:12</v>
      </c>
      <c r="AD119">
        <f>IF("ONLINE"="NOGPS","GPS Antiguo","En línea")</f>
      </c>
      <c r="AE119">
        <f>IF(0=0,"Sin atender", IF(0=1,"Atendida","Atendida y Reportada"))</f>
      </c>
      <c r="AF119" t="str">
        <v/>
      </c>
      <c r="AG119" t="str">
        <v/>
      </c>
      <c r="AH119" t="str">
        <v/>
      </c>
      <c r="AI119" t="str">
        <v/>
      </c>
      <c r="AJ119" t="str">
        <v>27/09/2026 15:13:28</v>
      </c>
      <c r="AK119" t="str">
        <v>15:13:28</v>
      </c>
      <c r="AL119" t="str">
        <v/>
      </c>
    </row>
    <row r="120">
      <c r="A120">
        <v>119</v>
      </c>
      <c r="B120" t="str">
        <v>MASS BSF</v>
      </c>
      <c r="C120" t="str">
        <v>C6E-921</v>
      </c>
      <c r="D120" t="str">
        <v>C6E-921</v>
      </c>
      <c r="E120" t="str">
        <v/>
      </c>
      <c r="F120" t="str">
        <v>867806078831353</v>
      </c>
      <c r="G120" t="str">
        <v>TBD</v>
      </c>
      <c r="H120" t="str">
        <v/>
      </c>
      <c r="I120" t="str">
        <v/>
      </c>
      <c r="J120" t="str">
        <v>27/09/2026</v>
      </c>
      <c r="K120" t="str">
        <v>15:13:17</v>
      </c>
      <c r="L120">
        <v>-12.183432</v>
      </c>
      <c r="M120">
        <v>-76.943565</v>
      </c>
      <c r="N120">
        <f>HYPERLINK("https://www.google.com/maps/search/?api=1&amp;query=-12.183432,-76.943565","Avenida Mateo Pumacahua, Villa El Salvador, Lima")</f>
      </c>
      <c r="O120" t="str">
        <v>Ingreso a camino vecinal</v>
      </c>
      <c r="P120">
        <v>295594.8</v>
      </c>
      <c r="Q120" t="str">
        <v/>
      </c>
      <c r="R120">
        <v>33.5</v>
      </c>
      <c r="S120">
        <v>129.2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77</v>
      </c>
      <c r="AB120" t="str">
        <v>27/09/2026</v>
      </c>
      <c r="AC120" t="str">
        <v>15:13:13</v>
      </c>
      <c r="AD120">
        <f>IF("ONLINE"="NOGPS","GPS Antiguo","En línea")</f>
      </c>
      <c r="AE120">
        <f>IF(0=0,"Sin atender", IF(0=1,"Atendida","Atendida y Reportada"))</f>
      </c>
      <c r="AF120" t="str">
        <v/>
      </c>
      <c r="AG120" t="str">
        <v/>
      </c>
      <c r="AH120" t="str">
        <v/>
      </c>
      <c r="AI120" t="str">
        <v/>
      </c>
      <c r="AJ120" t="str">
        <v>27/09/2026 15:13:35</v>
      </c>
      <c r="AK120" t="str">
        <v>15:13:35</v>
      </c>
      <c r="AL120" t="str">
        <v/>
      </c>
    </row>
    <row r="121">
      <c r="A121">
        <v>120</v>
      </c>
      <c r="B121" t="str">
        <v>MASS BSF</v>
      </c>
      <c r="C121" t="str">
        <v>C6E-921</v>
      </c>
      <c r="D121" t="str">
        <v>C6E-921</v>
      </c>
      <c r="E121" t="str">
        <v/>
      </c>
      <c r="F121" t="str">
        <v>867806078831353</v>
      </c>
      <c r="G121" t="str">
        <v>TBD</v>
      </c>
      <c r="H121" t="str">
        <v/>
      </c>
      <c r="I121" t="str">
        <v/>
      </c>
      <c r="J121" t="str">
        <v>27/09/2026</v>
      </c>
      <c r="K121" t="str">
        <v>15:14:17</v>
      </c>
      <c r="L121">
        <v>-12.182776</v>
      </c>
      <c r="M121">
        <v>-76.94234</v>
      </c>
      <c r="N121">
        <f>HYPERLINK("https://www.google.com/maps/search/?api=1&amp;query=-12.182776,-76.94234","Avenida Mateo Pumacahua, Villa El Salvador, Lima")</f>
      </c>
      <c r="O121" t="str">
        <v>Salida de camino vecinal</v>
      </c>
      <c r="P121">
        <v>295594.9</v>
      </c>
      <c r="Q121" t="str">
        <v/>
      </c>
      <c r="R121">
        <v>8.5</v>
      </c>
      <c r="S121">
        <v>129.2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77</v>
      </c>
      <c r="AB121" t="str">
        <v>27/09/2026</v>
      </c>
      <c r="AC121" t="str">
        <v>15:14:13</v>
      </c>
      <c r="AD121">
        <f>IF("ONLINE"="NOGPS","GPS Antiguo","En línea")</f>
      </c>
      <c r="AE121">
        <f>IF(0=0,"Sin atender", IF(0=1,"Atendida","Atendida y Reportada"))</f>
      </c>
      <c r="AF121" t="str">
        <v/>
      </c>
      <c r="AG121" t="str">
        <v/>
      </c>
      <c r="AH121" t="str">
        <v/>
      </c>
      <c r="AI121" t="str">
        <v/>
      </c>
      <c r="AJ121" t="str">
        <v>27/09/2026 15:14:28</v>
      </c>
      <c r="AK121" t="str">
        <v>15:14:28</v>
      </c>
      <c r="AL121" t="str">
        <v/>
      </c>
    </row>
    <row r="122">
      <c r="A122">
        <v>121</v>
      </c>
      <c r="B122" t="str">
        <v>MASS BSF</v>
      </c>
      <c r="C122" t="str">
        <v>C6E-921</v>
      </c>
      <c r="D122" t="str">
        <v>C6E-921</v>
      </c>
      <c r="E122" t="str">
        <v/>
      </c>
      <c r="F122" t="str">
        <v>867806078831353</v>
      </c>
      <c r="G122" t="str">
        <v>TBD</v>
      </c>
      <c r="H122" t="str">
        <v/>
      </c>
      <c r="I122" t="str">
        <v/>
      </c>
      <c r="J122" t="str">
        <v>27/09/2026</v>
      </c>
      <c r="K122" t="str">
        <v>15:14:27</v>
      </c>
      <c r="L122">
        <v>-12.18254</v>
      </c>
      <c r="M122">
        <v>-76.94209</v>
      </c>
      <c r="N122">
        <f>HYPERLINK("https://www.google.com/maps/search/?api=1&amp;query=-12.18254,-76.94209","Avenida Pachacútec, Villa María del Triunfo, Lima")</f>
      </c>
      <c r="O122" t="str">
        <v>Aceleración brusca</v>
      </c>
      <c r="P122">
        <v>295595</v>
      </c>
      <c r="Q122" t="str">
        <v/>
      </c>
      <c r="R122">
        <v>17</v>
      </c>
      <c r="S122">
        <v>129.2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79</v>
      </c>
      <c r="AB122" t="str">
        <v>27/09/2026</v>
      </c>
      <c r="AC122" t="str">
        <v>15:14:23</v>
      </c>
      <c r="AD122">
        <f>IF("ONLINE"="NOGPS","GPS Antiguo","En línea")</f>
      </c>
      <c r="AE122">
        <f>IF(0=0,"Sin atender", IF(0=1,"Atendida","Atendida y Reportada"))</f>
      </c>
      <c r="AF122" t="str">
        <v/>
      </c>
      <c r="AG122" t="str">
        <v/>
      </c>
      <c r="AH122" t="str">
        <v/>
      </c>
      <c r="AI122" t="str">
        <v/>
      </c>
      <c r="AJ122" t="str">
        <v>27/09/2026 15:15:05</v>
      </c>
      <c r="AK122" t="str">
        <v>15:15:05</v>
      </c>
      <c r="AL122" t="str">
        <v/>
      </c>
    </row>
    <row r="123">
      <c r="A123">
        <v>122</v>
      </c>
      <c r="B123" t="str">
        <v>MASS BSF</v>
      </c>
      <c r="C123" t="str">
        <v>C6E-921</v>
      </c>
      <c r="D123" t="str">
        <v>C6E-921</v>
      </c>
      <c r="E123" t="str">
        <v/>
      </c>
      <c r="F123" t="str">
        <v>867806078831353</v>
      </c>
      <c r="G123" t="str">
        <v>TBD</v>
      </c>
      <c r="H123" t="str">
        <v/>
      </c>
      <c r="I123" t="str">
        <v/>
      </c>
      <c r="J123" t="str">
        <v>27/09/2026</v>
      </c>
      <c r="K123" t="str">
        <v>15:14:27</v>
      </c>
      <c r="L123">
        <v>-12.18254</v>
      </c>
      <c r="M123">
        <v>-76.94209</v>
      </c>
      <c r="N123">
        <f>HYPERLINK("https://www.google.com/maps/search/?api=1&amp;query=-12.18254,-76.94209","Avenida Pachacútec, Villa María del Triunfo, Lima")</f>
      </c>
      <c r="O123" t="str">
        <v>Aceleración brusca</v>
      </c>
      <c r="P123">
        <v>295595</v>
      </c>
      <c r="Q123" t="str">
        <v/>
      </c>
      <c r="R123">
        <v>17</v>
      </c>
      <c r="S123">
        <v>129.2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79</v>
      </c>
      <c r="AB123" t="str">
        <v>27/09/2026</v>
      </c>
      <c r="AC123" t="str">
        <v>15:14:23</v>
      </c>
      <c r="AD123">
        <f>IF("ONLINE"="NOGPS","GPS Antiguo","En línea")</f>
      </c>
      <c r="AE123">
        <f>IF(0=0,"Sin atender", IF(0=1,"Atendida","Atendida y Reportada"))</f>
      </c>
      <c r="AF123" t="str">
        <v/>
      </c>
      <c r="AG123" t="str">
        <v/>
      </c>
      <c r="AH123" t="str">
        <v/>
      </c>
      <c r="AI123" t="str">
        <v/>
      </c>
      <c r="AJ123" t="str">
        <v>27/09/2026 15:14:48</v>
      </c>
      <c r="AK123" t="str">
        <v>15:14:48</v>
      </c>
      <c r="AL123" t="str">
        <v/>
      </c>
    </row>
    <row r="124">
      <c r="A124">
        <v>123</v>
      </c>
      <c r="B124" t="str">
        <v>MASS BSF</v>
      </c>
      <c r="C124" t="str">
        <v>C6E-921</v>
      </c>
      <c r="D124" t="str">
        <v>C6E-921</v>
      </c>
      <c r="E124" t="str">
        <v/>
      </c>
      <c r="F124" t="str">
        <v>867806078831353</v>
      </c>
      <c r="G124" t="str">
        <v>TBD</v>
      </c>
      <c r="H124" t="str">
        <v/>
      </c>
      <c r="I124" t="str">
        <v/>
      </c>
      <c r="J124" t="str">
        <v>27/09/2026</v>
      </c>
      <c r="K124" t="str">
        <v>15:14:40</v>
      </c>
      <c r="L124">
        <v>-12.181688</v>
      </c>
      <c r="M124">
        <v>-76.942665</v>
      </c>
      <c r="N124">
        <f>HYPERLINK("https://www.google.com/maps/search/?api=1&amp;query=-12.181688,-76.942665","Avenida Pachacútec, Villa María del Triunfo, Lima")</f>
      </c>
      <c r="O124" t="str">
        <v>Aceleración brusca</v>
      </c>
      <c r="P124">
        <v>295595.1</v>
      </c>
      <c r="Q124" t="str">
        <v/>
      </c>
      <c r="R124">
        <v>33.7</v>
      </c>
      <c r="S124">
        <v>129.2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79</v>
      </c>
      <c r="AB124" t="str">
        <v>27/09/2026</v>
      </c>
      <c r="AC124" t="str">
        <v>15:14:37</v>
      </c>
      <c r="AD124">
        <f>IF("ONLINE"="NOGPS","GPS Antiguo","En línea")</f>
      </c>
      <c r="AE124">
        <f>IF(0=0,"Sin atender", IF(0=1,"Atendida","Atendida y Reportada"))</f>
      </c>
      <c r="AF124" t="str">
        <v/>
      </c>
      <c r="AG124" t="str">
        <v/>
      </c>
      <c r="AH124" t="str">
        <v/>
      </c>
      <c r="AI124" t="str">
        <v/>
      </c>
      <c r="AJ124" t="str">
        <v>27/09/2026 15:15:04</v>
      </c>
      <c r="AK124" t="str">
        <v>15:15:04</v>
      </c>
      <c r="AL124" t="str">
        <v/>
      </c>
    </row>
    <row r="125">
      <c r="A125">
        <v>124</v>
      </c>
      <c r="B125" t="str">
        <v>MASS BSF</v>
      </c>
      <c r="C125" t="str">
        <v>C6E-921</v>
      </c>
      <c r="D125" t="str">
        <v>C6E-921</v>
      </c>
      <c r="E125" t="str">
        <v/>
      </c>
      <c r="F125" t="str">
        <v>867806078831353</v>
      </c>
      <c r="G125" t="str">
        <v>TBD</v>
      </c>
      <c r="H125" t="str">
        <v/>
      </c>
      <c r="I125" t="str">
        <v/>
      </c>
      <c r="J125" t="str">
        <v>27/09/2026</v>
      </c>
      <c r="K125" t="str">
        <v>15:15:01</v>
      </c>
      <c r="L125">
        <v>-12.180365</v>
      </c>
      <c r="M125">
        <v>-76.94326</v>
      </c>
      <c r="N125">
        <f>HYPERLINK("https://www.google.com/maps/search/?api=1&amp;query=-12.180365,-76.94326","Avenida 26 de Noviembre, Villa María del Triunfo, Lima")</f>
      </c>
      <c r="O125" t="str">
        <v>Acelerado y giro brusco</v>
      </c>
      <c r="P125">
        <v>295595.3</v>
      </c>
      <c r="Q125" t="str">
        <v/>
      </c>
      <c r="R125">
        <v>9.2</v>
      </c>
      <c r="S125">
        <v>129.2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79</v>
      </c>
      <c r="AB125" t="str">
        <v>27/09/2026</v>
      </c>
      <c r="AC125" t="str">
        <v>15:14:57</v>
      </c>
      <c r="AD125">
        <f>IF("ONLINE"="NOGPS","GPS Antiguo","En línea")</f>
      </c>
      <c r="AE125">
        <f>IF(0=0,"Sin atender", IF(0=1,"Atendida","Atendida y Reportada"))</f>
      </c>
      <c r="AF125" t="str">
        <v/>
      </c>
      <c r="AG125" t="str">
        <v/>
      </c>
      <c r="AH125" t="str">
        <v/>
      </c>
      <c r="AI125" t="str">
        <v/>
      </c>
      <c r="AJ125" t="str">
        <v>27/09/2026 15:15:25</v>
      </c>
      <c r="AK125" t="str">
        <v>15:15:25</v>
      </c>
      <c r="AL125" t="str">
        <v/>
      </c>
    </row>
    <row r="126">
      <c r="A126">
        <v>125</v>
      </c>
      <c r="B126" t="str">
        <v>MASS BSF</v>
      </c>
      <c r="C126" t="str">
        <v>C6E-921</v>
      </c>
      <c r="D126" t="str">
        <v>C6E-921</v>
      </c>
      <c r="E126" t="str">
        <v/>
      </c>
      <c r="F126" t="str">
        <v>867806078831353</v>
      </c>
      <c r="G126" t="str">
        <v>TBD</v>
      </c>
      <c r="H126" t="str">
        <v/>
      </c>
      <c r="I126" t="str">
        <v/>
      </c>
      <c r="J126" t="str">
        <v>27/09/2026</v>
      </c>
      <c r="K126" t="str">
        <v>15:15:17</v>
      </c>
      <c r="L126">
        <v>-12.17999</v>
      </c>
      <c r="M126">
        <v>-76.94275</v>
      </c>
      <c r="N126">
        <f>HYPERLINK("https://www.google.com/maps/search/?api=1&amp;query=-12.17999,-76.94275","Avenida 26 de Noviembre, Villa María del Triunfo, Lima")</f>
      </c>
      <c r="O126" t="str">
        <v>Ingreso a camino vecinal</v>
      </c>
      <c r="P126">
        <v>295595.3</v>
      </c>
      <c r="Q126" t="str">
        <v/>
      </c>
      <c r="R126">
        <v>27.5</v>
      </c>
      <c r="S126">
        <v>129.2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79</v>
      </c>
      <c r="AB126" t="str">
        <v>27/09/2026</v>
      </c>
      <c r="AC126" t="str">
        <v>15:15:13</v>
      </c>
      <c r="AD126">
        <f>IF("ONLINE"="NOGPS","GPS Antiguo","En línea")</f>
      </c>
      <c r="AE126">
        <f>IF(0=0,"Sin atender", IF(0=1,"Atendida","Atendida y Reportada"))</f>
      </c>
      <c r="AF126" t="str">
        <v/>
      </c>
      <c r="AG126" t="str">
        <v/>
      </c>
      <c r="AH126" t="str">
        <v/>
      </c>
      <c r="AI126" t="str">
        <v/>
      </c>
      <c r="AJ126" t="str">
        <v>27/09/2026 15:15:33</v>
      </c>
      <c r="AK126" t="str">
        <v>15:15:33</v>
      </c>
      <c r="AL126" t="str">
        <v/>
      </c>
    </row>
    <row r="127">
      <c r="A127">
        <v>126</v>
      </c>
      <c r="B127" t="str">
        <v>MASS BSF</v>
      </c>
      <c r="C127" t="str">
        <v>C6E-921</v>
      </c>
      <c r="D127" t="str">
        <v>C6E-921</v>
      </c>
      <c r="E127" t="str">
        <v/>
      </c>
      <c r="F127" t="str">
        <v>867806078831353</v>
      </c>
      <c r="G127" t="str">
        <v>TBD</v>
      </c>
      <c r="H127" t="str">
        <v/>
      </c>
      <c r="I127" t="str">
        <v/>
      </c>
      <c r="J127" t="str">
        <v>27/09/2026</v>
      </c>
      <c r="K127" t="str">
        <v>15:17:17</v>
      </c>
      <c r="L127">
        <v>-12.175147</v>
      </c>
      <c r="M127">
        <v>-76.936134</v>
      </c>
      <c r="N127">
        <f>HYPERLINK("https://www.google.com/maps/search/?api=1&amp;query=-12.175147,-76.936134","Avenida 26 de Noviembre, Villa María del Triunfo, Lima")</f>
      </c>
      <c r="O127" t="str">
        <v>Salida de camino vecinal</v>
      </c>
      <c r="P127">
        <v>295596.2</v>
      </c>
      <c r="Q127" t="str">
        <v/>
      </c>
      <c r="R127">
        <v>31.2</v>
      </c>
      <c r="S127">
        <v>129.2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79</v>
      </c>
      <c r="AB127" t="str">
        <v>27/09/2026</v>
      </c>
      <c r="AC127" t="str">
        <v>15:17:14</v>
      </c>
      <c r="AD127">
        <f>IF("ONLINE"="NOGPS","GPS Antiguo","En línea")</f>
      </c>
      <c r="AE127">
        <f>IF(0=0,"Sin atender", IF(0=1,"Atendida","Atendida y Reportada"))</f>
      </c>
      <c r="AF127" t="str">
        <v/>
      </c>
      <c r="AG127" t="str">
        <v/>
      </c>
      <c r="AH127" t="str">
        <v/>
      </c>
      <c r="AI127" t="str">
        <v/>
      </c>
      <c r="AJ127" t="str">
        <v>27/09/2026 15:17:28</v>
      </c>
      <c r="AK127" t="str">
        <v>15:17:28</v>
      </c>
      <c r="AL127" t="str">
        <v/>
      </c>
    </row>
    <row r="128">
      <c r="A128">
        <v>127</v>
      </c>
      <c r="B128" t="str">
        <v>MASS BSF</v>
      </c>
      <c r="C128" t="str">
        <v>C6E-921</v>
      </c>
      <c r="D128" t="str">
        <v>C6E-921</v>
      </c>
      <c r="E128" t="str">
        <v/>
      </c>
      <c r="F128" t="str">
        <v>867806078831353</v>
      </c>
      <c r="G128" t="str">
        <v>TBD</v>
      </c>
      <c r="H128" t="str">
        <v/>
      </c>
      <c r="I128" t="str">
        <v/>
      </c>
      <c r="J128" t="str">
        <v>27/09/2026</v>
      </c>
      <c r="K128" t="str">
        <v>15:23:05</v>
      </c>
      <c r="L128">
        <v>-12.170493</v>
      </c>
      <c r="M128">
        <v>-76.92907</v>
      </c>
      <c r="N128">
        <f>HYPERLINK("https://www.google.com/maps/search/?api=1&amp;query=-12.170493,-76.92907","Avenida 28 de Julio, Villa María del Triunfo, Lima")</f>
      </c>
      <c r="O128" t="str">
        <v>Vehículo apagado</v>
      </c>
      <c r="P128">
        <v>295597.2</v>
      </c>
      <c r="Q128" t="str">
        <v/>
      </c>
      <c r="R128">
        <v>0</v>
      </c>
      <c r="S128">
        <v>129.75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87</v>
      </c>
      <c r="AB128" t="str">
        <v>27/09/2026</v>
      </c>
      <c r="AC128" t="str">
        <v>15:23:01</v>
      </c>
      <c r="AD128">
        <f>IF("ONLINE"="NOGPS","GPS Antiguo","En línea")</f>
      </c>
      <c r="AE128">
        <f>IF(0=0,"Sin atender", IF(0=1,"Atendida","Atendida y Reportada"))</f>
      </c>
      <c r="AF128" t="str">
        <v/>
      </c>
      <c r="AG128" t="str">
        <v/>
      </c>
      <c r="AH128" t="str">
        <v/>
      </c>
      <c r="AI128" t="str">
        <v/>
      </c>
      <c r="AJ128" t="str">
        <v>27/09/2026 15:23:25</v>
      </c>
      <c r="AK128" t="str">
        <v>15:23:25</v>
      </c>
      <c r="AL128" t="str">
        <v/>
      </c>
    </row>
    <row r="129">
      <c r="A129">
        <v>128</v>
      </c>
      <c r="B129" t="str">
        <v>MASS BSF</v>
      </c>
      <c r="C129" t="str">
        <v>C6E-921</v>
      </c>
      <c r="D129" t="str">
        <v>C6E-921</v>
      </c>
      <c r="E129" t="str">
        <v/>
      </c>
      <c r="F129" t="str">
        <v>867806078831353</v>
      </c>
      <c r="G129" t="str">
        <v>TBD</v>
      </c>
      <c r="H129" t="str">
        <v/>
      </c>
      <c r="I129" t="str">
        <v/>
      </c>
      <c r="J129" t="str">
        <v>27/09/2026</v>
      </c>
      <c r="K129" t="str">
        <v>15:28:48</v>
      </c>
      <c r="L129">
        <v>-12.170493</v>
      </c>
      <c r="M129">
        <v>-76.92907</v>
      </c>
      <c r="N129">
        <f>HYPERLINK("https://www.google.com/maps/search/?api=1&amp;query=-12.170493,-76.92907","Avenida 28 de Julio, Villa María del Triunfo, Lima")</f>
      </c>
      <c r="O129" t="str">
        <v>Fuente principal desconectada</v>
      </c>
      <c r="P129">
        <v>295597.2</v>
      </c>
      <c r="Q129" t="str">
        <v/>
      </c>
      <c r="R129">
        <v>0</v>
      </c>
      <c r="S129">
        <v>129.75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87</v>
      </c>
      <c r="AB129" t="str">
        <v>27/09/2026</v>
      </c>
      <c r="AC129" t="str">
        <v>15:28:44</v>
      </c>
      <c r="AD129">
        <f>IF("ONLINE"="NOGPS","GPS Antiguo","En línea")</f>
      </c>
      <c r="AE129">
        <f>IF(0=0,"Sin atender", IF(0=1,"Atendida","Atendida y Reportada"))</f>
      </c>
      <c r="AF129" t="str">
        <v/>
      </c>
      <c r="AG129" t="str">
        <v/>
      </c>
      <c r="AH129" t="str">
        <v/>
      </c>
      <c r="AI129" t="str">
        <v/>
      </c>
      <c r="AJ129" t="str">
        <v>27/09/2026 15:28:56</v>
      </c>
      <c r="AK129" t="str">
        <v>15:28:56</v>
      </c>
      <c r="AL129" t="str">
        <v/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