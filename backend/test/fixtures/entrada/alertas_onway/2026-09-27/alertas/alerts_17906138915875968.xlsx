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/>
      </c>
      <c r="J2" t="str">
        <v>27/09/2026</v>
      </c>
      <c r="K2" t="str">
        <v>05:32:47</v>
      </c>
      <c r="L2">
        <v>-12.213154</v>
      </c>
      <c r="M2">
        <v>-76.95885</v>
      </c>
      <c r="N2">
        <f>HYPERLINK("https://www.google.com/maps/search/?api=1&amp;query=-12.213154,-76.95885","Villa El Salvador, Lima")</f>
      </c>
      <c r="O2" t="str">
        <v>Vehículo encendido</v>
      </c>
      <c r="P2">
        <v>1052562.2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92</v>
      </c>
      <c r="AB2" t="str">
        <v>27/09/2026</v>
      </c>
      <c r="AC2" t="str">
        <v>05:31:12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27/09/2026 05:33:00</v>
      </c>
      <c r="AK2" t="str">
        <v>05:33:00</v>
      </c>
      <c r="AL2" t="str">
        <v/>
      </c>
    </row>
    <row r="3">
      <c r="A3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/>
      </c>
      <c r="J3" t="str">
        <v>27/09/2026</v>
      </c>
      <c r="K3" t="str">
        <v>06:03:11</v>
      </c>
      <c r="L3">
        <v>-12.27632</v>
      </c>
      <c r="M3">
        <v>-76.86874</v>
      </c>
      <c r="N3">
        <f>HYPERLINK("https://www.google.com/maps/search/?api=1&amp;query=-12.27632,-76.86874","Jirón Tarapacá, Lurín, Lima")</f>
      </c>
      <c r="O3" t="str">
        <v>Vehículo apagado</v>
      </c>
      <c r="P3">
        <v>1052582.2</v>
      </c>
      <c r="Q3" t="str">
        <v/>
      </c>
      <c r="R3">
        <v>7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92</v>
      </c>
      <c r="AB3" t="str">
        <v>27/09/2026</v>
      </c>
      <c r="AC3" t="str">
        <v>06:03:01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27/09/2026 06:03:30</v>
      </c>
      <c r="AK3" t="str">
        <v>06:03:30</v>
      </c>
      <c r="AL3" t="str">
        <v/>
      </c>
    </row>
    <row r="4">
      <c r="A4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/>
      </c>
      <c r="J4" t="str">
        <v>27/09/2026</v>
      </c>
      <c r="K4" t="str">
        <v>06:04:15</v>
      </c>
      <c r="L4">
        <v>-12.276279</v>
      </c>
      <c r="M4">
        <v>-76.86899</v>
      </c>
      <c r="N4">
        <f>HYPERLINK("https://www.google.com/maps/search/?api=1&amp;query=-12.276279,-76.86899","Jirón Tarapacá, Lurín, Lima")</f>
      </c>
      <c r="O4" t="str">
        <v>Vehículo encendido</v>
      </c>
      <c r="P4">
        <v>1052582.2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92</v>
      </c>
      <c r="AB4" t="str">
        <v>27/09/2026</v>
      </c>
      <c r="AC4" t="str">
        <v>06:03:15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27/09/2026 06:04:32</v>
      </c>
      <c r="AK4" t="str">
        <v>06:04:32</v>
      </c>
      <c r="AL4" t="str">
        <v/>
      </c>
    </row>
    <row r="5">
      <c r="A5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/>
      </c>
      <c r="J5" t="str">
        <v>27/09/2026</v>
      </c>
      <c r="K5" t="str">
        <v>06:06:45</v>
      </c>
      <c r="L5">
        <v>-12.276253</v>
      </c>
      <c r="M5">
        <v>-76.86923</v>
      </c>
      <c r="N5">
        <f>HYPERLINK("https://www.google.com/maps/search/?api=1&amp;query=-12.276253,-76.86923","Jirón Ramón Castilla, Lurín, Lima")</f>
      </c>
      <c r="O5" t="str">
        <v>Vehículo apagado</v>
      </c>
      <c r="P5">
        <v>1052582.4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92</v>
      </c>
      <c r="AB5" t="str">
        <v>27/09/2026</v>
      </c>
      <c r="AC5" t="str">
        <v>06:06:14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27/09/2026 06:07:01</v>
      </c>
      <c r="AK5" t="str">
        <v>06:07:01</v>
      </c>
      <c r="AL5" t="str">
        <v/>
      </c>
    </row>
    <row r="6">
      <c r="A6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/>
      </c>
      <c r="J6" t="str">
        <v>27/09/2026</v>
      </c>
      <c r="K6" t="str">
        <v>06:48:30</v>
      </c>
      <c r="L6">
        <v>-12.276253</v>
      </c>
      <c r="M6">
        <v>-76.86923</v>
      </c>
      <c r="N6">
        <f>HYPERLINK("https://www.google.com/maps/search/?api=1&amp;query=-12.276253,-76.86923","Jirón Ramón Castilla, Lurín, Lima")</f>
      </c>
      <c r="O6" t="str">
        <v>Vehículo encendido</v>
      </c>
      <c r="P6">
        <v>1052582.4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92</v>
      </c>
      <c r="AB6" t="str">
        <v>27/09/2026</v>
      </c>
      <c r="AC6" t="str">
        <v>06:34:58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27/09/2026 06:50:57</v>
      </c>
      <c r="AK6" t="str">
        <v>06:50:57</v>
      </c>
      <c r="AL6" t="str">
        <v/>
      </c>
    </row>
    <row r="7">
      <c r="A7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 xml:space="preserve"> </v>
      </c>
      <c r="J7" t="str">
        <v>27/09/2026</v>
      </c>
      <c r="K7" t="str">
        <v>07:04:01</v>
      </c>
      <c r="L7">
        <v>-12.317497</v>
      </c>
      <c r="M7">
        <v>-76.82957</v>
      </c>
      <c r="N7">
        <f>HYPERLINK("https://www.google.com/maps/search/?api=1&amp;query=-12.317497,-76.82957","Punta Hermosa, Lima")</f>
      </c>
      <c r="O7" t="str">
        <v>Llegó a la zona</v>
      </c>
      <c r="P7">
        <v>1052596</v>
      </c>
      <c r="Q7" t="str">
        <v>MASS BSF 1</v>
      </c>
      <c r="R7">
        <v>7.9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92</v>
      </c>
      <c r="AB7" t="str">
        <v>27/09/2026</v>
      </c>
      <c r="AC7" t="str">
        <v>07:04:00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27/09/2026 07:04:23</v>
      </c>
      <c r="AK7" t="str">
        <v>07:04:23</v>
      </c>
      <c r="AL7" t="str">
        <v/>
      </c>
    </row>
    <row r="8">
      <c r="A8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/>
      </c>
      <c r="J8" t="str">
        <v>27/09/2026</v>
      </c>
      <c r="K8" t="str">
        <v>07:09:27</v>
      </c>
      <c r="L8">
        <v>-12.317327</v>
      </c>
      <c r="M8">
        <v>-76.82283</v>
      </c>
      <c r="N8">
        <f>HYPERLINK("https://www.google.com/maps/search/?api=1&amp;query=-12.317327,-76.82283","Punta Hermosa, Lima")</f>
      </c>
      <c r="O8" t="str">
        <v>Vehículo apagado</v>
      </c>
      <c r="P8">
        <v>1052597.2</v>
      </c>
      <c r="Q8" t="str">
        <v/>
      </c>
      <c r="R8">
        <v>3.6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90</v>
      </c>
      <c r="AB8" t="str">
        <v>27/09/2026</v>
      </c>
      <c r="AC8" t="str">
        <v>07:09:12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27/09/2026 07:09:44</v>
      </c>
      <c r="AK8" t="str">
        <v>07:09:44</v>
      </c>
      <c r="AL8" t="str">
        <v/>
      </c>
    </row>
    <row r="9">
      <c r="A9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/>
      </c>
      <c r="J9" t="str">
        <v>27/09/2026</v>
      </c>
      <c r="K9" t="str">
        <v>07:31:02</v>
      </c>
      <c r="L9">
        <v>-12.317359</v>
      </c>
      <c r="M9">
        <v>-76.822876</v>
      </c>
      <c r="N9">
        <f>HYPERLINK("https://www.google.com/maps/search/?api=1&amp;query=-12.317359,-76.822876","Punta Hermosa, Lima")</f>
      </c>
      <c r="O9" t="str">
        <v>Vehículo encendido</v>
      </c>
      <c r="P9">
        <v>1052593.9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90</v>
      </c>
      <c r="AB9" t="str">
        <v>27/09/2026</v>
      </c>
      <c r="AC9" t="str">
        <v>07:09:29</v>
      </c>
      <c r="AD9">
        <f>IF("NOGPS"="NOGPS","GPS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27/09/2026 07:31:25</v>
      </c>
      <c r="AK9" t="str">
        <v>07:31:25</v>
      </c>
      <c r="AL9" t="str">
        <v/>
      </c>
    </row>
    <row r="10">
      <c r="A10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/>
      </c>
      <c r="J10" t="str">
        <v>27/09/2026</v>
      </c>
      <c r="K10" t="str">
        <v>07:33:34</v>
      </c>
      <c r="L10">
        <v>-12.318073</v>
      </c>
      <c r="M10">
        <v>-76.82424</v>
      </c>
      <c r="N10">
        <f>HYPERLINK("https://www.google.com/maps/search/?api=1&amp;query=-12.318073,-76.82424","Punta Hermosa, Lima")</f>
      </c>
      <c r="O10" t="str">
        <v>Vehículo apagado</v>
      </c>
      <c r="P10">
        <v>1052597.6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90</v>
      </c>
      <c r="AB10" t="str">
        <v>27/09/2026</v>
      </c>
      <c r="AC10" t="str">
        <v>07:33:37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27/09/2026 07:33:50</v>
      </c>
      <c r="AK10" t="str">
        <v>07:33:50</v>
      </c>
      <c r="AL10" t="str">
        <v/>
      </c>
    </row>
    <row r="11">
      <c r="A11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/>
      </c>
      <c r="J11" t="str">
        <v>27/09/2026</v>
      </c>
      <c r="K11" t="str">
        <v>08:18:26</v>
      </c>
      <c r="L11">
        <v>-12.318073</v>
      </c>
      <c r="M11">
        <v>-76.82424</v>
      </c>
      <c r="N11">
        <f>HYPERLINK("https://www.google.com/maps/search/?api=1&amp;query=-12.318073,-76.82424","Punta Hermosa, Lima")</f>
      </c>
      <c r="O11" t="str">
        <v>Vehículo encendido</v>
      </c>
      <c r="P11">
        <v>1052597.6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90</v>
      </c>
      <c r="AB11" t="str">
        <v>27/09/2026</v>
      </c>
      <c r="AC11" t="str">
        <v>08:01:20</v>
      </c>
      <c r="AD11">
        <f>IF("NOGPS"="NOGPS","GPS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27/09/2026 08:18:40</v>
      </c>
      <c r="AK11" t="str">
        <v>08:18:40</v>
      </c>
      <c r="AL11" t="str">
        <v/>
      </c>
    </row>
    <row r="12">
      <c r="A12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/>
      </c>
      <c r="J12" t="str">
        <v>27/09/2026</v>
      </c>
      <c r="K12" t="str">
        <v>08:22:08</v>
      </c>
      <c r="L12">
        <v>-12.317563</v>
      </c>
      <c r="M12">
        <v>-76.82442</v>
      </c>
      <c r="N12">
        <f>HYPERLINK("https://www.google.com/maps/search/?api=1&amp;query=-12.317563,-76.82442","Punta Hermosa, Lima")</f>
      </c>
      <c r="O12" t="str">
        <v>Vehículo apagado</v>
      </c>
      <c r="P12">
        <v>1052597.8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90</v>
      </c>
      <c r="AB12" t="str">
        <v>27/09/2026</v>
      </c>
      <c r="AC12" t="str">
        <v>08:22:10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27/09/2026 08:22:21</v>
      </c>
      <c r="AK12" t="str">
        <v>08:22:21</v>
      </c>
      <c r="AL12" t="str">
        <v/>
      </c>
    </row>
    <row r="13">
      <c r="A13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/>
      </c>
      <c r="J13" t="str">
        <v>27/09/2026</v>
      </c>
      <c r="K13" t="str">
        <v>09:10:29</v>
      </c>
      <c r="L13">
        <v>-12.317563</v>
      </c>
      <c r="M13">
        <v>-76.82442</v>
      </c>
      <c r="N13">
        <f>HYPERLINK("https://www.google.com/maps/search/?api=1&amp;query=-12.317563,-76.82442","Punta Hermosa, Lima")</f>
      </c>
      <c r="O13" t="str">
        <v>Vehículo encendido</v>
      </c>
      <c r="P13">
        <v>1052597.8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90</v>
      </c>
      <c r="AB13" t="str">
        <v>27/09/2026</v>
      </c>
      <c r="AC13" t="str">
        <v>08:49:54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27/09/2026 09:10:39</v>
      </c>
      <c r="AK13" t="str">
        <v>09:10:39</v>
      </c>
      <c r="AL13" t="str">
        <v/>
      </c>
    </row>
    <row r="14">
      <c r="A14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 xml:space="preserve"> </v>
      </c>
      <c r="J14" t="str">
        <v>27/09/2026</v>
      </c>
      <c r="K14" t="str">
        <v>09:17:52</v>
      </c>
      <c r="L14">
        <v>-12.317436</v>
      </c>
      <c r="M14">
        <v>-76.83017</v>
      </c>
      <c r="N14">
        <f>HYPERLINK("https://www.google.com/maps/search/?api=1&amp;query=-12.317436,-76.83017","Carretera Panamericana Sur, Punta Hermosa, Lima")</f>
      </c>
      <c r="O14" t="str">
        <v>Salió de zona</v>
      </c>
      <c r="P14">
        <v>1052598.4</v>
      </c>
      <c r="Q14" t="str">
        <v>MASS BSF 1</v>
      </c>
      <c r="R14">
        <v>11.4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90</v>
      </c>
      <c r="AB14" t="str">
        <v>27/09/2026</v>
      </c>
      <c r="AC14" t="str">
        <v>09:17:51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27/09/2026 09:18:02</v>
      </c>
      <c r="AK14" t="str">
        <v>09:18:02</v>
      </c>
      <c r="AL14" t="str">
        <v/>
      </c>
    </row>
    <row r="15">
      <c r="A15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/>
      </c>
      <c r="J15" t="str">
        <v>27/09/2026</v>
      </c>
      <c r="K15" t="str">
        <v>09:35:00</v>
      </c>
      <c r="L15">
        <v>-12.276283</v>
      </c>
      <c r="M15">
        <v>-76.8692</v>
      </c>
      <c r="N15">
        <f>HYPERLINK("https://www.google.com/maps/search/?api=1&amp;query=-12.276283,-76.8692","Jirón Ramón Castilla, Lurín, Lima")</f>
      </c>
      <c r="O15" t="str">
        <v>Vehículo apagado</v>
      </c>
      <c r="P15">
        <v>1052605.1</v>
      </c>
      <c r="Q15" t="str">
        <v/>
      </c>
      <c r="R15">
        <v>0.5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90</v>
      </c>
      <c r="AB15" t="str">
        <v>27/09/2026</v>
      </c>
      <c r="AC15" t="str">
        <v>09:35:07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27/09/2026 09:35:24</v>
      </c>
      <c r="AK15" t="str">
        <v>09:35:24</v>
      </c>
      <c r="AL15" t="str">
        <v/>
      </c>
    </row>
    <row r="16">
      <c r="A16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/>
      </c>
      <c r="J16" t="str">
        <v>27/09/2026</v>
      </c>
      <c r="K16" t="str">
        <v>09:41:56</v>
      </c>
      <c r="L16">
        <v>-12.276283</v>
      </c>
      <c r="M16">
        <v>-76.8692</v>
      </c>
      <c r="N16">
        <f>HYPERLINK("https://www.google.com/maps/search/?api=1&amp;query=-12.276283,-76.8692","Jirón Ramón Castilla, Lurín, Lima")</f>
      </c>
      <c r="O16" t="str">
        <v>Vehículo encendido</v>
      </c>
      <c r="P16">
        <v>1052605.1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90</v>
      </c>
      <c r="AB16" t="str">
        <v>27/09/2026</v>
      </c>
      <c r="AC16" t="str">
        <v>09:35:07</v>
      </c>
      <c r="AD16">
        <f>IF("NOGPS"="NOGPS","GPS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27/09/2026 09:42:11</v>
      </c>
      <c r="AK16" t="str">
        <v>09:42:11</v>
      </c>
      <c r="AL16" t="str">
        <v/>
      </c>
    </row>
    <row r="17">
      <c r="A17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/>
      </c>
      <c r="J17" t="str">
        <v>27/09/2026</v>
      </c>
      <c r="K17" t="str">
        <v>09:56:59</v>
      </c>
      <c r="L17">
        <v>-12.227579</v>
      </c>
      <c r="M17">
        <v>-76.86183</v>
      </c>
      <c r="N17">
        <f>HYPERLINK("https://www.google.com/maps/search/?api=1&amp;query=-12.227579,-76.86183","Jirón Miguel Grau, Pachacámac, Lima")</f>
      </c>
      <c r="O17" t="str">
        <v>Vehículo apagado</v>
      </c>
      <c r="P17">
        <v>1052612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90</v>
      </c>
      <c r="AB17" t="str">
        <v>27/09/2026</v>
      </c>
      <c r="AC17" t="str">
        <v>09:55:53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27/09/2026 09:57:09</v>
      </c>
      <c r="AK17" t="str">
        <v>09:57:09</v>
      </c>
      <c r="AL17" t="str">
        <v/>
      </c>
    </row>
    <row r="18">
      <c r="A18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/>
      </c>
      <c r="J18" t="str">
        <v>27/09/2026</v>
      </c>
      <c r="K18" t="str">
        <v>09:59:41</v>
      </c>
      <c r="L18">
        <v>-12.227736</v>
      </c>
      <c r="M18">
        <v>-76.86168</v>
      </c>
      <c r="N18">
        <f>HYPERLINK("https://www.google.com/maps/search/?api=1&amp;query=-12.227736,-76.86168","Jirón Miguel Grau, Pachacámac, Lima")</f>
      </c>
      <c r="O18" t="str">
        <v>Vehículo encendido</v>
      </c>
      <c r="P18">
        <v>1052612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90</v>
      </c>
      <c r="AB18" t="str">
        <v>27/09/2026</v>
      </c>
      <c r="AC18" t="str">
        <v>09:57:06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27/09/2026 10:00:04</v>
      </c>
      <c r="AK18" t="str">
        <v>10:00:04</v>
      </c>
      <c r="AL18" t="str">
        <v/>
      </c>
    </row>
    <row r="19">
      <c r="A19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/>
      </c>
      <c r="J19" t="str">
        <v>27/09/2026</v>
      </c>
      <c r="K19" t="str">
        <v>10:00:25</v>
      </c>
      <c r="L19">
        <v>-12.227783</v>
      </c>
      <c r="M19">
        <v>-76.86166</v>
      </c>
      <c r="N19">
        <f>HYPERLINK("https://www.google.com/maps/search/?api=1&amp;query=-12.227783,-76.86166","Jirón Miguel Grau, Pachacámac, Lima")</f>
      </c>
      <c r="O19" t="str">
        <v>Vehículo apagado</v>
      </c>
      <c r="P19">
        <v>1052612</v>
      </c>
      <c r="Q19" t="str">
        <v/>
      </c>
      <c r="R19">
        <v>0.8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90</v>
      </c>
      <c r="AB19" t="str">
        <v>27/09/2026</v>
      </c>
      <c r="AC19" t="str">
        <v>09:59:57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27/09/2026 10:00:45</v>
      </c>
      <c r="AK19" t="str">
        <v>10:00:45</v>
      </c>
      <c r="AL19" t="str">
        <v/>
      </c>
    </row>
    <row r="20">
      <c r="A20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/>
      </c>
      <c r="J20" t="str">
        <v>27/09/2026</v>
      </c>
      <c r="K20" t="str">
        <v>10:40:56</v>
      </c>
      <c r="L20">
        <v>-12.227707</v>
      </c>
      <c r="M20">
        <v>-76.861664</v>
      </c>
      <c r="N20">
        <f>HYPERLINK("https://www.google.com/maps/search/?api=1&amp;query=-12.227707,-76.861664","Jirón Miguel Grau, Pachacámac, Lima")</f>
      </c>
      <c r="O20" t="str">
        <v>Vehículo encendido</v>
      </c>
      <c r="P20">
        <v>1052612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90</v>
      </c>
      <c r="AB20" t="str">
        <v>27/09/2026</v>
      </c>
      <c r="AC20" t="str">
        <v>10:28:11</v>
      </c>
      <c r="AD20">
        <f>IF("NOGPS"="NOGPS","GPS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27/09/2026 10:41:13</v>
      </c>
      <c r="AK20" t="str">
        <v>10:41:13</v>
      </c>
      <c r="AL20" t="str">
        <v/>
      </c>
    </row>
    <row r="21">
      <c r="A21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/>
      </c>
      <c r="J21" t="str">
        <v>27/09/2026</v>
      </c>
      <c r="K21" t="str">
        <v>11:22:00</v>
      </c>
      <c r="L21">
        <v>-12.216935</v>
      </c>
      <c r="M21">
        <v>-76.94311</v>
      </c>
      <c r="N21">
        <f>HYPERLINK("https://www.google.com/maps/search/?api=1&amp;query=-12.216935,-76.94311","Avenida César Vallejo, Villa El Salvador, Lima")</f>
      </c>
      <c r="O21" t="str">
        <v>Exceso de velocidad en segmento vial</v>
      </c>
      <c r="P21">
        <v>1052626.8</v>
      </c>
      <c r="Q21" t="str">
        <v/>
      </c>
      <c r="R21">
        <v>41.6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90</v>
      </c>
      <c r="AB21" t="str">
        <v>27/09/2026</v>
      </c>
      <c r="AC21" t="str">
        <v>11:21:55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27/09/2026 11:22:24</v>
      </c>
      <c r="AK21" t="str">
        <v>11:22:24</v>
      </c>
      <c r="AL21" t="str">
        <v/>
      </c>
    </row>
    <row r="22">
      <c r="A22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/>
      </c>
      <c r="J22" t="str">
        <v>27/09/2026</v>
      </c>
      <c r="K22" t="str">
        <v>11:31:44</v>
      </c>
      <c r="L22">
        <v>-12.21286</v>
      </c>
      <c r="M22">
        <v>-76.958885</v>
      </c>
      <c r="N22">
        <f>HYPERLINK("https://www.google.com/maps/search/?api=1&amp;query=-12.21286,-76.958885","Avenida Villa del Mar, Villa El Salvador, Lima")</f>
      </c>
      <c r="O22" t="str">
        <v>Vehículo apagado</v>
      </c>
      <c r="P22">
        <v>1052629.8</v>
      </c>
      <c r="Q22" t="str">
        <v/>
      </c>
      <c r="R22">
        <v>0.1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90</v>
      </c>
      <c r="AB22" t="str">
        <v>27/09/2026</v>
      </c>
      <c r="AC22" t="str">
        <v>11:31:49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27/09/2026 11:32:17</v>
      </c>
      <c r="AK22" t="str">
        <v>11:32:17</v>
      </c>
      <c r="AL22" t="str">
        <v/>
      </c>
    </row>
    <row r="23">
      <c r="A23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/>
      </c>
      <c r="J23" t="str">
        <v>27/09/2026</v>
      </c>
      <c r="K23" t="str">
        <v>11:36:52</v>
      </c>
      <c r="L23">
        <v>-12.21286</v>
      </c>
      <c r="M23">
        <v>-76.958885</v>
      </c>
      <c r="N23">
        <f>HYPERLINK("https://www.google.com/maps/search/?api=1&amp;query=-12.21286,-76.958885","Avenida Villa del Mar, Villa El Salvador, Lima")</f>
      </c>
      <c r="O23" t="str">
        <v>Vehículo encendido</v>
      </c>
      <c r="P23">
        <v>1052629.8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90</v>
      </c>
      <c r="AB23" t="str">
        <v>27/09/2026</v>
      </c>
      <c r="AC23" t="str">
        <v>11:31:49</v>
      </c>
      <c r="AD23">
        <f>IF("NOGPS"="NOGPS","GPS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27/09/2026 11:37:12</v>
      </c>
      <c r="AK23" t="str">
        <v>11:37:12</v>
      </c>
      <c r="AL23" t="str">
        <v/>
      </c>
    </row>
    <row r="24">
      <c r="A24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/>
      </c>
      <c r="J24" t="str">
        <v>27/09/2026</v>
      </c>
      <c r="K24" t="str">
        <v>11:38:26</v>
      </c>
      <c r="L24">
        <v>-12.213057</v>
      </c>
      <c r="M24">
        <v>-76.95907</v>
      </c>
      <c r="N24">
        <f>HYPERLINK("https://www.google.com/maps/search/?api=1&amp;query=-12.213057,-76.95907","Avenida Villa del Mar, Villa El Salvador, Lima")</f>
      </c>
      <c r="O24" t="str">
        <v>Vehículo apagado</v>
      </c>
      <c r="P24">
        <v>1052629.9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90</v>
      </c>
      <c r="AB24" t="str">
        <v>27/09/2026</v>
      </c>
      <c r="AC24" t="str">
        <v>11:37:50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27/09/2026 11:38:49</v>
      </c>
      <c r="AK24" t="str">
        <v>11:38:49</v>
      </c>
      <c r="AL24" t="str">
        <v/>
      </c>
    </row>
  </sheetData>
  <ignoredErrors>
    <ignoredError numberStoredAsText="1" sqref="A1:A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