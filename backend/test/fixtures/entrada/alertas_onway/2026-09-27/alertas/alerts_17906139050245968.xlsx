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ARY-825</v>
      </c>
      <c r="D2" t="str">
        <v>ARY-825</v>
      </c>
      <c r="E2" t="str">
        <v/>
      </c>
      <c r="F2" t="str">
        <v>867162029858180</v>
      </c>
      <c r="G2" t="str">
        <v/>
      </c>
      <c r="H2" t="str">
        <v/>
      </c>
      <c r="I2" t="str">
        <v/>
      </c>
      <c r="J2" t="str">
        <v>27/09/2026</v>
      </c>
      <c r="K2" t="str">
        <v>05:12:54</v>
      </c>
      <c r="L2">
        <v>-12.213241</v>
      </c>
      <c r="M2">
        <v>-76.9588</v>
      </c>
      <c r="N2">
        <f>HYPERLINK("https://www.google.com/maps/search/?api=1&amp;query=-12.213241,-76.9588","Villa El Salvador, Lima")</f>
      </c>
      <c r="O2" t="str">
        <v>Vehículo encendido</v>
      </c>
      <c r="P2">
        <v>270445.8</v>
      </c>
      <c r="Q2" t="str">
        <v/>
      </c>
      <c r="R2">
        <v>0</v>
      </c>
      <c r="S2">
        <v>110.3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27/09/2026</v>
      </c>
      <c r="AC2" t="str">
        <v>04:59:05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27/09/2026 05:13:17</v>
      </c>
      <c r="AK2" t="str">
        <v>05:13:17</v>
      </c>
      <c r="AL2" t="str">
        <v/>
      </c>
    </row>
    <row r="3">
      <c r="A3">
        <v>2</v>
      </c>
      <c r="B3" t="str">
        <v>MASS BSF</v>
      </c>
      <c r="C3" t="str">
        <v>ARY-825</v>
      </c>
      <c r="D3" t="str">
        <v>ARY-825</v>
      </c>
      <c r="E3" t="str">
        <v/>
      </c>
      <c r="F3" t="str">
        <v>867162029858180</v>
      </c>
      <c r="G3" t="str">
        <v/>
      </c>
      <c r="H3" t="str">
        <v/>
      </c>
      <c r="I3" t="str">
        <v/>
      </c>
      <c r="J3" t="str">
        <v>27/09/2026</v>
      </c>
      <c r="K3" t="str">
        <v>05:59:39</v>
      </c>
      <c r="L3">
        <v>-12.163462</v>
      </c>
      <c r="M3">
        <v>-76.94644</v>
      </c>
      <c r="N3">
        <f>HYPERLINK("https://www.google.com/maps/search/?api=1&amp;query=-12.163462,-76.94644","Avenida Villa María, Villa María del Triunfo, Lima")</f>
      </c>
      <c r="O3" t="str">
        <v>Vehículo apagado</v>
      </c>
      <c r="P3">
        <v>270454.1</v>
      </c>
      <c r="Q3" t="str">
        <v/>
      </c>
      <c r="R3">
        <v>8.2</v>
      </c>
      <c r="S3">
        <v>111.08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27/09/2026</v>
      </c>
      <c r="AC3" t="str">
        <v>05:58:54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27/09/2026 05:59:57</v>
      </c>
      <c r="AK3" t="str">
        <v>05:59:57</v>
      </c>
      <c r="AL3" t="str">
        <v/>
      </c>
    </row>
    <row r="4">
      <c r="A4">
        <v>3</v>
      </c>
      <c r="B4" t="str">
        <v>MASS BSF</v>
      </c>
      <c r="C4" t="str">
        <v>ARY-825</v>
      </c>
      <c r="D4" t="str">
        <v>ARY-825</v>
      </c>
      <c r="E4" t="str">
        <v/>
      </c>
      <c r="F4" t="str">
        <v>867162029858180</v>
      </c>
      <c r="G4" t="str">
        <v/>
      </c>
      <c r="H4" t="str">
        <v/>
      </c>
      <c r="I4" t="str">
        <v/>
      </c>
      <c r="J4" t="str">
        <v>27/09/2026</v>
      </c>
      <c r="K4" t="str">
        <v>06:20:57</v>
      </c>
      <c r="L4">
        <v>-12.163644</v>
      </c>
      <c r="M4">
        <v>-76.94681</v>
      </c>
      <c r="N4">
        <f>HYPERLINK("https://www.google.com/maps/search/?api=1&amp;query=-12.163644,-76.94681","Avenida Villa María, Villa María del Triunfo, Lima")</f>
      </c>
      <c r="O4" t="str">
        <v>Vehículo encendido</v>
      </c>
      <c r="P4">
        <v>270454.1</v>
      </c>
      <c r="Q4" t="str">
        <v/>
      </c>
      <c r="R4">
        <v>0</v>
      </c>
      <c r="S4">
        <v>111.08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27/09/2026</v>
      </c>
      <c r="AC4" t="str">
        <v>05:59:45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27/09/2026 06:21:14</v>
      </c>
      <c r="AK4" t="str">
        <v>06:21:14</v>
      </c>
      <c r="AL4" t="str">
        <v/>
      </c>
    </row>
    <row r="5">
      <c r="A5">
        <v>4</v>
      </c>
      <c r="B5" t="str">
        <v>MASS BSF</v>
      </c>
      <c r="C5" t="str">
        <v>ARY-825</v>
      </c>
      <c r="D5" t="str">
        <v>ARY-825</v>
      </c>
      <c r="E5" t="str">
        <v/>
      </c>
      <c r="F5" t="str">
        <v>867162029858180</v>
      </c>
      <c r="G5" t="str">
        <v/>
      </c>
      <c r="H5" t="str">
        <v/>
      </c>
      <c r="I5" t="str">
        <v/>
      </c>
      <c r="J5" t="str">
        <v>27/09/2026</v>
      </c>
      <c r="K5" t="str">
        <v>06:22:19</v>
      </c>
      <c r="L5">
        <v>-12.163696</v>
      </c>
      <c r="M5">
        <v>-76.946686</v>
      </c>
      <c r="N5">
        <f>HYPERLINK("https://www.google.com/maps/search/?api=1&amp;query=-12.163696,-76.946686","Avenida Villa María, Villa María del Triunfo, Lima")</f>
      </c>
      <c r="O5" t="str">
        <v>Vehículo apagado</v>
      </c>
      <c r="P5">
        <v>270454.2</v>
      </c>
      <c r="Q5" t="str">
        <v/>
      </c>
      <c r="R5">
        <v>4.4</v>
      </c>
      <c r="S5">
        <v>111.1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27/09/2026</v>
      </c>
      <c r="AC5" t="str">
        <v>06:21:58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27/09/2026 06:22:49</v>
      </c>
      <c r="AK5" t="str">
        <v>06:22:49</v>
      </c>
      <c r="AL5" t="str">
        <v/>
      </c>
    </row>
    <row r="6">
      <c r="A6">
        <v>5</v>
      </c>
      <c r="B6" t="str">
        <v>MASS BSF</v>
      </c>
      <c r="C6" t="str">
        <v>ARY-825</v>
      </c>
      <c r="D6" t="str">
        <v>ARY-825</v>
      </c>
      <c r="E6" t="str">
        <v/>
      </c>
      <c r="F6" t="str">
        <v>867162029858180</v>
      </c>
      <c r="G6" t="str">
        <v/>
      </c>
      <c r="H6" t="str">
        <v/>
      </c>
      <c r="I6" t="str">
        <v/>
      </c>
      <c r="J6" t="str">
        <v>27/09/2026</v>
      </c>
      <c r="K6" t="str">
        <v>06:48:57</v>
      </c>
      <c r="L6">
        <v>-12.163725</v>
      </c>
      <c r="M6">
        <v>-76.94662</v>
      </c>
      <c r="N6">
        <f>HYPERLINK("https://www.google.com/maps/search/?api=1&amp;query=-12.163725,-76.94662","Jirón Jose Olaya, Villa María del Triunfo, Lima")</f>
      </c>
      <c r="O6" t="str">
        <v>Vehículo encendido</v>
      </c>
      <c r="P6">
        <v>270454.2</v>
      </c>
      <c r="Q6" t="str">
        <v/>
      </c>
      <c r="R6">
        <v>0</v>
      </c>
      <c r="S6">
        <v>111.1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27/09/2026</v>
      </c>
      <c r="AC6" t="str">
        <v>06:22:21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27/09/2026 06:49:30</v>
      </c>
      <c r="AK6" t="str">
        <v>06:49:30</v>
      </c>
      <c r="AL6" t="str">
        <v/>
      </c>
    </row>
    <row r="7">
      <c r="A7">
        <v>6</v>
      </c>
      <c r="B7" t="str">
        <v>MASS BSF</v>
      </c>
      <c r="C7" t="str">
        <v>ARY-825</v>
      </c>
      <c r="D7" t="str">
        <v>ARY-825</v>
      </c>
      <c r="E7" t="str">
        <v/>
      </c>
      <c r="F7" t="str">
        <v>867162029858180</v>
      </c>
      <c r="G7" t="str">
        <v/>
      </c>
      <c r="H7" t="str">
        <v/>
      </c>
      <c r="I7" t="str">
        <v/>
      </c>
      <c r="J7" t="str">
        <v>27/09/2026</v>
      </c>
      <c r="K7" t="str">
        <v>06:48:59</v>
      </c>
      <c r="L7">
        <v>-12.163725</v>
      </c>
      <c r="M7">
        <v>-76.94662</v>
      </c>
      <c r="N7">
        <f>HYPERLINK("https://www.google.com/maps/search/?api=1&amp;query=-12.163725,-76.94662","Jirón Jose Olaya, Villa María del Triunfo, Lima")</f>
      </c>
      <c r="O7" t="str">
        <v>Vehículo apagado</v>
      </c>
      <c r="P7">
        <v>270454.2</v>
      </c>
      <c r="Q7" t="str">
        <v/>
      </c>
      <c r="R7">
        <v>0</v>
      </c>
      <c r="S7">
        <v>111.1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27/09/2026</v>
      </c>
      <c r="AC7" t="str">
        <v>06:22:21</v>
      </c>
      <c r="AD7">
        <f>IF("NOGPS"="NOGPS","GPS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27/09/2026 06:49:32</v>
      </c>
      <c r="AK7" t="str">
        <v>06:49:32</v>
      </c>
      <c r="AL7" t="str">
        <v/>
      </c>
    </row>
    <row r="8">
      <c r="A8">
        <v>7</v>
      </c>
      <c r="B8" t="str">
        <v>MASS BSF</v>
      </c>
      <c r="C8" t="str">
        <v>ARY-825</v>
      </c>
      <c r="D8" t="str">
        <v>ARY-825</v>
      </c>
      <c r="E8" t="str">
        <v/>
      </c>
      <c r="F8" t="str">
        <v>867162029858180</v>
      </c>
      <c r="G8" t="str">
        <v/>
      </c>
      <c r="H8" t="str">
        <v/>
      </c>
      <c r="I8" t="str">
        <v/>
      </c>
      <c r="J8" t="str">
        <v>27/09/2026</v>
      </c>
      <c r="K8" t="str">
        <v>08:17:24</v>
      </c>
      <c r="L8">
        <v>-12.163626</v>
      </c>
      <c r="M8">
        <v>-76.946434</v>
      </c>
      <c r="N8">
        <f>HYPERLINK("https://www.google.com/maps/search/?api=1&amp;query=-12.163626,-76.946434","Jirón Jose Olaya, Villa María del Triunfo, Lima")</f>
      </c>
      <c r="O8" t="str">
        <v>Vehículo encendido</v>
      </c>
      <c r="P8">
        <v>270454.2</v>
      </c>
      <c r="Q8" t="str">
        <v/>
      </c>
      <c r="R8">
        <v>0</v>
      </c>
      <c r="S8">
        <v>111.1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27/09/2026</v>
      </c>
      <c r="AC8" t="str">
        <v>08:16:54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27/09/2026 08:17:52</v>
      </c>
      <c r="AK8" t="str">
        <v>08:17:52</v>
      </c>
      <c r="AL8" t="str">
        <v/>
      </c>
    </row>
    <row r="9">
      <c r="A9">
        <v>8</v>
      </c>
      <c r="B9" t="str">
        <v>MASS BSF</v>
      </c>
      <c r="C9" t="str">
        <v>ARY-825</v>
      </c>
      <c r="D9" t="str">
        <v>ARY-825</v>
      </c>
      <c r="E9" t="str">
        <v/>
      </c>
      <c r="F9" t="str">
        <v>867162029858180</v>
      </c>
      <c r="G9" t="str">
        <v/>
      </c>
      <c r="H9" t="str">
        <v/>
      </c>
      <c r="I9" t="str">
        <v/>
      </c>
      <c r="J9" t="str">
        <v>27/09/2026</v>
      </c>
      <c r="K9" t="str">
        <v>08:35:39</v>
      </c>
      <c r="L9">
        <v>-12.216651</v>
      </c>
      <c r="M9">
        <v>-76.925255</v>
      </c>
      <c r="N9">
        <f>HYPERLINK("https://www.google.com/maps/search/?api=1&amp;query=-12.216651,-76.925255","Avenida José Carlos Mariátegui, Villa El Salvador, Lima")</f>
      </c>
      <c r="O9" t="str">
        <v>Exceso de velocidad en segmento vial</v>
      </c>
      <c r="P9">
        <v>270461.7</v>
      </c>
      <c r="Q9" t="str">
        <v/>
      </c>
      <c r="R9">
        <v>44</v>
      </c>
      <c r="S9">
        <v>111.1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27/09/2026</v>
      </c>
      <c r="AC9" t="str">
        <v>08:35:25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27/09/2026 08:35:48</v>
      </c>
      <c r="AK9" t="str">
        <v>08:35:48</v>
      </c>
      <c r="AL9" t="str">
        <v/>
      </c>
    </row>
    <row r="10">
      <c r="A10">
        <v>9</v>
      </c>
      <c r="B10" t="str">
        <v>MASS BSF</v>
      </c>
      <c r="C10" t="str">
        <v>ARY-825</v>
      </c>
      <c r="D10" t="str">
        <v>ARY-825</v>
      </c>
      <c r="E10" t="str">
        <v/>
      </c>
      <c r="F10" t="str">
        <v>867162029858180</v>
      </c>
      <c r="G10" t="str">
        <v/>
      </c>
      <c r="H10" t="str">
        <v/>
      </c>
      <c r="I10" t="str">
        <v xml:space="preserve"> </v>
      </c>
      <c r="J10" t="str">
        <v>27/09/2026</v>
      </c>
      <c r="K10" t="str">
        <v>09:04:56</v>
      </c>
      <c r="L10">
        <v>-12.317683</v>
      </c>
      <c r="M10">
        <v>-76.829666</v>
      </c>
      <c r="N10">
        <f>HYPERLINK("https://www.google.com/maps/search/?api=1&amp;query=-12.317683,-76.829666","Punta Hermosa, Lima")</f>
      </c>
      <c r="O10" t="str">
        <v>Llegó a la zona</v>
      </c>
      <c r="P10">
        <v>270486.3</v>
      </c>
      <c r="Q10" t="str">
        <v>MASS BSF 1</v>
      </c>
      <c r="R10">
        <v>7</v>
      </c>
      <c r="S10">
        <v>111.12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27/09/2026</v>
      </c>
      <c r="AC10" t="str">
        <v>09:04:55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27/09/2026 09:05:07</v>
      </c>
      <c r="AK10" t="str">
        <v>09:05:07</v>
      </c>
      <c r="AL10" t="str">
        <v/>
      </c>
    </row>
    <row r="11">
      <c r="A11">
        <v>10</v>
      </c>
      <c r="B11" t="str">
        <v>MASS BSF</v>
      </c>
      <c r="C11" t="str">
        <v>ARY-825</v>
      </c>
      <c r="D11" t="str">
        <v>ARY-825</v>
      </c>
      <c r="E11" t="str">
        <v/>
      </c>
      <c r="F11" t="str">
        <v>867162029858180</v>
      </c>
      <c r="G11" t="str">
        <v/>
      </c>
      <c r="H11" t="str">
        <v/>
      </c>
      <c r="I11" t="str">
        <v/>
      </c>
      <c r="J11" t="str">
        <v>27/09/2026</v>
      </c>
      <c r="K11" t="str">
        <v>09:11:15</v>
      </c>
      <c r="L11">
        <v>-12.317668</v>
      </c>
      <c r="M11">
        <v>-76.82459</v>
      </c>
      <c r="N11">
        <f>HYPERLINK("https://www.google.com/maps/search/?api=1&amp;query=-12.317668,-76.82459","Punta Hermosa, Lima")</f>
      </c>
      <c r="O11" t="str">
        <v>Vehículo apagado</v>
      </c>
      <c r="P11">
        <v>270487.1</v>
      </c>
      <c r="Q11" t="str">
        <v/>
      </c>
      <c r="R11">
        <v>0</v>
      </c>
      <c r="S11">
        <v>112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27/09/2026</v>
      </c>
      <c r="AC11" t="str">
        <v>09:11:18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27/09/2026 09:11:38</v>
      </c>
      <c r="AK11" t="str">
        <v>09:11:38</v>
      </c>
      <c r="AL11" t="str">
        <v/>
      </c>
    </row>
    <row r="12">
      <c r="A12">
        <v>11</v>
      </c>
      <c r="B12" t="str">
        <v>MASS BSF</v>
      </c>
      <c r="C12" t="str">
        <v>ARY-825</v>
      </c>
      <c r="D12" t="str">
        <v>ARY-825</v>
      </c>
      <c r="E12" t="str">
        <v/>
      </c>
      <c r="F12" t="str">
        <v>867162029858180</v>
      </c>
      <c r="G12" t="str">
        <v/>
      </c>
      <c r="H12" t="str">
        <v/>
      </c>
      <c r="I12" t="str">
        <v/>
      </c>
      <c r="J12" t="str">
        <v>27/09/2026</v>
      </c>
      <c r="K12" t="str">
        <v>14:00:18</v>
      </c>
      <c r="L12">
        <v>-12.317668</v>
      </c>
      <c r="M12">
        <v>-76.82459</v>
      </c>
      <c r="N12">
        <f>HYPERLINK("https://www.google.com/maps/search/?api=1&amp;query=-12.317668,-76.82459","Punta Hermosa, Lima")</f>
      </c>
      <c r="O12" t="str">
        <v>Vehículo encendido</v>
      </c>
      <c r="P12">
        <v>270487.1</v>
      </c>
      <c r="Q12" t="str">
        <v/>
      </c>
      <c r="R12">
        <v>0</v>
      </c>
      <c r="S12">
        <v>112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98</v>
      </c>
      <c r="AB12" t="str">
        <v>27/09/2026</v>
      </c>
      <c r="AC12" t="str">
        <v>13:39:18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27/09/2026 14:00:31</v>
      </c>
      <c r="AK12" t="str">
        <v>14:00:31</v>
      </c>
      <c r="AL12" t="str">
        <v/>
      </c>
    </row>
    <row r="13">
      <c r="A13">
        <v>12</v>
      </c>
      <c r="B13" t="str">
        <v>MASS BSF</v>
      </c>
      <c r="C13" t="str">
        <v>ARY-825</v>
      </c>
      <c r="D13" t="str">
        <v>ARY-825</v>
      </c>
      <c r="E13" t="str">
        <v/>
      </c>
      <c r="F13" t="str">
        <v>867162029858180</v>
      </c>
      <c r="G13" t="str">
        <v/>
      </c>
      <c r="H13" t="str">
        <v/>
      </c>
      <c r="I13" t="str">
        <v/>
      </c>
      <c r="J13" t="str">
        <v>27/09/2026</v>
      </c>
      <c r="K13" t="str">
        <v>14:02:30</v>
      </c>
      <c r="L13">
        <v>-12.317797</v>
      </c>
      <c r="M13">
        <v>-76.824265</v>
      </c>
      <c r="N13">
        <f>HYPERLINK("https://www.google.com/maps/search/?api=1&amp;query=-12.317797,-76.824265","Punta Hermosa, Lima")</f>
      </c>
      <c r="O13" t="str">
        <v>Vehículo apagado</v>
      </c>
      <c r="P13">
        <v>270487.2</v>
      </c>
      <c r="Q13" t="str">
        <v/>
      </c>
      <c r="R13">
        <v>0</v>
      </c>
      <c r="S13">
        <v>112.03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98</v>
      </c>
      <c r="AB13" t="str">
        <v>27/09/2026</v>
      </c>
      <c r="AC13" t="str">
        <v>14:02:33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27/09/2026 14:02:53</v>
      </c>
      <c r="AK13" t="str">
        <v>14:02:53</v>
      </c>
      <c r="AL13" t="str">
        <v/>
      </c>
    </row>
    <row r="14">
      <c r="A14">
        <v>13</v>
      </c>
      <c r="B14" t="str">
        <v>MASS BSF</v>
      </c>
      <c r="C14" t="str">
        <v>ARY-825</v>
      </c>
      <c r="D14" t="str">
        <v>ARY-825</v>
      </c>
      <c r="E14" t="str">
        <v/>
      </c>
      <c r="F14" t="str">
        <v>867162029858180</v>
      </c>
      <c r="G14" t="str">
        <v/>
      </c>
      <c r="H14" t="str">
        <v/>
      </c>
      <c r="I14" t="str">
        <v/>
      </c>
      <c r="J14" t="str">
        <v>27/09/2026</v>
      </c>
      <c r="K14" t="str">
        <v>14:06:57</v>
      </c>
      <c r="L14">
        <v>-12.317797</v>
      </c>
      <c r="M14">
        <v>-76.824265</v>
      </c>
      <c r="N14">
        <f>HYPERLINK("https://www.google.com/maps/search/?api=1&amp;query=-12.317797,-76.824265","Punta Hermosa, Lima")</f>
      </c>
      <c r="O14" t="str">
        <v>Vehículo encendido</v>
      </c>
      <c r="P14">
        <v>270487.2</v>
      </c>
      <c r="Q14" t="str">
        <v/>
      </c>
      <c r="R14">
        <v>0</v>
      </c>
      <c r="S14">
        <v>112.03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98</v>
      </c>
      <c r="AB14" t="str">
        <v>27/09/2026</v>
      </c>
      <c r="AC14" t="str">
        <v>14:02:33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27/09/2026 14:07:13</v>
      </c>
      <c r="AK14" t="str">
        <v>14:07:13</v>
      </c>
      <c r="AL14" t="str">
        <v/>
      </c>
    </row>
    <row r="15">
      <c r="A15">
        <v>14</v>
      </c>
      <c r="B15" t="str">
        <v>MASS BSF</v>
      </c>
      <c r="C15" t="str">
        <v>ARY-825</v>
      </c>
      <c r="D15" t="str">
        <v>ARY-825</v>
      </c>
      <c r="E15" t="str">
        <v/>
      </c>
      <c r="F15" t="str">
        <v>867162029858180</v>
      </c>
      <c r="G15" t="str">
        <v/>
      </c>
      <c r="H15" t="str">
        <v/>
      </c>
      <c r="I15" t="str">
        <v/>
      </c>
      <c r="J15" t="str">
        <v>27/09/2026</v>
      </c>
      <c r="K15" t="str">
        <v>14:07:27</v>
      </c>
      <c r="L15">
        <v>-12.31781</v>
      </c>
      <c r="M15">
        <v>-76.824265</v>
      </c>
      <c r="N15">
        <f>HYPERLINK("https://www.google.com/maps/search/?api=1&amp;query=-12.31781,-76.824265","Punta Hermosa, Lima")</f>
      </c>
      <c r="O15" t="str">
        <v>Vehículo apagado</v>
      </c>
      <c r="P15">
        <v>270487.2</v>
      </c>
      <c r="Q15" t="str">
        <v/>
      </c>
      <c r="R15">
        <v>0.9</v>
      </c>
      <c r="S15">
        <v>112.05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98</v>
      </c>
      <c r="AB15" t="str">
        <v>27/09/2026</v>
      </c>
      <c r="AC15" t="str">
        <v>14:07:01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27/09/2026 14:07:42</v>
      </c>
      <c r="AK15" t="str">
        <v>14:07:42</v>
      </c>
      <c r="AL15" t="str">
        <v/>
      </c>
    </row>
    <row r="16">
      <c r="A16">
        <v>15</v>
      </c>
      <c r="B16" t="str">
        <v>MASS BSF</v>
      </c>
      <c r="C16" t="str">
        <v>ARY-825</v>
      </c>
      <c r="D16" t="str">
        <v>ARY-825</v>
      </c>
      <c r="E16" t="str">
        <v/>
      </c>
      <c r="F16" t="str">
        <v>867162029858180</v>
      </c>
      <c r="G16" t="str">
        <v/>
      </c>
      <c r="H16" t="str">
        <v/>
      </c>
      <c r="I16" t="str">
        <v/>
      </c>
      <c r="J16" t="str">
        <v>27/09/2026</v>
      </c>
      <c r="K16" t="str">
        <v>14:08:29</v>
      </c>
      <c r="L16">
        <v>-12.317774</v>
      </c>
      <c r="M16">
        <v>-76.82411</v>
      </c>
      <c r="N16">
        <f>HYPERLINK("https://www.google.com/maps/search/?api=1&amp;query=-12.317774,-76.82411","Punta Hermosa, Lima")</f>
      </c>
      <c r="O16" t="str">
        <v>Vehículo encendido</v>
      </c>
      <c r="P16">
        <v>270487.2</v>
      </c>
      <c r="Q16" t="str">
        <v/>
      </c>
      <c r="R16">
        <v>0</v>
      </c>
      <c r="S16">
        <v>112.05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98</v>
      </c>
      <c r="AB16" t="str">
        <v>27/09/2026</v>
      </c>
      <c r="AC16" t="str">
        <v>14:08:34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27/09/2026 14:09:00</v>
      </c>
      <c r="AK16" t="str">
        <v>14:09:00</v>
      </c>
      <c r="AL16" t="str">
        <v/>
      </c>
    </row>
    <row r="17">
      <c r="A17">
        <v>16</v>
      </c>
      <c r="B17" t="str">
        <v>MASS BSF</v>
      </c>
      <c r="C17" t="str">
        <v>ARY-825</v>
      </c>
      <c r="D17" t="str">
        <v>ARY-825</v>
      </c>
      <c r="E17" t="str">
        <v/>
      </c>
      <c r="F17" t="str">
        <v>867162029858180</v>
      </c>
      <c r="G17" t="str">
        <v/>
      </c>
      <c r="H17" t="str">
        <v/>
      </c>
      <c r="I17" t="str">
        <v xml:space="preserve"> </v>
      </c>
      <c r="J17" t="str">
        <v>27/09/2026</v>
      </c>
      <c r="K17" t="str">
        <v>14:14:05</v>
      </c>
      <c r="L17">
        <v>-12.317492</v>
      </c>
      <c r="M17">
        <v>-76.83002</v>
      </c>
      <c r="N17">
        <f>HYPERLINK("https://www.google.com/maps/search/?api=1&amp;query=-12.317492,-76.83002","Punta Hermosa, Lima")</f>
      </c>
      <c r="O17" t="str">
        <v>Salió de zona</v>
      </c>
      <c r="P17">
        <v>270488</v>
      </c>
      <c r="Q17" t="str">
        <v>MASS BSF 1</v>
      </c>
      <c r="R17">
        <v>13.6</v>
      </c>
      <c r="S17">
        <v>112.07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98</v>
      </c>
      <c r="AB17" t="str">
        <v>27/09/2026</v>
      </c>
      <c r="AC17" t="str">
        <v>14:14:04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27/09/2026 14:14:18</v>
      </c>
      <c r="AK17" t="str">
        <v>14:14:18</v>
      </c>
      <c r="AL17" t="str">
        <v/>
      </c>
    </row>
    <row r="18">
      <c r="A18">
        <v>17</v>
      </c>
      <c r="B18" t="str">
        <v>MASS BSF</v>
      </c>
      <c r="C18" t="str">
        <v>ARY-825</v>
      </c>
      <c r="D18" t="str">
        <v>ARY-825</v>
      </c>
      <c r="E18" t="str">
        <v/>
      </c>
      <c r="F18" t="str">
        <v>867162029858180</v>
      </c>
      <c r="G18" t="str">
        <v/>
      </c>
      <c r="H18" t="str">
        <v/>
      </c>
      <c r="I18" t="str">
        <v/>
      </c>
      <c r="J18" t="str">
        <v>27/09/2026</v>
      </c>
      <c r="K18" t="str">
        <v>14:15:17</v>
      </c>
      <c r="L18">
        <v>-12.309676</v>
      </c>
      <c r="M18">
        <v>-76.83568</v>
      </c>
      <c r="N18">
        <f>HYPERLINK("https://www.google.com/maps/search/?api=1&amp;query=-12.309676,-76.83568","Carretera Panamericana Sur, Punta Hermosa, Lima")</f>
      </c>
      <c r="O18" t="str">
        <v>Excedió el límite de velocidad</v>
      </c>
      <c r="P18">
        <v>270489.1</v>
      </c>
      <c r="Q18" t="str">
        <v/>
      </c>
      <c r="R18">
        <v>82</v>
      </c>
      <c r="S18">
        <v>112.05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98</v>
      </c>
      <c r="AB18" t="str">
        <v>27/09/2026</v>
      </c>
      <c r="AC18" t="str">
        <v>14:15:16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27/09/2026 14:15:30</v>
      </c>
      <c r="AK18" t="str">
        <v>14:15:30</v>
      </c>
      <c r="AL18" t="str">
        <v/>
      </c>
    </row>
    <row r="19">
      <c r="A19">
        <v>18</v>
      </c>
      <c r="B19" t="str">
        <v>MASS BSF</v>
      </c>
      <c r="C19" t="str">
        <v>ARY-825</v>
      </c>
      <c r="D19" t="str">
        <v>ARY-825</v>
      </c>
      <c r="E19" t="str">
        <v/>
      </c>
      <c r="F19" t="str">
        <v>867162029858180</v>
      </c>
      <c r="G19" t="str">
        <v/>
      </c>
      <c r="H19" t="str">
        <v/>
      </c>
      <c r="I19" t="str">
        <v/>
      </c>
      <c r="J19" t="str">
        <v>27/09/2026</v>
      </c>
      <c r="K19" t="str">
        <v>14:15:41</v>
      </c>
      <c r="L19">
        <v>-12.305863</v>
      </c>
      <c r="M19">
        <v>-76.8387</v>
      </c>
      <c r="N19">
        <f>HYPERLINK("https://www.google.com/maps/search/?api=1&amp;query=-12.305863,-76.8387","Carretera Panamericana Sur, Lurín, Lima")</f>
      </c>
      <c r="O19" t="str">
        <v>Excedió el límite de velocidad</v>
      </c>
      <c r="P19">
        <v>270489.7</v>
      </c>
      <c r="Q19" t="str">
        <v/>
      </c>
      <c r="R19">
        <v>84.8</v>
      </c>
      <c r="S19">
        <v>112.05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98</v>
      </c>
      <c r="AB19" t="str">
        <v>27/09/2026</v>
      </c>
      <c r="AC19" t="str">
        <v>14:15:40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27/09/2026 14:15:59</v>
      </c>
      <c r="AK19" t="str">
        <v>14:15:59</v>
      </c>
      <c r="AL19" t="str">
        <v/>
      </c>
    </row>
    <row r="20">
      <c r="A20">
        <v>19</v>
      </c>
      <c r="B20" t="str">
        <v>MASS BSF</v>
      </c>
      <c r="C20" t="str">
        <v>ARY-825</v>
      </c>
      <c r="D20" t="str">
        <v>ARY-825</v>
      </c>
      <c r="E20" t="str">
        <v/>
      </c>
      <c r="F20" t="str">
        <v>867162029858180</v>
      </c>
      <c r="G20" t="str">
        <v/>
      </c>
      <c r="H20" t="str">
        <v/>
      </c>
      <c r="I20" t="str">
        <v/>
      </c>
      <c r="J20" t="str">
        <v>27/09/2026</v>
      </c>
      <c r="K20" t="str">
        <v>14:17:05</v>
      </c>
      <c r="L20">
        <v>-12.29753</v>
      </c>
      <c r="M20">
        <v>-76.85442</v>
      </c>
      <c r="N20">
        <f>HYPERLINK("https://www.google.com/maps/search/?api=1&amp;query=-12.29753,-76.85442","Carretera Panamericana Sur, Lurín, Lima")</f>
      </c>
      <c r="O20" t="str">
        <v>Excedió el límite de velocidad</v>
      </c>
      <c r="P20">
        <v>270491.6</v>
      </c>
      <c r="Q20" t="str">
        <v/>
      </c>
      <c r="R20">
        <v>84</v>
      </c>
      <c r="S20">
        <v>112.05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98</v>
      </c>
      <c r="AB20" t="str">
        <v>27/09/2026</v>
      </c>
      <c r="AC20" t="str">
        <v>14:17:04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27/09/2026 14:17:15</v>
      </c>
      <c r="AK20" t="str">
        <v>14:17:15</v>
      </c>
      <c r="AL20" t="str">
        <v/>
      </c>
    </row>
    <row r="21">
      <c r="A21">
        <v>20</v>
      </c>
      <c r="B21" t="str">
        <v>MASS BSF</v>
      </c>
      <c r="C21" t="str">
        <v>ARY-825</v>
      </c>
      <c r="D21" t="str">
        <v>ARY-825</v>
      </c>
      <c r="E21" t="str">
        <v/>
      </c>
      <c r="F21" t="str">
        <v>867162029858180</v>
      </c>
      <c r="G21" t="str">
        <v/>
      </c>
      <c r="H21" t="str">
        <v/>
      </c>
      <c r="I21" t="str">
        <v/>
      </c>
      <c r="J21" t="str">
        <v>27/09/2026</v>
      </c>
      <c r="K21" t="str">
        <v>14:18:53</v>
      </c>
      <c r="L21">
        <v>-12.286263</v>
      </c>
      <c r="M21">
        <v>-76.87348</v>
      </c>
      <c r="N21">
        <f>HYPERLINK("https://www.google.com/maps/search/?api=1&amp;query=-12.286263,-76.87348","Carretera Panamericana Sur, Lurín, Lima")</f>
      </c>
      <c r="O21" t="str">
        <v>Excedió el límite de velocidad</v>
      </c>
      <c r="P21">
        <v>270494.1</v>
      </c>
      <c r="Q21" t="str">
        <v/>
      </c>
      <c r="R21">
        <v>82.9</v>
      </c>
      <c r="S21">
        <v>112.05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98</v>
      </c>
      <c r="AB21" t="str">
        <v>27/09/2026</v>
      </c>
      <c r="AC21" t="str">
        <v>14:18:52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27/09/2026 14:19:18</v>
      </c>
      <c r="AK21" t="str">
        <v>14:19:18</v>
      </c>
      <c r="AL21" t="str">
        <v/>
      </c>
    </row>
    <row r="22">
      <c r="A22">
        <v>21</v>
      </c>
      <c r="B22" t="str">
        <v>MASS BSF</v>
      </c>
      <c r="C22" t="str">
        <v>ARY-825</v>
      </c>
      <c r="D22" t="str">
        <v>ARY-825</v>
      </c>
      <c r="E22" t="str">
        <v/>
      </c>
      <c r="F22" t="str">
        <v>867162029858180</v>
      </c>
      <c r="G22" t="str">
        <v/>
      </c>
      <c r="H22" t="str">
        <v/>
      </c>
      <c r="I22" t="str">
        <v/>
      </c>
      <c r="J22" t="str">
        <v>27/09/2026</v>
      </c>
      <c r="K22" t="str">
        <v>14:19:53</v>
      </c>
      <c r="L22">
        <v>-12.279778</v>
      </c>
      <c r="M22">
        <v>-76.88381</v>
      </c>
      <c r="N22">
        <f>HYPERLINK("https://www.google.com/maps/search/?api=1&amp;query=-12.279778,-76.88381","Carretera Panamericana Sur, Lurín, Lima")</f>
      </c>
      <c r="O22" t="str">
        <v>Excedió el límite de velocidad</v>
      </c>
      <c r="P22">
        <v>270495.4</v>
      </c>
      <c r="Q22" t="str">
        <v/>
      </c>
      <c r="R22">
        <v>82.6</v>
      </c>
      <c r="S22">
        <v>112.05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98</v>
      </c>
      <c r="AB22" t="str">
        <v>27/09/2026</v>
      </c>
      <c r="AC22" t="str">
        <v>14:19:52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27/09/2026 14:20:05</v>
      </c>
      <c r="AK22" t="str">
        <v>14:20:05</v>
      </c>
      <c r="AL22" t="str">
        <v/>
      </c>
    </row>
    <row r="23">
      <c r="A23">
        <v>22</v>
      </c>
      <c r="B23" t="str">
        <v>MASS BSF</v>
      </c>
      <c r="C23" t="str">
        <v>ARY-825</v>
      </c>
      <c r="D23" t="str">
        <v>ARY-825</v>
      </c>
      <c r="E23" t="str">
        <v/>
      </c>
      <c r="F23" t="str">
        <v>867162029858180</v>
      </c>
      <c r="G23" t="str">
        <v/>
      </c>
      <c r="H23" t="str">
        <v/>
      </c>
      <c r="I23" t="str">
        <v/>
      </c>
      <c r="J23" t="str">
        <v>27/09/2026</v>
      </c>
      <c r="K23" t="str">
        <v>14:22:11</v>
      </c>
      <c r="L23">
        <v>-12.263901</v>
      </c>
      <c r="M23">
        <v>-76.90904</v>
      </c>
      <c r="N23">
        <f>HYPERLINK("https://www.google.com/maps/search/?api=1&amp;query=-12.263901,-76.90904","Carretera Panamericana Sur, Lurín, Lima")</f>
      </c>
      <c r="O23" t="str">
        <v>Excedió el límite de velocidad</v>
      </c>
      <c r="P23">
        <v>270498.7</v>
      </c>
      <c r="Q23" t="str">
        <v/>
      </c>
      <c r="R23">
        <v>83</v>
      </c>
      <c r="S23">
        <v>112.05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98</v>
      </c>
      <c r="AB23" t="str">
        <v>27/09/2026</v>
      </c>
      <c r="AC23" t="str">
        <v>14:22:10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27/09/2026 14:22:24</v>
      </c>
      <c r="AK23" t="str">
        <v>14:22:24</v>
      </c>
      <c r="AL23" t="str">
        <v/>
      </c>
    </row>
    <row r="24">
      <c r="A24">
        <v>23</v>
      </c>
      <c r="B24" t="str">
        <v>MASS BSF</v>
      </c>
      <c r="C24" t="str">
        <v>ARY-825</v>
      </c>
      <c r="D24" t="str">
        <v>ARY-825</v>
      </c>
      <c r="E24" t="str">
        <v/>
      </c>
      <c r="F24" t="str">
        <v>867162029858180</v>
      </c>
      <c r="G24" t="str">
        <v/>
      </c>
      <c r="H24" t="str">
        <v/>
      </c>
      <c r="I24" t="str">
        <v/>
      </c>
      <c r="J24" t="str">
        <v>27/09/2026</v>
      </c>
      <c r="K24" t="str">
        <v>14:28:34</v>
      </c>
      <c r="L24">
        <v>-12.240203</v>
      </c>
      <c r="M24">
        <v>-76.947586</v>
      </c>
      <c r="N24">
        <f>HYPERLINK("https://www.google.com/maps/search/?api=1&amp;query=-12.240203,-76.947586","Antigua Panamericana Sur, Villa El Salvador, Lima")</f>
      </c>
      <c r="O24" t="str">
        <v>Exceso de velocidad en segmento vial</v>
      </c>
      <c r="P24">
        <v>270503.9</v>
      </c>
      <c r="Q24" t="str">
        <v/>
      </c>
      <c r="R24">
        <v>65.1</v>
      </c>
      <c r="S24">
        <v>112.05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98</v>
      </c>
      <c r="AB24" t="str">
        <v>27/09/2026</v>
      </c>
      <c r="AC24" t="str">
        <v>14:28:31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27/09/2026 14:28:49</v>
      </c>
      <c r="AK24" t="str">
        <v>14:28:49</v>
      </c>
      <c r="AL24" t="str">
        <v/>
      </c>
    </row>
    <row r="25">
      <c r="A25">
        <v>24</v>
      </c>
      <c r="B25" t="str">
        <v>MASS BSF</v>
      </c>
      <c r="C25" t="str">
        <v>ARY-825</v>
      </c>
      <c r="D25" t="str">
        <v>ARY-825</v>
      </c>
      <c r="E25" t="str">
        <v/>
      </c>
      <c r="F25" t="str">
        <v>867162029858180</v>
      </c>
      <c r="G25" t="str">
        <v/>
      </c>
      <c r="H25" t="str">
        <v/>
      </c>
      <c r="I25" t="str">
        <v/>
      </c>
      <c r="J25" t="str">
        <v>27/09/2026</v>
      </c>
      <c r="K25" t="str">
        <v>14:51:07</v>
      </c>
      <c r="L25">
        <v>-12.193349</v>
      </c>
      <c r="M25">
        <v>-76.92703</v>
      </c>
      <c r="N25">
        <f>HYPERLINK("https://www.google.com/maps/search/?api=1&amp;query=-12.193349,-76.92703","Avenida La Mariscala, Villa María del Triunfo, Lima")</f>
      </c>
      <c r="O25" t="str">
        <v>Vehículo apagado</v>
      </c>
      <c r="P25">
        <v>270513.8</v>
      </c>
      <c r="Q25" t="str">
        <v/>
      </c>
      <c r="R25">
        <v>0</v>
      </c>
      <c r="S25">
        <v>112.78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98</v>
      </c>
      <c r="AB25" t="str">
        <v>27/09/2026</v>
      </c>
      <c r="AC25" t="str">
        <v>14:51:09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27/09/2026 14:51:24</v>
      </c>
      <c r="AK25" t="str">
        <v>14:51:24</v>
      </c>
      <c r="AL25" t="str">
        <v/>
      </c>
    </row>
  </sheetData>
  <ignoredErrors>
    <ignoredError numberStoredAsText="1" sqref="A1:A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