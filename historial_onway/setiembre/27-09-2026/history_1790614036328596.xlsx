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AAR-880</v>
      </c>
      <c r="D2" t="str">
        <v>AAR-880</v>
      </c>
      <c r="E2" t="str">
        <v/>
      </c>
      <c r="F2" t="str">
        <v>867806078847433</v>
      </c>
      <c r="G2" t="str">
        <v>Otro</v>
      </c>
      <c r="H2" t="str">
        <v/>
      </c>
      <c r="I2" t="str">
        <v>27/09/2026</v>
      </c>
      <c r="J2" t="str">
        <v>00:00:05</v>
      </c>
      <c r="K2">
        <v>-12.213052</v>
      </c>
      <c r="L2">
        <v>-76.95894</v>
      </c>
      <c r="M2">
        <f>HYPERLINK("https://www.google.com/maps/search/?api=1&amp;query=-12.213052,-76.95894","Villa El Salvador, Lima")</f>
      </c>
      <c r="N2">
        <v>0</v>
      </c>
      <c r="O2">
        <v>87</v>
      </c>
      <c r="P2">
        <v>2471.13</v>
      </c>
      <c r="Q2" t="str">
        <v>158.58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AAR-880</v>
      </c>
      <c r="D3" t="str">
        <v>AAR-880</v>
      </c>
      <c r="E3" t="str">
        <v/>
      </c>
      <c r="F3" t="str">
        <v>867806078847433</v>
      </c>
      <c r="G3" t="str">
        <v>Otro</v>
      </c>
      <c r="H3" t="str">
        <v/>
      </c>
      <c r="I3" t="str">
        <v>27/09/2026</v>
      </c>
      <c r="J3" t="str">
        <v>00:10:05</v>
      </c>
      <c r="K3">
        <v>-12.213052</v>
      </c>
      <c r="L3">
        <v>-76.95894</v>
      </c>
      <c r="M3">
        <f>HYPERLINK("https://www.google.com/maps/search/?api=1&amp;query=-12.213052,-76.95894","Villa El Salvador, Lima")</f>
      </c>
      <c r="N3">
        <v>0</v>
      </c>
      <c r="O3">
        <v>85</v>
      </c>
      <c r="P3">
        <v>2471.13</v>
      </c>
      <c r="Q3" t="str">
        <v>158.58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AAR-880</v>
      </c>
      <c r="D4" t="str">
        <v>AAR-880</v>
      </c>
      <c r="E4" t="str">
        <v/>
      </c>
      <c r="F4" t="str">
        <v>867806078847433</v>
      </c>
      <c r="G4" t="str">
        <v>Otro</v>
      </c>
      <c r="H4" t="str">
        <v/>
      </c>
      <c r="I4" t="str">
        <v>27/09/2026</v>
      </c>
      <c r="J4" t="str">
        <v>00:20:05</v>
      </c>
      <c r="K4">
        <v>-12.213052</v>
      </c>
      <c r="L4">
        <v>-76.95894</v>
      </c>
      <c r="M4">
        <f>HYPERLINK("https://www.google.com/maps/search/?api=1&amp;query=-12.213052,-76.95894","Villa El Salvador, Lima")</f>
      </c>
      <c r="N4">
        <v>0</v>
      </c>
      <c r="O4">
        <v>85</v>
      </c>
      <c r="P4">
        <v>2471.13</v>
      </c>
      <c r="Q4" t="str">
        <v>158.58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AAR-880</v>
      </c>
      <c r="D5" t="str">
        <v>AAR-880</v>
      </c>
      <c r="E5" t="str">
        <v/>
      </c>
      <c r="F5" t="str">
        <v>867806078847433</v>
      </c>
      <c r="G5" t="str">
        <v>Otro</v>
      </c>
      <c r="H5" t="str">
        <v/>
      </c>
      <c r="I5" t="str">
        <v>27/09/2026</v>
      </c>
      <c r="J5" t="str">
        <v>00:30:05</v>
      </c>
      <c r="K5">
        <v>-12.213052</v>
      </c>
      <c r="L5">
        <v>-76.95894</v>
      </c>
      <c r="M5">
        <f>HYPERLINK("https://www.google.com/maps/search/?api=1&amp;query=-12.213052,-76.95894","Villa El Salvador, Lima")</f>
      </c>
      <c r="N5">
        <v>0</v>
      </c>
      <c r="O5">
        <v>85</v>
      </c>
      <c r="P5">
        <v>2471.13</v>
      </c>
      <c r="Q5" t="str">
        <v>158.58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AAR-880</v>
      </c>
      <c r="D6" t="str">
        <v>AAR-880</v>
      </c>
      <c r="E6" t="str">
        <v/>
      </c>
      <c r="F6" t="str">
        <v>867806078847433</v>
      </c>
      <c r="G6" t="str">
        <v>Otro</v>
      </c>
      <c r="H6" t="str">
        <v/>
      </c>
      <c r="I6" t="str">
        <v>27/09/2026</v>
      </c>
      <c r="J6" t="str">
        <v>00:40:05</v>
      </c>
      <c r="K6">
        <v>-12.213052</v>
      </c>
      <c r="L6">
        <v>-76.95894</v>
      </c>
      <c r="M6">
        <f>HYPERLINK("https://www.google.com/maps/search/?api=1&amp;query=-12.213052,-76.95894","Villa El Salvador, Lima")</f>
      </c>
      <c r="N6">
        <v>0</v>
      </c>
      <c r="O6">
        <v>85</v>
      </c>
      <c r="P6">
        <v>2471.13</v>
      </c>
      <c r="Q6" t="str">
        <v>158.58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AAR-880</v>
      </c>
      <c r="D7" t="str">
        <v>AAR-880</v>
      </c>
      <c r="E7" t="str">
        <v/>
      </c>
      <c r="F7" t="str">
        <v>867806078847433</v>
      </c>
      <c r="G7" t="str">
        <v>Otro</v>
      </c>
      <c r="H7" t="str">
        <v/>
      </c>
      <c r="I7" t="str">
        <v>27/09/2026</v>
      </c>
      <c r="J7" t="str">
        <v>00:50:05</v>
      </c>
      <c r="K7">
        <v>-12.213052</v>
      </c>
      <c r="L7">
        <v>-76.95894</v>
      </c>
      <c r="M7">
        <f>HYPERLINK("https://www.google.com/maps/search/?api=1&amp;query=-12.213052,-76.95894","Villa El Salvador, Lima")</f>
      </c>
      <c r="N7">
        <v>0</v>
      </c>
      <c r="O7">
        <v>85</v>
      </c>
      <c r="P7">
        <v>2471.13</v>
      </c>
      <c r="Q7" t="str">
        <v>158.58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AAR-880</v>
      </c>
      <c r="D8" t="str">
        <v>AAR-880</v>
      </c>
      <c r="E8" t="str">
        <v/>
      </c>
      <c r="F8" t="str">
        <v>867806078847433</v>
      </c>
      <c r="G8" t="str">
        <v>Otro</v>
      </c>
      <c r="H8" t="str">
        <v/>
      </c>
      <c r="I8" t="str">
        <v>27/09/2026</v>
      </c>
      <c r="J8" t="str">
        <v>01:00:05</v>
      </c>
      <c r="K8">
        <v>-12.213052</v>
      </c>
      <c r="L8">
        <v>-76.95894</v>
      </c>
      <c r="M8">
        <f>HYPERLINK("https://www.google.com/maps/search/?api=1&amp;query=-12.213052,-76.95894","Villa El Salvador, Lima")</f>
      </c>
      <c r="N8">
        <v>0</v>
      </c>
      <c r="O8">
        <v>85</v>
      </c>
      <c r="P8">
        <v>2471.13</v>
      </c>
      <c r="Q8" t="str">
        <v>158.58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AAR-880</v>
      </c>
      <c r="D9" t="str">
        <v>AAR-880</v>
      </c>
      <c r="E9" t="str">
        <v/>
      </c>
      <c r="F9" t="str">
        <v>867806078847433</v>
      </c>
      <c r="G9" t="str">
        <v>Otro</v>
      </c>
      <c r="H9" t="str">
        <v/>
      </c>
      <c r="I9" t="str">
        <v>27/09/2026</v>
      </c>
      <c r="J9" t="str">
        <v>01:10:05</v>
      </c>
      <c r="K9">
        <v>-12.213052</v>
      </c>
      <c r="L9">
        <v>-76.95894</v>
      </c>
      <c r="M9">
        <f>HYPERLINK("https://www.google.com/maps/search/?api=1&amp;query=-12.213052,-76.95894","Villa El Salvador, Lima")</f>
      </c>
      <c r="N9">
        <v>0</v>
      </c>
      <c r="O9">
        <v>85</v>
      </c>
      <c r="P9">
        <v>2471.13</v>
      </c>
      <c r="Q9" t="str">
        <v>158.58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AAR-880</v>
      </c>
      <c r="D10" t="str">
        <v>AAR-880</v>
      </c>
      <c r="E10" t="str">
        <v/>
      </c>
      <c r="F10" t="str">
        <v>867806078847433</v>
      </c>
      <c r="G10" t="str">
        <v>Otro</v>
      </c>
      <c r="H10" t="str">
        <v/>
      </c>
      <c r="I10" t="str">
        <v>27/09/2026</v>
      </c>
      <c r="J10" t="str">
        <v>01:20:05</v>
      </c>
      <c r="K10">
        <v>-12.213052</v>
      </c>
      <c r="L10">
        <v>-76.95894</v>
      </c>
      <c r="M10">
        <f>HYPERLINK("https://www.google.com/maps/search/?api=1&amp;query=-12.213052,-76.95894","Villa El Salvador, Lima")</f>
      </c>
      <c r="N10">
        <v>0</v>
      </c>
      <c r="O10">
        <v>85</v>
      </c>
      <c r="P10">
        <v>2471.13</v>
      </c>
      <c r="Q10" t="str">
        <v>158.58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AAR-880</v>
      </c>
      <c r="D11" t="str">
        <v>AAR-880</v>
      </c>
      <c r="E11" t="str">
        <v/>
      </c>
      <c r="F11" t="str">
        <v>867806078847433</v>
      </c>
      <c r="G11" t="str">
        <v>Otro</v>
      </c>
      <c r="H11" t="str">
        <v/>
      </c>
      <c r="I11" t="str">
        <v>27/09/2026</v>
      </c>
      <c r="J11" t="str">
        <v>01:30:05</v>
      </c>
      <c r="K11">
        <v>-12.213052</v>
      </c>
      <c r="L11">
        <v>-76.95894</v>
      </c>
      <c r="M11">
        <f>HYPERLINK("https://www.google.com/maps/search/?api=1&amp;query=-12.213052,-76.95894","Villa El Salvador, Lima")</f>
      </c>
      <c r="N11">
        <v>0</v>
      </c>
      <c r="O11">
        <v>85</v>
      </c>
      <c r="P11">
        <v>2471.13</v>
      </c>
      <c r="Q11" t="str">
        <v>158.58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AAR-880</v>
      </c>
      <c r="D12" t="str">
        <v>AAR-880</v>
      </c>
      <c r="E12" t="str">
        <v/>
      </c>
      <c r="F12" t="str">
        <v>867806078847433</v>
      </c>
      <c r="G12" t="str">
        <v>Otro</v>
      </c>
      <c r="H12" t="str">
        <v/>
      </c>
      <c r="I12" t="str">
        <v>27/09/2026</v>
      </c>
      <c r="J12" t="str">
        <v>01:40:05</v>
      </c>
      <c r="K12">
        <v>-12.213052</v>
      </c>
      <c r="L12">
        <v>-76.95894</v>
      </c>
      <c r="M12">
        <f>HYPERLINK("https://www.google.com/maps/search/?api=1&amp;query=-12.213052,-76.95894","Villa El Salvador, Lima")</f>
      </c>
      <c r="N12">
        <v>0</v>
      </c>
      <c r="O12">
        <v>85</v>
      </c>
      <c r="P12">
        <v>2471.13</v>
      </c>
      <c r="Q12" t="str">
        <v>158.58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AAR-880</v>
      </c>
      <c r="D13" t="str">
        <v>AAR-880</v>
      </c>
      <c r="E13" t="str">
        <v/>
      </c>
      <c r="F13" t="str">
        <v>867806078847433</v>
      </c>
      <c r="G13" t="str">
        <v>Otro</v>
      </c>
      <c r="H13" t="str">
        <v/>
      </c>
      <c r="I13" t="str">
        <v>27/09/2026</v>
      </c>
      <c r="J13" t="str">
        <v>01:50:05</v>
      </c>
      <c r="K13">
        <v>-12.213052</v>
      </c>
      <c r="L13">
        <v>-76.95894</v>
      </c>
      <c r="M13">
        <f>HYPERLINK("https://www.google.com/maps/search/?api=1&amp;query=-12.213052,-76.95894","Villa El Salvador, Lima")</f>
      </c>
      <c r="N13">
        <v>0</v>
      </c>
      <c r="O13">
        <v>85</v>
      </c>
      <c r="P13">
        <v>2471.13</v>
      </c>
      <c r="Q13" t="str">
        <v>158.58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AAR-880</v>
      </c>
      <c r="D14" t="str">
        <v>AAR-880</v>
      </c>
      <c r="E14" t="str">
        <v/>
      </c>
      <c r="F14" t="str">
        <v>867806078847433</v>
      </c>
      <c r="G14" t="str">
        <v>Otro</v>
      </c>
      <c r="H14" t="str">
        <v/>
      </c>
      <c r="I14" t="str">
        <v>27/09/2026</v>
      </c>
      <c r="J14" t="str">
        <v>02:00:05</v>
      </c>
      <c r="K14">
        <v>-12.213052</v>
      </c>
      <c r="L14">
        <v>-76.95894</v>
      </c>
      <c r="M14">
        <f>HYPERLINK("https://www.google.com/maps/search/?api=1&amp;query=-12.213052,-76.95894","Villa El Salvador, Lima")</f>
      </c>
      <c r="N14">
        <v>0</v>
      </c>
      <c r="O14">
        <v>85</v>
      </c>
      <c r="P14">
        <v>2471.13</v>
      </c>
      <c r="Q14" t="str">
        <v>158.58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AAR-880</v>
      </c>
      <c r="D15" t="str">
        <v>AAR-880</v>
      </c>
      <c r="E15" t="str">
        <v/>
      </c>
      <c r="F15" t="str">
        <v>867806078847433</v>
      </c>
      <c r="G15" t="str">
        <v>Otro</v>
      </c>
      <c r="H15" t="str">
        <v/>
      </c>
      <c r="I15" t="str">
        <v>27/09/2026</v>
      </c>
      <c r="J15" t="str">
        <v>02:10:05</v>
      </c>
      <c r="K15">
        <v>-12.213052</v>
      </c>
      <c r="L15">
        <v>-76.95894</v>
      </c>
      <c r="M15">
        <f>HYPERLINK("https://www.google.com/maps/search/?api=1&amp;query=-12.213052,-76.95894","Villa El Salvador, Lima")</f>
      </c>
      <c r="N15">
        <v>0</v>
      </c>
      <c r="O15">
        <v>85</v>
      </c>
      <c r="P15">
        <v>2471.13</v>
      </c>
      <c r="Q15" t="str">
        <v>158.58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AAR-880</v>
      </c>
      <c r="D16" t="str">
        <v>AAR-880</v>
      </c>
      <c r="E16" t="str">
        <v/>
      </c>
      <c r="F16" t="str">
        <v>867806078847433</v>
      </c>
      <c r="G16" t="str">
        <v>Otro</v>
      </c>
      <c r="H16" t="str">
        <v/>
      </c>
      <c r="I16" t="str">
        <v>27/09/2026</v>
      </c>
      <c r="J16" t="str">
        <v>02:20:05</v>
      </c>
      <c r="K16">
        <v>-12.213052</v>
      </c>
      <c r="L16">
        <v>-76.95894</v>
      </c>
      <c r="M16">
        <f>HYPERLINK("https://www.google.com/maps/search/?api=1&amp;query=-12.213052,-76.95894","Villa El Salvador, Lima")</f>
      </c>
      <c r="N16">
        <v>0</v>
      </c>
      <c r="O16">
        <v>87</v>
      </c>
      <c r="P16">
        <v>2471.13</v>
      </c>
      <c r="Q16" t="str">
        <v>158.58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AAR-880</v>
      </c>
      <c r="D17" t="str">
        <v>AAR-880</v>
      </c>
      <c r="E17" t="str">
        <v/>
      </c>
      <c r="F17" t="str">
        <v>867806078847433</v>
      </c>
      <c r="G17" t="str">
        <v>Otro</v>
      </c>
      <c r="H17" t="str">
        <v/>
      </c>
      <c r="I17" t="str">
        <v>27/09/2026</v>
      </c>
      <c r="J17" t="str">
        <v>02:30:05</v>
      </c>
      <c r="K17">
        <v>-12.213052</v>
      </c>
      <c r="L17">
        <v>-76.95894</v>
      </c>
      <c r="M17">
        <f>HYPERLINK("https://www.google.com/maps/search/?api=1&amp;query=-12.213052,-76.95894","Villa El Salvador, Lima")</f>
      </c>
      <c r="N17">
        <v>0</v>
      </c>
      <c r="O17">
        <v>87</v>
      </c>
      <c r="P17">
        <v>2471.13</v>
      </c>
      <c r="Q17" t="str">
        <v>158.58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AAR-880</v>
      </c>
      <c r="D18" t="str">
        <v>AAR-880</v>
      </c>
      <c r="E18" t="str">
        <v/>
      </c>
      <c r="F18" t="str">
        <v>867806078847433</v>
      </c>
      <c r="G18" t="str">
        <v>Otro</v>
      </c>
      <c r="H18" t="str">
        <v/>
      </c>
      <c r="I18" t="str">
        <v>27/09/2026</v>
      </c>
      <c r="J18" t="str">
        <v>02:40:05</v>
      </c>
      <c r="K18">
        <v>-12.213052</v>
      </c>
      <c r="L18">
        <v>-76.95894</v>
      </c>
      <c r="M18">
        <f>HYPERLINK("https://www.google.com/maps/search/?api=1&amp;query=-12.213052,-76.95894","Villa El Salvador, Lima")</f>
      </c>
      <c r="N18">
        <v>0</v>
      </c>
      <c r="O18">
        <v>89</v>
      </c>
      <c r="P18">
        <v>2471.13</v>
      </c>
      <c r="Q18" t="str">
        <v>158.58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AAR-880</v>
      </c>
      <c r="D19" t="str">
        <v>AAR-880</v>
      </c>
      <c r="E19" t="str">
        <v/>
      </c>
      <c r="F19" t="str">
        <v>867806078847433</v>
      </c>
      <c r="G19" t="str">
        <v>Otro</v>
      </c>
      <c r="H19" t="str">
        <v/>
      </c>
      <c r="I19" t="str">
        <v>27/09/2026</v>
      </c>
      <c r="J19" t="str">
        <v>02:50:05</v>
      </c>
      <c r="K19">
        <v>-12.213052</v>
      </c>
      <c r="L19">
        <v>-76.95894</v>
      </c>
      <c r="M19">
        <f>HYPERLINK("https://www.google.com/maps/search/?api=1&amp;query=-12.213052,-76.95894","Villa El Salvador, Lima")</f>
      </c>
      <c r="N19">
        <v>0</v>
      </c>
      <c r="O19">
        <v>88</v>
      </c>
      <c r="P19">
        <v>2471.13</v>
      </c>
      <c r="Q19" t="str">
        <v>158.58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AAR-880</v>
      </c>
      <c r="D20" t="str">
        <v>AAR-880</v>
      </c>
      <c r="E20" t="str">
        <v/>
      </c>
      <c r="F20" t="str">
        <v>867806078847433</v>
      </c>
      <c r="G20" t="str">
        <v>Otro</v>
      </c>
      <c r="H20" t="str">
        <v/>
      </c>
      <c r="I20" t="str">
        <v>27/09/2026</v>
      </c>
      <c r="J20" t="str">
        <v>03:00:05</v>
      </c>
      <c r="K20">
        <v>-12.213052</v>
      </c>
      <c r="L20">
        <v>-76.95894</v>
      </c>
      <c r="M20">
        <f>HYPERLINK("https://www.google.com/maps/search/?api=1&amp;query=-12.213052,-76.95894","Villa El Salvador, Lima")</f>
      </c>
      <c r="N20">
        <v>0</v>
      </c>
      <c r="O20">
        <v>88</v>
      </c>
      <c r="P20">
        <v>2471.13</v>
      </c>
      <c r="Q20" t="str">
        <v>158.58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AAR-880</v>
      </c>
      <c r="D21" t="str">
        <v>AAR-880</v>
      </c>
      <c r="E21" t="str">
        <v/>
      </c>
      <c r="F21" t="str">
        <v>867806078847433</v>
      </c>
      <c r="G21" t="str">
        <v>Otro</v>
      </c>
      <c r="H21" t="str">
        <v/>
      </c>
      <c r="I21" t="str">
        <v>27/09/2026</v>
      </c>
      <c r="J21" t="str">
        <v>03:10:05</v>
      </c>
      <c r="K21">
        <v>-12.213052</v>
      </c>
      <c r="L21">
        <v>-76.95894</v>
      </c>
      <c r="M21">
        <f>HYPERLINK("https://www.google.com/maps/search/?api=1&amp;query=-12.213052,-76.95894","Villa El Salvador, Lima")</f>
      </c>
      <c r="N21">
        <v>0</v>
      </c>
      <c r="O21">
        <v>88</v>
      </c>
      <c r="P21">
        <v>2471.13</v>
      </c>
      <c r="Q21" t="str">
        <v>158.58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AAR-880</v>
      </c>
      <c r="D22" t="str">
        <v>AAR-880</v>
      </c>
      <c r="E22" t="str">
        <v/>
      </c>
      <c r="F22" t="str">
        <v>867806078847433</v>
      </c>
      <c r="G22" t="str">
        <v>Otro</v>
      </c>
      <c r="H22" t="str">
        <v/>
      </c>
      <c r="I22" t="str">
        <v>27/09/2026</v>
      </c>
      <c r="J22" t="str">
        <v>03:20:05</v>
      </c>
      <c r="K22">
        <v>-12.213052</v>
      </c>
      <c r="L22">
        <v>-76.95894</v>
      </c>
      <c r="M22">
        <f>HYPERLINK("https://www.google.com/maps/search/?api=1&amp;query=-12.213052,-76.95894","Villa El Salvador, Lima")</f>
      </c>
      <c r="N22">
        <v>0</v>
      </c>
      <c r="O22">
        <v>89</v>
      </c>
      <c r="P22">
        <v>2471.13</v>
      </c>
      <c r="Q22" t="str">
        <v>158.58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AAR-880</v>
      </c>
      <c r="D23" t="str">
        <v>AAR-880</v>
      </c>
      <c r="E23" t="str">
        <v/>
      </c>
      <c r="F23" t="str">
        <v>867806078847433</v>
      </c>
      <c r="G23" t="str">
        <v>Otro</v>
      </c>
      <c r="H23" t="str">
        <v/>
      </c>
      <c r="I23" t="str">
        <v>27/09/2026</v>
      </c>
      <c r="J23" t="str">
        <v>03:30:05</v>
      </c>
      <c r="K23">
        <v>-12.213052</v>
      </c>
      <c r="L23">
        <v>-76.95894</v>
      </c>
      <c r="M23">
        <f>HYPERLINK("https://www.google.com/maps/search/?api=1&amp;query=-12.213052,-76.95894","Villa El Salvador, Lima")</f>
      </c>
      <c r="N23">
        <v>0</v>
      </c>
      <c r="O23">
        <v>85</v>
      </c>
      <c r="P23">
        <v>2471.13</v>
      </c>
      <c r="Q23" t="str">
        <v>158.58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AAR-880</v>
      </c>
      <c r="D24" t="str">
        <v>AAR-880</v>
      </c>
      <c r="E24" t="str">
        <v/>
      </c>
      <c r="F24" t="str">
        <v>867806078847433</v>
      </c>
      <c r="G24" t="str">
        <v>Otro</v>
      </c>
      <c r="H24" t="str">
        <v/>
      </c>
      <c r="I24" t="str">
        <v>27/09/2026</v>
      </c>
      <c r="J24" t="str">
        <v>03:40:05</v>
      </c>
      <c r="K24">
        <v>-12.213052</v>
      </c>
      <c r="L24">
        <v>-76.95894</v>
      </c>
      <c r="M24">
        <f>HYPERLINK("https://www.google.com/maps/search/?api=1&amp;query=-12.213052,-76.95894","Villa El Salvador, Lima")</f>
      </c>
      <c r="N24">
        <v>0</v>
      </c>
      <c r="O24">
        <v>85</v>
      </c>
      <c r="P24">
        <v>2471.13</v>
      </c>
      <c r="Q24" t="str">
        <v>158.58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AAR-880</v>
      </c>
      <c r="D25" t="str">
        <v>AAR-880</v>
      </c>
      <c r="E25" t="str">
        <v/>
      </c>
      <c r="F25" t="str">
        <v>867806078847433</v>
      </c>
      <c r="G25" t="str">
        <v>Otro</v>
      </c>
      <c r="H25" t="str">
        <v/>
      </c>
      <c r="I25" t="str">
        <v>27/09/2026</v>
      </c>
      <c r="J25" t="str">
        <v>03:50:05</v>
      </c>
      <c r="K25">
        <v>-12.213052</v>
      </c>
      <c r="L25">
        <v>-76.95894</v>
      </c>
      <c r="M25">
        <f>HYPERLINK("https://www.google.com/maps/search/?api=1&amp;query=-12.213052,-76.95894","Villa El Salvador, Lima")</f>
      </c>
      <c r="N25">
        <v>0</v>
      </c>
      <c r="O25">
        <v>89</v>
      </c>
      <c r="P25">
        <v>2471.13</v>
      </c>
      <c r="Q25" t="str">
        <v>158.58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AAR-880</v>
      </c>
      <c r="D26" t="str">
        <v>AAR-880</v>
      </c>
      <c r="E26" t="str">
        <v/>
      </c>
      <c r="F26" t="str">
        <v>867806078847433</v>
      </c>
      <c r="G26" t="str">
        <v>Otro</v>
      </c>
      <c r="H26" t="str">
        <v/>
      </c>
      <c r="I26" t="str">
        <v>27/09/2026</v>
      </c>
      <c r="J26" t="str">
        <v>04:00:05</v>
      </c>
      <c r="K26">
        <v>-12.213052</v>
      </c>
      <c r="L26">
        <v>-76.95894</v>
      </c>
      <c r="M26">
        <f>HYPERLINK("https://www.google.com/maps/search/?api=1&amp;query=-12.213052,-76.95894","Villa El Salvador, Lima")</f>
      </c>
      <c r="N26">
        <v>0</v>
      </c>
      <c r="O26">
        <v>89</v>
      </c>
      <c r="P26">
        <v>2471.13</v>
      </c>
      <c r="Q26" t="str">
        <v>158.58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AAR-880</v>
      </c>
      <c r="D27" t="str">
        <v>AAR-880</v>
      </c>
      <c r="E27" t="str">
        <v/>
      </c>
      <c r="F27" t="str">
        <v>867806078847433</v>
      </c>
      <c r="G27" t="str">
        <v>Otro</v>
      </c>
      <c r="H27" t="str">
        <v/>
      </c>
      <c r="I27" t="str">
        <v>27/09/2026</v>
      </c>
      <c r="J27" t="str">
        <v>04:10:05</v>
      </c>
      <c r="K27">
        <v>-12.213052</v>
      </c>
      <c r="L27">
        <v>-76.95894</v>
      </c>
      <c r="M27">
        <f>HYPERLINK("https://www.google.com/maps/search/?api=1&amp;query=-12.213052,-76.95894","Villa El Salvador, Lima")</f>
      </c>
      <c r="N27">
        <v>0</v>
      </c>
      <c r="O27">
        <v>85</v>
      </c>
      <c r="P27">
        <v>2471.13</v>
      </c>
      <c r="Q27" t="str">
        <v>158.58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AAR-880</v>
      </c>
      <c r="D28" t="str">
        <v>AAR-880</v>
      </c>
      <c r="E28" t="str">
        <v/>
      </c>
      <c r="F28" t="str">
        <v>867806078847433</v>
      </c>
      <c r="G28" t="str">
        <v>Otro</v>
      </c>
      <c r="H28" t="str">
        <v/>
      </c>
      <c r="I28" t="str">
        <v>27/09/2026</v>
      </c>
      <c r="J28" t="str">
        <v>04:20:05</v>
      </c>
      <c r="K28">
        <v>-12.213052</v>
      </c>
      <c r="L28">
        <v>-76.95894</v>
      </c>
      <c r="M28">
        <f>HYPERLINK("https://www.google.com/maps/search/?api=1&amp;query=-12.213052,-76.95894","Villa El Salvador, Lima")</f>
      </c>
      <c r="N28">
        <v>0</v>
      </c>
      <c r="O28">
        <v>85</v>
      </c>
      <c r="P28">
        <v>2471.13</v>
      </c>
      <c r="Q28" t="str">
        <v>158.58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AAR-880</v>
      </c>
      <c r="D29" t="str">
        <v>AAR-880</v>
      </c>
      <c r="E29" t="str">
        <v/>
      </c>
      <c r="F29" t="str">
        <v>867806078847433</v>
      </c>
      <c r="G29" t="str">
        <v>Otro</v>
      </c>
      <c r="H29" t="str">
        <v/>
      </c>
      <c r="I29" t="str">
        <v>27/09/2026</v>
      </c>
      <c r="J29" t="str">
        <v>04:30:05</v>
      </c>
      <c r="K29">
        <v>-12.213052</v>
      </c>
      <c r="L29">
        <v>-76.95894</v>
      </c>
      <c r="M29">
        <f>HYPERLINK("https://www.google.com/maps/search/?api=1&amp;query=-12.213052,-76.95894","Villa El Salvador, Lima")</f>
      </c>
      <c r="N29">
        <v>0</v>
      </c>
      <c r="O29">
        <v>85</v>
      </c>
      <c r="P29">
        <v>2471.13</v>
      </c>
      <c r="Q29" t="str">
        <v>158.58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AAR-880</v>
      </c>
      <c r="D30" t="str">
        <v>AAR-880</v>
      </c>
      <c r="E30" t="str">
        <v/>
      </c>
      <c r="F30" t="str">
        <v>867806078847433</v>
      </c>
      <c r="G30" t="str">
        <v>Otro</v>
      </c>
      <c r="H30" t="str">
        <v/>
      </c>
      <c r="I30" t="str">
        <v>27/09/2026</v>
      </c>
      <c r="J30" t="str">
        <v>04:40:05</v>
      </c>
      <c r="K30">
        <v>-12.213052</v>
      </c>
      <c r="L30">
        <v>-76.95894</v>
      </c>
      <c r="M30">
        <f>HYPERLINK("https://www.google.com/maps/search/?api=1&amp;query=-12.213052,-76.95894","Villa El Salvador, Lima")</f>
      </c>
      <c r="N30">
        <v>0</v>
      </c>
      <c r="O30">
        <v>90</v>
      </c>
      <c r="P30">
        <v>2471.13</v>
      </c>
      <c r="Q30" t="str">
        <v>158.58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AAR-880</v>
      </c>
      <c r="D31" t="str">
        <v>AAR-880</v>
      </c>
      <c r="E31" t="str">
        <v/>
      </c>
      <c r="F31" t="str">
        <v>867806078847433</v>
      </c>
      <c r="G31" t="str">
        <v>Otro</v>
      </c>
      <c r="H31" t="str">
        <v/>
      </c>
      <c r="I31" t="str">
        <v>27/09/2026</v>
      </c>
      <c r="J31" t="str">
        <v>04:50:05</v>
      </c>
      <c r="K31">
        <v>-12.213052</v>
      </c>
      <c r="L31">
        <v>-76.95894</v>
      </c>
      <c r="M31">
        <f>HYPERLINK("https://www.google.com/maps/search/?api=1&amp;query=-12.213052,-76.95894","Villa El Salvador, Lima")</f>
      </c>
      <c r="N31">
        <v>0</v>
      </c>
      <c r="O31">
        <v>90</v>
      </c>
      <c r="P31">
        <v>2471.13</v>
      </c>
      <c r="Q31" t="str">
        <v>158.58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AAR-880</v>
      </c>
      <c r="D32" t="str">
        <v>AAR-880</v>
      </c>
      <c r="E32" t="str">
        <v/>
      </c>
      <c r="F32" t="str">
        <v>867806078847433</v>
      </c>
      <c r="G32" t="str">
        <v>Otro</v>
      </c>
      <c r="H32" t="str">
        <v/>
      </c>
      <c r="I32" t="str">
        <v>27/09/2026</v>
      </c>
      <c r="J32" t="str">
        <v>05:00:05</v>
      </c>
      <c r="K32">
        <v>-12.213052</v>
      </c>
      <c r="L32">
        <v>-76.95894</v>
      </c>
      <c r="M32">
        <f>HYPERLINK("https://www.google.com/maps/search/?api=1&amp;query=-12.213052,-76.95894","Villa El Salvador, Lima")</f>
      </c>
      <c r="N32">
        <v>0</v>
      </c>
      <c r="O32">
        <v>88</v>
      </c>
      <c r="P32">
        <v>2471.13</v>
      </c>
      <c r="Q32" t="str">
        <v>158.58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AAR-880</v>
      </c>
      <c r="D33" t="str">
        <v>AAR-880</v>
      </c>
      <c r="E33" t="str">
        <v/>
      </c>
      <c r="F33" t="str">
        <v>867806078847433</v>
      </c>
      <c r="G33" t="str">
        <v>Otro</v>
      </c>
      <c r="H33" t="str">
        <v/>
      </c>
      <c r="I33" t="str">
        <v>27/09/2026</v>
      </c>
      <c r="J33" t="str">
        <v>05:10:05</v>
      </c>
      <c r="K33">
        <v>-12.213052</v>
      </c>
      <c r="L33">
        <v>-76.95894</v>
      </c>
      <c r="M33">
        <f>HYPERLINK("https://www.google.com/maps/search/?api=1&amp;query=-12.213052,-76.95894","Villa El Salvador, Lima")</f>
      </c>
      <c r="N33">
        <v>0</v>
      </c>
      <c r="O33">
        <v>88</v>
      </c>
      <c r="P33">
        <v>2471.13</v>
      </c>
      <c r="Q33" t="str">
        <v>158.58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AAR-880</v>
      </c>
      <c r="D34" t="str">
        <v>AAR-880</v>
      </c>
      <c r="E34" t="str">
        <v/>
      </c>
      <c r="F34" t="str">
        <v>867806078847433</v>
      </c>
      <c r="G34" t="str">
        <v>Otro</v>
      </c>
      <c r="H34" t="str">
        <v/>
      </c>
      <c r="I34" t="str">
        <v>27/09/2026</v>
      </c>
      <c r="J34" t="str">
        <v>05:12:07</v>
      </c>
      <c r="K34">
        <v>-12.213052</v>
      </c>
      <c r="L34">
        <v>-76.95894</v>
      </c>
      <c r="M34">
        <f>HYPERLINK("https://www.google.com/maps/search/?api=1&amp;query=-12.213052,-76.95894","Villa El Salvador, Lima")</f>
      </c>
      <c r="N34">
        <v>0</v>
      </c>
      <c r="O34">
        <v>88</v>
      </c>
      <c r="P34">
        <v>2471.13</v>
      </c>
      <c r="Q34" t="str">
        <v>158.58</v>
      </c>
      <c r="R34" t="str">
        <v>Vehículo encendido</v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AAR-880</v>
      </c>
      <c r="D35" t="str">
        <v>AAR-880</v>
      </c>
      <c r="E35" t="str">
        <v/>
      </c>
      <c r="F35" t="str">
        <v>867806078847433</v>
      </c>
      <c r="G35" t="str">
        <v>Otro</v>
      </c>
      <c r="H35" t="str">
        <v/>
      </c>
      <c r="I35" t="str">
        <v>27/09/2026</v>
      </c>
      <c r="J35" t="str">
        <v>05:12:07</v>
      </c>
      <c r="K35">
        <v>-12.213052</v>
      </c>
      <c r="L35">
        <v>-76.95894</v>
      </c>
      <c r="M35">
        <f>HYPERLINK("https://www.google.com/maps/search/?api=1&amp;query=-12.213052,-76.95894","Villa El Salvador, Lima")</f>
      </c>
      <c r="N35">
        <v>0</v>
      </c>
      <c r="O35">
        <v>88</v>
      </c>
      <c r="P35">
        <v>2471.13</v>
      </c>
      <c r="Q35" t="str">
        <v>158.58</v>
      </c>
      <c r="R35" t="str">
        <v>Se movio</v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AAR-880</v>
      </c>
      <c r="D36" t="str">
        <v>AAR-880</v>
      </c>
      <c r="E36" t="str">
        <v/>
      </c>
      <c r="F36" t="str">
        <v>867806078847433</v>
      </c>
      <c r="G36" t="str">
        <v>Otro</v>
      </c>
      <c r="H36" t="str">
        <v/>
      </c>
      <c r="I36" t="str">
        <v>27/09/2026</v>
      </c>
      <c r="J36" t="str">
        <v>05:13:07</v>
      </c>
      <c r="K36">
        <v>-12.213048</v>
      </c>
      <c r="L36">
        <v>-76.95897</v>
      </c>
      <c r="M36">
        <f>HYPERLINK("https://www.google.com/maps/search/?api=1&amp;query=-12.213048,-76.95897","Villa El Salvador, Lima")</f>
      </c>
      <c r="N36">
        <v>2.4</v>
      </c>
      <c r="O36">
        <v>88</v>
      </c>
      <c r="P36">
        <v>2471.15</v>
      </c>
      <c r="Q36" t="str">
        <v>158.58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AAR-880</v>
      </c>
      <c r="D37" t="str">
        <v>AAR-880</v>
      </c>
      <c r="E37" t="str">
        <v/>
      </c>
      <c r="F37" t="str">
        <v>867806078847433</v>
      </c>
      <c r="G37" t="str">
        <v>Otro</v>
      </c>
      <c r="H37" t="str">
        <v/>
      </c>
      <c r="I37" t="str">
        <v>27/09/2026</v>
      </c>
      <c r="J37" t="str">
        <v>05:13:44</v>
      </c>
      <c r="K37">
        <v>-12.213025</v>
      </c>
      <c r="L37">
        <v>-76.95903</v>
      </c>
      <c r="M37">
        <f>HYPERLINK("https://www.google.com/maps/search/?api=1&amp;query=-12.213025,-76.95903","Avenida Villa del Mar, Villa El Salvador, Lima")</f>
      </c>
      <c r="N37">
        <v>0</v>
      </c>
      <c r="O37">
        <v>88</v>
      </c>
      <c r="P37">
        <v>2471.15</v>
      </c>
      <c r="Q37" t="str">
        <v>158.58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AAR-880</v>
      </c>
      <c r="D38" t="str">
        <v>AAR-880</v>
      </c>
      <c r="E38" t="str">
        <v/>
      </c>
      <c r="F38" t="str">
        <v>867806078847433</v>
      </c>
      <c r="G38" t="str">
        <v>Otro</v>
      </c>
      <c r="H38" t="str">
        <v/>
      </c>
      <c r="I38" t="str">
        <v>27/09/2026</v>
      </c>
      <c r="J38" t="str">
        <v>05:14:07</v>
      </c>
      <c r="K38">
        <v>-12.213025</v>
      </c>
      <c r="L38">
        <v>-76.95903</v>
      </c>
      <c r="M38">
        <f>HYPERLINK("https://www.google.com/maps/search/?api=1&amp;query=-12.213025,-76.95903","Avenida Villa del Mar, Villa El Salvador, Lima")</f>
      </c>
      <c r="N38">
        <v>0</v>
      </c>
      <c r="O38">
        <v>88</v>
      </c>
      <c r="P38">
        <v>2471.15</v>
      </c>
      <c r="Q38" t="str">
        <v>158.58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AAR-880</v>
      </c>
      <c r="D39" t="str">
        <v>AAR-880</v>
      </c>
      <c r="E39" t="str">
        <v/>
      </c>
      <c r="F39" t="str">
        <v>867806078847433</v>
      </c>
      <c r="G39" t="str">
        <v>Otro</v>
      </c>
      <c r="H39" t="str">
        <v/>
      </c>
      <c r="I39" t="str">
        <v>27/09/2026</v>
      </c>
      <c r="J39" t="str">
        <v>05:15:07</v>
      </c>
      <c r="K39">
        <v>-12.212968</v>
      </c>
      <c r="L39">
        <v>-76.959145</v>
      </c>
      <c r="M39">
        <f>HYPERLINK("https://www.google.com/maps/search/?api=1&amp;query=-12.212968,-76.959145","Avenida Villa del Mar, Villa El Salvador, Lima")</f>
      </c>
      <c r="N39">
        <v>2.9</v>
      </c>
      <c r="O39">
        <v>88</v>
      </c>
      <c r="P39">
        <v>2471.17</v>
      </c>
      <c r="Q39" t="str">
        <v>158.58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AAR-880</v>
      </c>
      <c r="D40" t="str">
        <v>AAR-880</v>
      </c>
      <c r="E40" t="str">
        <v/>
      </c>
      <c r="F40" t="str">
        <v>867806078847433</v>
      </c>
      <c r="G40" t="str">
        <v>Otro</v>
      </c>
      <c r="H40" t="str">
        <v/>
      </c>
      <c r="I40" t="str">
        <v>27/09/2026</v>
      </c>
      <c r="J40" t="str">
        <v>05:15:13</v>
      </c>
      <c r="K40">
        <v>-12.212936</v>
      </c>
      <c r="L40">
        <v>-76.95921</v>
      </c>
      <c r="M40">
        <f>HYPERLINK("https://www.google.com/maps/search/?api=1&amp;query=-12.212936,-76.95921","Avenida Villa del Mar, Villa El Salvador, Lima")</f>
      </c>
      <c r="N40">
        <v>5.7</v>
      </c>
      <c r="O40">
        <v>85</v>
      </c>
      <c r="P40">
        <v>2471.17</v>
      </c>
      <c r="Q40" t="str">
        <v>158.58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AAR-880</v>
      </c>
      <c r="D41" t="str">
        <v>AAR-880</v>
      </c>
      <c r="E41" t="str">
        <v/>
      </c>
      <c r="F41" t="str">
        <v>867806078847433</v>
      </c>
      <c r="G41" t="str">
        <v>Otro</v>
      </c>
      <c r="H41" t="str">
        <v/>
      </c>
      <c r="I41" t="str">
        <v>27/09/2026</v>
      </c>
      <c r="J41" t="str">
        <v>05:15:18</v>
      </c>
      <c r="K41">
        <v>-12.212925</v>
      </c>
      <c r="L41">
        <v>-76.95934</v>
      </c>
      <c r="M41">
        <f>HYPERLINK("https://www.google.com/maps/search/?api=1&amp;query=-12.212925,-76.95934","Avenida Villa del Mar, Villa El Salvador, Lima")</f>
      </c>
      <c r="N41">
        <v>8.8</v>
      </c>
      <c r="O41">
        <v>85</v>
      </c>
      <c r="P41">
        <v>2471.19</v>
      </c>
      <c r="Q41" t="str">
        <v>158.58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AAR-880</v>
      </c>
      <c r="D42" t="str">
        <v>AAR-880</v>
      </c>
      <c r="E42" t="str">
        <v/>
      </c>
      <c r="F42" t="str">
        <v>867806078847433</v>
      </c>
      <c r="G42" t="str">
        <v>Otro</v>
      </c>
      <c r="H42" t="str">
        <v/>
      </c>
      <c r="I42" t="str">
        <v>27/09/2026</v>
      </c>
      <c r="J42" t="str">
        <v>05:15:23</v>
      </c>
      <c r="K42">
        <v>-12.21295</v>
      </c>
      <c r="L42">
        <v>-76.95948</v>
      </c>
      <c r="M42">
        <f>HYPERLINK("https://www.google.com/maps/search/?api=1&amp;query=-12.21295,-76.95948","Avenida Villa del Mar, Villa El Salvador, Lima")</f>
      </c>
      <c r="N42">
        <v>10</v>
      </c>
      <c r="O42">
        <v>85</v>
      </c>
      <c r="P42">
        <v>2471.2</v>
      </c>
      <c r="Q42" t="str">
        <v>158.58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AAR-880</v>
      </c>
      <c r="D43" t="str">
        <v>AAR-880</v>
      </c>
      <c r="E43" t="str">
        <v/>
      </c>
      <c r="F43" t="str">
        <v>867806078847433</v>
      </c>
      <c r="G43" t="str">
        <v>Otro</v>
      </c>
      <c r="H43" t="str">
        <v/>
      </c>
      <c r="I43" t="str">
        <v>27/09/2026</v>
      </c>
      <c r="J43" t="str">
        <v>05:15:49</v>
      </c>
      <c r="K43">
        <v>-12.213338</v>
      </c>
      <c r="L43">
        <v>-76.96012</v>
      </c>
      <c r="M43">
        <f>HYPERLINK("https://www.google.com/maps/search/?api=1&amp;query=-12.213338,-76.96012","Avenida Villa del Mar, Villa El Salvador, Lima")</f>
      </c>
      <c r="N43">
        <v>11.1</v>
      </c>
      <c r="O43">
        <v>85</v>
      </c>
      <c r="P43">
        <v>2471.28</v>
      </c>
      <c r="Q43" t="str">
        <v>158.58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AAR-880</v>
      </c>
      <c r="D44" t="str">
        <v>AAR-880</v>
      </c>
      <c r="E44" t="str">
        <v/>
      </c>
      <c r="F44" t="str">
        <v>867806078847433</v>
      </c>
      <c r="G44" t="str">
        <v>Otro</v>
      </c>
      <c r="H44" t="str">
        <v/>
      </c>
      <c r="I44" t="str">
        <v>27/09/2026</v>
      </c>
      <c r="J44" t="str">
        <v>05:16:03</v>
      </c>
      <c r="K44">
        <v>-12.213549</v>
      </c>
      <c r="L44">
        <v>-76.960396</v>
      </c>
      <c r="M44">
        <f>HYPERLINK("https://www.google.com/maps/search/?api=1&amp;query=-12.213549,-76.960396","Avenida Villa del Mar, Villa El Salvador, Lima")</f>
      </c>
      <c r="N44">
        <v>10.3</v>
      </c>
      <c r="O44">
        <v>85</v>
      </c>
      <c r="P44">
        <v>2471.32</v>
      </c>
      <c r="Q44" t="str">
        <v>158.58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AAR-880</v>
      </c>
      <c r="D45" t="str">
        <v>AAR-880</v>
      </c>
      <c r="E45" t="str">
        <v/>
      </c>
      <c r="F45" t="str">
        <v>867806078847433</v>
      </c>
      <c r="G45" t="str">
        <v>Otro</v>
      </c>
      <c r="H45" t="str">
        <v/>
      </c>
      <c r="I45" t="str">
        <v>27/09/2026</v>
      </c>
      <c r="J45" t="str">
        <v>05:16:08</v>
      </c>
      <c r="K45">
        <v>-12.213565</v>
      </c>
      <c r="L45">
        <v>-76.96052</v>
      </c>
      <c r="M45">
        <f>HYPERLINK("https://www.google.com/maps/search/?api=1&amp;query=-12.213565,-76.96052","Calle 1, Villa El Salvador, Lima")</f>
      </c>
      <c r="N45">
        <v>9.6</v>
      </c>
      <c r="O45">
        <v>85</v>
      </c>
      <c r="P45">
        <v>2471.33</v>
      </c>
      <c r="Q45" t="str">
        <v>158.58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AAR-880</v>
      </c>
      <c r="D46" t="str">
        <v>AAR-880</v>
      </c>
      <c r="E46" t="str">
        <v/>
      </c>
      <c r="F46" t="str">
        <v>867806078847433</v>
      </c>
      <c r="G46" t="str">
        <v>Otro</v>
      </c>
      <c r="H46" t="str">
        <v/>
      </c>
      <c r="I46" t="str">
        <v>27/09/2026</v>
      </c>
      <c r="J46" t="str">
        <v>05:16:13</v>
      </c>
      <c r="K46">
        <v>-12.21348</v>
      </c>
      <c r="L46">
        <v>-76.96061</v>
      </c>
      <c r="M46">
        <f>HYPERLINK("https://www.google.com/maps/search/?api=1&amp;query=-12.21348,-76.96061","Calle 1, Villa El Salvador, Lima")</f>
      </c>
      <c r="N46">
        <v>10.5</v>
      </c>
      <c r="O46">
        <v>85</v>
      </c>
      <c r="P46">
        <v>2471.35</v>
      </c>
      <c r="Q46" t="str">
        <v>158.58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AAR-880</v>
      </c>
      <c r="D47" t="str">
        <v>AAR-880</v>
      </c>
      <c r="E47" t="str">
        <v/>
      </c>
      <c r="F47" t="str">
        <v>867806078847433</v>
      </c>
      <c r="G47" t="str">
        <v>Otro</v>
      </c>
      <c r="H47" t="str">
        <v/>
      </c>
      <c r="I47" t="str">
        <v>27/09/2026</v>
      </c>
      <c r="J47" t="str">
        <v>05:16:18</v>
      </c>
      <c r="K47">
        <v>-12.21335</v>
      </c>
      <c r="L47">
        <v>-76.96068</v>
      </c>
      <c r="M47">
        <f>HYPERLINK("https://www.google.com/maps/search/?api=1&amp;query=-12.21335,-76.96068","Calle 1, Villa El Salvador, Lima")</f>
      </c>
      <c r="N47">
        <v>12.2</v>
      </c>
      <c r="O47">
        <v>85</v>
      </c>
      <c r="P47">
        <v>2471.36</v>
      </c>
      <c r="Q47" t="str">
        <v>158.58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AAR-880</v>
      </c>
      <c r="D48" t="str">
        <v>AAR-880</v>
      </c>
      <c r="E48" t="str">
        <v/>
      </c>
      <c r="F48" t="str">
        <v>867806078847433</v>
      </c>
      <c r="G48" t="str">
        <v>Otro</v>
      </c>
      <c r="H48" t="str">
        <v/>
      </c>
      <c r="I48" t="str">
        <v>27/09/2026</v>
      </c>
      <c r="J48" t="str">
        <v>05:16:43</v>
      </c>
      <c r="K48">
        <v>-12.212691</v>
      </c>
      <c r="L48">
        <v>-76.96105</v>
      </c>
      <c r="M48">
        <f>HYPERLINK("https://www.google.com/maps/search/?api=1&amp;query=-12.212691,-76.96105","Calle 1, Villa El Salvador, Lima")</f>
      </c>
      <c r="N48">
        <v>10.9</v>
      </c>
      <c r="O48">
        <v>85</v>
      </c>
      <c r="P48">
        <v>2471.44</v>
      </c>
      <c r="Q48" t="str">
        <v>158.58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AAR-880</v>
      </c>
      <c r="D49" t="str">
        <v>AAR-880</v>
      </c>
      <c r="E49" t="str">
        <v/>
      </c>
      <c r="F49" t="str">
        <v>867806078847433</v>
      </c>
      <c r="G49" t="str">
        <v>Otro</v>
      </c>
      <c r="H49" t="str">
        <v/>
      </c>
      <c r="I49" t="str">
        <v>27/09/2026</v>
      </c>
      <c r="J49" t="str">
        <v>05:17:12</v>
      </c>
      <c r="K49">
        <v>-12.212008</v>
      </c>
      <c r="L49">
        <v>-76.96147</v>
      </c>
      <c r="M49">
        <f>HYPERLINK("https://www.google.com/maps/search/?api=1&amp;query=-12.212008,-76.96147","Calle 1, Villa El Salvador, Lima")</f>
      </c>
      <c r="N49">
        <v>11.8</v>
      </c>
      <c r="O49">
        <v>85</v>
      </c>
      <c r="P49">
        <v>2471.53</v>
      </c>
      <c r="Q49" t="str">
        <v>158.58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AAR-880</v>
      </c>
      <c r="D50" t="str">
        <v>AAR-880</v>
      </c>
      <c r="E50" t="str">
        <v/>
      </c>
      <c r="F50" t="str">
        <v>867806078847433</v>
      </c>
      <c r="G50" t="str">
        <v>Otro</v>
      </c>
      <c r="H50" t="str">
        <v/>
      </c>
      <c r="I50" t="str">
        <v>27/09/2026</v>
      </c>
      <c r="J50" t="str">
        <v>05:17:18</v>
      </c>
      <c r="K50">
        <v>-12.211852</v>
      </c>
      <c r="L50">
        <v>-76.96157</v>
      </c>
      <c r="M50">
        <f>HYPERLINK("https://www.google.com/maps/search/?api=1&amp;query=-12.211852,-76.96157","Calle 1, Villa El Salvador, Lima")</f>
      </c>
      <c r="N50">
        <v>12</v>
      </c>
      <c r="O50">
        <v>85</v>
      </c>
      <c r="P50">
        <v>2471.55</v>
      </c>
      <c r="Q50" t="str">
        <v>158.58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AAR-880</v>
      </c>
      <c r="D51" t="str">
        <v>AAR-880</v>
      </c>
      <c r="E51" t="str">
        <v/>
      </c>
      <c r="F51" t="str">
        <v>867806078847433</v>
      </c>
      <c r="G51" t="str">
        <v>Otro</v>
      </c>
      <c r="H51" t="str">
        <v/>
      </c>
      <c r="I51" t="str">
        <v>27/09/2026</v>
      </c>
      <c r="J51" t="str">
        <v>05:17:30</v>
      </c>
      <c r="K51">
        <v>-12.211545</v>
      </c>
      <c r="L51">
        <v>-76.961754</v>
      </c>
      <c r="M51">
        <f>HYPERLINK("https://www.google.com/maps/search/?api=1&amp;query=-12.211545,-76.961754","Calle 1, Villa El Salvador, Lima")</f>
      </c>
      <c r="N51">
        <v>10.5</v>
      </c>
      <c r="O51">
        <v>85</v>
      </c>
      <c r="P51">
        <v>2471.59</v>
      </c>
      <c r="Q51" t="str">
        <v>158.58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AAR-880</v>
      </c>
      <c r="D52" t="str">
        <v>AAR-880</v>
      </c>
      <c r="E52" t="str">
        <v/>
      </c>
      <c r="F52" t="str">
        <v>867806078847433</v>
      </c>
      <c r="G52" t="str">
        <v>Otro</v>
      </c>
      <c r="H52" t="str">
        <v/>
      </c>
      <c r="I52" t="str">
        <v>27/09/2026</v>
      </c>
      <c r="J52" t="str">
        <v>05:17:52</v>
      </c>
      <c r="K52">
        <v>-12.211291</v>
      </c>
      <c r="L52">
        <v>-76.96199</v>
      </c>
      <c r="M52">
        <f>HYPERLINK("https://www.google.com/maps/search/?api=1&amp;query=-12.211291,-76.96199","Calle 1, Villa El Salvador, Lima")</f>
      </c>
      <c r="N52">
        <v>5.5</v>
      </c>
      <c r="O52">
        <v>85</v>
      </c>
      <c r="P52">
        <v>2471.62</v>
      </c>
      <c r="Q52" t="str">
        <v>158.58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AAR-880</v>
      </c>
      <c r="D53" t="str">
        <v>AAR-880</v>
      </c>
      <c r="E53" t="str">
        <v/>
      </c>
      <c r="F53" t="str">
        <v>867806078847433</v>
      </c>
      <c r="G53" t="str">
        <v>Otro</v>
      </c>
      <c r="H53" t="str">
        <v/>
      </c>
      <c r="I53" t="str">
        <v>27/09/2026</v>
      </c>
      <c r="J53" t="str">
        <v>05:17:57</v>
      </c>
      <c r="K53">
        <v>-12.211218</v>
      </c>
      <c r="L53">
        <v>-76.962</v>
      </c>
      <c r="M53">
        <f>HYPERLINK("https://www.google.com/maps/search/?api=1&amp;query=-12.211218,-76.962","Avenida El Sol, Villa El Salvador, Lima")</f>
      </c>
      <c r="N53">
        <v>7.9</v>
      </c>
      <c r="O53">
        <v>85</v>
      </c>
      <c r="P53">
        <v>2471.63</v>
      </c>
      <c r="Q53" t="str">
        <v>158.58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AAR-880</v>
      </c>
      <c r="D54" t="str">
        <v>AAR-880</v>
      </c>
      <c r="E54" t="str">
        <v/>
      </c>
      <c r="F54" t="str">
        <v>867806078847433</v>
      </c>
      <c r="G54" t="str">
        <v>Otro</v>
      </c>
      <c r="H54" t="str">
        <v/>
      </c>
      <c r="I54" t="str">
        <v>27/09/2026</v>
      </c>
      <c r="J54" t="str">
        <v>05:18:02</v>
      </c>
      <c r="K54">
        <v>-12.211132</v>
      </c>
      <c r="L54">
        <v>-76.9619</v>
      </c>
      <c r="M54">
        <f>HYPERLINK("https://www.google.com/maps/search/?api=1&amp;query=-12.211132,-76.9619","Avenida El Sol, Villa El Salvador, Lima")</f>
      </c>
      <c r="N54">
        <v>11.6</v>
      </c>
      <c r="O54">
        <v>85</v>
      </c>
      <c r="P54">
        <v>2471.64</v>
      </c>
      <c r="Q54" t="str">
        <v>158.58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AAR-880</v>
      </c>
      <c r="D55" t="str">
        <v>AAR-880</v>
      </c>
      <c r="E55" t="str">
        <v/>
      </c>
      <c r="F55" t="str">
        <v>867806078847433</v>
      </c>
      <c r="G55" t="str">
        <v>Otro</v>
      </c>
      <c r="H55" t="str">
        <v/>
      </c>
      <c r="I55" t="str">
        <v>27/09/2026</v>
      </c>
      <c r="J55" t="str">
        <v>05:19:02</v>
      </c>
      <c r="K55">
        <v>-12.21</v>
      </c>
      <c r="L55">
        <v>-76.95991</v>
      </c>
      <c r="M55">
        <f>HYPERLINK("https://www.google.com/maps/search/?api=1&amp;query=-12.21,-76.95991","Avenida El Sol, Villa El Salvador, Lima")</f>
      </c>
      <c r="N55">
        <v>15.7</v>
      </c>
      <c r="O55">
        <v>85</v>
      </c>
      <c r="P55">
        <v>2471.89</v>
      </c>
      <c r="Q55" t="str">
        <v>158.58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AAR-880</v>
      </c>
      <c r="D56" t="str">
        <v>AAR-880</v>
      </c>
      <c r="E56" t="str">
        <v/>
      </c>
      <c r="F56" t="str">
        <v>867806078847433</v>
      </c>
      <c r="G56" t="str">
        <v>Otro</v>
      </c>
      <c r="H56" t="str">
        <v/>
      </c>
      <c r="I56" t="str">
        <v>27/09/2026</v>
      </c>
      <c r="J56" t="str">
        <v>05:19:13</v>
      </c>
      <c r="K56">
        <v>-12.209804</v>
      </c>
      <c r="L56">
        <v>-76.95957</v>
      </c>
      <c r="M56">
        <f>HYPERLINK("https://www.google.com/maps/search/?api=1&amp;query=-12.209804,-76.95957","Avenida El Sol, Villa El Salvador, Lima")</f>
      </c>
      <c r="N56">
        <v>13.1</v>
      </c>
      <c r="O56">
        <v>90</v>
      </c>
      <c r="P56">
        <v>2471.93</v>
      </c>
      <c r="Q56" t="str">
        <v>158.58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AAR-880</v>
      </c>
      <c r="D57" t="str">
        <v>AAR-880</v>
      </c>
      <c r="E57" t="str">
        <v/>
      </c>
      <c r="F57" t="str">
        <v>867806078847433</v>
      </c>
      <c r="G57" t="str">
        <v>Otro</v>
      </c>
      <c r="H57" t="str">
        <v/>
      </c>
      <c r="I57" t="str">
        <v>27/09/2026</v>
      </c>
      <c r="J57" t="str">
        <v>05:19:18</v>
      </c>
      <c r="K57">
        <v>-12.209853</v>
      </c>
      <c r="L57">
        <v>-76.95942</v>
      </c>
      <c r="M57">
        <f>HYPERLINK("https://www.google.com/maps/search/?api=1&amp;query=-12.209853,-76.95942","Avenida Separadora Agroindustrial, Villa El Salvador, Lima")</f>
      </c>
      <c r="N57">
        <v>15.5</v>
      </c>
      <c r="O57">
        <v>90</v>
      </c>
      <c r="P57">
        <v>2471.95</v>
      </c>
      <c r="Q57" t="str">
        <v>158.58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AAR-880</v>
      </c>
      <c r="D58" t="str">
        <v>AAR-880</v>
      </c>
      <c r="E58" t="str">
        <v/>
      </c>
      <c r="F58" t="str">
        <v>867806078847433</v>
      </c>
      <c r="G58" t="str">
        <v>Otro</v>
      </c>
      <c r="H58" t="str">
        <v/>
      </c>
      <c r="I58" t="str">
        <v>27/09/2026</v>
      </c>
      <c r="J58" t="str">
        <v>05:20:18</v>
      </c>
      <c r="K58">
        <v>-12.213186</v>
      </c>
      <c r="L58">
        <v>-76.957405</v>
      </c>
      <c r="M58">
        <f>HYPERLINK("https://www.google.com/maps/search/?api=1&amp;query=-12.213186,-76.957405","Avenida Separadora Agroindustrial, Villa El Salvador, Lima")</f>
      </c>
      <c r="N58">
        <v>32.7</v>
      </c>
      <c r="O58">
        <v>87</v>
      </c>
      <c r="P58">
        <v>2472.37</v>
      </c>
      <c r="Q58" t="str">
        <v>158.58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AAR-880</v>
      </c>
      <c r="D59" t="str">
        <v>AAR-880</v>
      </c>
      <c r="E59" t="str">
        <v/>
      </c>
      <c r="F59" t="str">
        <v>867806078847433</v>
      </c>
      <c r="G59" t="str">
        <v>Otro</v>
      </c>
      <c r="H59" t="str">
        <v/>
      </c>
      <c r="I59" t="str">
        <v>27/09/2026</v>
      </c>
      <c r="J59" t="str">
        <v>05:21:18</v>
      </c>
      <c r="K59">
        <v>-12.217383</v>
      </c>
      <c r="L59">
        <v>-76.95487</v>
      </c>
      <c r="M59">
        <f>HYPERLINK("https://www.google.com/maps/search/?api=1&amp;query=-12.217383,-76.95487","Avenida Separadora Agroindustrial, Villa El Salvador, Lima")</f>
      </c>
      <c r="N59">
        <v>26.2</v>
      </c>
      <c r="O59">
        <v>87</v>
      </c>
      <c r="P59">
        <v>2472.9</v>
      </c>
      <c r="Q59" t="str">
        <v>158.58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AAR-880</v>
      </c>
      <c r="D60" t="str">
        <v>AAR-880</v>
      </c>
      <c r="E60" t="str">
        <v/>
      </c>
      <c r="F60" t="str">
        <v>867806078847433</v>
      </c>
      <c r="G60" t="str">
        <v>Otro</v>
      </c>
      <c r="H60" t="str">
        <v/>
      </c>
      <c r="I60" t="str">
        <v>27/09/2026</v>
      </c>
      <c r="J60" t="str">
        <v>05:22:18</v>
      </c>
      <c r="K60">
        <v>-12.221233</v>
      </c>
      <c r="L60">
        <v>-76.95257</v>
      </c>
      <c r="M60">
        <f>HYPERLINK("https://www.google.com/maps/search/?api=1&amp;query=-12.221233,-76.95257","Avenida Separadora Agroindustrial, Villa El Salvador, Lima")</f>
      </c>
      <c r="N60">
        <v>18.3</v>
      </c>
      <c r="O60">
        <v>85</v>
      </c>
      <c r="P60">
        <v>2473.39</v>
      </c>
      <c r="Q60" t="str">
        <v>158.58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AAR-880</v>
      </c>
      <c r="D61" t="str">
        <v>AAR-880</v>
      </c>
      <c r="E61" t="str">
        <v/>
      </c>
      <c r="F61" t="str">
        <v>867806078847433</v>
      </c>
      <c r="G61" t="str">
        <v>Otro</v>
      </c>
      <c r="H61" t="str">
        <v/>
      </c>
      <c r="I61" t="str">
        <v>27/09/2026</v>
      </c>
      <c r="J61" t="str">
        <v>05:22:59</v>
      </c>
      <c r="K61">
        <v>-12.223068</v>
      </c>
      <c r="L61">
        <v>-76.95148</v>
      </c>
      <c r="M61">
        <f>HYPERLINK("https://www.google.com/maps/search/?api=1&amp;query=-12.223068,-76.95148","Avenida Separadora Agroindustrial, Villa El Salvador, Lima")</f>
      </c>
      <c r="N61">
        <v>30.1</v>
      </c>
      <c r="O61">
        <v>85</v>
      </c>
      <c r="P61">
        <v>2473.62</v>
      </c>
      <c r="Q61" t="str">
        <v>158.58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AAR-880</v>
      </c>
      <c r="D62" t="str">
        <v>AAR-880</v>
      </c>
      <c r="E62" t="str">
        <v/>
      </c>
      <c r="F62" t="str">
        <v>867806078847433</v>
      </c>
      <c r="G62" t="str">
        <v>Otro</v>
      </c>
      <c r="H62" t="str">
        <v/>
      </c>
      <c r="I62" t="str">
        <v>27/09/2026</v>
      </c>
      <c r="J62" t="str">
        <v>05:23:18</v>
      </c>
      <c r="K62">
        <v>-12.224298</v>
      </c>
      <c r="L62">
        <v>-76.950745</v>
      </c>
      <c r="M62">
        <f>HYPERLINK("https://www.google.com/maps/search/?api=1&amp;query=-12.224298,-76.950745","Avenida Separadora Agroindustrial, Villa El Salvador, Lima")</f>
      </c>
      <c r="N62">
        <v>27.7</v>
      </c>
      <c r="O62">
        <v>85</v>
      </c>
      <c r="P62">
        <v>2473.78</v>
      </c>
      <c r="Q62" t="str">
        <v>158.58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AAR-880</v>
      </c>
      <c r="D63" t="str">
        <v>AAR-880</v>
      </c>
      <c r="E63" t="str">
        <v/>
      </c>
      <c r="F63" t="str">
        <v>867806078847433</v>
      </c>
      <c r="G63" t="str">
        <v>Otro</v>
      </c>
      <c r="H63" t="str">
        <v/>
      </c>
      <c r="I63" t="str">
        <v>27/09/2026</v>
      </c>
      <c r="J63" t="str">
        <v>05:23:22</v>
      </c>
      <c r="K63">
        <v>-12.224557</v>
      </c>
      <c r="L63">
        <v>-76.950584</v>
      </c>
      <c r="M63">
        <f>HYPERLINK("https://www.google.com/maps/search/?api=1&amp;query=-12.224557,-76.950584","Avenida Separadora Agroindustrial, Villa El Salvador, Lima")</f>
      </c>
      <c r="N63">
        <v>19.8</v>
      </c>
      <c r="O63">
        <v>85</v>
      </c>
      <c r="P63">
        <v>2473.81</v>
      </c>
      <c r="Q63" t="str">
        <v>158.58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AAR-880</v>
      </c>
      <c r="D64" t="str">
        <v>AAR-880</v>
      </c>
      <c r="E64" t="str">
        <v/>
      </c>
      <c r="F64" t="str">
        <v>867806078847433</v>
      </c>
      <c r="G64" t="str">
        <v>Otro</v>
      </c>
      <c r="H64" t="str">
        <v/>
      </c>
      <c r="I64" t="str">
        <v>27/09/2026</v>
      </c>
      <c r="J64" t="str">
        <v>05:23:27</v>
      </c>
      <c r="K64">
        <v>-12.224644</v>
      </c>
      <c r="L64">
        <v>-76.95036</v>
      </c>
      <c r="M64">
        <f>HYPERLINK("https://www.google.com/maps/search/?api=1&amp;query=-12.224644,-76.95036","Avenida Bolívar, Villa El Salvador, Lima")</f>
      </c>
      <c r="N64">
        <v>20</v>
      </c>
      <c r="O64">
        <v>85</v>
      </c>
      <c r="P64">
        <v>2473.84</v>
      </c>
      <c r="Q64" t="str">
        <v>158.58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AAR-880</v>
      </c>
      <c r="D65" t="str">
        <v>AAR-880</v>
      </c>
      <c r="E65" t="str">
        <v/>
      </c>
      <c r="F65" t="str">
        <v>867806078847433</v>
      </c>
      <c r="G65" t="str">
        <v>Otro</v>
      </c>
      <c r="H65" t="str">
        <v/>
      </c>
      <c r="I65" t="str">
        <v>27/09/2026</v>
      </c>
      <c r="J65" t="str">
        <v>05:23:32</v>
      </c>
      <c r="K65">
        <v>-12.22453</v>
      </c>
      <c r="L65">
        <v>-76.95013</v>
      </c>
      <c r="M65">
        <f>HYPERLINK("https://www.google.com/maps/search/?api=1&amp;query=-12.22453,-76.95013","Avenida Bolívar, Villa El Salvador, Lima")</f>
      </c>
      <c r="N65">
        <v>21.8</v>
      </c>
      <c r="O65">
        <v>85</v>
      </c>
      <c r="P65">
        <v>2473.86</v>
      </c>
      <c r="Q65" t="str">
        <v>158.58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AAR-880</v>
      </c>
      <c r="D66" t="str">
        <v>AAR-880</v>
      </c>
      <c r="E66" t="str">
        <v/>
      </c>
      <c r="F66" t="str">
        <v>867806078847433</v>
      </c>
      <c r="G66" t="str">
        <v>Otro</v>
      </c>
      <c r="H66" t="str">
        <v/>
      </c>
      <c r="I66" t="str">
        <v>27/09/2026</v>
      </c>
      <c r="J66" t="str">
        <v>05:24:32</v>
      </c>
      <c r="K66">
        <v>-12.223132</v>
      </c>
      <c r="L66">
        <v>-76.94767</v>
      </c>
      <c r="M66">
        <f>HYPERLINK("https://www.google.com/maps/search/?api=1&amp;query=-12.223132,-76.94767","Avenida Bolívar, Villa El Salvador, Lima")</f>
      </c>
      <c r="N66">
        <v>12.9</v>
      </c>
      <c r="O66">
        <v>94</v>
      </c>
      <c r="P66">
        <v>2474.17</v>
      </c>
      <c r="Q66" t="str">
        <v>158.58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AAR-880</v>
      </c>
      <c r="D67" t="str">
        <v>AAR-880</v>
      </c>
      <c r="E67" t="str">
        <v/>
      </c>
      <c r="F67" t="str">
        <v>867806078847433</v>
      </c>
      <c r="G67" t="str">
        <v>Otro</v>
      </c>
      <c r="H67" t="str">
        <v/>
      </c>
      <c r="I67" t="str">
        <v>27/09/2026</v>
      </c>
      <c r="J67" t="str">
        <v>05:25:32</v>
      </c>
      <c r="K67">
        <v>-12.221808</v>
      </c>
      <c r="L67">
        <v>-76.945366</v>
      </c>
      <c r="M67">
        <f>HYPERLINK("https://www.google.com/maps/search/?api=1&amp;query=-12.221808,-76.945366","Avenida Bolívar, Villa El Salvador, Lima")</f>
      </c>
      <c r="N67">
        <v>17.4</v>
      </c>
      <c r="O67">
        <v>94</v>
      </c>
      <c r="P67">
        <v>2474.45</v>
      </c>
      <c r="Q67" t="str">
        <v>158.58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AAR-880</v>
      </c>
      <c r="D68" t="str">
        <v>AAR-880</v>
      </c>
      <c r="E68" t="str">
        <v/>
      </c>
      <c r="F68" t="str">
        <v>867806078847433</v>
      </c>
      <c r="G68" t="str">
        <v>Otro</v>
      </c>
      <c r="H68" t="str">
        <v/>
      </c>
      <c r="I68" t="str">
        <v>27/09/2026</v>
      </c>
      <c r="J68" t="str">
        <v>05:26:10</v>
      </c>
      <c r="K68">
        <v>-12.221102</v>
      </c>
      <c r="L68">
        <v>-76.94409</v>
      </c>
      <c r="M68">
        <f>HYPERLINK("https://www.google.com/maps/search/?api=1&amp;query=-12.221102,-76.94409","Avenida Bolívar, Villa El Salvador, Lima")</f>
      </c>
      <c r="N68">
        <v>6.4</v>
      </c>
      <c r="O68">
        <v>93</v>
      </c>
      <c r="P68">
        <v>2474.45</v>
      </c>
      <c r="Q68" t="str">
        <v>155.83</v>
      </c>
      <c r="R68" t="str">
        <v>Llegó a la zona</v>
      </c>
      <c r="S68" t="str">
        <v>343-PASTOR SEVILLA 1</v>
      </c>
      <c r="T68" t="str">
        <v xml:space="preserve"> </v>
      </c>
      <c r="U68" t="str">
        <v/>
      </c>
    </row>
    <row r="69">
      <c r="A69" t="str">
        <v>68</v>
      </c>
      <c r="B69" t="str">
        <v>MASS BSF</v>
      </c>
      <c r="C69" t="str">
        <v>AAR-880</v>
      </c>
      <c r="D69" t="str">
        <v>AAR-880</v>
      </c>
      <c r="E69" t="str">
        <v/>
      </c>
      <c r="F69" t="str">
        <v>867806078847433</v>
      </c>
      <c r="G69" t="str">
        <v>Otro</v>
      </c>
      <c r="H69" t="str">
        <v/>
      </c>
      <c r="I69" t="str">
        <v>27/09/2026</v>
      </c>
      <c r="J69" t="str">
        <v>05:26:10</v>
      </c>
      <c r="K69">
        <v>-12.221102</v>
      </c>
      <c r="L69">
        <v>-76.94409</v>
      </c>
      <c r="M69">
        <f>HYPERLINK("https://www.google.com/maps/search/?api=1&amp;query=-12.221102,-76.94409","Avenida Bolívar, Villa El Salvador, Lima")</f>
      </c>
      <c r="N69">
        <v>6.4</v>
      </c>
      <c r="O69">
        <v>94</v>
      </c>
      <c r="P69">
        <v>2474.6</v>
      </c>
      <c r="Q69" t="str">
        <v>158.58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AAR-880</v>
      </c>
      <c r="D70" t="str">
        <v>AAR-880</v>
      </c>
      <c r="E70" t="str">
        <v/>
      </c>
      <c r="F70" t="str">
        <v>867806078847433</v>
      </c>
      <c r="G70" t="str">
        <v>Otro</v>
      </c>
      <c r="H70" t="str">
        <v/>
      </c>
      <c r="I70" t="str">
        <v>27/09/2026</v>
      </c>
      <c r="J70" t="str">
        <v>05:26:16</v>
      </c>
      <c r="K70">
        <v>-12.221102</v>
      </c>
      <c r="L70">
        <v>-76.94403</v>
      </c>
      <c r="M70">
        <f>HYPERLINK("https://www.google.com/maps/search/?api=1&amp;query=-12.221102,-76.94403","Avenida Mariano Pastor Sevilla, Villa El Salvador, Lima")</f>
      </c>
      <c r="N70">
        <v>6.8</v>
      </c>
      <c r="O70">
        <v>94</v>
      </c>
      <c r="P70">
        <v>2474.61</v>
      </c>
      <c r="Q70" t="str">
        <v>158.58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AAR-880</v>
      </c>
      <c r="D71" t="str">
        <v>AAR-880</v>
      </c>
      <c r="E71" t="str">
        <v/>
      </c>
      <c r="F71" t="str">
        <v>867806078847433</v>
      </c>
      <c r="G71" t="str">
        <v>Otro</v>
      </c>
      <c r="H71" t="str">
        <v/>
      </c>
      <c r="I71" t="str">
        <v>27/09/2026</v>
      </c>
      <c r="J71" t="str">
        <v>05:26:21</v>
      </c>
      <c r="K71">
        <v>-12.221182</v>
      </c>
      <c r="L71">
        <v>-76.943954</v>
      </c>
      <c r="M71">
        <f>HYPERLINK("https://www.google.com/maps/search/?api=1&amp;query=-12.221182,-76.943954","Avenida Mariano Pastor Sevilla, Villa El Salvador, Lima")</f>
      </c>
      <c r="N71">
        <v>10.3</v>
      </c>
      <c r="O71">
        <v>94</v>
      </c>
      <c r="P71">
        <v>2474.62</v>
      </c>
      <c r="Q71" t="str">
        <v>158.58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AAR-880</v>
      </c>
      <c r="D72" t="str">
        <v>AAR-880</v>
      </c>
      <c r="E72" t="str">
        <v/>
      </c>
      <c r="F72" t="str">
        <v>867806078847433</v>
      </c>
      <c r="G72" t="str">
        <v>Otro</v>
      </c>
      <c r="H72" t="str">
        <v/>
      </c>
      <c r="I72" t="str">
        <v>27/09/2026</v>
      </c>
      <c r="J72" t="str">
        <v>05:27:21</v>
      </c>
      <c r="K72">
        <v>-12.22444</v>
      </c>
      <c r="L72">
        <v>-76.94199</v>
      </c>
      <c r="M72">
        <f>HYPERLINK("https://www.google.com/maps/search/?api=1&amp;query=-12.22444,-76.94199","Avenida Mariano Pastor Sevilla, Villa El Salvador, Lima")</f>
      </c>
      <c r="N72">
        <v>30.9</v>
      </c>
      <c r="O72">
        <v>87</v>
      </c>
      <c r="P72">
        <v>2475.04</v>
      </c>
      <c r="Q72" t="str">
        <v>155.83</v>
      </c>
      <c r="R72" t="str">
        <v>Salió de zona</v>
      </c>
      <c r="S72" t="str">
        <v>343-PASTOR SEVILLA 1</v>
      </c>
      <c r="T72" t="str">
        <v xml:space="preserve"> </v>
      </c>
      <c r="U72" t="str">
        <v/>
      </c>
    </row>
    <row r="73">
      <c r="A73" t="str">
        <v>72</v>
      </c>
      <c r="B73" t="str">
        <v>MASS BSF</v>
      </c>
      <c r="C73" t="str">
        <v>AAR-880</v>
      </c>
      <c r="D73" t="str">
        <v>AAR-880</v>
      </c>
      <c r="E73" t="str">
        <v/>
      </c>
      <c r="F73" t="str">
        <v>867806078847433</v>
      </c>
      <c r="G73" t="str">
        <v>Otro</v>
      </c>
      <c r="H73" t="str">
        <v/>
      </c>
      <c r="I73" t="str">
        <v>27/09/2026</v>
      </c>
      <c r="J73" t="str">
        <v>05:27:21</v>
      </c>
      <c r="K73">
        <v>-12.22444</v>
      </c>
      <c r="L73">
        <v>-76.94199</v>
      </c>
      <c r="M73">
        <f>HYPERLINK("https://www.google.com/maps/search/?api=1&amp;query=-12.22444,-76.94199","Avenida Mariano Pastor Sevilla, Villa El Salvador, Lima")</f>
      </c>
      <c r="N73">
        <v>30.9</v>
      </c>
      <c r="O73">
        <v>94</v>
      </c>
      <c r="P73">
        <v>2475.04</v>
      </c>
      <c r="Q73" t="str">
        <v>158.58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AAR-880</v>
      </c>
      <c r="D74" t="str">
        <v>AAR-880</v>
      </c>
      <c r="E74" t="str">
        <v/>
      </c>
      <c r="F74" t="str">
        <v>867806078847433</v>
      </c>
      <c r="G74" t="str">
        <v>Otro</v>
      </c>
      <c r="H74" t="str">
        <v/>
      </c>
      <c r="I74" t="str">
        <v>27/09/2026</v>
      </c>
      <c r="J74" t="str">
        <v>05:28:21</v>
      </c>
      <c r="K74">
        <v>-12.228062</v>
      </c>
      <c r="L74">
        <v>-76.93982</v>
      </c>
      <c r="M74">
        <f>HYPERLINK("https://www.google.com/maps/search/?api=1&amp;query=-12.228062,-76.93982","Avenida Mariano Pastor Sevilla, Villa El Salvador, Lima")</f>
      </c>
      <c r="N74">
        <v>34.8</v>
      </c>
      <c r="O74">
        <v>94</v>
      </c>
      <c r="P74">
        <v>2475.5</v>
      </c>
      <c r="Q74" t="str">
        <v>158.58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AAR-880</v>
      </c>
      <c r="D75" t="str">
        <v>AAR-880</v>
      </c>
      <c r="E75" t="str">
        <v/>
      </c>
      <c r="F75" t="str">
        <v>867806078847433</v>
      </c>
      <c r="G75" t="str">
        <v>Otro</v>
      </c>
      <c r="H75" t="str">
        <v/>
      </c>
      <c r="I75" t="str">
        <v>27/09/2026</v>
      </c>
      <c r="J75" t="str">
        <v>05:29:21</v>
      </c>
      <c r="K75">
        <v>-12.231562</v>
      </c>
      <c r="L75">
        <v>-76.93774</v>
      </c>
      <c r="M75">
        <f>HYPERLINK("https://www.google.com/maps/search/?api=1&amp;query=-12.231562,-76.93774","Avenida Mariano Pastor Sevilla, Villa El Salvador, Lima")</f>
      </c>
      <c r="N75">
        <v>30</v>
      </c>
      <c r="O75">
        <v>85</v>
      </c>
      <c r="P75">
        <v>2475.94</v>
      </c>
      <c r="Q75" t="str">
        <v>158.58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AAR-880</v>
      </c>
      <c r="D76" t="str">
        <v>AAR-880</v>
      </c>
      <c r="E76" t="str">
        <v/>
      </c>
      <c r="F76" t="str">
        <v>867806078847433</v>
      </c>
      <c r="G76" t="str">
        <v>Otro</v>
      </c>
      <c r="H76" t="str">
        <v/>
      </c>
      <c r="I76" t="str">
        <v>27/09/2026</v>
      </c>
      <c r="J76" t="str">
        <v>05:29:30</v>
      </c>
      <c r="K76">
        <v>-12.232222</v>
      </c>
      <c r="L76">
        <v>-76.93737</v>
      </c>
      <c r="M76">
        <f>HYPERLINK("https://www.google.com/maps/search/?api=1&amp;query=-12.232222,-76.93737","Avenida Mariano Pastor Sevilla, Villa El Salvador, Lima")</f>
      </c>
      <c r="N76">
        <v>29.2</v>
      </c>
      <c r="O76">
        <v>85</v>
      </c>
      <c r="P76">
        <v>2476.02</v>
      </c>
      <c r="Q76" t="str">
        <v>158.58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AAR-880</v>
      </c>
      <c r="D77" t="str">
        <v>AAR-880</v>
      </c>
      <c r="E77" t="str">
        <v/>
      </c>
      <c r="F77" t="str">
        <v>867806078847433</v>
      </c>
      <c r="G77" t="str">
        <v>Otro</v>
      </c>
      <c r="H77" t="str">
        <v/>
      </c>
      <c r="I77" t="str">
        <v>27/09/2026</v>
      </c>
      <c r="J77" t="str">
        <v>05:29:38</v>
      </c>
      <c r="K77">
        <v>-12.232665</v>
      </c>
      <c r="L77">
        <v>-76.93698</v>
      </c>
      <c r="M77">
        <f>HYPERLINK("https://www.google.com/maps/search/?api=1&amp;query=-12.232665,-76.93698","Avenida Mariano Pastor Sevilla, Villa El Salvador, Lima")</f>
      </c>
      <c r="N77">
        <v>28.8</v>
      </c>
      <c r="O77">
        <v>86</v>
      </c>
      <c r="P77">
        <v>2476.08</v>
      </c>
      <c r="Q77" t="str">
        <v>158.58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AAR-880</v>
      </c>
      <c r="D78" t="str">
        <v>AAR-880</v>
      </c>
      <c r="E78" t="str">
        <v/>
      </c>
      <c r="F78" t="str">
        <v>867806078847433</v>
      </c>
      <c r="G78" t="str">
        <v>Otro</v>
      </c>
      <c r="H78" t="str">
        <v/>
      </c>
      <c r="I78" t="str">
        <v>27/09/2026</v>
      </c>
      <c r="J78" t="str">
        <v>05:30:29</v>
      </c>
      <c r="K78">
        <v>-12.234364</v>
      </c>
      <c r="L78">
        <v>-76.93456</v>
      </c>
      <c r="M78">
        <f>HYPERLINK("https://www.google.com/maps/search/?api=1&amp;query=-12.234364,-76.93456","Avenida Mariano Pastor Sevilla, Villa El Salvador, Lima")</f>
      </c>
      <c r="N78">
        <v>13.3</v>
      </c>
      <c r="O78">
        <v>86</v>
      </c>
      <c r="P78">
        <v>2476.4</v>
      </c>
      <c r="Q78" t="str">
        <v>158.58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AAR-880</v>
      </c>
      <c r="D79" t="str">
        <v>AAR-880</v>
      </c>
      <c r="E79" t="str">
        <v/>
      </c>
      <c r="F79" t="str">
        <v>867806078847433</v>
      </c>
      <c r="G79" t="str">
        <v>Otro</v>
      </c>
      <c r="H79" t="str">
        <v/>
      </c>
      <c r="I79" t="str">
        <v>27/09/2026</v>
      </c>
      <c r="J79" t="str">
        <v>05:30:34</v>
      </c>
      <c r="K79">
        <v>-12.234328</v>
      </c>
      <c r="L79">
        <v>-76.934425</v>
      </c>
      <c r="M79">
        <f>HYPERLINK("https://www.google.com/maps/search/?api=1&amp;query=-12.234328,-76.934425","Avenida 200 Millas, Villa El Salvador, Lima")</f>
      </c>
      <c r="N79">
        <v>15.5</v>
      </c>
      <c r="O79">
        <v>86</v>
      </c>
      <c r="P79">
        <v>2476.42</v>
      </c>
      <c r="Q79" t="str">
        <v>158.58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AAR-880</v>
      </c>
      <c r="D80" t="str">
        <v>AAR-880</v>
      </c>
      <c r="E80" t="str">
        <v/>
      </c>
      <c r="F80" t="str">
        <v>867806078847433</v>
      </c>
      <c r="G80" t="str">
        <v>Otro</v>
      </c>
      <c r="H80" t="str">
        <v/>
      </c>
      <c r="I80" t="str">
        <v>27/09/2026</v>
      </c>
      <c r="J80" t="str">
        <v>05:31:20</v>
      </c>
      <c r="K80">
        <v>-12.231519</v>
      </c>
      <c r="L80">
        <v>-76.93241</v>
      </c>
      <c r="M80">
        <f>HYPERLINK("https://www.google.com/maps/search/?api=1&amp;query=-12.231519,-76.93241","Avenida 200 Millas, Villa El Salvador, Lima")</f>
      </c>
      <c r="N80">
        <v>12.7</v>
      </c>
      <c r="O80">
        <v>84</v>
      </c>
      <c r="P80">
        <v>2476.79</v>
      </c>
      <c r="Q80" t="str">
        <v>158.58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AAR-880</v>
      </c>
      <c r="D81" t="str">
        <v>AAR-880</v>
      </c>
      <c r="E81" t="str">
        <v/>
      </c>
      <c r="F81" t="str">
        <v>867806078847433</v>
      </c>
      <c r="G81" t="str">
        <v>Otro</v>
      </c>
      <c r="H81" t="str">
        <v/>
      </c>
      <c r="I81" t="str">
        <v>27/09/2026</v>
      </c>
      <c r="J81" t="str">
        <v>05:31:25</v>
      </c>
      <c r="K81">
        <v>-12.231367</v>
      </c>
      <c r="L81">
        <v>-76.93246</v>
      </c>
      <c r="M81">
        <f>HYPERLINK("https://www.google.com/maps/search/?api=1&amp;query=-12.231367,-76.93246","Avenida Micaela Bastidas, Villa El Salvador, Lima")</f>
      </c>
      <c r="N81">
        <v>12.9</v>
      </c>
      <c r="O81">
        <v>84</v>
      </c>
      <c r="P81">
        <v>2476.81</v>
      </c>
      <c r="Q81" t="str">
        <v>158.58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AAR-880</v>
      </c>
      <c r="D82" t="str">
        <v>AAR-880</v>
      </c>
      <c r="E82" t="str">
        <v/>
      </c>
      <c r="F82" t="str">
        <v>867806078847433</v>
      </c>
      <c r="G82" t="str">
        <v>Otro</v>
      </c>
      <c r="H82" t="str">
        <v/>
      </c>
      <c r="I82" t="str">
        <v>27/09/2026</v>
      </c>
      <c r="J82" t="str">
        <v>05:31:30</v>
      </c>
      <c r="K82">
        <v>-12.231254</v>
      </c>
      <c r="L82">
        <v>-76.93252</v>
      </c>
      <c r="M82">
        <f>HYPERLINK("https://www.google.com/maps/search/?api=1&amp;query=-12.231254,-76.93252","Avenida Micaela Bastidas, Villa El Salvador, Lima")</f>
      </c>
      <c r="N82">
        <v>10.1</v>
      </c>
      <c r="O82">
        <v>84</v>
      </c>
      <c r="P82">
        <v>2476.83</v>
      </c>
      <c r="Q82" t="str">
        <v>158.58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AAR-880</v>
      </c>
      <c r="D83" t="str">
        <v>AAR-880</v>
      </c>
      <c r="E83" t="str">
        <v/>
      </c>
      <c r="F83" t="str">
        <v>867806078847433</v>
      </c>
      <c r="G83" t="str">
        <v>Otro</v>
      </c>
      <c r="H83" t="str">
        <v/>
      </c>
      <c r="I83" t="str">
        <v>27/09/2026</v>
      </c>
      <c r="J83" t="str">
        <v>05:31:35</v>
      </c>
      <c r="K83">
        <v>-12.23121</v>
      </c>
      <c r="L83">
        <v>-76.93266</v>
      </c>
      <c r="M83">
        <f>HYPERLINK("https://www.google.com/maps/search/?api=1&amp;query=-12.23121,-76.93266","Avenida Micaela Bastidas, Villa El Salvador, Lima")</f>
      </c>
      <c r="N83">
        <v>11.2</v>
      </c>
      <c r="O83">
        <v>84</v>
      </c>
      <c r="P83">
        <v>2476.84</v>
      </c>
      <c r="Q83" t="str">
        <v>158.58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AAR-880</v>
      </c>
      <c r="D84" t="str">
        <v>AAR-880</v>
      </c>
      <c r="E84" t="str">
        <v/>
      </c>
      <c r="F84" t="str">
        <v>867806078847433</v>
      </c>
      <c r="G84" t="str">
        <v>Otro</v>
      </c>
      <c r="H84" t="str">
        <v/>
      </c>
      <c r="I84" t="str">
        <v>27/09/2026</v>
      </c>
      <c r="J84" t="str">
        <v>05:31:40</v>
      </c>
      <c r="K84">
        <v>-12.231203</v>
      </c>
      <c r="L84">
        <v>-76.93278</v>
      </c>
      <c r="M84">
        <f>HYPERLINK("https://www.google.com/maps/search/?api=1&amp;query=-12.231203,-76.93278","Avenida Micaela Bastidas, Villa El Salvador, Lima")</f>
      </c>
      <c r="N84">
        <v>8.3</v>
      </c>
      <c r="O84">
        <v>95</v>
      </c>
      <c r="P84">
        <v>2476.86</v>
      </c>
      <c r="Q84" t="str">
        <v>158.58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AAR-880</v>
      </c>
      <c r="D85" t="str">
        <v>AAR-880</v>
      </c>
      <c r="E85" t="str">
        <v/>
      </c>
      <c r="F85" t="str">
        <v>867806078847433</v>
      </c>
      <c r="G85" t="str">
        <v>Otro</v>
      </c>
      <c r="H85" t="str">
        <v/>
      </c>
      <c r="I85" t="str">
        <v>27/09/2026</v>
      </c>
      <c r="J85" t="str">
        <v>05:32:40</v>
      </c>
      <c r="K85">
        <v>-12.231225</v>
      </c>
      <c r="L85">
        <v>-76.93288</v>
      </c>
      <c r="M85">
        <f>HYPERLINK("https://www.google.com/maps/search/?api=1&amp;query=-12.231225,-76.93288","Avenida 200 Millas, Villa El Salvador, Lima")</f>
      </c>
      <c r="N85">
        <v>0</v>
      </c>
      <c r="O85">
        <v>95</v>
      </c>
      <c r="P85">
        <v>2476.87</v>
      </c>
      <c r="Q85" t="str">
        <v>158.58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AAR-880</v>
      </c>
      <c r="D86" t="str">
        <v>AAR-880</v>
      </c>
      <c r="E86" t="str">
        <v/>
      </c>
      <c r="F86" t="str">
        <v>867806078847433</v>
      </c>
      <c r="G86" t="str">
        <v>Otro</v>
      </c>
      <c r="H86" t="str">
        <v/>
      </c>
      <c r="I86" t="str">
        <v>27/09/2026</v>
      </c>
      <c r="J86" t="str">
        <v>05:33:40</v>
      </c>
      <c r="K86">
        <v>-12.231225</v>
      </c>
      <c r="L86">
        <v>-76.93288</v>
      </c>
      <c r="M86">
        <f>HYPERLINK("https://www.google.com/maps/search/?api=1&amp;query=-12.231225,-76.93288","Avenida 200 Millas, Villa El Salvador, Lima")</f>
      </c>
      <c r="N86">
        <v>0</v>
      </c>
      <c r="O86">
        <v>85</v>
      </c>
      <c r="P86">
        <v>2476.87</v>
      </c>
      <c r="Q86" t="str">
        <v>158.58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AAR-880</v>
      </c>
      <c r="D87" t="str">
        <v>AAR-880</v>
      </c>
      <c r="E87" t="str">
        <v/>
      </c>
      <c r="F87" t="str">
        <v>867806078847433</v>
      </c>
      <c r="G87" t="str">
        <v>Otro</v>
      </c>
      <c r="H87" t="str">
        <v/>
      </c>
      <c r="I87" t="str">
        <v>27/09/2026</v>
      </c>
      <c r="J87" t="str">
        <v>05:34:40</v>
      </c>
      <c r="K87">
        <v>-12.231225</v>
      </c>
      <c r="L87">
        <v>-76.93288</v>
      </c>
      <c r="M87">
        <f>HYPERLINK("https://www.google.com/maps/search/?api=1&amp;query=-12.231225,-76.93288","Avenida 200 Millas, Villa El Salvador, Lima")</f>
      </c>
      <c r="N87">
        <v>0</v>
      </c>
      <c r="O87">
        <v>85</v>
      </c>
      <c r="P87">
        <v>2476.87</v>
      </c>
      <c r="Q87" t="str">
        <v>158.58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AAR-880</v>
      </c>
      <c r="D88" t="str">
        <v>AAR-880</v>
      </c>
      <c r="E88" t="str">
        <v/>
      </c>
      <c r="F88" t="str">
        <v>867806078847433</v>
      </c>
      <c r="G88" t="str">
        <v>Otro</v>
      </c>
      <c r="H88" t="str">
        <v/>
      </c>
      <c r="I88" t="str">
        <v>27/09/2026</v>
      </c>
      <c r="J88" t="str">
        <v>05:35:07</v>
      </c>
      <c r="K88">
        <v>-12.231303</v>
      </c>
      <c r="L88">
        <v>-76.932945</v>
      </c>
      <c r="M88">
        <f>HYPERLINK("https://www.google.com/maps/search/?api=1&amp;query=-12.231303,-76.932945","Avenida 200 Millas, Villa El Salvador, Lima")</f>
      </c>
      <c r="N88">
        <v>7.2</v>
      </c>
      <c r="O88">
        <v>85</v>
      </c>
      <c r="P88">
        <v>2476.88</v>
      </c>
      <c r="Q88" t="str">
        <v>158.58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AAR-880</v>
      </c>
      <c r="D89" t="str">
        <v>AAR-880</v>
      </c>
      <c r="E89" t="str">
        <v/>
      </c>
      <c r="F89" t="str">
        <v>867806078847433</v>
      </c>
      <c r="G89" t="str">
        <v>Otro</v>
      </c>
      <c r="H89" t="str">
        <v/>
      </c>
      <c r="I89" t="str">
        <v>27/09/2026</v>
      </c>
      <c r="J89" t="str">
        <v>05:35:14</v>
      </c>
      <c r="K89">
        <v>-12.2314</v>
      </c>
      <c r="L89">
        <v>-76.93291</v>
      </c>
      <c r="M89">
        <f>HYPERLINK("https://www.google.com/maps/search/?api=1&amp;query=-12.2314,-76.93291","Avenida 200 Millas, Villa El Salvador, Lima")</f>
      </c>
      <c r="N89">
        <v>5.9</v>
      </c>
      <c r="O89">
        <v>85</v>
      </c>
      <c r="P89">
        <v>2476.89</v>
      </c>
      <c r="Q89" t="str">
        <v>158.58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AAR-880</v>
      </c>
      <c r="D90" t="str">
        <v>AAR-880</v>
      </c>
      <c r="E90" t="str">
        <v/>
      </c>
      <c r="F90" t="str">
        <v>867806078847433</v>
      </c>
      <c r="G90" t="str">
        <v>Otro</v>
      </c>
      <c r="H90" t="str">
        <v/>
      </c>
      <c r="I90" t="str">
        <v>27/09/2026</v>
      </c>
      <c r="J90" t="str">
        <v>05:35:19</v>
      </c>
      <c r="K90">
        <v>-12.231503</v>
      </c>
      <c r="L90">
        <v>-76.93288</v>
      </c>
      <c r="M90">
        <f>HYPERLINK("https://www.google.com/maps/search/?api=1&amp;query=-12.231503,-76.93288","Avenida 200 Millas, Villa El Salvador, Lima")</f>
      </c>
      <c r="N90">
        <v>12.9</v>
      </c>
      <c r="O90">
        <v>85</v>
      </c>
      <c r="P90">
        <v>2476.9</v>
      </c>
      <c r="Q90" t="str">
        <v>158.58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AAR-880</v>
      </c>
      <c r="D91" t="str">
        <v>AAR-880</v>
      </c>
      <c r="E91" t="str">
        <v/>
      </c>
      <c r="F91" t="str">
        <v>867806078847433</v>
      </c>
      <c r="G91" t="str">
        <v>Otro</v>
      </c>
      <c r="H91" t="str">
        <v/>
      </c>
      <c r="I91" t="str">
        <v>27/09/2026</v>
      </c>
      <c r="J91" t="str">
        <v>05:35:24</v>
      </c>
      <c r="K91">
        <v>-12.23169</v>
      </c>
      <c r="L91">
        <v>-76.932976</v>
      </c>
      <c r="M91">
        <f>HYPERLINK("https://www.google.com/maps/search/?api=1&amp;query=-12.23169,-76.932976","Avenida 200 Millas, Villa El Salvador, Lima")</f>
      </c>
      <c r="N91">
        <v>21.4</v>
      </c>
      <c r="O91">
        <v>87</v>
      </c>
      <c r="P91">
        <v>2476.92</v>
      </c>
      <c r="Q91" t="str">
        <v>158.58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AAR-880</v>
      </c>
      <c r="D92" t="str">
        <v>AAR-880</v>
      </c>
      <c r="E92" t="str">
        <v/>
      </c>
      <c r="F92" t="str">
        <v>867806078847433</v>
      </c>
      <c r="G92" t="str">
        <v>Otro</v>
      </c>
      <c r="H92" t="str">
        <v/>
      </c>
      <c r="I92" t="str">
        <v>27/09/2026</v>
      </c>
      <c r="J92" t="str">
        <v>05:36:12</v>
      </c>
      <c r="K92">
        <v>-12.233927</v>
      </c>
      <c r="L92">
        <v>-76.9346</v>
      </c>
      <c r="M92">
        <f>HYPERLINK("https://www.google.com/maps/search/?api=1&amp;query=-12.233927,-76.9346","Avenida 200 Millas, Villa El Salvador, Lima")</f>
      </c>
      <c r="N92">
        <v>8.3</v>
      </c>
      <c r="O92">
        <v>87</v>
      </c>
      <c r="P92">
        <v>2477.22</v>
      </c>
      <c r="Q92" t="str">
        <v>158.58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AAR-880</v>
      </c>
      <c r="D93" t="str">
        <v>AAR-880</v>
      </c>
      <c r="E93" t="str">
        <v/>
      </c>
      <c r="F93" t="str">
        <v>867806078847433</v>
      </c>
      <c r="G93" t="str">
        <v>Otro</v>
      </c>
      <c r="H93" t="str">
        <v/>
      </c>
      <c r="I93" t="str">
        <v>27/09/2026</v>
      </c>
      <c r="J93" t="str">
        <v>05:36:17</v>
      </c>
      <c r="K93">
        <v>-12.234027</v>
      </c>
      <c r="L93">
        <v>-76.93453</v>
      </c>
      <c r="M93">
        <f>HYPERLINK("https://www.google.com/maps/search/?api=1&amp;query=-12.234027,-76.93453","Avenida Mariano Pastor Sevilla, Villa El Salvador, Lima")</f>
      </c>
      <c r="N93">
        <v>12.2</v>
      </c>
      <c r="O93">
        <v>87</v>
      </c>
      <c r="P93">
        <v>2477.23</v>
      </c>
      <c r="Q93" t="str">
        <v>158.58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AAR-880</v>
      </c>
      <c r="D94" t="str">
        <v>AAR-880</v>
      </c>
      <c r="E94" t="str">
        <v/>
      </c>
      <c r="F94" t="str">
        <v>867806078847433</v>
      </c>
      <c r="G94" t="str">
        <v>Otro</v>
      </c>
      <c r="H94" t="str">
        <v/>
      </c>
      <c r="I94" t="str">
        <v>27/09/2026</v>
      </c>
      <c r="J94" t="str">
        <v>05:36:24</v>
      </c>
      <c r="K94">
        <v>-12.234127</v>
      </c>
      <c r="L94">
        <v>-76.93439</v>
      </c>
      <c r="M94">
        <f>HYPERLINK("https://www.google.com/maps/search/?api=1&amp;query=-12.234127,-76.93439","Avenida Mariano Pastor Sevilla, Villa El Salvador, Lima")</f>
      </c>
      <c r="N94">
        <v>7.4</v>
      </c>
      <c r="O94">
        <v>87</v>
      </c>
      <c r="P94">
        <v>2477.25</v>
      </c>
      <c r="Q94" t="str">
        <v>158.58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AAR-880</v>
      </c>
      <c r="D95" t="str">
        <v>AAR-880</v>
      </c>
      <c r="E95" t="str">
        <v/>
      </c>
      <c r="F95" t="str">
        <v>867806078847433</v>
      </c>
      <c r="G95" t="str">
        <v>Otro</v>
      </c>
      <c r="H95" t="str">
        <v/>
      </c>
      <c r="I95" t="str">
        <v>27/09/2026</v>
      </c>
      <c r="J95" t="str">
        <v>05:36:29</v>
      </c>
      <c r="K95">
        <v>-12.234094</v>
      </c>
      <c r="L95">
        <v>-76.93426</v>
      </c>
      <c r="M95">
        <f>HYPERLINK("https://www.google.com/maps/search/?api=1&amp;query=-12.234094,-76.93426","Avenida 200 Millas, Villa El Salvador, Lima")</f>
      </c>
      <c r="N95">
        <v>16.6</v>
      </c>
      <c r="O95">
        <v>87</v>
      </c>
      <c r="P95">
        <v>2477.27</v>
      </c>
      <c r="Q95" t="str">
        <v>158.58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AAR-880</v>
      </c>
      <c r="D96" t="str">
        <v>AAR-880</v>
      </c>
      <c r="E96" t="str">
        <v/>
      </c>
      <c r="F96" t="str">
        <v>867806078847433</v>
      </c>
      <c r="G96" t="str">
        <v>Otro</v>
      </c>
      <c r="H96" t="str">
        <v/>
      </c>
      <c r="I96" t="str">
        <v>27/09/2026</v>
      </c>
      <c r="J96" t="str">
        <v>05:37:12</v>
      </c>
      <c r="K96">
        <v>-12.231497</v>
      </c>
      <c r="L96">
        <v>-76.93237</v>
      </c>
      <c r="M96">
        <f>HYPERLINK("https://www.google.com/maps/search/?api=1&amp;query=-12.231497,-76.93237","Avenida 200 Millas, Villa El Salvador, Lima")</f>
      </c>
      <c r="N96">
        <v>12.5</v>
      </c>
      <c r="O96">
        <v>87</v>
      </c>
      <c r="P96">
        <v>2477.62</v>
      </c>
      <c r="Q96" t="str">
        <v>158.58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AAR-880</v>
      </c>
      <c r="D97" t="str">
        <v>AAR-880</v>
      </c>
      <c r="E97" t="str">
        <v/>
      </c>
      <c r="F97" t="str">
        <v>867806078847433</v>
      </c>
      <c r="G97" t="str">
        <v>Otro</v>
      </c>
      <c r="H97" t="str">
        <v/>
      </c>
      <c r="I97" t="str">
        <v>27/09/2026</v>
      </c>
      <c r="J97" t="str">
        <v>05:37:17</v>
      </c>
      <c r="K97">
        <v>-12.231395</v>
      </c>
      <c r="L97">
        <v>-76.93222</v>
      </c>
      <c r="M97">
        <f>HYPERLINK("https://www.google.com/maps/search/?api=1&amp;query=-12.231395,-76.93222","Avenida 200 Millas, Villa El Salvador, Lima")</f>
      </c>
      <c r="N97">
        <v>17.5</v>
      </c>
      <c r="O97">
        <v>87</v>
      </c>
      <c r="P97">
        <v>2477.64</v>
      </c>
      <c r="Q97" t="str">
        <v>158.58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AAR-880</v>
      </c>
      <c r="D98" t="str">
        <v>AAR-880</v>
      </c>
      <c r="E98" t="str">
        <v/>
      </c>
      <c r="F98" t="str">
        <v>867806078847433</v>
      </c>
      <c r="G98" t="str">
        <v>Otro</v>
      </c>
      <c r="H98" t="str">
        <v/>
      </c>
      <c r="I98" t="str">
        <v>27/09/2026</v>
      </c>
      <c r="J98" t="str">
        <v>05:38:17</v>
      </c>
      <c r="K98">
        <v>-12.229382</v>
      </c>
      <c r="L98">
        <v>-76.92874</v>
      </c>
      <c r="M98">
        <f>HYPERLINK("https://www.google.com/maps/search/?api=1&amp;query=-12.229382,-76.92874","Avenida 200 Millas, Villa El Salvador, Lima")</f>
      </c>
      <c r="N98">
        <v>30.7</v>
      </c>
      <c r="O98">
        <v>87</v>
      </c>
      <c r="P98">
        <v>2478.07</v>
      </c>
      <c r="Q98" t="str">
        <v>158.58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AAR-880</v>
      </c>
      <c r="D99" t="str">
        <v>AAR-880</v>
      </c>
      <c r="E99" t="str">
        <v/>
      </c>
      <c r="F99" t="str">
        <v>867806078847433</v>
      </c>
      <c r="G99" t="str">
        <v>Otro</v>
      </c>
      <c r="H99" t="str">
        <v/>
      </c>
      <c r="I99" t="str">
        <v>27/09/2026</v>
      </c>
      <c r="J99" t="str">
        <v>05:38:34</v>
      </c>
      <c r="K99">
        <v>-12.228915</v>
      </c>
      <c r="L99">
        <v>-76.927925</v>
      </c>
      <c r="M99">
        <f>HYPERLINK("https://www.google.com/maps/search/?api=1&amp;query=-12.228915,-76.927925","Avenida 200 Millas, Villa El Salvador, Lima")</f>
      </c>
      <c r="N99">
        <v>13.1</v>
      </c>
      <c r="O99">
        <v>87</v>
      </c>
      <c r="P99">
        <v>2478.17</v>
      </c>
      <c r="Q99" t="str">
        <v>158.58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AAR-880</v>
      </c>
      <c r="D100" t="str">
        <v>AAR-880</v>
      </c>
      <c r="E100" t="str">
        <v/>
      </c>
      <c r="F100" t="str">
        <v>867806078847433</v>
      </c>
      <c r="G100" t="str">
        <v>Otro</v>
      </c>
      <c r="H100" t="str">
        <v/>
      </c>
      <c r="I100" t="str">
        <v>27/09/2026</v>
      </c>
      <c r="J100" t="str">
        <v>05:38:40</v>
      </c>
      <c r="K100">
        <v>-12.22885</v>
      </c>
      <c r="L100">
        <v>-76.92769</v>
      </c>
      <c r="M100">
        <f>HYPERLINK("https://www.google.com/maps/search/?api=1&amp;query=-12.22885,-76.92769","Ovalo Las Palomas, Villa El Salvador, Lima")</f>
      </c>
      <c r="N100">
        <v>17</v>
      </c>
      <c r="O100">
        <v>87</v>
      </c>
      <c r="P100">
        <v>2478.2</v>
      </c>
      <c r="Q100" t="str">
        <v>158.58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AAR-880</v>
      </c>
      <c r="D101" t="str">
        <v>AAR-880</v>
      </c>
      <c r="E101" t="str">
        <v/>
      </c>
      <c r="F101" t="str">
        <v>867806078847433</v>
      </c>
      <c r="G101" t="str">
        <v>Otro</v>
      </c>
      <c r="H101" t="str">
        <v/>
      </c>
      <c r="I101" t="str">
        <v>27/09/2026</v>
      </c>
      <c r="J101" t="str">
        <v>05:38:45</v>
      </c>
      <c r="K101">
        <v>-12.228695</v>
      </c>
      <c r="L101">
        <v>-76.927536</v>
      </c>
      <c r="M101">
        <f>HYPERLINK("https://www.google.com/maps/search/?api=1&amp;query=-12.228695,-76.927536","Ovalo Las Palomas, Villa El Salvador, Lima")</f>
      </c>
      <c r="N101">
        <v>15.5</v>
      </c>
      <c r="O101">
        <v>92</v>
      </c>
      <c r="P101">
        <v>2478.22</v>
      </c>
      <c r="Q101" t="str">
        <v>158.58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AAR-880</v>
      </c>
      <c r="D102" t="str">
        <v>AAR-880</v>
      </c>
      <c r="E102" t="str">
        <v/>
      </c>
      <c r="F102" t="str">
        <v>867806078847433</v>
      </c>
      <c r="G102" t="str">
        <v>Otro</v>
      </c>
      <c r="H102" t="str">
        <v/>
      </c>
      <c r="I102" t="str">
        <v>27/09/2026</v>
      </c>
      <c r="J102" t="str">
        <v>05:38:50</v>
      </c>
      <c r="K102">
        <v>-12.228615</v>
      </c>
      <c r="L102">
        <v>-76.92745</v>
      </c>
      <c r="M102">
        <f>HYPERLINK("https://www.google.com/maps/search/?api=1&amp;query=-12.228615,-76.92745","Ovalo Las Palomas, Villa El Salvador, Lima")</f>
      </c>
      <c r="N102">
        <v>8.1</v>
      </c>
      <c r="O102">
        <v>92</v>
      </c>
      <c r="P102">
        <v>2478.23</v>
      </c>
      <c r="Q102" t="str">
        <v>158.58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AAR-880</v>
      </c>
      <c r="D103" t="str">
        <v>AAR-880</v>
      </c>
      <c r="E103" t="str">
        <v/>
      </c>
      <c r="F103" t="str">
        <v>867806078847433</v>
      </c>
      <c r="G103" t="str">
        <v>Otro</v>
      </c>
      <c r="H103" t="str">
        <v/>
      </c>
      <c r="I103" t="str">
        <v>27/09/2026</v>
      </c>
      <c r="J103" t="str">
        <v>05:38:59</v>
      </c>
      <c r="K103">
        <v>-12.22848</v>
      </c>
      <c r="L103">
        <v>-76.92724</v>
      </c>
      <c r="M103">
        <f>HYPERLINK("https://www.google.com/maps/search/?api=1&amp;query=-12.22848,-76.92724","Avenida 200 Millas, Villa El Salvador, Lima")</f>
      </c>
      <c r="N103">
        <v>12.4</v>
      </c>
      <c r="O103">
        <v>94</v>
      </c>
      <c r="P103">
        <v>2478.26</v>
      </c>
      <c r="Q103" t="str">
        <v>158.58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AAR-880</v>
      </c>
      <c r="D104" t="str">
        <v>AAR-880</v>
      </c>
      <c r="E104" t="str">
        <v/>
      </c>
      <c r="F104" t="str">
        <v>867806078847433</v>
      </c>
      <c r="G104" t="str">
        <v>Otro</v>
      </c>
      <c r="H104" t="str">
        <v/>
      </c>
      <c r="I104" t="str">
        <v>27/09/2026</v>
      </c>
      <c r="J104" t="str">
        <v>05:39:59</v>
      </c>
      <c r="K104">
        <v>-12.227092</v>
      </c>
      <c r="L104">
        <v>-76.924835</v>
      </c>
      <c r="M104">
        <f>HYPERLINK("https://www.google.com/maps/search/?api=1&amp;query=-12.227092,-76.924835","Avenida 200 Millas, Villa El Salvador, Lima")</f>
      </c>
      <c r="N104">
        <v>23.1</v>
      </c>
      <c r="O104">
        <v>94</v>
      </c>
      <c r="P104">
        <v>2478.56</v>
      </c>
      <c r="Q104" t="str">
        <v>158.58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AAR-880</v>
      </c>
      <c r="D105" t="str">
        <v>AAR-880</v>
      </c>
      <c r="E105" t="str">
        <v/>
      </c>
      <c r="F105" t="str">
        <v>867806078847433</v>
      </c>
      <c r="G105" t="str">
        <v>Otro</v>
      </c>
      <c r="H105" t="str">
        <v/>
      </c>
      <c r="I105" t="str">
        <v>27/09/2026</v>
      </c>
      <c r="J105" t="str">
        <v>05:40:59</v>
      </c>
      <c r="K105">
        <v>-12.22553</v>
      </c>
      <c r="L105">
        <v>-76.92216</v>
      </c>
      <c r="M105">
        <f>HYPERLINK("https://www.google.com/maps/search/?api=1&amp;query=-12.22553,-76.92216","Avenida 200 Millas, Villa El Salvador, Lima")</f>
      </c>
      <c r="N105">
        <v>21.4</v>
      </c>
      <c r="O105">
        <v>94</v>
      </c>
      <c r="P105">
        <v>2478.89</v>
      </c>
      <c r="Q105" t="str">
        <v>158.58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AAR-880</v>
      </c>
      <c r="D106" t="str">
        <v>AAR-880</v>
      </c>
      <c r="E106" t="str">
        <v/>
      </c>
      <c r="F106" t="str">
        <v>867806078847433</v>
      </c>
      <c r="G106" t="str">
        <v>Otro</v>
      </c>
      <c r="H106" t="str">
        <v/>
      </c>
      <c r="I106" t="str">
        <v>27/09/2026</v>
      </c>
      <c r="J106" t="str">
        <v>05:41:59</v>
      </c>
      <c r="K106">
        <v>-12.224379</v>
      </c>
      <c r="L106">
        <v>-76.92015</v>
      </c>
      <c r="M106">
        <f>HYPERLINK("https://www.google.com/maps/search/?api=1&amp;query=-12.224379,-76.92015","Avenida 200 Millas, Villa El Salvador, Lima")</f>
      </c>
      <c r="N106">
        <v>0</v>
      </c>
      <c r="O106">
        <v>94</v>
      </c>
      <c r="P106">
        <v>2479.14</v>
      </c>
      <c r="Q106" t="str">
        <v>158.58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AAR-880</v>
      </c>
      <c r="D107" t="str">
        <v>AAR-880</v>
      </c>
      <c r="E107" t="str">
        <v/>
      </c>
      <c r="F107" t="str">
        <v>867806078847433</v>
      </c>
      <c r="G107" t="str">
        <v>Otro</v>
      </c>
      <c r="H107" t="str">
        <v/>
      </c>
      <c r="I107" t="str">
        <v>27/09/2026</v>
      </c>
      <c r="J107" t="str">
        <v>05:42:13</v>
      </c>
      <c r="K107">
        <v>-12.224285</v>
      </c>
      <c r="L107">
        <v>-76.91998</v>
      </c>
      <c r="M107">
        <f>HYPERLINK("https://www.google.com/maps/search/?api=1&amp;query=-12.224285,-76.91998","Avenida 200 Millas, Villa El Salvador, Lima")</f>
      </c>
      <c r="N107">
        <v>11.8</v>
      </c>
      <c r="O107">
        <v>94</v>
      </c>
      <c r="P107">
        <v>2479.15</v>
      </c>
      <c r="Q107" t="str">
        <v>158.58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AAR-880</v>
      </c>
      <c r="D108" t="str">
        <v>AAR-880</v>
      </c>
      <c r="E108" t="str">
        <v/>
      </c>
      <c r="F108" t="str">
        <v>867806078847433</v>
      </c>
      <c r="G108" t="str">
        <v>Otro</v>
      </c>
      <c r="H108" t="str">
        <v/>
      </c>
      <c r="I108" t="str">
        <v>27/09/2026</v>
      </c>
      <c r="J108" t="str">
        <v>05:42:19</v>
      </c>
      <c r="K108">
        <v>-12.224225</v>
      </c>
      <c r="L108">
        <v>-76.919815</v>
      </c>
      <c r="M108">
        <f>HYPERLINK("https://www.google.com/maps/search/?api=1&amp;query=-12.224225,-76.919815","Avenida 200 Millas, Villa El Salvador, Lima")</f>
      </c>
      <c r="N108">
        <v>11.6</v>
      </c>
      <c r="O108">
        <v>94</v>
      </c>
      <c r="P108">
        <v>2479.17</v>
      </c>
      <c r="Q108" t="str">
        <v>158.58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AAR-880</v>
      </c>
      <c r="D109" t="str">
        <v>AAR-880</v>
      </c>
      <c r="E109" t="str">
        <v/>
      </c>
      <c r="F109" t="str">
        <v>867806078847433</v>
      </c>
      <c r="G109" t="str">
        <v>Otro</v>
      </c>
      <c r="H109" t="str">
        <v/>
      </c>
      <c r="I109" t="str">
        <v>27/09/2026</v>
      </c>
      <c r="J109" t="str">
        <v>05:42:24</v>
      </c>
      <c r="K109">
        <v>-12.224297</v>
      </c>
      <c r="L109">
        <v>-76.91969</v>
      </c>
      <c r="M109">
        <f>HYPERLINK("https://www.google.com/maps/search/?api=1&amp;query=-12.224297,-76.91969","Avenida Pachacútec, Villa El Salvador, Lima")</f>
      </c>
      <c r="N109">
        <v>12.4</v>
      </c>
      <c r="O109">
        <v>94</v>
      </c>
      <c r="P109">
        <v>2479.19</v>
      </c>
      <c r="Q109" t="str">
        <v>158.58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AAR-880</v>
      </c>
      <c r="D110" t="str">
        <v>AAR-880</v>
      </c>
      <c r="E110" t="str">
        <v/>
      </c>
      <c r="F110" t="str">
        <v>867806078847433</v>
      </c>
      <c r="G110" t="str">
        <v>Otro</v>
      </c>
      <c r="H110" t="str">
        <v/>
      </c>
      <c r="I110" t="str">
        <v>27/09/2026</v>
      </c>
      <c r="J110" t="str">
        <v>05:42:44</v>
      </c>
      <c r="K110">
        <v>-12.22534</v>
      </c>
      <c r="L110">
        <v>-76.91892</v>
      </c>
      <c r="M110">
        <f>HYPERLINK("https://www.google.com/maps/search/?api=1&amp;query=-12.22534,-76.91892","Avenida Pachacútec, Villa María del Triunfo, Lima")</f>
      </c>
      <c r="N110">
        <v>35.7</v>
      </c>
      <c r="O110">
        <v>94</v>
      </c>
      <c r="P110">
        <v>2479.33</v>
      </c>
      <c r="Q110" t="str">
        <v>158.58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AAR-880</v>
      </c>
      <c r="D111" t="str">
        <v>AAR-880</v>
      </c>
      <c r="E111" t="str">
        <v/>
      </c>
      <c r="F111" t="str">
        <v>867806078847433</v>
      </c>
      <c r="G111" t="str">
        <v>Otro</v>
      </c>
      <c r="H111" t="str">
        <v/>
      </c>
      <c r="I111" t="str">
        <v>27/09/2026</v>
      </c>
      <c r="J111" t="str">
        <v>05:42:50</v>
      </c>
      <c r="K111">
        <v>-12.225728</v>
      </c>
      <c r="L111">
        <v>-76.91851</v>
      </c>
      <c r="M111">
        <f>HYPERLINK("https://www.google.com/maps/search/?api=1&amp;query=-12.225728,-76.91851","Avenida Pachacútec, Villa El Salvador, Lima")</f>
      </c>
      <c r="N111">
        <v>37.5</v>
      </c>
      <c r="O111">
        <v>94</v>
      </c>
      <c r="P111">
        <v>2479.39</v>
      </c>
      <c r="Q111" t="str">
        <v>158.58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AAR-880</v>
      </c>
      <c r="D112" t="str">
        <v>AAR-880</v>
      </c>
      <c r="E112" t="str">
        <v/>
      </c>
      <c r="F112" t="str">
        <v>867806078847433</v>
      </c>
      <c r="G112" t="str">
        <v>Otro</v>
      </c>
      <c r="H112" t="str">
        <v/>
      </c>
      <c r="I112" t="str">
        <v>27/09/2026</v>
      </c>
      <c r="J112" t="str">
        <v>05:42:56</v>
      </c>
      <c r="K112">
        <v>-12.22605</v>
      </c>
      <c r="L112">
        <v>-76.918015</v>
      </c>
      <c r="M112">
        <f>HYPERLINK("https://www.google.com/maps/search/?api=1&amp;query=-12.22605,-76.918015","Avenida Pachacútec, Villa El Salvador, Lima")</f>
      </c>
      <c r="N112">
        <v>39</v>
      </c>
      <c r="O112">
        <v>94</v>
      </c>
      <c r="P112">
        <v>2479.46</v>
      </c>
      <c r="Q112" t="str">
        <v>158.58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AAR-880</v>
      </c>
      <c r="D113" t="str">
        <v>AAR-880</v>
      </c>
      <c r="E113" t="str">
        <v/>
      </c>
      <c r="F113" t="str">
        <v>867806078847433</v>
      </c>
      <c r="G113" t="str">
        <v>Otro</v>
      </c>
      <c r="H113" t="str">
        <v/>
      </c>
      <c r="I113" t="str">
        <v>27/09/2026</v>
      </c>
      <c r="J113" t="str">
        <v>05:43:56</v>
      </c>
      <c r="K113">
        <v>-12.228537</v>
      </c>
      <c r="L113">
        <v>-76.912415</v>
      </c>
      <c r="M113">
        <f>HYPERLINK("https://www.google.com/maps/search/?api=1&amp;query=-12.228537,-76.912415","Avenida Pachacútec, Villa El Salvador, Lima")</f>
      </c>
      <c r="N113">
        <v>33.8</v>
      </c>
      <c r="O113">
        <v>94</v>
      </c>
      <c r="P113">
        <v>2480.12</v>
      </c>
      <c r="Q113" t="str">
        <v>158.58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AAR-880</v>
      </c>
      <c r="D114" t="str">
        <v>AAR-880</v>
      </c>
      <c r="E114" t="str">
        <v/>
      </c>
      <c r="F114" t="str">
        <v>867806078847433</v>
      </c>
      <c r="G114" t="str">
        <v>Otro</v>
      </c>
      <c r="H114" t="str">
        <v/>
      </c>
      <c r="I114" t="str">
        <v>27/09/2026</v>
      </c>
      <c r="J114" t="str">
        <v>05:44:25</v>
      </c>
      <c r="K114">
        <v>-12.229582</v>
      </c>
      <c r="L114">
        <v>-76.910164</v>
      </c>
      <c r="M114">
        <f>HYPERLINK("https://www.google.com/maps/search/?api=1&amp;query=-12.229582,-76.910164","Avenida Pachacútec, Villa El Salvador, Lima")</f>
      </c>
      <c r="N114">
        <v>24.4</v>
      </c>
      <c r="O114">
        <v>94</v>
      </c>
      <c r="P114">
        <v>2480.39</v>
      </c>
      <c r="Q114" t="str">
        <v>158.58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AAR-880</v>
      </c>
      <c r="D115" t="str">
        <v>AAR-880</v>
      </c>
      <c r="E115" t="str">
        <v/>
      </c>
      <c r="F115" t="str">
        <v>867806078847433</v>
      </c>
      <c r="G115" t="str">
        <v>Otro</v>
      </c>
      <c r="H115" t="str">
        <v/>
      </c>
      <c r="I115" t="str">
        <v>27/09/2026</v>
      </c>
      <c r="J115" t="str">
        <v>05:44:30</v>
      </c>
      <c r="K115">
        <v>-12.229712</v>
      </c>
      <c r="L115">
        <v>-76.91</v>
      </c>
      <c r="M115">
        <f>HYPERLINK("https://www.google.com/maps/search/?api=1&amp;query=-12.229712,-76.91","Avenida Pachacútec, Villa El Salvador, Lima")</f>
      </c>
      <c r="N115">
        <v>10.3</v>
      </c>
      <c r="O115">
        <v>94</v>
      </c>
      <c r="P115">
        <v>2480.41</v>
      </c>
      <c r="Q115" t="str">
        <v>158.58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AAR-880</v>
      </c>
      <c r="D116" t="str">
        <v>AAR-880</v>
      </c>
      <c r="E116" t="str">
        <v/>
      </c>
      <c r="F116" t="str">
        <v>867806078847433</v>
      </c>
      <c r="G116" t="str">
        <v>Otro</v>
      </c>
      <c r="H116" t="str">
        <v/>
      </c>
      <c r="I116" t="str">
        <v>27/09/2026</v>
      </c>
      <c r="J116" t="str">
        <v>05:44:36</v>
      </c>
      <c r="K116">
        <v>-12.22987</v>
      </c>
      <c r="L116">
        <v>-76.90983</v>
      </c>
      <c r="M116">
        <f>HYPERLINK("https://www.google.com/maps/search/?api=1&amp;query=-12.22987,-76.90983","Ovalo José Gálvez, Villa El Salvador, Lima")</f>
      </c>
      <c r="N116">
        <v>17.5</v>
      </c>
      <c r="O116">
        <v>94</v>
      </c>
      <c r="P116">
        <v>2480.43</v>
      </c>
      <c r="Q116" t="str">
        <v>158.58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AAR-880</v>
      </c>
      <c r="D117" t="str">
        <v>AAR-880</v>
      </c>
      <c r="E117" t="str">
        <v/>
      </c>
      <c r="F117" t="str">
        <v>867806078847433</v>
      </c>
      <c r="G117" t="str">
        <v>Otro</v>
      </c>
      <c r="H117" t="str">
        <v/>
      </c>
      <c r="I117" t="str">
        <v>27/09/2026</v>
      </c>
      <c r="J117" t="str">
        <v>05:44:41</v>
      </c>
      <c r="K117">
        <v>-12.22987</v>
      </c>
      <c r="L117">
        <v>-76.90964</v>
      </c>
      <c r="M117">
        <f>HYPERLINK("https://www.google.com/maps/search/?api=1&amp;query=-12.22987,-76.90964","Ovalo José Gálvez, Villa María del Triunfo, Lima")</f>
      </c>
      <c r="N117">
        <v>15</v>
      </c>
      <c r="O117">
        <v>94</v>
      </c>
      <c r="P117">
        <v>2480.45</v>
      </c>
      <c r="Q117" t="str">
        <v>158.58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AAR-880</v>
      </c>
      <c r="D118" t="str">
        <v>AAR-880</v>
      </c>
      <c r="E118" t="str">
        <v/>
      </c>
      <c r="F118" t="str">
        <v>867806078847433</v>
      </c>
      <c r="G118" t="str">
        <v>Otro</v>
      </c>
      <c r="H118" t="str">
        <v/>
      </c>
      <c r="I118" t="str">
        <v>27/09/2026</v>
      </c>
      <c r="J118" t="str">
        <v>05:44:46</v>
      </c>
      <c r="K118">
        <v>-12.229662</v>
      </c>
      <c r="L118">
        <v>-76.909546</v>
      </c>
      <c r="M118">
        <f>HYPERLINK("https://www.google.com/maps/search/?api=1&amp;query=-12.229662,-76.909546","Ovalo José Gálvez, Villa María del Triunfo, Lima")</f>
      </c>
      <c r="N118">
        <v>22</v>
      </c>
      <c r="O118">
        <v>85</v>
      </c>
      <c r="P118">
        <v>2480.48</v>
      </c>
      <c r="Q118" t="str">
        <v>158.58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AAR-880</v>
      </c>
      <c r="D119" t="str">
        <v>AAR-880</v>
      </c>
      <c r="E119" t="str">
        <v/>
      </c>
      <c r="F119" t="str">
        <v>867806078847433</v>
      </c>
      <c r="G119" t="str">
        <v>Otro</v>
      </c>
      <c r="H119" t="str">
        <v/>
      </c>
      <c r="I119" t="str">
        <v>27/09/2026</v>
      </c>
      <c r="J119" t="str">
        <v>05:45:46</v>
      </c>
      <c r="K119">
        <v>-12.225743</v>
      </c>
      <c r="L119">
        <v>-76.908585</v>
      </c>
      <c r="M119">
        <f>HYPERLINK("https://www.google.com/maps/search/?api=1&amp;query=-12.225743,-76.908585","Avenida Lima, Villa María del Triunfo")</f>
      </c>
      <c r="N119">
        <v>39.4</v>
      </c>
      <c r="O119">
        <v>85</v>
      </c>
      <c r="P119">
        <v>2480.92</v>
      </c>
      <c r="Q119" t="str">
        <v>158.58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AAR-880</v>
      </c>
      <c r="D120" t="str">
        <v>AAR-880</v>
      </c>
      <c r="E120" t="str">
        <v/>
      </c>
      <c r="F120" t="str">
        <v>867806078847433</v>
      </c>
      <c r="G120" t="str">
        <v>Otro</v>
      </c>
      <c r="H120" t="str">
        <v/>
      </c>
      <c r="I120" t="str">
        <v>27/09/2026</v>
      </c>
      <c r="J120" t="str">
        <v>05:45:56</v>
      </c>
      <c r="K120">
        <v>-12.224981</v>
      </c>
      <c r="L120">
        <v>-76.90845</v>
      </c>
      <c r="M120">
        <f>HYPERLINK("https://www.google.com/maps/search/?api=1&amp;query=-12.224981,-76.90845","Avenida Lima, Villa María del Triunfo")</f>
      </c>
      <c r="N120">
        <v>5.5</v>
      </c>
      <c r="O120">
        <v>85</v>
      </c>
      <c r="P120">
        <v>2481.01</v>
      </c>
      <c r="Q120" t="str">
        <v>158.58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AAR-880</v>
      </c>
      <c r="D121" t="str">
        <v>AAR-880</v>
      </c>
      <c r="E121" t="str">
        <v/>
      </c>
      <c r="F121" t="str">
        <v>867806078847433</v>
      </c>
      <c r="G121" t="str">
        <v>Otro</v>
      </c>
      <c r="H121" t="str">
        <v/>
      </c>
      <c r="I121" t="str">
        <v>27/09/2026</v>
      </c>
      <c r="J121" t="str">
        <v>05:46:07</v>
      </c>
      <c r="K121">
        <v>-12.224546</v>
      </c>
      <c r="L121">
        <v>-76.90837</v>
      </c>
      <c r="M121">
        <f>HYPERLINK("https://www.google.com/maps/search/?api=1&amp;query=-12.224546,-76.90837","Avenida Lima, Villa María del Triunfo")</f>
      </c>
      <c r="N121">
        <v>24.4</v>
      </c>
      <c r="O121">
        <v>85</v>
      </c>
      <c r="P121">
        <v>2481.05</v>
      </c>
      <c r="Q121" t="str">
        <v>158.58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AAR-880</v>
      </c>
      <c r="D122" t="str">
        <v>AAR-880</v>
      </c>
      <c r="E122" t="str">
        <v/>
      </c>
      <c r="F122" t="str">
        <v>867806078847433</v>
      </c>
      <c r="G122" t="str">
        <v>Otro</v>
      </c>
      <c r="H122" t="str">
        <v/>
      </c>
      <c r="I122" t="str">
        <v>27/09/2026</v>
      </c>
      <c r="J122" t="str">
        <v>05:46:19</v>
      </c>
      <c r="K122">
        <v>-12.223844</v>
      </c>
      <c r="L122">
        <v>-76.90823</v>
      </c>
      <c r="M122">
        <f>HYPERLINK("https://www.google.com/maps/search/?api=1&amp;query=-12.223844,-76.90823","Avenida Lima, Villa María del Triunfo")</f>
      </c>
      <c r="N122">
        <v>6.8</v>
      </c>
      <c r="O122">
        <v>85</v>
      </c>
      <c r="P122">
        <v>2481.13</v>
      </c>
      <c r="Q122" t="str">
        <v>158.58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AAR-880</v>
      </c>
      <c r="D123" t="str">
        <v>AAR-880</v>
      </c>
      <c r="E123" t="str">
        <v/>
      </c>
      <c r="F123" t="str">
        <v>867806078847433</v>
      </c>
      <c r="G123" t="str">
        <v>Otro</v>
      </c>
      <c r="H123" t="str">
        <v/>
      </c>
      <c r="I123" t="str">
        <v>27/09/2026</v>
      </c>
      <c r="J123" t="str">
        <v>05:46:24</v>
      </c>
      <c r="K123">
        <v>-12.223723</v>
      </c>
      <c r="L123">
        <v>-76.90822</v>
      </c>
      <c r="M123">
        <f>HYPERLINK("https://www.google.com/maps/search/?api=1&amp;query=-12.223723,-76.90822","Avenida Saenz Peña, Villa María del Triunfo, Lima")</f>
      </c>
      <c r="N123">
        <v>14.2</v>
      </c>
      <c r="O123">
        <v>85</v>
      </c>
      <c r="P123">
        <v>2481.15</v>
      </c>
      <c r="Q123" t="str">
        <v>158.58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AAR-880</v>
      </c>
      <c r="D124" t="str">
        <v>AAR-880</v>
      </c>
      <c r="E124" t="str">
        <v/>
      </c>
      <c r="F124" t="str">
        <v>867806078847433</v>
      </c>
      <c r="G124" t="str">
        <v>Otro</v>
      </c>
      <c r="H124" t="str">
        <v/>
      </c>
      <c r="I124" t="str">
        <v>27/09/2026</v>
      </c>
      <c r="J124" t="str">
        <v>05:47:24</v>
      </c>
      <c r="K124">
        <v>-12.220275</v>
      </c>
      <c r="L124">
        <v>-76.9076</v>
      </c>
      <c r="M124">
        <f>HYPERLINK("https://www.google.com/maps/search/?api=1&amp;query=-12.220275,-76.9076","Avenida Lima, Villa María del Triunfo")</f>
      </c>
      <c r="N124">
        <v>15.3</v>
      </c>
      <c r="O124">
        <v>90</v>
      </c>
      <c r="P124">
        <v>2481.53</v>
      </c>
      <c r="Q124" t="str">
        <v>158.58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AAR-880</v>
      </c>
      <c r="D125" t="str">
        <v>AAR-880</v>
      </c>
      <c r="E125" t="str">
        <v/>
      </c>
      <c r="F125" t="str">
        <v>867806078847433</v>
      </c>
      <c r="G125" t="str">
        <v>Otro</v>
      </c>
      <c r="H125" t="str">
        <v/>
      </c>
      <c r="I125" t="str">
        <v>27/09/2026</v>
      </c>
      <c r="J125" t="str">
        <v>05:48:24</v>
      </c>
      <c r="K125">
        <v>-12.217677</v>
      </c>
      <c r="L125">
        <v>-76.90715</v>
      </c>
      <c r="M125">
        <f>HYPERLINK("https://www.google.com/maps/search/?api=1&amp;query=-12.217677,-76.90715","Avenida Lima, Villa María del Triunfo")</f>
      </c>
      <c r="N125">
        <v>21.8</v>
      </c>
      <c r="O125">
        <v>90</v>
      </c>
      <c r="P125">
        <v>2481.82</v>
      </c>
      <c r="Q125" t="str">
        <v>158.58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AAR-880</v>
      </c>
      <c r="D126" t="str">
        <v>AAR-880</v>
      </c>
      <c r="E126" t="str">
        <v/>
      </c>
      <c r="F126" t="str">
        <v>867806078847433</v>
      </c>
      <c r="G126" t="str">
        <v>Otro</v>
      </c>
      <c r="H126" t="str">
        <v/>
      </c>
      <c r="I126" t="str">
        <v>27/09/2026</v>
      </c>
      <c r="J126" t="str">
        <v>05:49:04</v>
      </c>
      <c r="K126">
        <v>-12.215444</v>
      </c>
      <c r="L126">
        <v>-76.906784</v>
      </c>
      <c r="M126">
        <f>HYPERLINK("https://www.google.com/maps/search/?api=1&amp;query=-12.215444,-76.906784","Avenida Lima, Villa María del Triunfo")</f>
      </c>
      <c r="N126">
        <v>9.6</v>
      </c>
      <c r="O126">
        <v>90</v>
      </c>
      <c r="P126">
        <v>2482.06</v>
      </c>
      <c r="Q126" t="str">
        <v>158.58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AAR-880</v>
      </c>
      <c r="D127" t="str">
        <v>AAR-880</v>
      </c>
      <c r="E127" t="str">
        <v/>
      </c>
      <c r="F127" t="str">
        <v>867806078847433</v>
      </c>
      <c r="G127" t="str">
        <v>Otro</v>
      </c>
      <c r="H127" t="str">
        <v/>
      </c>
      <c r="I127" t="str">
        <v>27/09/2026</v>
      </c>
      <c r="J127" t="str">
        <v>05:49:10</v>
      </c>
      <c r="K127">
        <v>-12.215248</v>
      </c>
      <c r="L127">
        <v>-76.90676</v>
      </c>
      <c r="M127">
        <f>HYPERLINK("https://www.google.com/maps/search/?api=1&amp;query=-12.215248,-76.90676","Avenida Lima, Villa María del Triunfo")</f>
      </c>
      <c r="N127">
        <v>15.5</v>
      </c>
      <c r="O127">
        <v>90</v>
      </c>
      <c r="P127">
        <v>2482.08</v>
      </c>
      <c r="Q127" t="str">
        <v>158.58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AAR-880</v>
      </c>
      <c r="D128" t="str">
        <v>AAR-880</v>
      </c>
      <c r="E128" t="str">
        <v/>
      </c>
      <c r="F128" t="str">
        <v>867806078847433</v>
      </c>
      <c r="G128" t="str">
        <v>Otro</v>
      </c>
      <c r="H128" t="str">
        <v/>
      </c>
      <c r="I128" t="str">
        <v>27/09/2026</v>
      </c>
      <c r="J128" t="str">
        <v>05:49:45</v>
      </c>
      <c r="K128">
        <v>-12.213467</v>
      </c>
      <c r="L128">
        <v>-76.90643</v>
      </c>
      <c r="M128">
        <f>HYPERLINK("https://www.google.com/maps/search/?api=1&amp;query=-12.213467,-76.90643","Avenida Lima, Villa María del Triunfo")</f>
      </c>
      <c r="N128">
        <v>10</v>
      </c>
      <c r="O128">
        <v>90</v>
      </c>
      <c r="P128">
        <v>2482.28</v>
      </c>
      <c r="Q128" t="str">
        <v>158.58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AAR-880</v>
      </c>
      <c r="D129" t="str">
        <v>AAR-880</v>
      </c>
      <c r="E129" t="str">
        <v/>
      </c>
      <c r="F129" t="str">
        <v>867806078847433</v>
      </c>
      <c r="G129" t="str">
        <v>Otro</v>
      </c>
      <c r="H129" t="str">
        <v/>
      </c>
      <c r="I129" t="str">
        <v>27/09/2026</v>
      </c>
      <c r="J129" t="str">
        <v>05:49:50</v>
      </c>
      <c r="K129">
        <v>-12.213391</v>
      </c>
      <c r="L129">
        <v>-76.90651</v>
      </c>
      <c r="M129">
        <f>HYPERLINK("https://www.google.com/maps/search/?api=1&amp;query=-12.213391,-76.90651","Jirón Mantaro, Villa María del Triunfo, Lima")</f>
      </c>
      <c r="N129">
        <v>7.4</v>
      </c>
      <c r="O129">
        <v>90</v>
      </c>
      <c r="P129">
        <v>2482.29</v>
      </c>
      <c r="Q129" t="str">
        <v>158.58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AAR-880</v>
      </c>
      <c r="D130" t="str">
        <v>AAR-880</v>
      </c>
      <c r="E130" t="str">
        <v/>
      </c>
      <c r="F130" t="str">
        <v>867806078847433</v>
      </c>
      <c r="G130" t="str">
        <v>Otro</v>
      </c>
      <c r="H130" t="str">
        <v/>
      </c>
      <c r="I130" t="str">
        <v>27/09/2026</v>
      </c>
      <c r="J130" t="str">
        <v>05:49:55</v>
      </c>
      <c r="K130">
        <v>-12.213391</v>
      </c>
      <c r="L130">
        <v>-76.90662</v>
      </c>
      <c r="M130">
        <f>HYPERLINK("https://www.google.com/maps/search/?api=1&amp;query=-12.213391,-76.90662","Jirón Mantaro, Villa María del Triunfo, Lima")</f>
      </c>
      <c r="N130">
        <v>9.4</v>
      </c>
      <c r="O130">
        <v>90</v>
      </c>
      <c r="P130">
        <v>2482.31</v>
      </c>
      <c r="Q130" t="str">
        <v>158.58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AAR-880</v>
      </c>
      <c r="D131" t="str">
        <v>AAR-880</v>
      </c>
      <c r="E131" t="str">
        <v/>
      </c>
      <c r="F131" t="str">
        <v>867806078847433</v>
      </c>
      <c r="G131" t="str">
        <v>Otro</v>
      </c>
      <c r="H131" t="str">
        <v/>
      </c>
      <c r="I131" t="str">
        <v>27/09/2026</v>
      </c>
      <c r="J131" t="str">
        <v>05:50:17</v>
      </c>
      <c r="K131">
        <v>-12.213408</v>
      </c>
      <c r="L131">
        <v>-76.90736</v>
      </c>
      <c r="M131">
        <f>HYPERLINK("https://www.google.com/maps/search/?api=1&amp;query=-12.213408,-76.90736","Avenida Agricultura, Villa María del Triunfo, Lima")</f>
      </c>
      <c r="N131">
        <v>9</v>
      </c>
      <c r="O131">
        <v>90</v>
      </c>
      <c r="P131">
        <v>2482.38</v>
      </c>
      <c r="Q131" t="str">
        <v>158.58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AAR-880</v>
      </c>
      <c r="D132" t="str">
        <v>AAR-880</v>
      </c>
      <c r="E132" t="str">
        <v/>
      </c>
      <c r="F132" t="str">
        <v>867806078847433</v>
      </c>
      <c r="G132" t="str">
        <v>Otro</v>
      </c>
      <c r="H132" t="str">
        <v/>
      </c>
      <c r="I132" t="str">
        <v>27/09/2026</v>
      </c>
      <c r="J132" t="str">
        <v>05:50:22</v>
      </c>
      <c r="K132">
        <v>-12.213333</v>
      </c>
      <c r="L132">
        <v>-76.90742</v>
      </c>
      <c r="M132">
        <f>HYPERLINK("https://www.google.com/maps/search/?api=1&amp;query=-12.213333,-76.90742","Avenida Agricultura, Villa María del Triunfo, Lima")</f>
      </c>
      <c r="N132">
        <v>7.5</v>
      </c>
      <c r="O132">
        <v>90</v>
      </c>
      <c r="P132">
        <v>2482.4</v>
      </c>
      <c r="Q132" t="str">
        <v>158.58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AAR-880</v>
      </c>
      <c r="D133" t="str">
        <v>AAR-880</v>
      </c>
      <c r="E133" t="str">
        <v/>
      </c>
      <c r="F133" t="str">
        <v>867806078847433</v>
      </c>
      <c r="G133" t="str">
        <v>Otro</v>
      </c>
      <c r="H133" t="str">
        <v/>
      </c>
      <c r="I133" t="str">
        <v>27/09/2026</v>
      </c>
      <c r="J133" t="str">
        <v>05:50:22</v>
      </c>
      <c r="K133">
        <v>-12.213333</v>
      </c>
      <c r="L133">
        <v>-76.90742</v>
      </c>
      <c r="M133">
        <f>HYPERLINK("https://www.google.com/maps/search/?api=1&amp;query=-12.213333,-76.90742","Avenida Agricultura, Villa María del Triunfo, Lima")</f>
      </c>
      <c r="N133">
        <v>7.5</v>
      </c>
      <c r="O133">
        <v>84</v>
      </c>
      <c r="P133">
        <v>2482.38</v>
      </c>
      <c r="Q133" t="str">
        <v>155.83</v>
      </c>
      <c r="R133" t="str">
        <v>Llegó a la zona</v>
      </c>
      <c r="S133" t="str">
        <v>242-ATECA</v>
      </c>
      <c r="T133" t="str">
        <v xml:space="preserve"> </v>
      </c>
      <c r="U133" t="str">
        <v/>
      </c>
    </row>
    <row r="134">
      <c r="A134" t="str">
        <v>133</v>
      </c>
      <c r="B134" t="str">
        <v>MASS BSF</v>
      </c>
      <c r="C134" t="str">
        <v>AAR-880</v>
      </c>
      <c r="D134" t="str">
        <v>AAR-880</v>
      </c>
      <c r="E134" t="str">
        <v/>
      </c>
      <c r="F134" t="str">
        <v>867806078847433</v>
      </c>
      <c r="G134" t="str">
        <v>Otro</v>
      </c>
      <c r="H134" t="str">
        <v/>
      </c>
      <c r="I134" t="str">
        <v>27/09/2026</v>
      </c>
      <c r="J134" t="str">
        <v>05:50:27</v>
      </c>
      <c r="K134">
        <v>-12.213217</v>
      </c>
      <c r="L134">
        <v>-76.907394</v>
      </c>
      <c r="M134">
        <f>HYPERLINK("https://www.google.com/maps/search/?api=1&amp;query=-12.213217,-76.907394","Avenida Agricultura, Villa María del Triunfo, Lima")</f>
      </c>
      <c r="N134">
        <v>9</v>
      </c>
      <c r="O134">
        <v>90</v>
      </c>
      <c r="P134">
        <v>2482.41</v>
      </c>
      <c r="Q134" t="str">
        <v>158.58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AAR-880</v>
      </c>
      <c r="D135" t="str">
        <v>AAR-880</v>
      </c>
      <c r="E135" t="str">
        <v/>
      </c>
      <c r="F135" t="str">
        <v>867806078847433</v>
      </c>
      <c r="G135" t="str">
        <v>Otro</v>
      </c>
      <c r="H135" t="str">
        <v/>
      </c>
      <c r="I135" t="str">
        <v>27/09/2026</v>
      </c>
      <c r="J135" t="str">
        <v>05:51:27</v>
      </c>
      <c r="K135">
        <v>-12.212956</v>
      </c>
      <c r="L135">
        <v>-76.90733</v>
      </c>
      <c r="M135">
        <f>HYPERLINK("https://www.google.com/maps/search/?api=1&amp;query=-12.212956,-76.90733","Avenida Agricultura, Villa María del Triunfo, Lima")</f>
      </c>
      <c r="N135">
        <v>0</v>
      </c>
      <c r="O135">
        <v>89</v>
      </c>
      <c r="P135">
        <v>2482.44</v>
      </c>
      <c r="Q135" t="str">
        <v>158.58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AAR-880</v>
      </c>
      <c r="D136" t="str">
        <v>AAR-880</v>
      </c>
      <c r="E136" t="str">
        <v/>
      </c>
      <c r="F136" t="str">
        <v>867806078847433</v>
      </c>
      <c r="G136" t="str">
        <v>Otro</v>
      </c>
      <c r="H136" t="str">
        <v/>
      </c>
      <c r="I136" t="str">
        <v>27/09/2026</v>
      </c>
      <c r="J136" t="str">
        <v>05:52:27</v>
      </c>
      <c r="K136">
        <v>-12.212956</v>
      </c>
      <c r="L136">
        <v>-76.90733</v>
      </c>
      <c r="M136">
        <f>HYPERLINK("https://www.google.com/maps/search/?api=1&amp;query=-12.212956,-76.90733","Avenida Agricultura, Villa María del Triunfo, Lima")</f>
      </c>
      <c r="N136">
        <v>0</v>
      </c>
      <c r="O136">
        <v>89</v>
      </c>
      <c r="P136">
        <v>2482.44</v>
      </c>
      <c r="Q136" t="str">
        <v>158.58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AAR-880</v>
      </c>
      <c r="D137" t="str">
        <v>AAR-880</v>
      </c>
      <c r="E137" t="str">
        <v/>
      </c>
      <c r="F137" t="str">
        <v>867806078847433</v>
      </c>
      <c r="G137" t="str">
        <v>Otro</v>
      </c>
      <c r="H137" t="str">
        <v/>
      </c>
      <c r="I137" t="str">
        <v>27/09/2026</v>
      </c>
      <c r="J137" t="str">
        <v>05:53:03</v>
      </c>
      <c r="K137">
        <v>-12.212753</v>
      </c>
      <c r="L137">
        <v>-76.90728</v>
      </c>
      <c r="M137">
        <f>HYPERLINK("https://www.google.com/maps/search/?api=1&amp;query=-12.212753,-76.90728","Avenida Agricultura, Villa María del Triunfo, Lima")</f>
      </c>
      <c r="N137">
        <v>10.5</v>
      </c>
      <c r="O137">
        <v>87</v>
      </c>
      <c r="P137">
        <v>2482.46</v>
      </c>
      <c r="Q137" t="str">
        <v>158.58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AAR-880</v>
      </c>
      <c r="D138" t="str">
        <v>AAR-880</v>
      </c>
      <c r="E138" t="str">
        <v/>
      </c>
      <c r="F138" t="str">
        <v>867806078847433</v>
      </c>
      <c r="G138" t="str">
        <v>Otro</v>
      </c>
      <c r="H138" t="str">
        <v/>
      </c>
      <c r="I138" t="str">
        <v>27/09/2026</v>
      </c>
      <c r="J138" t="str">
        <v>05:53:03</v>
      </c>
      <c r="K138">
        <v>-12.212753</v>
      </c>
      <c r="L138">
        <v>-76.90728</v>
      </c>
      <c r="M138">
        <f>HYPERLINK("https://www.google.com/maps/search/?api=1&amp;query=-12.212753,-76.90728","Avenida Agricultura, Villa María del Triunfo, Lima")</f>
      </c>
      <c r="N138">
        <v>10.5</v>
      </c>
      <c r="O138">
        <v>87</v>
      </c>
      <c r="P138">
        <v>2482.44</v>
      </c>
      <c r="Q138" t="str">
        <v>155.83</v>
      </c>
      <c r="R138" t="str">
        <v>Salió de zona</v>
      </c>
      <c r="S138" t="str">
        <v>242-ATECA</v>
      </c>
      <c r="T138" t="str">
        <v xml:space="preserve"> </v>
      </c>
      <c r="U138" t="str">
        <v/>
      </c>
    </row>
    <row r="139">
      <c r="A139" t="str">
        <v>138</v>
      </c>
      <c r="B139" t="str">
        <v>MASS BSF</v>
      </c>
      <c r="C139" t="str">
        <v>AAR-880</v>
      </c>
      <c r="D139" t="str">
        <v>AAR-880</v>
      </c>
      <c r="E139" t="str">
        <v/>
      </c>
      <c r="F139" t="str">
        <v>867806078847433</v>
      </c>
      <c r="G139" t="str">
        <v>Otro</v>
      </c>
      <c r="H139" t="str">
        <v/>
      </c>
      <c r="I139" t="str">
        <v>27/09/2026</v>
      </c>
      <c r="J139" t="str">
        <v>05:53:08</v>
      </c>
      <c r="K139">
        <v>-12.2126</v>
      </c>
      <c r="L139">
        <v>-76.907265</v>
      </c>
      <c r="M139">
        <f>HYPERLINK("https://www.google.com/maps/search/?api=1&amp;query=-12.2126,-76.907265","Avenida Agricultura, Villa María del Triunfo, Lima")</f>
      </c>
      <c r="N139">
        <v>12</v>
      </c>
      <c r="O139">
        <v>87</v>
      </c>
      <c r="P139">
        <v>2482.48</v>
      </c>
      <c r="Q139" t="str">
        <v>158.58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AAR-880</v>
      </c>
      <c r="D140" t="str">
        <v>AAR-880</v>
      </c>
      <c r="E140" t="str">
        <v/>
      </c>
      <c r="F140" t="str">
        <v>867806078847433</v>
      </c>
      <c r="G140" t="str">
        <v>Otro</v>
      </c>
      <c r="H140" t="str">
        <v/>
      </c>
      <c r="I140" t="str">
        <v>27/09/2026</v>
      </c>
      <c r="J140" t="str">
        <v>05:53:24</v>
      </c>
      <c r="K140">
        <v>-12.212178</v>
      </c>
      <c r="L140">
        <v>-76.90726</v>
      </c>
      <c r="M140">
        <f>HYPERLINK("https://www.google.com/maps/search/?api=1&amp;query=-12.212178,-76.90726","Avenida Agricultura, Villa María del Triunfo, Lima")</f>
      </c>
      <c r="N140">
        <v>9.8</v>
      </c>
      <c r="O140">
        <v>87</v>
      </c>
      <c r="P140">
        <v>2482.52</v>
      </c>
      <c r="Q140" t="str">
        <v>158.58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AAR-880</v>
      </c>
      <c r="D141" t="str">
        <v>AAR-880</v>
      </c>
      <c r="E141" t="str">
        <v/>
      </c>
      <c r="F141" t="str">
        <v>867806078847433</v>
      </c>
      <c r="G141" t="str">
        <v>Otro</v>
      </c>
      <c r="H141" t="str">
        <v/>
      </c>
      <c r="I141" t="str">
        <v>27/09/2026</v>
      </c>
      <c r="J141" t="str">
        <v>05:53:29</v>
      </c>
      <c r="K141">
        <v>-12.212113</v>
      </c>
      <c r="L141">
        <v>-76.9074</v>
      </c>
      <c r="M141">
        <f>HYPERLINK("https://www.google.com/maps/search/?api=1&amp;query=-12.212113,-76.9074","Jirón Talara, Villa María del Triunfo, Lima")</f>
      </c>
      <c r="N141">
        <v>16.4</v>
      </c>
      <c r="O141">
        <v>87</v>
      </c>
      <c r="P141">
        <v>2482.54</v>
      </c>
      <c r="Q141" t="str">
        <v>158.58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AAR-880</v>
      </c>
      <c r="D142" t="str">
        <v>AAR-880</v>
      </c>
      <c r="E142" t="str">
        <v/>
      </c>
      <c r="F142" t="str">
        <v>867806078847433</v>
      </c>
      <c r="G142" t="str">
        <v>Otro</v>
      </c>
      <c r="H142" t="str">
        <v/>
      </c>
      <c r="I142" t="str">
        <v>27/09/2026</v>
      </c>
      <c r="J142" t="str">
        <v>05:53:49</v>
      </c>
      <c r="K142">
        <v>-12.212156</v>
      </c>
      <c r="L142">
        <v>-76.908195</v>
      </c>
      <c r="M142">
        <f>HYPERLINK("https://www.google.com/maps/search/?api=1&amp;query=-12.212156,-76.908195","Jirón Talara, Villa María del Triunfo, Lima")</f>
      </c>
      <c r="N142">
        <v>10.9</v>
      </c>
      <c r="O142">
        <v>94</v>
      </c>
      <c r="P142">
        <v>2482.63</v>
      </c>
      <c r="Q142" t="str">
        <v>158.58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AAR-880</v>
      </c>
      <c r="D143" t="str">
        <v>AAR-880</v>
      </c>
      <c r="E143" t="str">
        <v/>
      </c>
      <c r="F143" t="str">
        <v>867806078847433</v>
      </c>
      <c r="G143" t="str">
        <v>Otro</v>
      </c>
      <c r="H143" t="str">
        <v/>
      </c>
      <c r="I143" t="str">
        <v>27/09/2026</v>
      </c>
      <c r="J143" t="str">
        <v>05:53:54</v>
      </c>
      <c r="K143">
        <v>-12.212252</v>
      </c>
      <c r="L143">
        <v>-76.90825</v>
      </c>
      <c r="M143">
        <f>HYPERLINK("https://www.google.com/maps/search/?api=1&amp;query=-12.212252,-76.90825","Avenida Daniel Alcides Carrión, Villa María del Triunfo, Lima")</f>
      </c>
      <c r="N143">
        <v>8.7</v>
      </c>
      <c r="O143">
        <v>94</v>
      </c>
      <c r="P143">
        <v>2482.64</v>
      </c>
      <c r="Q143" t="str">
        <v>158.58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AAR-880</v>
      </c>
      <c r="D144" t="str">
        <v>AAR-880</v>
      </c>
      <c r="E144" t="str">
        <v/>
      </c>
      <c r="F144" t="str">
        <v>867806078847433</v>
      </c>
      <c r="G144" t="str">
        <v>Otro</v>
      </c>
      <c r="H144" t="str">
        <v/>
      </c>
      <c r="I144" t="str">
        <v>27/09/2026</v>
      </c>
      <c r="J144" t="str">
        <v>05:53:59</v>
      </c>
      <c r="K144">
        <v>-12.212343</v>
      </c>
      <c r="L144">
        <v>-76.90824</v>
      </c>
      <c r="M144">
        <f>HYPERLINK("https://www.google.com/maps/search/?api=1&amp;query=-12.212343,-76.90824","Avenida Daniel Alcides Carrión, Villa María del Triunfo, Lima")</f>
      </c>
      <c r="N144">
        <v>7.2</v>
      </c>
      <c r="O144">
        <v>94</v>
      </c>
      <c r="P144">
        <v>2482.65</v>
      </c>
      <c r="Q144" t="str">
        <v>158.58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AAR-880</v>
      </c>
      <c r="D145" t="str">
        <v>AAR-880</v>
      </c>
      <c r="E145" t="str">
        <v/>
      </c>
      <c r="F145" t="str">
        <v>867806078847433</v>
      </c>
      <c r="G145" t="str">
        <v>Otro</v>
      </c>
      <c r="H145" t="str">
        <v/>
      </c>
      <c r="I145" t="str">
        <v>27/09/2026</v>
      </c>
      <c r="J145" t="str">
        <v>05:54:32</v>
      </c>
      <c r="K145">
        <v>-12.212798</v>
      </c>
      <c r="L145">
        <v>-76.908195</v>
      </c>
      <c r="M145">
        <f>HYPERLINK("https://www.google.com/maps/search/?api=1&amp;query=-12.212798,-76.908195","Jirón Rímac, Villa María del Triunfo, Lima")</f>
      </c>
      <c r="N145">
        <v>6.4</v>
      </c>
      <c r="O145">
        <v>94</v>
      </c>
      <c r="P145">
        <v>2482.71</v>
      </c>
      <c r="Q145" t="str">
        <v>155.83</v>
      </c>
      <c r="R145" t="str">
        <v>Llegó a la zona</v>
      </c>
      <c r="S145" t="str">
        <v>242-ATECA</v>
      </c>
      <c r="T145" t="str">
        <v xml:space="preserve"> </v>
      </c>
      <c r="U145" t="str">
        <v/>
      </c>
    </row>
    <row r="146">
      <c r="A146" t="str">
        <v>145</v>
      </c>
      <c r="B146" t="str">
        <v>MASS BSF</v>
      </c>
      <c r="C146" t="str">
        <v>AAR-880</v>
      </c>
      <c r="D146" t="str">
        <v>AAR-880</v>
      </c>
      <c r="E146" t="str">
        <v/>
      </c>
      <c r="F146" t="str">
        <v>867806078847433</v>
      </c>
      <c r="G146" t="str">
        <v>Otro</v>
      </c>
      <c r="H146" t="str">
        <v/>
      </c>
      <c r="I146" t="str">
        <v>27/09/2026</v>
      </c>
      <c r="J146" t="str">
        <v>05:54:32</v>
      </c>
      <c r="K146">
        <v>-12.212798</v>
      </c>
      <c r="L146">
        <v>-76.908195</v>
      </c>
      <c r="M146">
        <f>HYPERLINK("https://www.google.com/maps/search/?api=1&amp;query=-12.212798,-76.908195","Jirón Rímac, Villa María del Triunfo, Lima")</f>
      </c>
      <c r="N146">
        <v>6.4</v>
      </c>
      <c r="O146">
        <v>94</v>
      </c>
      <c r="P146">
        <v>2482.71</v>
      </c>
      <c r="Q146" t="str">
        <v>158.58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AAR-880</v>
      </c>
      <c r="D147" t="str">
        <v>AAR-880</v>
      </c>
      <c r="E147" t="str">
        <v/>
      </c>
      <c r="F147" t="str">
        <v>867806078847433</v>
      </c>
      <c r="G147" t="str">
        <v>Otro</v>
      </c>
      <c r="H147" t="str">
        <v/>
      </c>
      <c r="I147" t="str">
        <v>27/09/2026</v>
      </c>
      <c r="J147" t="str">
        <v>05:55:32</v>
      </c>
      <c r="K147">
        <v>-12.212813</v>
      </c>
      <c r="L147">
        <v>-76.90806</v>
      </c>
      <c r="M147">
        <f>HYPERLINK("https://www.google.com/maps/search/?api=1&amp;query=-12.212813,-76.90806","Jirón Rímac, Villa María del Triunfo, Lima")</f>
      </c>
      <c r="N147">
        <v>0</v>
      </c>
      <c r="O147">
        <v>94</v>
      </c>
      <c r="P147">
        <v>2482.72</v>
      </c>
      <c r="Q147" t="str">
        <v>158.58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AAR-880</v>
      </c>
      <c r="D148" t="str">
        <v>AAR-880</v>
      </c>
      <c r="E148" t="str">
        <v/>
      </c>
      <c r="F148" t="str">
        <v>867806078847433</v>
      </c>
      <c r="G148" t="str">
        <v>Otro</v>
      </c>
      <c r="H148" t="str">
        <v/>
      </c>
      <c r="I148" t="str">
        <v>27/09/2026</v>
      </c>
      <c r="J148" t="str">
        <v>05:56:32</v>
      </c>
      <c r="K148">
        <v>-12.212813</v>
      </c>
      <c r="L148">
        <v>-76.90806</v>
      </c>
      <c r="M148">
        <f>HYPERLINK("https://www.google.com/maps/search/?api=1&amp;query=-12.212813,-76.90806","Jirón Rímac, Villa María del Triunfo, Lima")</f>
      </c>
      <c r="N148">
        <v>0</v>
      </c>
      <c r="O148">
        <v>94</v>
      </c>
      <c r="P148">
        <v>2482.72</v>
      </c>
      <c r="Q148" t="str">
        <v>158.58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AAR-880</v>
      </c>
      <c r="D149" t="str">
        <v>AAR-880</v>
      </c>
      <c r="E149" t="str">
        <v/>
      </c>
      <c r="F149" t="str">
        <v>867806078847433</v>
      </c>
      <c r="G149" t="str">
        <v>Otro</v>
      </c>
      <c r="H149" t="str">
        <v/>
      </c>
      <c r="I149" t="str">
        <v>27/09/2026</v>
      </c>
      <c r="J149" t="str">
        <v>05:57:32</v>
      </c>
      <c r="K149">
        <v>-12.212813</v>
      </c>
      <c r="L149">
        <v>-76.90806</v>
      </c>
      <c r="M149">
        <f>HYPERLINK("https://www.google.com/maps/search/?api=1&amp;query=-12.212813,-76.90806","Jirón Rímac, Villa María del Triunfo, Lima")</f>
      </c>
      <c r="N149">
        <v>0</v>
      </c>
      <c r="O149">
        <v>92</v>
      </c>
      <c r="P149">
        <v>2482.72</v>
      </c>
      <c r="Q149" t="str">
        <v>158.58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AAR-880</v>
      </c>
      <c r="D150" t="str">
        <v>AAR-880</v>
      </c>
      <c r="E150" t="str">
        <v/>
      </c>
      <c r="F150" t="str">
        <v>867806078847433</v>
      </c>
      <c r="G150" t="str">
        <v>Otro</v>
      </c>
      <c r="H150" t="str">
        <v/>
      </c>
      <c r="I150" t="str">
        <v>27/09/2026</v>
      </c>
      <c r="J150" t="str">
        <v>05:58:32</v>
      </c>
      <c r="K150">
        <v>-12.212813</v>
      </c>
      <c r="L150">
        <v>-76.90806</v>
      </c>
      <c r="M150">
        <f>HYPERLINK("https://www.google.com/maps/search/?api=1&amp;query=-12.212813,-76.90806","Jirón Rímac, Villa María del Triunfo, Lima")</f>
      </c>
      <c r="N150">
        <v>0</v>
      </c>
      <c r="O150">
        <v>92</v>
      </c>
      <c r="P150">
        <v>2482.72</v>
      </c>
      <c r="Q150" t="str">
        <v>158.58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AAR-880</v>
      </c>
      <c r="D151" t="str">
        <v>AAR-880</v>
      </c>
      <c r="E151" t="str">
        <v/>
      </c>
      <c r="F151" t="str">
        <v>867806078847433</v>
      </c>
      <c r="G151" t="str">
        <v>Otro</v>
      </c>
      <c r="H151" t="str">
        <v/>
      </c>
      <c r="I151" t="str">
        <v>27/09/2026</v>
      </c>
      <c r="J151" t="str">
        <v>05:59:32</v>
      </c>
      <c r="K151">
        <v>-12.212813</v>
      </c>
      <c r="L151">
        <v>-76.90806</v>
      </c>
      <c r="M151">
        <f>HYPERLINK("https://www.google.com/maps/search/?api=1&amp;query=-12.212813,-76.90806","Jirón Rímac, Villa María del Triunfo, Lima")</f>
      </c>
      <c r="N151">
        <v>0</v>
      </c>
      <c r="O151">
        <v>89</v>
      </c>
      <c r="P151">
        <v>2482.72</v>
      </c>
      <c r="Q151" t="str">
        <v>158.58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AAR-880</v>
      </c>
      <c r="D152" t="str">
        <v>AAR-880</v>
      </c>
      <c r="E152" t="str">
        <v/>
      </c>
      <c r="F152" t="str">
        <v>867806078847433</v>
      </c>
      <c r="G152" t="str">
        <v>Otro</v>
      </c>
      <c r="H152" t="str">
        <v/>
      </c>
      <c r="I152" t="str">
        <v>27/09/2026</v>
      </c>
      <c r="J152" t="str">
        <v>06:00:32</v>
      </c>
      <c r="K152">
        <v>-12.212813</v>
      </c>
      <c r="L152">
        <v>-76.90806</v>
      </c>
      <c r="M152">
        <f>HYPERLINK("https://www.google.com/maps/search/?api=1&amp;query=-12.212813,-76.90806","Jirón Rímac, Villa María del Triunfo, Lima")</f>
      </c>
      <c r="N152">
        <v>0</v>
      </c>
      <c r="O152">
        <v>89</v>
      </c>
      <c r="P152">
        <v>2482.72</v>
      </c>
      <c r="Q152" t="str">
        <v>158.58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AAR-880</v>
      </c>
      <c r="D153" t="str">
        <v>AAR-880</v>
      </c>
      <c r="E153" t="str">
        <v/>
      </c>
      <c r="F153" t="str">
        <v>867806078847433</v>
      </c>
      <c r="G153" t="str">
        <v>Otro</v>
      </c>
      <c r="H153" t="str">
        <v/>
      </c>
      <c r="I153" t="str">
        <v>27/09/2026</v>
      </c>
      <c r="J153" t="str">
        <v>06:01:32</v>
      </c>
      <c r="K153">
        <v>-12.212813</v>
      </c>
      <c r="L153">
        <v>-76.90806</v>
      </c>
      <c r="M153">
        <f>HYPERLINK("https://www.google.com/maps/search/?api=1&amp;query=-12.212813,-76.90806","Jirón Rímac, Villa María del Triunfo, Lima")</f>
      </c>
      <c r="N153">
        <v>0</v>
      </c>
      <c r="O153">
        <v>91</v>
      </c>
      <c r="P153">
        <v>2482.72</v>
      </c>
      <c r="Q153" t="str">
        <v>158.58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AAR-880</v>
      </c>
      <c r="D154" t="str">
        <v>AAR-880</v>
      </c>
      <c r="E154" t="str">
        <v/>
      </c>
      <c r="F154" t="str">
        <v>867806078847433</v>
      </c>
      <c r="G154" t="str">
        <v>Otro</v>
      </c>
      <c r="H154" t="str">
        <v/>
      </c>
      <c r="I154" t="str">
        <v>27/09/2026</v>
      </c>
      <c r="J154" t="str">
        <v>06:01:52</v>
      </c>
      <c r="K154">
        <v>-12.212813</v>
      </c>
      <c r="L154">
        <v>-76.90806</v>
      </c>
      <c r="M154">
        <f>HYPERLINK("https://www.google.com/maps/search/?api=1&amp;query=-12.212813,-76.90806","Jirón Rímac, Villa María del Triunfo, Lima")</f>
      </c>
      <c r="N154">
        <v>0</v>
      </c>
      <c r="O154">
        <v>91</v>
      </c>
      <c r="P154">
        <v>2482.72</v>
      </c>
      <c r="Q154" t="str">
        <v>159.42</v>
      </c>
      <c r="R154" t="str">
        <v>Vehículo apagado</v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AAR-880</v>
      </c>
      <c r="D155" t="str">
        <v>AAR-880</v>
      </c>
      <c r="E155" t="str">
        <v/>
      </c>
      <c r="F155" t="str">
        <v>867806078847433</v>
      </c>
      <c r="G155" t="str">
        <v>Otro</v>
      </c>
      <c r="H155" t="str">
        <v/>
      </c>
      <c r="I155" t="str">
        <v>27/09/2026</v>
      </c>
      <c r="J155" t="str">
        <v>06:11:52</v>
      </c>
      <c r="K155">
        <v>-12.212813</v>
      </c>
      <c r="L155">
        <v>-76.90806</v>
      </c>
      <c r="M155">
        <f>HYPERLINK("https://www.google.com/maps/search/?api=1&amp;query=-12.212813,-76.90806","Jirón Rímac, Villa María del Triunfo, Lima")</f>
      </c>
      <c r="N155">
        <v>0</v>
      </c>
      <c r="O155">
        <v>91</v>
      </c>
      <c r="P155">
        <v>2482.72</v>
      </c>
      <c r="Q155" t="str">
        <v>159.42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AAR-880</v>
      </c>
      <c r="D156" t="str">
        <v>AAR-880</v>
      </c>
      <c r="E156" t="str">
        <v/>
      </c>
      <c r="F156" t="str">
        <v>867806078847433</v>
      </c>
      <c r="G156" t="str">
        <v>Otro</v>
      </c>
      <c r="H156" t="str">
        <v/>
      </c>
      <c r="I156" t="str">
        <v>27/09/2026</v>
      </c>
      <c r="J156" t="str">
        <v>06:21:52</v>
      </c>
      <c r="K156">
        <v>-12.212813</v>
      </c>
      <c r="L156">
        <v>-76.90806</v>
      </c>
      <c r="M156">
        <f>HYPERLINK("https://www.google.com/maps/search/?api=1&amp;query=-12.212813,-76.90806","Jirón Rímac, Villa María del Triunfo, Lima")</f>
      </c>
      <c r="N156">
        <v>0</v>
      </c>
      <c r="O156">
        <v>91</v>
      </c>
      <c r="P156">
        <v>2482.72</v>
      </c>
      <c r="Q156" t="str">
        <v>159.42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AAR-880</v>
      </c>
      <c r="D157" t="str">
        <v>AAR-880</v>
      </c>
      <c r="E157" t="str">
        <v/>
      </c>
      <c r="F157" t="str">
        <v>867806078847433</v>
      </c>
      <c r="G157" t="str">
        <v>Otro</v>
      </c>
      <c r="H157" t="str">
        <v/>
      </c>
      <c r="I157" t="str">
        <v>27/09/2026</v>
      </c>
      <c r="J157" t="str">
        <v>06:26:46</v>
      </c>
      <c r="K157">
        <v>-12.212813</v>
      </c>
      <c r="L157">
        <v>-76.90806</v>
      </c>
      <c r="M157">
        <f>HYPERLINK("https://www.google.com/maps/search/?api=1&amp;query=-12.212813,-76.90806","Jirón Rímac, Villa María del Triunfo, Lima")</f>
      </c>
      <c r="N157">
        <v>0</v>
      </c>
      <c r="O157">
        <v>91</v>
      </c>
      <c r="P157">
        <v>2482.72</v>
      </c>
      <c r="Q157" t="str">
        <v>159.42</v>
      </c>
      <c r="R157" t="str">
        <v>Vehículo encendido</v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AAR-880</v>
      </c>
      <c r="D158" t="str">
        <v>AAR-880</v>
      </c>
      <c r="E158" t="str">
        <v/>
      </c>
      <c r="F158" t="str">
        <v>867806078847433</v>
      </c>
      <c r="G158" t="str">
        <v>Otro</v>
      </c>
      <c r="H158" t="str">
        <v/>
      </c>
      <c r="I158" t="str">
        <v>27/09/2026</v>
      </c>
      <c r="J158" t="str">
        <v>06:26:46</v>
      </c>
      <c r="K158">
        <v>-12.212813</v>
      </c>
      <c r="L158">
        <v>-76.90806</v>
      </c>
      <c r="M158">
        <f>HYPERLINK("https://www.google.com/maps/search/?api=1&amp;query=-12.212813,-76.90806","Jirón Rímac, Villa María del Triunfo, Lima")</f>
      </c>
      <c r="N158">
        <v>0</v>
      </c>
      <c r="O158">
        <v>91</v>
      </c>
      <c r="P158">
        <v>2482.72</v>
      </c>
      <c r="Q158" t="str">
        <v>159.42</v>
      </c>
      <c r="R158" t="str">
        <v>Se movio</v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AAR-880</v>
      </c>
      <c r="D159" t="str">
        <v>AAR-880</v>
      </c>
      <c r="E159" t="str">
        <v/>
      </c>
      <c r="F159" t="str">
        <v>867806078847433</v>
      </c>
      <c r="G159" t="str">
        <v>Otro</v>
      </c>
      <c r="H159" t="str">
        <v/>
      </c>
      <c r="I159" t="str">
        <v>27/09/2026</v>
      </c>
      <c r="J159" t="str">
        <v>06:27:24</v>
      </c>
      <c r="K159">
        <v>-12.212813</v>
      </c>
      <c r="L159">
        <v>-76.90806</v>
      </c>
      <c r="M159">
        <f>HYPERLINK("https://www.google.com/maps/search/?api=1&amp;query=-12.212813,-76.90806","Jirón Rímac, Villa María del Triunfo, Lima")</f>
      </c>
      <c r="N159">
        <v>0</v>
      </c>
      <c r="O159">
        <v>91</v>
      </c>
      <c r="P159">
        <v>2482.72</v>
      </c>
      <c r="Q159" t="str">
        <v>159.42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AAR-880</v>
      </c>
      <c r="D160" t="str">
        <v>AAR-880</v>
      </c>
      <c r="E160" t="str">
        <v/>
      </c>
      <c r="F160" t="str">
        <v>867806078847433</v>
      </c>
      <c r="G160" t="str">
        <v>Otro</v>
      </c>
      <c r="H160" t="str">
        <v/>
      </c>
      <c r="I160" t="str">
        <v>27/09/2026</v>
      </c>
      <c r="J160" t="str">
        <v>06:27:46</v>
      </c>
      <c r="K160">
        <v>-12.212813</v>
      </c>
      <c r="L160">
        <v>-76.90806</v>
      </c>
      <c r="M160">
        <f>HYPERLINK("https://www.google.com/maps/search/?api=1&amp;query=-12.212813,-76.90806","Jirón Rímac, Villa María del Triunfo, Lima")</f>
      </c>
      <c r="N160">
        <v>0</v>
      </c>
      <c r="O160">
        <v>91</v>
      </c>
      <c r="P160">
        <v>2482.72</v>
      </c>
      <c r="Q160" t="str">
        <v>159.42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AAR-880</v>
      </c>
      <c r="D161" t="str">
        <v>AAR-880</v>
      </c>
      <c r="E161" t="str">
        <v/>
      </c>
      <c r="F161" t="str">
        <v>867806078847433</v>
      </c>
      <c r="G161" t="str">
        <v>Otro</v>
      </c>
      <c r="H161" t="str">
        <v/>
      </c>
      <c r="I161" t="str">
        <v>27/09/2026</v>
      </c>
      <c r="J161" t="str">
        <v>06:28:46</v>
      </c>
      <c r="K161">
        <v>-12.212811</v>
      </c>
      <c r="L161">
        <v>-76.90823</v>
      </c>
      <c r="M161">
        <f>HYPERLINK("https://www.google.com/maps/search/?api=1&amp;query=-12.212811,-76.90823","Jirón Rímac, Villa María del Triunfo, Lima")</f>
      </c>
      <c r="N161">
        <v>0</v>
      </c>
      <c r="O161">
        <v>91</v>
      </c>
      <c r="P161">
        <v>2482.76</v>
      </c>
      <c r="Q161" t="str">
        <v>159.42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AAR-880</v>
      </c>
      <c r="D162" t="str">
        <v>AAR-880</v>
      </c>
      <c r="E162" t="str">
        <v/>
      </c>
      <c r="F162" t="str">
        <v>867806078847433</v>
      </c>
      <c r="G162" t="str">
        <v>Otro</v>
      </c>
      <c r="H162" t="str">
        <v/>
      </c>
      <c r="I162" t="str">
        <v>27/09/2026</v>
      </c>
      <c r="J162" t="str">
        <v>06:29:32</v>
      </c>
      <c r="K162">
        <v>-12.212795</v>
      </c>
      <c r="L162">
        <v>-76.90838</v>
      </c>
      <c r="M162">
        <f>HYPERLINK("https://www.google.com/maps/search/?api=1&amp;query=-12.212795,-76.90838","Jirón Rímac, Villa María del Triunfo, Lima")</f>
      </c>
      <c r="N162">
        <v>5.9</v>
      </c>
      <c r="O162">
        <v>85</v>
      </c>
      <c r="P162">
        <v>2482.76</v>
      </c>
      <c r="Q162" t="str">
        <v>156.63</v>
      </c>
      <c r="R162" t="str">
        <v>Salió de zona</v>
      </c>
      <c r="S162" t="str">
        <v>242-ATECA</v>
      </c>
      <c r="T162" t="str">
        <v xml:space="preserve"> </v>
      </c>
      <c r="U162" t="str">
        <v/>
      </c>
    </row>
    <row r="163">
      <c r="A163" t="str">
        <v>162</v>
      </c>
      <c r="B163" t="str">
        <v>MASS BSF</v>
      </c>
      <c r="C163" t="str">
        <v>AAR-880</v>
      </c>
      <c r="D163" t="str">
        <v>AAR-880</v>
      </c>
      <c r="E163" t="str">
        <v/>
      </c>
      <c r="F163" t="str">
        <v>867806078847433</v>
      </c>
      <c r="G163" t="str">
        <v>Otro</v>
      </c>
      <c r="H163" t="str">
        <v/>
      </c>
      <c r="I163" t="str">
        <v>27/09/2026</v>
      </c>
      <c r="J163" t="str">
        <v>06:29:32</v>
      </c>
      <c r="K163">
        <v>-12.212795</v>
      </c>
      <c r="L163">
        <v>-76.90838</v>
      </c>
      <c r="M163">
        <f>HYPERLINK("https://www.google.com/maps/search/?api=1&amp;query=-12.212795,-76.90838","Jirón Rímac, Villa María del Triunfo, Lima")</f>
      </c>
      <c r="N163">
        <v>5.9</v>
      </c>
      <c r="O163">
        <v>91</v>
      </c>
      <c r="P163">
        <v>2482.79</v>
      </c>
      <c r="Q163" t="str">
        <v>159.42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AAR-880</v>
      </c>
      <c r="D164" t="str">
        <v>AAR-880</v>
      </c>
      <c r="E164" t="str">
        <v/>
      </c>
      <c r="F164" t="str">
        <v>867806078847433</v>
      </c>
      <c r="G164" t="str">
        <v>Otro</v>
      </c>
      <c r="H164" t="str">
        <v/>
      </c>
      <c r="I164" t="str">
        <v>27/09/2026</v>
      </c>
      <c r="J164" t="str">
        <v>06:30:32</v>
      </c>
      <c r="K164">
        <v>-12.212815</v>
      </c>
      <c r="L164">
        <v>-76.908485</v>
      </c>
      <c r="M164">
        <f>HYPERLINK("https://www.google.com/maps/search/?api=1&amp;query=-12.212815,-76.908485","Jirón Rímac, Villa María del Triunfo, Lima")</f>
      </c>
      <c r="N164">
        <v>0</v>
      </c>
      <c r="O164">
        <v>91</v>
      </c>
      <c r="P164">
        <v>2482.8</v>
      </c>
      <c r="Q164" t="str">
        <v>159.42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AAR-880</v>
      </c>
      <c r="D165" t="str">
        <v>AAR-880</v>
      </c>
      <c r="E165" t="str">
        <v/>
      </c>
      <c r="F165" t="str">
        <v>867806078847433</v>
      </c>
      <c r="G165" t="str">
        <v>Otro</v>
      </c>
      <c r="H165" t="str">
        <v/>
      </c>
      <c r="I165" t="str">
        <v>27/09/2026</v>
      </c>
      <c r="J165" t="str">
        <v>06:31:32</v>
      </c>
      <c r="K165">
        <v>-12.212815</v>
      </c>
      <c r="L165">
        <v>-76.908485</v>
      </c>
      <c r="M165">
        <f>HYPERLINK("https://www.google.com/maps/search/?api=1&amp;query=-12.212815,-76.908485","Jirón Rímac, Villa María del Triunfo, Lima")</f>
      </c>
      <c r="N165">
        <v>0</v>
      </c>
      <c r="O165">
        <v>95</v>
      </c>
      <c r="P165">
        <v>2482.8</v>
      </c>
      <c r="Q165" t="str">
        <v>159.42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AAR-880</v>
      </c>
      <c r="D166" t="str">
        <v>AAR-880</v>
      </c>
      <c r="E166" t="str">
        <v/>
      </c>
      <c r="F166" t="str">
        <v>867806078847433</v>
      </c>
      <c r="G166" t="str">
        <v>Otro</v>
      </c>
      <c r="H166" t="str">
        <v/>
      </c>
      <c r="I166" t="str">
        <v>27/09/2026</v>
      </c>
      <c r="J166" t="str">
        <v>06:32:32</v>
      </c>
      <c r="K166">
        <v>-12.212815</v>
      </c>
      <c r="L166">
        <v>-76.908485</v>
      </c>
      <c r="M166">
        <f>HYPERLINK("https://www.google.com/maps/search/?api=1&amp;query=-12.212815,-76.908485","Jirón Rímac, Villa María del Triunfo, Lima")</f>
      </c>
      <c r="N166">
        <v>0</v>
      </c>
      <c r="O166">
        <v>95</v>
      </c>
      <c r="P166">
        <v>2482.8</v>
      </c>
      <c r="Q166" t="str">
        <v>159.42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AAR-880</v>
      </c>
      <c r="D167" t="str">
        <v>AAR-880</v>
      </c>
      <c r="E167" t="str">
        <v/>
      </c>
      <c r="F167" t="str">
        <v>867806078847433</v>
      </c>
      <c r="G167" t="str">
        <v>Otro</v>
      </c>
      <c r="H167" t="str">
        <v/>
      </c>
      <c r="I167" t="str">
        <v>27/09/2026</v>
      </c>
      <c r="J167" t="str">
        <v>06:33:32</v>
      </c>
      <c r="K167">
        <v>-12.212815</v>
      </c>
      <c r="L167">
        <v>-76.908485</v>
      </c>
      <c r="M167">
        <f>HYPERLINK("https://www.google.com/maps/search/?api=1&amp;query=-12.212815,-76.908485","Jirón Rímac, Villa María del Triunfo, Lima")</f>
      </c>
      <c r="N167">
        <v>0</v>
      </c>
      <c r="O167">
        <v>95</v>
      </c>
      <c r="P167">
        <v>2482.8</v>
      </c>
      <c r="Q167" t="str">
        <v>159.42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AAR-880</v>
      </c>
      <c r="D168" t="str">
        <v>AAR-880</v>
      </c>
      <c r="E168" t="str">
        <v/>
      </c>
      <c r="F168" t="str">
        <v>867806078847433</v>
      </c>
      <c r="G168" t="str">
        <v>Otro</v>
      </c>
      <c r="H168" t="str">
        <v/>
      </c>
      <c r="I168" t="str">
        <v>27/09/2026</v>
      </c>
      <c r="J168" t="str">
        <v>06:34:32</v>
      </c>
      <c r="K168">
        <v>-12.212816</v>
      </c>
      <c r="L168">
        <v>-76.90858</v>
      </c>
      <c r="M168">
        <f>HYPERLINK("https://www.google.com/maps/search/?api=1&amp;query=-12.212816,-76.90858","Jirón Rímac, Villa María del Triunfo, Lima")</f>
      </c>
      <c r="N168">
        <v>0</v>
      </c>
      <c r="O168">
        <v>95</v>
      </c>
      <c r="P168">
        <v>2482.81</v>
      </c>
      <c r="Q168" t="str">
        <v>159.42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AAR-880</v>
      </c>
      <c r="D169" t="str">
        <v>AAR-880</v>
      </c>
      <c r="E169" t="str">
        <v/>
      </c>
      <c r="F169" t="str">
        <v>867806078847433</v>
      </c>
      <c r="G169" t="str">
        <v>Otro</v>
      </c>
      <c r="H169" t="str">
        <v/>
      </c>
      <c r="I169" t="str">
        <v>27/09/2026</v>
      </c>
      <c r="J169" t="str">
        <v>06:35:32</v>
      </c>
      <c r="K169">
        <v>-12.212816</v>
      </c>
      <c r="L169">
        <v>-76.90858</v>
      </c>
      <c r="M169">
        <f>HYPERLINK("https://www.google.com/maps/search/?api=1&amp;query=-12.212816,-76.90858","Jirón Rímac, Villa María del Triunfo, Lima")</f>
      </c>
      <c r="N169">
        <v>0</v>
      </c>
      <c r="O169">
        <v>95</v>
      </c>
      <c r="P169">
        <v>2482.81</v>
      </c>
      <c r="Q169" t="str">
        <v>159.42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AAR-880</v>
      </c>
      <c r="D170" t="str">
        <v>AAR-880</v>
      </c>
      <c r="E170" t="str">
        <v/>
      </c>
      <c r="F170" t="str">
        <v>867806078847433</v>
      </c>
      <c r="G170" t="str">
        <v>Otro</v>
      </c>
      <c r="H170" t="str">
        <v/>
      </c>
      <c r="I170" t="str">
        <v>27/09/2026</v>
      </c>
      <c r="J170" t="str">
        <v>06:36:32</v>
      </c>
      <c r="K170">
        <v>-12.212816</v>
      </c>
      <c r="L170">
        <v>-76.90858</v>
      </c>
      <c r="M170">
        <f>HYPERLINK("https://www.google.com/maps/search/?api=1&amp;query=-12.212816,-76.90858","Jirón Rímac, Villa María del Triunfo, Lima")</f>
      </c>
      <c r="N170">
        <v>0</v>
      </c>
      <c r="O170">
        <v>95</v>
      </c>
      <c r="P170">
        <v>2482.81</v>
      </c>
      <c r="Q170" t="str">
        <v>159.42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AAR-880</v>
      </c>
      <c r="D171" t="str">
        <v>AAR-880</v>
      </c>
      <c r="E171" t="str">
        <v/>
      </c>
      <c r="F171" t="str">
        <v>867806078847433</v>
      </c>
      <c r="G171" t="str">
        <v>Otro</v>
      </c>
      <c r="H171" t="str">
        <v/>
      </c>
      <c r="I171" t="str">
        <v>27/09/2026</v>
      </c>
      <c r="J171" t="str">
        <v>06:37:32</v>
      </c>
      <c r="K171">
        <v>-12.212816</v>
      </c>
      <c r="L171">
        <v>-76.90858</v>
      </c>
      <c r="M171">
        <f>HYPERLINK("https://www.google.com/maps/search/?api=1&amp;query=-12.212816,-76.90858","Jirón Rímac, Villa María del Triunfo, Lima")</f>
      </c>
      <c r="N171">
        <v>0</v>
      </c>
      <c r="O171">
        <v>92</v>
      </c>
      <c r="P171">
        <v>2482.81</v>
      </c>
      <c r="Q171" t="str">
        <v>159.42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AAR-880</v>
      </c>
      <c r="D172" t="str">
        <v>AAR-880</v>
      </c>
      <c r="E172" t="str">
        <v/>
      </c>
      <c r="F172" t="str">
        <v>867806078847433</v>
      </c>
      <c r="G172" t="str">
        <v>Otro</v>
      </c>
      <c r="H172" t="str">
        <v/>
      </c>
      <c r="I172" t="str">
        <v>27/09/2026</v>
      </c>
      <c r="J172" t="str">
        <v>06:38:32</v>
      </c>
      <c r="K172">
        <v>-12.212816</v>
      </c>
      <c r="L172">
        <v>-76.90858</v>
      </c>
      <c r="M172">
        <f>HYPERLINK("https://www.google.com/maps/search/?api=1&amp;query=-12.212816,-76.90858","Jirón Rímac, Villa María del Triunfo, Lima")</f>
      </c>
      <c r="N172">
        <v>0</v>
      </c>
      <c r="O172">
        <v>92</v>
      </c>
      <c r="P172">
        <v>2482.81</v>
      </c>
      <c r="Q172" t="str">
        <v>159.42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AAR-880</v>
      </c>
      <c r="D173" t="str">
        <v>AAR-880</v>
      </c>
      <c r="E173" t="str">
        <v/>
      </c>
      <c r="F173" t="str">
        <v>867806078847433</v>
      </c>
      <c r="G173" t="str">
        <v>Otro</v>
      </c>
      <c r="H173" t="str">
        <v/>
      </c>
      <c r="I173" t="str">
        <v>27/09/2026</v>
      </c>
      <c r="J173" t="str">
        <v>06:38:39</v>
      </c>
      <c r="K173">
        <v>-12.212816</v>
      </c>
      <c r="L173">
        <v>-76.90858</v>
      </c>
      <c r="M173">
        <f>HYPERLINK("https://www.google.com/maps/search/?api=1&amp;query=-12.212816,-76.90858","Jirón Rímac, Villa María del Triunfo, Lima")</f>
      </c>
      <c r="N173">
        <v>0</v>
      </c>
      <c r="O173">
        <v>92</v>
      </c>
      <c r="P173">
        <v>2482.81</v>
      </c>
      <c r="Q173" t="str">
        <v>159.42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AAR-880</v>
      </c>
      <c r="D174" t="str">
        <v>AAR-880</v>
      </c>
      <c r="E174" t="str">
        <v/>
      </c>
      <c r="F174" t="str">
        <v>867806078847433</v>
      </c>
      <c r="G174" t="str">
        <v>Otro</v>
      </c>
      <c r="H174" t="str">
        <v/>
      </c>
      <c r="I174" t="str">
        <v>27/09/2026</v>
      </c>
      <c r="J174" t="str">
        <v>06:39:32</v>
      </c>
      <c r="K174">
        <v>-12.212816</v>
      </c>
      <c r="L174">
        <v>-76.90858</v>
      </c>
      <c r="M174">
        <f>HYPERLINK("https://www.google.com/maps/search/?api=1&amp;query=-12.212816,-76.90858","Jirón Rímac, Villa María del Triunfo, Lima")</f>
      </c>
      <c r="N174">
        <v>0</v>
      </c>
      <c r="O174">
        <v>92</v>
      </c>
      <c r="P174">
        <v>2482.81</v>
      </c>
      <c r="Q174" t="str">
        <v>159.42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AAR-880</v>
      </c>
      <c r="D175" t="str">
        <v>AAR-880</v>
      </c>
      <c r="E175" t="str">
        <v/>
      </c>
      <c r="F175" t="str">
        <v>867806078847433</v>
      </c>
      <c r="G175" t="str">
        <v>Otro</v>
      </c>
      <c r="H175" t="str">
        <v/>
      </c>
      <c r="I175" t="str">
        <v>27/09/2026</v>
      </c>
      <c r="J175" t="str">
        <v>06:40:32</v>
      </c>
      <c r="K175">
        <v>-12.212816</v>
      </c>
      <c r="L175">
        <v>-76.90858</v>
      </c>
      <c r="M175">
        <f>HYPERLINK("https://www.google.com/maps/search/?api=1&amp;query=-12.212816,-76.90858","Jirón Rímac, Villa María del Triunfo, Lima")</f>
      </c>
      <c r="N175">
        <v>0</v>
      </c>
      <c r="O175">
        <v>92</v>
      </c>
      <c r="P175">
        <v>2482.81</v>
      </c>
      <c r="Q175" t="str">
        <v>159.42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AAR-880</v>
      </c>
      <c r="D176" t="str">
        <v>AAR-880</v>
      </c>
      <c r="E176" t="str">
        <v/>
      </c>
      <c r="F176" t="str">
        <v>867806078847433</v>
      </c>
      <c r="G176" t="str">
        <v>Otro</v>
      </c>
      <c r="H176" t="str">
        <v/>
      </c>
      <c r="I176" t="str">
        <v>27/09/2026</v>
      </c>
      <c r="J176" t="str">
        <v>06:41:32</v>
      </c>
      <c r="K176">
        <v>-12.212816</v>
      </c>
      <c r="L176">
        <v>-76.90858</v>
      </c>
      <c r="M176">
        <f>HYPERLINK("https://www.google.com/maps/search/?api=1&amp;query=-12.212816,-76.90858","Jirón Rímac, Villa María del Triunfo, Lima")</f>
      </c>
      <c r="N176">
        <v>0</v>
      </c>
      <c r="O176">
        <v>92</v>
      </c>
      <c r="P176">
        <v>2482.81</v>
      </c>
      <c r="Q176" t="str">
        <v>159.42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AAR-880</v>
      </c>
      <c r="D177" t="str">
        <v>AAR-880</v>
      </c>
      <c r="E177" t="str">
        <v/>
      </c>
      <c r="F177" t="str">
        <v>867806078847433</v>
      </c>
      <c r="G177" t="str">
        <v>Otro</v>
      </c>
      <c r="H177" t="str">
        <v/>
      </c>
      <c r="I177" t="str">
        <v>27/09/2026</v>
      </c>
      <c r="J177" t="str">
        <v>06:42:32</v>
      </c>
      <c r="K177">
        <v>-12.212816</v>
      </c>
      <c r="L177">
        <v>-76.90858</v>
      </c>
      <c r="M177">
        <f>HYPERLINK("https://www.google.com/maps/search/?api=1&amp;query=-12.212816,-76.90858","Jirón Rímac, Villa María del Triunfo, Lima")</f>
      </c>
      <c r="N177">
        <v>0</v>
      </c>
      <c r="O177">
        <v>92</v>
      </c>
      <c r="P177">
        <v>2482.81</v>
      </c>
      <c r="Q177" t="str">
        <v>159.42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AAR-880</v>
      </c>
      <c r="D178" t="str">
        <v>AAR-880</v>
      </c>
      <c r="E178" t="str">
        <v/>
      </c>
      <c r="F178" t="str">
        <v>867806078847433</v>
      </c>
      <c r="G178" t="str">
        <v>Otro</v>
      </c>
      <c r="H178" t="str">
        <v/>
      </c>
      <c r="I178" t="str">
        <v>27/09/2026</v>
      </c>
      <c r="J178" t="str">
        <v>06:43:31</v>
      </c>
      <c r="K178">
        <v>-12.212816</v>
      </c>
      <c r="L178">
        <v>-76.90858</v>
      </c>
      <c r="M178">
        <f>HYPERLINK("https://www.google.com/maps/search/?api=1&amp;query=-12.212816,-76.90858","Jirón Rímac, Villa María del Triunfo, Lima")</f>
      </c>
      <c r="N178">
        <v>0</v>
      </c>
      <c r="O178">
        <v>92</v>
      </c>
      <c r="P178">
        <v>2482.81</v>
      </c>
      <c r="Q178" t="str">
        <v>159.70</v>
      </c>
      <c r="R178" t="str">
        <v>Vehículo apagado</v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AAR-880</v>
      </c>
      <c r="D179" t="str">
        <v>AAR-880</v>
      </c>
      <c r="E179" t="str">
        <v/>
      </c>
      <c r="F179" t="str">
        <v>867806078847433</v>
      </c>
      <c r="G179" t="str">
        <v>Otro</v>
      </c>
      <c r="H179" t="str">
        <v/>
      </c>
      <c r="I179" t="str">
        <v>27/09/2026</v>
      </c>
      <c r="J179" t="str">
        <v>06:53:31</v>
      </c>
      <c r="K179">
        <v>-12.212816</v>
      </c>
      <c r="L179">
        <v>-76.90858</v>
      </c>
      <c r="M179">
        <f>HYPERLINK("https://www.google.com/maps/search/?api=1&amp;query=-12.212816,-76.90858","Jirón Rímac, Villa María del Triunfo, Lima")</f>
      </c>
      <c r="N179">
        <v>0</v>
      </c>
      <c r="O179">
        <v>92</v>
      </c>
      <c r="P179">
        <v>2482.81</v>
      </c>
      <c r="Q179" t="str">
        <v>159.70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AAR-880</v>
      </c>
      <c r="D180" t="str">
        <v>AAR-880</v>
      </c>
      <c r="E180" t="str">
        <v/>
      </c>
      <c r="F180" t="str">
        <v>867806078847433</v>
      </c>
      <c r="G180" t="str">
        <v>Otro</v>
      </c>
      <c r="H180" t="str">
        <v/>
      </c>
      <c r="I180" t="str">
        <v>27/09/2026</v>
      </c>
      <c r="J180" t="str">
        <v>07:03:31</v>
      </c>
      <c r="K180">
        <v>-12.212816</v>
      </c>
      <c r="L180">
        <v>-76.90858</v>
      </c>
      <c r="M180">
        <f>HYPERLINK("https://www.google.com/maps/search/?api=1&amp;query=-12.212816,-76.90858","Jirón Rímac, Villa María del Triunfo, Lima")</f>
      </c>
      <c r="N180">
        <v>0</v>
      </c>
      <c r="O180">
        <v>90</v>
      </c>
      <c r="P180">
        <v>2482.81</v>
      </c>
      <c r="Q180" t="str">
        <v>159.70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AAR-880</v>
      </c>
      <c r="D181" t="str">
        <v>AAR-880</v>
      </c>
      <c r="E181" t="str">
        <v/>
      </c>
      <c r="F181" t="str">
        <v>867806078847433</v>
      </c>
      <c r="G181" t="str">
        <v>Otro</v>
      </c>
      <c r="H181" t="str">
        <v/>
      </c>
      <c r="I181" t="str">
        <v>27/09/2026</v>
      </c>
      <c r="J181" t="str">
        <v>07:10:05</v>
      </c>
      <c r="K181">
        <v>-12.212816</v>
      </c>
      <c r="L181">
        <v>-76.90858</v>
      </c>
      <c r="M181">
        <f>HYPERLINK("https://www.google.com/maps/search/?api=1&amp;query=-12.212816,-76.90858","Jirón Rímac, Villa María del Triunfo, Lima")</f>
      </c>
      <c r="N181">
        <v>0</v>
      </c>
      <c r="O181">
        <v>90</v>
      </c>
      <c r="P181">
        <v>2482.81</v>
      </c>
      <c r="Q181" t="str">
        <v>159.70</v>
      </c>
      <c r="R181" t="str">
        <v>Vehículo encendido</v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AAR-880</v>
      </c>
      <c r="D182" t="str">
        <v>AAR-880</v>
      </c>
      <c r="E182" t="str">
        <v/>
      </c>
      <c r="F182" t="str">
        <v>867806078847433</v>
      </c>
      <c r="G182" t="str">
        <v>Otro</v>
      </c>
      <c r="H182" t="str">
        <v/>
      </c>
      <c r="I182" t="str">
        <v>27/09/2026</v>
      </c>
      <c r="J182" t="str">
        <v>07:10:05</v>
      </c>
      <c r="K182">
        <v>-12.212816</v>
      </c>
      <c r="L182">
        <v>-76.90858</v>
      </c>
      <c r="M182">
        <f>HYPERLINK("https://www.google.com/maps/search/?api=1&amp;query=-12.212816,-76.90858","Jirón Rímac, Villa María del Triunfo, Lima")</f>
      </c>
      <c r="N182">
        <v>0</v>
      </c>
      <c r="O182">
        <v>90</v>
      </c>
      <c r="P182">
        <v>2482.81</v>
      </c>
      <c r="Q182" t="str">
        <v>159.70</v>
      </c>
      <c r="R182" t="str">
        <v>Se movio</v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AAR-880</v>
      </c>
      <c r="D183" t="str">
        <v>AAR-880</v>
      </c>
      <c r="E183" t="str">
        <v/>
      </c>
      <c r="F183" t="str">
        <v>867806078847433</v>
      </c>
      <c r="G183" t="str">
        <v>Otro</v>
      </c>
      <c r="H183" t="str">
        <v/>
      </c>
      <c r="I183" t="str">
        <v>27/09/2026</v>
      </c>
      <c r="J183" t="str">
        <v>07:10:49</v>
      </c>
      <c r="K183">
        <v>-12.21283</v>
      </c>
      <c r="L183">
        <v>-76.909164</v>
      </c>
      <c r="M183">
        <f>HYPERLINK("https://www.google.com/maps/search/?api=1&amp;query=-12.21283,-76.909164","Jirón Rímac, Villa María del Triunfo, Lima")</f>
      </c>
      <c r="N183">
        <v>13.3</v>
      </c>
      <c r="O183">
        <v>90</v>
      </c>
      <c r="P183">
        <v>2482.87</v>
      </c>
      <c r="Q183" t="str">
        <v>159.70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AAR-880</v>
      </c>
      <c r="D184" t="str">
        <v>AAR-880</v>
      </c>
      <c r="E184" t="str">
        <v/>
      </c>
      <c r="F184" t="str">
        <v>867806078847433</v>
      </c>
      <c r="G184" t="str">
        <v>Otro</v>
      </c>
      <c r="H184" t="str">
        <v/>
      </c>
      <c r="I184" t="str">
        <v>27/09/2026</v>
      </c>
      <c r="J184" t="str">
        <v>07:10:54</v>
      </c>
      <c r="K184">
        <v>-12.212816</v>
      </c>
      <c r="L184">
        <v>-76.909294</v>
      </c>
      <c r="M184">
        <f>HYPERLINK("https://www.google.com/maps/search/?api=1&amp;query=-12.212816,-76.909294","Jirón Rímac, Villa María del Triunfo, Lima")</f>
      </c>
      <c r="N184">
        <v>5.9</v>
      </c>
      <c r="O184">
        <v>90</v>
      </c>
      <c r="P184">
        <v>2482.89</v>
      </c>
      <c r="Q184" t="str">
        <v>159.70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AAR-880</v>
      </c>
      <c r="D185" t="str">
        <v>AAR-880</v>
      </c>
      <c r="E185" t="str">
        <v/>
      </c>
      <c r="F185" t="str">
        <v>867806078847433</v>
      </c>
      <c r="G185" t="str">
        <v>Otro</v>
      </c>
      <c r="H185" t="str">
        <v/>
      </c>
      <c r="I185" t="str">
        <v>27/09/2026</v>
      </c>
      <c r="J185" t="str">
        <v>07:10:59</v>
      </c>
      <c r="K185">
        <v>-12.212932</v>
      </c>
      <c r="L185">
        <v>-76.90936</v>
      </c>
      <c r="M185">
        <f>HYPERLINK("https://www.google.com/maps/search/?api=1&amp;query=-12.212932,-76.90936","Avenida Marian Quimper, Villa María del Triunfo, Lima")</f>
      </c>
      <c r="N185">
        <v>15.1</v>
      </c>
      <c r="O185">
        <v>90</v>
      </c>
      <c r="P185">
        <v>2482.9</v>
      </c>
      <c r="Q185" t="str">
        <v>159.70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AAR-880</v>
      </c>
      <c r="D186" t="str">
        <v>AAR-880</v>
      </c>
      <c r="E186" t="str">
        <v/>
      </c>
      <c r="F186" t="str">
        <v>867806078847433</v>
      </c>
      <c r="G186" t="str">
        <v>Otro</v>
      </c>
      <c r="H186" t="str">
        <v/>
      </c>
      <c r="I186" t="str">
        <v>27/09/2026</v>
      </c>
      <c r="J186" t="str">
        <v>07:11:33</v>
      </c>
      <c r="K186">
        <v>-12.21535</v>
      </c>
      <c r="L186">
        <v>-76.909706</v>
      </c>
      <c r="M186">
        <f>HYPERLINK("https://www.google.com/maps/search/?api=1&amp;query=-12.21535,-76.909706","Avenida Marian Quimper, Villa María del Triunfo, Lima")</f>
      </c>
      <c r="N186">
        <v>15.9</v>
      </c>
      <c r="O186">
        <v>90</v>
      </c>
      <c r="P186">
        <v>2483.17</v>
      </c>
      <c r="Q186" t="str">
        <v>159.70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AAR-880</v>
      </c>
      <c r="D187" t="str">
        <v>AAR-880</v>
      </c>
      <c r="E187" t="str">
        <v/>
      </c>
      <c r="F187" t="str">
        <v>867806078847433</v>
      </c>
      <c r="G187" t="str">
        <v>Otro</v>
      </c>
      <c r="H187" t="str">
        <v/>
      </c>
      <c r="I187" t="str">
        <v>27/09/2026</v>
      </c>
      <c r="J187" t="str">
        <v>07:11:38</v>
      </c>
      <c r="K187">
        <v>-12.215431</v>
      </c>
      <c r="L187">
        <v>-76.90954</v>
      </c>
      <c r="M187">
        <f>HYPERLINK("https://www.google.com/maps/search/?api=1&amp;query=-12.215431,-76.90954","Jirón Tambo, Villa María del Triunfo, Lima")</f>
      </c>
      <c r="N187">
        <v>19.4</v>
      </c>
      <c r="O187">
        <v>90</v>
      </c>
      <c r="P187">
        <v>2483.19</v>
      </c>
      <c r="Q187" t="str">
        <v>159.70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AAR-880</v>
      </c>
      <c r="D188" t="str">
        <v>AAR-880</v>
      </c>
      <c r="E188" t="str">
        <v/>
      </c>
      <c r="F188" t="str">
        <v>867806078847433</v>
      </c>
      <c r="G188" t="str">
        <v>Otro</v>
      </c>
      <c r="H188" t="str">
        <v/>
      </c>
      <c r="I188" t="str">
        <v>27/09/2026</v>
      </c>
      <c r="J188" t="str">
        <v>07:12:38</v>
      </c>
      <c r="K188">
        <v>-12.215335</v>
      </c>
      <c r="L188">
        <v>-76.90686</v>
      </c>
      <c r="M188">
        <f>HYPERLINK("https://www.google.com/maps/search/?api=1&amp;query=-12.215335,-76.90686","Jirón Tambo, Villa María del Triunfo, Lima")</f>
      </c>
      <c r="N188">
        <v>10.9</v>
      </c>
      <c r="O188">
        <v>95</v>
      </c>
      <c r="P188">
        <v>2483.48</v>
      </c>
      <c r="Q188" t="str">
        <v>159.70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AAR-880</v>
      </c>
      <c r="D189" t="str">
        <v>AAR-880</v>
      </c>
      <c r="E189" t="str">
        <v/>
      </c>
      <c r="F189" t="str">
        <v>867806078847433</v>
      </c>
      <c r="G189" t="str">
        <v>Otro</v>
      </c>
      <c r="H189" t="str">
        <v/>
      </c>
      <c r="I189" t="str">
        <v>27/09/2026</v>
      </c>
      <c r="J189" t="str">
        <v>07:12:42</v>
      </c>
      <c r="K189">
        <v>-12.215458</v>
      </c>
      <c r="L189">
        <v>-76.906784</v>
      </c>
      <c r="M189">
        <f>HYPERLINK("https://www.google.com/maps/search/?api=1&amp;query=-12.215458,-76.906784","Avenida Lima, Villa María del Triunfo")</f>
      </c>
      <c r="N189">
        <v>19.2</v>
      </c>
      <c r="O189">
        <v>95</v>
      </c>
      <c r="P189">
        <v>2483.5</v>
      </c>
      <c r="Q189" t="str">
        <v>159.70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AAR-880</v>
      </c>
      <c r="D190" t="str">
        <v>AAR-880</v>
      </c>
      <c r="E190" t="str">
        <v/>
      </c>
      <c r="F190" t="str">
        <v>867806078847433</v>
      </c>
      <c r="G190" t="str">
        <v>Otro</v>
      </c>
      <c r="H190" t="str">
        <v/>
      </c>
      <c r="I190" t="str">
        <v>27/09/2026</v>
      </c>
      <c r="J190" t="str">
        <v>07:13:19</v>
      </c>
      <c r="K190">
        <v>-12.218028</v>
      </c>
      <c r="L190">
        <v>-76.90724</v>
      </c>
      <c r="M190">
        <f>HYPERLINK("https://www.google.com/maps/search/?api=1&amp;query=-12.218028,-76.90724","Avenida Lima, Villa María del Triunfo")</f>
      </c>
      <c r="N190">
        <v>13.5</v>
      </c>
      <c r="O190">
        <v>87</v>
      </c>
      <c r="P190">
        <v>2483.79</v>
      </c>
      <c r="Q190" t="str">
        <v>159.70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AAR-880</v>
      </c>
      <c r="D191" t="str">
        <v>AAR-880</v>
      </c>
      <c r="E191" t="str">
        <v/>
      </c>
      <c r="F191" t="str">
        <v>867806078847433</v>
      </c>
      <c r="G191" t="str">
        <v>Otro</v>
      </c>
      <c r="H191" t="str">
        <v/>
      </c>
      <c r="I191" t="str">
        <v>27/09/2026</v>
      </c>
      <c r="J191" t="str">
        <v>07:13:24</v>
      </c>
      <c r="K191">
        <v>-12.21814</v>
      </c>
      <c r="L191">
        <v>-76.90717</v>
      </c>
      <c r="M191">
        <f>HYPERLINK("https://www.google.com/maps/search/?api=1&amp;query=-12.21814,-76.90717","Avenida Zarumilla, Villa María del Triunfo, Lima")</f>
      </c>
      <c r="N191">
        <v>14</v>
      </c>
      <c r="O191">
        <v>92</v>
      </c>
      <c r="P191">
        <v>2483.8</v>
      </c>
      <c r="Q191" t="str">
        <v>159.70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AAR-880</v>
      </c>
      <c r="D192" t="str">
        <v>AAR-880</v>
      </c>
      <c r="E192" t="str">
        <v/>
      </c>
      <c r="F192" t="str">
        <v>867806078847433</v>
      </c>
      <c r="G192" t="str">
        <v>Otro</v>
      </c>
      <c r="H192" t="str">
        <v/>
      </c>
      <c r="I192" t="str">
        <v>27/09/2026</v>
      </c>
      <c r="J192" t="str">
        <v>07:13:31</v>
      </c>
      <c r="K192">
        <v>-12.218431</v>
      </c>
      <c r="L192">
        <v>-76.907005</v>
      </c>
      <c r="M192">
        <f>HYPERLINK("https://www.google.com/maps/search/?api=1&amp;query=-12.218431,-76.907005","Avenida Zarumilla, Villa María del Triunfo, Lima")</f>
      </c>
      <c r="N192">
        <v>21.4</v>
      </c>
      <c r="O192">
        <v>92</v>
      </c>
      <c r="P192">
        <v>2483.84</v>
      </c>
      <c r="Q192" t="str">
        <v>159.70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AAR-880</v>
      </c>
      <c r="D193" t="str">
        <v>AAR-880</v>
      </c>
      <c r="E193" t="str">
        <v/>
      </c>
      <c r="F193" t="str">
        <v>867806078847433</v>
      </c>
      <c r="G193" t="str">
        <v>Otro</v>
      </c>
      <c r="H193" t="str">
        <v/>
      </c>
      <c r="I193" t="str">
        <v>27/09/2026</v>
      </c>
      <c r="J193" t="str">
        <v>07:13:56</v>
      </c>
      <c r="K193">
        <v>-12.219454</v>
      </c>
      <c r="L193">
        <v>-76.90644</v>
      </c>
      <c r="M193">
        <f>HYPERLINK("https://www.google.com/maps/search/?api=1&amp;query=-12.219454,-76.90644","Avenida Miguel Grau, Villa María del Triunfo, Lima")</f>
      </c>
      <c r="N193">
        <v>16.4</v>
      </c>
      <c r="O193">
        <v>92</v>
      </c>
      <c r="P193">
        <v>2483.96</v>
      </c>
      <c r="Q193" t="str">
        <v>159.70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AAR-880</v>
      </c>
      <c r="D194" t="str">
        <v>AAR-880</v>
      </c>
      <c r="E194" t="str">
        <v/>
      </c>
      <c r="F194" t="str">
        <v>867806078847433</v>
      </c>
      <c r="G194" t="str">
        <v>Otro</v>
      </c>
      <c r="H194" t="str">
        <v/>
      </c>
      <c r="I194" t="str">
        <v>27/09/2026</v>
      </c>
      <c r="J194" t="str">
        <v>07:14:01</v>
      </c>
      <c r="K194">
        <v>-12.219664</v>
      </c>
      <c r="L194">
        <v>-76.90648</v>
      </c>
      <c r="M194">
        <f>HYPERLINK("https://www.google.com/maps/search/?api=1&amp;query=-12.219664,-76.90648","Avenida Miguel Grau, Villa María del Triunfo, Lima")</f>
      </c>
      <c r="N194">
        <v>12.2</v>
      </c>
      <c r="O194">
        <v>92</v>
      </c>
      <c r="P194">
        <v>2483.98</v>
      </c>
      <c r="Q194" t="str">
        <v>159.70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AAR-880</v>
      </c>
      <c r="D195" t="str">
        <v>AAR-880</v>
      </c>
      <c r="E195" t="str">
        <v/>
      </c>
      <c r="F195" t="str">
        <v>867806078847433</v>
      </c>
      <c r="G195" t="str">
        <v>Otro</v>
      </c>
      <c r="H195" t="str">
        <v/>
      </c>
      <c r="I195" t="str">
        <v>27/09/2026</v>
      </c>
      <c r="J195" t="str">
        <v>07:15:01</v>
      </c>
      <c r="K195">
        <v>-12.21978</v>
      </c>
      <c r="L195">
        <v>-76.9065</v>
      </c>
      <c r="M195">
        <f>HYPERLINK("https://www.google.com/maps/search/?api=1&amp;query=-12.21978,-76.9065","Avenida Miguel Grau, Villa María del Triunfo, Lima")</f>
      </c>
      <c r="N195">
        <v>0</v>
      </c>
      <c r="O195">
        <v>95</v>
      </c>
      <c r="P195">
        <v>2484</v>
      </c>
      <c r="Q195" t="str">
        <v>159.70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AAR-880</v>
      </c>
      <c r="D196" t="str">
        <v>AAR-880</v>
      </c>
      <c r="E196" t="str">
        <v/>
      </c>
      <c r="F196" t="str">
        <v>867806078847433</v>
      </c>
      <c r="G196" t="str">
        <v>Otro</v>
      </c>
      <c r="H196" t="str">
        <v/>
      </c>
      <c r="I196" t="str">
        <v>27/09/2026</v>
      </c>
      <c r="J196" t="str">
        <v>07:16:01</v>
      </c>
      <c r="K196">
        <v>-12.21978</v>
      </c>
      <c r="L196">
        <v>-76.9065</v>
      </c>
      <c r="M196">
        <f>HYPERLINK("https://www.google.com/maps/search/?api=1&amp;query=-12.21978,-76.9065","Avenida Miguel Grau, Villa María del Triunfo, Lima")</f>
      </c>
      <c r="N196">
        <v>0</v>
      </c>
      <c r="O196">
        <v>95</v>
      </c>
      <c r="P196">
        <v>2484</v>
      </c>
      <c r="Q196" t="str">
        <v>159.70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AAR-880</v>
      </c>
      <c r="D197" t="str">
        <v>AAR-880</v>
      </c>
      <c r="E197" t="str">
        <v/>
      </c>
      <c r="F197" t="str">
        <v>867806078847433</v>
      </c>
      <c r="G197" t="str">
        <v>Otro</v>
      </c>
      <c r="H197" t="str">
        <v/>
      </c>
      <c r="I197" t="str">
        <v>27/09/2026</v>
      </c>
      <c r="J197" t="str">
        <v>07:17:01</v>
      </c>
      <c r="K197">
        <v>-12.21978</v>
      </c>
      <c r="L197">
        <v>-76.9065</v>
      </c>
      <c r="M197">
        <f>HYPERLINK("https://www.google.com/maps/search/?api=1&amp;query=-12.21978,-76.9065","Avenida Miguel Grau, Villa María del Triunfo, Lima")</f>
      </c>
      <c r="N197">
        <v>0</v>
      </c>
      <c r="O197">
        <v>95</v>
      </c>
      <c r="P197">
        <v>2484</v>
      </c>
      <c r="Q197" t="str">
        <v>159.70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AAR-880</v>
      </c>
      <c r="D198" t="str">
        <v>AAR-880</v>
      </c>
      <c r="E198" t="str">
        <v/>
      </c>
      <c r="F198" t="str">
        <v>867806078847433</v>
      </c>
      <c r="G198" t="str">
        <v>Otro</v>
      </c>
      <c r="H198" t="str">
        <v/>
      </c>
      <c r="I198" t="str">
        <v>27/09/2026</v>
      </c>
      <c r="J198" t="str">
        <v>07:17:07</v>
      </c>
      <c r="K198">
        <v>-12.21978</v>
      </c>
      <c r="L198">
        <v>-76.9065</v>
      </c>
      <c r="M198">
        <f>HYPERLINK("https://www.google.com/maps/search/?api=1&amp;query=-12.21978,-76.9065","Avenida Miguel Grau, Villa María del Triunfo, Lima")</f>
      </c>
      <c r="N198">
        <v>0</v>
      </c>
      <c r="O198">
        <v>95</v>
      </c>
      <c r="P198">
        <v>2484</v>
      </c>
      <c r="Q198" t="str">
        <v>159.70</v>
      </c>
      <c r="R198" t="str">
        <v>Inicio de ralentí</v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AAR-880</v>
      </c>
      <c r="D199" t="str">
        <v>AAR-880</v>
      </c>
      <c r="E199" t="str">
        <v/>
      </c>
      <c r="F199" t="str">
        <v>867806078847433</v>
      </c>
      <c r="G199" t="str">
        <v>Otro</v>
      </c>
      <c r="H199" t="str">
        <v/>
      </c>
      <c r="I199" t="str">
        <v>27/09/2026</v>
      </c>
      <c r="J199" t="str">
        <v>07:18:01</v>
      </c>
      <c r="K199">
        <v>-12.21978</v>
      </c>
      <c r="L199">
        <v>-76.9065</v>
      </c>
      <c r="M199">
        <f>HYPERLINK("https://www.google.com/maps/search/?api=1&amp;query=-12.21978,-76.9065","Avenida Miguel Grau, Villa María del Triunfo, Lima")</f>
      </c>
      <c r="N199">
        <v>0</v>
      </c>
      <c r="O199">
        <v>95</v>
      </c>
      <c r="P199">
        <v>2484</v>
      </c>
      <c r="Q199" t="str">
        <v>159.70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AAR-880</v>
      </c>
      <c r="D200" t="str">
        <v>AAR-880</v>
      </c>
      <c r="E200" t="str">
        <v/>
      </c>
      <c r="F200" t="str">
        <v>867806078847433</v>
      </c>
      <c r="G200" t="str">
        <v>Otro</v>
      </c>
      <c r="H200" t="str">
        <v/>
      </c>
      <c r="I200" t="str">
        <v>27/09/2026</v>
      </c>
      <c r="J200" t="str">
        <v>07:18:29</v>
      </c>
      <c r="K200">
        <v>-12.219853</v>
      </c>
      <c r="L200">
        <v>-76.90644</v>
      </c>
      <c r="M200">
        <f>HYPERLINK("https://www.google.com/maps/search/?api=1&amp;query=-12.219853,-76.90644","Avenida Miguel Grau, Villa María del Triunfo, Lima")</f>
      </c>
      <c r="N200">
        <v>0</v>
      </c>
      <c r="O200">
        <v>95</v>
      </c>
      <c r="P200">
        <v>2484.01</v>
      </c>
      <c r="Q200" t="str">
        <v>159.70</v>
      </c>
      <c r="R200" t="str">
        <v>Fin de ralentí</v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AAR-880</v>
      </c>
      <c r="D201" t="str">
        <v>AAR-880</v>
      </c>
      <c r="E201" t="str">
        <v/>
      </c>
      <c r="F201" t="str">
        <v>867806078847433</v>
      </c>
      <c r="G201" t="str">
        <v>Otro</v>
      </c>
      <c r="H201" t="str">
        <v/>
      </c>
      <c r="I201" t="str">
        <v>27/09/2026</v>
      </c>
      <c r="J201" t="str">
        <v>07:19:01</v>
      </c>
      <c r="K201">
        <v>-12.219853</v>
      </c>
      <c r="L201">
        <v>-76.90644</v>
      </c>
      <c r="M201">
        <f>HYPERLINK("https://www.google.com/maps/search/?api=1&amp;query=-12.219853,-76.90644","Avenida Miguel Grau, Villa María del Triunfo, Lima")</f>
      </c>
      <c r="N201">
        <v>0</v>
      </c>
      <c r="O201">
        <v>95</v>
      </c>
      <c r="P201">
        <v>2484.01</v>
      </c>
      <c r="Q201" t="str">
        <v>159.70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AAR-880</v>
      </c>
      <c r="D202" t="str">
        <v>AAR-880</v>
      </c>
      <c r="E202" t="str">
        <v/>
      </c>
      <c r="F202" t="str">
        <v>867806078847433</v>
      </c>
      <c r="G202" t="str">
        <v>Otro</v>
      </c>
      <c r="H202" t="str">
        <v/>
      </c>
      <c r="I202" t="str">
        <v>27/09/2026</v>
      </c>
      <c r="J202" t="str">
        <v>07:20:01</v>
      </c>
      <c r="K202">
        <v>-12.219853</v>
      </c>
      <c r="L202">
        <v>-76.90644</v>
      </c>
      <c r="M202">
        <f>HYPERLINK("https://www.google.com/maps/search/?api=1&amp;query=-12.219853,-76.90644","Avenida Miguel Grau, Villa María del Triunfo, Lima")</f>
      </c>
      <c r="N202">
        <v>0</v>
      </c>
      <c r="O202">
        <v>95</v>
      </c>
      <c r="P202">
        <v>2484.01</v>
      </c>
      <c r="Q202" t="str">
        <v>159.70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AAR-880</v>
      </c>
      <c r="D203" t="str">
        <v>AAR-880</v>
      </c>
      <c r="E203" t="str">
        <v/>
      </c>
      <c r="F203" t="str">
        <v>867806078847433</v>
      </c>
      <c r="G203" t="str">
        <v>Otro</v>
      </c>
      <c r="H203" t="str">
        <v/>
      </c>
      <c r="I203" t="str">
        <v>27/09/2026</v>
      </c>
      <c r="J203" t="str">
        <v>07:21:01</v>
      </c>
      <c r="K203">
        <v>-12.219853</v>
      </c>
      <c r="L203">
        <v>-76.90644</v>
      </c>
      <c r="M203">
        <f>HYPERLINK("https://www.google.com/maps/search/?api=1&amp;query=-12.219853,-76.90644","Avenida Miguel Grau, Villa María del Triunfo, Lima")</f>
      </c>
      <c r="N203">
        <v>0</v>
      </c>
      <c r="O203">
        <v>95</v>
      </c>
      <c r="P203">
        <v>2484.01</v>
      </c>
      <c r="Q203" t="str">
        <v>159.70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AAR-880</v>
      </c>
      <c r="D204" t="str">
        <v>AAR-880</v>
      </c>
      <c r="E204" t="str">
        <v/>
      </c>
      <c r="F204" t="str">
        <v>867806078847433</v>
      </c>
      <c r="G204" t="str">
        <v>Otro</v>
      </c>
      <c r="H204" t="str">
        <v/>
      </c>
      <c r="I204" t="str">
        <v>27/09/2026</v>
      </c>
      <c r="J204" t="str">
        <v>07:21:43</v>
      </c>
      <c r="K204">
        <v>-12.219853</v>
      </c>
      <c r="L204">
        <v>-76.90644</v>
      </c>
      <c r="M204">
        <f>HYPERLINK("https://www.google.com/maps/search/?api=1&amp;query=-12.219853,-76.90644","Avenida Miguel Grau, Villa María del Triunfo, Lima")</f>
      </c>
      <c r="N204">
        <v>0</v>
      </c>
      <c r="O204">
        <v>95</v>
      </c>
      <c r="P204">
        <v>2484.01</v>
      </c>
      <c r="Q204" t="str">
        <v>159.90</v>
      </c>
      <c r="R204" t="str">
        <v>Vehículo apagado</v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AAR-880</v>
      </c>
      <c r="D205" t="str">
        <v>AAR-880</v>
      </c>
      <c r="E205" t="str">
        <v/>
      </c>
      <c r="F205" t="str">
        <v>867806078847433</v>
      </c>
      <c r="G205" t="str">
        <v>Otro</v>
      </c>
      <c r="H205" t="str">
        <v/>
      </c>
      <c r="I205" t="str">
        <v>27/09/2026</v>
      </c>
      <c r="J205" t="str">
        <v>07:21:43</v>
      </c>
      <c r="K205">
        <v>-12.219853</v>
      </c>
      <c r="L205">
        <v>-76.90644</v>
      </c>
      <c r="M205">
        <f>HYPERLINK("https://www.google.com/maps/search/?api=1&amp;query=-12.219853,-76.90644","Avenida Miguel Grau, Villa María del Triunfo, Lima")</f>
      </c>
      <c r="N205">
        <v>0</v>
      </c>
      <c r="O205">
        <v>95</v>
      </c>
      <c r="P205">
        <v>2484.01</v>
      </c>
      <c r="Q205" t="str">
        <v>159.70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AAR-880</v>
      </c>
      <c r="D206" t="str">
        <v>AAR-880</v>
      </c>
      <c r="E206" t="str">
        <v/>
      </c>
      <c r="F206" t="str">
        <v>867806078847433</v>
      </c>
      <c r="G206" t="str">
        <v>Otro</v>
      </c>
      <c r="H206" t="str">
        <v/>
      </c>
      <c r="I206" t="str">
        <v>27/09/2026</v>
      </c>
      <c r="J206" t="str">
        <v>07:27:16</v>
      </c>
      <c r="K206">
        <v>-12.219853</v>
      </c>
      <c r="L206">
        <v>-76.90644</v>
      </c>
      <c r="M206">
        <f>HYPERLINK("https://www.google.com/maps/search/?api=1&amp;query=-12.219853,-76.90644","Avenida Miguel Grau, Villa María del Triunfo, Lima")</f>
      </c>
      <c r="N206">
        <v>0</v>
      </c>
      <c r="O206">
        <v>95</v>
      </c>
      <c r="P206">
        <v>2484.01</v>
      </c>
      <c r="Q206" t="str">
        <v>159.90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AAR-880</v>
      </c>
      <c r="D207" t="str">
        <v>AAR-880</v>
      </c>
      <c r="E207" t="str">
        <v/>
      </c>
      <c r="F207" t="str">
        <v>867806078847433</v>
      </c>
      <c r="G207" t="str">
        <v>Otro</v>
      </c>
      <c r="H207" t="str">
        <v/>
      </c>
      <c r="I207" t="str">
        <v>27/09/2026</v>
      </c>
      <c r="J207" t="str">
        <v>07:28:21</v>
      </c>
      <c r="K207">
        <v>-12.219853</v>
      </c>
      <c r="L207">
        <v>-76.90644</v>
      </c>
      <c r="M207">
        <f>HYPERLINK("https://www.google.com/maps/search/?api=1&amp;query=-12.219853,-76.90644","Avenida Miguel Grau, Villa María del Triunfo, Lima")</f>
      </c>
      <c r="N207">
        <v>0</v>
      </c>
      <c r="O207">
        <v>95</v>
      </c>
      <c r="P207">
        <v>2484.01</v>
      </c>
      <c r="Q207" t="str">
        <v>159.90</v>
      </c>
      <c r="R207" t="str">
        <v>Vehículo encendido</v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AAR-880</v>
      </c>
      <c r="D208" t="str">
        <v>AAR-880</v>
      </c>
      <c r="E208" t="str">
        <v/>
      </c>
      <c r="F208" t="str">
        <v>867806078847433</v>
      </c>
      <c r="G208" t="str">
        <v>Otro</v>
      </c>
      <c r="H208" t="str">
        <v/>
      </c>
      <c r="I208" t="str">
        <v>27/09/2026</v>
      </c>
      <c r="J208" t="str">
        <v>07:28:21</v>
      </c>
      <c r="K208">
        <v>-12.219853</v>
      </c>
      <c r="L208">
        <v>-76.90644</v>
      </c>
      <c r="M208">
        <f>HYPERLINK("https://www.google.com/maps/search/?api=1&amp;query=-12.219853,-76.90644","Avenida Miguel Grau, Villa María del Triunfo, Lima")</f>
      </c>
      <c r="N208">
        <v>0</v>
      </c>
      <c r="O208">
        <v>95</v>
      </c>
      <c r="P208">
        <v>2484.01</v>
      </c>
      <c r="Q208" t="str">
        <v>159.90</v>
      </c>
      <c r="R208" t="str">
        <v>Se movio</v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AAR-880</v>
      </c>
      <c r="D209" t="str">
        <v>AAR-880</v>
      </c>
      <c r="E209" t="str">
        <v/>
      </c>
      <c r="F209" t="str">
        <v>867806078847433</v>
      </c>
      <c r="G209" t="str">
        <v>Otro</v>
      </c>
      <c r="H209" t="str">
        <v/>
      </c>
      <c r="I209" t="str">
        <v>27/09/2026</v>
      </c>
      <c r="J209" t="str">
        <v>07:29:21</v>
      </c>
      <c r="K209">
        <v>-12.222975</v>
      </c>
      <c r="L209">
        <v>-76.90707</v>
      </c>
      <c r="M209">
        <f>HYPERLINK("https://www.google.com/maps/search/?api=1&amp;query=-12.222975,-76.90707","Avenida Mariscal Ramón Castilla, Villa María del Triunfo, Lima")</f>
      </c>
      <c r="N209">
        <v>23.8</v>
      </c>
      <c r="O209">
        <v>95</v>
      </c>
      <c r="P209">
        <v>2484.35</v>
      </c>
      <c r="Q209" t="str">
        <v>159.90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AAR-880</v>
      </c>
      <c r="D210" t="str">
        <v>AAR-880</v>
      </c>
      <c r="E210" t="str">
        <v/>
      </c>
      <c r="F210" t="str">
        <v>867806078847433</v>
      </c>
      <c r="G210" t="str">
        <v>Otro</v>
      </c>
      <c r="H210" t="str">
        <v/>
      </c>
      <c r="I210" t="str">
        <v>27/09/2026</v>
      </c>
      <c r="J210" t="str">
        <v>07:29:29</v>
      </c>
      <c r="K210">
        <v>-12.223512</v>
      </c>
      <c r="L210">
        <v>-76.907166</v>
      </c>
      <c r="M210">
        <f>HYPERLINK("https://www.google.com/maps/search/?api=1&amp;query=-12.223512,-76.907166","Avenida Miguel Grau, Villa María del Triunfo, Lima")</f>
      </c>
      <c r="N210">
        <v>32.4</v>
      </c>
      <c r="O210">
        <v>95</v>
      </c>
      <c r="P210">
        <v>2484.41</v>
      </c>
      <c r="Q210" t="str">
        <v>159.90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AAR-880</v>
      </c>
      <c r="D211" t="str">
        <v>AAR-880</v>
      </c>
      <c r="E211" t="str">
        <v/>
      </c>
      <c r="F211" t="str">
        <v>867806078847433</v>
      </c>
      <c r="G211" t="str">
        <v>Otro</v>
      </c>
      <c r="H211" t="str">
        <v/>
      </c>
      <c r="I211" t="str">
        <v>27/09/2026</v>
      </c>
      <c r="J211" t="str">
        <v>07:29:34</v>
      </c>
      <c r="K211">
        <v>-12.22385</v>
      </c>
      <c r="L211">
        <v>-76.907234</v>
      </c>
      <c r="M211">
        <f>HYPERLINK("https://www.google.com/maps/search/?api=1&amp;query=-12.22385,-76.907234","Avenida Miguel Grau, Villa María del Triunfo, Lima")</f>
      </c>
      <c r="N211">
        <v>6.6</v>
      </c>
      <c r="O211">
        <v>95</v>
      </c>
      <c r="P211">
        <v>2484.45</v>
      </c>
      <c r="Q211" t="str">
        <v>159.90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AAR-880</v>
      </c>
      <c r="D212" t="str">
        <v>AAR-880</v>
      </c>
      <c r="E212" t="str">
        <v/>
      </c>
      <c r="F212" t="str">
        <v>867806078847433</v>
      </c>
      <c r="G212" t="str">
        <v>Otro</v>
      </c>
      <c r="H212" t="str">
        <v/>
      </c>
      <c r="I212" t="str">
        <v>27/09/2026</v>
      </c>
      <c r="J212" t="str">
        <v>07:29:39</v>
      </c>
      <c r="K212">
        <v>-12.223871</v>
      </c>
      <c r="L212">
        <v>-76.90736</v>
      </c>
      <c r="M212">
        <f>HYPERLINK("https://www.google.com/maps/search/?api=1&amp;query=-12.223871,-76.90736","Avenida Saenz Peña, Villa María del Triunfo, Lima")</f>
      </c>
      <c r="N212">
        <v>13.8</v>
      </c>
      <c r="O212">
        <v>94</v>
      </c>
      <c r="P212">
        <v>2484.47</v>
      </c>
      <c r="Q212" t="str">
        <v>159.90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AAR-880</v>
      </c>
      <c r="D213" t="str">
        <v>AAR-880</v>
      </c>
      <c r="E213" t="str">
        <v/>
      </c>
      <c r="F213" t="str">
        <v>867806078847433</v>
      </c>
      <c r="G213" t="str">
        <v>Otro</v>
      </c>
      <c r="H213" t="str">
        <v/>
      </c>
      <c r="I213" t="str">
        <v>27/09/2026</v>
      </c>
      <c r="J213" t="str">
        <v>07:29:44</v>
      </c>
      <c r="K213">
        <v>-12.223835</v>
      </c>
      <c r="L213">
        <v>-76.90751</v>
      </c>
      <c r="M213">
        <f>HYPERLINK("https://www.google.com/maps/search/?api=1&amp;query=-12.223835,-76.90751","Avenida Saenz Peña, Villa María del Triunfo, Lima")</f>
      </c>
      <c r="N213">
        <v>10.3</v>
      </c>
      <c r="O213">
        <v>94</v>
      </c>
      <c r="P213">
        <v>2484.48</v>
      </c>
      <c r="Q213" t="str">
        <v>159.90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AAR-880</v>
      </c>
      <c r="D214" t="str">
        <v>AAR-880</v>
      </c>
      <c r="E214" t="str">
        <v/>
      </c>
      <c r="F214" t="str">
        <v>867806078847433</v>
      </c>
      <c r="G214" t="str">
        <v>Otro</v>
      </c>
      <c r="H214" t="str">
        <v/>
      </c>
      <c r="I214" t="str">
        <v>27/09/2026</v>
      </c>
      <c r="J214" t="str">
        <v>07:30:09</v>
      </c>
      <c r="K214">
        <v>-12.22374</v>
      </c>
      <c r="L214">
        <v>-76.90811</v>
      </c>
      <c r="M214">
        <f>HYPERLINK("https://www.google.com/maps/search/?api=1&amp;query=-12.22374,-76.90811","Avenida Saenz Peña, Villa María del Triunfo, Lima")</f>
      </c>
      <c r="N214">
        <v>7</v>
      </c>
      <c r="O214">
        <v>91</v>
      </c>
      <c r="P214">
        <v>2484.55</v>
      </c>
      <c r="Q214" t="str">
        <v>159.90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AAR-880</v>
      </c>
      <c r="D215" t="str">
        <v>AAR-880</v>
      </c>
      <c r="E215" t="str">
        <v/>
      </c>
      <c r="F215" t="str">
        <v>867806078847433</v>
      </c>
      <c r="G215" t="str">
        <v>Otro</v>
      </c>
      <c r="H215" t="str">
        <v/>
      </c>
      <c r="I215" t="str">
        <v>27/09/2026</v>
      </c>
      <c r="J215" t="str">
        <v>07:30:14</v>
      </c>
      <c r="K215">
        <v>-12.223765</v>
      </c>
      <c r="L215">
        <v>-76.90823</v>
      </c>
      <c r="M215">
        <f>HYPERLINK("https://www.google.com/maps/search/?api=1&amp;query=-12.223765,-76.90823","Avenida Lima, Villa María del Triunfo")</f>
      </c>
      <c r="N215">
        <v>12.7</v>
      </c>
      <c r="O215">
        <v>91</v>
      </c>
      <c r="P215">
        <v>2484.56</v>
      </c>
      <c r="Q215" t="str">
        <v>159.90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AAR-880</v>
      </c>
      <c r="D216" t="str">
        <v>AAR-880</v>
      </c>
      <c r="E216" t="str">
        <v/>
      </c>
      <c r="F216" t="str">
        <v>867806078847433</v>
      </c>
      <c r="G216" t="str">
        <v>Otro</v>
      </c>
      <c r="H216" t="str">
        <v/>
      </c>
      <c r="I216" t="str">
        <v>27/09/2026</v>
      </c>
      <c r="J216" t="str">
        <v>07:30:19</v>
      </c>
      <c r="K216">
        <v>-12.223918</v>
      </c>
      <c r="L216">
        <v>-76.90827</v>
      </c>
      <c r="M216">
        <f>HYPERLINK("https://www.google.com/maps/search/?api=1&amp;query=-12.223918,-76.90827","Avenida Lima, Villa María del Triunfo")</f>
      </c>
      <c r="N216">
        <v>17.9</v>
      </c>
      <c r="O216">
        <v>91</v>
      </c>
      <c r="P216">
        <v>2484.58</v>
      </c>
      <c r="Q216" t="str">
        <v>159.90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AAR-880</v>
      </c>
      <c r="D217" t="str">
        <v>AAR-880</v>
      </c>
      <c r="E217" t="str">
        <v/>
      </c>
      <c r="F217" t="str">
        <v>867806078847433</v>
      </c>
      <c r="G217" t="str">
        <v>Otro</v>
      </c>
      <c r="H217" t="str">
        <v/>
      </c>
      <c r="I217" t="str">
        <v>27/09/2026</v>
      </c>
      <c r="J217" t="str">
        <v>07:31:19</v>
      </c>
      <c r="K217">
        <v>-12.227375</v>
      </c>
      <c r="L217">
        <v>-76.909035</v>
      </c>
      <c r="M217">
        <f>HYPERLINK("https://www.google.com/maps/search/?api=1&amp;query=-12.227375,-76.909035","Avenida Lima, Villa María del Triunfo")</f>
      </c>
      <c r="N217">
        <v>26.2</v>
      </c>
      <c r="O217">
        <v>91</v>
      </c>
      <c r="P217">
        <v>2484.97</v>
      </c>
      <c r="Q217" t="str">
        <v>159.90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AAR-880</v>
      </c>
      <c r="D218" t="str">
        <v>AAR-880</v>
      </c>
      <c r="E218" t="str">
        <v/>
      </c>
      <c r="F218" t="str">
        <v>867806078847433</v>
      </c>
      <c r="G218" t="str">
        <v>Otro</v>
      </c>
      <c r="H218" t="str">
        <v/>
      </c>
      <c r="I218" t="str">
        <v>27/09/2026</v>
      </c>
      <c r="J218" t="str">
        <v>07:31:55</v>
      </c>
      <c r="K218">
        <v>-12.22912</v>
      </c>
      <c r="L218">
        <v>-76.90951</v>
      </c>
      <c r="M218">
        <f>HYPERLINK("https://www.google.com/maps/search/?api=1&amp;query=-12.22912,-76.90951","Avenida Lima, Villa María del Triunfo")</f>
      </c>
      <c r="N218">
        <v>22.2</v>
      </c>
      <c r="O218">
        <v>91</v>
      </c>
      <c r="P218">
        <v>2485.16</v>
      </c>
      <c r="Q218" t="str">
        <v>159.90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AAR-880</v>
      </c>
      <c r="D219" t="str">
        <v>AAR-880</v>
      </c>
      <c r="E219" t="str">
        <v/>
      </c>
      <c r="F219" t="str">
        <v>867806078847433</v>
      </c>
      <c r="G219" t="str">
        <v>Otro</v>
      </c>
      <c r="H219" t="str">
        <v/>
      </c>
      <c r="I219" t="str">
        <v>27/09/2026</v>
      </c>
      <c r="J219" t="str">
        <v>07:32:00</v>
      </c>
      <c r="K219">
        <v>-12.229372</v>
      </c>
      <c r="L219">
        <v>-76.9097</v>
      </c>
      <c r="M219">
        <f>HYPERLINK("https://www.google.com/maps/search/?api=1&amp;query=-12.229372,-76.9097","Avenida Lima, Villa María del Triunfo")</f>
      </c>
      <c r="N219">
        <v>23.3</v>
      </c>
      <c r="O219">
        <v>94</v>
      </c>
      <c r="P219">
        <v>2485.2</v>
      </c>
      <c r="Q219" t="str">
        <v>159.90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AAR-880</v>
      </c>
      <c r="D220" t="str">
        <v>AAR-880</v>
      </c>
      <c r="E220" t="str">
        <v/>
      </c>
      <c r="F220" t="str">
        <v>867806078847433</v>
      </c>
      <c r="G220" t="str">
        <v>Otro</v>
      </c>
      <c r="H220" t="str">
        <v/>
      </c>
      <c r="I220" t="str">
        <v>27/09/2026</v>
      </c>
      <c r="J220" t="str">
        <v>07:32:05</v>
      </c>
      <c r="K220">
        <v>-12.229588</v>
      </c>
      <c r="L220">
        <v>-76.90984</v>
      </c>
      <c r="M220">
        <f>HYPERLINK("https://www.google.com/maps/search/?api=1&amp;query=-12.229588,-76.90984","Ovalo José Gálvez, Villa María del Triunfo, Lima")</f>
      </c>
      <c r="N220">
        <v>18.7</v>
      </c>
      <c r="O220">
        <v>91</v>
      </c>
      <c r="P220">
        <v>2485.23</v>
      </c>
      <c r="Q220" t="str">
        <v>159.90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AAR-880</v>
      </c>
      <c r="D221" t="str">
        <v>AAR-880</v>
      </c>
      <c r="E221" t="str">
        <v/>
      </c>
      <c r="F221" t="str">
        <v>867806078847433</v>
      </c>
      <c r="G221" t="str">
        <v>Otro</v>
      </c>
      <c r="H221" t="str">
        <v/>
      </c>
      <c r="I221" t="str">
        <v>27/09/2026</v>
      </c>
      <c r="J221" t="str">
        <v>07:32:10</v>
      </c>
      <c r="K221">
        <v>-12.229818</v>
      </c>
      <c r="L221">
        <v>-76.90988</v>
      </c>
      <c r="M221">
        <f>HYPERLINK("https://www.google.com/maps/search/?api=1&amp;query=-12.229818,-76.90988","Ovalo José Gálvez, Villa El Salvador, Lima")</f>
      </c>
      <c r="N221">
        <v>18.3</v>
      </c>
      <c r="O221">
        <v>90</v>
      </c>
      <c r="P221">
        <v>2485.25</v>
      </c>
      <c r="Q221" t="str">
        <v>159.90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AAR-880</v>
      </c>
      <c r="D222" t="str">
        <v>AAR-880</v>
      </c>
      <c r="E222" t="str">
        <v/>
      </c>
      <c r="F222" t="str">
        <v>867806078847433</v>
      </c>
      <c r="G222" t="str">
        <v>Otro</v>
      </c>
      <c r="H222" t="str">
        <v/>
      </c>
      <c r="I222" t="str">
        <v>27/09/2026</v>
      </c>
      <c r="J222" t="str">
        <v>07:32:21</v>
      </c>
      <c r="K222">
        <v>-12.230302</v>
      </c>
      <c r="L222">
        <v>-76.90981</v>
      </c>
      <c r="M222">
        <f>HYPERLINK("https://www.google.com/maps/search/?api=1&amp;query=-12.230302,-76.90981","Avenida Lima, Villa El Salvador")</f>
      </c>
      <c r="N222">
        <v>13.5</v>
      </c>
      <c r="O222">
        <v>90</v>
      </c>
      <c r="P222">
        <v>2485.31</v>
      </c>
      <c r="Q222" t="str">
        <v>159.90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AAR-880</v>
      </c>
      <c r="D223" t="str">
        <v>AAR-880</v>
      </c>
      <c r="E223" t="str">
        <v/>
      </c>
      <c r="F223" t="str">
        <v>867806078847433</v>
      </c>
      <c r="G223" t="str">
        <v>Otro</v>
      </c>
      <c r="H223" t="str">
        <v/>
      </c>
      <c r="I223" t="str">
        <v>27/09/2026</v>
      </c>
      <c r="J223" t="str">
        <v>07:32:28</v>
      </c>
      <c r="K223">
        <v>-12.230532</v>
      </c>
      <c r="L223">
        <v>-76.909874</v>
      </c>
      <c r="M223">
        <f>HYPERLINK("https://www.google.com/maps/search/?api=1&amp;query=-12.230532,-76.909874","Avenida Lima, Villa El Salvador")</f>
      </c>
      <c r="N223">
        <v>17.5</v>
      </c>
      <c r="O223">
        <v>90</v>
      </c>
      <c r="P223">
        <v>2485.33</v>
      </c>
      <c r="Q223" t="str">
        <v>159.90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AAR-880</v>
      </c>
      <c r="D224" t="str">
        <v>AAR-880</v>
      </c>
      <c r="E224" t="str">
        <v/>
      </c>
      <c r="F224" t="str">
        <v>867806078847433</v>
      </c>
      <c r="G224" t="str">
        <v>Otro</v>
      </c>
      <c r="H224" t="str">
        <v/>
      </c>
      <c r="I224" t="str">
        <v>27/09/2026</v>
      </c>
      <c r="J224" t="str">
        <v>07:33:28</v>
      </c>
      <c r="K224">
        <v>-12.234056</v>
      </c>
      <c r="L224">
        <v>-76.911255</v>
      </c>
      <c r="M224">
        <f>HYPERLINK("https://www.google.com/maps/search/?api=1&amp;query=-12.234056,-76.911255","Avenida Lima, Villa El Salvador")</f>
      </c>
      <c r="N224">
        <v>35.9</v>
      </c>
      <c r="O224">
        <v>90</v>
      </c>
      <c r="P224">
        <v>2485.75</v>
      </c>
      <c r="Q224" t="str">
        <v>159.90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AAR-880</v>
      </c>
      <c r="D225" t="str">
        <v>AAR-880</v>
      </c>
      <c r="E225" t="str">
        <v/>
      </c>
      <c r="F225" t="str">
        <v>867806078847433</v>
      </c>
      <c r="G225" t="str">
        <v>Otro</v>
      </c>
      <c r="H225" t="str">
        <v/>
      </c>
      <c r="I225" t="str">
        <v>27/09/2026</v>
      </c>
      <c r="J225" t="str">
        <v>07:34:13</v>
      </c>
      <c r="K225">
        <v>-12.237692</v>
      </c>
      <c r="L225">
        <v>-76.9126</v>
      </c>
      <c r="M225">
        <f>HYPERLINK("https://www.google.com/maps/search/?api=1&amp;query=-12.237692,-76.9126","Avenida Lima, Villa El Salvador")</f>
      </c>
      <c r="N225">
        <v>34.4</v>
      </c>
      <c r="O225">
        <v>90</v>
      </c>
      <c r="P225">
        <v>2486.17</v>
      </c>
      <c r="Q225" t="str">
        <v>159.90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AAR-880</v>
      </c>
      <c r="D226" t="str">
        <v>AAR-880</v>
      </c>
      <c r="E226" t="str">
        <v/>
      </c>
      <c r="F226" t="str">
        <v>867806078847433</v>
      </c>
      <c r="G226" t="str">
        <v>Otro</v>
      </c>
      <c r="H226" t="str">
        <v/>
      </c>
      <c r="I226" t="str">
        <v>27/09/2026</v>
      </c>
      <c r="J226" t="str">
        <v>07:34:18</v>
      </c>
      <c r="K226">
        <v>-12.237985</v>
      </c>
      <c r="L226">
        <v>-76.91267</v>
      </c>
      <c r="M226">
        <f>HYPERLINK("https://www.google.com/maps/search/?api=1&amp;query=-12.237985,-76.91267","Avenida Lima, Villa El Salvador")</f>
      </c>
      <c r="N226">
        <v>16.1</v>
      </c>
      <c r="O226">
        <v>90</v>
      </c>
      <c r="P226">
        <v>2486.2</v>
      </c>
      <c r="Q226" t="str">
        <v>159.90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AAR-880</v>
      </c>
      <c r="D227" t="str">
        <v>AAR-880</v>
      </c>
      <c r="E227" t="str">
        <v/>
      </c>
      <c r="F227" t="str">
        <v>867806078847433</v>
      </c>
      <c r="G227" t="str">
        <v>Otro</v>
      </c>
      <c r="H227" t="str">
        <v/>
      </c>
      <c r="I227" t="str">
        <v>27/09/2026</v>
      </c>
      <c r="J227" t="str">
        <v>07:35:18</v>
      </c>
      <c r="K227">
        <v>-12.23806</v>
      </c>
      <c r="L227">
        <v>-76.912674</v>
      </c>
      <c r="M227">
        <f>HYPERLINK("https://www.google.com/maps/search/?api=1&amp;query=-12.23806,-76.912674","Avenida Lima, Villa El Salvador")</f>
      </c>
      <c r="N227">
        <v>0</v>
      </c>
      <c r="O227">
        <v>90</v>
      </c>
      <c r="P227">
        <v>2486.21</v>
      </c>
      <c r="Q227" t="str">
        <v>159.90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AAR-880</v>
      </c>
      <c r="D228" t="str">
        <v>AAR-880</v>
      </c>
      <c r="E228" t="str">
        <v/>
      </c>
      <c r="F228" t="str">
        <v>867806078847433</v>
      </c>
      <c r="G228" t="str">
        <v>Otro</v>
      </c>
      <c r="H228" t="str">
        <v/>
      </c>
      <c r="I228" t="str">
        <v>27/09/2026</v>
      </c>
      <c r="J228" t="str">
        <v>07:36:18</v>
      </c>
      <c r="K228">
        <v>-12.23806</v>
      </c>
      <c r="L228">
        <v>-76.912674</v>
      </c>
      <c r="M228">
        <f>HYPERLINK("https://www.google.com/maps/search/?api=1&amp;query=-12.23806,-76.912674","Avenida Lima, Villa El Salvador")</f>
      </c>
      <c r="N228">
        <v>0</v>
      </c>
      <c r="O228">
        <v>90</v>
      </c>
      <c r="P228">
        <v>2486.21</v>
      </c>
      <c r="Q228" t="str">
        <v>159.90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AAR-880</v>
      </c>
      <c r="D229" t="str">
        <v>AAR-880</v>
      </c>
      <c r="E229" t="str">
        <v/>
      </c>
      <c r="F229" t="str">
        <v>867806078847433</v>
      </c>
      <c r="G229" t="str">
        <v>Otro</v>
      </c>
      <c r="H229" t="str">
        <v/>
      </c>
      <c r="I229" t="str">
        <v>27/09/2026</v>
      </c>
      <c r="J229" t="str">
        <v>07:37:18</v>
      </c>
      <c r="K229">
        <v>-12.23806</v>
      </c>
      <c r="L229">
        <v>-76.912674</v>
      </c>
      <c r="M229">
        <f>HYPERLINK("https://www.google.com/maps/search/?api=1&amp;query=-12.23806,-76.912674","Avenida Lima, Villa El Salvador")</f>
      </c>
      <c r="N229">
        <v>0</v>
      </c>
      <c r="O229">
        <v>90</v>
      </c>
      <c r="P229">
        <v>2486.21</v>
      </c>
      <c r="Q229" t="str">
        <v>159.90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AAR-880</v>
      </c>
      <c r="D230" t="str">
        <v>AAR-880</v>
      </c>
      <c r="E230" t="str">
        <v/>
      </c>
      <c r="F230" t="str">
        <v>867806078847433</v>
      </c>
      <c r="G230" t="str">
        <v>Otro</v>
      </c>
      <c r="H230" t="str">
        <v/>
      </c>
      <c r="I230" t="str">
        <v>27/09/2026</v>
      </c>
      <c r="J230" t="str">
        <v>07:37:21</v>
      </c>
      <c r="K230">
        <v>-12.23806</v>
      </c>
      <c r="L230">
        <v>-76.912674</v>
      </c>
      <c r="M230">
        <f>HYPERLINK("https://www.google.com/maps/search/?api=1&amp;query=-12.23806,-76.912674","Avenida Lima, Villa El Salvador")</f>
      </c>
      <c r="N230">
        <v>0</v>
      </c>
      <c r="O230">
        <v>92</v>
      </c>
      <c r="P230">
        <v>2486.21</v>
      </c>
      <c r="Q230" t="str">
        <v>159.90</v>
      </c>
      <c r="R230" t="str">
        <v>Inicio de ralentí</v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AAR-880</v>
      </c>
      <c r="D231" t="str">
        <v>AAR-880</v>
      </c>
      <c r="E231" t="str">
        <v/>
      </c>
      <c r="F231" t="str">
        <v>867806078847433</v>
      </c>
      <c r="G231" t="str">
        <v>Otro</v>
      </c>
      <c r="H231" t="str">
        <v/>
      </c>
      <c r="I231" t="str">
        <v>27/09/2026</v>
      </c>
      <c r="J231" t="str">
        <v>07:38:18</v>
      </c>
      <c r="K231">
        <v>-12.23806</v>
      </c>
      <c r="L231">
        <v>-76.912674</v>
      </c>
      <c r="M231">
        <f>HYPERLINK("https://www.google.com/maps/search/?api=1&amp;query=-12.23806,-76.912674","Avenida Lima, Villa El Salvador")</f>
      </c>
      <c r="N231">
        <v>0</v>
      </c>
      <c r="O231">
        <v>92</v>
      </c>
      <c r="P231">
        <v>2486.21</v>
      </c>
      <c r="Q231" t="str">
        <v>159.90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AAR-880</v>
      </c>
      <c r="D232" t="str">
        <v>AAR-880</v>
      </c>
      <c r="E232" t="str">
        <v/>
      </c>
      <c r="F232" t="str">
        <v>867806078847433</v>
      </c>
      <c r="G232" t="str">
        <v>Otro</v>
      </c>
      <c r="H232" t="str">
        <v/>
      </c>
      <c r="I232" t="str">
        <v>27/09/2026</v>
      </c>
      <c r="J232" t="str">
        <v>07:39:18</v>
      </c>
      <c r="K232">
        <v>-12.23806</v>
      </c>
      <c r="L232">
        <v>-76.912674</v>
      </c>
      <c r="M232">
        <f>HYPERLINK("https://www.google.com/maps/search/?api=1&amp;query=-12.23806,-76.912674","Avenida Lima, Villa El Salvador")</f>
      </c>
      <c r="N232">
        <v>0</v>
      </c>
      <c r="O232">
        <v>92</v>
      </c>
      <c r="P232">
        <v>2486.21</v>
      </c>
      <c r="Q232" t="str">
        <v>159.90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AAR-880</v>
      </c>
      <c r="D233" t="str">
        <v>AAR-880</v>
      </c>
      <c r="E233" t="str">
        <v/>
      </c>
      <c r="F233" t="str">
        <v>867806078847433</v>
      </c>
      <c r="G233" t="str">
        <v>Otro</v>
      </c>
      <c r="H233" t="str">
        <v/>
      </c>
      <c r="I233" t="str">
        <v>27/09/2026</v>
      </c>
      <c r="J233" t="str">
        <v>07:39:39</v>
      </c>
      <c r="K233">
        <v>-12.238102</v>
      </c>
      <c r="L233">
        <v>-76.91267</v>
      </c>
      <c r="M233">
        <f>HYPERLINK("https://www.google.com/maps/search/?api=1&amp;query=-12.238102,-76.91267","Avenida Lima, Villa El Salvador")</f>
      </c>
      <c r="N233">
        <v>0</v>
      </c>
      <c r="O233">
        <v>92</v>
      </c>
      <c r="P233">
        <v>2486.22</v>
      </c>
      <c r="Q233" t="str">
        <v>159.90</v>
      </c>
      <c r="R233" t="str">
        <v>Fin de ralentí</v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AAR-880</v>
      </c>
      <c r="D234" t="str">
        <v>AAR-880</v>
      </c>
      <c r="E234" t="str">
        <v/>
      </c>
      <c r="F234" t="str">
        <v>867806078847433</v>
      </c>
      <c r="G234" t="str">
        <v>Otro</v>
      </c>
      <c r="H234" t="str">
        <v/>
      </c>
      <c r="I234" t="str">
        <v>27/09/2026</v>
      </c>
      <c r="J234" t="str">
        <v>07:40:02</v>
      </c>
      <c r="K234">
        <v>-12.238853</v>
      </c>
      <c r="L234">
        <v>-76.91254</v>
      </c>
      <c r="M234">
        <f>HYPERLINK("https://www.google.com/maps/search/?api=1&amp;query=-12.238853,-76.91254","Avenida Lima, Villa El Salvador")</f>
      </c>
      <c r="N234">
        <v>29.8</v>
      </c>
      <c r="O234">
        <v>92</v>
      </c>
      <c r="P234">
        <v>2486.3</v>
      </c>
      <c r="Q234" t="str">
        <v>159.90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AAR-880</v>
      </c>
      <c r="D235" t="str">
        <v>AAR-880</v>
      </c>
      <c r="E235" t="str">
        <v/>
      </c>
      <c r="F235" t="str">
        <v>867806078847433</v>
      </c>
      <c r="G235" t="str">
        <v>Otro</v>
      </c>
      <c r="H235" t="str">
        <v/>
      </c>
      <c r="I235" t="str">
        <v>27/09/2026</v>
      </c>
      <c r="J235" t="str">
        <v>07:40:09</v>
      </c>
      <c r="K235">
        <v>-12.23942</v>
      </c>
      <c r="L235">
        <v>-76.912445</v>
      </c>
      <c r="M235">
        <f>HYPERLINK("https://www.google.com/maps/search/?api=1&amp;query=-12.23942,-76.912445","Avenida Lima, Villa El Salvador")</f>
      </c>
      <c r="N235">
        <v>35</v>
      </c>
      <c r="O235">
        <v>85</v>
      </c>
      <c r="P235">
        <v>2486.36</v>
      </c>
      <c r="Q235" t="str">
        <v>159.90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AAR-880</v>
      </c>
      <c r="D236" t="str">
        <v>AAR-880</v>
      </c>
      <c r="E236" t="str">
        <v/>
      </c>
      <c r="F236" t="str">
        <v>867806078847433</v>
      </c>
      <c r="G236" t="str">
        <v>Otro</v>
      </c>
      <c r="H236" t="str">
        <v/>
      </c>
      <c r="I236" t="str">
        <v>27/09/2026</v>
      </c>
      <c r="J236" t="str">
        <v>07:40:14</v>
      </c>
      <c r="K236">
        <v>-12.239812</v>
      </c>
      <c r="L236">
        <v>-76.912415</v>
      </c>
      <c r="M236">
        <f>HYPERLINK("https://www.google.com/maps/search/?api=1&amp;query=-12.239812,-76.912415","Ovalo María Reiche, Villa El Salvador, Lima")</f>
      </c>
      <c r="N236">
        <v>26.1</v>
      </c>
      <c r="O236">
        <v>85</v>
      </c>
      <c r="P236">
        <v>2486.41</v>
      </c>
      <c r="Q236" t="str">
        <v>159.90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AAR-880</v>
      </c>
      <c r="D237" t="str">
        <v>AAR-880</v>
      </c>
      <c r="E237" t="str">
        <v/>
      </c>
      <c r="F237" t="str">
        <v>867806078847433</v>
      </c>
      <c r="G237" t="str">
        <v>Otro</v>
      </c>
      <c r="H237" t="str">
        <v/>
      </c>
      <c r="I237" t="str">
        <v>27/09/2026</v>
      </c>
      <c r="J237" t="str">
        <v>07:40:19</v>
      </c>
      <c r="K237">
        <v>-12.240085</v>
      </c>
      <c r="L237">
        <v>-76.91217</v>
      </c>
      <c r="M237">
        <f>HYPERLINK("https://www.google.com/maps/search/?api=1&amp;query=-12.240085,-76.91217","Avenida Lima, Villa El Salvador")</f>
      </c>
      <c r="N237">
        <v>35.9</v>
      </c>
      <c r="O237">
        <v>85</v>
      </c>
      <c r="P237">
        <v>2486.45</v>
      </c>
      <c r="Q237" t="str">
        <v>159.90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AAR-880</v>
      </c>
      <c r="D238" t="str">
        <v>AAR-880</v>
      </c>
      <c r="E238" t="str">
        <v/>
      </c>
      <c r="F238" t="str">
        <v>867806078847433</v>
      </c>
      <c r="G238" t="str">
        <v>Otro</v>
      </c>
      <c r="H238" t="str">
        <v/>
      </c>
      <c r="I238" t="str">
        <v>27/09/2026</v>
      </c>
      <c r="J238" t="str">
        <v>07:40:24</v>
      </c>
      <c r="K238">
        <v>-12.240427</v>
      </c>
      <c r="L238">
        <v>-76.91185</v>
      </c>
      <c r="M238">
        <f>HYPERLINK("https://www.google.com/maps/search/?api=1&amp;query=-12.240427,-76.91185","Avenida Lima, Villa El Salvador")</f>
      </c>
      <c r="N238">
        <v>42.2</v>
      </c>
      <c r="O238">
        <v>85</v>
      </c>
      <c r="P238">
        <v>2486.5</v>
      </c>
      <c r="Q238" t="str">
        <v>159.90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AAR-880</v>
      </c>
      <c r="D239" t="str">
        <v>AAR-880</v>
      </c>
      <c r="E239" t="str">
        <v/>
      </c>
      <c r="F239" t="str">
        <v>867806078847433</v>
      </c>
      <c r="G239" t="str">
        <v>Otro</v>
      </c>
      <c r="H239" t="str">
        <v/>
      </c>
      <c r="I239" t="str">
        <v>27/09/2026</v>
      </c>
      <c r="J239" t="str">
        <v>07:41:06</v>
      </c>
      <c r="K239">
        <v>-12.24605</v>
      </c>
      <c r="L239">
        <v>-76.90811</v>
      </c>
      <c r="M239">
        <f>HYPERLINK("https://www.google.com/maps/search/?api=1&amp;query=-12.24605,-76.90811","Avenida Lima, Lurín")</f>
      </c>
      <c r="N239">
        <v>63.5</v>
      </c>
      <c r="O239">
        <v>85</v>
      </c>
      <c r="P239">
        <v>2487.24</v>
      </c>
      <c r="Q239" t="str">
        <v>159.90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AAR-880</v>
      </c>
      <c r="D240" t="str">
        <v>AAR-880</v>
      </c>
      <c r="E240" t="str">
        <v/>
      </c>
      <c r="F240" t="str">
        <v>867806078847433</v>
      </c>
      <c r="G240" t="str">
        <v>Otro</v>
      </c>
      <c r="H240" t="str">
        <v/>
      </c>
      <c r="I240" t="str">
        <v>27/09/2026</v>
      </c>
      <c r="J240" t="str">
        <v>07:41:46</v>
      </c>
      <c r="K240">
        <v>-12.252027</v>
      </c>
      <c r="L240">
        <v>-76.90526</v>
      </c>
      <c r="M240">
        <f>HYPERLINK("https://www.google.com/maps/search/?api=1&amp;query=-12.252027,-76.90526","Avenida Lima, Lurín")</f>
      </c>
      <c r="N240">
        <v>66.3</v>
      </c>
      <c r="O240">
        <v>85</v>
      </c>
      <c r="P240">
        <v>2487.97</v>
      </c>
      <c r="Q240" t="str">
        <v>159.90</v>
      </c>
      <c r="R240" t="str">
        <v>Exceso de velocidad en segmento vial</v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AAR-880</v>
      </c>
      <c r="D241" t="str">
        <v>AAR-880</v>
      </c>
      <c r="E241" t="str">
        <v/>
      </c>
      <c r="F241" t="str">
        <v>867806078847433</v>
      </c>
      <c r="G241" t="str">
        <v>Otro</v>
      </c>
      <c r="H241" t="str">
        <v/>
      </c>
      <c r="I241" t="str">
        <v>27/09/2026</v>
      </c>
      <c r="J241" t="str">
        <v>07:42:00</v>
      </c>
      <c r="K241">
        <v>-12.253795</v>
      </c>
      <c r="L241">
        <v>-76.90448</v>
      </c>
      <c r="M241">
        <f>HYPERLINK("https://www.google.com/maps/search/?api=1&amp;query=-12.253795,-76.90448","Avenida Lima, Lurín")</f>
      </c>
      <c r="N241">
        <v>34.4</v>
      </c>
      <c r="O241">
        <v>85</v>
      </c>
      <c r="P241">
        <v>2488.18</v>
      </c>
      <c r="Q241" t="str">
        <v>159.90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AAR-880</v>
      </c>
      <c r="D242" t="str">
        <v>AAR-880</v>
      </c>
      <c r="E242" t="str">
        <v/>
      </c>
      <c r="F242" t="str">
        <v>867806078847433</v>
      </c>
      <c r="G242" t="str">
        <v>Otro</v>
      </c>
      <c r="H242" t="str">
        <v/>
      </c>
      <c r="I242" t="str">
        <v>27/09/2026</v>
      </c>
      <c r="J242" t="str">
        <v>07:42:05</v>
      </c>
      <c r="K242">
        <v>-12.254148</v>
      </c>
      <c r="L242">
        <v>-76.90457</v>
      </c>
      <c r="M242">
        <f>HYPERLINK("https://www.google.com/maps/search/?api=1&amp;query=-12.254148,-76.90457","Avenida Lima, Lurín")</f>
      </c>
      <c r="N242">
        <v>22</v>
      </c>
      <c r="O242">
        <v>85</v>
      </c>
      <c r="P242">
        <v>2488.22</v>
      </c>
      <c r="Q242" t="str">
        <v>159.90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AAR-880</v>
      </c>
      <c r="D243" t="str">
        <v>AAR-880</v>
      </c>
      <c r="E243" t="str">
        <v/>
      </c>
      <c r="F243" t="str">
        <v>867806078847433</v>
      </c>
      <c r="G243" t="str">
        <v>Otro</v>
      </c>
      <c r="H243" t="str">
        <v/>
      </c>
      <c r="I243" t="str">
        <v>27/09/2026</v>
      </c>
      <c r="J243" t="str">
        <v>07:42:10</v>
      </c>
      <c r="K243">
        <v>-12.254307</v>
      </c>
      <c r="L243">
        <v>-76.90487</v>
      </c>
      <c r="M243">
        <f>HYPERLINK("https://www.google.com/maps/search/?api=1&amp;query=-12.254307,-76.90487","Antigua Panamericana Sur, Lurín, Lima")</f>
      </c>
      <c r="N243">
        <v>32.5</v>
      </c>
      <c r="O243">
        <v>85</v>
      </c>
      <c r="P243">
        <v>2488.26</v>
      </c>
      <c r="Q243" t="str">
        <v>159.90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AAR-880</v>
      </c>
      <c r="D244" t="str">
        <v>AAR-880</v>
      </c>
      <c r="E244" t="str">
        <v/>
      </c>
      <c r="F244" t="str">
        <v>867806078847433</v>
      </c>
      <c r="G244" t="str">
        <v>Otro</v>
      </c>
      <c r="H244" t="str">
        <v/>
      </c>
      <c r="I244" t="str">
        <v>27/09/2026</v>
      </c>
      <c r="J244" t="str">
        <v>07:42:47</v>
      </c>
      <c r="K244">
        <v>-12.255382</v>
      </c>
      <c r="L244">
        <v>-76.909996</v>
      </c>
      <c r="M244">
        <f>HYPERLINK("https://www.google.com/maps/search/?api=1&amp;query=-12.255382,-76.909996","Antigua Panamericana Sur, Lurín, Lima")</f>
      </c>
      <c r="N244">
        <v>66.6</v>
      </c>
      <c r="O244">
        <v>85</v>
      </c>
      <c r="P244">
        <v>2488.83</v>
      </c>
      <c r="Q244" t="str">
        <v>159.90</v>
      </c>
      <c r="R244" t="str">
        <v>Exceso de velocidad en segmento vial</v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AAR-880</v>
      </c>
      <c r="D245" t="str">
        <v>AAR-880</v>
      </c>
      <c r="E245" t="str">
        <v/>
      </c>
      <c r="F245" t="str">
        <v>867806078847433</v>
      </c>
      <c r="G245" t="str">
        <v>Otro</v>
      </c>
      <c r="H245" t="str">
        <v/>
      </c>
      <c r="I245" t="str">
        <v>27/09/2026</v>
      </c>
      <c r="J245" t="str">
        <v>07:42:56</v>
      </c>
      <c r="K245">
        <v>-12.255317</v>
      </c>
      <c r="L245">
        <v>-76.91149</v>
      </c>
      <c r="M245">
        <f>HYPERLINK("https://www.google.com/maps/search/?api=1&amp;query=-12.255317,-76.91149","Antigua Panamericana Sur, Lurín, Lima")</f>
      </c>
      <c r="N245">
        <v>63.8</v>
      </c>
      <c r="O245">
        <v>85</v>
      </c>
      <c r="P245">
        <v>2488.99</v>
      </c>
      <c r="Q245" t="str">
        <v>159.90</v>
      </c>
      <c r="R245" t="str">
        <v>Exceso de velocidad en segmento vial</v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AAR-880</v>
      </c>
      <c r="D246" t="str">
        <v>AAR-880</v>
      </c>
      <c r="E246" t="str">
        <v/>
      </c>
      <c r="F246" t="str">
        <v>867806078847433</v>
      </c>
      <c r="G246" t="str">
        <v>Otro</v>
      </c>
      <c r="H246" t="str">
        <v/>
      </c>
      <c r="I246" t="str">
        <v>27/09/2026</v>
      </c>
      <c r="J246" t="str">
        <v>07:43:56</v>
      </c>
      <c r="K246">
        <v>-12.254515</v>
      </c>
      <c r="L246">
        <v>-76.91766</v>
      </c>
      <c r="M246">
        <f>HYPERLINK("https://www.google.com/maps/search/?api=1&amp;query=-12.254515,-76.91766","Antigua Panamericana Sur, Lurín, Lima")</f>
      </c>
      <c r="N246">
        <v>38.1</v>
      </c>
      <c r="O246">
        <v>85</v>
      </c>
      <c r="P246">
        <v>2489.66</v>
      </c>
      <c r="Q246" t="str">
        <v>159.90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AAR-880</v>
      </c>
      <c r="D247" t="str">
        <v>AAR-880</v>
      </c>
      <c r="E247" t="str">
        <v/>
      </c>
      <c r="F247" t="str">
        <v>867806078847433</v>
      </c>
      <c r="G247" t="str">
        <v>Otro</v>
      </c>
      <c r="H247" t="str">
        <v/>
      </c>
      <c r="I247" t="str">
        <v>27/09/2026</v>
      </c>
      <c r="J247" t="str">
        <v>07:44:25</v>
      </c>
      <c r="K247">
        <v>-12.254202</v>
      </c>
      <c r="L247">
        <v>-76.92031</v>
      </c>
      <c r="M247">
        <f>HYPERLINK("https://www.google.com/maps/search/?api=1&amp;query=-12.254202,-76.92031","Antigua Panamericana Sur, Lurín, Lima")</f>
      </c>
      <c r="N247">
        <v>30.5</v>
      </c>
      <c r="O247">
        <v>85</v>
      </c>
      <c r="P247">
        <v>2489.94</v>
      </c>
      <c r="Q247" t="str">
        <v>159.90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AAR-880</v>
      </c>
      <c r="D248" t="str">
        <v>AAR-880</v>
      </c>
      <c r="E248" t="str">
        <v/>
      </c>
      <c r="F248" t="str">
        <v>867806078847433</v>
      </c>
      <c r="G248" t="str">
        <v>Otro</v>
      </c>
      <c r="H248" t="str">
        <v/>
      </c>
      <c r="I248" t="str">
        <v>27/09/2026</v>
      </c>
      <c r="J248" t="str">
        <v>07:44:30</v>
      </c>
      <c r="K248">
        <v>-12.254465</v>
      </c>
      <c r="L248">
        <v>-76.92059</v>
      </c>
      <c r="M248">
        <f>HYPERLINK("https://www.google.com/maps/search/?api=1&amp;query=-12.254465,-76.92059","Lurín, Lima")</f>
      </c>
      <c r="N248">
        <v>32.2</v>
      </c>
      <c r="O248">
        <v>85</v>
      </c>
      <c r="P248">
        <v>2489.99</v>
      </c>
      <c r="Q248" t="str">
        <v>159.90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AAR-880</v>
      </c>
      <c r="D249" t="str">
        <v>AAR-880</v>
      </c>
      <c r="E249" t="str">
        <v/>
      </c>
      <c r="F249" t="str">
        <v>867806078847433</v>
      </c>
      <c r="G249" t="str">
        <v>Otro</v>
      </c>
      <c r="H249" t="str">
        <v/>
      </c>
      <c r="I249" t="str">
        <v>27/09/2026</v>
      </c>
      <c r="J249" t="str">
        <v>07:45:05</v>
      </c>
      <c r="K249">
        <v>-12.256945</v>
      </c>
      <c r="L249">
        <v>-76.922005</v>
      </c>
      <c r="M249">
        <f>HYPERLINK("https://www.google.com/maps/search/?api=1&amp;query=-12.256945,-76.922005","Lurín, Lima")</f>
      </c>
      <c r="N249">
        <v>38.5</v>
      </c>
      <c r="O249">
        <v>85</v>
      </c>
      <c r="P249">
        <v>2490.3</v>
      </c>
      <c r="Q249" t="str">
        <v>159.90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AAR-880</v>
      </c>
      <c r="D250" t="str">
        <v>AAR-880</v>
      </c>
      <c r="E250" t="str">
        <v/>
      </c>
      <c r="F250" t="str">
        <v>867806078847433</v>
      </c>
      <c r="G250" t="str">
        <v>Otro</v>
      </c>
      <c r="H250" t="str">
        <v/>
      </c>
      <c r="I250" t="str">
        <v>27/09/2026</v>
      </c>
      <c r="J250" t="str">
        <v>07:45:10</v>
      </c>
      <c r="K250">
        <v>-12.257238</v>
      </c>
      <c r="L250">
        <v>-76.92239</v>
      </c>
      <c r="M250">
        <f>HYPERLINK("https://www.google.com/maps/search/?api=1&amp;query=-12.257238,-76.92239","Lurín, Lima")</f>
      </c>
      <c r="N250">
        <v>40.7</v>
      </c>
      <c r="O250">
        <v>85</v>
      </c>
      <c r="P250">
        <v>2490.35</v>
      </c>
      <c r="Q250" t="str">
        <v>159.90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AAR-880</v>
      </c>
      <c r="D251" t="str">
        <v>AAR-880</v>
      </c>
      <c r="E251" t="str">
        <v/>
      </c>
      <c r="F251" t="str">
        <v>867806078847433</v>
      </c>
      <c r="G251" t="str">
        <v>Otro</v>
      </c>
      <c r="H251" t="str">
        <v/>
      </c>
      <c r="I251" t="str">
        <v>27/09/2026</v>
      </c>
      <c r="J251" t="str">
        <v>07:45:15</v>
      </c>
      <c r="K251">
        <v>-12.257254</v>
      </c>
      <c r="L251">
        <v>-76.922905</v>
      </c>
      <c r="M251">
        <f>HYPERLINK("https://www.google.com/maps/search/?api=1&amp;query=-12.257254,-76.922905","Lurín, Lima")</f>
      </c>
      <c r="N251">
        <v>38.8</v>
      </c>
      <c r="O251">
        <v>85</v>
      </c>
      <c r="P251">
        <v>2490.41</v>
      </c>
      <c r="Q251" t="str">
        <v>159.90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AAR-880</v>
      </c>
      <c r="D252" t="str">
        <v>AAR-880</v>
      </c>
      <c r="E252" t="str">
        <v/>
      </c>
      <c r="F252" t="str">
        <v>867806078847433</v>
      </c>
      <c r="G252" t="str">
        <v>Otro</v>
      </c>
      <c r="H252" t="str">
        <v/>
      </c>
      <c r="I252" t="str">
        <v>27/09/2026</v>
      </c>
      <c r="J252" t="str">
        <v>07:45:20</v>
      </c>
      <c r="K252">
        <v>-12.257005</v>
      </c>
      <c r="L252">
        <v>-76.92331</v>
      </c>
      <c r="M252">
        <f>HYPERLINK("https://www.google.com/maps/search/?api=1&amp;query=-12.257005,-76.92331","Lurín, Lima")</f>
      </c>
      <c r="N252">
        <v>37.2</v>
      </c>
      <c r="O252">
        <v>85</v>
      </c>
      <c r="P252">
        <v>2490.46</v>
      </c>
      <c r="Q252" t="str">
        <v>159.90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AAR-880</v>
      </c>
      <c r="D253" t="str">
        <v>AAR-880</v>
      </c>
      <c r="E253" t="str">
        <v/>
      </c>
      <c r="F253" t="str">
        <v>867806078847433</v>
      </c>
      <c r="G253" t="str">
        <v>Otro</v>
      </c>
      <c r="H253" t="str">
        <v/>
      </c>
      <c r="I253" t="str">
        <v>27/09/2026</v>
      </c>
      <c r="J253" t="str">
        <v>07:45:25</v>
      </c>
      <c r="K253">
        <v>-12.25659</v>
      </c>
      <c r="L253">
        <v>-76.9235</v>
      </c>
      <c r="M253">
        <f>HYPERLINK("https://www.google.com/maps/search/?api=1&amp;query=-12.25659,-76.9235","Lurín, Lima")</f>
      </c>
      <c r="N253">
        <v>35.7</v>
      </c>
      <c r="O253">
        <v>85</v>
      </c>
      <c r="P253">
        <v>2490.51</v>
      </c>
      <c r="Q253" t="str">
        <v>159.90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AAR-880</v>
      </c>
      <c r="D254" t="str">
        <v>AAR-880</v>
      </c>
      <c r="E254" t="str">
        <v/>
      </c>
      <c r="F254" t="str">
        <v>867806078847433</v>
      </c>
      <c r="G254" t="str">
        <v>Otro</v>
      </c>
      <c r="H254" t="str">
        <v/>
      </c>
      <c r="I254" t="str">
        <v>27/09/2026</v>
      </c>
      <c r="J254" t="str">
        <v>07:45:30</v>
      </c>
      <c r="K254">
        <v>-12.256211</v>
      </c>
      <c r="L254">
        <v>-76.9235</v>
      </c>
      <c r="M254">
        <f>HYPERLINK("https://www.google.com/maps/search/?api=1&amp;query=-12.256211,-76.9235","Lurín, Lima")</f>
      </c>
      <c r="N254">
        <v>30.9</v>
      </c>
      <c r="O254">
        <v>94</v>
      </c>
      <c r="P254">
        <v>2490.55</v>
      </c>
      <c r="Q254" t="str">
        <v>159.90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AAR-880</v>
      </c>
      <c r="D255" t="str">
        <v>AAR-880</v>
      </c>
      <c r="E255" t="str">
        <v/>
      </c>
      <c r="F255" t="str">
        <v>867806078847433</v>
      </c>
      <c r="G255" t="str">
        <v>Otro</v>
      </c>
      <c r="H255" t="str">
        <v/>
      </c>
      <c r="I255" t="str">
        <v>27/09/2026</v>
      </c>
      <c r="J255" t="str">
        <v>07:45:35</v>
      </c>
      <c r="K255">
        <v>-12.255843</v>
      </c>
      <c r="L255">
        <v>-76.92329</v>
      </c>
      <c r="M255">
        <f>HYPERLINK("https://www.google.com/maps/search/?api=1&amp;query=-12.255843,-76.92329","Lurín, Lima")</f>
      </c>
      <c r="N255">
        <v>36.8</v>
      </c>
      <c r="O255">
        <v>94</v>
      </c>
      <c r="P255">
        <v>2490.6</v>
      </c>
      <c r="Q255" t="str">
        <v>159.90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AAR-880</v>
      </c>
      <c r="D256" t="str">
        <v>AAR-880</v>
      </c>
      <c r="E256" t="str">
        <v/>
      </c>
      <c r="F256" t="str">
        <v>867806078847433</v>
      </c>
      <c r="G256" t="str">
        <v>Otro</v>
      </c>
      <c r="H256" t="str">
        <v/>
      </c>
      <c r="I256" t="str">
        <v>27/09/2026</v>
      </c>
      <c r="J256" t="str">
        <v>07:45:40</v>
      </c>
      <c r="K256">
        <v>-12.255695</v>
      </c>
      <c r="L256">
        <v>-76.92283</v>
      </c>
      <c r="M256">
        <f>HYPERLINK("https://www.google.com/maps/search/?api=1&amp;query=-12.255695,-76.92283","Carretera Panamericana Sur, Lurín, Lima")</f>
      </c>
      <c r="N256">
        <v>39.4</v>
      </c>
      <c r="O256">
        <v>94</v>
      </c>
      <c r="P256">
        <v>2490.65</v>
      </c>
      <c r="Q256" t="str">
        <v>159.90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AAR-880</v>
      </c>
      <c r="D257" t="str">
        <v>AAR-880</v>
      </c>
      <c r="E257" t="str">
        <v/>
      </c>
      <c r="F257" t="str">
        <v>867806078847433</v>
      </c>
      <c r="G257" t="str">
        <v>Otro</v>
      </c>
      <c r="H257" t="str">
        <v/>
      </c>
      <c r="I257" t="str">
        <v>27/09/2026</v>
      </c>
      <c r="J257" t="str">
        <v>07:45:45</v>
      </c>
      <c r="K257">
        <v>-12.255847</v>
      </c>
      <c r="L257">
        <v>-76.922356</v>
      </c>
      <c r="M257">
        <f>HYPERLINK("https://www.google.com/maps/search/?api=1&amp;query=-12.255847,-76.922356","Carretera Panamericana Sur, Lurín, Lima")</f>
      </c>
      <c r="N257">
        <v>38.1</v>
      </c>
      <c r="O257">
        <v>94</v>
      </c>
      <c r="P257">
        <v>2490.71</v>
      </c>
      <c r="Q257" t="str">
        <v>159.90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AAR-880</v>
      </c>
      <c r="D258" t="str">
        <v>AAR-880</v>
      </c>
      <c r="E258" t="str">
        <v/>
      </c>
      <c r="F258" t="str">
        <v>867806078847433</v>
      </c>
      <c r="G258" t="str">
        <v>Otro</v>
      </c>
      <c r="H258" t="str">
        <v/>
      </c>
      <c r="I258" t="str">
        <v>27/09/2026</v>
      </c>
      <c r="J258" t="str">
        <v>07:46:45</v>
      </c>
      <c r="K258">
        <v>-12.25967</v>
      </c>
      <c r="L258">
        <v>-76.916115</v>
      </c>
      <c r="M258">
        <f>HYPERLINK("https://www.google.com/maps/search/?api=1&amp;query=-12.25967,-76.916115","Carretera Panamericana Sur, Lurín, Lima")</f>
      </c>
      <c r="N258">
        <v>61.8</v>
      </c>
      <c r="O258">
        <v>94</v>
      </c>
      <c r="P258">
        <v>2491.5</v>
      </c>
      <c r="Q258" t="str">
        <v>159.90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AAR-880</v>
      </c>
      <c r="D259" t="str">
        <v>AAR-880</v>
      </c>
      <c r="E259" t="str">
        <v/>
      </c>
      <c r="F259" t="str">
        <v>867806078847433</v>
      </c>
      <c r="G259" t="str">
        <v>Otro</v>
      </c>
      <c r="H259" t="str">
        <v/>
      </c>
      <c r="I259" t="str">
        <v>27/09/2026</v>
      </c>
      <c r="J259" t="str">
        <v>07:47:29</v>
      </c>
      <c r="K259">
        <v>-12.263723</v>
      </c>
      <c r="L259">
        <v>-76.90962</v>
      </c>
      <c r="M259">
        <f>HYPERLINK("https://www.google.com/maps/search/?api=1&amp;query=-12.263723,-76.90962","Carretera Panamericana Sur, Lurín, Lima")</f>
      </c>
      <c r="N259">
        <v>69</v>
      </c>
      <c r="O259">
        <v>94</v>
      </c>
      <c r="P259">
        <v>2492.33</v>
      </c>
      <c r="Q259" t="str">
        <v>159.90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AAR-880</v>
      </c>
      <c r="D260" t="str">
        <v>AAR-880</v>
      </c>
      <c r="E260" t="str">
        <v/>
      </c>
      <c r="F260" t="str">
        <v>867806078847433</v>
      </c>
      <c r="G260" t="str">
        <v>Otro</v>
      </c>
      <c r="H260" t="str">
        <v/>
      </c>
      <c r="I260" t="str">
        <v>27/09/2026</v>
      </c>
      <c r="J260" t="str">
        <v>07:48:12</v>
      </c>
      <c r="K260">
        <v>-12.267814</v>
      </c>
      <c r="L260">
        <v>-76.903114</v>
      </c>
      <c r="M260">
        <f>HYPERLINK("https://www.google.com/maps/search/?api=1&amp;query=-12.267814,-76.903114","Carretera Panamericana Sur, Lurín, Lima")</f>
      </c>
      <c r="N260">
        <v>72.2</v>
      </c>
      <c r="O260">
        <v>94</v>
      </c>
      <c r="P260">
        <v>2493.17</v>
      </c>
      <c r="Q260" t="str">
        <v>159.90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AAR-880</v>
      </c>
      <c r="D261" t="str">
        <v>AAR-880</v>
      </c>
      <c r="E261" t="str">
        <v/>
      </c>
      <c r="F261" t="str">
        <v>867806078847433</v>
      </c>
      <c r="G261" t="str">
        <v>Otro</v>
      </c>
      <c r="H261" t="str">
        <v/>
      </c>
      <c r="I261" t="str">
        <v>27/09/2026</v>
      </c>
      <c r="J261" t="str">
        <v>07:48:53</v>
      </c>
      <c r="K261">
        <v>-12.27186</v>
      </c>
      <c r="L261">
        <v>-76.896675</v>
      </c>
      <c r="M261">
        <f>HYPERLINK("https://www.google.com/maps/search/?api=1&amp;query=-12.27186,-76.896675","Carretera Panamericana Sur, Lurín, Lima")</f>
      </c>
      <c r="N261">
        <v>74.4</v>
      </c>
      <c r="O261">
        <v>94</v>
      </c>
      <c r="P261">
        <v>2494</v>
      </c>
      <c r="Q261" t="str">
        <v>159.90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AAR-880</v>
      </c>
      <c r="D262" t="str">
        <v>AAR-880</v>
      </c>
      <c r="E262" t="str">
        <v/>
      </c>
      <c r="F262" t="str">
        <v>867806078847433</v>
      </c>
      <c r="G262" t="str">
        <v>Otro</v>
      </c>
      <c r="H262" t="str">
        <v/>
      </c>
      <c r="I262" t="str">
        <v>27/09/2026</v>
      </c>
      <c r="J262" t="str">
        <v>07:49:33</v>
      </c>
      <c r="K262">
        <v>-12.275884</v>
      </c>
      <c r="L262">
        <v>-76.89027</v>
      </c>
      <c r="M262">
        <f>HYPERLINK("https://www.google.com/maps/search/?api=1&amp;query=-12.275884,-76.89027","Carretera Panamericana Sur, Lurín, Lima")</f>
      </c>
      <c r="N262">
        <v>75.1</v>
      </c>
      <c r="O262">
        <v>94</v>
      </c>
      <c r="P262">
        <v>2494.82</v>
      </c>
      <c r="Q262" t="str">
        <v>159.90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AAR-880</v>
      </c>
      <c r="D263" t="str">
        <v>AAR-880</v>
      </c>
      <c r="E263" t="str">
        <v/>
      </c>
      <c r="F263" t="str">
        <v>867806078847433</v>
      </c>
      <c r="G263" t="str">
        <v>Otro</v>
      </c>
      <c r="H263" t="str">
        <v/>
      </c>
      <c r="I263" t="str">
        <v>27/09/2026</v>
      </c>
      <c r="J263" t="str">
        <v>07:50:12</v>
      </c>
      <c r="K263">
        <v>-12.279952</v>
      </c>
      <c r="L263">
        <v>-76.88379</v>
      </c>
      <c r="M263">
        <f>HYPERLINK("https://www.google.com/maps/search/?api=1&amp;query=-12.279952,-76.88379","Carretera Panamericana Sur, Lurín, Lima")</f>
      </c>
      <c r="N263">
        <v>77.9</v>
      </c>
      <c r="O263">
        <v>94</v>
      </c>
      <c r="P263">
        <v>2495.65</v>
      </c>
      <c r="Q263" t="str">
        <v>159.90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AAR-880</v>
      </c>
      <c r="D264" t="str">
        <v>AAR-880</v>
      </c>
      <c r="E264" t="str">
        <v/>
      </c>
      <c r="F264" t="str">
        <v>867806078847433</v>
      </c>
      <c r="G264" t="str">
        <v>Otro</v>
      </c>
      <c r="H264" t="str">
        <v/>
      </c>
      <c r="I264" t="str">
        <v>27/09/2026</v>
      </c>
      <c r="J264" t="str">
        <v>07:50:52</v>
      </c>
      <c r="K264">
        <v>-12.283997</v>
      </c>
      <c r="L264">
        <v>-76.87733</v>
      </c>
      <c r="M264">
        <f>HYPERLINK("https://www.google.com/maps/search/?api=1&amp;query=-12.283997,-76.87733","Carretera Panamericana Sur, Lurín, Lima")</f>
      </c>
      <c r="N264">
        <v>72.4</v>
      </c>
      <c r="O264">
        <v>94</v>
      </c>
      <c r="P264">
        <v>2496.48</v>
      </c>
      <c r="Q264" t="str">
        <v>159.90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AAR-880</v>
      </c>
      <c r="D265" t="str">
        <v>AAR-880</v>
      </c>
      <c r="E265" t="str">
        <v/>
      </c>
      <c r="F265" t="str">
        <v>867806078847433</v>
      </c>
      <c r="G265" t="str">
        <v>Otro</v>
      </c>
      <c r="H265" t="str">
        <v/>
      </c>
      <c r="I265" t="str">
        <v>27/09/2026</v>
      </c>
      <c r="J265" t="str">
        <v>07:51:32</v>
      </c>
      <c r="K265">
        <v>-12.288072</v>
      </c>
      <c r="L265">
        <v>-76.87086</v>
      </c>
      <c r="M265">
        <f>HYPERLINK("https://www.google.com/maps/search/?api=1&amp;query=-12.288072,-76.87086","Carretera Panamericana Sur, Lurín, Lima")</f>
      </c>
      <c r="N265">
        <v>76.1</v>
      </c>
      <c r="O265">
        <v>94</v>
      </c>
      <c r="P265">
        <v>2497.31</v>
      </c>
      <c r="Q265" t="str">
        <v>159.90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AAR-880</v>
      </c>
      <c r="D266" t="str">
        <v>AAR-880</v>
      </c>
      <c r="E266" t="str">
        <v/>
      </c>
      <c r="F266" t="str">
        <v>867806078847433</v>
      </c>
      <c r="G266" t="str">
        <v>Otro</v>
      </c>
      <c r="H266" t="str">
        <v/>
      </c>
      <c r="I266" t="str">
        <v>27/09/2026</v>
      </c>
      <c r="J266" t="str">
        <v>07:51:59</v>
      </c>
      <c r="K266">
        <v>-12.290742</v>
      </c>
      <c r="L266">
        <v>-76.8666</v>
      </c>
      <c r="M266">
        <f>HYPERLINK("https://www.google.com/maps/search/?api=1&amp;query=-12.290742,-76.8666","Carretera Panamericana Sur, Lurín, Lima")</f>
      </c>
      <c r="N266">
        <v>76.1</v>
      </c>
      <c r="O266">
        <v>94</v>
      </c>
      <c r="P266">
        <v>2497.86</v>
      </c>
      <c r="Q266" t="str">
        <v>159.90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AAR-880</v>
      </c>
      <c r="D267" t="str">
        <v>AAR-880</v>
      </c>
      <c r="E267" t="str">
        <v/>
      </c>
      <c r="F267" t="str">
        <v>867806078847433</v>
      </c>
      <c r="G267" t="str">
        <v>Otro</v>
      </c>
      <c r="H267" t="str">
        <v/>
      </c>
      <c r="I267" t="str">
        <v>27/09/2026</v>
      </c>
      <c r="J267" t="str">
        <v>07:52:11</v>
      </c>
      <c r="K267">
        <v>-12.292078</v>
      </c>
      <c r="L267">
        <v>-76.86447</v>
      </c>
      <c r="M267">
        <f>HYPERLINK("https://www.google.com/maps/search/?api=1&amp;query=-12.292078,-76.86447","Carretera Panamericana Sur, Lurín, Lima")</f>
      </c>
      <c r="N267">
        <v>76.1</v>
      </c>
      <c r="O267">
        <v>94</v>
      </c>
      <c r="P267">
        <v>2498.13</v>
      </c>
      <c r="Q267" t="str">
        <v>159.90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AAR-880</v>
      </c>
      <c r="D268" t="str">
        <v>AAR-880</v>
      </c>
      <c r="E268" t="str">
        <v/>
      </c>
      <c r="F268" t="str">
        <v>867806078847433</v>
      </c>
      <c r="G268" t="str">
        <v>Otro</v>
      </c>
      <c r="H268" t="str">
        <v/>
      </c>
      <c r="I268" t="str">
        <v>27/09/2026</v>
      </c>
      <c r="J268" t="str">
        <v>07:52:50</v>
      </c>
      <c r="K268">
        <v>-12.296035</v>
      </c>
      <c r="L268">
        <v>-76.85803</v>
      </c>
      <c r="M268">
        <f>HYPERLINK("https://www.google.com/maps/search/?api=1&amp;query=-12.296035,-76.85803","Carretera Panamericana Sur, Lurín, Lima")</f>
      </c>
      <c r="N268">
        <v>75.9</v>
      </c>
      <c r="O268">
        <v>94</v>
      </c>
      <c r="P268">
        <v>2498.95</v>
      </c>
      <c r="Q268" t="str">
        <v>159.90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AAR-880</v>
      </c>
      <c r="D269" t="str">
        <v>AAR-880</v>
      </c>
      <c r="E269" t="str">
        <v/>
      </c>
      <c r="F269" t="str">
        <v>867806078847433</v>
      </c>
      <c r="G269" t="str">
        <v>Otro</v>
      </c>
      <c r="H269" t="str">
        <v/>
      </c>
      <c r="I269" t="str">
        <v>27/09/2026</v>
      </c>
      <c r="J269" t="str">
        <v>07:53:35</v>
      </c>
      <c r="K269">
        <v>-12.299296</v>
      </c>
      <c r="L269">
        <v>-76.8508</v>
      </c>
      <c r="M269">
        <f>HYPERLINK("https://www.google.com/maps/search/?api=1&amp;query=-12.299296,-76.8508","Carretera Panamericana Sur, Lurín, Lima")</f>
      </c>
      <c r="N269">
        <v>62.4</v>
      </c>
      <c r="O269">
        <v>94</v>
      </c>
      <c r="P269">
        <v>2499.81</v>
      </c>
      <c r="Q269" t="str">
        <v>159.90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AAR-880</v>
      </c>
      <c r="D270" t="str">
        <v>AAR-880</v>
      </c>
      <c r="E270" t="str">
        <v/>
      </c>
      <c r="F270" t="str">
        <v>867806078847433</v>
      </c>
      <c r="G270" t="str">
        <v>Otro</v>
      </c>
      <c r="H270" t="str">
        <v/>
      </c>
      <c r="I270" t="str">
        <v>27/09/2026</v>
      </c>
      <c r="J270" t="str">
        <v>07:54:22</v>
      </c>
      <c r="K270">
        <v>-12.302504</v>
      </c>
      <c r="L270">
        <v>-76.843605</v>
      </c>
      <c r="M270">
        <f>HYPERLINK("https://www.google.com/maps/search/?api=1&amp;query=-12.302504,-76.843605","Carretera Panamericana Sur, Lurín, Lima")</f>
      </c>
      <c r="N270">
        <v>63.7</v>
      </c>
      <c r="O270">
        <v>94</v>
      </c>
      <c r="P270">
        <v>2500.67</v>
      </c>
      <c r="Q270" t="str">
        <v>159.90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AAR-880</v>
      </c>
      <c r="D271" t="str">
        <v>AAR-880</v>
      </c>
      <c r="E271" t="str">
        <v/>
      </c>
      <c r="F271" t="str">
        <v>867806078847433</v>
      </c>
      <c r="G271" t="str">
        <v>Otro</v>
      </c>
      <c r="H271" t="str">
        <v/>
      </c>
      <c r="I271" t="str">
        <v>27/09/2026</v>
      </c>
      <c r="J271" t="str">
        <v>07:54:40</v>
      </c>
      <c r="K271">
        <v>-12.3039</v>
      </c>
      <c r="L271">
        <v>-76.841225</v>
      </c>
      <c r="M271">
        <f>HYPERLINK("https://www.google.com/maps/search/?api=1&amp;query=-12.3039,-76.841225","Carretera Panamericana Sur, Lurín, Lima")</f>
      </c>
      <c r="N271">
        <v>58.7</v>
      </c>
      <c r="O271">
        <v>94</v>
      </c>
      <c r="P271">
        <v>2500.97</v>
      </c>
      <c r="Q271" t="str">
        <v>159.90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AAR-880</v>
      </c>
      <c r="D272" t="str">
        <v>AAR-880</v>
      </c>
      <c r="E272" t="str">
        <v/>
      </c>
      <c r="F272" t="str">
        <v>867806078847433</v>
      </c>
      <c r="G272" t="str">
        <v>Otro</v>
      </c>
      <c r="H272" t="str">
        <v/>
      </c>
      <c r="I272" t="str">
        <v>27/09/2026</v>
      </c>
      <c r="J272" t="str">
        <v>07:55:03</v>
      </c>
      <c r="K272">
        <v>-12.306151</v>
      </c>
      <c r="L272">
        <v>-76.83857</v>
      </c>
      <c r="M272">
        <f>HYPERLINK("https://www.google.com/maps/search/?api=1&amp;query=-12.306151,-76.83857","Carretera Panamericana Sur, Lurín, Lima")</f>
      </c>
      <c r="N272">
        <v>60.5</v>
      </c>
      <c r="O272">
        <v>94</v>
      </c>
      <c r="P272">
        <v>2501.35</v>
      </c>
      <c r="Q272" t="str">
        <v>159.90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AAR-880</v>
      </c>
      <c r="D273" t="str">
        <v>AAR-880</v>
      </c>
      <c r="E273" t="str">
        <v/>
      </c>
      <c r="F273" t="str">
        <v>867806078847433</v>
      </c>
      <c r="G273" t="str">
        <v>Otro</v>
      </c>
      <c r="H273" t="str">
        <v/>
      </c>
      <c r="I273" t="str">
        <v>27/09/2026</v>
      </c>
      <c r="J273" t="str">
        <v>07:55:26</v>
      </c>
      <c r="K273">
        <v>-12.30894</v>
      </c>
      <c r="L273">
        <v>-76.83633</v>
      </c>
      <c r="M273">
        <f>HYPERLINK("https://www.google.com/maps/search/?api=1&amp;query=-12.30894,-76.83633","Carretera Panamericana Sur, Punta Hermosa, Lima")</f>
      </c>
      <c r="N273">
        <v>62.2</v>
      </c>
      <c r="O273">
        <v>94</v>
      </c>
      <c r="P273">
        <v>2501.74</v>
      </c>
      <c r="Q273" t="str">
        <v>159.90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AAR-880</v>
      </c>
      <c r="D274" t="str">
        <v>AAR-880</v>
      </c>
      <c r="E274" t="str">
        <v/>
      </c>
      <c r="F274" t="str">
        <v>867806078847433</v>
      </c>
      <c r="G274" t="str">
        <v>Otro</v>
      </c>
      <c r="H274" t="str">
        <v/>
      </c>
      <c r="I274" t="str">
        <v>27/09/2026</v>
      </c>
      <c r="J274" t="str">
        <v>07:56:10</v>
      </c>
      <c r="K274">
        <v>-12.314615</v>
      </c>
      <c r="L274">
        <v>-76.83255</v>
      </c>
      <c r="M274">
        <f>HYPERLINK("https://www.google.com/maps/search/?api=1&amp;query=-12.314615,-76.83255","Carretera Panamericana Sur, Punta Hermosa, Lima")</f>
      </c>
      <c r="N274">
        <v>60</v>
      </c>
      <c r="O274">
        <v>94</v>
      </c>
      <c r="P274">
        <v>2502.48</v>
      </c>
      <c r="Q274" t="str">
        <v>159.90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AAR-880</v>
      </c>
      <c r="D275" t="str">
        <v>AAR-880</v>
      </c>
      <c r="E275" t="str">
        <v/>
      </c>
      <c r="F275" t="str">
        <v>867806078847433</v>
      </c>
      <c r="G275" t="str">
        <v>Otro</v>
      </c>
      <c r="H275" t="str">
        <v/>
      </c>
      <c r="I275" t="str">
        <v>27/09/2026</v>
      </c>
      <c r="J275" t="str">
        <v>07:56:53</v>
      </c>
      <c r="K275">
        <v>-12.320338</v>
      </c>
      <c r="L275">
        <v>-76.828735</v>
      </c>
      <c r="M275">
        <f>HYPERLINK("https://www.google.com/maps/search/?api=1&amp;query=-12.320338,-76.828735","Carretera Panamericana Sur, Punta Hermosa, Lima")</f>
      </c>
      <c r="N275">
        <v>65</v>
      </c>
      <c r="O275">
        <v>94</v>
      </c>
      <c r="P275">
        <v>2503.24</v>
      </c>
      <c r="Q275" t="str">
        <v>159.90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AAR-880</v>
      </c>
      <c r="D276" t="str">
        <v>AAR-880</v>
      </c>
      <c r="E276" t="str">
        <v/>
      </c>
      <c r="F276" t="str">
        <v>867806078847433</v>
      </c>
      <c r="G276" t="str">
        <v>Otro</v>
      </c>
      <c r="H276" t="str">
        <v/>
      </c>
      <c r="I276" t="str">
        <v>27/09/2026</v>
      </c>
      <c r="J276" t="str">
        <v>07:57:33</v>
      </c>
      <c r="K276">
        <v>-12.326016</v>
      </c>
      <c r="L276">
        <v>-76.82493</v>
      </c>
      <c r="M276">
        <f>HYPERLINK("https://www.google.com/maps/search/?api=1&amp;query=-12.326016,-76.82493","Carretera Panamericana Sur, Punta Hermosa, Lima")</f>
      </c>
      <c r="N276">
        <v>69.8</v>
      </c>
      <c r="O276">
        <v>94</v>
      </c>
      <c r="P276">
        <v>2503.99</v>
      </c>
      <c r="Q276" t="str">
        <v>159.90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AAR-880</v>
      </c>
      <c r="D277" t="str">
        <v>AAR-880</v>
      </c>
      <c r="E277" t="str">
        <v/>
      </c>
      <c r="F277" t="str">
        <v>867806078847433</v>
      </c>
      <c r="G277" t="str">
        <v>Otro</v>
      </c>
      <c r="H277" t="str">
        <v/>
      </c>
      <c r="I277" t="str">
        <v>27/09/2026</v>
      </c>
      <c r="J277" t="str">
        <v>07:58:10</v>
      </c>
      <c r="K277">
        <v>-12.331675</v>
      </c>
      <c r="L277">
        <v>-76.82115</v>
      </c>
      <c r="M277">
        <f>HYPERLINK("https://www.google.com/maps/search/?api=1&amp;query=-12.331675,-76.82115","Carretera Panamericana Sur, Punta Hermosa, Lima")</f>
      </c>
      <c r="N277">
        <v>72</v>
      </c>
      <c r="O277">
        <v>91</v>
      </c>
      <c r="P277">
        <v>2504.73</v>
      </c>
      <c r="Q277" t="str">
        <v>159.90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AAR-880</v>
      </c>
      <c r="D278" t="str">
        <v>AAR-880</v>
      </c>
      <c r="E278" t="str">
        <v/>
      </c>
      <c r="F278" t="str">
        <v>867806078847433</v>
      </c>
      <c r="G278" t="str">
        <v>Otro</v>
      </c>
      <c r="H278" t="str">
        <v/>
      </c>
      <c r="I278" t="str">
        <v>27/09/2026</v>
      </c>
      <c r="J278" t="str">
        <v>07:58:39</v>
      </c>
      <c r="K278">
        <v>-12.335422</v>
      </c>
      <c r="L278">
        <v>-76.8188</v>
      </c>
      <c r="M278">
        <f>HYPERLINK("https://www.google.com/maps/search/?api=1&amp;query=-12.335422,-76.8188","Carretera Panamericana Sur, Punta Hermosa, Lima")</f>
      </c>
      <c r="N278">
        <v>32.7</v>
      </c>
      <c r="O278">
        <v>91</v>
      </c>
      <c r="P278">
        <v>2505.22</v>
      </c>
      <c r="Q278" t="str">
        <v>159.90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AAR-880</v>
      </c>
      <c r="D279" t="str">
        <v>AAR-880</v>
      </c>
      <c r="E279" t="str">
        <v/>
      </c>
      <c r="F279" t="str">
        <v>867806078847433</v>
      </c>
      <c r="G279" t="str">
        <v>Otro</v>
      </c>
      <c r="H279" t="str">
        <v/>
      </c>
      <c r="I279" t="str">
        <v>27/09/2026</v>
      </c>
      <c r="J279" t="str">
        <v>07:58:44</v>
      </c>
      <c r="K279">
        <v>-12.335778</v>
      </c>
      <c r="L279">
        <v>-76.818855</v>
      </c>
      <c r="M279">
        <f>HYPERLINK("https://www.google.com/maps/search/?api=1&amp;query=-12.335778,-76.818855","Antigua Panamericana Sur, Punta Hermosa, Lima")</f>
      </c>
      <c r="N279">
        <v>24.8</v>
      </c>
      <c r="O279">
        <v>92</v>
      </c>
      <c r="P279">
        <v>2505.26</v>
      </c>
      <c r="Q279" t="str">
        <v>159.90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AAR-880</v>
      </c>
      <c r="D280" t="str">
        <v>AAR-880</v>
      </c>
      <c r="E280" t="str">
        <v/>
      </c>
      <c r="F280" t="str">
        <v>867806078847433</v>
      </c>
      <c r="G280" t="str">
        <v>Otro</v>
      </c>
      <c r="H280" t="str">
        <v/>
      </c>
      <c r="I280" t="str">
        <v>27/09/2026</v>
      </c>
      <c r="J280" t="str">
        <v>07:58:49</v>
      </c>
      <c r="K280">
        <v>-12.33586</v>
      </c>
      <c r="L280">
        <v>-76.81908</v>
      </c>
      <c r="M280">
        <f>HYPERLINK("https://www.google.com/maps/search/?api=1&amp;query=-12.33586,-76.81908","Antigua Panamericana Sur, Punta Hermosa, Lima")</f>
      </c>
      <c r="N280">
        <v>19.6</v>
      </c>
      <c r="O280">
        <v>92</v>
      </c>
      <c r="P280">
        <v>2505.29</v>
      </c>
      <c r="Q280" t="str">
        <v>159.90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AAR-880</v>
      </c>
      <c r="D281" t="str">
        <v>AAR-880</v>
      </c>
      <c r="E281" t="str">
        <v/>
      </c>
      <c r="F281" t="str">
        <v>867806078847433</v>
      </c>
      <c r="G281" t="str">
        <v>Otro</v>
      </c>
      <c r="H281" t="str">
        <v/>
      </c>
      <c r="I281" t="str">
        <v>27/09/2026</v>
      </c>
      <c r="J281" t="str">
        <v>07:58:54</v>
      </c>
      <c r="K281">
        <v>-12.335645</v>
      </c>
      <c r="L281">
        <v>-76.81927</v>
      </c>
      <c r="M281">
        <f>HYPERLINK("https://www.google.com/maps/search/?api=1&amp;query=-12.335645,-76.81927","Antigua Panamericana Sur, Punta Hermosa, Lima")</f>
      </c>
      <c r="N281">
        <v>27.5</v>
      </c>
      <c r="O281">
        <v>94</v>
      </c>
      <c r="P281">
        <v>2505.32</v>
      </c>
      <c r="Q281" t="str">
        <v>159.90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AAR-880</v>
      </c>
      <c r="D282" t="str">
        <v>AAR-880</v>
      </c>
      <c r="E282" t="str">
        <v/>
      </c>
      <c r="F282" t="str">
        <v>867806078847433</v>
      </c>
      <c r="G282" t="str">
        <v>Otro</v>
      </c>
      <c r="H282" t="str">
        <v/>
      </c>
      <c r="I282" t="str">
        <v>27/09/2026</v>
      </c>
      <c r="J282" t="str">
        <v>07:59:21</v>
      </c>
      <c r="K282">
        <v>-12.333827</v>
      </c>
      <c r="L282">
        <v>-76.820496</v>
      </c>
      <c r="M282">
        <f>HYPERLINK("https://www.google.com/maps/search/?api=1&amp;query=-12.333827,-76.820496","Antigua Panamericana Sur, Punta Hermosa, Lima")</f>
      </c>
      <c r="N282">
        <v>18.7</v>
      </c>
      <c r="O282">
        <v>94</v>
      </c>
      <c r="P282">
        <v>2505.56</v>
      </c>
      <c r="Q282" t="str">
        <v>159.90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AAR-880</v>
      </c>
      <c r="D283" t="str">
        <v>AAR-880</v>
      </c>
      <c r="E283" t="str">
        <v/>
      </c>
      <c r="F283" t="str">
        <v>867806078847433</v>
      </c>
      <c r="G283" t="str">
        <v>Otro</v>
      </c>
      <c r="H283" t="str">
        <v/>
      </c>
      <c r="I283" t="str">
        <v>27/09/2026</v>
      </c>
      <c r="J283" t="str">
        <v>07:59:26</v>
      </c>
      <c r="K283">
        <v>-12.333685</v>
      </c>
      <c r="L283">
        <v>-76.82036</v>
      </c>
      <c r="M283">
        <f>HYPERLINK("https://www.google.com/maps/search/?api=1&amp;query=-12.333685,-76.82036","Antigua Panamericana Sur, Punta Hermosa, Lima")</f>
      </c>
      <c r="N283">
        <v>22.5</v>
      </c>
      <c r="O283">
        <v>85</v>
      </c>
      <c r="P283">
        <v>2505.58</v>
      </c>
      <c r="Q283" t="str">
        <v>159.90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AAR-880</v>
      </c>
      <c r="D284" t="str">
        <v>AAR-880</v>
      </c>
      <c r="E284" t="str">
        <v/>
      </c>
      <c r="F284" t="str">
        <v>867806078847433</v>
      </c>
      <c r="G284" t="str">
        <v>Otro</v>
      </c>
      <c r="H284" t="str">
        <v/>
      </c>
      <c r="I284" t="str">
        <v>27/09/2026</v>
      </c>
      <c r="J284" t="str">
        <v>07:59:31</v>
      </c>
      <c r="K284">
        <v>-12.333698</v>
      </c>
      <c r="L284">
        <v>-76.81996</v>
      </c>
      <c r="M284">
        <f>HYPERLINK("https://www.google.com/maps/search/?api=1&amp;query=-12.333698,-76.81996","Carretera Panamericana Sur, Punta Hermosa, Lima")</f>
      </c>
      <c r="N284">
        <v>32.2</v>
      </c>
      <c r="O284">
        <v>85</v>
      </c>
      <c r="P284">
        <v>2505.63</v>
      </c>
      <c r="Q284" t="str">
        <v>159.90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AAR-880</v>
      </c>
      <c r="D285" t="str">
        <v>AAR-880</v>
      </c>
      <c r="E285" t="str">
        <v/>
      </c>
      <c r="F285" t="str">
        <v>867806078847433</v>
      </c>
      <c r="G285" t="str">
        <v>Otro</v>
      </c>
      <c r="H285" t="str">
        <v/>
      </c>
      <c r="I285" t="str">
        <v>27/09/2026</v>
      </c>
      <c r="J285" t="str">
        <v>07:59:36</v>
      </c>
      <c r="K285">
        <v>-12.33351</v>
      </c>
      <c r="L285">
        <v>-76.81963</v>
      </c>
      <c r="M285">
        <f>HYPERLINK("https://www.google.com/maps/search/?api=1&amp;query=-12.33351,-76.81963","Carretera Panamericana Sur, Punta Hermosa, Lima")</f>
      </c>
      <c r="N285">
        <v>27.4</v>
      </c>
      <c r="O285">
        <v>85</v>
      </c>
      <c r="P285">
        <v>2505.67</v>
      </c>
      <c r="Q285" t="str">
        <v>159.90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AAR-880</v>
      </c>
      <c r="D286" t="str">
        <v>AAR-880</v>
      </c>
      <c r="E286" t="str">
        <v/>
      </c>
      <c r="F286" t="str">
        <v>867806078847433</v>
      </c>
      <c r="G286" t="str">
        <v>Otro</v>
      </c>
      <c r="H286" t="str">
        <v/>
      </c>
      <c r="I286" t="str">
        <v>27/09/2026</v>
      </c>
      <c r="J286" t="str">
        <v>07:59:41</v>
      </c>
      <c r="K286">
        <v>-12.333154</v>
      </c>
      <c r="L286">
        <v>-76.81962</v>
      </c>
      <c r="M286">
        <f>HYPERLINK("https://www.google.com/maps/search/?api=1&amp;query=-12.333154,-76.81962","Punta Hermosa, Lima")</f>
      </c>
      <c r="N286">
        <v>30.9</v>
      </c>
      <c r="O286">
        <v>89</v>
      </c>
      <c r="P286">
        <v>2505.71</v>
      </c>
      <c r="Q286" t="str">
        <v>159.90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AAR-880</v>
      </c>
      <c r="D287" t="str">
        <v>AAR-880</v>
      </c>
      <c r="E287" t="str">
        <v/>
      </c>
      <c r="F287" t="str">
        <v>867806078847433</v>
      </c>
      <c r="G287" t="str">
        <v>Otro</v>
      </c>
      <c r="H287" t="str">
        <v/>
      </c>
      <c r="I287" t="str">
        <v>27/09/2026</v>
      </c>
      <c r="J287" t="str">
        <v>07:59:46</v>
      </c>
      <c r="K287">
        <v>-12.332855</v>
      </c>
      <c r="L287">
        <v>-76.81989</v>
      </c>
      <c r="M287">
        <f>HYPERLINK("https://www.google.com/maps/search/?api=1&amp;query=-12.332855,-76.81989","Carretera Panamericana Sur, Punta Hermosa, Lima")</f>
      </c>
      <c r="N287">
        <v>33.7</v>
      </c>
      <c r="O287">
        <v>89</v>
      </c>
      <c r="P287">
        <v>2505.75</v>
      </c>
      <c r="Q287" t="str">
        <v>159.90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AAR-880</v>
      </c>
      <c r="D288" t="str">
        <v>AAR-880</v>
      </c>
      <c r="E288" t="str">
        <v/>
      </c>
      <c r="F288" t="str">
        <v>867806078847433</v>
      </c>
      <c r="G288" t="str">
        <v>Otro</v>
      </c>
      <c r="H288" t="str">
        <v/>
      </c>
      <c r="I288" t="str">
        <v>27/09/2026</v>
      </c>
      <c r="J288" t="str">
        <v>07:59:52</v>
      </c>
      <c r="K288">
        <v>-12.332488</v>
      </c>
      <c r="L288">
        <v>-76.820244</v>
      </c>
      <c r="M288">
        <f>HYPERLINK("https://www.google.com/maps/search/?api=1&amp;query=-12.332488,-76.820244","Carretera Panamericana Sur, Punta Hermosa, Lima")</f>
      </c>
      <c r="N288">
        <v>33.8</v>
      </c>
      <c r="O288">
        <v>95</v>
      </c>
      <c r="P288">
        <v>2505.81</v>
      </c>
      <c r="Q288" t="str">
        <v>159.90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AAR-880</v>
      </c>
      <c r="D289" t="str">
        <v>AAR-880</v>
      </c>
      <c r="E289" t="str">
        <v/>
      </c>
      <c r="F289" t="str">
        <v>867806078847433</v>
      </c>
      <c r="G289" t="str">
        <v>Otro</v>
      </c>
      <c r="H289" t="str">
        <v/>
      </c>
      <c r="I289" t="str">
        <v>27/09/2026</v>
      </c>
      <c r="J289" t="str">
        <v>08:00:44</v>
      </c>
      <c r="K289">
        <v>-12.3269</v>
      </c>
      <c r="L289">
        <v>-76.82417</v>
      </c>
      <c r="M289">
        <f>HYPERLINK("https://www.google.com/maps/search/?api=1&amp;query=-12.3269,-76.82417","Carretera Panamericana Sur, Punta Hermosa, Lima")</f>
      </c>
      <c r="N289">
        <v>57.4</v>
      </c>
      <c r="O289">
        <v>89</v>
      </c>
      <c r="P289">
        <v>2506.56</v>
      </c>
      <c r="Q289" t="str">
        <v>159.90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AAR-880</v>
      </c>
      <c r="D290" t="str">
        <v>AAR-880</v>
      </c>
      <c r="E290" t="str">
        <v/>
      </c>
      <c r="F290" t="str">
        <v>867806078847433</v>
      </c>
      <c r="G290" t="str">
        <v>Otro</v>
      </c>
      <c r="H290" t="str">
        <v/>
      </c>
      <c r="I290" t="str">
        <v>27/09/2026</v>
      </c>
      <c r="J290" t="str">
        <v>08:01:31</v>
      </c>
      <c r="K290">
        <v>-12.321155</v>
      </c>
      <c r="L290">
        <v>-76.828</v>
      </c>
      <c r="M290">
        <f>HYPERLINK("https://www.google.com/maps/search/?api=1&amp;query=-12.321155,-76.828","Carretera Panamericana Sur, Punta Hermosa, Lima")</f>
      </c>
      <c r="N290">
        <v>60.7</v>
      </c>
      <c r="O290">
        <v>89</v>
      </c>
      <c r="P290">
        <v>2507.31</v>
      </c>
      <c r="Q290" t="str">
        <v>159.90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AAR-880</v>
      </c>
      <c r="D291" t="str">
        <v>AAR-880</v>
      </c>
      <c r="E291" t="str">
        <v/>
      </c>
      <c r="F291" t="str">
        <v>867806078847433</v>
      </c>
      <c r="G291" t="str">
        <v>Otro</v>
      </c>
      <c r="H291" t="str">
        <v/>
      </c>
      <c r="I291" t="str">
        <v>27/09/2026</v>
      </c>
      <c r="J291" t="str">
        <v>08:01:56</v>
      </c>
      <c r="K291">
        <v>-12.3182</v>
      </c>
      <c r="L291">
        <v>-76.829765</v>
      </c>
      <c r="M291">
        <f>HYPERLINK("https://www.google.com/maps/search/?api=1&amp;query=-12.3182,-76.829765","Carretera Panamericana Sur, Punta Hermosa, Lima")</f>
      </c>
      <c r="N291">
        <v>36.1</v>
      </c>
      <c r="O291">
        <v>89</v>
      </c>
      <c r="P291">
        <v>2507.69</v>
      </c>
      <c r="Q291" t="str">
        <v>159.90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AAR-880</v>
      </c>
      <c r="D292" t="str">
        <v>AAR-880</v>
      </c>
      <c r="E292" t="str">
        <v/>
      </c>
      <c r="F292" t="str">
        <v>867806078847433</v>
      </c>
      <c r="G292" t="str">
        <v>Otro</v>
      </c>
      <c r="H292" t="str">
        <v/>
      </c>
      <c r="I292" t="str">
        <v>27/09/2026</v>
      </c>
      <c r="J292" t="str">
        <v>08:02:01</v>
      </c>
      <c r="K292">
        <v>-12.317808</v>
      </c>
      <c r="L292">
        <v>-76.82976</v>
      </c>
      <c r="M292">
        <f>HYPERLINK("https://www.google.com/maps/search/?api=1&amp;query=-12.317808,-76.82976","Punta Hermosa, Lima")</f>
      </c>
      <c r="N292">
        <v>26.2</v>
      </c>
      <c r="O292">
        <v>89</v>
      </c>
      <c r="P292">
        <v>2507.74</v>
      </c>
      <c r="Q292" t="str">
        <v>159.90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AAR-880</v>
      </c>
      <c r="D293" t="str">
        <v>AAR-880</v>
      </c>
      <c r="E293" t="str">
        <v/>
      </c>
      <c r="F293" t="str">
        <v>867806078847433</v>
      </c>
      <c r="G293" t="str">
        <v>Otro</v>
      </c>
      <c r="H293" t="str">
        <v/>
      </c>
      <c r="I293" t="str">
        <v>27/09/2026</v>
      </c>
      <c r="J293" t="str">
        <v>08:03:01</v>
      </c>
      <c r="K293">
        <v>-12.317707</v>
      </c>
      <c r="L293">
        <v>-76.829704</v>
      </c>
      <c r="M293">
        <f>HYPERLINK("https://www.google.com/maps/search/?api=1&amp;query=-12.317707,-76.829704","Punta Hermosa, Lima")</f>
      </c>
      <c r="N293">
        <v>0</v>
      </c>
      <c r="O293">
        <v>89</v>
      </c>
      <c r="P293">
        <v>2507.75</v>
      </c>
      <c r="Q293" t="str">
        <v>159.90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AAR-880</v>
      </c>
      <c r="D294" t="str">
        <v>AAR-880</v>
      </c>
      <c r="E294" t="str">
        <v/>
      </c>
      <c r="F294" t="str">
        <v>867806078847433</v>
      </c>
      <c r="G294" t="str">
        <v>Otro</v>
      </c>
      <c r="H294" t="str">
        <v/>
      </c>
      <c r="I294" t="str">
        <v>27/09/2026</v>
      </c>
      <c r="J294" t="str">
        <v>08:03:47</v>
      </c>
      <c r="K294">
        <v>-12.317643</v>
      </c>
      <c r="L294">
        <v>-76.82966</v>
      </c>
      <c r="M294">
        <f>HYPERLINK("https://www.google.com/maps/search/?api=1&amp;query=-12.317643,-76.82966","Punta Hermosa, Lima")</f>
      </c>
      <c r="N294">
        <v>9.2</v>
      </c>
      <c r="O294">
        <v>89</v>
      </c>
      <c r="P294">
        <v>2507.76</v>
      </c>
      <c r="Q294" t="str">
        <v>159.90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AAR-880</v>
      </c>
      <c r="D295" t="str">
        <v>AAR-880</v>
      </c>
      <c r="E295" t="str">
        <v/>
      </c>
      <c r="F295" t="str">
        <v>867806078847433</v>
      </c>
      <c r="G295" t="str">
        <v>Otro</v>
      </c>
      <c r="H295" t="str">
        <v/>
      </c>
      <c r="I295" t="str">
        <v>27/09/2026</v>
      </c>
      <c r="J295" t="str">
        <v>08:03:47</v>
      </c>
      <c r="K295">
        <v>-12.317643</v>
      </c>
      <c r="L295">
        <v>-76.82966</v>
      </c>
      <c r="M295">
        <f>HYPERLINK("https://www.google.com/maps/search/?api=1&amp;query=-12.317643,-76.82966","Punta Hermosa, Lima")</f>
      </c>
      <c r="N295">
        <v>9.2</v>
      </c>
      <c r="O295">
        <v>88</v>
      </c>
      <c r="P295">
        <v>2507.76</v>
      </c>
      <c r="Q295" t="str">
        <v>157.08</v>
      </c>
      <c r="R295" t="str">
        <v>Llegó a la zona</v>
      </c>
      <c r="S295" t="str">
        <v>MASS BSF 1</v>
      </c>
      <c r="T295" t="str">
        <v xml:space="preserve"> </v>
      </c>
      <c r="U295" t="str">
        <v/>
      </c>
    </row>
    <row r="296">
      <c r="A296" t="str">
        <v>295</v>
      </c>
      <c r="B296" t="str">
        <v>MASS BSF</v>
      </c>
      <c r="C296" t="str">
        <v>AAR-880</v>
      </c>
      <c r="D296" t="str">
        <v>AAR-880</v>
      </c>
      <c r="E296" t="str">
        <v/>
      </c>
      <c r="F296" t="str">
        <v>867806078847433</v>
      </c>
      <c r="G296" t="str">
        <v>Otro</v>
      </c>
      <c r="H296" t="str">
        <v/>
      </c>
      <c r="I296" t="str">
        <v>27/09/2026</v>
      </c>
      <c r="J296" t="str">
        <v>08:03:49</v>
      </c>
      <c r="K296">
        <v>-12.31763</v>
      </c>
      <c r="L296">
        <v>-76.82964</v>
      </c>
      <c r="M296">
        <f>HYPERLINK("https://www.google.com/maps/search/?api=1&amp;query=-12.31763,-76.82964","Punta Hermosa, Lima")</f>
      </c>
      <c r="N296">
        <v>8.7</v>
      </c>
      <c r="O296">
        <v>95</v>
      </c>
      <c r="P296">
        <v>2507.76</v>
      </c>
      <c r="Q296" t="str">
        <v>159.90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AAR-880</v>
      </c>
      <c r="D297" t="str">
        <v>AAR-880</v>
      </c>
      <c r="E297" t="str">
        <v/>
      </c>
      <c r="F297" t="str">
        <v>867806078847433</v>
      </c>
      <c r="G297" t="str">
        <v>Otro</v>
      </c>
      <c r="H297" t="str">
        <v/>
      </c>
      <c r="I297" t="str">
        <v>27/09/2026</v>
      </c>
      <c r="J297" t="str">
        <v>08:03:52</v>
      </c>
      <c r="K297">
        <v>-12.317552</v>
      </c>
      <c r="L297">
        <v>-76.82959</v>
      </c>
      <c r="M297">
        <f>HYPERLINK("https://www.google.com/maps/search/?api=1&amp;query=-12.317552,-76.82959","Punta Hermosa, Lima")</f>
      </c>
      <c r="N297">
        <v>10.3</v>
      </c>
      <c r="O297">
        <v>88</v>
      </c>
      <c r="P297">
        <v>2507.77</v>
      </c>
      <c r="Q297" t="str">
        <v>159.90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AAR-880</v>
      </c>
      <c r="D298" t="str">
        <v>AAR-880</v>
      </c>
      <c r="E298" t="str">
        <v/>
      </c>
      <c r="F298" t="str">
        <v>867806078847433</v>
      </c>
      <c r="G298" t="str">
        <v>Otro</v>
      </c>
      <c r="H298" t="str">
        <v/>
      </c>
      <c r="I298" t="str">
        <v>27/09/2026</v>
      </c>
      <c r="J298" t="str">
        <v>08:03:57</v>
      </c>
      <c r="K298">
        <v>-12.317449</v>
      </c>
      <c r="L298">
        <v>-76.82951</v>
      </c>
      <c r="M298">
        <f>HYPERLINK("https://www.google.com/maps/search/?api=1&amp;query=-12.317449,-76.82951","Punta Hermosa, Lima")</f>
      </c>
      <c r="N298">
        <v>10.1</v>
      </c>
      <c r="O298">
        <v>95</v>
      </c>
      <c r="P298">
        <v>2507.78</v>
      </c>
      <c r="Q298" t="str">
        <v>159.90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AAR-880</v>
      </c>
      <c r="D299" t="str">
        <v>AAR-880</v>
      </c>
      <c r="E299" t="str">
        <v/>
      </c>
      <c r="F299" t="str">
        <v>867806078847433</v>
      </c>
      <c r="G299" t="str">
        <v>Otro</v>
      </c>
      <c r="H299" t="str">
        <v/>
      </c>
      <c r="I299" t="str">
        <v>27/09/2026</v>
      </c>
      <c r="J299" t="str">
        <v>08:04:22</v>
      </c>
      <c r="K299">
        <v>-12.317358</v>
      </c>
      <c r="L299">
        <v>-76.82934</v>
      </c>
      <c r="M299">
        <f>HYPERLINK("https://www.google.com/maps/search/?api=1&amp;query=-12.317358,-76.82934","Punta Hermosa, Lima")</f>
      </c>
      <c r="N299">
        <v>13.1</v>
      </c>
      <c r="O299">
        <v>95</v>
      </c>
      <c r="P299">
        <v>2507.8</v>
      </c>
      <c r="Q299" t="str">
        <v>159.90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AAR-880</v>
      </c>
      <c r="D300" t="str">
        <v>AAR-880</v>
      </c>
      <c r="E300" t="str">
        <v/>
      </c>
      <c r="F300" t="str">
        <v>867806078847433</v>
      </c>
      <c r="G300" t="str">
        <v>Otro</v>
      </c>
      <c r="H300" t="str">
        <v/>
      </c>
      <c r="I300" t="str">
        <v>27/09/2026</v>
      </c>
      <c r="J300" t="str">
        <v>08:04:27</v>
      </c>
      <c r="K300">
        <v>-12.317295</v>
      </c>
      <c r="L300">
        <v>-76.82919</v>
      </c>
      <c r="M300">
        <f>HYPERLINK("https://www.google.com/maps/search/?api=1&amp;query=-12.317295,-76.82919","Punta Hermosa, Lima")</f>
      </c>
      <c r="N300">
        <v>12.5</v>
      </c>
      <c r="O300">
        <v>95</v>
      </c>
      <c r="P300">
        <v>2507.82</v>
      </c>
      <c r="Q300" t="str">
        <v>159.90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AAR-880</v>
      </c>
      <c r="D301" t="str">
        <v>AAR-880</v>
      </c>
      <c r="E301" t="str">
        <v/>
      </c>
      <c r="F301" t="str">
        <v>867806078847433</v>
      </c>
      <c r="G301" t="str">
        <v>Otro</v>
      </c>
      <c r="H301" t="str">
        <v/>
      </c>
      <c r="I301" t="str">
        <v>27/09/2026</v>
      </c>
      <c r="J301" t="str">
        <v>08:05:27</v>
      </c>
      <c r="K301">
        <v>-12.316215</v>
      </c>
      <c r="L301">
        <v>-76.82738</v>
      </c>
      <c r="M301">
        <f>HYPERLINK("https://www.google.com/maps/search/?api=1&amp;query=-12.316215,-76.82738","Punta Hermosa, Lima")</f>
      </c>
      <c r="N301">
        <v>13.8</v>
      </c>
      <c r="O301">
        <v>91</v>
      </c>
      <c r="P301">
        <v>2508.05</v>
      </c>
      <c r="Q301" t="str">
        <v>159.90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AAR-880</v>
      </c>
      <c r="D302" t="str">
        <v>AAR-880</v>
      </c>
      <c r="E302" t="str">
        <v/>
      </c>
      <c r="F302" t="str">
        <v>867806078847433</v>
      </c>
      <c r="G302" t="str">
        <v>Otro</v>
      </c>
      <c r="H302" t="str">
        <v/>
      </c>
      <c r="I302" t="str">
        <v>27/09/2026</v>
      </c>
      <c r="J302" t="str">
        <v>08:05:31</v>
      </c>
      <c r="K302">
        <v>-12.31614</v>
      </c>
      <c r="L302">
        <v>-76.827225</v>
      </c>
      <c r="M302">
        <f>HYPERLINK("https://www.google.com/maps/search/?api=1&amp;query=-12.31614,-76.827225","Punta Hermosa, Lima")</f>
      </c>
      <c r="N302">
        <v>11.4</v>
      </c>
      <c r="O302">
        <v>91</v>
      </c>
      <c r="P302">
        <v>2508.06</v>
      </c>
      <c r="Q302" t="str">
        <v>159.90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AAR-880</v>
      </c>
      <c r="D303" t="str">
        <v>AAR-880</v>
      </c>
      <c r="E303" t="str">
        <v/>
      </c>
      <c r="F303" t="str">
        <v>867806078847433</v>
      </c>
      <c r="G303" t="str">
        <v>Otro</v>
      </c>
      <c r="H303" t="str">
        <v/>
      </c>
      <c r="I303" t="str">
        <v>27/09/2026</v>
      </c>
      <c r="J303" t="str">
        <v>08:05:36</v>
      </c>
      <c r="K303">
        <v>-12.316185</v>
      </c>
      <c r="L303">
        <v>-76.82711</v>
      </c>
      <c r="M303">
        <f>HYPERLINK("https://www.google.com/maps/search/?api=1&amp;query=-12.316185,-76.82711","Punta Hermosa, Lima")</f>
      </c>
      <c r="N303">
        <v>11.6</v>
      </c>
      <c r="O303">
        <v>91</v>
      </c>
      <c r="P303">
        <v>2508.08</v>
      </c>
      <c r="Q303" t="str">
        <v>159.90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AAR-880</v>
      </c>
      <c r="D304" t="str">
        <v>AAR-880</v>
      </c>
      <c r="E304" t="str">
        <v/>
      </c>
      <c r="F304" t="str">
        <v>867806078847433</v>
      </c>
      <c r="G304" t="str">
        <v>Otro</v>
      </c>
      <c r="H304" t="str">
        <v/>
      </c>
      <c r="I304" t="str">
        <v>27/09/2026</v>
      </c>
      <c r="J304" t="str">
        <v>08:06:13</v>
      </c>
      <c r="K304">
        <v>-12.317297</v>
      </c>
      <c r="L304">
        <v>-76.82634</v>
      </c>
      <c r="M304">
        <f>HYPERLINK("https://www.google.com/maps/search/?api=1&amp;query=-12.317297,-76.82634","Punta Hermosa, Lima")</f>
      </c>
      <c r="N304">
        <v>14.6</v>
      </c>
      <c r="O304">
        <v>91</v>
      </c>
      <c r="P304">
        <v>2508.22</v>
      </c>
      <c r="Q304" t="str">
        <v>159.90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AAR-880</v>
      </c>
      <c r="D305" t="str">
        <v>AAR-880</v>
      </c>
      <c r="E305" t="str">
        <v/>
      </c>
      <c r="F305" t="str">
        <v>867806078847433</v>
      </c>
      <c r="G305" t="str">
        <v>Otro</v>
      </c>
      <c r="H305" t="str">
        <v/>
      </c>
      <c r="I305" t="str">
        <v>27/09/2026</v>
      </c>
      <c r="J305" t="str">
        <v>08:06:18</v>
      </c>
      <c r="K305">
        <v>-12.317325</v>
      </c>
      <c r="L305">
        <v>-76.82617</v>
      </c>
      <c r="M305">
        <f>HYPERLINK("https://www.google.com/maps/search/?api=1&amp;query=-12.317325,-76.82617","Punta Hermosa, Lima")</f>
      </c>
      <c r="N305">
        <v>14.4</v>
      </c>
      <c r="O305">
        <v>91</v>
      </c>
      <c r="P305">
        <v>2508.24</v>
      </c>
      <c r="Q305" t="str">
        <v>159.90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AAR-880</v>
      </c>
      <c r="D306" t="str">
        <v>AAR-880</v>
      </c>
      <c r="E306" t="str">
        <v/>
      </c>
      <c r="F306" t="str">
        <v>867806078847433</v>
      </c>
      <c r="G306" t="str">
        <v>Otro</v>
      </c>
      <c r="H306" t="str">
        <v/>
      </c>
      <c r="I306" t="str">
        <v>27/09/2026</v>
      </c>
      <c r="J306" t="str">
        <v>08:06:23</v>
      </c>
      <c r="K306">
        <v>-12.317248</v>
      </c>
      <c r="L306">
        <v>-76.82601</v>
      </c>
      <c r="M306">
        <f>HYPERLINK("https://www.google.com/maps/search/?api=1&amp;query=-12.317248,-76.82601","Punta Hermosa, Lima")</f>
      </c>
      <c r="N306">
        <v>12.9</v>
      </c>
      <c r="O306">
        <v>91</v>
      </c>
      <c r="P306">
        <v>2508.26</v>
      </c>
      <c r="Q306" t="str">
        <v>159.90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AAR-880</v>
      </c>
      <c r="D307" t="str">
        <v>AAR-880</v>
      </c>
      <c r="E307" t="str">
        <v/>
      </c>
      <c r="F307" t="str">
        <v>867806078847433</v>
      </c>
      <c r="G307" t="str">
        <v>Otro</v>
      </c>
      <c r="H307" t="str">
        <v/>
      </c>
      <c r="I307" t="str">
        <v>27/09/2026</v>
      </c>
      <c r="J307" t="str">
        <v>08:06:49</v>
      </c>
      <c r="K307">
        <v>-12.31673</v>
      </c>
      <c r="L307">
        <v>-76.825165</v>
      </c>
      <c r="M307">
        <f>HYPERLINK("https://www.google.com/maps/search/?api=1&amp;query=-12.31673,-76.825165","Punta Hermosa, Lima")</f>
      </c>
      <c r="N307">
        <v>12.5</v>
      </c>
      <c r="O307">
        <v>91</v>
      </c>
      <c r="P307">
        <v>2508.37</v>
      </c>
      <c r="Q307" t="str">
        <v>159.90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AAR-880</v>
      </c>
      <c r="D308" t="str">
        <v>AAR-880</v>
      </c>
      <c r="E308" t="str">
        <v/>
      </c>
      <c r="F308" t="str">
        <v>867806078847433</v>
      </c>
      <c r="G308" t="str">
        <v>Otro</v>
      </c>
      <c r="H308" t="str">
        <v/>
      </c>
      <c r="I308" t="str">
        <v>27/09/2026</v>
      </c>
      <c r="J308" t="str">
        <v>08:06:54</v>
      </c>
      <c r="K308">
        <v>-12.316782</v>
      </c>
      <c r="L308">
        <v>-76.825</v>
      </c>
      <c r="M308">
        <f>HYPERLINK("https://www.google.com/maps/search/?api=1&amp;query=-12.316782,-76.825","Punta Hermosa, Lima")</f>
      </c>
      <c r="N308">
        <v>14.8</v>
      </c>
      <c r="O308">
        <v>91</v>
      </c>
      <c r="P308">
        <v>2508.39</v>
      </c>
      <c r="Q308" t="str">
        <v>159.90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AAR-880</v>
      </c>
      <c r="D309" t="str">
        <v>AAR-880</v>
      </c>
      <c r="E309" t="str">
        <v/>
      </c>
      <c r="F309" t="str">
        <v>867806078847433</v>
      </c>
      <c r="G309" t="str">
        <v>Otro</v>
      </c>
      <c r="H309" t="str">
        <v/>
      </c>
      <c r="I309" t="str">
        <v>27/09/2026</v>
      </c>
      <c r="J309" t="str">
        <v>08:07:29</v>
      </c>
      <c r="K309">
        <v>-12.317825</v>
      </c>
      <c r="L309">
        <v>-76.8243</v>
      </c>
      <c r="M309">
        <f>HYPERLINK("https://www.google.com/maps/search/?api=1&amp;query=-12.317825,-76.8243","Punta Hermosa, Lima")</f>
      </c>
      <c r="N309">
        <v>9.2</v>
      </c>
      <c r="O309">
        <v>91</v>
      </c>
      <c r="P309">
        <v>2508.52</v>
      </c>
      <c r="Q309" t="str">
        <v>159.90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AAR-880</v>
      </c>
      <c r="D310" t="str">
        <v>AAR-880</v>
      </c>
      <c r="E310" t="str">
        <v/>
      </c>
      <c r="F310" t="str">
        <v>867806078847433</v>
      </c>
      <c r="G310" t="str">
        <v>Otro</v>
      </c>
      <c r="H310" t="str">
        <v/>
      </c>
      <c r="I310" t="str">
        <v>27/09/2026</v>
      </c>
      <c r="J310" t="str">
        <v>08:07:34</v>
      </c>
      <c r="K310">
        <v>-12.317937</v>
      </c>
      <c r="L310">
        <v>-76.824196</v>
      </c>
      <c r="M310">
        <f>HYPERLINK("https://www.google.com/maps/search/?api=1&amp;query=-12.317937,-76.824196","Punta Hermosa, Lima")</f>
      </c>
      <c r="N310">
        <v>12.7</v>
      </c>
      <c r="O310">
        <v>91</v>
      </c>
      <c r="P310">
        <v>2508.54</v>
      </c>
      <c r="Q310" t="str">
        <v>159.90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AAR-880</v>
      </c>
      <c r="D311" t="str">
        <v>AAR-880</v>
      </c>
      <c r="E311" t="str">
        <v/>
      </c>
      <c r="F311" t="str">
        <v>867806078847433</v>
      </c>
      <c r="G311" t="str">
        <v>Otro</v>
      </c>
      <c r="H311" t="str">
        <v/>
      </c>
      <c r="I311" t="str">
        <v>27/09/2026</v>
      </c>
      <c r="J311" t="str">
        <v>08:08:15</v>
      </c>
      <c r="K311">
        <v>-12.318143</v>
      </c>
      <c r="L311">
        <v>-76.82408</v>
      </c>
      <c r="M311">
        <f>HYPERLINK("https://www.google.com/maps/search/?api=1&amp;query=-12.318143,-76.82408","Punta Hermosa, Lima")</f>
      </c>
      <c r="N311">
        <v>6.8</v>
      </c>
      <c r="O311">
        <v>91</v>
      </c>
      <c r="P311">
        <v>2508.56</v>
      </c>
      <c r="Q311" t="str">
        <v>159.90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AAR-880</v>
      </c>
      <c r="D312" t="str">
        <v>AAR-880</v>
      </c>
      <c r="E312" t="str">
        <v/>
      </c>
      <c r="F312" t="str">
        <v>867806078847433</v>
      </c>
      <c r="G312" t="str">
        <v>Otro</v>
      </c>
      <c r="H312" t="str">
        <v/>
      </c>
      <c r="I312" t="str">
        <v>27/09/2026</v>
      </c>
      <c r="J312" t="str">
        <v>08:08:21</v>
      </c>
      <c r="K312">
        <v>-12.31825</v>
      </c>
      <c r="L312">
        <v>-76.82403</v>
      </c>
      <c r="M312">
        <f>HYPERLINK("https://www.google.com/maps/search/?api=1&amp;query=-12.31825,-76.82403","Punta Hermosa, Lima")</f>
      </c>
      <c r="N312">
        <v>7.5</v>
      </c>
      <c r="O312">
        <v>91</v>
      </c>
      <c r="P312">
        <v>2508.58</v>
      </c>
      <c r="Q312" t="str">
        <v>159.90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AAR-880</v>
      </c>
      <c r="D313" t="str">
        <v>AAR-880</v>
      </c>
      <c r="E313" t="str">
        <v/>
      </c>
      <c r="F313" t="str">
        <v>867806078847433</v>
      </c>
      <c r="G313" t="str">
        <v>Otro</v>
      </c>
      <c r="H313" t="str">
        <v/>
      </c>
      <c r="I313" t="str">
        <v>27/09/2026</v>
      </c>
      <c r="J313" t="str">
        <v>08:08:36</v>
      </c>
      <c r="K313">
        <v>-12.318468</v>
      </c>
      <c r="L313">
        <v>-76.82387</v>
      </c>
      <c r="M313">
        <f>HYPERLINK("https://www.google.com/maps/search/?api=1&amp;query=-12.318468,-76.82387","Punta Hermosa, Lima")</f>
      </c>
      <c r="N313">
        <v>7.2</v>
      </c>
      <c r="O313">
        <v>91</v>
      </c>
      <c r="P313">
        <v>2508.61</v>
      </c>
      <c r="Q313" t="str">
        <v>159.90</v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AAR-880</v>
      </c>
      <c r="D314" t="str">
        <v>AAR-880</v>
      </c>
      <c r="E314" t="str">
        <v/>
      </c>
      <c r="F314" t="str">
        <v>867806078847433</v>
      </c>
      <c r="G314" t="str">
        <v>Otro</v>
      </c>
      <c r="H314" t="str">
        <v/>
      </c>
      <c r="I314" t="str">
        <v>27/09/2026</v>
      </c>
      <c r="J314" t="str">
        <v>08:08:41</v>
      </c>
      <c r="K314">
        <v>-12.318499</v>
      </c>
      <c r="L314">
        <v>-76.82377</v>
      </c>
      <c r="M314">
        <f>HYPERLINK("https://www.google.com/maps/search/?api=1&amp;query=-12.318499,-76.82377","Punta Hermosa, Lima")</f>
      </c>
      <c r="N314">
        <v>10.1</v>
      </c>
      <c r="O314">
        <v>91</v>
      </c>
      <c r="P314">
        <v>2508.62</v>
      </c>
      <c r="Q314" t="str">
        <v>159.90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AAR-880</v>
      </c>
      <c r="D315" t="str">
        <v>AAR-880</v>
      </c>
      <c r="E315" t="str">
        <v/>
      </c>
      <c r="F315" t="str">
        <v>867806078847433</v>
      </c>
      <c r="G315" t="str">
        <v>Otro</v>
      </c>
      <c r="H315" t="str">
        <v/>
      </c>
      <c r="I315" t="str">
        <v>27/09/2026</v>
      </c>
      <c r="J315" t="str">
        <v>08:08:46</v>
      </c>
      <c r="K315">
        <v>-12.31845</v>
      </c>
      <c r="L315">
        <v>-76.82362</v>
      </c>
      <c r="M315">
        <f>HYPERLINK("https://www.google.com/maps/search/?api=1&amp;query=-12.31845,-76.82362","Punta Hermosa, Lima")</f>
      </c>
      <c r="N315">
        <v>16.6</v>
      </c>
      <c r="O315">
        <v>91</v>
      </c>
      <c r="P315">
        <v>2508.63</v>
      </c>
      <c r="Q315" t="str">
        <v>159.90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AAR-880</v>
      </c>
      <c r="D316" t="str">
        <v>AAR-880</v>
      </c>
      <c r="E316" t="str">
        <v/>
      </c>
      <c r="F316" t="str">
        <v>867806078847433</v>
      </c>
      <c r="G316" t="str">
        <v>Otro</v>
      </c>
      <c r="H316" t="str">
        <v/>
      </c>
      <c r="I316" t="str">
        <v>27/09/2026</v>
      </c>
      <c r="J316" t="str">
        <v>08:09:07</v>
      </c>
      <c r="K316">
        <v>-12.318075</v>
      </c>
      <c r="L316">
        <v>-76.82298</v>
      </c>
      <c r="M316">
        <f>HYPERLINK("https://www.google.com/maps/search/?api=1&amp;query=-12.318075,-76.82298","Punta Hermosa, Lima")</f>
      </c>
      <c r="N316">
        <v>12.7</v>
      </c>
      <c r="O316">
        <v>95</v>
      </c>
      <c r="P316">
        <v>2508.71</v>
      </c>
      <c r="Q316" t="str">
        <v>159.90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AAR-880</v>
      </c>
      <c r="D317" t="str">
        <v>AAR-880</v>
      </c>
      <c r="E317" t="str">
        <v/>
      </c>
      <c r="F317" t="str">
        <v>867806078847433</v>
      </c>
      <c r="G317" t="str">
        <v>Otro</v>
      </c>
      <c r="H317" t="str">
        <v/>
      </c>
      <c r="I317" t="str">
        <v>27/09/2026</v>
      </c>
      <c r="J317" t="str">
        <v>08:09:12</v>
      </c>
      <c r="K317">
        <v>-12.317937</v>
      </c>
      <c r="L317">
        <v>-76.82292</v>
      </c>
      <c r="M317">
        <f>HYPERLINK("https://www.google.com/maps/search/?api=1&amp;query=-12.317937,-76.82292","Punta Hermosa, Lima")</f>
      </c>
      <c r="N317">
        <v>12.7</v>
      </c>
      <c r="O317">
        <v>95</v>
      </c>
      <c r="P317">
        <v>2508.73</v>
      </c>
      <c r="Q317" t="str">
        <v>159.90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AAR-880</v>
      </c>
      <c r="D318" t="str">
        <v>AAR-880</v>
      </c>
      <c r="E318" t="str">
        <v/>
      </c>
      <c r="F318" t="str">
        <v>867806078847433</v>
      </c>
      <c r="G318" t="str">
        <v>Otro</v>
      </c>
      <c r="H318" t="str">
        <v/>
      </c>
      <c r="I318" t="str">
        <v>27/09/2026</v>
      </c>
      <c r="J318" t="str">
        <v>08:09:23</v>
      </c>
      <c r="K318">
        <v>-12.317594</v>
      </c>
      <c r="L318">
        <v>-76.82283</v>
      </c>
      <c r="M318">
        <f>HYPERLINK("https://www.google.com/maps/search/?api=1&amp;query=-12.317594,-76.82283","Punta Hermosa, Lima")</f>
      </c>
      <c r="N318">
        <v>12</v>
      </c>
      <c r="O318">
        <v>95</v>
      </c>
      <c r="P318">
        <v>2508.77</v>
      </c>
      <c r="Q318" t="str">
        <v>159.90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AAR-880</v>
      </c>
      <c r="D319" t="str">
        <v>AAR-880</v>
      </c>
      <c r="E319" t="str">
        <v/>
      </c>
      <c r="F319" t="str">
        <v>867806078847433</v>
      </c>
      <c r="G319" t="str">
        <v>Otro</v>
      </c>
      <c r="H319" t="str">
        <v/>
      </c>
      <c r="I319" t="str">
        <v>27/09/2026</v>
      </c>
      <c r="J319" t="str">
        <v>08:09:28</v>
      </c>
      <c r="K319">
        <v>-12.317451</v>
      </c>
      <c r="L319">
        <v>-76.822876</v>
      </c>
      <c r="M319">
        <f>HYPERLINK("https://www.google.com/maps/search/?api=1&amp;query=-12.317451,-76.822876","Punta Hermosa, Lima")</f>
      </c>
      <c r="N319">
        <v>10.9</v>
      </c>
      <c r="O319">
        <v>95</v>
      </c>
      <c r="P319">
        <v>2508.78</v>
      </c>
      <c r="Q319" t="str">
        <v>159.90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AAR-880</v>
      </c>
      <c r="D320" t="str">
        <v>AAR-880</v>
      </c>
      <c r="E320" t="str">
        <v/>
      </c>
      <c r="F320" t="str">
        <v>867806078847433</v>
      </c>
      <c r="G320" t="str">
        <v>Otro</v>
      </c>
      <c r="H320" t="str">
        <v/>
      </c>
      <c r="I320" t="str">
        <v>27/09/2026</v>
      </c>
      <c r="J320" t="str">
        <v>08:09:44</v>
      </c>
      <c r="K320">
        <v>-12.31735</v>
      </c>
      <c r="L320">
        <v>-76.82294</v>
      </c>
      <c r="M320">
        <f>HYPERLINK("https://www.google.com/maps/search/?api=1&amp;query=-12.31735,-76.82294","Punta Hermosa, Lima")</f>
      </c>
      <c r="N320">
        <v>6.4</v>
      </c>
      <c r="O320">
        <v>95</v>
      </c>
      <c r="P320">
        <v>2508.8</v>
      </c>
      <c r="Q320" t="str">
        <v>159.90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AAR-880</v>
      </c>
      <c r="D321" t="str">
        <v>AAR-880</v>
      </c>
      <c r="E321" t="str">
        <v/>
      </c>
      <c r="F321" t="str">
        <v>867806078847433</v>
      </c>
      <c r="G321" t="str">
        <v>Otro</v>
      </c>
      <c r="H321" t="str">
        <v/>
      </c>
      <c r="I321" t="str">
        <v>27/09/2026</v>
      </c>
      <c r="J321" t="str">
        <v>08:10:44</v>
      </c>
      <c r="K321">
        <v>-12.317398</v>
      </c>
      <c r="L321">
        <v>-76.822945</v>
      </c>
      <c r="M321">
        <f>HYPERLINK("https://www.google.com/maps/search/?api=1&amp;query=-12.317398,-76.822945","Punta Hermosa, Lima")</f>
      </c>
      <c r="N321">
        <v>0</v>
      </c>
      <c r="O321">
        <v>95</v>
      </c>
      <c r="P321">
        <v>2508.81</v>
      </c>
      <c r="Q321" t="str">
        <v>159.90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AAR-880</v>
      </c>
      <c r="D322" t="str">
        <v>AAR-880</v>
      </c>
      <c r="E322" t="str">
        <v/>
      </c>
      <c r="F322" t="str">
        <v>867806078847433</v>
      </c>
      <c r="G322" t="str">
        <v>Otro</v>
      </c>
      <c r="H322" t="str">
        <v/>
      </c>
      <c r="I322" t="str">
        <v>27/09/2026</v>
      </c>
      <c r="J322" t="str">
        <v>08:11:44</v>
      </c>
      <c r="K322">
        <v>-12.317398</v>
      </c>
      <c r="L322">
        <v>-76.822945</v>
      </c>
      <c r="M322">
        <f>HYPERLINK("https://www.google.com/maps/search/?api=1&amp;query=-12.317398,-76.822945","Punta Hermosa, Lima")</f>
      </c>
      <c r="N322">
        <v>0</v>
      </c>
      <c r="O322">
        <v>95</v>
      </c>
      <c r="P322">
        <v>2508.81</v>
      </c>
      <c r="Q322" t="str">
        <v>159.90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AAR-880</v>
      </c>
      <c r="D323" t="str">
        <v>AAR-880</v>
      </c>
      <c r="E323" t="str">
        <v/>
      </c>
      <c r="F323" t="str">
        <v>867806078847433</v>
      </c>
      <c r="G323" t="str">
        <v>Otro</v>
      </c>
      <c r="H323" t="str">
        <v/>
      </c>
      <c r="I323" t="str">
        <v>27/09/2026</v>
      </c>
      <c r="J323" t="str">
        <v>08:12:44</v>
      </c>
      <c r="K323">
        <v>-12.317398</v>
      </c>
      <c r="L323">
        <v>-76.822945</v>
      </c>
      <c r="M323">
        <f>HYPERLINK("https://www.google.com/maps/search/?api=1&amp;query=-12.317398,-76.822945","Punta Hermosa, Lima")</f>
      </c>
      <c r="N323">
        <v>0</v>
      </c>
      <c r="O323">
        <v>95</v>
      </c>
      <c r="P323">
        <v>2508.81</v>
      </c>
      <c r="Q323" t="str">
        <v>159.90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AAR-880</v>
      </c>
      <c r="D324" t="str">
        <v>AAR-880</v>
      </c>
      <c r="E324" t="str">
        <v/>
      </c>
      <c r="F324" t="str">
        <v>867806078847433</v>
      </c>
      <c r="G324" t="str">
        <v>Otro</v>
      </c>
      <c r="H324" t="str">
        <v/>
      </c>
      <c r="I324" t="str">
        <v>27/09/2026</v>
      </c>
      <c r="J324" t="str">
        <v>08:13:44</v>
      </c>
      <c r="K324">
        <v>-12.317398</v>
      </c>
      <c r="L324">
        <v>-76.822945</v>
      </c>
      <c r="M324">
        <f>HYPERLINK("https://www.google.com/maps/search/?api=1&amp;query=-12.317398,-76.822945","Punta Hermosa, Lima")</f>
      </c>
      <c r="N324">
        <v>0</v>
      </c>
      <c r="O324">
        <v>95</v>
      </c>
      <c r="P324">
        <v>2508.81</v>
      </c>
      <c r="Q324" t="str">
        <v>159.90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AAR-880</v>
      </c>
      <c r="D325" t="str">
        <v>AAR-880</v>
      </c>
      <c r="E325" t="str">
        <v/>
      </c>
      <c r="F325" t="str">
        <v>867806078847433</v>
      </c>
      <c r="G325" t="str">
        <v>Otro</v>
      </c>
      <c r="H325" t="str">
        <v/>
      </c>
      <c r="I325" t="str">
        <v>27/09/2026</v>
      </c>
      <c r="J325" t="str">
        <v>08:14:44</v>
      </c>
      <c r="K325">
        <v>-12.317398</v>
      </c>
      <c r="L325">
        <v>-76.822945</v>
      </c>
      <c r="M325">
        <f>HYPERLINK("https://www.google.com/maps/search/?api=1&amp;query=-12.317398,-76.822945","Punta Hermosa, Lima")</f>
      </c>
      <c r="N325">
        <v>0</v>
      </c>
      <c r="O325">
        <v>84</v>
      </c>
      <c r="P325">
        <v>2508.81</v>
      </c>
      <c r="Q325" t="str">
        <v>159.90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AAR-880</v>
      </c>
      <c r="D326" t="str">
        <v>AAR-880</v>
      </c>
      <c r="E326" t="str">
        <v/>
      </c>
      <c r="F326" t="str">
        <v>867806078847433</v>
      </c>
      <c r="G326" t="str">
        <v>Otro</v>
      </c>
      <c r="H326" t="str">
        <v/>
      </c>
      <c r="I326" t="str">
        <v>27/09/2026</v>
      </c>
      <c r="J326" t="str">
        <v>08:15:44</v>
      </c>
      <c r="K326">
        <v>-12.317398</v>
      </c>
      <c r="L326">
        <v>-76.822945</v>
      </c>
      <c r="M326">
        <f>HYPERLINK("https://www.google.com/maps/search/?api=1&amp;query=-12.317398,-76.822945","Punta Hermosa, Lima")</f>
      </c>
      <c r="N326">
        <v>0</v>
      </c>
      <c r="O326">
        <v>84</v>
      </c>
      <c r="P326">
        <v>2508.81</v>
      </c>
      <c r="Q326" t="str">
        <v>159.90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AAR-880</v>
      </c>
      <c r="D327" t="str">
        <v>AAR-880</v>
      </c>
      <c r="E327" t="str">
        <v/>
      </c>
      <c r="F327" t="str">
        <v>867806078847433</v>
      </c>
      <c r="G327" t="str">
        <v>Otro</v>
      </c>
      <c r="H327" t="str">
        <v/>
      </c>
      <c r="I327" t="str">
        <v>27/09/2026</v>
      </c>
      <c r="J327" t="str">
        <v>08:16:44</v>
      </c>
      <c r="K327">
        <v>-12.317398</v>
      </c>
      <c r="L327">
        <v>-76.822945</v>
      </c>
      <c r="M327">
        <f>HYPERLINK("https://www.google.com/maps/search/?api=1&amp;query=-12.317398,-76.822945","Punta Hermosa, Lima")</f>
      </c>
      <c r="N327">
        <v>0</v>
      </c>
      <c r="O327">
        <v>84</v>
      </c>
      <c r="P327">
        <v>2508.81</v>
      </c>
      <c r="Q327" t="str">
        <v>159.90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AAR-880</v>
      </c>
      <c r="D328" t="str">
        <v>AAR-880</v>
      </c>
      <c r="E328" t="str">
        <v/>
      </c>
      <c r="F328" t="str">
        <v>867806078847433</v>
      </c>
      <c r="G328" t="str">
        <v>Otro</v>
      </c>
      <c r="H328" t="str">
        <v/>
      </c>
      <c r="I328" t="str">
        <v>27/09/2026</v>
      </c>
      <c r="J328" t="str">
        <v>08:17:23</v>
      </c>
      <c r="K328">
        <v>-12.317398</v>
      </c>
      <c r="L328">
        <v>-76.822945</v>
      </c>
      <c r="M328">
        <f>HYPERLINK("https://www.google.com/maps/search/?api=1&amp;query=-12.317398,-76.822945","Punta Hermosa, Lima")</f>
      </c>
      <c r="N328">
        <v>0</v>
      </c>
      <c r="O328">
        <v>84</v>
      </c>
      <c r="P328">
        <v>2508.81</v>
      </c>
      <c r="Q328" t="str">
        <v>160.72</v>
      </c>
      <c r="R328" t="str">
        <v>Vehículo apagado</v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AAR-880</v>
      </c>
      <c r="D329" t="str">
        <v>AAR-880</v>
      </c>
      <c r="E329" t="str">
        <v/>
      </c>
      <c r="F329" t="str">
        <v>867806078847433</v>
      </c>
      <c r="G329" t="str">
        <v>Otro</v>
      </c>
      <c r="H329" t="str">
        <v/>
      </c>
      <c r="I329" t="str">
        <v>27/09/2026</v>
      </c>
      <c r="J329" t="str">
        <v>08:17:23</v>
      </c>
      <c r="K329">
        <v>-12.317398</v>
      </c>
      <c r="L329">
        <v>-76.822945</v>
      </c>
      <c r="M329">
        <f>HYPERLINK("https://www.google.com/maps/search/?api=1&amp;query=-12.317398,-76.822945","Punta Hermosa, Lima")</f>
      </c>
      <c r="N329">
        <v>0</v>
      </c>
      <c r="O329">
        <v>84</v>
      </c>
      <c r="P329">
        <v>2508.81</v>
      </c>
      <c r="Q329" t="str">
        <v>159.90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AAR-880</v>
      </c>
      <c r="D330" t="str">
        <v>AAR-880</v>
      </c>
      <c r="E330" t="str">
        <v/>
      </c>
      <c r="F330" t="str">
        <v>867806078847433</v>
      </c>
      <c r="G330" t="str">
        <v>Otro</v>
      </c>
      <c r="H330" t="str">
        <v/>
      </c>
      <c r="I330" t="str">
        <v>27/09/2026</v>
      </c>
      <c r="J330" t="str">
        <v>08:17:28</v>
      </c>
      <c r="K330">
        <v>-12.317398</v>
      </c>
      <c r="L330">
        <v>-76.822945</v>
      </c>
      <c r="M330">
        <f>HYPERLINK("https://www.google.com/maps/search/?api=1&amp;query=-12.317398,-76.822945","Punta Hermosa, Lima")</f>
      </c>
      <c r="N330">
        <v>0</v>
      </c>
      <c r="O330">
        <v>84</v>
      </c>
      <c r="P330">
        <v>2508.81</v>
      </c>
      <c r="Q330" t="str">
        <v>160.72</v>
      </c>
      <c r="R330" t="str">
        <v>Vehículo encendido</v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AAR-880</v>
      </c>
      <c r="D331" t="str">
        <v>AAR-880</v>
      </c>
      <c r="E331" t="str">
        <v/>
      </c>
      <c r="F331" t="str">
        <v>867806078847433</v>
      </c>
      <c r="G331" t="str">
        <v>Otro</v>
      </c>
      <c r="H331" t="str">
        <v/>
      </c>
      <c r="I331" t="str">
        <v>27/09/2026</v>
      </c>
      <c r="J331" t="str">
        <v>08:17:28</v>
      </c>
      <c r="K331">
        <v>-12.317398</v>
      </c>
      <c r="L331">
        <v>-76.822945</v>
      </c>
      <c r="M331">
        <f>HYPERLINK("https://www.google.com/maps/search/?api=1&amp;query=-12.317398,-76.822945","Punta Hermosa, Lima")</f>
      </c>
      <c r="N331">
        <v>0</v>
      </c>
      <c r="O331">
        <v>84</v>
      </c>
      <c r="P331">
        <v>2508.81</v>
      </c>
      <c r="Q331" t="str">
        <v>160.72</v>
      </c>
      <c r="R331" t="str">
        <v>Se movio</v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AAR-880</v>
      </c>
      <c r="D332" t="str">
        <v>AAR-880</v>
      </c>
      <c r="E332" t="str">
        <v/>
      </c>
      <c r="F332" t="str">
        <v>867806078847433</v>
      </c>
      <c r="G332" t="str">
        <v>Otro</v>
      </c>
      <c r="H332" t="str">
        <v/>
      </c>
      <c r="I332" t="str">
        <v>27/09/2026</v>
      </c>
      <c r="J332" t="str">
        <v>08:17:33</v>
      </c>
      <c r="K332">
        <v>-12.317202</v>
      </c>
      <c r="L332">
        <v>-76.822876</v>
      </c>
      <c r="M332">
        <f>HYPERLINK("https://www.google.com/maps/search/?api=1&amp;query=-12.317202,-76.822876","Punta Hermosa, Lima")</f>
      </c>
      <c r="N332">
        <v>11.2</v>
      </c>
      <c r="O332">
        <v>84</v>
      </c>
      <c r="P332">
        <v>2508.83</v>
      </c>
      <c r="Q332" t="str">
        <v>160.72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AAR-880</v>
      </c>
      <c r="D333" t="str">
        <v>AAR-880</v>
      </c>
      <c r="E333" t="str">
        <v/>
      </c>
      <c r="F333" t="str">
        <v>867806078847433</v>
      </c>
      <c r="G333" t="str">
        <v>Otro</v>
      </c>
      <c r="H333" t="str">
        <v/>
      </c>
      <c r="I333" t="str">
        <v>27/09/2026</v>
      </c>
      <c r="J333" t="str">
        <v>08:17:38</v>
      </c>
      <c r="K333">
        <v>-12.317128</v>
      </c>
      <c r="L333">
        <v>-76.82297</v>
      </c>
      <c r="M333">
        <f>HYPERLINK("https://www.google.com/maps/search/?api=1&amp;query=-12.317128,-76.82297","Punta Hermosa, Lima")</f>
      </c>
      <c r="N333">
        <v>9.4</v>
      </c>
      <c r="O333">
        <v>85</v>
      </c>
      <c r="P333">
        <v>2508.85</v>
      </c>
      <c r="Q333" t="str">
        <v>160.72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AAR-880</v>
      </c>
      <c r="D334" t="str">
        <v>AAR-880</v>
      </c>
      <c r="E334" t="str">
        <v/>
      </c>
      <c r="F334" t="str">
        <v>867806078847433</v>
      </c>
      <c r="G334" t="str">
        <v>Otro</v>
      </c>
      <c r="H334" t="str">
        <v/>
      </c>
      <c r="I334" t="str">
        <v>27/09/2026</v>
      </c>
      <c r="J334" t="str">
        <v>08:17:43</v>
      </c>
      <c r="K334">
        <v>-12.317222</v>
      </c>
      <c r="L334">
        <v>-76.82302</v>
      </c>
      <c r="M334">
        <f>HYPERLINK("https://www.google.com/maps/search/?api=1&amp;query=-12.317222,-76.82302","Punta Hermosa, Lima")</f>
      </c>
      <c r="N334">
        <v>6.2</v>
      </c>
      <c r="O334">
        <v>85</v>
      </c>
      <c r="P334">
        <v>2508.86</v>
      </c>
      <c r="Q334" t="str">
        <v>160.72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AAR-880</v>
      </c>
      <c r="D335" t="str">
        <v>AAR-880</v>
      </c>
      <c r="E335" t="str">
        <v/>
      </c>
      <c r="F335" t="str">
        <v>867806078847433</v>
      </c>
      <c r="G335" t="str">
        <v>Otro</v>
      </c>
      <c r="H335" t="str">
        <v/>
      </c>
      <c r="I335" t="str">
        <v>27/09/2026</v>
      </c>
      <c r="J335" t="str">
        <v>08:17:55</v>
      </c>
      <c r="K335">
        <v>-12.317264</v>
      </c>
      <c r="L335">
        <v>-76.82299</v>
      </c>
      <c r="M335">
        <f>HYPERLINK("https://www.google.com/maps/search/?api=1&amp;query=-12.317264,-76.82299","Punta Hermosa, Lima")</f>
      </c>
      <c r="N335">
        <v>5.5</v>
      </c>
      <c r="O335">
        <v>93</v>
      </c>
      <c r="P335">
        <v>2508.87</v>
      </c>
      <c r="Q335" t="str">
        <v>160.72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AAR-880</v>
      </c>
      <c r="D336" t="str">
        <v>AAR-880</v>
      </c>
      <c r="E336" t="str">
        <v/>
      </c>
      <c r="F336" t="str">
        <v>867806078847433</v>
      </c>
      <c r="G336" t="str">
        <v>Otro</v>
      </c>
      <c r="H336" t="str">
        <v/>
      </c>
      <c r="I336" t="str">
        <v>27/09/2026</v>
      </c>
      <c r="J336" t="str">
        <v>08:18:04</v>
      </c>
      <c r="K336">
        <v>-12.317328</v>
      </c>
      <c r="L336">
        <v>-76.82292</v>
      </c>
      <c r="M336">
        <f>HYPERLINK("https://www.google.com/maps/search/?api=1&amp;query=-12.317328,-76.82292","Punta Hermosa, Lima")</f>
      </c>
      <c r="N336">
        <v>7.4</v>
      </c>
      <c r="O336">
        <v>93</v>
      </c>
      <c r="P336">
        <v>2508.88</v>
      </c>
      <c r="Q336" t="str">
        <v>160.72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AAR-880</v>
      </c>
      <c r="D337" t="str">
        <v>AAR-880</v>
      </c>
      <c r="E337" t="str">
        <v/>
      </c>
      <c r="F337" t="str">
        <v>867806078847433</v>
      </c>
      <c r="G337" t="str">
        <v>Otro</v>
      </c>
      <c r="H337" t="str">
        <v/>
      </c>
      <c r="I337" t="str">
        <v>27/09/2026</v>
      </c>
      <c r="J337" t="str">
        <v>08:18:09</v>
      </c>
      <c r="K337">
        <v>-12.317404</v>
      </c>
      <c r="L337">
        <v>-76.82288</v>
      </c>
      <c r="M337">
        <f>HYPERLINK("https://www.google.com/maps/search/?api=1&amp;query=-12.317404,-76.82288","Punta Hermosa, Lima")</f>
      </c>
      <c r="N337">
        <v>10.1</v>
      </c>
      <c r="O337">
        <v>93</v>
      </c>
      <c r="P337">
        <v>2508.88</v>
      </c>
      <c r="Q337" t="str">
        <v>160.72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AAR-880</v>
      </c>
      <c r="D338" t="str">
        <v>AAR-880</v>
      </c>
      <c r="E338" t="str">
        <v/>
      </c>
      <c r="F338" t="str">
        <v>867806078847433</v>
      </c>
      <c r="G338" t="str">
        <v>Otro</v>
      </c>
      <c r="H338" t="str">
        <v/>
      </c>
      <c r="I338" t="str">
        <v>27/09/2026</v>
      </c>
      <c r="J338" t="str">
        <v>08:18:09</v>
      </c>
      <c r="K338">
        <v>-12.317429</v>
      </c>
      <c r="L338">
        <v>-76.822876</v>
      </c>
      <c r="M338">
        <f>HYPERLINK("https://www.google.com/maps/search/?api=1&amp;query=-12.317429,-76.822876","Punta Hermosa, Lima")</f>
      </c>
      <c r="N338">
        <v>10.1</v>
      </c>
      <c r="O338">
        <v>93</v>
      </c>
      <c r="P338">
        <v>2508.89</v>
      </c>
      <c r="Q338" t="str">
        <v>160.72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AAR-880</v>
      </c>
      <c r="D339" t="str">
        <v>AAR-880</v>
      </c>
      <c r="E339" t="str">
        <v/>
      </c>
      <c r="F339" t="str">
        <v>867806078847433</v>
      </c>
      <c r="G339" t="str">
        <v>Otro</v>
      </c>
      <c r="H339" t="str">
        <v/>
      </c>
      <c r="I339" t="str">
        <v>27/09/2026</v>
      </c>
      <c r="J339" t="str">
        <v>08:18:14</v>
      </c>
      <c r="K339">
        <v>-12.31761</v>
      </c>
      <c r="L339">
        <v>-76.82286</v>
      </c>
      <c r="M339">
        <f>HYPERLINK("https://www.google.com/maps/search/?api=1&amp;query=-12.31761,-76.82286","Punta Hermosa, Lima")</f>
      </c>
      <c r="N339">
        <v>17</v>
      </c>
      <c r="O339">
        <v>93</v>
      </c>
      <c r="P339">
        <v>2508.91</v>
      </c>
      <c r="Q339" t="str">
        <v>160.72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AAR-880</v>
      </c>
      <c r="D340" t="str">
        <v>AAR-880</v>
      </c>
      <c r="E340" t="str">
        <v/>
      </c>
      <c r="F340" t="str">
        <v>867806078847433</v>
      </c>
      <c r="G340" t="str">
        <v>Otro</v>
      </c>
      <c r="H340" t="str">
        <v/>
      </c>
      <c r="I340" t="str">
        <v>27/09/2026</v>
      </c>
      <c r="J340" t="str">
        <v>08:18:22</v>
      </c>
      <c r="K340">
        <v>-12.317948</v>
      </c>
      <c r="L340">
        <v>-76.822945</v>
      </c>
      <c r="M340">
        <f>HYPERLINK("https://www.google.com/maps/search/?api=1&amp;query=-12.317948,-76.822945","Punta Hermosa, Lima")</f>
      </c>
      <c r="N340">
        <v>18.7</v>
      </c>
      <c r="O340">
        <v>93</v>
      </c>
      <c r="P340">
        <v>2508.94</v>
      </c>
      <c r="Q340" t="str">
        <v>160.72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AAR-880</v>
      </c>
      <c r="D341" t="str">
        <v>AAR-880</v>
      </c>
      <c r="E341" t="str">
        <v/>
      </c>
      <c r="F341" t="str">
        <v>867806078847433</v>
      </c>
      <c r="G341" t="str">
        <v>Otro</v>
      </c>
      <c r="H341" t="str">
        <v/>
      </c>
      <c r="I341" t="str">
        <v>27/09/2026</v>
      </c>
      <c r="J341" t="str">
        <v>08:18:27</v>
      </c>
      <c r="K341">
        <v>-12.318135</v>
      </c>
      <c r="L341">
        <v>-76.82312</v>
      </c>
      <c r="M341">
        <f>HYPERLINK("https://www.google.com/maps/search/?api=1&amp;query=-12.318135,-76.82312","Punta Hermosa, Lima")</f>
      </c>
      <c r="N341">
        <v>22.9</v>
      </c>
      <c r="O341">
        <v>93</v>
      </c>
      <c r="P341">
        <v>2508.97</v>
      </c>
      <c r="Q341" t="str">
        <v>160.72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AAR-880</v>
      </c>
      <c r="D342" t="str">
        <v>AAR-880</v>
      </c>
      <c r="E342" t="str">
        <v/>
      </c>
      <c r="F342" t="str">
        <v>867806078847433</v>
      </c>
      <c r="G342" t="str">
        <v>Otro</v>
      </c>
      <c r="H342" t="str">
        <v/>
      </c>
      <c r="I342" t="str">
        <v>27/09/2026</v>
      </c>
      <c r="J342" t="str">
        <v>08:18:38</v>
      </c>
      <c r="K342">
        <v>-12.318454</v>
      </c>
      <c r="L342">
        <v>-76.82365</v>
      </c>
      <c r="M342">
        <f>HYPERLINK("https://www.google.com/maps/search/?api=1&amp;query=-12.318454,-76.82365","Punta Hermosa, Lima")</f>
      </c>
      <c r="N342">
        <v>18.8</v>
      </c>
      <c r="O342">
        <v>93</v>
      </c>
      <c r="P342">
        <v>2509.04</v>
      </c>
      <c r="Q342" t="str">
        <v>160.72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AAR-880</v>
      </c>
      <c r="D343" t="str">
        <v>AAR-880</v>
      </c>
      <c r="E343" t="str">
        <v/>
      </c>
      <c r="F343" t="str">
        <v>867806078847433</v>
      </c>
      <c r="G343" t="str">
        <v>Otro</v>
      </c>
      <c r="H343" t="str">
        <v/>
      </c>
      <c r="I343" t="str">
        <v>27/09/2026</v>
      </c>
      <c r="J343" t="str">
        <v>08:18:43</v>
      </c>
      <c r="K343">
        <v>-12.318398</v>
      </c>
      <c r="L343">
        <v>-76.8239</v>
      </c>
      <c r="M343">
        <f>HYPERLINK("https://www.google.com/maps/search/?api=1&amp;query=-12.318398,-76.8239","Punta Hermosa, Lima")</f>
      </c>
      <c r="N343">
        <v>20.9</v>
      </c>
      <c r="O343">
        <v>94</v>
      </c>
      <c r="P343">
        <v>2509.07</v>
      </c>
      <c r="Q343" t="str">
        <v>160.72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AAR-880</v>
      </c>
      <c r="D344" t="str">
        <v>AAR-880</v>
      </c>
      <c r="E344" t="str">
        <v/>
      </c>
      <c r="F344" t="str">
        <v>867806078847433</v>
      </c>
      <c r="G344" t="str">
        <v>Otro</v>
      </c>
      <c r="H344" t="str">
        <v/>
      </c>
      <c r="I344" t="str">
        <v>27/09/2026</v>
      </c>
      <c r="J344" t="str">
        <v>08:18:48</v>
      </c>
      <c r="K344">
        <v>-12.318193</v>
      </c>
      <c r="L344">
        <v>-76.82403</v>
      </c>
      <c r="M344">
        <f>HYPERLINK("https://www.google.com/maps/search/?api=1&amp;query=-12.318193,-76.82403","Punta Hermosa, Lima")</f>
      </c>
      <c r="N344">
        <v>17.9</v>
      </c>
      <c r="O344">
        <v>94</v>
      </c>
      <c r="P344">
        <v>2509.1</v>
      </c>
      <c r="Q344" t="str">
        <v>160.72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AAR-880</v>
      </c>
      <c r="D345" t="str">
        <v>AAR-880</v>
      </c>
      <c r="E345" t="str">
        <v/>
      </c>
      <c r="F345" t="str">
        <v>867806078847433</v>
      </c>
      <c r="G345" t="str">
        <v>Otro</v>
      </c>
      <c r="H345" t="str">
        <v/>
      </c>
      <c r="I345" t="str">
        <v>27/09/2026</v>
      </c>
      <c r="J345" t="str">
        <v>08:18:59</v>
      </c>
      <c r="K345">
        <v>-12.317837</v>
      </c>
      <c r="L345">
        <v>-76.82424</v>
      </c>
      <c r="M345">
        <f>HYPERLINK("https://www.google.com/maps/search/?api=1&amp;query=-12.317837,-76.82424","Punta Hermosa, Lima")</f>
      </c>
      <c r="N345">
        <v>8.1</v>
      </c>
      <c r="O345">
        <v>87</v>
      </c>
      <c r="P345">
        <v>2509.14</v>
      </c>
      <c r="Q345" t="str">
        <v>160.72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AAR-880</v>
      </c>
      <c r="D346" t="str">
        <v>AAR-880</v>
      </c>
      <c r="E346" t="str">
        <v/>
      </c>
      <c r="F346" t="str">
        <v>867806078847433</v>
      </c>
      <c r="G346" t="str">
        <v>Otro</v>
      </c>
      <c r="H346" t="str">
        <v/>
      </c>
      <c r="I346" t="str">
        <v>27/09/2026</v>
      </c>
      <c r="J346" t="str">
        <v>08:19:59</v>
      </c>
      <c r="K346">
        <v>-12.317826</v>
      </c>
      <c r="L346">
        <v>-76.82417</v>
      </c>
      <c r="M346">
        <f>HYPERLINK("https://www.google.com/maps/search/?api=1&amp;query=-12.317826,-76.82417","Punta Hermosa, Lima")</f>
      </c>
      <c r="N346">
        <v>0</v>
      </c>
      <c r="O346">
        <v>87</v>
      </c>
      <c r="P346">
        <v>2509.16</v>
      </c>
      <c r="Q346" t="str">
        <v>160.72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AAR-880</v>
      </c>
      <c r="D347" t="str">
        <v>AAR-880</v>
      </c>
      <c r="E347" t="str">
        <v/>
      </c>
      <c r="F347" t="str">
        <v>867806078847433</v>
      </c>
      <c r="G347" t="str">
        <v>Otro</v>
      </c>
      <c r="H347" t="str">
        <v/>
      </c>
      <c r="I347" t="str">
        <v>27/09/2026</v>
      </c>
      <c r="J347" t="str">
        <v>08:20:59</v>
      </c>
      <c r="K347">
        <v>-12.317826</v>
      </c>
      <c r="L347">
        <v>-76.82417</v>
      </c>
      <c r="M347">
        <f>HYPERLINK("https://www.google.com/maps/search/?api=1&amp;query=-12.317826,-76.82417","Punta Hermosa, Lima")</f>
      </c>
      <c r="N347">
        <v>0</v>
      </c>
      <c r="O347">
        <v>87</v>
      </c>
      <c r="P347">
        <v>2509.16</v>
      </c>
      <c r="Q347" t="str">
        <v>160.72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AAR-880</v>
      </c>
      <c r="D348" t="str">
        <v>AAR-880</v>
      </c>
      <c r="E348" t="str">
        <v/>
      </c>
      <c r="F348" t="str">
        <v>867806078847433</v>
      </c>
      <c r="G348" t="str">
        <v>Otro</v>
      </c>
      <c r="H348" t="str">
        <v/>
      </c>
      <c r="I348" t="str">
        <v>27/09/2026</v>
      </c>
      <c r="J348" t="str">
        <v>08:21:59</v>
      </c>
      <c r="K348">
        <v>-12.317826</v>
      </c>
      <c r="L348">
        <v>-76.82417</v>
      </c>
      <c r="M348">
        <f>HYPERLINK("https://www.google.com/maps/search/?api=1&amp;query=-12.317826,-76.82417","Punta Hermosa, Lima")</f>
      </c>
      <c r="N348">
        <v>0</v>
      </c>
      <c r="O348">
        <v>90</v>
      </c>
      <c r="P348">
        <v>2509.16</v>
      </c>
      <c r="Q348" t="str">
        <v>160.72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AAR-880</v>
      </c>
      <c r="D349" t="str">
        <v>AAR-880</v>
      </c>
      <c r="E349" t="str">
        <v/>
      </c>
      <c r="F349" t="str">
        <v>867806078847433</v>
      </c>
      <c r="G349" t="str">
        <v>Otro</v>
      </c>
      <c r="H349" t="str">
        <v/>
      </c>
      <c r="I349" t="str">
        <v>27/09/2026</v>
      </c>
      <c r="J349" t="str">
        <v>08:22:59</v>
      </c>
      <c r="K349">
        <v>-12.317826</v>
      </c>
      <c r="L349">
        <v>-76.82417</v>
      </c>
      <c r="M349">
        <f>HYPERLINK("https://www.google.com/maps/search/?api=1&amp;query=-12.317826,-76.82417","Punta Hermosa, Lima")</f>
      </c>
      <c r="N349">
        <v>0</v>
      </c>
      <c r="O349">
        <v>90</v>
      </c>
      <c r="P349">
        <v>2509.16</v>
      </c>
      <c r="Q349" t="str">
        <v>160.72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AAR-880</v>
      </c>
      <c r="D350" t="str">
        <v>AAR-880</v>
      </c>
      <c r="E350" t="str">
        <v/>
      </c>
      <c r="F350" t="str">
        <v>867806078847433</v>
      </c>
      <c r="G350" t="str">
        <v>Otro</v>
      </c>
      <c r="H350" t="str">
        <v/>
      </c>
      <c r="I350" t="str">
        <v>27/09/2026</v>
      </c>
      <c r="J350" t="str">
        <v>08:23:59</v>
      </c>
      <c r="K350">
        <v>-12.317826</v>
      </c>
      <c r="L350">
        <v>-76.82417</v>
      </c>
      <c r="M350">
        <f>HYPERLINK("https://www.google.com/maps/search/?api=1&amp;query=-12.317826,-76.82417","Punta Hermosa, Lima")</f>
      </c>
      <c r="N350">
        <v>0</v>
      </c>
      <c r="O350">
        <v>90</v>
      </c>
      <c r="P350">
        <v>2509.16</v>
      </c>
      <c r="Q350" t="str">
        <v>160.72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AAR-880</v>
      </c>
      <c r="D351" t="str">
        <v>AAR-880</v>
      </c>
      <c r="E351" t="str">
        <v/>
      </c>
      <c r="F351" t="str">
        <v>867806078847433</v>
      </c>
      <c r="G351" t="str">
        <v>Otro</v>
      </c>
      <c r="H351" t="str">
        <v/>
      </c>
      <c r="I351" t="str">
        <v>27/09/2026</v>
      </c>
      <c r="J351" t="str">
        <v>08:24:59</v>
      </c>
      <c r="K351">
        <v>-12.317826</v>
      </c>
      <c r="L351">
        <v>-76.82417</v>
      </c>
      <c r="M351">
        <f>HYPERLINK("https://www.google.com/maps/search/?api=1&amp;query=-12.317826,-76.82417","Punta Hermosa, Lima")</f>
      </c>
      <c r="N351">
        <v>0</v>
      </c>
      <c r="O351">
        <v>90</v>
      </c>
      <c r="P351">
        <v>2509.16</v>
      </c>
      <c r="Q351" t="str">
        <v>160.72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AAR-880</v>
      </c>
      <c r="D352" t="str">
        <v>AAR-880</v>
      </c>
      <c r="E352" t="str">
        <v/>
      </c>
      <c r="F352" t="str">
        <v>867806078847433</v>
      </c>
      <c r="G352" t="str">
        <v>Otro</v>
      </c>
      <c r="H352" t="str">
        <v/>
      </c>
      <c r="I352" t="str">
        <v>27/09/2026</v>
      </c>
      <c r="J352" t="str">
        <v>08:25:59</v>
      </c>
      <c r="K352">
        <v>-12.317826</v>
      </c>
      <c r="L352">
        <v>-76.82417</v>
      </c>
      <c r="M352">
        <f>HYPERLINK("https://www.google.com/maps/search/?api=1&amp;query=-12.317826,-76.82417","Punta Hermosa, Lima")</f>
      </c>
      <c r="N352">
        <v>0</v>
      </c>
      <c r="O352">
        <v>90</v>
      </c>
      <c r="P352">
        <v>2509.16</v>
      </c>
      <c r="Q352" t="str">
        <v>160.72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AAR-880</v>
      </c>
      <c r="D353" t="str">
        <v>AAR-880</v>
      </c>
      <c r="E353" t="str">
        <v/>
      </c>
      <c r="F353" t="str">
        <v>867806078847433</v>
      </c>
      <c r="G353" t="str">
        <v>Otro</v>
      </c>
      <c r="H353" t="str">
        <v/>
      </c>
      <c r="I353" t="str">
        <v>27/09/2026</v>
      </c>
      <c r="J353" t="str">
        <v>08:26:45</v>
      </c>
      <c r="K353">
        <v>-12.317826</v>
      </c>
      <c r="L353">
        <v>-76.82417</v>
      </c>
      <c r="M353">
        <f>HYPERLINK("https://www.google.com/maps/search/?api=1&amp;query=-12.317826,-76.82417","Punta Hermosa, Lima")</f>
      </c>
      <c r="N353">
        <v>0</v>
      </c>
      <c r="O353">
        <v>90</v>
      </c>
      <c r="P353">
        <v>2509.16</v>
      </c>
      <c r="Q353" t="str">
        <v>160.87</v>
      </c>
      <c r="R353" t="str">
        <v>Vehículo apagado</v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AAR-880</v>
      </c>
      <c r="D354" t="str">
        <v>AAR-880</v>
      </c>
      <c r="E354" t="str">
        <v/>
      </c>
      <c r="F354" t="str">
        <v>867806078847433</v>
      </c>
      <c r="G354" t="str">
        <v>Otro</v>
      </c>
      <c r="H354" t="str">
        <v/>
      </c>
      <c r="I354" t="str">
        <v>27/09/2026</v>
      </c>
      <c r="J354" t="str">
        <v>08:26:45</v>
      </c>
      <c r="K354">
        <v>-12.317826</v>
      </c>
      <c r="L354">
        <v>-76.82417</v>
      </c>
      <c r="M354">
        <f>HYPERLINK("https://www.google.com/maps/search/?api=1&amp;query=-12.317826,-76.82417","Punta Hermosa, Lima")</f>
      </c>
      <c r="N354">
        <v>0</v>
      </c>
      <c r="O354">
        <v>90</v>
      </c>
      <c r="P354">
        <v>2509.16</v>
      </c>
      <c r="Q354" t="str">
        <v>160.72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AAR-880</v>
      </c>
      <c r="D355" t="str">
        <v>AAR-880</v>
      </c>
      <c r="E355" t="str">
        <v/>
      </c>
      <c r="F355" t="str">
        <v>867806078847433</v>
      </c>
      <c r="G355" t="str">
        <v>Otro</v>
      </c>
      <c r="H355" t="str">
        <v/>
      </c>
      <c r="I355" t="str">
        <v>27/09/2026</v>
      </c>
      <c r="J355" t="str">
        <v>08:36:45</v>
      </c>
      <c r="K355">
        <v>-12.317826</v>
      </c>
      <c r="L355">
        <v>-76.82417</v>
      </c>
      <c r="M355">
        <f>HYPERLINK("https://www.google.com/maps/search/?api=1&amp;query=-12.317826,-76.82417","Punta Hermosa, Lima")</f>
      </c>
      <c r="N355">
        <v>0</v>
      </c>
      <c r="O355">
        <v>90</v>
      </c>
      <c r="P355">
        <v>2509.16</v>
      </c>
      <c r="Q355" t="str">
        <v>160.87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AAR-880</v>
      </c>
      <c r="D356" t="str">
        <v>AAR-880</v>
      </c>
      <c r="E356" t="str">
        <v/>
      </c>
      <c r="F356" t="str">
        <v>867806078847433</v>
      </c>
      <c r="G356" t="str">
        <v>Otro</v>
      </c>
      <c r="H356" t="str">
        <v/>
      </c>
      <c r="I356" t="str">
        <v>27/09/2026</v>
      </c>
      <c r="J356" t="str">
        <v>08:46:45</v>
      </c>
      <c r="K356">
        <v>-12.317826</v>
      </c>
      <c r="L356">
        <v>-76.82417</v>
      </c>
      <c r="M356">
        <f>HYPERLINK("https://www.google.com/maps/search/?api=1&amp;query=-12.317826,-76.82417","Punta Hermosa, Lima")</f>
      </c>
      <c r="N356">
        <v>0</v>
      </c>
      <c r="O356">
        <v>90</v>
      </c>
      <c r="P356">
        <v>2509.16</v>
      </c>
      <c r="Q356" t="str">
        <v>160.87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AAR-880</v>
      </c>
      <c r="D357" t="str">
        <v>AAR-880</v>
      </c>
      <c r="E357" t="str">
        <v/>
      </c>
      <c r="F357" t="str">
        <v>867806078847433</v>
      </c>
      <c r="G357" t="str">
        <v>Otro</v>
      </c>
      <c r="H357" t="str">
        <v/>
      </c>
      <c r="I357" t="str">
        <v>27/09/2026</v>
      </c>
      <c r="J357" t="str">
        <v>08:56:45</v>
      </c>
      <c r="K357">
        <v>-12.317826</v>
      </c>
      <c r="L357">
        <v>-76.82417</v>
      </c>
      <c r="M357">
        <f>HYPERLINK("https://www.google.com/maps/search/?api=1&amp;query=-12.317826,-76.82417","Punta Hermosa, Lima")</f>
      </c>
      <c r="N357">
        <v>0</v>
      </c>
      <c r="O357">
        <v>90</v>
      </c>
      <c r="P357">
        <v>2509.16</v>
      </c>
      <c r="Q357" t="str">
        <v>160.87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AAR-880</v>
      </c>
      <c r="D358" t="str">
        <v>AAR-880</v>
      </c>
      <c r="E358" t="str">
        <v/>
      </c>
      <c r="F358" t="str">
        <v>867806078847433</v>
      </c>
      <c r="G358" t="str">
        <v>Otro</v>
      </c>
      <c r="H358" t="str">
        <v/>
      </c>
      <c r="I358" t="str">
        <v>27/09/2026</v>
      </c>
      <c r="J358" t="str">
        <v>09:06:45</v>
      </c>
      <c r="K358">
        <v>-12.317826</v>
      </c>
      <c r="L358">
        <v>-76.82417</v>
      </c>
      <c r="M358">
        <f>HYPERLINK("https://www.google.com/maps/search/?api=1&amp;query=-12.317826,-76.82417","Punta Hermosa, Lima")</f>
      </c>
      <c r="N358">
        <v>0</v>
      </c>
      <c r="O358">
        <v>94</v>
      </c>
      <c r="P358">
        <v>2509.16</v>
      </c>
      <c r="Q358" t="str">
        <v>160.87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AAR-880</v>
      </c>
      <c r="D359" t="str">
        <v>AAR-880</v>
      </c>
      <c r="E359" t="str">
        <v/>
      </c>
      <c r="F359" t="str">
        <v>867806078847433</v>
      </c>
      <c r="G359" t="str">
        <v>Otro</v>
      </c>
      <c r="H359" t="str">
        <v/>
      </c>
      <c r="I359" t="str">
        <v>27/09/2026</v>
      </c>
      <c r="J359" t="str">
        <v>09:16:45</v>
      </c>
      <c r="K359">
        <v>-12.317826</v>
      </c>
      <c r="L359">
        <v>-76.82417</v>
      </c>
      <c r="M359">
        <f>HYPERLINK("https://www.google.com/maps/search/?api=1&amp;query=-12.317826,-76.82417","Punta Hermosa, Lima")</f>
      </c>
      <c r="N359">
        <v>0</v>
      </c>
      <c r="O359">
        <v>94</v>
      </c>
      <c r="P359">
        <v>2509.16</v>
      </c>
      <c r="Q359" t="str">
        <v>160.87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AAR-880</v>
      </c>
      <c r="D360" t="str">
        <v>AAR-880</v>
      </c>
      <c r="E360" t="str">
        <v/>
      </c>
      <c r="F360" t="str">
        <v>867806078847433</v>
      </c>
      <c r="G360" t="str">
        <v>Otro</v>
      </c>
      <c r="H360" t="str">
        <v/>
      </c>
      <c r="I360" t="str">
        <v>27/09/2026</v>
      </c>
      <c r="J360" t="str">
        <v>09:26:45</v>
      </c>
      <c r="K360">
        <v>-12.317826</v>
      </c>
      <c r="L360">
        <v>-76.82417</v>
      </c>
      <c r="M360">
        <f>HYPERLINK("https://www.google.com/maps/search/?api=1&amp;query=-12.317826,-76.82417","Punta Hermosa, Lima")</f>
      </c>
      <c r="N360">
        <v>0</v>
      </c>
      <c r="O360">
        <v>86</v>
      </c>
      <c r="P360">
        <v>2509.16</v>
      </c>
      <c r="Q360" t="str">
        <v>160.87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AAR-880</v>
      </c>
      <c r="D361" t="str">
        <v>AAR-880</v>
      </c>
      <c r="E361" t="str">
        <v/>
      </c>
      <c r="F361" t="str">
        <v>867806078847433</v>
      </c>
      <c r="G361" t="str">
        <v>Otro</v>
      </c>
      <c r="H361" t="str">
        <v/>
      </c>
      <c r="I361" t="str">
        <v>27/09/2026</v>
      </c>
      <c r="J361" t="str">
        <v>09:36:45</v>
      </c>
      <c r="K361">
        <v>-12.317826</v>
      </c>
      <c r="L361">
        <v>-76.82417</v>
      </c>
      <c r="M361">
        <f>HYPERLINK("https://www.google.com/maps/search/?api=1&amp;query=-12.317826,-76.82417","Punta Hermosa, Lima")</f>
      </c>
      <c r="N361">
        <v>0</v>
      </c>
      <c r="O361">
        <v>86</v>
      </c>
      <c r="P361">
        <v>2509.16</v>
      </c>
      <c r="Q361" t="str">
        <v>160.87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AAR-880</v>
      </c>
      <c r="D362" t="str">
        <v>AAR-880</v>
      </c>
      <c r="E362" t="str">
        <v/>
      </c>
      <c r="F362" t="str">
        <v>867806078847433</v>
      </c>
      <c r="G362" t="str">
        <v>Otro</v>
      </c>
      <c r="H362" t="str">
        <v/>
      </c>
      <c r="I362" t="str">
        <v>27/09/2026</v>
      </c>
      <c r="J362" t="str">
        <v>09:46:45</v>
      </c>
      <c r="K362">
        <v>-12.317826</v>
      </c>
      <c r="L362">
        <v>-76.82417</v>
      </c>
      <c r="M362">
        <f>HYPERLINK("https://www.google.com/maps/search/?api=1&amp;query=-12.317826,-76.82417","Punta Hermosa, Lima")</f>
      </c>
      <c r="N362">
        <v>0</v>
      </c>
      <c r="O362">
        <v>86</v>
      </c>
      <c r="P362">
        <v>2509.16</v>
      </c>
      <c r="Q362" t="str">
        <v>160.87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AAR-880</v>
      </c>
      <c r="D363" t="str">
        <v>AAR-880</v>
      </c>
      <c r="E363" t="str">
        <v/>
      </c>
      <c r="F363" t="str">
        <v>867806078847433</v>
      </c>
      <c r="G363" t="str">
        <v>Otro</v>
      </c>
      <c r="H363" t="str">
        <v/>
      </c>
      <c r="I363" t="str">
        <v>27/09/2026</v>
      </c>
      <c r="J363" t="str">
        <v>09:56:45</v>
      </c>
      <c r="K363">
        <v>-12.317826</v>
      </c>
      <c r="L363">
        <v>-76.82417</v>
      </c>
      <c r="M363">
        <f>HYPERLINK("https://www.google.com/maps/search/?api=1&amp;query=-12.317826,-76.82417","Punta Hermosa, Lima")</f>
      </c>
      <c r="N363">
        <v>0</v>
      </c>
      <c r="O363">
        <v>86</v>
      </c>
      <c r="P363">
        <v>2509.16</v>
      </c>
      <c r="Q363" t="str">
        <v>160.87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AAR-880</v>
      </c>
      <c r="D364" t="str">
        <v>AAR-880</v>
      </c>
      <c r="E364" t="str">
        <v/>
      </c>
      <c r="F364" t="str">
        <v>867806078847433</v>
      </c>
      <c r="G364" t="str">
        <v>Otro</v>
      </c>
      <c r="H364" t="str">
        <v/>
      </c>
      <c r="I364" t="str">
        <v>27/09/2026</v>
      </c>
      <c r="J364" t="str">
        <v>10:06:45</v>
      </c>
      <c r="K364">
        <v>-12.317826</v>
      </c>
      <c r="L364">
        <v>-76.82417</v>
      </c>
      <c r="M364">
        <f>HYPERLINK("https://www.google.com/maps/search/?api=1&amp;query=-12.317826,-76.82417","Punta Hermosa, Lima")</f>
      </c>
      <c r="N364">
        <v>0</v>
      </c>
      <c r="O364">
        <v>86</v>
      </c>
      <c r="P364">
        <v>2509.16</v>
      </c>
      <c r="Q364" t="str">
        <v>160.87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AAR-880</v>
      </c>
      <c r="D365" t="str">
        <v>AAR-880</v>
      </c>
      <c r="E365" t="str">
        <v/>
      </c>
      <c r="F365" t="str">
        <v>867806078847433</v>
      </c>
      <c r="G365" t="str">
        <v>Otro</v>
      </c>
      <c r="H365" t="str">
        <v/>
      </c>
      <c r="I365" t="str">
        <v>27/09/2026</v>
      </c>
      <c r="J365" t="str">
        <v>10:16:45</v>
      </c>
      <c r="K365">
        <v>-12.317826</v>
      </c>
      <c r="L365">
        <v>-76.82417</v>
      </c>
      <c r="M365">
        <f>HYPERLINK("https://www.google.com/maps/search/?api=1&amp;query=-12.317826,-76.82417","Punta Hermosa, Lima")</f>
      </c>
      <c r="N365">
        <v>0</v>
      </c>
      <c r="O365">
        <v>86</v>
      </c>
      <c r="P365">
        <v>2509.16</v>
      </c>
      <c r="Q365" t="str">
        <v>160.87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AAR-880</v>
      </c>
      <c r="D366" t="str">
        <v>AAR-880</v>
      </c>
      <c r="E366" t="str">
        <v/>
      </c>
      <c r="F366" t="str">
        <v>867806078847433</v>
      </c>
      <c r="G366" t="str">
        <v>Otro</v>
      </c>
      <c r="H366" t="str">
        <v/>
      </c>
      <c r="I366" t="str">
        <v>27/09/2026</v>
      </c>
      <c r="J366" t="str">
        <v>10:26:45</v>
      </c>
      <c r="K366">
        <v>-12.317826</v>
      </c>
      <c r="L366">
        <v>-76.82417</v>
      </c>
      <c r="M366">
        <f>HYPERLINK("https://www.google.com/maps/search/?api=1&amp;query=-12.317826,-76.82417","Punta Hermosa, Lima")</f>
      </c>
      <c r="N366">
        <v>0</v>
      </c>
      <c r="O366">
        <v>86</v>
      </c>
      <c r="P366">
        <v>2509.16</v>
      </c>
      <c r="Q366" t="str">
        <v>160.87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AAR-880</v>
      </c>
      <c r="D367" t="str">
        <v>AAR-880</v>
      </c>
      <c r="E367" t="str">
        <v/>
      </c>
      <c r="F367" t="str">
        <v>867806078847433</v>
      </c>
      <c r="G367" t="str">
        <v>Otro</v>
      </c>
      <c r="H367" t="str">
        <v/>
      </c>
      <c r="I367" t="str">
        <v>27/09/2026</v>
      </c>
      <c r="J367" t="str">
        <v>10:36:45</v>
      </c>
      <c r="K367">
        <v>-12.317826</v>
      </c>
      <c r="L367">
        <v>-76.82417</v>
      </c>
      <c r="M367">
        <f>HYPERLINK("https://www.google.com/maps/search/?api=1&amp;query=-12.317826,-76.82417","Punta Hermosa, Lima")</f>
      </c>
      <c r="N367">
        <v>0</v>
      </c>
      <c r="O367">
        <v>88</v>
      </c>
      <c r="P367">
        <v>2509.16</v>
      </c>
      <c r="Q367" t="str">
        <v>160.87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AAR-880</v>
      </c>
      <c r="D368" t="str">
        <v>AAR-880</v>
      </c>
      <c r="E368" t="str">
        <v/>
      </c>
      <c r="F368" t="str">
        <v>867806078847433</v>
      </c>
      <c r="G368" t="str">
        <v>Otro</v>
      </c>
      <c r="H368" t="str">
        <v/>
      </c>
      <c r="I368" t="str">
        <v>27/09/2026</v>
      </c>
      <c r="J368" t="str">
        <v>10:41:35</v>
      </c>
      <c r="K368">
        <v>-12.317826</v>
      </c>
      <c r="L368">
        <v>-76.82417</v>
      </c>
      <c r="M368">
        <f>HYPERLINK("https://www.google.com/maps/search/?api=1&amp;query=-12.317826,-76.82417","Punta Hermosa, Lima")</f>
      </c>
      <c r="N368">
        <v>0</v>
      </c>
      <c r="O368">
        <v>88</v>
      </c>
      <c r="P368">
        <v>2509.16</v>
      </c>
      <c r="Q368" t="str">
        <v>160.87</v>
      </c>
      <c r="R368" t="str">
        <v>Vehículo encendido</v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AAR-880</v>
      </c>
      <c r="D369" t="str">
        <v>AAR-880</v>
      </c>
      <c r="E369" t="str">
        <v/>
      </c>
      <c r="F369" t="str">
        <v>867806078847433</v>
      </c>
      <c r="G369" t="str">
        <v>Otro</v>
      </c>
      <c r="H369" t="str">
        <v/>
      </c>
      <c r="I369" t="str">
        <v>27/09/2026</v>
      </c>
      <c r="J369" t="str">
        <v>10:41:35</v>
      </c>
      <c r="K369">
        <v>-12.317826</v>
      </c>
      <c r="L369">
        <v>-76.82417</v>
      </c>
      <c r="M369">
        <f>HYPERLINK("https://www.google.com/maps/search/?api=1&amp;query=-12.317826,-76.82417","Punta Hermosa, Lima")</f>
      </c>
      <c r="N369">
        <v>0</v>
      </c>
      <c r="O369">
        <v>88</v>
      </c>
      <c r="P369">
        <v>2509.16</v>
      </c>
      <c r="Q369" t="str">
        <v>160.87</v>
      </c>
      <c r="R369" t="str">
        <v>Se movio</v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AAR-880</v>
      </c>
      <c r="D370" t="str">
        <v>AAR-880</v>
      </c>
      <c r="E370" t="str">
        <v/>
      </c>
      <c r="F370" t="str">
        <v>867806078847433</v>
      </c>
      <c r="G370" t="str">
        <v>Otro</v>
      </c>
      <c r="H370" t="str">
        <v/>
      </c>
      <c r="I370" t="str">
        <v>27/09/2026</v>
      </c>
      <c r="J370" t="str">
        <v>10:42:35</v>
      </c>
      <c r="K370">
        <v>-12.317915</v>
      </c>
      <c r="L370">
        <v>-76.824326</v>
      </c>
      <c r="M370">
        <f>HYPERLINK("https://www.google.com/maps/search/?api=1&amp;query=-12.317915,-76.824326","Punta Hermosa, Lima")</f>
      </c>
      <c r="N370">
        <v>0</v>
      </c>
      <c r="O370">
        <v>88</v>
      </c>
      <c r="P370">
        <v>2509.18</v>
      </c>
      <c r="Q370" t="str">
        <v>160.87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AAR-880</v>
      </c>
      <c r="D371" t="str">
        <v>AAR-880</v>
      </c>
      <c r="E371" t="str">
        <v/>
      </c>
      <c r="F371" t="str">
        <v>867806078847433</v>
      </c>
      <c r="G371" t="str">
        <v>Otro</v>
      </c>
      <c r="H371" t="str">
        <v/>
      </c>
      <c r="I371" t="str">
        <v>27/09/2026</v>
      </c>
      <c r="J371" t="str">
        <v>10:43:35</v>
      </c>
      <c r="K371">
        <v>-12.317908</v>
      </c>
      <c r="L371">
        <v>-76.82429</v>
      </c>
      <c r="M371">
        <f>HYPERLINK("https://www.google.com/maps/search/?api=1&amp;query=-12.317908,-76.82429","Punta Hermosa, Lima")</f>
      </c>
      <c r="N371">
        <v>0</v>
      </c>
      <c r="O371">
        <v>87</v>
      </c>
      <c r="P371">
        <v>2509.18</v>
      </c>
      <c r="Q371" t="str">
        <v>160.87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AAR-880</v>
      </c>
      <c r="D372" t="str">
        <v>AAR-880</v>
      </c>
      <c r="E372" t="str">
        <v/>
      </c>
      <c r="F372" t="str">
        <v>867806078847433</v>
      </c>
      <c r="G372" t="str">
        <v>Otro</v>
      </c>
      <c r="H372" t="str">
        <v/>
      </c>
      <c r="I372" t="str">
        <v>27/09/2026</v>
      </c>
      <c r="J372" t="str">
        <v>10:44:35</v>
      </c>
      <c r="K372">
        <v>-12.317908</v>
      </c>
      <c r="L372">
        <v>-76.82429</v>
      </c>
      <c r="M372">
        <f>HYPERLINK("https://www.google.com/maps/search/?api=1&amp;query=-12.317908,-76.82429","Punta Hermosa, Lima")</f>
      </c>
      <c r="N372">
        <v>0</v>
      </c>
      <c r="O372">
        <v>87</v>
      </c>
      <c r="P372">
        <v>2509.18</v>
      </c>
      <c r="Q372" t="str">
        <v>160.87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AAR-880</v>
      </c>
      <c r="D373" t="str">
        <v>AAR-880</v>
      </c>
      <c r="E373" t="str">
        <v/>
      </c>
      <c r="F373" t="str">
        <v>867806078847433</v>
      </c>
      <c r="G373" t="str">
        <v>Otro</v>
      </c>
      <c r="H373" t="str">
        <v/>
      </c>
      <c r="I373" t="str">
        <v>27/09/2026</v>
      </c>
      <c r="J373" t="str">
        <v>10:45:35</v>
      </c>
      <c r="K373">
        <v>-12.317908</v>
      </c>
      <c r="L373">
        <v>-76.82429</v>
      </c>
      <c r="M373">
        <f>HYPERLINK("https://www.google.com/maps/search/?api=1&amp;query=-12.317908,-76.82429","Punta Hermosa, Lima")</f>
      </c>
      <c r="N373">
        <v>0</v>
      </c>
      <c r="O373">
        <v>87</v>
      </c>
      <c r="P373">
        <v>2509.18</v>
      </c>
      <c r="Q373" t="str">
        <v>160.87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AAR-880</v>
      </c>
      <c r="D374" t="str">
        <v>AAR-880</v>
      </c>
      <c r="E374" t="str">
        <v/>
      </c>
      <c r="F374" t="str">
        <v>867806078847433</v>
      </c>
      <c r="G374" t="str">
        <v>Otro</v>
      </c>
      <c r="H374" t="str">
        <v/>
      </c>
      <c r="I374" t="str">
        <v>27/09/2026</v>
      </c>
      <c r="J374" t="str">
        <v>10:46:35</v>
      </c>
      <c r="K374">
        <v>-12.317908</v>
      </c>
      <c r="L374">
        <v>-76.82429</v>
      </c>
      <c r="M374">
        <f>HYPERLINK("https://www.google.com/maps/search/?api=1&amp;query=-12.317908,-76.82429","Punta Hermosa, Lima")</f>
      </c>
      <c r="N374">
        <v>0</v>
      </c>
      <c r="O374">
        <v>87</v>
      </c>
      <c r="P374">
        <v>2509.18</v>
      </c>
      <c r="Q374" t="str">
        <v>160.87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AAR-880</v>
      </c>
      <c r="D375" t="str">
        <v>AAR-880</v>
      </c>
      <c r="E375" t="str">
        <v/>
      </c>
      <c r="F375" t="str">
        <v>867806078847433</v>
      </c>
      <c r="G375" t="str">
        <v>Otro</v>
      </c>
      <c r="H375" t="str">
        <v/>
      </c>
      <c r="I375" t="str">
        <v>27/09/2026</v>
      </c>
      <c r="J375" t="str">
        <v>10:47:35</v>
      </c>
      <c r="K375">
        <v>-12.317908</v>
      </c>
      <c r="L375">
        <v>-76.82429</v>
      </c>
      <c r="M375">
        <f>HYPERLINK("https://www.google.com/maps/search/?api=1&amp;query=-12.317908,-76.82429","Punta Hermosa, Lima")</f>
      </c>
      <c r="N375">
        <v>0</v>
      </c>
      <c r="O375">
        <v>87</v>
      </c>
      <c r="P375">
        <v>2509.18</v>
      </c>
      <c r="Q375" t="str">
        <v>160.87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AAR-880</v>
      </c>
      <c r="D376" t="str">
        <v>AAR-880</v>
      </c>
      <c r="E376" t="str">
        <v/>
      </c>
      <c r="F376" t="str">
        <v>867806078847433</v>
      </c>
      <c r="G376" t="str">
        <v>Otro</v>
      </c>
      <c r="H376" t="str">
        <v/>
      </c>
      <c r="I376" t="str">
        <v>27/09/2026</v>
      </c>
      <c r="J376" t="str">
        <v>10:48:35</v>
      </c>
      <c r="K376">
        <v>-12.317908</v>
      </c>
      <c r="L376">
        <v>-76.82429</v>
      </c>
      <c r="M376">
        <f>HYPERLINK("https://www.google.com/maps/search/?api=1&amp;query=-12.317908,-76.82429","Punta Hermosa, Lima")</f>
      </c>
      <c r="N376">
        <v>0</v>
      </c>
      <c r="O376">
        <v>87</v>
      </c>
      <c r="P376">
        <v>2509.18</v>
      </c>
      <c r="Q376" t="str">
        <v>160.87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AAR-880</v>
      </c>
      <c r="D377" t="str">
        <v>AAR-880</v>
      </c>
      <c r="E377" t="str">
        <v/>
      </c>
      <c r="F377" t="str">
        <v>867806078847433</v>
      </c>
      <c r="G377" t="str">
        <v>Otro</v>
      </c>
      <c r="H377" t="str">
        <v/>
      </c>
      <c r="I377" t="str">
        <v>27/09/2026</v>
      </c>
      <c r="J377" t="str">
        <v>10:49:35</v>
      </c>
      <c r="K377">
        <v>-12.317857</v>
      </c>
      <c r="L377">
        <v>-76.82422</v>
      </c>
      <c r="M377">
        <f>HYPERLINK("https://www.google.com/maps/search/?api=1&amp;query=-12.317857,-76.82422","Punta Hermosa, Lima")</f>
      </c>
      <c r="N377">
        <v>0</v>
      </c>
      <c r="O377">
        <v>87</v>
      </c>
      <c r="P377">
        <v>2509.19</v>
      </c>
      <c r="Q377" t="str">
        <v>160.87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AAR-880</v>
      </c>
      <c r="D378" t="str">
        <v>AAR-880</v>
      </c>
      <c r="E378" t="str">
        <v/>
      </c>
      <c r="F378" t="str">
        <v>867806078847433</v>
      </c>
      <c r="G378" t="str">
        <v>Otro</v>
      </c>
      <c r="H378" t="str">
        <v/>
      </c>
      <c r="I378" t="str">
        <v>27/09/2026</v>
      </c>
      <c r="J378" t="str">
        <v>10:50:35</v>
      </c>
      <c r="K378">
        <v>-12.317857</v>
      </c>
      <c r="L378">
        <v>-76.82422</v>
      </c>
      <c r="M378">
        <f>HYPERLINK("https://www.google.com/maps/search/?api=1&amp;query=-12.317857,-76.82422","Punta Hermosa, Lima")</f>
      </c>
      <c r="N378">
        <v>0</v>
      </c>
      <c r="O378">
        <v>87</v>
      </c>
      <c r="P378">
        <v>2509.19</v>
      </c>
      <c r="Q378" t="str">
        <v>160.87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AAR-880</v>
      </c>
      <c r="D379" t="str">
        <v>AAR-880</v>
      </c>
      <c r="E379" t="str">
        <v/>
      </c>
      <c r="F379" t="str">
        <v>867806078847433</v>
      </c>
      <c r="G379" t="str">
        <v>Otro</v>
      </c>
      <c r="H379" t="str">
        <v/>
      </c>
      <c r="I379" t="str">
        <v>27/09/2026</v>
      </c>
      <c r="J379" t="str">
        <v>10:51:35</v>
      </c>
      <c r="K379">
        <v>-12.317857</v>
      </c>
      <c r="L379">
        <v>-76.82422</v>
      </c>
      <c r="M379">
        <f>HYPERLINK("https://www.google.com/maps/search/?api=1&amp;query=-12.317857,-76.82422","Punta Hermosa, Lima")</f>
      </c>
      <c r="N379">
        <v>0</v>
      </c>
      <c r="O379">
        <v>87</v>
      </c>
      <c r="P379">
        <v>2509.19</v>
      </c>
      <c r="Q379" t="str">
        <v>160.87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AAR-880</v>
      </c>
      <c r="D380" t="str">
        <v>AAR-880</v>
      </c>
      <c r="E380" t="str">
        <v/>
      </c>
      <c r="F380" t="str">
        <v>867806078847433</v>
      </c>
      <c r="G380" t="str">
        <v>Otro</v>
      </c>
      <c r="H380" t="str">
        <v/>
      </c>
      <c r="I380" t="str">
        <v>27/09/2026</v>
      </c>
      <c r="J380" t="str">
        <v>10:52:02</v>
      </c>
      <c r="K380">
        <v>-12.317857</v>
      </c>
      <c r="L380">
        <v>-76.82422</v>
      </c>
      <c r="M380">
        <f>HYPERLINK("https://www.google.com/maps/search/?api=1&amp;query=-12.317857,-76.82422","Punta Hermosa, Lima")</f>
      </c>
      <c r="N380">
        <v>0</v>
      </c>
      <c r="O380">
        <v>87</v>
      </c>
      <c r="P380">
        <v>2509.19</v>
      </c>
      <c r="Q380" t="str">
        <v>161.03</v>
      </c>
      <c r="R380" t="str">
        <v>Vehículo apagado</v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AAR-880</v>
      </c>
      <c r="D381" t="str">
        <v>AAR-880</v>
      </c>
      <c r="E381" t="str">
        <v/>
      </c>
      <c r="F381" t="str">
        <v>867806078847433</v>
      </c>
      <c r="G381" t="str">
        <v>Otro</v>
      </c>
      <c r="H381" t="str">
        <v/>
      </c>
      <c r="I381" t="str">
        <v>27/09/2026</v>
      </c>
      <c r="J381" t="str">
        <v>11:02:02</v>
      </c>
      <c r="K381">
        <v>-12.317857</v>
      </c>
      <c r="L381">
        <v>-76.82422</v>
      </c>
      <c r="M381">
        <f>HYPERLINK("https://www.google.com/maps/search/?api=1&amp;query=-12.317857,-76.82422","Punta Hermosa, Lima")</f>
      </c>
      <c r="N381">
        <v>0</v>
      </c>
      <c r="O381">
        <v>87</v>
      </c>
      <c r="P381">
        <v>2509.19</v>
      </c>
      <c r="Q381" t="str">
        <v>161.03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AAR-880</v>
      </c>
      <c r="D382" t="str">
        <v>AAR-880</v>
      </c>
      <c r="E382" t="str">
        <v/>
      </c>
      <c r="F382" t="str">
        <v>867806078847433</v>
      </c>
      <c r="G382" t="str">
        <v>Otro</v>
      </c>
      <c r="H382" t="str">
        <v/>
      </c>
      <c r="I382" t="str">
        <v>27/09/2026</v>
      </c>
      <c r="J382" t="str">
        <v>11:12:02</v>
      </c>
      <c r="K382">
        <v>-12.317857</v>
      </c>
      <c r="L382">
        <v>-76.82422</v>
      </c>
      <c r="M382">
        <f>HYPERLINK("https://www.google.com/maps/search/?api=1&amp;query=-12.317857,-76.82422","Punta Hermosa, Lima")</f>
      </c>
      <c r="N382">
        <v>0</v>
      </c>
      <c r="O382">
        <v>95</v>
      </c>
      <c r="P382">
        <v>2509.19</v>
      </c>
      <c r="Q382" t="str">
        <v>161.03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AAR-880</v>
      </c>
      <c r="D383" t="str">
        <v>AAR-880</v>
      </c>
      <c r="E383" t="str">
        <v/>
      </c>
      <c r="F383" t="str">
        <v>867806078847433</v>
      </c>
      <c r="G383" t="str">
        <v>Otro</v>
      </c>
      <c r="H383" t="str">
        <v/>
      </c>
      <c r="I383" t="str">
        <v>27/09/2026</v>
      </c>
      <c r="J383" t="str">
        <v>11:16:58</v>
      </c>
      <c r="K383">
        <v>-12.317857</v>
      </c>
      <c r="L383">
        <v>-76.82422</v>
      </c>
      <c r="M383">
        <f>HYPERLINK("https://www.google.com/maps/search/?api=1&amp;query=-12.317857,-76.82422","Punta Hermosa, Lima")</f>
      </c>
      <c r="N383">
        <v>0</v>
      </c>
      <c r="O383">
        <v>85</v>
      </c>
      <c r="P383">
        <v>2509.19</v>
      </c>
      <c r="Q383" t="str">
        <v>161.03</v>
      </c>
      <c r="R383" t="str">
        <v>Vehículo encendido</v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AAR-880</v>
      </c>
      <c r="D384" t="str">
        <v>AAR-880</v>
      </c>
      <c r="E384" t="str">
        <v/>
      </c>
      <c r="F384" t="str">
        <v>867806078847433</v>
      </c>
      <c r="G384" t="str">
        <v>Otro</v>
      </c>
      <c r="H384" t="str">
        <v/>
      </c>
      <c r="I384" t="str">
        <v>27/09/2026</v>
      </c>
      <c r="J384" t="str">
        <v>11:16:58</v>
      </c>
      <c r="K384">
        <v>-12.317857</v>
      </c>
      <c r="L384">
        <v>-76.82422</v>
      </c>
      <c r="M384">
        <f>HYPERLINK("https://www.google.com/maps/search/?api=1&amp;query=-12.317857,-76.82422","Punta Hermosa, Lima")</f>
      </c>
      <c r="N384">
        <v>0</v>
      </c>
      <c r="O384">
        <v>85</v>
      </c>
      <c r="P384">
        <v>2509.19</v>
      </c>
      <c r="Q384" t="str">
        <v>161.03</v>
      </c>
      <c r="R384" t="str">
        <v>Se movio</v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AAR-880</v>
      </c>
      <c r="D385" t="str">
        <v>AAR-880</v>
      </c>
      <c r="E385" t="str">
        <v/>
      </c>
      <c r="F385" t="str">
        <v>867806078847433</v>
      </c>
      <c r="G385" t="str">
        <v>Otro</v>
      </c>
      <c r="H385" t="str">
        <v/>
      </c>
      <c r="I385" t="str">
        <v>27/09/2026</v>
      </c>
      <c r="J385" t="str">
        <v>11:17:58</v>
      </c>
      <c r="K385">
        <v>-12.317857</v>
      </c>
      <c r="L385">
        <v>-76.82422</v>
      </c>
      <c r="M385">
        <f>HYPERLINK("https://www.google.com/maps/search/?api=1&amp;query=-12.317857,-76.82422","Punta Hermosa, Lima")</f>
      </c>
      <c r="N385">
        <v>0</v>
      </c>
      <c r="O385">
        <v>85</v>
      </c>
      <c r="P385">
        <v>2509.19</v>
      </c>
      <c r="Q385" t="str">
        <v>161.03</v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AAR-880</v>
      </c>
      <c r="D386" t="str">
        <v>AAR-880</v>
      </c>
      <c r="E386" t="str">
        <v/>
      </c>
      <c r="F386" t="str">
        <v>867806078847433</v>
      </c>
      <c r="G386" t="str">
        <v>Otro</v>
      </c>
      <c r="H386" t="str">
        <v/>
      </c>
      <c r="I386" t="str">
        <v>27/09/2026</v>
      </c>
      <c r="J386" t="str">
        <v>11:18:58</v>
      </c>
      <c r="K386">
        <v>-12.317857</v>
      </c>
      <c r="L386">
        <v>-76.82422</v>
      </c>
      <c r="M386">
        <f>HYPERLINK("https://www.google.com/maps/search/?api=1&amp;query=-12.317857,-76.82422","Punta Hermosa, Lima")</f>
      </c>
      <c r="N386">
        <v>0</v>
      </c>
      <c r="O386">
        <v>85</v>
      </c>
      <c r="P386">
        <v>2509.19</v>
      </c>
      <c r="Q386" t="str">
        <v>161.03</v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AAR-880</v>
      </c>
      <c r="D387" t="str">
        <v>AAR-880</v>
      </c>
      <c r="E387" t="str">
        <v/>
      </c>
      <c r="F387" t="str">
        <v>867806078847433</v>
      </c>
      <c r="G387" t="str">
        <v>Otro</v>
      </c>
      <c r="H387" t="str">
        <v/>
      </c>
      <c r="I387" t="str">
        <v>27/09/2026</v>
      </c>
      <c r="J387" t="str">
        <v>11:19:58</v>
      </c>
      <c r="K387">
        <v>-12.317857</v>
      </c>
      <c r="L387">
        <v>-76.82422</v>
      </c>
      <c r="M387">
        <f>HYPERLINK("https://www.google.com/maps/search/?api=1&amp;query=-12.317857,-76.82422","Punta Hermosa, Lima")</f>
      </c>
      <c r="N387">
        <v>0</v>
      </c>
      <c r="O387">
        <v>85</v>
      </c>
      <c r="P387">
        <v>2509.19</v>
      </c>
      <c r="Q387" t="str">
        <v>161.03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AAR-880</v>
      </c>
      <c r="D388" t="str">
        <v>AAR-880</v>
      </c>
      <c r="E388" t="str">
        <v/>
      </c>
      <c r="F388" t="str">
        <v>867806078847433</v>
      </c>
      <c r="G388" t="str">
        <v>Otro</v>
      </c>
      <c r="H388" t="str">
        <v/>
      </c>
      <c r="I388" t="str">
        <v>27/09/2026</v>
      </c>
      <c r="J388" t="str">
        <v>11:20:04</v>
      </c>
      <c r="K388">
        <v>-12.317813</v>
      </c>
      <c r="L388">
        <v>-76.824265</v>
      </c>
      <c r="M388">
        <f>HYPERLINK("https://www.google.com/maps/search/?api=1&amp;query=-12.317813,-76.824265","Punta Hermosa, Lima")</f>
      </c>
      <c r="N388">
        <v>9.4</v>
      </c>
      <c r="O388">
        <v>85</v>
      </c>
      <c r="P388">
        <v>2509.2</v>
      </c>
      <c r="Q388" t="str">
        <v>161.03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AAR-880</v>
      </c>
      <c r="D389" t="str">
        <v>AAR-880</v>
      </c>
      <c r="E389" t="str">
        <v/>
      </c>
      <c r="F389" t="str">
        <v>867806078847433</v>
      </c>
      <c r="G389" t="str">
        <v>Otro</v>
      </c>
      <c r="H389" t="str">
        <v/>
      </c>
      <c r="I389" t="str">
        <v>27/09/2026</v>
      </c>
      <c r="J389" t="str">
        <v>11:20:10</v>
      </c>
      <c r="K389">
        <v>-12.317717</v>
      </c>
      <c r="L389">
        <v>-76.82438</v>
      </c>
      <c r="M389">
        <f>HYPERLINK("https://www.google.com/maps/search/?api=1&amp;query=-12.317717,-76.82438","Punta Hermosa, Lima")</f>
      </c>
      <c r="N389">
        <v>9.4</v>
      </c>
      <c r="O389">
        <v>85</v>
      </c>
      <c r="P389">
        <v>2509.22</v>
      </c>
      <c r="Q389" t="str">
        <v>161.03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AAR-880</v>
      </c>
      <c r="D390" t="str">
        <v>AAR-880</v>
      </c>
      <c r="E390" t="str">
        <v/>
      </c>
      <c r="F390" t="str">
        <v>867806078847433</v>
      </c>
      <c r="G390" t="str">
        <v>Otro</v>
      </c>
      <c r="H390" t="str">
        <v/>
      </c>
      <c r="I390" t="str">
        <v>27/09/2026</v>
      </c>
      <c r="J390" t="str">
        <v>11:20:14</v>
      </c>
      <c r="K390">
        <v>-12.317672</v>
      </c>
      <c r="L390">
        <v>-76.82444</v>
      </c>
      <c r="M390">
        <f>HYPERLINK("https://www.google.com/maps/search/?api=1&amp;query=-12.317672,-76.82444","Punta Hermosa, Lima")</f>
      </c>
      <c r="N390">
        <v>9</v>
      </c>
      <c r="O390">
        <v>85</v>
      </c>
      <c r="P390">
        <v>2509.23</v>
      </c>
      <c r="Q390" t="str">
        <v>161.03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AAR-880</v>
      </c>
      <c r="D391" t="str">
        <v>AAR-880</v>
      </c>
      <c r="E391" t="str">
        <v/>
      </c>
      <c r="F391" t="str">
        <v>867806078847433</v>
      </c>
      <c r="G391" t="str">
        <v>Otro</v>
      </c>
      <c r="H391" t="str">
        <v/>
      </c>
      <c r="I391" t="str">
        <v>27/09/2026</v>
      </c>
      <c r="J391" t="str">
        <v>11:20:15</v>
      </c>
      <c r="K391">
        <v>-12.317635</v>
      </c>
      <c r="L391">
        <v>-76.82446</v>
      </c>
      <c r="M391">
        <f>HYPERLINK("https://www.google.com/maps/search/?api=1&amp;query=-12.317635,-76.82446","Punta Hermosa, Lima")</f>
      </c>
      <c r="N391">
        <v>7.2</v>
      </c>
      <c r="O391">
        <v>85</v>
      </c>
      <c r="P391">
        <v>2509.23</v>
      </c>
      <c r="Q391" t="str">
        <v>161.03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AAR-880</v>
      </c>
      <c r="D392" t="str">
        <v>AAR-880</v>
      </c>
      <c r="E392" t="str">
        <v/>
      </c>
      <c r="F392" t="str">
        <v>867806078847433</v>
      </c>
      <c r="G392" t="str">
        <v>Otro</v>
      </c>
      <c r="H392" t="str">
        <v/>
      </c>
      <c r="I392" t="str">
        <v>27/09/2026</v>
      </c>
      <c r="J392" t="str">
        <v>11:20:29</v>
      </c>
      <c r="K392">
        <v>-12.317271</v>
      </c>
      <c r="L392">
        <v>-76.82467</v>
      </c>
      <c r="M392">
        <f>HYPERLINK("https://www.google.com/maps/search/?api=1&amp;query=-12.317271,-76.82467","Punta Hermosa, Lima")</f>
      </c>
      <c r="N392">
        <v>12.2</v>
      </c>
      <c r="O392">
        <v>85</v>
      </c>
      <c r="P392">
        <v>2509.28</v>
      </c>
      <c r="Q392" t="str">
        <v>161.03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AAR-880</v>
      </c>
      <c r="D393" t="str">
        <v>AAR-880</v>
      </c>
      <c r="E393" t="str">
        <v/>
      </c>
      <c r="F393" t="str">
        <v>867806078847433</v>
      </c>
      <c r="G393" t="str">
        <v>Otro</v>
      </c>
      <c r="H393" t="str">
        <v/>
      </c>
      <c r="I393" t="str">
        <v>27/09/2026</v>
      </c>
      <c r="J393" t="str">
        <v>11:20:34</v>
      </c>
      <c r="K393">
        <v>-12.317142</v>
      </c>
      <c r="L393">
        <v>-76.824745</v>
      </c>
      <c r="M393">
        <f>HYPERLINK("https://www.google.com/maps/search/?api=1&amp;query=-12.317142,-76.824745","Punta Hermosa, Lima")</f>
      </c>
      <c r="N393">
        <v>12</v>
      </c>
      <c r="O393">
        <v>85</v>
      </c>
      <c r="P393">
        <v>2509.29</v>
      </c>
      <c r="Q393" t="str">
        <v>161.03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AAR-880</v>
      </c>
      <c r="D394" t="str">
        <v>AAR-880</v>
      </c>
      <c r="E394" t="str">
        <v/>
      </c>
      <c r="F394" t="str">
        <v>867806078847433</v>
      </c>
      <c r="G394" t="str">
        <v>Otro</v>
      </c>
      <c r="H394" t="str">
        <v/>
      </c>
      <c r="I394" t="str">
        <v>27/09/2026</v>
      </c>
      <c r="J394" t="str">
        <v>11:21:34</v>
      </c>
      <c r="K394">
        <v>-12.315402</v>
      </c>
      <c r="L394">
        <v>-76.8258</v>
      </c>
      <c r="M394">
        <f>HYPERLINK("https://www.google.com/maps/search/?api=1&amp;query=-12.315402,-76.8258","Punta Hermosa, Lima")</f>
      </c>
      <c r="N394">
        <v>10.5</v>
      </c>
      <c r="O394">
        <v>90</v>
      </c>
      <c r="P394">
        <v>2509.51</v>
      </c>
      <c r="Q394" t="str">
        <v>161.03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AAR-880</v>
      </c>
      <c r="D395" t="str">
        <v>AAR-880</v>
      </c>
      <c r="E395" t="str">
        <v/>
      </c>
      <c r="F395" t="str">
        <v>867806078847433</v>
      </c>
      <c r="G395" t="str">
        <v>Otro</v>
      </c>
      <c r="H395" t="str">
        <v/>
      </c>
      <c r="I395" t="str">
        <v>27/09/2026</v>
      </c>
      <c r="J395" t="str">
        <v>11:21:42</v>
      </c>
      <c r="K395">
        <v>-12.315322</v>
      </c>
      <c r="L395">
        <v>-76.82585</v>
      </c>
      <c r="M395">
        <f>HYPERLINK("https://www.google.com/maps/search/?api=1&amp;query=-12.315322,-76.82585","Punta Hermosa, Lima")</f>
      </c>
      <c r="N395">
        <v>7.5</v>
      </c>
      <c r="O395">
        <v>90</v>
      </c>
      <c r="P395">
        <v>2509.52</v>
      </c>
      <c r="Q395" t="str">
        <v>161.03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AAR-880</v>
      </c>
      <c r="D396" t="str">
        <v>AAR-880</v>
      </c>
      <c r="E396" t="str">
        <v/>
      </c>
      <c r="F396" t="str">
        <v>867806078847433</v>
      </c>
      <c r="G396" t="str">
        <v>Otro</v>
      </c>
      <c r="H396" t="str">
        <v/>
      </c>
      <c r="I396" t="str">
        <v>27/09/2026</v>
      </c>
      <c r="J396" t="str">
        <v>11:21:47</v>
      </c>
      <c r="K396">
        <v>-12.315298</v>
      </c>
      <c r="L396">
        <v>-76.82595</v>
      </c>
      <c r="M396">
        <f>HYPERLINK("https://www.google.com/maps/search/?api=1&amp;query=-12.315298,-76.82595","Punta Hermosa, Lima")</f>
      </c>
      <c r="N396">
        <v>8.1</v>
      </c>
      <c r="O396">
        <v>90</v>
      </c>
      <c r="P396">
        <v>2509.53</v>
      </c>
      <c r="Q396" t="str">
        <v>161.03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AAR-880</v>
      </c>
      <c r="D397" t="str">
        <v>AAR-880</v>
      </c>
      <c r="E397" t="str">
        <v/>
      </c>
      <c r="F397" t="str">
        <v>867806078847433</v>
      </c>
      <c r="G397" t="str">
        <v>Otro</v>
      </c>
      <c r="H397" t="str">
        <v/>
      </c>
      <c r="I397" t="str">
        <v>27/09/2026</v>
      </c>
      <c r="J397" t="str">
        <v>11:21:52</v>
      </c>
      <c r="K397">
        <v>-12.315335</v>
      </c>
      <c r="L397">
        <v>-76.82608</v>
      </c>
      <c r="M397">
        <f>HYPERLINK("https://www.google.com/maps/search/?api=1&amp;query=-12.315335,-76.82608","Punta Hermosa, Lima")</f>
      </c>
      <c r="N397">
        <v>10.5</v>
      </c>
      <c r="O397">
        <v>90</v>
      </c>
      <c r="P397">
        <v>2509.54</v>
      </c>
      <c r="Q397" t="str">
        <v>161.03</v>
      </c>
      <c r="R397" t="str">
        <v/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AAR-880</v>
      </c>
      <c r="D398" t="str">
        <v>AAR-880</v>
      </c>
      <c r="E398" t="str">
        <v/>
      </c>
      <c r="F398" t="str">
        <v>867806078847433</v>
      </c>
      <c r="G398" t="str">
        <v>Otro</v>
      </c>
      <c r="H398" t="str">
        <v/>
      </c>
      <c r="I398" t="str">
        <v>27/09/2026</v>
      </c>
      <c r="J398" t="str">
        <v>11:21:57</v>
      </c>
      <c r="K398">
        <v>-12.315402</v>
      </c>
      <c r="L398">
        <v>-76.82621</v>
      </c>
      <c r="M398">
        <f>HYPERLINK("https://www.google.com/maps/search/?api=1&amp;query=-12.315402,-76.82621","Punta Hermosa, Lima")</f>
      </c>
      <c r="N398">
        <v>12.7</v>
      </c>
      <c r="O398">
        <v>90</v>
      </c>
      <c r="P398">
        <v>2509.56</v>
      </c>
      <c r="Q398" t="str">
        <v>161.03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AAR-880</v>
      </c>
      <c r="D399" t="str">
        <v>AAR-880</v>
      </c>
      <c r="E399" t="str">
        <v/>
      </c>
      <c r="F399" t="str">
        <v>867806078847433</v>
      </c>
      <c r="G399" t="str">
        <v>Otro</v>
      </c>
      <c r="H399" t="str">
        <v/>
      </c>
      <c r="I399" t="str">
        <v>27/09/2026</v>
      </c>
      <c r="J399" t="str">
        <v>11:22:57</v>
      </c>
      <c r="K399">
        <v>-12.316477</v>
      </c>
      <c r="L399">
        <v>-76.828</v>
      </c>
      <c r="M399">
        <f>HYPERLINK("https://www.google.com/maps/search/?api=1&amp;query=-12.316477,-76.828","Punta Hermosa, Lima")</f>
      </c>
      <c r="N399">
        <v>12</v>
      </c>
      <c r="O399">
        <v>91</v>
      </c>
      <c r="P399">
        <v>2509.78</v>
      </c>
      <c r="Q399" t="str">
        <v>161.03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AAR-880</v>
      </c>
      <c r="D400" t="str">
        <v>AAR-880</v>
      </c>
      <c r="E400" t="str">
        <v/>
      </c>
      <c r="F400" t="str">
        <v>867806078847433</v>
      </c>
      <c r="G400" t="str">
        <v>Otro</v>
      </c>
      <c r="H400" t="str">
        <v/>
      </c>
      <c r="I400" t="str">
        <v>27/09/2026</v>
      </c>
      <c r="J400" t="str">
        <v>11:23:57</v>
      </c>
      <c r="K400">
        <v>-12.317384</v>
      </c>
      <c r="L400">
        <v>-76.82947</v>
      </c>
      <c r="M400">
        <f>HYPERLINK("https://www.google.com/maps/search/?api=1&amp;query=-12.317384,-76.82947","Punta Hermosa, Lima")</f>
      </c>
      <c r="N400">
        <v>7.7</v>
      </c>
      <c r="O400">
        <v>91</v>
      </c>
      <c r="P400">
        <v>2509.96</v>
      </c>
      <c r="Q400" t="str">
        <v>161.03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AAR-880</v>
      </c>
      <c r="D401" t="str">
        <v>AAR-880</v>
      </c>
      <c r="E401" t="str">
        <v/>
      </c>
      <c r="F401" t="str">
        <v>867806078847433</v>
      </c>
      <c r="G401" t="str">
        <v>Otro</v>
      </c>
      <c r="H401" t="str">
        <v/>
      </c>
      <c r="I401" t="str">
        <v>27/09/2026</v>
      </c>
      <c r="J401" t="str">
        <v>11:24:39</v>
      </c>
      <c r="K401">
        <v>-12.317495</v>
      </c>
      <c r="L401">
        <v>-76.8297</v>
      </c>
      <c r="M401">
        <f>HYPERLINK("https://www.google.com/maps/search/?api=1&amp;query=-12.317495,-76.8297","Punta Hermosa, Lima")</f>
      </c>
      <c r="N401">
        <v>6.6</v>
      </c>
      <c r="O401">
        <v>91</v>
      </c>
      <c r="P401">
        <v>2509.99</v>
      </c>
      <c r="Q401" t="str">
        <v>161.03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AAR-880</v>
      </c>
      <c r="D402" t="str">
        <v>AAR-880</v>
      </c>
      <c r="E402" t="str">
        <v/>
      </c>
      <c r="F402" t="str">
        <v>867806078847433</v>
      </c>
      <c r="G402" t="str">
        <v>Otro</v>
      </c>
      <c r="H402" t="str">
        <v/>
      </c>
      <c r="I402" t="str">
        <v>27/09/2026</v>
      </c>
      <c r="J402" t="str">
        <v>11:24:39</v>
      </c>
      <c r="K402">
        <v>-12.317495</v>
      </c>
      <c r="L402">
        <v>-76.8297</v>
      </c>
      <c r="M402">
        <f>HYPERLINK("https://www.google.com/maps/search/?api=1&amp;query=-12.317495,-76.8297","Punta Hermosa, Lima")</f>
      </c>
      <c r="N402">
        <v>6.6</v>
      </c>
      <c r="O402">
        <v>93</v>
      </c>
      <c r="P402">
        <v>2510</v>
      </c>
      <c r="Q402" t="str">
        <v>158.22</v>
      </c>
      <c r="R402" t="str">
        <v>Llegó a la zona</v>
      </c>
      <c r="S402" t="str">
        <v>MASS BSF 1</v>
      </c>
      <c r="T402" t="str">
        <v xml:space="preserve"> </v>
      </c>
      <c r="U402" t="str">
        <v/>
      </c>
    </row>
    <row r="403">
      <c r="A403" t="str">
        <v>402</v>
      </c>
      <c r="B403" t="str">
        <v>MASS BSF</v>
      </c>
      <c r="C403" t="str">
        <v>AAR-880</v>
      </c>
      <c r="D403" t="str">
        <v>AAR-880</v>
      </c>
      <c r="E403" t="str">
        <v/>
      </c>
      <c r="F403" t="str">
        <v>867806078847433</v>
      </c>
      <c r="G403" t="str">
        <v>Otro</v>
      </c>
      <c r="H403" t="str">
        <v/>
      </c>
      <c r="I403" t="str">
        <v>27/09/2026</v>
      </c>
      <c r="J403" t="str">
        <v>11:24:44</v>
      </c>
      <c r="K403">
        <v>-12.317513</v>
      </c>
      <c r="L403">
        <v>-76.82981</v>
      </c>
      <c r="M403">
        <f>HYPERLINK("https://www.google.com/maps/search/?api=1&amp;query=-12.317513,-76.82981","Punta Hermosa, Lima")</f>
      </c>
      <c r="N403">
        <v>12.7</v>
      </c>
      <c r="O403">
        <v>91</v>
      </c>
      <c r="P403">
        <v>2510</v>
      </c>
      <c r="Q403" t="str">
        <v>161.03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AAR-880</v>
      </c>
      <c r="D404" t="str">
        <v>AAR-880</v>
      </c>
      <c r="E404" t="str">
        <v/>
      </c>
      <c r="F404" t="str">
        <v>867806078847433</v>
      </c>
      <c r="G404" t="str">
        <v>Otro</v>
      </c>
      <c r="H404" t="str">
        <v/>
      </c>
      <c r="I404" t="str">
        <v>27/09/2026</v>
      </c>
      <c r="J404" t="str">
        <v>11:24:50</v>
      </c>
      <c r="K404">
        <v>-12.317496</v>
      </c>
      <c r="L404">
        <v>-76.83007</v>
      </c>
      <c r="M404">
        <f>HYPERLINK("https://www.google.com/maps/search/?api=1&amp;query=-12.317496,-76.83007","Punta Hermosa, Lima")</f>
      </c>
      <c r="N404">
        <v>20</v>
      </c>
      <c r="O404">
        <v>91</v>
      </c>
      <c r="P404">
        <v>2510.03</v>
      </c>
      <c r="Q404" t="str">
        <v>161.03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AAR-880</v>
      </c>
      <c r="D405" t="str">
        <v>AAR-880</v>
      </c>
      <c r="E405" t="str">
        <v/>
      </c>
      <c r="F405" t="str">
        <v>867806078847433</v>
      </c>
      <c r="G405" t="str">
        <v>Otro</v>
      </c>
      <c r="H405" t="str">
        <v/>
      </c>
      <c r="I405" t="str">
        <v>27/09/2026</v>
      </c>
      <c r="J405" t="str">
        <v>11:24:50</v>
      </c>
      <c r="K405">
        <v>-12.317496</v>
      </c>
      <c r="L405">
        <v>-76.83007</v>
      </c>
      <c r="M405">
        <f>HYPERLINK("https://www.google.com/maps/search/?api=1&amp;query=-12.317496,-76.83007","Punta Hermosa, Lima")</f>
      </c>
      <c r="N405">
        <v>20</v>
      </c>
      <c r="O405">
        <v>93</v>
      </c>
      <c r="P405">
        <v>2510</v>
      </c>
      <c r="Q405" t="str">
        <v>158.22</v>
      </c>
      <c r="R405" t="str">
        <v>Salió de zona</v>
      </c>
      <c r="S405" t="str">
        <v>MASS BSF 1</v>
      </c>
      <c r="T405" t="str">
        <v xml:space="preserve"> </v>
      </c>
      <c r="U405" t="str">
        <v/>
      </c>
    </row>
    <row r="406">
      <c r="A406" t="str">
        <v>405</v>
      </c>
      <c r="B406" t="str">
        <v>MASS BSF</v>
      </c>
      <c r="C406" t="str">
        <v>AAR-880</v>
      </c>
      <c r="D406" t="str">
        <v>AAR-880</v>
      </c>
      <c r="E406" t="str">
        <v/>
      </c>
      <c r="F406" t="str">
        <v>867806078847433</v>
      </c>
      <c r="G406" t="str">
        <v>Otro</v>
      </c>
      <c r="H406" t="str">
        <v/>
      </c>
      <c r="I406" t="str">
        <v>27/09/2026</v>
      </c>
      <c r="J406" t="str">
        <v>11:24:55</v>
      </c>
      <c r="K406">
        <v>-12.317384</v>
      </c>
      <c r="L406">
        <v>-76.8303</v>
      </c>
      <c r="M406">
        <f>HYPERLINK("https://www.google.com/maps/search/?api=1&amp;query=-12.317384,-76.8303","Carretera Panamericana Sur, Punta Hermosa, Lima")</f>
      </c>
      <c r="N406">
        <v>20</v>
      </c>
      <c r="O406">
        <v>91</v>
      </c>
      <c r="P406">
        <v>2510.06</v>
      </c>
      <c r="Q406" t="str">
        <v>161.03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AAR-880</v>
      </c>
      <c r="D407" t="str">
        <v>AAR-880</v>
      </c>
      <c r="E407" t="str">
        <v/>
      </c>
      <c r="F407" t="str">
        <v>867806078847433</v>
      </c>
      <c r="G407" t="str">
        <v>Otro</v>
      </c>
      <c r="H407" t="str">
        <v/>
      </c>
      <c r="I407" t="str">
        <v>27/09/2026</v>
      </c>
      <c r="J407" t="str">
        <v>11:24:55</v>
      </c>
      <c r="K407">
        <v>-12.317384</v>
      </c>
      <c r="L407">
        <v>-76.8303</v>
      </c>
      <c r="M407">
        <f>HYPERLINK("https://www.google.com/maps/search/?api=1&amp;query=-12.317384,-76.8303","Carretera Panamericana Sur, Punta Hermosa, Lima")</f>
      </c>
      <c r="N407">
        <v>20</v>
      </c>
      <c r="O407">
        <v>93</v>
      </c>
      <c r="P407">
        <v>2510.06</v>
      </c>
      <c r="Q407" t="str">
        <v>158.22</v>
      </c>
      <c r="R407" t="str">
        <v>Salió de zona</v>
      </c>
      <c r="S407" t="str">
        <v>MASS BSF 1</v>
      </c>
      <c r="T407" t="str">
        <v xml:space="preserve"> </v>
      </c>
      <c r="U407" t="str">
        <v/>
      </c>
    </row>
    <row r="408">
      <c r="A408" t="str">
        <v>407</v>
      </c>
      <c r="B408" t="str">
        <v>MASS BSF</v>
      </c>
      <c r="C408" t="str">
        <v>AAR-880</v>
      </c>
      <c r="D408" t="str">
        <v>AAR-880</v>
      </c>
      <c r="E408" t="str">
        <v/>
      </c>
      <c r="F408" t="str">
        <v>867806078847433</v>
      </c>
      <c r="G408" t="str">
        <v>Otro</v>
      </c>
      <c r="H408" t="str">
        <v/>
      </c>
      <c r="I408" t="str">
        <v>27/09/2026</v>
      </c>
      <c r="J408" t="str">
        <v>11:25:41</v>
      </c>
      <c r="K408">
        <v>-12.31669</v>
      </c>
      <c r="L408">
        <v>-76.830956</v>
      </c>
      <c r="M408">
        <f>HYPERLINK("https://www.google.com/maps/search/?api=1&amp;query=-12.31669,-76.830956","Carretera Panamericana Sur, Punta Hermosa, Lima")</f>
      </c>
      <c r="N408">
        <v>13.5</v>
      </c>
      <c r="O408">
        <v>93</v>
      </c>
      <c r="P408">
        <v>2510.16</v>
      </c>
      <c r="Q408" t="str">
        <v>161.03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AAR-880</v>
      </c>
      <c r="D409" t="str">
        <v>AAR-880</v>
      </c>
      <c r="E409" t="str">
        <v/>
      </c>
      <c r="F409" t="str">
        <v>867806078847433</v>
      </c>
      <c r="G409" t="str">
        <v>Otro</v>
      </c>
      <c r="H409" t="str">
        <v/>
      </c>
      <c r="I409" t="str">
        <v>27/09/2026</v>
      </c>
      <c r="J409" t="str">
        <v>11:26:41</v>
      </c>
      <c r="K409">
        <v>-12.312141</v>
      </c>
      <c r="L409">
        <v>-76.83403</v>
      </c>
      <c r="M409">
        <f>HYPERLINK("https://www.google.com/maps/search/?api=1&amp;query=-12.312141,-76.83403","Carretera Panamericana Sur, Punta Hermosa, Lima")</f>
      </c>
      <c r="N409">
        <v>47.9</v>
      </c>
      <c r="O409">
        <v>93</v>
      </c>
      <c r="P409">
        <v>2510.76</v>
      </c>
      <c r="Q409" t="str">
        <v>161.03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AAR-880</v>
      </c>
      <c r="D410" t="str">
        <v>AAR-880</v>
      </c>
      <c r="E410" t="str">
        <v/>
      </c>
      <c r="F410" t="str">
        <v>867806078847433</v>
      </c>
      <c r="G410" t="str">
        <v>Otro</v>
      </c>
      <c r="H410" t="str">
        <v/>
      </c>
      <c r="I410" t="str">
        <v>27/09/2026</v>
      </c>
      <c r="J410" t="str">
        <v>11:27:31</v>
      </c>
      <c r="K410">
        <v>-12.30649</v>
      </c>
      <c r="L410">
        <v>-76.83805</v>
      </c>
      <c r="M410">
        <f>HYPERLINK("https://www.google.com/maps/search/?api=1&amp;query=-12.30649,-76.83805","Carretera Panamericana Sur, Punta Hermosa, Lima")</f>
      </c>
      <c r="N410">
        <v>57.7</v>
      </c>
      <c r="O410">
        <v>90</v>
      </c>
      <c r="P410">
        <v>2511.52</v>
      </c>
      <c r="Q410" t="str">
        <v>161.03</v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AAR-880</v>
      </c>
      <c r="D411" t="str">
        <v>AAR-880</v>
      </c>
      <c r="E411" t="str">
        <v/>
      </c>
      <c r="F411" t="str">
        <v>867806078847433</v>
      </c>
      <c r="G411" t="str">
        <v>Otro</v>
      </c>
      <c r="H411" t="str">
        <v/>
      </c>
      <c r="I411" t="str">
        <v>27/09/2026</v>
      </c>
      <c r="J411" t="str">
        <v>11:27:51</v>
      </c>
      <c r="K411">
        <v>-12.304473</v>
      </c>
      <c r="L411">
        <v>-76.84021</v>
      </c>
      <c r="M411">
        <f>HYPERLINK("https://www.google.com/maps/search/?api=1&amp;query=-12.304473,-76.84021","Carretera Panamericana Sur, Lurín, Lima")</f>
      </c>
      <c r="N411">
        <v>58.3</v>
      </c>
      <c r="O411">
        <v>90</v>
      </c>
      <c r="P411">
        <v>2511.84</v>
      </c>
      <c r="Q411" t="str">
        <v>161.03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AAR-880</v>
      </c>
      <c r="D412" t="str">
        <v>AAR-880</v>
      </c>
      <c r="E412" t="str">
        <v/>
      </c>
      <c r="F412" t="str">
        <v>867806078847433</v>
      </c>
      <c r="G412" t="str">
        <v>Otro</v>
      </c>
      <c r="H412" t="str">
        <v/>
      </c>
      <c r="I412" t="str">
        <v>27/09/2026</v>
      </c>
      <c r="J412" t="str">
        <v>11:28:13</v>
      </c>
      <c r="K412">
        <v>-12.30263</v>
      </c>
      <c r="L412">
        <v>-76.843025</v>
      </c>
      <c r="M412">
        <f>HYPERLINK("https://www.google.com/maps/search/?api=1&amp;query=-12.30263,-76.843025","Carretera Panamericana Sur, Lurín, Lima")</f>
      </c>
      <c r="N412">
        <v>60.1</v>
      </c>
      <c r="O412">
        <v>90</v>
      </c>
      <c r="P412">
        <v>2512.21</v>
      </c>
      <c r="Q412" t="str">
        <v>161.03</v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AAR-880</v>
      </c>
      <c r="D413" t="str">
        <v>AAR-880</v>
      </c>
      <c r="E413" t="str">
        <v/>
      </c>
      <c r="F413" t="str">
        <v>867806078847433</v>
      </c>
      <c r="G413" t="str">
        <v>Otro</v>
      </c>
      <c r="H413" t="str">
        <v/>
      </c>
      <c r="I413" t="str">
        <v>27/09/2026</v>
      </c>
      <c r="J413" t="str">
        <v>11:29:06</v>
      </c>
      <c r="K413">
        <v>-12.299378</v>
      </c>
      <c r="L413">
        <v>-76.85024</v>
      </c>
      <c r="M413">
        <f>HYPERLINK("https://www.google.com/maps/search/?api=1&amp;query=-12.299378,-76.85024","Carretera Panamericana Sur, Lurín, Lima")</f>
      </c>
      <c r="N413">
        <v>57.4</v>
      </c>
      <c r="O413">
        <v>90</v>
      </c>
      <c r="P413">
        <v>2513.06</v>
      </c>
      <c r="Q413" t="str">
        <v>161.03</v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AAR-880</v>
      </c>
      <c r="D414" t="str">
        <v>AAR-880</v>
      </c>
      <c r="E414" t="str">
        <v/>
      </c>
      <c r="F414" t="str">
        <v>867806078847433</v>
      </c>
      <c r="G414" t="str">
        <v>Otro</v>
      </c>
      <c r="H414" t="str">
        <v/>
      </c>
      <c r="I414" t="str">
        <v>27/09/2026</v>
      </c>
      <c r="J414" t="str">
        <v>11:29:57</v>
      </c>
      <c r="K414">
        <v>-12.296152</v>
      </c>
      <c r="L414">
        <v>-76.85749</v>
      </c>
      <c r="M414">
        <f>HYPERLINK("https://www.google.com/maps/search/?api=1&amp;query=-12.296152,-76.85749","Carretera Panamericana Sur, Lurín, Lima")</f>
      </c>
      <c r="N414">
        <v>58.5</v>
      </c>
      <c r="O414">
        <v>90</v>
      </c>
      <c r="P414">
        <v>2513.92</v>
      </c>
      <c r="Q414" t="str">
        <v>161.03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AAR-880</v>
      </c>
      <c r="D415" t="str">
        <v>AAR-880</v>
      </c>
      <c r="E415" t="str">
        <v/>
      </c>
      <c r="F415" t="str">
        <v>867806078847433</v>
      </c>
      <c r="G415" t="str">
        <v>Otro</v>
      </c>
      <c r="H415" t="str">
        <v/>
      </c>
      <c r="I415" t="str">
        <v>27/09/2026</v>
      </c>
      <c r="J415" t="str">
        <v>11:30:48</v>
      </c>
      <c r="K415">
        <v>-12.292167</v>
      </c>
      <c r="L415">
        <v>-76.864044</v>
      </c>
      <c r="M415">
        <f>HYPERLINK("https://www.google.com/maps/search/?api=1&amp;query=-12.292167,-76.864044","Carretera Panamericana Sur, Lurín, Lima")</f>
      </c>
      <c r="N415">
        <v>60.3</v>
      </c>
      <c r="O415">
        <v>90</v>
      </c>
      <c r="P415">
        <v>2514.76</v>
      </c>
      <c r="Q415" t="str">
        <v>161.03</v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AAR-880</v>
      </c>
      <c r="D416" t="str">
        <v>AAR-880</v>
      </c>
      <c r="E416" t="str">
        <v/>
      </c>
      <c r="F416" t="str">
        <v>867806078847433</v>
      </c>
      <c r="G416" t="str">
        <v>Otro</v>
      </c>
      <c r="H416" t="str">
        <v/>
      </c>
      <c r="I416" t="str">
        <v>27/09/2026</v>
      </c>
      <c r="J416" t="str">
        <v>11:31:37</v>
      </c>
      <c r="K416">
        <v>-12.288145</v>
      </c>
      <c r="L416">
        <v>-76.87046</v>
      </c>
      <c r="M416">
        <f>HYPERLINK("https://www.google.com/maps/search/?api=1&amp;query=-12.288145,-76.87046","Carretera Panamericana Sur, Lurín, Lima")</f>
      </c>
      <c r="N416">
        <v>61.1</v>
      </c>
      <c r="O416">
        <v>90</v>
      </c>
      <c r="P416">
        <v>2515.58</v>
      </c>
      <c r="Q416" t="str">
        <v>161.03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AAR-880</v>
      </c>
      <c r="D417" t="str">
        <v>AAR-880</v>
      </c>
      <c r="E417" t="str">
        <v/>
      </c>
      <c r="F417" t="str">
        <v>867806078847433</v>
      </c>
      <c r="G417" t="str">
        <v>Otro</v>
      </c>
      <c r="H417" t="str">
        <v/>
      </c>
      <c r="I417" t="str">
        <v>27/09/2026</v>
      </c>
      <c r="J417" t="str">
        <v>11:32:24</v>
      </c>
      <c r="K417">
        <v>-12.284338</v>
      </c>
      <c r="L417">
        <v>-76.87654</v>
      </c>
      <c r="M417">
        <f>HYPERLINK("https://www.google.com/maps/search/?api=1&amp;query=-12.284338,-76.87654","Carretera Panamericana Sur, Lurín, Lima")</f>
      </c>
      <c r="N417">
        <v>60.3</v>
      </c>
      <c r="O417">
        <v>90</v>
      </c>
      <c r="P417">
        <v>2516.36</v>
      </c>
      <c r="Q417" t="str">
        <v>161.03</v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AAR-880</v>
      </c>
      <c r="D418" t="str">
        <v>AAR-880</v>
      </c>
      <c r="E418" t="str">
        <v/>
      </c>
      <c r="F418" t="str">
        <v>867806078847433</v>
      </c>
      <c r="G418" t="str">
        <v>Otro</v>
      </c>
      <c r="H418" t="str">
        <v/>
      </c>
      <c r="I418" t="str">
        <v>27/09/2026</v>
      </c>
      <c r="J418" t="str">
        <v>11:32:26</v>
      </c>
      <c r="K418">
        <v>-12.284097</v>
      </c>
      <c r="L418">
        <v>-76.87693</v>
      </c>
      <c r="M418">
        <f>HYPERLINK("https://www.google.com/maps/search/?api=1&amp;query=-12.284097,-76.87693","Carretera Panamericana Sur, Lurín, Lima")</f>
      </c>
      <c r="N418">
        <v>60</v>
      </c>
      <c r="O418">
        <v>92</v>
      </c>
      <c r="P418">
        <v>2516.41</v>
      </c>
      <c r="Q418" t="str">
        <v>161.03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AAR-880</v>
      </c>
      <c r="D419" t="str">
        <v>AAR-880</v>
      </c>
      <c r="E419" t="str">
        <v/>
      </c>
      <c r="F419" t="str">
        <v>867806078847433</v>
      </c>
      <c r="G419" t="str">
        <v>Otro</v>
      </c>
      <c r="H419" t="str">
        <v/>
      </c>
      <c r="I419" t="str">
        <v>27/09/2026</v>
      </c>
      <c r="J419" t="str">
        <v>11:32:26</v>
      </c>
      <c r="K419">
        <v>-12.284097</v>
      </c>
      <c r="L419">
        <v>-76.87693</v>
      </c>
      <c r="M419">
        <f>HYPERLINK("https://www.google.com/maps/search/?api=1&amp;query=-12.284097,-76.87693","Carretera Panamericana Sur, Lurín, Lima")</f>
      </c>
      <c r="N419">
        <v>60</v>
      </c>
      <c r="O419">
        <v>90</v>
      </c>
      <c r="P419">
        <v>2516.41</v>
      </c>
      <c r="Q419" t="str">
        <v>161.03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AAR-880</v>
      </c>
      <c r="D420" t="str">
        <v>AAR-880</v>
      </c>
      <c r="E420" t="str">
        <v/>
      </c>
      <c r="F420" t="str">
        <v>867806078847433</v>
      </c>
      <c r="G420" t="str">
        <v>Otro</v>
      </c>
      <c r="H420" t="str">
        <v/>
      </c>
      <c r="I420" t="str">
        <v>27/09/2026</v>
      </c>
      <c r="J420" t="str">
        <v>11:33:15</v>
      </c>
      <c r="K420">
        <v>-12.28003</v>
      </c>
      <c r="L420">
        <v>-76.883415</v>
      </c>
      <c r="M420">
        <f>HYPERLINK("https://www.google.com/maps/search/?api=1&amp;query=-12.28003,-76.883415","Carretera Panamericana Sur, Lurín, Lima")</f>
      </c>
      <c r="N420">
        <v>63.5</v>
      </c>
      <c r="O420">
        <v>92</v>
      </c>
      <c r="P420">
        <v>2517.24</v>
      </c>
      <c r="Q420" t="str">
        <v>161.03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AAR-880</v>
      </c>
      <c r="D421" t="str">
        <v>AAR-880</v>
      </c>
      <c r="E421" t="str">
        <v/>
      </c>
      <c r="F421" t="str">
        <v>867806078847433</v>
      </c>
      <c r="G421" t="str">
        <v>Otro</v>
      </c>
      <c r="H421" t="str">
        <v/>
      </c>
      <c r="I421" t="str">
        <v>27/09/2026</v>
      </c>
      <c r="J421" t="str">
        <v>11:34:02</v>
      </c>
      <c r="K421">
        <v>-12.275984</v>
      </c>
      <c r="L421">
        <v>-76.889854</v>
      </c>
      <c r="M421">
        <f>HYPERLINK("https://www.google.com/maps/search/?api=1&amp;query=-12.275984,-76.889854","Carretera Panamericana Sur, Lurín, Lima")</f>
      </c>
      <c r="N421">
        <v>62.4</v>
      </c>
      <c r="O421">
        <v>84</v>
      </c>
      <c r="P421">
        <v>2518.07</v>
      </c>
      <c r="Q421" t="str">
        <v>161.03</v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AAR-880</v>
      </c>
      <c r="D422" t="str">
        <v>AAR-880</v>
      </c>
      <c r="E422" t="str">
        <v/>
      </c>
      <c r="F422" t="str">
        <v>867806078847433</v>
      </c>
      <c r="G422" t="str">
        <v>Otro</v>
      </c>
      <c r="H422" t="str">
        <v/>
      </c>
      <c r="I422" t="str">
        <v>27/09/2026</v>
      </c>
      <c r="J422" t="str">
        <v>11:34:49</v>
      </c>
      <c r="K422">
        <v>-12.271947</v>
      </c>
      <c r="L422">
        <v>-76.89628</v>
      </c>
      <c r="M422">
        <f>HYPERLINK("https://www.google.com/maps/search/?api=1&amp;query=-12.271947,-76.89628","Carretera Panamericana Sur, Lurín, Lima")</f>
      </c>
      <c r="N422">
        <v>65.7</v>
      </c>
      <c r="O422">
        <v>84</v>
      </c>
      <c r="P422">
        <v>2518.89</v>
      </c>
      <c r="Q422" t="str">
        <v>161.03</v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AAR-880</v>
      </c>
      <c r="D423" t="str">
        <v>AAR-880</v>
      </c>
      <c r="E423" t="str">
        <v/>
      </c>
      <c r="F423" t="str">
        <v>867806078847433</v>
      </c>
      <c r="G423" t="str">
        <v>Otro</v>
      </c>
      <c r="H423" t="str">
        <v/>
      </c>
      <c r="I423" t="str">
        <v>27/09/2026</v>
      </c>
      <c r="J423" t="str">
        <v>11:35:35</v>
      </c>
      <c r="K423">
        <v>-12.267888</v>
      </c>
      <c r="L423">
        <v>-76.90275</v>
      </c>
      <c r="M423">
        <f>HYPERLINK("https://www.google.com/maps/search/?api=1&amp;query=-12.267888,-76.90275","Carretera Panamericana Sur, Lurín, Lima")</f>
      </c>
      <c r="N423">
        <v>67</v>
      </c>
      <c r="O423">
        <v>86</v>
      </c>
      <c r="P423">
        <v>2519.72</v>
      </c>
      <c r="Q423" t="str">
        <v>161.03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AAR-880</v>
      </c>
      <c r="D424" t="str">
        <v>AAR-880</v>
      </c>
      <c r="E424" t="str">
        <v/>
      </c>
      <c r="F424" t="str">
        <v>867806078847433</v>
      </c>
      <c r="G424" t="str">
        <v>Otro</v>
      </c>
      <c r="H424" t="str">
        <v/>
      </c>
      <c r="I424" t="str">
        <v>27/09/2026</v>
      </c>
      <c r="J424" t="str">
        <v>11:36:18</v>
      </c>
      <c r="K424">
        <v>-12.263884</v>
      </c>
      <c r="L424">
        <v>-76.90911</v>
      </c>
      <c r="M424">
        <f>HYPERLINK("https://www.google.com/maps/search/?api=1&amp;query=-12.263884,-76.90911","Carretera Panamericana Sur, Lurín, Lima")</f>
      </c>
      <c r="N424">
        <v>68.8</v>
      </c>
      <c r="O424">
        <v>86</v>
      </c>
      <c r="P424">
        <v>2520.54</v>
      </c>
      <c r="Q424" t="str">
        <v>161.03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AAR-880</v>
      </c>
      <c r="D425" t="str">
        <v>AAR-880</v>
      </c>
      <c r="E425" t="str">
        <v/>
      </c>
      <c r="F425" t="str">
        <v>867806078847433</v>
      </c>
      <c r="G425" t="str">
        <v>Otro</v>
      </c>
      <c r="H425" t="str">
        <v/>
      </c>
      <c r="I425" t="str">
        <v>27/09/2026</v>
      </c>
      <c r="J425" t="str">
        <v>11:37:01</v>
      </c>
      <c r="K425">
        <v>-12.259845</v>
      </c>
      <c r="L425">
        <v>-76.91546</v>
      </c>
      <c r="M425">
        <f>HYPERLINK("https://www.google.com/maps/search/?api=1&amp;query=-12.259845,-76.91546","Carretera Panamericana Sur, Lurín, Lima")</f>
      </c>
      <c r="N425">
        <v>68.3</v>
      </c>
      <c r="O425">
        <v>86</v>
      </c>
      <c r="P425">
        <v>2521.36</v>
      </c>
      <c r="Q425" t="str">
        <v>161.03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AAR-880</v>
      </c>
      <c r="D426" t="str">
        <v>AAR-880</v>
      </c>
      <c r="E426" t="str">
        <v/>
      </c>
      <c r="F426" t="str">
        <v>867806078847433</v>
      </c>
      <c r="G426" t="str">
        <v>Otro</v>
      </c>
      <c r="H426" t="str">
        <v/>
      </c>
      <c r="I426" t="str">
        <v>27/09/2026</v>
      </c>
      <c r="J426" t="str">
        <v>11:37:38</v>
      </c>
      <c r="K426">
        <v>-12.256515</v>
      </c>
      <c r="L426">
        <v>-76.920494</v>
      </c>
      <c r="M426">
        <f>HYPERLINK("https://www.google.com/maps/search/?api=1&amp;query=-12.256515,-76.920494","Carretera Panamericana Sur, Lurín, Lima")</f>
      </c>
      <c r="N426">
        <v>47.9</v>
      </c>
      <c r="O426">
        <v>86</v>
      </c>
      <c r="P426">
        <v>2522.01</v>
      </c>
      <c r="Q426" t="str">
        <v>161.03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AAR-880</v>
      </c>
      <c r="D427" t="str">
        <v>AAR-880</v>
      </c>
      <c r="E427" t="str">
        <v/>
      </c>
      <c r="F427" t="str">
        <v>867806078847433</v>
      </c>
      <c r="G427" t="str">
        <v>Otro</v>
      </c>
      <c r="H427" t="str">
        <v/>
      </c>
      <c r="I427" t="str">
        <v>27/09/2026</v>
      </c>
      <c r="J427" t="str">
        <v>11:37:43</v>
      </c>
      <c r="K427">
        <v>-12.256042</v>
      </c>
      <c r="L427">
        <v>-76.920815</v>
      </c>
      <c r="M427">
        <f>HYPERLINK("https://www.google.com/maps/search/?api=1&amp;query=-12.256042,-76.920815","Lurín, Lima")</f>
      </c>
      <c r="N427">
        <v>43.7</v>
      </c>
      <c r="O427">
        <v>86</v>
      </c>
      <c r="P427">
        <v>2522.07</v>
      </c>
      <c r="Q427" t="str">
        <v>161.03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AAR-880</v>
      </c>
      <c r="D428" t="str">
        <v>AAR-880</v>
      </c>
      <c r="E428" t="str">
        <v/>
      </c>
      <c r="F428" t="str">
        <v>867806078847433</v>
      </c>
      <c r="G428" t="str">
        <v>Otro</v>
      </c>
      <c r="H428" t="str">
        <v/>
      </c>
      <c r="I428" t="str">
        <v>27/09/2026</v>
      </c>
      <c r="J428" t="str">
        <v>11:37:48</v>
      </c>
      <c r="K428">
        <v>-12.2556</v>
      </c>
      <c r="L428">
        <v>-76.920906</v>
      </c>
      <c r="M428">
        <f>HYPERLINK("https://www.google.com/maps/search/?api=1&amp;query=-12.2556,-76.920906","Lurín, Lima")</f>
      </c>
      <c r="N428">
        <v>28.1</v>
      </c>
      <c r="O428">
        <v>93</v>
      </c>
      <c r="P428">
        <v>2522.12</v>
      </c>
      <c r="Q428" t="str">
        <v>161.03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AAR-880</v>
      </c>
      <c r="D429" t="str">
        <v>AAR-880</v>
      </c>
      <c r="E429" t="str">
        <v/>
      </c>
      <c r="F429" t="str">
        <v>867806078847433</v>
      </c>
      <c r="G429" t="str">
        <v>Otro</v>
      </c>
      <c r="H429" t="str">
        <v/>
      </c>
      <c r="I429" t="str">
        <v>27/09/2026</v>
      </c>
      <c r="J429" t="str">
        <v>11:37:53</v>
      </c>
      <c r="K429">
        <v>-12.25527</v>
      </c>
      <c r="L429">
        <v>-76.92087</v>
      </c>
      <c r="M429">
        <f>HYPERLINK("https://www.google.com/maps/search/?api=1&amp;query=-12.25527,-76.92087","Lurín, Lima")</f>
      </c>
      <c r="N429">
        <v>27.5</v>
      </c>
      <c r="O429">
        <v>93</v>
      </c>
      <c r="P429">
        <v>2522.16</v>
      </c>
      <c r="Q429" t="str">
        <v>161.03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AAR-880</v>
      </c>
      <c r="D430" t="str">
        <v>AAR-880</v>
      </c>
      <c r="E430" t="str">
        <v/>
      </c>
      <c r="F430" t="str">
        <v>867806078847433</v>
      </c>
      <c r="G430" t="str">
        <v>Otro</v>
      </c>
      <c r="H430" t="str">
        <v/>
      </c>
      <c r="I430" t="str">
        <v>27/09/2026</v>
      </c>
      <c r="J430" t="str">
        <v>11:37:58</v>
      </c>
      <c r="K430">
        <v>-12.254925</v>
      </c>
      <c r="L430">
        <v>-76.92071</v>
      </c>
      <c r="M430">
        <f>HYPERLINK("https://www.google.com/maps/search/?api=1&amp;query=-12.254925,-76.92071","Lurín, Lima")</f>
      </c>
      <c r="N430">
        <v>31.6</v>
      </c>
      <c r="O430">
        <v>93</v>
      </c>
      <c r="P430">
        <v>2522.2</v>
      </c>
      <c r="Q430" t="str">
        <v>161.03</v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430</v>
      </c>
      <c r="B431" t="str">
        <v>MASS BSF</v>
      </c>
      <c r="C431" t="str">
        <v>AAR-880</v>
      </c>
      <c r="D431" t="str">
        <v>AAR-880</v>
      </c>
      <c r="E431" t="str">
        <v/>
      </c>
      <c r="F431" t="str">
        <v>867806078847433</v>
      </c>
      <c r="G431" t="str">
        <v>Otro</v>
      </c>
      <c r="H431" t="str">
        <v/>
      </c>
      <c r="I431" t="str">
        <v>27/09/2026</v>
      </c>
      <c r="J431" t="str">
        <v>11:38:03</v>
      </c>
      <c r="K431">
        <v>-12.254615</v>
      </c>
      <c r="L431">
        <v>-76.92048</v>
      </c>
      <c r="M431">
        <f>HYPERLINK("https://www.google.com/maps/search/?api=1&amp;query=-12.254615,-76.92048","Lurín, Lima")</f>
      </c>
      <c r="N431">
        <v>30</v>
      </c>
      <c r="O431">
        <v>93</v>
      </c>
      <c r="P431">
        <v>2522.24</v>
      </c>
      <c r="Q431" t="str">
        <v>161.03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AAR-880</v>
      </c>
      <c r="D432" t="str">
        <v>AAR-880</v>
      </c>
      <c r="E432" t="str">
        <v/>
      </c>
      <c r="F432" t="str">
        <v>867806078847433</v>
      </c>
      <c r="G432" t="str">
        <v>Otro</v>
      </c>
      <c r="H432" t="str">
        <v/>
      </c>
      <c r="I432" t="str">
        <v>27/09/2026</v>
      </c>
      <c r="J432" t="str">
        <v>11:38:09</v>
      </c>
      <c r="K432">
        <v>-12.254375</v>
      </c>
      <c r="L432">
        <v>-76.92017</v>
      </c>
      <c r="M432">
        <f>HYPERLINK("https://www.google.com/maps/search/?api=1&amp;query=-12.254375,-76.92017","Antigua Panamericana Sur, Lurín, Lima")</f>
      </c>
      <c r="N432">
        <v>17.9</v>
      </c>
      <c r="O432">
        <v>93</v>
      </c>
      <c r="P432">
        <v>2522.29</v>
      </c>
      <c r="Q432" t="str">
        <v>161.03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AAR-880</v>
      </c>
      <c r="D433" t="str">
        <v>AAR-880</v>
      </c>
      <c r="E433" t="str">
        <v/>
      </c>
      <c r="F433" t="str">
        <v>867806078847433</v>
      </c>
      <c r="G433" t="str">
        <v>Otro</v>
      </c>
      <c r="H433" t="str">
        <v/>
      </c>
      <c r="I433" t="str">
        <v>27/09/2026</v>
      </c>
      <c r="J433" t="str">
        <v>11:38:14</v>
      </c>
      <c r="K433">
        <v>-12.254313</v>
      </c>
      <c r="L433">
        <v>-76.91994</v>
      </c>
      <c r="M433">
        <f>HYPERLINK("https://www.google.com/maps/search/?api=1&amp;query=-12.254313,-76.91994","Antigua Panamericana Sur, Lurín, Lima")</f>
      </c>
      <c r="N433">
        <v>21.8</v>
      </c>
      <c r="O433">
        <v>93</v>
      </c>
      <c r="P433">
        <v>2522.31</v>
      </c>
      <c r="Q433" t="str">
        <v>161.03</v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AAR-880</v>
      </c>
      <c r="D434" t="str">
        <v>AAR-880</v>
      </c>
      <c r="E434" t="str">
        <v/>
      </c>
      <c r="F434" t="str">
        <v>867806078847433</v>
      </c>
      <c r="G434" t="str">
        <v>Otro</v>
      </c>
      <c r="H434" t="str">
        <v/>
      </c>
      <c r="I434" t="str">
        <v>27/09/2026</v>
      </c>
      <c r="J434" t="str">
        <v>11:38:20</v>
      </c>
      <c r="K434">
        <v>-12.254285</v>
      </c>
      <c r="L434">
        <v>-76.919685</v>
      </c>
      <c r="M434">
        <f>HYPERLINK("https://www.google.com/maps/search/?api=1&amp;query=-12.254285,-76.919685","Antigua Panamericana Sur, Lurín, Lima")</f>
      </c>
      <c r="N434">
        <v>8.3</v>
      </c>
      <c r="O434">
        <v>93</v>
      </c>
      <c r="P434">
        <v>2522.34</v>
      </c>
      <c r="Q434" t="str">
        <v>161.03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AAR-880</v>
      </c>
      <c r="D435" t="str">
        <v>AAR-880</v>
      </c>
      <c r="E435" t="str">
        <v/>
      </c>
      <c r="F435" t="str">
        <v>867806078847433</v>
      </c>
      <c r="G435" t="str">
        <v>Otro</v>
      </c>
      <c r="H435" t="str">
        <v/>
      </c>
      <c r="I435" t="str">
        <v>27/09/2026</v>
      </c>
      <c r="J435" t="str">
        <v>11:39:20</v>
      </c>
      <c r="K435">
        <v>-12.25464</v>
      </c>
      <c r="L435">
        <v>-76.91682</v>
      </c>
      <c r="M435">
        <f>HYPERLINK("https://www.google.com/maps/search/?api=1&amp;query=-12.25464,-76.91682","Antigua Panamericana Sur, Lurín, Lima")</f>
      </c>
      <c r="N435">
        <v>24.4</v>
      </c>
      <c r="O435">
        <v>93</v>
      </c>
      <c r="P435">
        <v>2522.65</v>
      </c>
      <c r="Q435" t="str">
        <v>161.03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AAR-880</v>
      </c>
      <c r="D436" t="str">
        <v>AAR-880</v>
      </c>
      <c r="E436" t="str">
        <v/>
      </c>
      <c r="F436" t="str">
        <v>867806078847433</v>
      </c>
      <c r="G436" t="str">
        <v>Otro</v>
      </c>
      <c r="H436" t="str">
        <v/>
      </c>
      <c r="I436" t="str">
        <v>27/09/2026</v>
      </c>
      <c r="J436" t="str">
        <v>11:39:24</v>
      </c>
      <c r="K436">
        <v>-12.254675</v>
      </c>
      <c r="L436">
        <v>-76.91654</v>
      </c>
      <c r="M436">
        <f>HYPERLINK("https://www.google.com/maps/search/?api=1&amp;query=-12.254675,-76.91654","Antigua Panamericana Sur, Lurín, Lima")</f>
      </c>
      <c r="N436">
        <v>29.4</v>
      </c>
      <c r="O436">
        <v>93</v>
      </c>
      <c r="P436">
        <v>2522.68</v>
      </c>
      <c r="Q436" t="str">
        <v>161.03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AAR-880</v>
      </c>
      <c r="D437" t="str">
        <v>AAR-880</v>
      </c>
      <c r="E437" t="str">
        <v/>
      </c>
      <c r="F437" t="str">
        <v>867806078847433</v>
      </c>
      <c r="G437" t="str">
        <v>Otro</v>
      </c>
      <c r="H437" t="str">
        <v/>
      </c>
      <c r="I437" t="str">
        <v>27/09/2026</v>
      </c>
      <c r="J437" t="str">
        <v>11:40:20</v>
      </c>
      <c r="K437">
        <v>-12.25525</v>
      </c>
      <c r="L437">
        <v>-76.91224</v>
      </c>
      <c r="M437">
        <f>HYPERLINK("https://www.google.com/maps/search/?api=1&amp;query=-12.25525,-76.91224","Antigua Panamericana Sur, Lurín, Lima")</f>
      </c>
      <c r="N437">
        <v>34.6</v>
      </c>
      <c r="O437">
        <v>93</v>
      </c>
      <c r="P437">
        <v>2523.14</v>
      </c>
      <c r="Q437" t="str">
        <v>161.03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AAR-880</v>
      </c>
      <c r="D438" t="str">
        <v>AAR-880</v>
      </c>
      <c r="E438" t="str">
        <v/>
      </c>
      <c r="F438" t="str">
        <v>867806078847433</v>
      </c>
      <c r="G438" t="str">
        <v>Otro</v>
      </c>
      <c r="H438" t="str">
        <v/>
      </c>
      <c r="I438" t="str">
        <v>27/09/2026</v>
      </c>
      <c r="J438" t="str">
        <v>11:40:42</v>
      </c>
      <c r="K438">
        <v>-12.25541</v>
      </c>
      <c r="L438">
        <v>-76.910126</v>
      </c>
      <c r="M438">
        <f>HYPERLINK("https://www.google.com/maps/search/?api=1&amp;query=-12.25541,-76.910126","Antigua Panamericana Sur, Lurín, Lima")</f>
      </c>
      <c r="N438">
        <v>40.1</v>
      </c>
      <c r="O438">
        <v>93</v>
      </c>
      <c r="P438">
        <v>2523.37</v>
      </c>
      <c r="Q438" t="str">
        <v>161.03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AAR-880</v>
      </c>
      <c r="D439" t="str">
        <v>AAR-880</v>
      </c>
      <c r="E439" t="str">
        <v/>
      </c>
      <c r="F439" t="str">
        <v>867806078847433</v>
      </c>
      <c r="G439" t="str">
        <v>Otro</v>
      </c>
      <c r="H439" t="str">
        <v/>
      </c>
      <c r="I439" t="str">
        <v>27/09/2026</v>
      </c>
      <c r="J439" t="str">
        <v>11:40:53</v>
      </c>
      <c r="K439">
        <v>-12.25529</v>
      </c>
      <c r="L439">
        <v>-76.90896</v>
      </c>
      <c r="M439">
        <f>HYPERLINK("https://www.google.com/maps/search/?api=1&amp;query=-12.25529,-76.90896","Antigua Panamericana Sur, Lurín, Lima")</f>
      </c>
      <c r="N439">
        <v>42.9</v>
      </c>
      <c r="O439">
        <v>93</v>
      </c>
      <c r="P439">
        <v>2523.5</v>
      </c>
      <c r="Q439" t="str">
        <v>161.03</v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AAR-880</v>
      </c>
      <c r="D440" t="str">
        <v>AAR-880</v>
      </c>
      <c r="E440" t="str">
        <v/>
      </c>
      <c r="F440" t="str">
        <v>867806078847433</v>
      </c>
      <c r="G440" t="str">
        <v>Otro</v>
      </c>
      <c r="H440" t="str">
        <v/>
      </c>
      <c r="I440" t="str">
        <v>27/09/2026</v>
      </c>
      <c r="J440" t="str">
        <v>11:41:29</v>
      </c>
      <c r="K440">
        <v>-12.254487</v>
      </c>
      <c r="L440">
        <v>-76.90567</v>
      </c>
      <c r="M440">
        <f>HYPERLINK("https://www.google.com/maps/search/?api=1&amp;query=-12.254487,-76.90567","Antigua Panamericana Sur, Lurín, Lima")</f>
      </c>
      <c r="N440">
        <v>27.4</v>
      </c>
      <c r="O440">
        <v>93</v>
      </c>
      <c r="P440">
        <v>2523.86</v>
      </c>
      <c r="Q440" t="str">
        <v>161.03</v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AAR-880</v>
      </c>
      <c r="D441" t="str">
        <v>AAR-880</v>
      </c>
      <c r="E441" t="str">
        <v/>
      </c>
      <c r="F441" t="str">
        <v>867806078847433</v>
      </c>
      <c r="G441" t="str">
        <v>Otro</v>
      </c>
      <c r="H441" t="str">
        <v/>
      </c>
      <c r="I441" t="str">
        <v>27/09/2026</v>
      </c>
      <c r="J441" t="str">
        <v>11:41:34</v>
      </c>
      <c r="K441">
        <v>-12.254398</v>
      </c>
      <c r="L441">
        <v>-76.905304</v>
      </c>
      <c r="M441">
        <f>HYPERLINK("https://www.google.com/maps/search/?api=1&amp;query=-12.254398,-76.905304","Antigua Panamericana Sur, Lurín, Lima")</f>
      </c>
      <c r="N441">
        <v>29.8</v>
      </c>
      <c r="O441">
        <v>93</v>
      </c>
      <c r="P441">
        <v>2523.9</v>
      </c>
      <c r="Q441" t="str">
        <v>161.03</v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AAR-880</v>
      </c>
      <c r="D442" t="str">
        <v>AAR-880</v>
      </c>
      <c r="E442" t="str">
        <v/>
      </c>
      <c r="F442" t="str">
        <v>867806078847433</v>
      </c>
      <c r="G442" t="str">
        <v>Otro</v>
      </c>
      <c r="H442" t="str">
        <v/>
      </c>
      <c r="I442" t="str">
        <v>27/09/2026</v>
      </c>
      <c r="J442" t="str">
        <v>11:41:55</v>
      </c>
      <c r="K442">
        <v>-12.25426</v>
      </c>
      <c r="L442">
        <v>-76.90468</v>
      </c>
      <c r="M442">
        <f>HYPERLINK("https://www.google.com/maps/search/?api=1&amp;query=-12.25426,-76.90468","Antigua Panamericana Sur, Lurín, Lima")</f>
      </c>
      <c r="N442">
        <v>12</v>
      </c>
      <c r="O442">
        <v>93</v>
      </c>
      <c r="P442">
        <v>2523.97</v>
      </c>
      <c r="Q442" t="str">
        <v>161.03</v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AAR-880</v>
      </c>
      <c r="D443" t="str">
        <v>AAR-880</v>
      </c>
      <c r="E443" t="str">
        <v/>
      </c>
      <c r="F443" t="str">
        <v>867806078847433</v>
      </c>
      <c r="G443" t="str">
        <v>Otro</v>
      </c>
      <c r="H443" t="str">
        <v/>
      </c>
      <c r="I443" t="str">
        <v>27/09/2026</v>
      </c>
      <c r="J443" t="str">
        <v>11:42:00</v>
      </c>
      <c r="K443">
        <v>-12.254113</v>
      </c>
      <c r="L443">
        <v>-76.90455</v>
      </c>
      <c r="M443">
        <f>HYPERLINK("https://www.google.com/maps/search/?api=1&amp;query=-12.254113,-76.90455","Avenida Lima, Lurín")</f>
      </c>
      <c r="N443">
        <v>18.7</v>
      </c>
      <c r="O443">
        <v>93</v>
      </c>
      <c r="P443">
        <v>2523.99</v>
      </c>
      <c r="Q443" t="str">
        <v>161.03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AAR-880</v>
      </c>
      <c r="D444" t="str">
        <v>AAR-880</v>
      </c>
      <c r="E444" t="str">
        <v/>
      </c>
      <c r="F444" t="str">
        <v>867806078847433</v>
      </c>
      <c r="G444" t="str">
        <v>Otro</v>
      </c>
      <c r="H444" t="str">
        <v/>
      </c>
      <c r="I444" t="str">
        <v>27/09/2026</v>
      </c>
      <c r="J444" t="str">
        <v>11:42:05</v>
      </c>
      <c r="K444">
        <v>-12.253875</v>
      </c>
      <c r="L444">
        <v>-76.904465</v>
      </c>
      <c r="M444">
        <f>HYPERLINK("https://www.google.com/maps/search/?api=1&amp;query=-12.253875,-76.904465","Avenida Lima, Lurín")</f>
      </c>
      <c r="N444">
        <v>19</v>
      </c>
      <c r="O444">
        <v>93</v>
      </c>
      <c r="P444">
        <v>2524.02</v>
      </c>
      <c r="Q444" t="str">
        <v>161.03</v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AAR-880</v>
      </c>
      <c r="D445" t="str">
        <v>AAR-880</v>
      </c>
      <c r="E445" t="str">
        <v/>
      </c>
      <c r="F445" t="str">
        <v>867806078847433</v>
      </c>
      <c r="G445" t="str">
        <v>Otro</v>
      </c>
      <c r="H445" t="str">
        <v/>
      </c>
      <c r="I445" t="str">
        <v>27/09/2026</v>
      </c>
      <c r="J445" t="str">
        <v>11:42:10</v>
      </c>
      <c r="K445">
        <v>-12.253636</v>
      </c>
      <c r="L445">
        <v>-76.90451</v>
      </c>
      <c r="M445">
        <f>HYPERLINK("https://www.google.com/maps/search/?api=1&amp;query=-12.253636,-76.90451","Avenida Lima, Lurín")</f>
      </c>
      <c r="N445">
        <v>22.2</v>
      </c>
      <c r="O445">
        <v>91</v>
      </c>
      <c r="P445">
        <v>2524.05</v>
      </c>
      <c r="Q445" t="str">
        <v>161.03</v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AAR-880</v>
      </c>
      <c r="D446" t="str">
        <v>AAR-880</v>
      </c>
      <c r="E446" t="str">
        <v/>
      </c>
      <c r="F446" t="str">
        <v>867806078847433</v>
      </c>
      <c r="G446" t="str">
        <v>Otro</v>
      </c>
      <c r="H446" t="str">
        <v/>
      </c>
      <c r="I446" t="str">
        <v>27/09/2026</v>
      </c>
      <c r="J446" t="str">
        <v>11:43:10</v>
      </c>
      <c r="K446">
        <v>-12.24997</v>
      </c>
      <c r="L446">
        <v>-76.90617</v>
      </c>
      <c r="M446">
        <f>HYPERLINK("https://www.google.com/maps/search/?api=1&amp;query=-12.24997,-76.90617","Avenida Lima, Lurín")</f>
      </c>
      <c r="N446">
        <v>35.1</v>
      </c>
      <c r="O446">
        <v>91</v>
      </c>
      <c r="P446">
        <v>2524.49</v>
      </c>
      <c r="Q446" t="str">
        <v>161.03</v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AAR-880</v>
      </c>
      <c r="D447" t="str">
        <v>AAR-880</v>
      </c>
      <c r="E447" t="str">
        <v/>
      </c>
      <c r="F447" t="str">
        <v>867806078847433</v>
      </c>
      <c r="G447" t="str">
        <v>Otro</v>
      </c>
      <c r="H447" t="str">
        <v/>
      </c>
      <c r="I447" t="str">
        <v>27/09/2026</v>
      </c>
      <c r="J447" t="str">
        <v>11:44:05</v>
      </c>
      <c r="K447">
        <v>-12.246003</v>
      </c>
      <c r="L447">
        <v>-76.90813</v>
      </c>
      <c r="M447">
        <f>HYPERLINK("https://www.google.com/maps/search/?api=1&amp;query=-12.246003,-76.90813","Avenida Lima, Lurín")</f>
      </c>
      <c r="N447">
        <v>32</v>
      </c>
      <c r="O447">
        <v>91</v>
      </c>
      <c r="P447">
        <v>2524.97</v>
      </c>
      <c r="Q447" t="str">
        <v>161.03</v>
      </c>
      <c r="R447" t="str">
        <v/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AAR-880</v>
      </c>
      <c r="D448" t="str">
        <v>AAR-880</v>
      </c>
      <c r="E448" t="str">
        <v/>
      </c>
      <c r="F448" t="str">
        <v>867806078847433</v>
      </c>
      <c r="G448" t="str">
        <v>Otro</v>
      </c>
      <c r="H448" t="str">
        <v/>
      </c>
      <c r="I448" t="str">
        <v>27/09/2026</v>
      </c>
      <c r="J448" t="str">
        <v>11:45:05</v>
      </c>
      <c r="K448">
        <v>-12.242062</v>
      </c>
      <c r="L448">
        <v>-76.91074</v>
      </c>
      <c r="M448">
        <f>HYPERLINK("https://www.google.com/maps/search/?api=1&amp;query=-12.242062,-76.91074","Avenida Lima, Lurín")</f>
      </c>
      <c r="N448">
        <v>27.2</v>
      </c>
      <c r="O448">
        <v>91</v>
      </c>
      <c r="P448">
        <v>2525.49</v>
      </c>
      <c r="Q448" t="str">
        <v>161.03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AAR-880</v>
      </c>
      <c r="D449" t="str">
        <v>AAR-880</v>
      </c>
      <c r="E449" t="str">
        <v/>
      </c>
      <c r="F449" t="str">
        <v>867806078847433</v>
      </c>
      <c r="G449" t="str">
        <v>Otro</v>
      </c>
      <c r="H449" t="str">
        <v/>
      </c>
      <c r="I449" t="str">
        <v>27/09/2026</v>
      </c>
      <c r="J449" t="str">
        <v>11:45:23</v>
      </c>
      <c r="K449">
        <v>-12.240808</v>
      </c>
      <c r="L449">
        <v>-76.91155</v>
      </c>
      <c r="M449">
        <f>HYPERLINK("https://www.google.com/maps/search/?api=1&amp;query=-12.240808,-76.91155","Avenida Lima, Lurín")</f>
      </c>
      <c r="N449">
        <v>33.1</v>
      </c>
      <c r="O449">
        <v>91</v>
      </c>
      <c r="P449">
        <v>2525.65</v>
      </c>
      <c r="Q449" t="str">
        <v>161.03</v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AAR-880</v>
      </c>
      <c r="D450" t="str">
        <v>AAR-880</v>
      </c>
      <c r="E450" t="str">
        <v/>
      </c>
      <c r="F450" t="str">
        <v>867806078847433</v>
      </c>
      <c r="G450" t="str">
        <v>Otro</v>
      </c>
      <c r="H450" t="str">
        <v/>
      </c>
      <c r="I450" t="str">
        <v>27/09/2026</v>
      </c>
      <c r="J450" t="str">
        <v>11:45:31</v>
      </c>
      <c r="K450">
        <v>-12.240315</v>
      </c>
      <c r="L450">
        <v>-76.9118</v>
      </c>
      <c r="M450">
        <f>HYPERLINK("https://www.google.com/maps/search/?api=1&amp;query=-12.240315,-76.9118","Avenida Lima, Lurín")</f>
      </c>
      <c r="N450">
        <v>21.6</v>
      </c>
      <c r="O450">
        <v>91</v>
      </c>
      <c r="P450">
        <v>2525.71</v>
      </c>
      <c r="Q450" t="str">
        <v>161.03</v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AAR-880</v>
      </c>
      <c r="D451" t="str">
        <v>AAR-880</v>
      </c>
      <c r="E451" t="str">
        <v/>
      </c>
      <c r="F451" t="str">
        <v>867806078847433</v>
      </c>
      <c r="G451" t="str">
        <v>Otro</v>
      </c>
      <c r="H451" t="str">
        <v/>
      </c>
      <c r="I451" t="str">
        <v>27/09/2026</v>
      </c>
      <c r="J451" t="str">
        <v>11:45:43</v>
      </c>
      <c r="K451">
        <v>-12.239997</v>
      </c>
      <c r="L451">
        <v>-76.911995</v>
      </c>
      <c r="M451">
        <f>HYPERLINK("https://www.google.com/maps/search/?api=1&amp;query=-12.239997,-76.911995","Avenida Lima, Villa El Salvador")</f>
      </c>
      <c r="N451">
        <v>9.8</v>
      </c>
      <c r="O451">
        <v>94</v>
      </c>
      <c r="P451">
        <v>2525.75</v>
      </c>
      <c r="Q451" t="str">
        <v>161.03</v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AAR-880</v>
      </c>
      <c r="D452" t="str">
        <v>AAR-880</v>
      </c>
      <c r="E452" t="str">
        <v/>
      </c>
      <c r="F452" t="str">
        <v>867806078847433</v>
      </c>
      <c r="G452" t="str">
        <v>Otro</v>
      </c>
      <c r="H452" t="str">
        <v/>
      </c>
      <c r="I452" t="str">
        <v>27/09/2026</v>
      </c>
      <c r="J452" t="str">
        <v>11:45:48</v>
      </c>
      <c r="K452">
        <v>-12.2399</v>
      </c>
      <c r="L452">
        <v>-76.911934</v>
      </c>
      <c r="M452">
        <f>HYPERLINK("https://www.google.com/maps/search/?api=1&amp;query=-12.2399,-76.911934","Calle 2, Lurín, Lima")</f>
      </c>
      <c r="N452">
        <v>9.8</v>
      </c>
      <c r="O452">
        <v>94</v>
      </c>
      <c r="P452">
        <v>2525.76</v>
      </c>
      <c r="Q452" t="str">
        <v>161.03</v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AAR-880</v>
      </c>
      <c r="D453" t="str">
        <v>AAR-880</v>
      </c>
      <c r="E453" t="str">
        <v/>
      </c>
      <c r="F453" t="str">
        <v>867806078847433</v>
      </c>
      <c r="G453" t="str">
        <v>Otro</v>
      </c>
      <c r="H453" t="str">
        <v/>
      </c>
      <c r="I453" t="str">
        <v>27/09/2026</v>
      </c>
      <c r="J453" t="str">
        <v>11:45:53</v>
      </c>
      <c r="K453">
        <v>-12.239848</v>
      </c>
      <c r="L453">
        <v>-76.91185</v>
      </c>
      <c r="M453">
        <f>HYPERLINK("https://www.google.com/maps/search/?api=1&amp;query=-12.239848,-76.91185","Avenida Lima, Lurín")</f>
      </c>
      <c r="N453">
        <v>10</v>
      </c>
      <c r="O453">
        <v>94</v>
      </c>
      <c r="P453">
        <v>2525.77</v>
      </c>
      <c r="Q453" t="str">
        <v>161.03</v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AAR-880</v>
      </c>
      <c r="D454" t="str">
        <v>AAR-880</v>
      </c>
      <c r="E454" t="str">
        <v/>
      </c>
      <c r="F454" t="str">
        <v>867806078847433</v>
      </c>
      <c r="G454" t="str">
        <v>Otro</v>
      </c>
      <c r="H454" t="str">
        <v/>
      </c>
      <c r="I454" t="str">
        <v>27/09/2026</v>
      </c>
      <c r="J454" t="str">
        <v>11:45:58</v>
      </c>
      <c r="K454">
        <v>-12.239715</v>
      </c>
      <c r="L454">
        <v>-76.91189</v>
      </c>
      <c r="M454">
        <f>HYPERLINK("https://www.google.com/maps/search/?api=1&amp;query=-12.239715,-76.91189","Avenida Lima, Lurín")</f>
      </c>
      <c r="N454">
        <v>12.7</v>
      </c>
      <c r="O454">
        <v>94</v>
      </c>
      <c r="P454">
        <v>2525.79</v>
      </c>
      <c r="Q454" t="str">
        <v>161.03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AAR-880</v>
      </c>
      <c r="D455" t="str">
        <v>AAR-880</v>
      </c>
      <c r="E455" t="str">
        <v/>
      </c>
      <c r="F455" t="str">
        <v>867806078847433</v>
      </c>
      <c r="G455" t="str">
        <v>Otro</v>
      </c>
      <c r="H455" t="str">
        <v/>
      </c>
      <c r="I455" t="str">
        <v>27/09/2026</v>
      </c>
      <c r="J455" t="str">
        <v>11:46:03</v>
      </c>
      <c r="K455">
        <v>-12.239569</v>
      </c>
      <c r="L455">
        <v>-76.91196</v>
      </c>
      <c r="M455">
        <f>HYPERLINK("https://www.google.com/maps/search/?api=1&amp;query=-12.239569,-76.91196","Avenida Lima, Lurín")</f>
      </c>
      <c r="N455">
        <v>12.9</v>
      </c>
      <c r="O455">
        <v>94</v>
      </c>
      <c r="P455">
        <v>2525.81</v>
      </c>
      <c r="Q455" t="str">
        <v>161.03</v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AAR-880</v>
      </c>
      <c r="D456" t="str">
        <v>AAR-880</v>
      </c>
      <c r="E456" t="str">
        <v/>
      </c>
      <c r="F456" t="str">
        <v>867806078847433</v>
      </c>
      <c r="G456" t="str">
        <v>Otro</v>
      </c>
      <c r="H456" t="str">
        <v/>
      </c>
      <c r="I456" t="str">
        <v>27/09/2026</v>
      </c>
      <c r="J456" t="str">
        <v>11:46:26</v>
      </c>
      <c r="K456">
        <v>-12.238724</v>
      </c>
      <c r="L456">
        <v>-76.91222</v>
      </c>
      <c r="M456">
        <f>HYPERLINK("https://www.google.com/maps/search/?api=1&amp;query=-12.238724,-76.91222","Avenida Lima, Lurín")</f>
      </c>
      <c r="N456">
        <v>18.3</v>
      </c>
      <c r="O456">
        <v>94</v>
      </c>
      <c r="P456">
        <v>2525.9</v>
      </c>
      <c r="Q456" t="str">
        <v>161.03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AAR-880</v>
      </c>
      <c r="D457" t="str">
        <v>AAR-880</v>
      </c>
      <c r="E457" t="str">
        <v/>
      </c>
      <c r="F457" t="str">
        <v>867806078847433</v>
      </c>
      <c r="G457" t="str">
        <v>Otro</v>
      </c>
      <c r="H457" t="str">
        <v/>
      </c>
      <c r="I457" t="str">
        <v>27/09/2026</v>
      </c>
      <c r="J457" t="str">
        <v>11:46:33</v>
      </c>
      <c r="K457">
        <v>-12.238486</v>
      </c>
      <c r="L457">
        <v>-76.91224</v>
      </c>
      <c r="M457">
        <f>HYPERLINK("https://www.google.com/maps/search/?api=1&amp;query=-12.238486,-76.91224","Avenida D, Lurín, Lima")</f>
      </c>
      <c r="N457">
        <v>8.8</v>
      </c>
      <c r="O457">
        <v>94</v>
      </c>
      <c r="P457">
        <v>2525.93</v>
      </c>
      <c r="Q457" t="str">
        <v>161.03</v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AAR-880</v>
      </c>
      <c r="D458" t="str">
        <v>AAR-880</v>
      </c>
      <c r="E458" t="str">
        <v/>
      </c>
      <c r="F458" t="str">
        <v>867806078847433</v>
      </c>
      <c r="G458" t="str">
        <v>Otro</v>
      </c>
      <c r="H458" t="str">
        <v/>
      </c>
      <c r="I458" t="str">
        <v>27/09/2026</v>
      </c>
      <c r="J458" t="str">
        <v>11:46:38</v>
      </c>
      <c r="K458">
        <v>-12.23841</v>
      </c>
      <c r="L458">
        <v>-76.91215</v>
      </c>
      <c r="M458">
        <f>HYPERLINK("https://www.google.com/maps/search/?api=1&amp;query=-12.23841,-76.91215","Avenida D, Lurín, Lima")</f>
      </c>
      <c r="N458">
        <v>12.7</v>
      </c>
      <c r="O458">
        <v>94</v>
      </c>
      <c r="P458">
        <v>2525.94</v>
      </c>
      <c r="Q458" t="str">
        <v>161.03</v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458</v>
      </c>
      <c r="B459" t="str">
        <v>MASS BSF</v>
      </c>
      <c r="C459" t="str">
        <v>AAR-880</v>
      </c>
      <c r="D459" t="str">
        <v>AAR-880</v>
      </c>
      <c r="E459" t="str">
        <v/>
      </c>
      <c r="F459" t="str">
        <v>867806078847433</v>
      </c>
      <c r="G459" t="str">
        <v>Otro</v>
      </c>
      <c r="H459" t="str">
        <v/>
      </c>
      <c r="I459" t="str">
        <v>27/09/2026</v>
      </c>
      <c r="J459" t="str">
        <v>11:46:43</v>
      </c>
      <c r="K459">
        <v>-12.238355</v>
      </c>
      <c r="L459">
        <v>-76.91194</v>
      </c>
      <c r="M459">
        <f>HYPERLINK("https://www.google.com/maps/search/?api=1&amp;query=-12.238355,-76.91194","Avenida D, Lurín, Lima")</f>
      </c>
      <c r="N459">
        <v>18.5</v>
      </c>
      <c r="O459">
        <v>94</v>
      </c>
      <c r="P459">
        <v>2525.96</v>
      </c>
      <c r="Q459" t="str">
        <v>161.03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AAR-880</v>
      </c>
      <c r="D460" t="str">
        <v>AAR-880</v>
      </c>
      <c r="E460" t="str">
        <v/>
      </c>
      <c r="F460" t="str">
        <v>867806078847433</v>
      </c>
      <c r="G460" t="str">
        <v>Otro</v>
      </c>
      <c r="H460" t="str">
        <v/>
      </c>
      <c r="I460" t="str">
        <v>27/09/2026</v>
      </c>
      <c r="J460" t="str">
        <v>11:47:06</v>
      </c>
      <c r="K460">
        <v>-12.237985</v>
      </c>
      <c r="L460">
        <v>-76.910675</v>
      </c>
      <c r="M460">
        <f>HYPERLINK("https://www.google.com/maps/search/?api=1&amp;query=-12.237985,-76.910675","Avenida D, Lurín, Lima")</f>
      </c>
      <c r="N460">
        <v>10.1</v>
      </c>
      <c r="O460">
        <v>94</v>
      </c>
      <c r="P460">
        <v>2526.11</v>
      </c>
      <c r="Q460" t="str">
        <v>161.03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AAR-880</v>
      </c>
      <c r="D461" t="str">
        <v>AAR-880</v>
      </c>
      <c r="E461" t="str">
        <v/>
      </c>
      <c r="F461" t="str">
        <v>867806078847433</v>
      </c>
      <c r="G461" t="str">
        <v>Otro</v>
      </c>
      <c r="H461" t="str">
        <v/>
      </c>
      <c r="I461" t="str">
        <v>27/09/2026</v>
      </c>
      <c r="J461" t="str">
        <v>11:47:11</v>
      </c>
      <c r="K461">
        <v>-12.237906</v>
      </c>
      <c r="L461">
        <v>-76.91063</v>
      </c>
      <c r="M461">
        <f>HYPERLINK("https://www.google.com/maps/search/?api=1&amp;query=-12.237906,-76.91063","Calle 10, Lurín, Lima")</f>
      </c>
      <c r="N461">
        <v>9</v>
      </c>
      <c r="O461">
        <v>94</v>
      </c>
      <c r="P461">
        <v>2526.12</v>
      </c>
      <c r="Q461" t="str">
        <v>161.03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AAR-880</v>
      </c>
      <c r="D462" t="str">
        <v>AAR-880</v>
      </c>
      <c r="E462" t="str">
        <v/>
      </c>
      <c r="F462" t="str">
        <v>867806078847433</v>
      </c>
      <c r="G462" t="str">
        <v>Otro</v>
      </c>
      <c r="H462" t="str">
        <v/>
      </c>
      <c r="I462" t="str">
        <v>27/09/2026</v>
      </c>
      <c r="J462" t="str">
        <v>11:47:16</v>
      </c>
      <c r="K462">
        <v>-12.2378</v>
      </c>
      <c r="L462">
        <v>-76.91067</v>
      </c>
      <c r="M462">
        <f>HYPERLINK("https://www.google.com/maps/search/?api=1&amp;query=-12.2378,-76.91067","Calle 10, Lurín, Lima")</f>
      </c>
      <c r="N462">
        <v>10.7</v>
      </c>
      <c r="O462">
        <v>94</v>
      </c>
      <c r="P462">
        <v>2526.13</v>
      </c>
      <c r="Q462" t="str">
        <v>161.03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AAR-880</v>
      </c>
      <c r="D463" t="str">
        <v>AAR-880</v>
      </c>
      <c r="E463" t="str">
        <v/>
      </c>
      <c r="F463" t="str">
        <v>867806078847433</v>
      </c>
      <c r="G463" t="str">
        <v>Otro</v>
      </c>
      <c r="H463" t="str">
        <v/>
      </c>
      <c r="I463" t="str">
        <v>27/09/2026</v>
      </c>
      <c r="J463" t="str">
        <v>11:47:29</v>
      </c>
      <c r="K463">
        <v>-12.237403</v>
      </c>
      <c r="L463">
        <v>-76.9108</v>
      </c>
      <c r="M463">
        <f>HYPERLINK("https://www.google.com/maps/search/?api=1&amp;query=-12.237403,-76.9108","Calle 10, Lurín, Lima")</f>
      </c>
      <c r="N463">
        <v>15.9</v>
      </c>
      <c r="O463">
        <v>94</v>
      </c>
      <c r="P463">
        <v>2526.17</v>
      </c>
      <c r="Q463" t="str">
        <v>161.03</v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AAR-880</v>
      </c>
      <c r="D464" t="str">
        <v>AAR-880</v>
      </c>
      <c r="E464" t="str">
        <v/>
      </c>
      <c r="F464" t="str">
        <v>867806078847433</v>
      </c>
      <c r="G464" t="str">
        <v>Otro</v>
      </c>
      <c r="H464" t="str">
        <v/>
      </c>
      <c r="I464" t="str">
        <v>27/09/2026</v>
      </c>
      <c r="J464" t="str">
        <v>11:47:34</v>
      </c>
      <c r="K464">
        <v>-12.237233</v>
      </c>
      <c r="L464">
        <v>-76.91077</v>
      </c>
      <c r="M464">
        <f>HYPERLINK("https://www.google.com/maps/search/?api=1&amp;query=-12.237233,-76.91077","Calle 2, Lurín, Lima")</f>
      </c>
      <c r="N464">
        <v>11.1</v>
      </c>
      <c r="O464">
        <v>94</v>
      </c>
      <c r="P464">
        <v>2526.19</v>
      </c>
      <c r="Q464" t="str">
        <v>161.03</v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AAR-880</v>
      </c>
      <c r="D465" t="str">
        <v>AAR-880</v>
      </c>
      <c r="E465" t="str">
        <v/>
      </c>
      <c r="F465" t="str">
        <v>867806078847433</v>
      </c>
      <c r="G465" t="str">
        <v>Otro</v>
      </c>
      <c r="H465" t="str">
        <v/>
      </c>
      <c r="I465" t="str">
        <v>27/09/2026</v>
      </c>
      <c r="J465" t="str">
        <v>11:48:23</v>
      </c>
      <c r="K465">
        <v>-12.236402</v>
      </c>
      <c r="L465">
        <v>-76.91044</v>
      </c>
      <c r="M465">
        <f>HYPERLINK("https://www.google.com/maps/search/?api=1&amp;query=-12.236402,-76.91044","Calle 2, Lurín, Lima")</f>
      </c>
      <c r="N465">
        <v>10.9</v>
      </c>
      <c r="O465">
        <v>94</v>
      </c>
      <c r="P465">
        <v>2526.29</v>
      </c>
      <c r="Q465" t="str">
        <v>161.03</v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AAR-880</v>
      </c>
      <c r="D466" t="str">
        <v>AAR-880</v>
      </c>
      <c r="E466" t="str">
        <v/>
      </c>
      <c r="F466" t="str">
        <v>867806078847433</v>
      </c>
      <c r="G466" t="str">
        <v>Otro</v>
      </c>
      <c r="H466" t="str">
        <v/>
      </c>
      <c r="I466" t="str">
        <v>27/09/2026</v>
      </c>
      <c r="J466" t="str">
        <v>11:48:38</v>
      </c>
      <c r="K466">
        <v>-12.235938</v>
      </c>
      <c r="L466">
        <v>-76.91028</v>
      </c>
      <c r="M466">
        <f>HYPERLINK("https://www.google.com/maps/search/?api=1&amp;query=-12.235938,-76.91028","Calle 2, Lurín, Lima")</f>
      </c>
      <c r="N466">
        <v>10.3</v>
      </c>
      <c r="O466">
        <v>94</v>
      </c>
      <c r="P466">
        <v>2526.34</v>
      </c>
      <c r="Q466" t="str">
        <v>161.03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AAR-880</v>
      </c>
      <c r="D467" t="str">
        <v>AAR-880</v>
      </c>
      <c r="E467" t="str">
        <v/>
      </c>
      <c r="F467" t="str">
        <v>867806078847433</v>
      </c>
      <c r="G467" t="str">
        <v>Otro</v>
      </c>
      <c r="H467" t="str">
        <v/>
      </c>
      <c r="I467" t="str">
        <v>27/09/2026</v>
      </c>
      <c r="J467" t="str">
        <v>11:48:50</v>
      </c>
      <c r="K467">
        <v>-12.235594</v>
      </c>
      <c r="L467">
        <v>-76.91014</v>
      </c>
      <c r="M467">
        <f>HYPERLINK("https://www.google.com/maps/search/?api=1&amp;query=-12.235594,-76.91014","Calle 2, Lurín, Lima")</f>
      </c>
      <c r="N467">
        <v>10.3</v>
      </c>
      <c r="O467">
        <v>94</v>
      </c>
      <c r="P467">
        <v>2526.38</v>
      </c>
      <c r="Q467" t="str">
        <v>161.03</v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AAR-880</v>
      </c>
      <c r="D468" t="str">
        <v>AAR-880</v>
      </c>
      <c r="E468" t="str">
        <v/>
      </c>
      <c r="F468" t="str">
        <v>867806078847433</v>
      </c>
      <c r="G468" t="str">
        <v>Otro</v>
      </c>
      <c r="H468" t="str">
        <v/>
      </c>
      <c r="I468" t="str">
        <v>27/09/2026</v>
      </c>
      <c r="J468" t="str">
        <v>11:49:50</v>
      </c>
      <c r="K468">
        <v>-12.235517</v>
      </c>
      <c r="L468">
        <v>-76.91012</v>
      </c>
      <c r="M468">
        <f>HYPERLINK("https://www.google.com/maps/search/?api=1&amp;query=-12.235517,-76.91012","Calle 2, Lurín, Lima")</f>
      </c>
      <c r="N468">
        <v>0</v>
      </c>
      <c r="O468">
        <v>94</v>
      </c>
      <c r="P468">
        <v>2526.39</v>
      </c>
      <c r="Q468" t="str">
        <v>161.03</v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>468</v>
      </c>
      <c r="B469" t="str">
        <v>MASS BSF</v>
      </c>
      <c r="C469" t="str">
        <v>AAR-880</v>
      </c>
      <c r="D469" t="str">
        <v>AAR-880</v>
      </c>
      <c r="E469" t="str">
        <v/>
      </c>
      <c r="F469" t="str">
        <v>867806078847433</v>
      </c>
      <c r="G469" t="str">
        <v>Otro</v>
      </c>
      <c r="H469" t="str">
        <v/>
      </c>
      <c r="I469" t="str">
        <v>27/09/2026</v>
      </c>
      <c r="J469" t="str">
        <v>11:50:50</v>
      </c>
      <c r="K469">
        <v>-12.235517</v>
      </c>
      <c r="L469">
        <v>-76.91012</v>
      </c>
      <c r="M469">
        <f>HYPERLINK("https://www.google.com/maps/search/?api=1&amp;query=-12.235517,-76.91012","Calle 2, Lurín, Lima")</f>
      </c>
      <c r="N469">
        <v>0</v>
      </c>
      <c r="O469">
        <v>94</v>
      </c>
      <c r="P469">
        <v>2526.39</v>
      </c>
      <c r="Q469" t="str">
        <v>161.03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AAR-880</v>
      </c>
      <c r="D470" t="str">
        <v>AAR-880</v>
      </c>
      <c r="E470" t="str">
        <v/>
      </c>
      <c r="F470" t="str">
        <v>867806078847433</v>
      </c>
      <c r="G470" t="str">
        <v>Otro</v>
      </c>
      <c r="H470" t="str">
        <v/>
      </c>
      <c r="I470" t="str">
        <v>27/09/2026</v>
      </c>
      <c r="J470" t="str">
        <v>11:51:50</v>
      </c>
      <c r="K470">
        <v>-12.235595</v>
      </c>
      <c r="L470">
        <v>-76.91016</v>
      </c>
      <c r="M470">
        <f>HYPERLINK("https://www.google.com/maps/search/?api=1&amp;query=-12.235595,-76.91016","Calle 2, Lurín, Lima")</f>
      </c>
      <c r="N470">
        <v>0</v>
      </c>
      <c r="O470">
        <v>94</v>
      </c>
      <c r="P470">
        <v>2526.4</v>
      </c>
      <c r="Q470" t="str">
        <v>161.03</v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AAR-880</v>
      </c>
      <c r="D471" t="str">
        <v>AAR-880</v>
      </c>
      <c r="E471" t="str">
        <v/>
      </c>
      <c r="F471" t="str">
        <v>867806078847433</v>
      </c>
      <c r="G471" t="str">
        <v>Otro</v>
      </c>
      <c r="H471" t="str">
        <v/>
      </c>
      <c r="I471" t="str">
        <v>27/09/2026</v>
      </c>
      <c r="J471" t="str">
        <v>11:52:49</v>
      </c>
      <c r="K471">
        <v>-12.235595</v>
      </c>
      <c r="L471">
        <v>-76.91016</v>
      </c>
      <c r="M471">
        <f>HYPERLINK("https://www.google.com/maps/search/?api=1&amp;query=-12.235595,-76.91016","Calle 2, Lurín, Lima")</f>
      </c>
      <c r="N471">
        <v>0</v>
      </c>
      <c r="O471">
        <v>94</v>
      </c>
      <c r="P471">
        <v>2526.4</v>
      </c>
      <c r="Q471" t="str">
        <v>161.03</v>
      </c>
      <c r="R471" t="str">
        <v>Inicio de ralentí</v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AAR-880</v>
      </c>
      <c r="D472" t="str">
        <v>AAR-880</v>
      </c>
      <c r="E472" t="str">
        <v/>
      </c>
      <c r="F472" t="str">
        <v>867806078847433</v>
      </c>
      <c r="G472" t="str">
        <v>Otro</v>
      </c>
      <c r="H472" t="str">
        <v/>
      </c>
      <c r="I472" t="str">
        <v>27/09/2026</v>
      </c>
      <c r="J472" t="str">
        <v>11:52:50</v>
      </c>
      <c r="K472">
        <v>-12.235595</v>
      </c>
      <c r="L472">
        <v>-76.91016</v>
      </c>
      <c r="M472">
        <f>HYPERLINK("https://www.google.com/maps/search/?api=1&amp;query=-12.235595,-76.91016","Calle 2, Lurín, Lima")</f>
      </c>
      <c r="N472">
        <v>0</v>
      </c>
      <c r="O472">
        <v>94</v>
      </c>
      <c r="P472">
        <v>2526.4</v>
      </c>
      <c r="Q472" t="str">
        <v>161.03</v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AAR-880</v>
      </c>
      <c r="D473" t="str">
        <v>AAR-880</v>
      </c>
      <c r="E473" t="str">
        <v/>
      </c>
      <c r="F473" t="str">
        <v>867806078847433</v>
      </c>
      <c r="G473" t="str">
        <v>Otro</v>
      </c>
      <c r="H473" t="str">
        <v/>
      </c>
      <c r="I473" t="str">
        <v>27/09/2026</v>
      </c>
      <c r="J473" t="str">
        <v>11:53:50</v>
      </c>
      <c r="K473">
        <v>-12.235595</v>
      </c>
      <c r="L473">
        <v>-76.91016</v>
      </c>
      <c r="M473">
        <f>HYPERLINK("https://www.google.com/maps/search/?api=1&amp;query=-12.235595,-76.91016","Calle 2, Lurín, Lima")</f>
      </c>
      <c r="N473">
        <v>0</v>
      </c>
      <c r="O473">
        <v>94</v>
      </c>
      <c r="P473">
        <v>2526.4</v>
      </c>
      <c r="Q473" t="str">
        <v>161.03</v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AAR-880</v>
      </c>
      <c r="D474" t="str">
        <v>AAR-880</v>
      </c>
      <c r="E474" t="str">
        <v/>
      </c>
      <c r="F474" t="str">
        <v>867806078847433</v>
      </c>
      <c r="G474" t="str">
        <v>Otro</v>
      </c>
      <c r="H474" t="str">
        <v/>
      </c>
      <c r="I474" t="str">
        <v>27/09/2026</v>
      </c>
      <c r="J474" t="str">
        <v>11:54:50</v>
      </c>
      <c r="K474">
        <v>-12.235595</v>
      </c>
      <c r="L474">
        <v>-76.91016</v>
      </c>
      <c r="M474">
        <f>HYPERLINK("https://www.google.com/maps/search/?api=1&amp;query=-12.235595,-76.91016","Calle 2, Lurín, Lima")</f>
      </c>
      <c r="N474">
        <v>0</v>
      </c>
      <c r="O474">
        <v>86</v>
      </c>
      <c r="P474">
        <v>2526.4</v>
      </c>
      <c r="Q474" t="str">
        <v>161.03</v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AAR-880</v>
      </c>
      <c r="D475" t="str">
        <v>AAR-880</v>
      </c>
      <c r="E475" t="str">
        <v/>
      </c>
      <c r="F475" t="str">
        <v>867806078847433</v>
      </c>
      <c r="G475" t="str">
        <v>Otro</v>
      </c>
      <c r="H475" t="str">
        <v/>
      </c>
      <c r="I475" t="str">
        <v>27/09/2026</v>
      </c>
      <c r="J475" t="str">
        <v>11:55:50</v>
      </c>
      <c r="K475">
        <v>-12.235595</v>
      </c>
      <c r="L475">
        <v>-76.91016</v>
      </c>
      <c r="M475">
        <f>HYPERLINK("https://www.google.com/maps/search/?api=1&amp;query=-12.235595,-76.91016","Calle 2, Lurín, Lima")</f>
      </c>
      <c r="N475">
        <v>0</v>
      </c>
      <c r="O475">
        <v>86</v>
      </c>
      <c r="P475">
        <v>2526.4</v>
      </c>
      <c r="Q475" t="str">
        <v>161.03</v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>475</v>
      </c>
      <c r="B476" t="str">
        <v>MASS BSF</v>
      </c>
      <c r="C476" t="str">
        <v>AAR-880</v>
      </c>
      <c r="D476" t="str">
        <v>AAR-880</v>
      </c>
      <c r="E476" t="str">
        <v/>
      </c>
      <c r="F476" t="str">
        <v>867806078847433</v>
      </c>
      <c r="G476" t="str">
        <v>Otro</v>
      </c>
      <c r="H476" t="str">
        <v/>
      </c>
      <c r="I476" t="str">
        <v>27/09/2026</v>
      </c>
      <c r="J476" t="str">
        <v>11:56:50</v>
      </c>
      <c r="K476">
        <v>-12.235595</v>
      </c>
      <c r="L476">
        <v>-76.91016</v>
      </c>
      <c r="M476">
        <f>HYPERLINK("https://www.google.com/maps/search/?api=1&amp;query=-12.235595,-76.91016","Calle 2, Lurín, Lima")</f>
      </c>
      <c r="N476">
        <v>0</v>
      </c>
      <c r="O476">
        <v>86</v>
      </c>
      <c r="P476">
        <v>2526.4</v>
      </c>
      <c r="Q476" t="str">
        <v>161.03</v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AAR-880</v>
      </c>
      <c r="D477" t="str">
        <v>AAR-880</v>
      </c>
      <c r="E477" t="str">
        <v/>
      </c>
      <c r="F477" t="str">
        <v>867806078847433</v>
      </c>
      <c r="G477" t="str">
        <v>Otro</v>
      </c>
      <c r="H477" t="str">
        <v/>
      </c>
      <c r="I477" t="str">
        <v>27/09/2026</v>
      </c>
      <c r="J477" t="str">
        <v>11:57:50</v>
      </c>
      <c r="K477">
        <v>-12.235595</v>
      </c>
      <c r="L477">
        <v>-76.91016</v>
      </c>
      <c r="M477">
        <f>HYPERLINK("https://www.google.com/maps/search/?api=1&amp;query=-12.235595,-76.91016","Calle 2, Lurín, Lima")</f>
      </c>
      <c r="N477">
        <v>0</v>
      </c>
      <c r="O477">
        <v>86</v>
      </c>
      <c r="P477">
        <v>2526.4</v>
      </c>
      <c r="Q477" t="str">
        <v>161.03</v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477</v>
      </c>
      <c r="B478" t="str">
        <v>MASS BSF</v>
      </c>
      <c r="C478" t="str">
        <v>AAR-880</v>
      </c>
      <c r="D478" t="str">
        <v>AAR-880</v>
      </c>
      <c r="E478" t="str">
        <v/>
      </c>
      <c r="F478" t="str">
        <v>867806078847433</v>
      </c>
      <c r="G478" t="str">
        <v>Otro</v>
      </c>
      <c r="H478" t="str">
        <v/>
      </c>
      <c r="I478" t="str">
        <v>27/09/2026</v>
      </c>
      <c r="J478" t="str">
        <v>11:58:50</v>
      </c>
      <c r="K478">
        <v>-12.235595</v>
      </c>
      <c r="L478">
        <v>-76.91016</v>
      </c>
      <c r="M478">
        <f>HYPERLINK("https://www.google.com/maps/search/?api=1&amp;query=-12.235595,-76.91016","Calle 2, Lurín, Lima")</f>
      </c>
      <c r="N478">
        <v>0</v>
      </c>
      <c r="O478">
        <v>86</v>
      </c>
      <c r="P478">
        <v>2526.4</v>
      </c>
      <c r="Q478" t="str">
        <v>161.03</v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AAR-880</v>
      </c>
      <c r="D479" t="str">
        <v>AAR-880</v>
      </c>
      <c r="E479" t="str">
        <v/>
      </c>
      <c r="F479" t="str">
        <v>867806078847433</v>
      </c>
      <c r="G479" t="str">
        <v>Otro</v>
      </c>
      <c r="H479" t="str">
        <v/>
      </c>
      <c r="I479" t="str">
        <v>27/09/2026</v>
      </c>
      <c r="J479" t="str">
        <v>11:59:50</v>
      </c>
      <c r="K479">
        <v>-12.235595</v>
      </c>
      <c r="L479">
        <v>-76.91016</v>
      </c>
      <c r="M479">
        <f>HYPERLINK("https://www.google.com/maps/search/?api=1&amp;query=-12.235595,-76.91016","Calle 2, Lurín, Lima")</f>
      </c>
      <c r="N479">
        <v>0</v>
      </c>
      <c r="O479">
        <v>91</v>
      </c>
      <c r="P479">
        <v>2526.4</v>
      </c>
      <c r="Q479" t="str">
        <v>161.03</v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AAR-880</v>
      </c>
      <c r="D480" t="str">
        <v>AAR-880</v>
      </c>
      <c r="E480" t="str">
        <v/>
      </c>
      <c r="F480" t="str">
        <v>867806078847433</v>
      </c>
      <c r="G480" t="str">
        <v>Otro</v>
      </c>
      <c r="H480" t="str">
        <v/>
      </c>
      <c r="I480" t="str">
        <v>27/09/2026</v>
      </c>
      <c r="J480" t="str">
        <v>12:00:50</v>
      </c>
      <c r="K480">
        <v>-12.235595</v>
      </c>
      <c r="L480">
        <v>-76.91016</v>
      </c>
      <c r="M480">
        <f>HYPERLINK("https://www.google.com/maps/search/?api=1&amp;query=-12.235595,-76.91016","Calle 2, Lurín, Lima")</f>
      </c>
      <c r="N480">
        <v>0</v>
      </c>
      <c r="O480">
        <v>91</v>
      </c>
      <c r="P480">
        <v>2526.4</v>
      </c>
      <c r="Q480" t="str">
        <v>161.03</v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AAR-880</v>
      </c>
      <c r="D481" t="str">
        <v>AAR-880</v>
      </c>
      <c r="E481" t="str">
        <v/>
      </c>
      <c r="F481" t="str">
        <v>867806078847433</v>
      </c>
      <c r="G481" t="str">
        <v>Otro</v>
      </c>
      <c r="H481" t="str">
        <v/>
      </c>
      <c r="I481" t="str">
        <v>27/09/2026</v>
      </c>
      <c r="J481" t="str">
        <v>12:00:59</v>
      </c>
      <c r="K481">
        <v>-12.235595</v>
      </c>
      <c r="L481">
        <v>-76.91016</v>
      </c>
      <c r="M481">
        <f>HYPERLINK("https://www.google.com/maps/search/?api=1&amp;query=-12.235595,-76.91016","Calle 2, Lurín, Lima")</f>
      </c>
      <c r="N481">
        <v>0</v>
      </c>
      <c r="O481">
        <v>85</v>
      </c>
      <c r="P481">
        <v>2526.4</v>
      </c>
      <c r="Q481" t="str">
        <v>161.77</v>
      </c>
      <c r="R481" t="str">
        <v>Vehículo apagado</v>
      </c>
      <c r="S481" t="str">
        <v/>
      </c>
      <c r="T481" t="str">
        <v/>
      </c>
      <c r="U481" t="str">
        <v/>
      </c>
    </row>
    <row r="482">
      <c r="A482" t="str">
        <v>481</v>
      </c>
      <c r="B482" t="str">
        <v>MASS BSF</v>
      </c>
      <c r="C482" t="str">
        <v>AAR-880</v>
      </c>
      <c r="D482" t="str">
        <v>AAR-880</v>
      </c>
      <c r="E482" t="str">
        <v/>
      </c>
      <c r="F482" t="str">
        <v>867806078847433</v>
      </c>
      <c r="G482" t="str">
        <v>Otro</v>
      </c>
      <c r="H482" t="str">
        <v/>
      </c>
      <c r="I482" t="str">
        <v>27/09/2026</v>
      </c>
      <c r="J482" t="str">
        <v>12:00:59</v>
      </c>
      <c r="K482">
        <v>-12.235595</v>
      </c>
      <c r="L482">
        <v>-76.91016</v>
      </c>
      <c r="M482">
        <f>HYPERLINK("https://www.google.com/maps/search/?api=1&amp;query=-12.235595,-76.91016","Calle 2, Lurín, Lima")</f>
      </c>
      <c r="N482">
        <v>0</v>
      </c>
      <c r="O482">
        <v>85</v>
      </c>
      <c r="P482">
        <v>2526.4</v>
      </c>
      <c r="Q482" t="str">
        <v>161.77</v>
      </c>
      <c r="R482" t="str">
        <v>Vehículo apagado</v>
      </c>
      <c r="S482" t="str">
        <v/>
      </c>
      <c r="T482" t="str">
        <v/>
      </c>
      <c r="U482" t="str">
        <v/>
      </c>
    </row>
    <row r="483">
      <c r="A483" t="str">
        <v>482</v>
      </c>
      <c r="B483" t="str">
        <v>MASS BSF</v>
      </c>
      <c r="C483" t="str">
        <v>AAR-880</v>
      </c>
      <c r="D483" t="str">
        <v>AAR-880</v>
      </c>
      <c r="E483" t="str">
        <v/>
      </c>
      <c r="F483" t="str">
        <v>867806078847433</v>
      </c>
      <c r="G483" t="str">
        <v>Otro</v>
      </c>
      <c r="H483" t="str">
        <v/>
      </c>
      <c r="I483" t="str">
        <v>27/09/2026</v>
      </c>
      <c r="J483" t="str">
        <v>12:00:59</v>
      </c>
      <c r="K483">
        <v>-12.235595</v>
      </c>
      <c r="L483">
        <v>-76.91016</v>
      </c>
      <c r="M483">
        <f>HYPERLINK("https://www.google.com/maps/search/?api=1&amp;query=-12.235595,-76.91016","Calle 2, Lurín, Lima")</f>
      </c>
      <c r="N483">
        <v>0</v>
      </c>
      <c r="O483">
        <v>85</v>
      </c>
      <c r="P483">
        <v>2526.4</v>
      </c>
      <c r="Q483" t="str">
        <v>161.03</v>
      </c>
      <c r="R483" t="str">
        <v>Fin de ralentí</v>
      </c>
      <c r="S483" t="str">
        <v/>
      </c>
      <c r="T483" t="str">
        <v/>
      </c>
      <c r="U483" t="str">
        <v/>
      </c>
    </row>
    <row r="484">
      <c r="A484" t="str">
        <v>483</v>
      </c>
      <c r="B484" t="str">
        <v>MASS BSF</v>
      </c>
      <c r="C484" t="str">
        <v>AAR-880</v>
      </c>
      <c r="D484" t="str">
        <v>AAR-880</v>
      </c>
      <c r="E484" t="str">
        <v/>
      </c>
      <c r="F484" t="str">
        <v>867806078847433</v>
      </c>
      <c r="G484" t="str">
        <v>Otro</v>
      </c>
      <c r="H484" t="str">
        <v/>
      </c>
      <c r="I484" t="str">
        <v>27/09/2026</v>
      </c>
      <c r="J484" t="str">
        <v>12:00:59</v>
      </c>
      <c r="K484">
        <v>-12.235595</v>
      </c>
      <c r="L484">
        <v>-76.91016</v>
      </c>
      <c r="M484">
        <f>HYPERLINK("https://www.google.com/maps/search/?api=1&amp;query=-12.235595,-76.91016","Calle 2, Lurín, Lima")</f>
      </c>
      <c r="N484">
        <v>0</v>
      </c>
      <c r="O484">
        <v>85</v>
      </c>
      <c r="P484">
        <v>2526.4</v>
      </c>
      <c r="Q484" t="str">
        <v>161.77</v>
      </c>
      <c r="R484" t="str">
        <v>Fin de ralentí</v>
      </c>
      <c r="S484" t="str">
        <v/>
      </c>
      <c r="T484" t="str">
        <v/>
      </c>
      <c r="U484" t="str">
        <v/>
      </c>
    </row>
    <row r="485">
      <c r="A485" t="str">
        <v>484</v>
      </c>
      <c r="B485" t="str">
        <v>MASS BSF</v>
      </c>
      <c r="C485" t="str">
        <v>AAR-880</v>
      </c>
      <c r="D485" t="str">
        <v>AAR-880</v>
      </c>
      <c r="E485" t="str">
        <v/>
      </c>
      <c r="F485" t="str">
        <v>867806078847433</v>
      </c>
      <c r="G485" t="str">
        <v>Otro</v>
      </c>
      <c r="H485" t="str">
        <v/>
      </c>
      <c r="I485" t="str">
        <v>27/09/2026</v>
      </c>
      <c r="J485" t="str">
        <v>12:00:59</v>
      </c>
      <c r="K485">
        <v>-12.235595</v>
      </c>
      <c r="L485">
        <v>-76.91016</v>
      </c>
      <c r="M485">
        <f>HYPERLINK("https://www.google.com/maps/search/?api=1&amp;query=-12.235595,-76.91016","Calle 2, Lurín, Lima")</f>
      </c>
      <c r="N485">
        <v>0</v>
      </c>
      <c r="O485">
        <v>85</v>
      </c>
      <c r="P485">
        <v>2526.4</v>
      </c>
      <c r="Q485" t="str">
        <v>161.77</v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485</v>
      </c>
      <c r="B486" t="str">
        <v>MASS BSF</v>
      </c>
      <c r="C486" t="str">
        <v>AAR-880</v>
      </c>
      <c r="D486" t="str">
        <v>AAR-880</v>
      </c>
      <c r="E486" t="str">
        <v/>
      </c>
      <c r="F486" t="str">
        <v>867806078847433</v>
      </c>
      <c r="G486" t="str">
        <v>Otro</v>
      </c>
      <c r="H486" t="str">
        <v/>
      </c>
      <c r="I486" t="str">
        <v>27/09/2026</v>
      </c>
      <c r="J486" t="str">
        <v>12:01:49</v>
      </c>
      <c r="K486">
        <v>-12.235595</v>
      </c>
      <c r="L486">
        <v>-76.91016</v>
      </c>
      <c r="M486">
        <f>HYPERLINK("https://www.google.com/maps/search/?api=1&amp;query=-12.235595,-76.91016","Calle 2, Lurín, Lima")</f>
      </c>
      <c r="N486">
        <v>0</v>
      </c>
      <c r="O486">
        <v>85</v>
      </c>
      <c r="P486">
        <v>2526.4</v>
      </c>
      <c r="Q486" t="str">
        <v>161.77</v>
      </c>
      <c r="R486" t="str">
        <v>Vehículo encendido</v>
      </c>
      <c r="S486" t="str">
        <v/>
      </c>
      <c r="T486" t="str">
        <v/>
      </c>
      <c r="U486" t="str">
        <v/>
      </c>
    </row>
    <row r="487">
      <c r="A487" t="str">
        <v>486</v>
      </c>
      <c r="B487" t="str">
        <v>MASS BSF</v>
      </c>
      <c r="C487" t="str">
        <v>AAR-880</v>
      </c>
      <c r="D487" t="str">
        <v>AAR-880</v>
      </c>
      <c r="E487" t="str">
        <v/>
      </c>
      <c r="F487" t="str">
        <v>867806078847433</v>
      </c>
      <c r="G487" t="str">
        <v>Otro</v>
      </c>
      <c r="H487" t="str">
        <v/>
      </c>
      <c r="I487" t="str">
        <v>27/09/2026</v>
      </c>
      <c r="J487" t="str">
        <v>12:01:49</v>
      </c>
      <c r="K487">
        <v>-12.235595</v>
      </c>
      <c r="L487">
        <v>-76.91016</v>
      </c>
      <c r="M487">
        <f>HYPERLINK("https://www.google.com/maps/search/?api=1&amp;query=-12.235595,-76.91016","Calle 2, Lurín, Lima")</f>
      </c>
      <c r="N487">
        <v>0</v>
      </c>
      <c r="O487">
        <v>85</v>
      </c>
      <c r="P487">
        <v>2526.4</v>
      </c>
      <c r="Q487" t="str">
        <v>161.77</v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487</v>
      </c>
      <c r="B488" t="str">
        <v>MASS BSF</v>
      </c>
      <c r="C488" t="str">
        <v>AAR-880</v>
      </c>
      <c r="D488" t="str">
        <v>AAR-880</v>
      </c>
      <c r="E488" t="str">
        <v/>
      </c>
      <c r="F488" t="str">
        <v>867806078847433</v>
      </c>
      <c r="G488" t="str">
        <v>Otro</v>
      </c>
      <c r="H488" t="str">
        <v/>
      </c>
      <c r="I488" t="str">
        <v>27/09/2026</v>
      </c>
      <c r="J488" t="str">
        <v>12:02:49</v>
      </c>
      <c r="K488">
        <v>-12.235595</v>
      </c>
      <c r="L488">
        <v>-76.91016</v>
      </c>
      <c r="M488">
        <f>HYPERLINK("https://www.google.com/maps/search/?api=1&amp;query=-12.235595,-76.91016","Calle 2, Lurín, Lima")</f>
      </c>
      <c r="N488">
        <v>0</v>
      </c>
      <c r="O488">
        <v>85</v>
      </c>
      <c r="P488">
        <v>2526.4</v>
      </c>
      <c r="Q488" t="str">
        <v>161.77</v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>488</v>
      </c>
      <c r="B489" t="str">
        <v>MASS BSF</v>
      </c>
      <c r="C489" t="str">
        <v>AAR-880</v>
      </c>
      <c r="D489" t="str">
        <v>AAR-880</v>
      </c>
      <c r="E489" t="str">
        <v/>
      </c>
      <c r="F489" t="str">
        <v>867806078847433</v>
      </c>
      <c r="G489" t="str">
        <v>Otro</v>
      </c>
      <c r="H489" t="str">
        <v/>
      </c>
      <c r="I489" t="str">
        <v>27/09/2026</v>
      </c>
      <c r="J489" t="str">
        <v>12:03:49</v>
      </c>
      <c r="K489">
        <v>-12.235595</v>
      </c>
      <c r="L489">
        <v>-76.91016</v>
      </c>
      <c r="M489">
        <f>HYPERLINK("https://www.google.com/maps/search/?api=1&amp;query=-12.235595,-76.91016","Calle 2, Lurín, Lima")</f>
      </c>
      <c r="N489">
        <v>0</v>
      </c>
      <c r="O489">
        <v>85</v>
      </c>
      <c r="P489">
        <v>2526.4</v>
      </c>
      <c r="Q489" t="str">
        <v>161.77</v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489</v>
      </c>
      <c r="B490" t="str">
        <v>MASS BSF</v>
      </c>
      <c r="C490" t="str">
        <v>AAR-880</v>
      </c>
      <c r="D490" t="str">
        <v>AAR-880</v>
      </c>
      <c r="E490" t="str">
        <v/>
      </c>
      <c r="F490" t="str">
        <v>867806078847433</v>
      </c>
      <c r="G490" t="str">
        <v>Otro</v>
      </c>
      <c r="H490" t="str">
        <v/>
      </c>
      <c r="I490" t="str">
        <v>27/09/2026</v>
      </c>
      <c r="J490" t="str">
        <v>12:04:29</v>
      </c>
      <c r="K490">
        <v>-12.235595</v>
      </c>
      <c r="L490">
        <v>-76.91016</v>
      </c>
      <c r="M490">
        <f>HYPERLINK("https://www.google.com/maps/search/?api=1&amp;query=-12.235595,-76.91016","Calle 2, Lurín, Lima")</f>
      </c>
      <c r="N490">
        <v>0</v>
      </c>
      <c r="O490">
        <v>93</v>
      </c>
      <c r="P490">
        <v>2526.4</v>
      </c>
      <c r="Q490" t="str">
        <v>161.82</v>
      </c>
      <c r="R490" t="str">
        <v>Vehículo apagado</v>
      </c>
      <c r="S490" t="str">
        <v/>
      </c>
      <c r="T490" t="str">
        <v/>
      </c>
      <c r="U490" t="str">
        <v/>
      </c>
    </row>
    <row r="491">
      <c r="A491" t="str">
        <v>490</v>
      </c>
      <c r="B491" t="str">
        <v>MASS BSF</v>
      </c>
      <c r="C491" t="str">
        <v>AAR-880</v>
      </c>
      <c r="D491" t="str">
        <v>AAR-880</v>
      </c>
      <c r="E491" t="str">
        <v/>
      </c>
      <c r="F491" t="str">
        <v>867806078847433</v>
      </c>
      <c r="G491" t="str">
        <v>Otro</v>
      </c>
      <c r="H491" t="str">
        <v/>
      </c>
      <c r="I491" t="str">
        <v>27/09/2026</v>
      </c>
      <c r="J491" t="str">
        <v>12:04:29</v>
      </c>
      <c r="K491">
        <v>-12.235595</v>
      </c>
      <c r="L491">
        <v>-76.91016</v>
      </c>
      <c r="M491">
        <f>HYPERLINK("https://www.google.com/maps/search/?api=1&amp;query=-12.235595,-76.91016","Calle 2, Lurín, Lima")</f>
      </c>
      <c r="N491">
        <v>0</v>
      </c>
      <c r="O491">
        <v>93</v>
      </c>
      <c r="P491">
        <v>2526.4</v>
      </c>
      <c r="Q491" t="str">
        <v>161.82</v>
      </c>
      <c r="R491" t="str">
        <v/>
      </c>
      <c r="S491" t="str">
        <v/>
      </c>
      <c r="T491" t="str">
        <v/>
      </c>
      <c r="U491" t="str">
        <v/>
      </c>
    </row>
    <row r="492">
      <c r="A492" t="str">
        <v>491</v>
      </c>
      <c r="B492" t="str">
        <v>MASS BSF</v>
      </c>
      <c r="C492" t="str">
        <v>AAR-880</v>
      </c>
      <c r="D492" t="str">
        <v>AAR-880</v>
      </c>
      <c r="E492" t="str">
        <v/>
      </c>
      <c r="F492" t="str">
        <v>867806078847433</v>
      </c>
      <c r="G492" t="str">
        <v>Otro</v>
      </c>
      <c r="H492" t="str">
        <v/>
      </c>
      <c r="I492" t="str">
        <v>27/09/2026</v>
      </c>
      <c r="J492" t="str">
        <v>12:05:24</v>
      </c>
      <c r="K492">
        <v>-12.235595</v>
      </c>
      <c r="L492">
        <v>-76.91016</v>
      </c>
      <c r="M492">
        <f>HYPERLINK("https://www.google.com/maps/search/?api=1&amp;query=-12.235595,-76.91016","Calle 2, Lurín, Lima")</f>
      </c>
      <c r="N492">
        <v>0</v>
      </c>
      <c r="O492">
        <v>93</v>
      </c>
      <c r="P492">
        <v>2526.4</v>
      </c>
      <c r="Q492" t="str">
        <v>161.82</v>
      </c>
      <c r="R492" t="str">
        <v>Vehículo encendido</v>
      </c>
      <c r="S492" t="str">
        <v/>
      </c>
      <c r="T492" t="str">
        <v/>
      </c>
      <c r="U492" t="str">
        <v/>
      </c>
    </row>
    <row r="493">
      <c r="A493" t="str">
        <v>492</v>
      </c>
      <c r="B493" t="str">
        <v>MASS BSF</v>
      </c>
      <c r="C493" t="str">
        <v>AAR-880</v>
      </c>
      <c r="D493" t="str">
        <v>AAR-880</v>
      </c>
      <c r="E493" t="str">
        <v/>
      </c>
      <c r="F493" t="str">
        <v>867806078847433</v>
      </c>
      <c r="G493" t="str">
        <v>Otro</v>
      </c>
      <c r="H493" t="str">
        <v/>
      </c>
      <c r="I493" t="str">
        <v>27/09/2026</v>
      </c>
      <c r="J493" t="str">
        <v>12:05:24</v>
      </c>
      <c r="K493">
        <v>-12.235595</v>
      </c>
      <c r="L493">
        <v>-76.91016</v>
      </c>
      <c r="M493">
        <f>HYPERLINK("https://www.google.com/maps/search/?api=1&amp;query=-12.235595,-76.91016","Calle 2, Lurín, Lima")</f>
      </c>
      <c r="N493">
        <v>0</v>
      </c>
      <c r="O493">
        <v>93</v>
      </c>
      <c r="P493">
        <v>2526.4</v>
      </c>
      <c r="Q493" t="str">
        <v>161.82</v>
      </c>
      <c r="R493" t="str">
        <v/>
      </c>
      <c r="S493" t="str">
        <v/>
      </c>
      <c r="T493" t="str">
        <v/>
      </c>
      <c r="U493" t="str">
        <v/>
      </c>
    </row>
    <row r="494">
      <c r="A494" t="str">
        <v>493</v>
      </c>
      <c r="B494" t="str">
        <v>MASS BSF</v>
      </c>
      <c r="C494" t="str">
        <v>AAR-880</v>
      </c>
      <c r="D494" t="str">
        <v>AAR-880</v>
      </c>
      <c r="E494" t="str">
        <v/>
      </c>
      <c r="F494" t="str">
        <v>867806078847433</v>
      </c>
      <c r="G494" t="str">
        <v>Otro</v>
      </c>
      <c r="H494" t="str">
        <v/>
      </c>
      <c r="I494" t="str">
        <v>27/09/2026</v>
      </c>
      <c r="J494" t="str">
        <v>12:06:04</v>
      </c>
      <c r="K494">
        <v>-12.235595</v>
      </c>
      <c r="L494">
        <v>-76.91016</v>
      </c>
      <c r="M494">
        <f>HYPERLINK("https://www.google.com/maps/search/?api=1&amp;query=-12.235595,-76.91016","Calle 2, Lurín, Lima")</f>
      </c>
      <c r="N494">
        <v>0</v>
      </c>
      <c r="O494">
        <v>93</v>
      </c>
      <c r="P494">
        <v>2526.4</v>
      </c>
      <c r="Q494" t="str">
        <v>161.83</v>
      </c>
      <c r="R494" t="str">
        <v>Vehículo apagado</v>
      </c>
      <c r="S494" t="str">
        <v/>
      </c>
      <c r="T494" t="str">
        <v/>
      </c>
      <c r="U494" t="str">
        <v/>
      </c>
    </row>
    <row r="495">
      <c r="A495" t="str">
        <v>494</v>
      </c>
      <c r="B495" t="str">
        <v>MASS BSF</v>
      </c>
      <c r="C495" t="str">
        <v>AAR-880</v>
      </c>
      <c r="D495" t="str">
        <v>AAR-880</v>
      </c>
      <c r="E495" t="str">
        <v/>
      </c>
      <c r="F495" t="str">
        <v>867806078847433</v>
      </c>
      <c r="G495" t="str">
        <v>Otro</v>
      </c>
      <c r="H495" t="str">
        <v/>
      </c>
      <c r="I495" t="str">
        <v>27/09/2026</v>
      </c>
      <c r="J495" t="str">
        <v>12:06:04</v>
      </c>
      <c r="K495">
        <v>-12.235595</v>
      </c>
      <c r="L495">
        <v>-76.91016</v>
      </c>
      <c r="M495">
        <f>HYPERLINK("https://www.google.com/maps/search/?api=1&amp;query=-12.235595,-76.91016","Calle 2, Lurín, Lima")</f>
      </c>
      <c r="N495">
        <v>0</v>
      </c>
      <c r="O495">
        <v>93</v>
      </c>
      <c r="P495">
        <v>2526.4</v>
      </c>
      <c r="Q495" t="str">
        <v>161.83</v>
      </c>
      <c r="R495" t="str">
        <v/>
      </c>
      <c r="S495" t="str">
        <v/>
      </c>
      <c r="T495" t="str">
        <v/>
      </c>
      <c r="U495" t="str">
        <v/>
      </c>
    </row>
    <row r="496">
      <c r="A496" t="str">
        <v>495</v>
      </c>
      <c r="B496" t="str">
        <v>MASS BSF</v>
      </c>
      <c r="C496" t="str">
        <v>AAR-880</v>
      </c>
      <c r="D496" t="str">
        <v>AAR-880</v>
      </c>
      <c r="E496" t="str">
        <v/>
      </c>
      <c r="F496" t="str">
        <v>867806078847433</v>
      </c>
      <c r="G496" t="str">
        <v>Otro</v>
      </c>
      <c r="H496" t="str">
        <v/>
      </c>
      <c r="I496" t="str">
        <v>27/09/2026</v>
      </c>
      <c r="J496" t="str">
        <v>12:06:36</v>
      </c>
      <c r="K496">
        <v>-12.235595</v>
      </c>
      <c r="L496">
        <v>-76.91016</v>
      </c>
      <c r="M496">
        <f>HYPERLINK("https://www.google.com/maps/search/?api=1&amp;query=-12.235595,-76.91016","Calle 2, Lurín, Lima")</f>
      </c>
      <c r="N496">
        <v>0</v>
      </c>
      <c r="O496">
        <v>93</v>
      </c>
      <c r="P496">
        <v>2526.4</v>
      </c>
      <c r="Q496" t="str">
        <v>161.83</v>
      </c>
      <c r="R496" t="str">
        <v>Vehículo encendido</v>
      </c>
      <c r="S496" t="str">
        <v/>
      </c>
      <c r="T496" t="str">
        <v/>
      </c>
      <c r="U496" t="str">
        <v/>
      </c>
    </row>
    <row r="497">
      <c r="A497" t="str">
        <v>496</v>
      </c>
      <c r="B497" t="str">
        <v>MASS BSF</v>
      </c>
      <c r="C497" t="str">
        <v>AAR-880</v>
      </c>
      <c r="D497" t="str">
        <v>AAR-880</v>
      </c>
      <c r="E497" t="str">
        <v/>
      </c>
      <c r="F497" t="str">
        <v>867806078847433</v>
      </c>
      <c r="G497" t="str">
        <v>Otro</v>
      </c>
      <c r="H497" t="str">
        <v/>
      </c>
      <c r="I497" t="str">
        <v>27/09/2026</v>
      </c>
      <c r="J497" t="str">
        <v>12:06:36</v>
      </c>
      <c r="K497">
        <v>-12.235595</v>
      </c>
      <c r="L497">
        <v>-76.91016</v>
      </c>
      <c r="M497">
        <f>HYPERLINK("https://www.google.com/maps/search/?api=1&amp;query=-12.235595,-76.91016","Calle 2, Lurín, Lima")</f>
      </c>
      <c r="N497">
        <v>0</v>
      </c>
      <c r="O497">
        <v>93</v>
      </c>
      <c r="P497">
        <v>2526.4</v>
      </c>
      <c r="Q497" t="str">
        <v>161.83</v>
      </c>
      <c r="R497" t="str">
        <v>Se movio</v>
      </c>
      <c r="S497" t="str">
        <v/>
      </c>
      <c r="T497" t="str">
        <v/>
      </c>
      <c r="U497" t="str">
        <v/>
      </c>
    </row>
    <row r="498">
      <c r="A498" t="str">
        <v>497</v>
      </c>
      <c r="B498" t="str">
        <v>MASS BSF</v>
      </c>
      <c r="C498" t="str">
        <v>AAR-880</v>
      </c>
      <c r="D498" t="str">
        <v>AAR-880</v>
      </c>
      <c r="E498" t="str">
        <v/>
      </c>
      <c r="F498" t="str">
        <v>867806078847433</v>
      </c>
      <c r="G498" t="str">
        <v>Otro</v>
      </c>
      <c r="H498" t="str">
        <v/>
      </c>
      <c r="I498" t="str">
        <v>27/09/2026</v>
      </c>
      <c r="J498" t="str">
        <v>12:06:40</v>
      </c>
      <c r="K498">
        <v>-12.2355</v>
      </c>
      <c r="L498">
        <v>-76.91013</v>
      </c>
      <c r="M498">
        <f>HYPERLINK("https://www.google.com/maps/search/?api=1&amp;query=-12.2355,-76.91013","Calle 8, Lurín, Lima")</f>
      </c>
      <c r="N498">
        <v>5.9</v>
      </c>
      <c r="O498">
        <v>93</v>
      </c>
      <c r="P498">
        <v>2526.41</v>
      </c>
      <c r="Q498" t="str">
        <v>161.83</v>
      </c>
      <c r="R498" t="str">
        <v/>
      </c>
      <c r="S498" t="str">
        <v/>
      </c>
      <c r="T498" t="str">
        <v/>
      </c>
      <c r="U498" t="str">
        <v/>
      </c>
    </row>
    <row r="499">
      <c r="A499" t="str">
        <v>498</v>
      </c>
      <c r="B499" t="str">
        <v>MASS BSF</v>
      </c>
      <c r="C499" t="str">
        <v>AAR-880</v>
      </c>
      <c r="D499" t="str">
        <v>AAR-880</v>
      </c>
      <c r="E499" t="str">
        <v/>
      </c>
      <c r="F499" t="str">
        <v>867806078847433</v>
      </c>
      <c r="G499" t="str">
        <v>Otro</v>
      </c>
      <c r="H499" t="str">
        <v/>
      </c>
      <c r="I499" t="str">
        <v>27/09/2026</v>
      </c>
      <c r="J499" t="str">
        <v>12:06:44</v>
      </c>
      <c r="K499">
        <v>-12.235463</v>
      </c>
      <c r="L499">
        <v>-76.91017</v>
      </c>
      <c r="M499">
        <f>HYPERLINK("https://www.google.com/maps/search/?api=1&amp;query=-12.235463,-76.91017","Calle 8, Lurín, Lima")</f>
      </c>
      <c r="N499">
        <v>8.5</v>
      </c>
      <c r="O499">
        <v>93</v>
      </c>
      <c r="P499">
        <v>2526.42</v>
      </c>
      <c r="Q499" t="str">
        <v>161.83</v>
      </c>
      <c r="R499" t="str">
        <v/>
      </c>
      <c r="S499" t="str">
        <v/>
      </c>
      <c r="T499" t="str">
        <v/>
      </c>
      <c r="U499" t="str">
        <v/>
      </c>
    </row>
    <row r="500">
      <c r="A500" t="str">
        <v>499</v>
      </c>
      <c r="B500" t="str">
        <v>MASS BSF</v>
      </c>
      <c r="C500" t="str">
        <v>AAR-880</v>
      </c>
      <c r="D500" t="str">
        <v>AAR-880</v>
      </c>
      <c r="E500" t="str">
        <v/>
      </c>
      <c r="F500" t="str">
        <v>867806078847433</v>
      </c>
      <c r="G500" t="str">
        <v>Otro</v>
      </c>
      <c r="H500" t="str">
        <v/>
      </c>
      <c r="I500" t="str">
        <v>27/09/2026</v>
      </c>
      <c r="J500" t="str">
        <v>12:06:45</v>
      </c>
      <c r="K500">
        <v>-12.235438</v>
      </c>
      <c r="L500">
        <v>-76.91022</v>
      </c>
      <c r="M500">
        <f>HYPERLINK("https://www.google.com/maps/search/?api=1&amp;query=-12.235438,-76.91022","Calle 8, Lurín, Lima")</f>
      </c>
      <c r="N500">
        <v>9.8</v>
      </c>
      <c r="O500">
        <v>93</v>
      </c>
      <c r="P500">
        <v>2526.42</v>
      </c>
      <c r="Q500" t="str">
        <v>161.83</v>
      </c>
      <c r="R500" t="str">
        <v/>
      </c>
      <c r="S500" t="str">
        <v/>
      </c>
      <c r="T500" t="str">
        <v/>
      </c>
      <c r="U500" t="str">
        <v/>
      </c>
    </row>
    <row r="501">
      <c r="A501" t="str">
        <v>500</v>
      </c>
      <c r="B501" t="str">
        <v>MASS BSF</v>
      </c>
      <c r="C501" t="str">
        <v>AAR-880</v>
      </c>
      <c r="D501" t="str">
        <v>AAR-880</v>
      </c>
      <c r="E501" t="str">
        <v/>
      </c>
      <c r="F501" t="str">
        <v>867806078847433</v>
      </c>
      <c r="G501" t="str">
        <v>Otro</v>
      </c>
      <c r="H501" t="str">
        <v/>
      </c>
      <c r="I501" t="str">
        <v>27/09/2026</v>
      </c>
      <c r="J501" t="str">
        <v>12:06:55</v>
      </c>
      <c r="K501">
        <v>-12.235325</v>
      </c>
      <c r="L501">
        <v>-76.91051</v>
      </c>
      <c r="M501">
        <f>HYPERLINK("https://www.google.com/maps/search/?api=1&amp;query=-12.235325,-76.91051","Calle 8, Lurín, Lima")</f>
      </c>
      <c r="N501">
        <v>14.6</v>
      </c>
      <c r="O501">
        <v>93</v>
      </c>
      <c r="P501">
        <v>2526.45</v>
      </c>
      <c r="Q501" t="str">
        <v>161.83</v>
      </c>
      <c r="R501" t="str">
        <v/>
      </c>
      <c r="S501" t="str">
        <v/>
      </c>
      <c r="T501" t="str">
        <v/>
      </c>
      <c r="U501" t="str">
        <v/>
      </c>
    </row>
    <row r="502">
      <c r="A502" t="str">
        <v>501</v>
      </c>
      <c r="B502" t="str">
        <v>MASS BSF</v>
      </c>
      <c r="C502" t="str">
        <v>AAR-880</v>
      </c>
      <c r="D502" t="str">
        <v>AAR-880</v>
      </c>
      <c r="E502" t="str">
        <v/>
      </c>
      <c r="F502" t="str">
        <v>867806078847433</v>
      </c>
      <c r="G502" t="str">
        <v>Otro</v>
      </c>
      <c r="H502" t="str">
        <v/>
      </c>
      <c r="I502" t="str">
        <v>27/09/2026</v>
      </c>
      <c r="J502" t="str">
        <v>12:07:27</v>
      </c>
      <c r="K502">
        <v>-12.234965</v>
      </c>
      <c r="L502">
        <v>-76.911476</v>
      </c>
      <c r="M502">
        <f>HYPERLINK("https://www.google.com/maps/search/?api=1&amp;query=-12.234965,-76.911476","Calle 8, Lurín, Lima")</f>
      </c>
      <c r="N502">
        <v>8.7</v>
      </c>
      <c r="O502">
        <v>93</v>
      </c>
      <c r="P502">
        <v>2526.56</v>
      </c>
      <c r="Q502" t="str">
        <v>161.83</v>
      </c>
      <c r="R502" t="str">
        <v/>
      </c>
      <c r="S502" t="str">
        <v/>
      </c>
      <c r="T502" t="str">
        <v/>
      </c>
      <c r="U502" t="str">
        <v/>
      </c>
    </row>
    <row r="503">
      <c r="A503" t="str">
        <v>502</v>
      </c>
      <c r="B503" t="str">
        <v>MASS BSF</v>
      </c>
      <c r="C503" t="str">
        <v>AAR-880</v>
      </c>
      <c r="D503" t="str">
        <v>AAR-880</v>
      </c>
      <c r="E503" t="str">
        <v/>
      </c>
      <c r="F503" t="str">
        <v>867806078847433</v>
      </c>
      <c r="G503" t="str">
        <v>Otro</v>
      </c>
      <c r="H503" t="str">
        <v/>
      </c>
      <c r="I503" t="str">
        <v>27/09/2026</v>
      </c>
      <c r="J503" t="str">
        <v>12:07:33</v>
      </c>
      <c r="K503">
        <v>-12.234845</v>
      </c>
      <c r="L503">
        <v>-76.911514</v>
      </c>
      <c r="M503">
        <f>HYPERLINK("https://www.google.com/maps/search/?api=1&amp;query=-12.234845,-76.911514","Avenida Lima, Villa El Salvador")</f>
      </c>
      <c r="N503">
        <v>14.8</v>
      </c>
      <c r="O503">
        <v>93</v>
      </c>
      <c r="P503">
        <v>2526.58</v>
      </c>
      <c r="Q503" t="str">
        <v>161.83</v>
      </c>
      <c r="R503" t="str">
        <v/>
      </c>
      <c r="S503" t="str">
        <v/>
      </c>
      <c r="T503" t="str">
        <v/>
      </c>
      <c r="U503" t="str">
        <v/>
      </c>
    </row>
    <row r="504">
      <c r="A504" t="str">
        <v>503</v>
      </c>
      <c r="B504" t="str">
        <v>MASS BSF</v>
      </c>
      <c r="C504" t="str">
        <v>AAR-880</v>
      </c>
      <c r="D504" t="str">
        <v>AAR-880</v>
      </c>
      <c r="E504" t="str">
        <v/>
      </c>
      <c r="F504" t="str">
        <v>867806078847433</v>
      </c>
      <c r="G504" t="str">
        <v>Otro</v>
      </c>
      <c r="H504" t="str">
        <v/>
      </c>
      <c r="I504" t="str">
        <v>27/09/2026</v>
      </c>
      <c r="J504" t="str">
        <v>12:08:33</v>
      </c>
      <c r="K504">
        <v>-12.231338</v>
      </c>
      <c r="L504">
        <v>-76.91015</v>
      </c>
      <c r="M504">
        <f>HYPERLINK("https://www.google.com/maps/search/?api=1&amp;query=-12.231338,-76.91015","Avenida Lima, Villa El Salvador")</f>
      </c>
      <c r="N504">
        <v>31.8</v>
      </c>
      <c r="O504">
        <v>93</v>
      </c>
      <c r="P504">
        <v>2526.99</v>
      </c>
      <c r="Q504" t="str">
        <v>161.83</v>
      </c>
      <c r="R504" t="str">
        <v/>
      </c>
      <c r="S504" t="str">
        <v/>
      </c>
      <c r="T504" t="str">
        <v/>
      </c>
      <c r="U504" t="str">
        <v/>
      </c>
    </row>
    <row r="505">
      <c r="A505" t="str">
        <v>504</v>
      </c>
      <c r="B505" t="str">
        <v>MASS BSF</v>
      </c>
      <c r="C505" t="str">
        <v>AAR-880</v>
      </c>
      <c r="D505" t="str">
        <v>AAR-880</v>
      </c>
      <c r="E505" t="str">
        <v/>
      </c>
      <c r="F505" t="str">
        <v>867806078847433</v>
      </c>
      <c r="G505" t="str">
        <v>Otro</v>
      </c>
      <c r="H505" t="str">
        <v/>
      </c>
      <c r="I505" t="str">
        <v>27/09/2026</v>
      </c>
      <c r="J505" t="str">
        <v>12:09:23</v>
      </c>
      <c r="K505">
        <v>-12.229615</v>
      </c>
      <c r="L505">
        <v>-76.90954</v>
      </c>
      <c r="M505">
        <f>HYPERLINK("https://www.google.com/maps/search/?api=1&amp;query=-12.229615,-76.90954","Ovalo José Gálvez, Villa María del Triunfo, Lima")</f>
      </c>
      <c r="N505">
        <v>28.7</v>
      </c>
      <c r="O505">
        <v>94</v>
      </c>
      <c r="P505">
        <v>2527.19</v>
      </c>
      <c r="Q505" t="str">
        <v>161.83</v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>505</v>
      </c>
      <c r="B506" t="str">
        <v>MASS BSF</v>
      </c>
      <c r="C506" t="str">
        <v>AAR-880</v>
      </c>
      <c r="D506" t="str">
        <v>AAR-880</v>
      </c>
      <c r="E506" t="str">
        <v/>
      </c>
      <c r="F506" t="str">
        <v>867806078847433</v>
      </c>
      <c r="G506" t="str">
        <v>Otro</v>
      </c>
      <c r="H506" t="str">
        <v/>
      </c>
      <c r="I506" t="str">
        <v>27/09/2026</v>
      </c>
      <c r="J506" t="str">
        <v>12:10:22</v>
      </c>
      <c r="K506">
        <v>-12.225291</v>
      </c>
      <c r="L506">
        <v>-76.908485</v>
      </c>
      <c r="M506">
        <f>HYPERLINK("https://www.google.com/maps/search/?api=1&amp;query=-12.225291,-76.908485","Avenida Lima, Villa María del Triunfo")</f>
      </c>
      <c r="N506">
        <v>26.2</v>
      </c>
      <c r="O506">
        <v>94</v>
      </c>
      <c r="P506">
        <v>2527.67</v>
      </c>
      <c r="Q506" t="str">
        <v>161.83</v>
      </c>
      <c r="R506" t="str">
        <v/>
      </c>
      <c r="S506" t="str">
        <v/>
      </c>
      <c r="T506" t="str">
        <v/>
      </c>
      <c r="U506" t="str">
        <v/>
      </c>
    </row>
    <row r="507">
      <c r="A507" t="str">
        <v>506</v>
      </c>
      <c r="B507" t="str">
        <v>MASS BSF</v>
      </c>
      <c r="C507" t="str">
        <v>AAR-880</v>
      </c>
      <c r="D507" t="str">
        <v>AAR-880</v>
      </c>
      <c r="E507" t="str">
        <v/>
      </c>
      <c r="F507" t="str">
        <v>867806078847433</v>
      </c>
      <c r="G507" t="str">
        <v>Otro</v>
      </c>
      <c r="H507" t="str">
        <v/>
      </c>
      <c r="I507" t="str">
        <v>27/09/2026</v>
      </c>
      <c r="J507" t="str">
        <v>12:11:22</v>
      </c>
      <c r="K507">
        <v>-12.222538</v>
      </c>
      <c r="L507">
        <v>-76.908005</v>
      </c>
      <c r="M507">
        <f>HYPERLINK("https://www.google.com/maps/search/?api=1&amp;query=-12.222538,-76.908005","Avenida Lima, Villa María del Triunfo")</f>
      </c>
      <c r="N507">
        <v>35.9</v>
      </c>
      <c r="O507">
        <v>94</v>
      </c>
      <c r="P507">
        <v>2527.98</v>
      </c>
      <c r="Q507" t="str">
        <v>161.83</v>
      </c>
      <c r="R507" t="str">
        <v/>
      </c>
      <c r="S507" t="str">
        <v/>
      </c>
      <c r="T507" t="str">
        <v/>
      </c>
      <c r="U507" t="str">
        <v/>
      </c>
    </row>
    <row r="508">
      <c r="A508" t="str">
        <v>507</v>
      </c>
      <c r="B508" t="str">
        <v>MASS BSF</v>
      </c>
      <c r="C508" t="str">
        <v>AAR-880</v>
      </c>
      <c r="D508" t="str">
        <v>AAR-880</v>
      </c>
      <c r="E508" t="str">
        <v/>
      </c>
      <c r="F508" t="str">
        <v>867806078847433</v>
      </c>
      <c r="G508" t="str">
        <v>Otro</v>
      </c>
      <c r="H508" t="str">
        <v/>
      </c>
      <c r="I508" t="str">
        <v>27/09/2026</v>
      </c>
      <c r="J508" t="str">
        <v>12:12:22</v>
      </c>
      <c r="K508">
        <v>-12.219287</v>
      </c>
      <c r="L508">
        <v>-76.907425</v>
      </c>
      <c r="M508">
        <f>HYPERLINK("https://www.google.com/maps/search/?api=1&amp;query=-12.219287,-76.907425","Avenida Lima, Villa María del Triunfo")</f>
      </c>
      <c r="N508">
        <v>25.5</v>
      </c>
      <c r="O508">
        <v>94</v>
      </c>
      <c r="P508">
        <v>2528.34</v>
      </c>
      <c r="Q508" t="str">
        <v>161.83</v>
      </c>
      <c r="R508" t="str">
        <v/>
      </c>
      <c r="S508" t="str">
        <v/>
      </c>
      <c r="T508" t="str">
        <v/>
      </c>
      <c r="U508" t="str">
        <v/>
      </c>
    </row>
    <row r="509">
      <c r="A509" t="str">
        <v>508</v>
      </c>
      <c r="B509" t="str">
        <v>MASS BSF</v>
      </c>
      <c r="C509" t="str">
        <v>AAR-880</v>
      </c>
      <c r="D509" t="str">
        <v>AAR-880</v>
      </c>
      <c r="E509" t="str">
        <v/>
      </c>
      <c r="F509" t="str">
        <v>867806078847433</v>
      </c>
      <c r="G509" t="str">
        <v>Otro</v>
      </c>
      <c r="H509" t="str">
        <v/>
      </c>
      <c r="I509" t="str">
        <v>27/09/2026</v>
      </c>
      <c r="J509" t="str">
        <v>12:13:22</v>
      </c>
      <c r="K509">
        <v>-12.215491</v>
      </c>
      <c r="L509">
        <v>-76.90675</v>
      </c>
      <c r="M509">
        <f>HYPERLINK("https://www.google.com/maps/search/?api=1&amp;query=-12.215491,-76.90675","Avenida Lima, Villa María del Triunfo")</f>
      </c>
      <c r="N509">
        <v>9</v>
      </c>
      <c r="O509">
        <v>94</v>
      </c>
      <c r="P509">
        <v>2528.76</v>
      </c>
      <c r="Q509" t="str">
        <v>161.83</v>
      </c>
      <c r="R509" t="str">
        <v/>
      </c>
      <c r="S509" t="str">
        <v/>
      </c>
      <c r="T509" t="str">
        <v/>
      </c>
      <c r="U509" t="str">
        <v/>
      </c>
    </row>
    <row r="510">
      <c r="A510" t="str">
        <v>509</v>
      </c>
      <c r="B510" t="str">
        <v>MASS BSF</v>
      </c>
      <c r="C510" t="str">
        <v>AAR-880</v>
      </c>
      <c r="D510" t="str">
        <v>AAR-880</v>
      </c>
      <c r="E510" t="str">
        <v/>
      </c>
      <c r="F510" t="str">
        <v>867806078847433</v>
      </c>
      <c r="G510" t="str">
        <v>Otro</v>
      </c>
      <c r="H510" t="str">
        <v/>
      </c>
      <c r="I510" t="str">
        <v>27/09/2026</v>
      </c>
      <c r="J510" t="str">
        <v>12:14:22</v>
      </c>
      <c r="K510">
        <v>-12.21346</v>
      </c>
      <c r="L510">
        <v>-76.9064</v>
      </c>
      <c r="M510">
        <f>HYPERLINK("https://www.google.com/maps/search/?api=1&amp;query=-12.21346,-76.9064","Jirón Trujillo, Villa María del Triunfo, Lima")</f>
      </c>
      <c r="N510">
        <v>0</v>
      </c>
      <c r="O510">
        <v>94</v>
      </c>
      <c r="P510">
        <v>2528.98</v>
      </c>
      <c r="Q510" t="str">
        <v>161.83</v>
      </c>
      <c r="R510" t="str">
        <v/>
      </c>
      <c r="S510" t="str">
        <v/>
      </c>
      <c r="T510" t="str">
        <v/>
      </c>
      <c r="U510" t="str">
        <v/>
      </c>
    </row>
    <row r="511">
      <c r="A511" t="str">
        <v>510</v>
      </c>
      <c r="B511" t="str">
        <v>MASS BSF</v>
      </c>
      <c r="C511" t="str">
        <v>AAR-880</v>
      </c>
      <c r="D511" t="str">
        <v>AAR-880</v>
      </c>
      <c r="E511" t="str">
        <v/>
      </c>
      <c r="F511" t="str">
        <v>867806078847433</v>
      </c>
      <c r="G511" t="str">
        <v>Otro</v>
      </c>
      <c r="H511" t="str">
        <v/>
      </c>
      <c r="I511" t="str">
        <v>27/09/2026</v>
      </c>
      <c r="J511" t="str">
        <v>12:15:22</v>
      </c>
      <c r="K511">
        <v>-12.212912</v>
      </c>
      <c r="L511">
        <v>-76.9063</v>
      </c>
      <c r="M511">
        <f>HYPERLINK("https://www.google.com/maps/search/?api=1&amp;query=-12.212912,-76.9063","Avenida Lima, Villa María del Triunfo")</f>
      </c>
      <c r="N511">
        <v>0</v>
      </c>
      <c r="O511">
        <v>94</v>
      </c>
      <c r="P511">
        <v>2529.05</v>
      </c>
      <c r="Q511" t="str">
        <v>161.83</v>
      </c>
      <c r="R511" t="str">
        <v/>
      </c>
      <c r="S511" t="str">
        <v/>
      </c>
      <c r="T511" t="str">
        <v/>
      </c>
      <c r="U511" t="str">
        <v/>
      </c>
    </row>
    <row r="512">
      <c r="A512" t="str">
        <v>511</v>
      </c>
      <c r="B512" t="str">
        <v>MASS BSF</v>
      </c>
      <c r="C512" t="str">
        <v>AAR-880</v>
      </c>
      <c r="D512" t="str">
        <v>AAR-880</v>
      </c>
      <c r="E512" t="str">
        <v/>
      </c>
      <c r="F512" t="str">
        <v>867806078847433</v>
      </c>
      <c r="G512" t="str">
        <v>Otro</v>
      </c>
      <c r="H512" t="str">
        <v/>
      </c>
      <c r="I512" t="str">
        <v>27/09/2026</v>
      </c>
      <c r="J512" t="str">
        <v>12:16:22</v>
      </c>
      <c r="K512">
        <v>-12.211516</v>
      </c>
      <c r="L512">
        <v>-76.906204</v>
      </c>
      <c r="M512">
        <f>HYPERLINK("https://www.google.com/maps/search/?api=1&amp;query=-12.211516,-76.906204","Avenida Lima, Villa María del Triunfo")</f>
      </c>
      <c r="N512">
        <v>10.1</v>
      </c>
      <c r="O512">
        <v>94</v>
      </c>
      <c r="P512">
        <v>2529.2</v>
      </c>
      <c r="Q512" t="str">
        <v>161.83</v>
      </c>
      <c r="R512" t="str">
        <v/>
      </c>
      <c r="S512" t="str">
        <v/>
      </c>
      <c r="T512" t="str">
        <v/>
      </c>
      <c r="U512" t="str">
        <v/>
      </c>
    </row>
    <row r="513">
      <c r="A513" t="str">
        <v>512</v>
      </c>
      <c r="B513" t="str">
        <v>MASS BSF</v>
      </c>
      <c r="C513" t="str">
        <v>AAR-880</v>
      </c>
      <c r="D513" t="str">
        <v>AAR-880</v>
      </c>
      <c r="E513" t="str">
        <v/>
      </c>
      <c r="F513" t="str">
        <v>867806078847433</v>
      </c>
      <c r="G513" t="str">
        <v>Otro</v>
      </c>
      <c r="H513" t="str">
        <v/>
      </c>
      <c r="I513" t="str">
        <v>27/09/2026</v>
      </c>
      <c r="J513" t="str">
        <v>12:16:56</v>
      </c>
      <c r="K513">
        <v>-12.210095</v>
      </c>
      <c r="L513">
        <v>-76.906136</v>
      </c>
      <c r="M513">
        <f>HYPERLINK("https://www.google.com/maps/search/?api=1&amp;query=-12.210095,-76.906136","Avenida Lima, Villa María del Triunfo")</f>
      </c>
      <c r="N513">
        <v>8.8</v>
      </c>
      <c r="O513">
        <v>94</v>
      </c>
      <c r="P513">
        <v>2529.35</v>
      </c>
      <c r="Q513" t="str">
        <v>161.83</v>
      </c>
      <c r="R513" t="str">
        <v/>
      </c>
      <c r="S513" t="str">
        <v/>
      </c>
      <c r="T513" t="str">
        <v/>
      </c>
      <c r="U513" t="str">
        <v/>
      </c>
    </row>
    <row r="514">
      <c r="A514" t="str">
        <v>513</v>
      </c>
      <c r="B514" t="str">
        <v>MASS BSF</v>
      </c>
      <c r="C514" t="str">
        <v>AAR-880</v>
      </c>
      <c r="D514" t="str">
        <v>AAR-880</v>
      </c>
      <c r="E514" t="str">
        <v/>
      </c>
      <c r="F514" t="str">
        <v>867806078847433</v>
      </c>
      <c r="G514" t="str">
        <v>Otro</v>
      </c>
      <c r="H514" t="str">
        <v/>
      </c>
      <c r="I514" t="str">
        <v>27/09/2026</v>
      </c>
      <c r="J514" t="str">
        <v>12:16:56</v>
      </c>
      <c r="K514">
        <v>-12.210095</v>
      </c>
      <c r="L514">
        <v>-76.906136</v>
      </c>
      <c r="M514">
        <f>HYPERLINK("https://www.google.com/maps/search/?api=1&amp;query=-12.210095,-76.906136","Avenida Lima, Villa María del Triunfo")</f>
      </c>
      <c r="N514">
        <v>8.8</v>
      </c>
      <c r="O514">
        <v>94</v>
      </c>
      <c r="P514">
        <v>2529.2</v>
      </c>
      <c r="Q514" t="str">
        <v>159.00</v>
      </c>
      <c r="R514" t="str">
        <v>Llegó a la zona</v>
      </c>
      <c r="S514" t="str">
        <v>2606-LIMA771 VMT MS</v>
      </c>
      <c r="T514" t="str">
        <v xml:space="preserve"> </v>
      </c>
      <c r="U514" t="str">
        <v/>
      </c>
    </row>
    <row r="515">
      <c r="A515" t="str">
        <v>514</v>
      </c>
      <c r="B515" t="str">
        <v>MASS BSF</v>
      </c>
      <c r="C515" t="str">
        <v>AAR-880</v>
      </c>
      <c r="D515" t="str">
        <v>AAR-880</v>
      </c>
      <c r="E515" t="str">
        <v/>
      </c>
      <c r="F515" t="str">
        <v>867806078847433</v>
      </c>
      <c r="G515" t="str">
        <v>Otro</v>
      </c>
      <c r="H515" t="str">
        <v/>
      </c>
      <c r="I515" t="str">
        <v>27/09/2026</v>
      </c>
      <c r="J515" t="str">
        <v>12:17:14</v>
      </c>
      <c r="K515">
        <v>-12.210011</v>
      </c>
      <c r="L515">
        <v>-76.90614</v>
      </c>
      <c r="M515">
        <f>HYPERLINK("https://www.google.com/maps/search/?api=1&amp;query=-12.210011,-76.90614","Avenida Lima, Villa María del Triunfo")</f>
      </c>
      <c r="N515">
        <v>7.7</v>
      </c>
      <c r="O515">
        <v>94</v>
      </c>
      <c r="P515">
        <v>2529.36</v>
      </c>
      <c r="Q515" t="str">
        <v>161.83</v>
      </c>
      <c r="R515" t="str">
        <v/>
      </c>
      <c r="S515" t="str">
        <v/>
      </c>
      <c r="T515" t="str">
        <v/>
      </c>
      <c r="U515" t="str">
        <v/>
      </c>
    </row>
    <row r="516">
      <c r="A516" t="str">
        <v>515</v>
      </c>
      <c r="B516" t="str">
        <v>MASS BSF</v>
      </c>
      <c r="C516" t="str">
        <v>AAR-880</v>
      </c>
      <c r="D516" t="str">
        <v>AAR-880</v>
      </c>
      <c r="E516" t="str">
        <v/>
      </c>
      <c r="F516" t="str">
        <v>867806078847433</v>
      </c>
      <c r="G516" t="str">
        <v>Otro</v>
      </c>
      <c r="H516" t="str">
        <v/>
      </c>
      <c r="I516" t="str">
        <v>27/09/2026</v>
      </c>
      <c r="J516" t="str">
        <v>12:17:19</v>
      </c>
      <c r="K516">
        <v>-12.209938</v>
      </c>
      <c r="L516">
        <v>-76.90612</v>
      </c>
      <c r="M516">
        <f>HYPERLINK("https://www.google.com/maps/search/?api=1&amp;query=-12.209938,-76.90612","Avenida Lima, Villa María del Triunfo")</f>
      </c>
      <c r="N516">
        <v>5.5</v>
      </c>
      <c r="O516">
        <v>89</v>
      </c>
      <c r="P516">
        <v>2529.37</v>
      </c>
      <c r="Q516" t="str">
        <v>161.83</v>
      </c>
      <c r="R516" t="str">
        <v/>
      </c>
      <c r="S516" t="str">
        <v/>
      </c>
      <c r="T516" t="str">
        <v/>
      </c>
      <c r="U516" t="str">
        <v/>
      </c>
    </row>
    <row r="517">
      <c r="A517" t="str">
        <v>516</v>
      </c>
      <c r="B517" t="str">
        <v>MASS BSF</v>
      </c>
      <c r="C517" t="str">
        <v>AAR-880</v>
      </c>
      <c r="D517" t="str">
        <v>AAR-880</v>
      </c>
      <c r="E517" t="str">
        <v/>
      </c>
      <c r="F517" t="str">
        <v>867806078847433</v>
      </c>
      <c r="G517" t="str">
        <v>Otro</v>
      </c>
      <c r="H517" t="str">
        <v/>
      </c>
      <c r="I517" t="str">
        <v>27/09/2026</v>
      </c>
      <c r="J517" t="str">
        <v>12:18:19</v>
      </c>
      <c r="K517">
        <v>-12.209911</v>
      </c>
      <c r="L517">
        <v>-76.90612</v>
      </c>
      <c r="M517">
        <f>HYPERLINK("https://www.google.com/maps/search/?api=1&amp;query=-12.209911,-76.90612","Avenida Lima, Villa María del Triunfo")</f>
      </c>
      <c r="N517">
        <v>0</v>
      </c>
      <c r="O517">
        <v>94</v>
      </c>
      <c r="P517">
        <v>2529.38</v>
      </c>
      <c r="Q517" t="str">
        <v>161.83</v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>517</v>
      </c>
      <c r="B518" t="str">
        <v>MASS BSF</v>
      </c>
      <c r="C518" t="str">
        <v>AAR-880</v>
      </c>
      <c r="D518" t="str">
        <v>AAR-880</v>
      </c>
      <c r="E518" t="str">
        <v/>
      </c>
      <c r="F518" t="str">
        <v>867806078847433</v>
      </c>
      <c r="G518" t="str">
        <v>Otro</v>
      </c>
      <c r="H518" t="str">
        <v/>
      </c>
      <c r="I518" t="str">
        <v>27/09/2026</v>
      </c>
      <c r="J518" t="str">
        <v>12:19:19</v>
      </c>
      <c r="K518">
        <v>-12.209911</v>
      </c>
      <c r="L518">
        <v>-76.90612</v>
      </c>
      <c r="M518">
        <f>HYPERLINK("https://www.google.com/maps/search/?api=1&amp;query=-12.209911,-76.90612","Avenida Lima, Villa María del Triunfo")</f>
      </c>
      <c r="N518">
        <v>0</v>
      </c>
      <c r="O518">
        <v>94</v>
      </c>
      <c r="P518">
        <v>2529.38</v>
      </c>
      <c r="Q518" t="str">
        <v>161.83</v>
      </c>
      <c r="R518" t="str">
        <v/>
      </c>
      <c r="S518" t="str">
        <v/>
      </c>
      <c r="T518" t="str">
        <v/>
      </c>
      <c r="U518" t="str">
        <v/>
      </c>
    </row>
    <row r="519">
      <c r="A519" t="str">
        <v>518</v>
      </c>
      <c r="B519" t="str">
        <v>MASS BSF</v>
      </c>
      <c r="C519" t="str">
        <v>AAR-880</v>
      </c>
      <c r="D519" t="str">
        <v>AAR-880</v>
      </c>
      <c r="E519" t="str">
        <v/>
      </c>
      <c r="F519" t="str">
        <v>867806078847433</v>
      </c>
      <c r="G519" t="str">
        <v>Otro</v>
      </c>
      <c r="H519" t="str">
        <v/>
      </c>
      <c r="I519" t="str">
        <v>27/09/2026</v>
      </c>
      <c r="J519" t="str">
        <v>12:20:19</v>
      </c>
      <c r="K519">
        <v>-12.209911</v>
      </c>
      <c r="L519">
        <v>-76.90612</v>
      </c>
      <c r="M519">
        <f>HYPERLINK("https://www.google.com/maps/search/?api=1&amp;query=-12.209911,-76.90612","Avenida Lima, Villa María del Triunfo")</f>
      </c>
      <c r="N519">
        <v>0</v>
      </c>
      <c r="O519">
        <v>93</v>
      </c>
      <c r="P519">
        <v>2529.38</v>
      </c>
      <c r="Q519" t="str">
        <v>161.83</v>
      </c>
      <c r="R519" t="str">
        <v/>
      </c>
      <c r="S519" t="str">
        <v/>
      </c>
      <c r="T519" t="str">
        <v/>
      </c>
      <c r="U519" t="str">
        <v/>
      </c>
    </row>
    <row r="520">
      <c r="A520" t="str">
        <v>519</v>
      </c>
      <c r="B520" t="str">
        <v>MASS BSF</v>
      </c>
      <c r="C520" t="str">
        <v>AAR-880</v>
      </c>
      <c r="D520" t="str">
        <v>AAR-880</v>
      </c>
      <c r="E520" t="str">
        <v/>
      </c>
      <c r="F520" t="str">
        <v>867806078847433</v>
      </c>
      <c r="G520" t="str">
        <v>Otro</v>
      </c>
      <c r="H520" t="str">
        <v/>
      </c>
      <c r="I520" t="str">
        <v>27/09/2026</v>
      </c>
      <c r="J520" t="str">
        <v>12:21:19</v>
      </c>
      <c r="K520">
        <v>-12.209911</v>
      </c>
      <c r="L520">
        <v>-76.90612</v>
      </c>
      <c r="M520">
        <f>HYPERLINK("https://www.google.com/maps/search/?api=1&amp;query=-12.209911,-76.90612","Avenida Lima, Villa María del Triunfo")</f>
      </c>
      <c r="N520">
        <v>0</v>
      </c>
      <c r="O520">
        <v>93</v>
      </c>
      <c r="P520">
        <v>2529.38</v>
      </c>
      <c r="Q520" t="str">
        <v>161.83</v>
      </c>
      <c r="R520" t="str">
        <v/>
      </c>
      <c r="S520" t="str">
        <v/>
      </c>
      <c r="T520" t="str">
        <v/>
      </c>
      <c r="U520" t="str">
        <v/>
      </c>
    </row>
    <row r="521">
      <c r="A521" t="str">
        <v>520</v>
      </c>
      <c r="B521" t="str">
        <v>MASS BSF</v>
      </c>
      <c r="C521" t="str">
        <v>AAR-880</v>
      </c>
      <c r="D521" t="str">
        <v>AAR-880</v>
      </c>
      <c r="E521" t="str">
        <v/>
      </c>
      <c r="F521" t="str">
        <v>867806078847433</v>
      </c>
      <c r="G521" t="str">
        <v>Otro</v>
      </c>
      <c r="H521" t="str">
        <v/>
      </c>
      <c r="I521" t="str">
        <v>27/09/2026</v>
      </c>
      <c r="J521" t="str">
        <v>12:22:19</v>
      </c>
      <c r="K521">
        <v>-12.209911</v>
      </c>
      <c r="L521">
        <v>-76.90612</v>
      </c>
      <c r="M521">
        <f>HYPERLINK("https://www.google.com/maps/search/?api=1&amp;query=-12.209911,-76.90612","Avenida Lima, Villa María del Triunfo")</f>
      </c>
      <c r="N521">
        <v>0</v>
      </c>
      <c r="O521">
        <v>93</v>
      </c>
      <c r="P521">
        <v>2529.38</v>
      </c>
      <c r="Q521" t="str">
        <v>161.83</v>
      </c>
      <c r="R521" t="str">
        <v/>
      </c>
      <c r="S521" t="str">
        <v/>
      </c>
      <c r="T521" t="str">
        <v/>
      </c>
      <c r="U521" t="str">
        <v/>
      </c>
    </row>
    <row r="522">
      <c r="A522" t="str">
        <v>521</v>
      </c>
      <c r="B522" t="str">
        <v>MASS BSF</v>
      </c>
      <c r="C522" t="str">
        <v>AAR-880</v>
      </c>
      <c r="D522" t="str">
        <v>AAR-880</v>
      </c>
      <c r="E522" t="str">
        <v/>
      </c>
      <c r="F522" t="str">
        <v>867806078847433</v>
      </c>
      <c r="G522" t="str">
        <v>Otro</v>
      </c>
      <c r="H522" t="str">
        <v/>
      </c>
      <c r="I522" t="str">
        <v>27/09/2026</v>
      </c>
      <c r="J522" t="str">
        <v>12:23:19</v>
      </c>
      <c r="K522">
        <v>-12.209911</v>
      </c>
      <c r="L522">
        <v>-76.90612</v>
      </c>
      <c r="M522">
        <f>HYPERLINK("https://www.google.com/maps/search/?api=1&amp;query=-12.209911,-76.90612","Avenida Lima, Villa María del Triunfo")</f>
      </c>
      <c r="N522">
        <v>0</v>
      </c>
      <c r="O522">
        <v>93</v>
      </c>
      <c r="P522">
        <v>2529.38</v>
      </c>
      <c r="Q522" t="str">
        <v>161.83</v>
      </c>
      <c r="R522" t="str">
        <v/>
      </c>
      <c r="S522" t="str">
        <v/>
      </c>
      <c r="T522" t="str">
        <v/>
      </c>
      <c r="U522" t="str">
        <v/>
      </c>
    </row>
    <row r="523">
      <c r="A523" t="str">
        <v>522</v>
      </c>
      <c r="B523" t="str">
        <v>MASS BSF</v>
      </c>
      <c r="C523" t="str">
        <v>AAR-880</v>
      </c>
      <c r="D523" t="str">
        <v>AAR-880</v>
      </c>
      <c r="E523" t="str">
        <v/>
      </c>
      <c r="F523" t="str">
        <v>867806078847433</v>
      </c>
      <c r="G523" t="str">
        <v>Otro</v>
      </c>
      <c r="H523" t="str">
        <v/>
      </c>
      <c r="I523" t="str">
        <v>27/09/2026</v>
      </c>
      <c r="J523" t="str">
        <v>12:24:19</v>
      </c>
      <c r="K523">
        <v>-12.209911</v>
      </c>
      <c r="L523">
        <v>-76.90612</v>
      </c>
      <c r="M523">
        <f>HYPERLINK("https://www.google.com/maps/search/?api=1&amp;query=-12.209911,-76.90612","Avenida Lima, Villa María del Triunfo")</f>
      </c>
      <c r="N523">
        <v>0</v>
      </c>
      <c r="O523">
        <v>93</v>
      </c>
      <c r="P523">
        <v>2529.38</v>
      </c>
      <c r="Q523" t="str">
        <v>161.83</v>
      </c>
      <c r="R523" t="str">
        <v/>
      </c>
      <c r="S523" t="str">
        <v/>
      </c>
      <c r="T523" t="str">
        <v/>
      </c>
      <c r="U523" t="str">
        <v/>
      </c>
    </row>
    <row r="524">
      <c r="A524" t="str">
        <v>523</v>
      </c>
      <c r="B524" t="str">
        <v>MASS BSF</v>
      </c>
      <c r="C524" t="str">
        <v>AAR-880</v>
      </c>
      <c r="D524" t="str">
        <v>AAR-880</v>
      </c>
      <c r="E524" t="str">
        <v/>
      </c>
      <c r="F524" t="str">
        <v>867806078847433</v>
      </c>
      <c r="G524" t="str">
        <v>Otro</v>
      </c>
      <c r="H524" t="str">
        <v/>
      </c>
      <c r="I524" t="str">
        <v>27/09/2026</v>
      </c>
      <c r="J524" t="str">
        <v>12:25:09</v>
      </c>
      <c r="K524">
        <v>-12.209911</v>
      </c>
      <c r="L524">
        <v>-76.90612</v>
      </c>
      <c r="M524">
        <f>HYPERLINK("https://www.google.com/maps/search/?api=1&amp;query=-12.209911,-76.90612","Avenida Lima, Villa María del Triunfo")</f>
      </c>
      <c r="N524">
        <v>0</v>
      </c>
      <c r="O524">
        <v>88</v>
      </c>
      <c r="P524">
        <v>2529.38</v>
      </c>
      <c r="Q524" t="str">
        <v>161.83</v>
      </c>
      <c r="R524" t="str">
        <v/>
      </c>
      <c r="S524" t="str">
        <v/>
      </c>
      <c r="T524" t="str">
        <v/>
      </c>
      <c r="U524" t="str">
        <v/>
      </c>
    </row>
    <row r="525">
      <c r="A525" t="str">
        <v>524</v>
      </c>
      <c r="B525" t="str">
        <v>MASS BSF</v>
      </c>
      <c r="C525" t="str">
        <v>AAR-880</v>
      </c>
      <c r="D525" t="str">
        <v>AAR-880</v>
      </c>
      <c r="E525" t="str">
        <v/>
      </c>
      <c r="F525" t="str">
        <v>867806078847433</v>
      </c>
      <c r="G525" t="str">
        <v>Otro</v>
      </c>
      <c r="H525" t="str">
        <v/>
      </c>
      <c r="I525" t="str">
        <v>27/09/2026</v>
      </c>
      <c r="J525" t="str">
        <v>12:25:19</v>
      </c>
      <c r="K525">
        <v>-12.209911</v>
      </c>
      <c r="L525">
        <v>-76.90612</v>
      </c>
      <c r="M525">
        <f>HYPERLINK("https://www.google.com/maps/search/?api=1&amp;query=-12.209911,-76.90612","Avenida Lima, Villa María del Triunfo")</f>
      </c>
      <c r="N525">
        <v>0</v>
      </c>
      <c r="O525">
        <v>88</v>
      </c>
      <c r="P525">
        <v>2529.38</v>
      </c>
      <c r="Q525" t="str">
        <v>161.83</v>
      </c>
      <c r="R525" t="str">
        <v/>
      </c>
      <c r="S525" t="str">
        <v/>
      </c>
      <c r="T525" t="str">
        <v/>
      </c>
      <c r="U525" t="str">
        <v/>
      </c>
    </row>
    <row r="526">
      <c r="A526" t="str">
        <v>525</v>
      </c>
      <c r="B526" t="str">
        <v>MASS BSF</v>
      </c>
      <c r="C526" t="str">
        <v>AAR-880</v>
      </c>
      <c r="D526" t="str">
        <v>AAR-880</v>
      </c>
      <c r="E526" t="str">
        <v/>
      </c>
      <c r="F526" t="str">
        <v>867806078847433</v>
      </c>
      <c r="G526" t="str">
        <v>Otro</v>
      </c>
      <c r="H526" t="str">
        <v/>
      </c>
      <c r="I526" t="str">
        <v>27/09/2026</v>
      </c>
      <c r="J526" t="str">
        <v>12:25:37</v>
      </c>
      <c r="K526">
        <v>-12.209911</v>
      </c>
      <c r="L526">
        <v>-76.90612</v>
      </c>
      <c r="M526">
        <f>HYPERLINK("https://www.google.com/maps/search/?api=1&amp;query=-12.209911,-76.90612","Avenida Lima, Villa María del Triunfo")</f>
      </c>
      <c r="N526">
        <v>0</v>
      </c>
      <c r="O526">
        <v>88</v>
      </c>
      <c r="P526">
        <v>2529.38</v>
      </c>
      <c r="Q526" t="str">
        <v>162.15</v>
      </c>
      <c r="R526" t="str">
        <v>Vehículo apagado</v>
      </c>
      <c r="S526" t="str">
        <v/>
      </c>
      <c r="T526" t="str">
        <v/>
      </c>
      <c r="U526" t="str">
        <v/>
      </c>
    </row>
    <row r="527">
      <c r="A527" t="str">
        <v>526</v>
      </c>
      <c r="B527" t="str">
        <v>MASS BSF</v>
      </c>
      <c r="C527" t="str">
        <v>AAR-880</v>
      </c>
      <c r="D527" t="str">
        <v>AAR-880</v>
      </c>
      <c r="E527" t="str">
        <v/>
      </c>
      <c r="F527" t="str">
        <v>867806078847433</v>
      </c>
      <c r="G527" t="str">
        <v>Otro</v>
      </c>
      <c r="H527" t="str">
        <v/>
      </c>
      <c r="I527" t="str">
        <v>27/09/2026</v>
      </c>
      <c r="J527" t="str">
        <v>12:29:23</v>
      </c>
      <c r="K527">
        <v>-12.209911</v>
      </c>
      <c r="L527">
        <v>-76.90612</v>
      </c>
      <c r="M527">
        <f>HYPERLINK("https://www.google.com/maps/search/?api=1&amp;query=-12.209911,-76.90612","Avenida Lima, Villa María del Triunfo")</f>
      </c>
      <c r="N527">
        <v>0</v>
      </c>
      <c r="O527">
        <v>88</v>
      </c>
      <c r="P527">
        <v>2529.38</v>
      </c>
      <c r="Q527" t="str">
        <v>162.15</v>
      </c>
      <c r="R527" t="str">
        <v/>
      </c>
      <c r="S527" t="str">
        <v/>
      </c>
      <c r="T527" t="str">
        <v/>
      </c>
      <c r="U527" t="str">
        <v/>
      </c>
    </row>
    <row r="528">
      <c r="A528" t="str">
        <v>527</v>
      </c>
      <c r="B528" t="str">
        <v>MASS BSF</v>
      </c>
      <c r="C528" t="str">
        <v>AAR-880</v>
      </c>
      <c r="D528" t="str">
        <v>AAR-880</v>
      </c>
      <c r="E528" t="str">
        <v/>
      </c>
      <c r="F528" t="str">
        <v>867806078847433</v>
      </c>
      <c r="G528" t="str">
        <v>Otro</v>
      </c>
      <c r="H528" t="str">
        <v/>
      </c>
      <c r="I528" t="str">
        <v>27/09/2026</v>
      </c>
      <c r="J528" t="str">
        <v>12:33:26</v>
      </c>
      <c r="K528">
        <v>-12.209911</v>
      </c>
      <c r="L528">
        <v>-76.90612</v>
      </c>
      <c r="M528">
        <f>HYPERLINK("https://www.google.com/maps/search/?api=1&amp;query=-12.209911,-76.90612","Avenida Lima, Villa María del Triunfo")</f>
      </c>
      <c r="N528">
        <v>0</v>
      </c>
      <c r="O528">
        <v>88</v>
      </c>
      <c r="P528">
        <v>2529.38</v>
      </c>
      <c r="Q528" t="str">
        <v>162.15</v>
      </c>
      <c r="R528" t="str">
        <v>Vehículo encendido</v>
      </c>
      <c r="S528" t="str">
        <v/>
      </c>
      <c r="T528" t="str">
        <v/>
      </c>
      <c r="U528" t="str">
        <v/>
      </c>
    </row>
    <row r="529">
      <c r="A529" t="str">
        <v>528</v>
      </c>
      <c r="B529" t="str">
        <v>MASS BSF</v>
      </c>
      <c r="C529" t="str">
        <v>AAR-880</v>
      </c>
      <c r="D529" t="str">
        <v>AAR-880</v>
      </c>
      <c r="E529" t="str">
        <v/>
      </c>
      <c r="F529" t="str">
        <v>867806078847433</v>
      </c>
      <c r="G529" t="str">
        <v>Otro</v>
      </c>
      <c r="H529" t="str">
        <v/>
      </c>
      <c r="I529" t="str">
        <v>27/09/2026</v>
      </c>
      <c r="J529" t="str">
        <v>12:33:26</v>
      </c>
      <c r="K529">
        <v>-12.209911</v>
      </c>
      <c r="L529">
        <v>-76.90612</v>
      </c>
      <c r="M529">
        <f>HYPERLINK("https://www.google.com/maps/search/?api=1&amp;query=-12.209911,-76.90612","Avenida Lima, Villa María del Triunfo")</f>
      </c>
      <c r="N529">
        <v>0</v>
      </c>
      <c r="O529">
        <v>88</v>
      </c>
      <c r="P529">
        <v>2529.38</v>
      </c>
      <c r="Q529" t="str">
        <v>162.15</v>
      </c>
      <c r="R529" t="str">
        <v>Se movio</v>
      </c>
      <c r="S529" t="str">
        <v/>
      </c>
      <c r="T529" t="str">
        <v/>
      </c>
      <c r="U529" t="str">
        <v/>
      </c>
    </row>
    <row r="530">
      <c r="A530" t="str">
        <v>529</v>
      </c>
      <c r="B530" t="str">
        <v>MASS BSF</v>
      </c>
      <c r="C530" t="str">
        <v>AAR-880</v>
      </c>
      <c r="D530" t="str">
        <v>AAR-880</v>
      </c>
      <c r="E530" t="str">
        <v/>
      </c>
      <c r="F530" t="str">
        <v>867806078847433</v>
      </c>
      <c r="G530" t="str">
        <v>Otro</v>
      </c>
      <c r="H530" t="str">
        <v/>
      </c>
      <c r="I530" t="str">
        <v>27/09/2026</v>
      </c>
      <c r="J530" t="str">
        <v>12:34:06</v>
      </c>
      <c r="K530">
        <v>-12.209995</v>
      </c>
      <c r="L530">
        <v>-76.90612</v>
      </c>
      <c r="M530">
        <f>HYPERLINK("https://www.google.com/maps/search/?api=1&amp;query=-12.209995,-76.90612","Avenida Lima, Villa María del Triunfo")</f>
      </c>
      <c r="N530">
        <v>6.2</v>
      </c>
      <c r="O530">
        <v>88</v>
      </c>
      <c r="P530">
        <v>2529.39</v>
      </c>
      <c r="Q530" t="str">
        <v>162.15</v>
      </c>
      <c r="R530" t="str">
        <v/>
      </c>
      <c r="S530" t="str">
        <v/>
      </c>
      <c r="T530" t="str">
        <v/>
      </c>
      <c r="U530" t="str">
        <v/>
      </c>
    </row>
    <row r="531">
      <c r="A531" t="str">
        <v>530</v>
      </c>
      <c r="B531" t="str">
        <v>MASS BSF</v>
      </c>
      <c r="C531" t="str">
        <v>AAR-880</v>
      </c>
      <c r="D531" t="str">
        <v>AAR-880</v>
      </c>
      <c r="E531" t="str">
        <v/>
      </c>
      <c r="F531" t="str">
        <v>867806078847433</v>
      </c>
      <c r="G531" t="str">
        <v>Otro</v>
      </c>
      <c r="H531" t="str">
        <v/>
      </c>
      <c r="I531" t="str">
        <v>27/09/2026</v>
      </c>
      <c r="J531" t="str">
        <v>12:34:12</v>
      </c>
      <c r="K531">
        <v>-12.20982</v>
      </c>
      <c r="L531">
        <v>-76.90611</v>
      </c>
      <c r="M531">
        <f>HYPERLINK("https://www.google.com/maps/search/?api=1&amp;query=-12.20982,-76.90611","Avenida Lima, Villa María del Triunfo")</f>
      </c>
      <c r="N531">
        <v>13.1</v>
      </c>
      <c r="O531">
        <v>88</v>
      </c>
      <c r="P531">
        <v>2529.41</v>
      </c>
      <c r="Q531" t="str">
        <v>162.15</v>
      </c>
      <c r="R531" t="str">
        <v/>
      </c>
      <c r="S531" t="str">
        <v/>
      </c>
      <c r="T531" t="str">
        <v/>
      </c>
      <c r="U531" t="str">
        <v/>
      </c>
    </row>
    <row r="532">
      <c r="A532" t="str">
        <v>531</v>
      </c>
      <c r="B532" t="str">
        <v>MASS BSF</v>
      </c>
      <c r="C532" t="str">
        <v>AAR-880</v>
      </c>
      <c r="D532" t="str">
        <v>AAR-880</v>
      </c>
      <c r="E532" t="str">
        <v/>
      </c>
      <c r="F532" t="str">
        <v>867806078847433</v>
      </c>
      <c r="G532" t="str">
        <v>Otro</v>
      </c>
      <c r="H532" t="str">
        <v/>
      </c>
      <c r="I532" t="str">
        <v>27/09/2026</v>
      </c>
      <c r="J532" t="str">
        <v>12:34:22</v>
      </c>
      <c r="K532">
        <v>-12.209521</v>
      </c>
      <c r="L532">
        <v>-76.90613</v>
      </c>
      <c r="M532">
        <f>HYPERLINK("https://www.google.com/maps/search/?api=1&amp;query=-12.209521,-76.90613","Avenida Lima, Villa María del Triunfo")</f>
      </c>
      <c r="N532">
        <v>14</v>
      </c>
      <c r="O532">
        <v>88</v>
      </c>
      <c r="P532">
        <v>2529.44</v>
      </c>
      <c r="Q532" t="str">
        <v>162.15</v>
      </c>
      <c r="R532" t="str">
        <v/>
      </c>
      <c r="S532" t="str">
        <v/>
      </c>
      <c r="T532" t="str">
        <v/>
      </c>
      <c r="U532" t="str">
        <v/>
      </c>
    </row>
    <row r="533">
      <c r="A533" t="str">
        <v>532</v>
      </c>
      <c r="B533" t="str">
        <v>MASS BSF</v>
      </c>
      <c r="C533" t="str">
        <v>AAR-880</v>
      </c>
      <c r="D533" t="str">
        <v>AAR-880</v>
      </c>
      <c r="E533" t="str">
        <v/>
      </c>
      <c r="F533" t="str">
        <v>867806078847433</v>
      </c>
      <c r="G533" t="str">
        <v>Otro</v>
      </c>
      <c r="H533" t="str">
        <v/>
      </c>
      <c r="I533" t="str">
        <v>27/09/2026</v>
      </c>
      <c r="J533" t="str">
        <v>12:34:22</v>
      </c>
      <c r="K533">
        <v>-12.209521</v>
      </c>
      <c r="L533">
        <v>-76.90613</v>
      </c>
      <c r="M533">
        <f>HYPERLINK("https://www.google.com/maps/search/?api=1&amp;query=-12.209521,-76.90613","Avenida Lima, Villa María del Triunfo")</f>
      </c>
      <c r="N533">
        <v>14</v>
      </c>
      <c r="O533">
        <v>93</v>
      </c>
      <c r="P533">
        <v>2529.41</v>
      </c>
      <c r="Q533" t="str">
        <v>159.32</v>
      </c>
      <c r="R533" t="str">
        <v>Salió de zona</v>
      </c>
      <c r="S533" t="str">
        <v>2606-LIMA771 VMT MS</v>
      </c>
      <c r="T533" t="str">
        <v xml:space="preserve"> </v>
      </c>
      <c r="U533" t="str">
        <v/>
      </c>
    </row>
    <row r="534">
      <c r="A534" t="str">
        <v>533</v>
      </c>
      <c r="B534" t="str">
        <v>MASS BSF</v>
      </c>
      <c r="C534" t="str">
        <v>AAR-880</v>
      </c>
      <c r="D534" t="str">
        <v>AAR-880</v>
      </c>
      <c r="E534" t="str">
        <v/>
      </c>
      <c r="F534" t="str">
        <v>867806078847433</v>
      </c>
      <c r="G534" t="str">
        <v>Otro</v>
      </c>
      <c r="H534" t="str">
        <v/>
      </c>
      <c r="I534" t="str">
        <v>27/09/2026</v>
      </c>
      <c r="J534" t="str">
        <v>12:34:27</v>
      </c>
      <c r="K534">
        <v>-12.209303</v>
      </c>
      <c r="L534">
        <v>-76.906136</v>
      </c>
      <c r="M534">
        <f>HYPERLINK("https://www.google.com/maps/search/?api=1&amp;query=-12.209303,-76.906136","Avenida Lima, Villa María del Triunfo")</f>
      </c>
      <c r="N534">
        <v>20.1</v>
      </c>
      <c r="O534">
        <v>88</v>
      </c>
      <c r="P534">
        <v>2529.47</v>
      </c>
      <c r="Q534" t="str">
        <v>162.15</v>
      </c>
      <c r="R534" t="str">
        <v/>
      </c>
      <c r="S534" t="str">
        <v/>
      </c>
      <c r="T534" t="str">
        <v/>
      </c>
      <c r="U534" t="str">
        <v/>
      </c>
    </row>
    <row r="535">
      <c r="A535" t="str">
        <v>534</v>
      </c>
      <c r="B535" t="str">
        <v>MASS BSF</v>
      </c>
      <c r="C535" t="str">
        <v>AAR-880</v>
      </c>
      <c r="D535" t="str">
        <v>AAR-880</v>
      </c>
      <c r="E535" t="str">
        <v/>
      </c>
      <c r="F535" t="str">
        <v>867806078847433</v>
      </c>
      <c r="G535" t="str">
        <v>Otro</v>
      </c>
      <c r="H535" t="str">
        <v/>
      </c>
      <c r="I535" t="str">
        <v>27/09/2026</v>
      </c>
      <c r="J535" t="str">
        <v>12:34:50</v>
      </c>
      <c r="K535">
        <v>-12.207965</v>
      </c>
      <c r="L535">
        <v>-76.90617</v>
      </c>
      <c r="M535">
        <f>HYPERLINK("https://www.google.com/maps/search/?api=1&amp;query=-12.207965,-76.90617","Avenida Lima, Villa María del Triunfo")</f>
      </c>
      <c r="N535">
        <v>21.8</v>
      </c>
      <c r="O535">
        <v>88</v>
      </c>
      <c r="P535">
        <v>2529.62</v>
      </c>
      <c r="Q535" t="str">
        <v>162.15</v>
      </c>
      <c r="R535" t="str">
        <v/>
      </c>
      <c r="S535" t="str">
        <v/>
      </c>
      <c r="T535" t="str">
        <v/>
      </c>
      <c r="U535" t="str">
        <v/>
      </c>
    </row>
    <row r="536">
      <c r="A536" t="str">
        <v>535</v>
      </c>
      <c r="B536" t="str">
        <v>MASS BSF</v>
      </c>
      <c r="C536" t="str">
        <v>AAR-880</v>
      </c>
      <c r="D536" t="str">
        <v>AAR-880</v>
      </c>
      <c r="E536" t="str">
        <v/>
      </c>
      <c r="F536" t="str">
        <v>867806078847433</v>
      </c>
      <c r="G536" t="str">
        <v>Otro</v>
      </c>
      <c r="H536" t="str">
        <v/>
      </c>
      <c r="I536" t="str">
        <v>27/09/2026</v>
      </c>
      <c r="J536" t="str">
        <v>12:34:57</v>
      </c>
      <c r="K536">
        <v>-12.207724</v>
      </c>
      <c r="L536">
        <v>-76.906235</v>
      </c>
      <c r="M536">
        <f>HYPERLINK("https://www.google.com/maps/search/?api=1&amp;query=-12.207724,-76.906235","Avenida Lima, Villa María del Triunfo")</f>
      </c>
      <c r="N536">
        <v>5.5</v>
      </c>
      <c r="O536">
        <v>88</v>
      </c>
      <c r="P536">
        <v>2529.64</v>
      </c>
      <c r="Q536" t="str">
        <v>162.15</v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>536</v>
      </c>
      <c r="B537" t="str">
        <v>MASS BSF</v>
      </c>
      <c r="C537" t="str">
        <v>AAR-880</v>
      </c>
      <c r="D537" t="str">
        <v>AAR-880</v>
      </c>
      <c r="E537" t="str">
        <v/>
      </c>
      <c r="F537" t="str">
        <v>867806078847433</v>
      </c>
      <c r="G537" t="str">
        <v>Otro</v>
      </c>
      <c r="H537" t="str">
        <v/>
      </c>
      <c r="I537" t="str">
        <v>27/09/2026</v>
      </c>
      <c r="J537" t="str">
        <v>12:35:09</v>
      </c>
      <c r="K537">
        <v>-12.207365</v>
      </c>
      <c r="L537">
        <v>-76.90634</v>
      </c>
      <c r="M537">
        <f>HYPERLINK("https://www.google.com/maps/search/?api=1&amp;query=-12.207365,-76.90634","Avenida Lima, Villa María del Triunfo")</f>
      </c>
      <c r="N537">
        <v>21.2</v>
      </c>
      <c r="O537">
        <v>88</v>
      </c>
      <c r="P537">
        <v>2529.68</v>
      </c>
      <c r="Q537" t="str">
        <v>162.15</v>
      </c>
      <c r="R537" t="str">
        <v/>
      </c>
      <c r="S537" t="str">
        <v/>
      </c>
      <c r="T537" t="str">
        <v/>
      </c>
      <c r="U537" t="str">
        <v/>
      </c>
    </row>
    <row r="538">
      <c r="A538" t="str">
        <v>537</v>
      </c>
      <c r="B538" t="str">
        <v>MASS BSF</v>
      </c>
      <c r="C538" t="str">
        <v>AAR-880</v>
      </c>
      <c r="D538" t="str">
        <v>AAR-880</v>
      </c>
      <c r="E538" t="str">
        <v/>
      </c>
      <c r="F538" t="str">
        <v>867806078847433</v>
      </c>
      <c r="G538" t="str">
        <v>Otro</v>
      </c>
      <c r="H538" t="str">
        <v/>
      </c>
      <c r="I538" t="str">
        <v>27/09/2026</v>
      </c>
      <c r="J538" t="str">
        <v>12:35:57</v>
      </c>
      <c r="K538">
        <v>-12.204053</v>
      </c>
      <c r="L538">
        <v>-76.90738</v>
      </c>
      <c r="M538">
        <f>HYPERLINK("https://www.google.com/maps/search/?api=1&amp;query=-12.204053,-76.90738","Avenida Lima, Villa María del Triunfo")</f>
      </c>
      <c r="N538">
        <v>29</v>
      </c>
      <c r="O538">
        <v>88</v>
      </c>
      <c r="P538">
        <v>2530.06</v>
      </c>
      <c r="Q538" t="str">
        <v>162.15</v>
      </c>
      <c r="R538" t="str">
        <v/>
      </c>
      <c r="S538" t="str">
        <v/>
      </c>
      <c r="T538" t="str">
        <v/>
      </c>
      <c r="U538" t="str">
        <v/>
      </c>
    </row>
    <row r="539">
      <c r="A539" t="str">
        <v>538</v>
      </c>
      <c r="B539" t="str">
        <v>MASS BSF</v>
      </c>
      <c r="C539" t="str">
        <v>AAR-880</v>
      </c>
      <c r="D539" t="str">
        <v>AAR-880</v>
      </c>
      <c r="E539" t="str">
        <v/>
      </c>
      <c r="F539" t="str">
        <v>867806078847433</v>
      </c>
      <c r="G539" t="str">
        <v>Otro</v>
      </c>
      <c r="H539" t="str">
        <v/>
      </c>
      <c r="I539" t="str">
        <v>27/09/2026</v>
      </c>
      <c r="J539" t="str">
        <v>12:36:57</v>
      </c>
      <c r="K539">
        <v>-12.200592</v>
      </c>
      <c r="L539">
        <v>-76.90846</v>
      </c>
      <c r="M539">
        <f>HYPERLINK("https://www.google.com/maps/search/?api=1&amp;query=-12.200592,-76.90846","Avenida Atocongo, Villa María del Triunfo, Lima")</f>
      </c>
      <c r="N539">
        <v>26.4</v>
      </c>
      <c r="O539">
        <v>88</v>
      </c>
      <c r="P539">
        <v>2530.46</v>
      </c>
      <c r="Q539" t="str">
        <v>162.15</v>
      </c>
      <c r="R539" t="str">
        <v/>
      </c>
      <c r="S539" t="str">
        <v/>
      </c>
      <c r="T539" t="str">
        <v/>
      </c>
      <c r="U539" t="str">
        <v/>
      </c>
    </row>
    <row r="540">
      <c r="A540" t="str">
        <v>539</v>
      </c>
      <c r="B540" t="str">
        <v>MASS BSF</v>
      </c>
      <c r="C540" t="str">
        <v>AAR-880</v>
      </c>
      <c r="D540" t="str">
        <v>AAR-880</v>
      </c>
      <c r="E540" t="str">
        <v/>
      </c>
      <c r="F540" t="str">
        <v>867806078847433</v>
      </c>
      <c r="G540" t="str">
        <v>Otro</v>
      </c>
      <c r="H540" t="str">
        <v/>
      </c>
      <c r="I540" t="str">
        <v>27/09/2026</v>
      </c>
      <c r="J540" t="str">
        <v>12:37:57</v>
      </c>
      <c r="K540">
        <v>-12.197445</v>
      </c>
      <c r="L540">
        <v>-76.90933</v>
      </c>
      <c r="M540">
        <f>HYPERLINK("https://www.google.com/maps/search/?api=1&amp;query=-12.197445,-76.90933","Avenida Atocongo, Villa María del Triunfo, Lima")</f>
      </c>
      <c r="N540">
        <v>30.1</v>
      </c>
      <c r="O540">
        <v>88</v>
      </c>
      <c r="P540">
        <v>2530.81</v>
      </c>
      <c r="Q540" t="str">
        <v>162.15</v>
      </c>
      <c r="R540" t="str">
        <v/>
      </c>
      <c r="S540" t="str">
        <v/>
      </c>
      <c r="T540" t="str">
        <v/>
      </c>
      <c r="U540" t="str">
        <v/>
      </c>
    </row>
    <row r="541">
      <c r="A541" t="str">
        <v>540</v>
      </c>
      <c r="B541" t="str">
        <v>MASS BSF</v>
      </c>
      <c r="C541" t="str">
        <v>AAR-880</v>
      </c>
      <c r="D541" t="str">
        <v>AAR-880</v>
      </c>
      <c r="E541" t="str">
        <v/>
      </c>
      <c r="F541" t="str">
        <v>867806078847433</v>
      </c>
      <c r="G541" t="str">
        <v>Otro</v>
      </c>
      <c r="H541" t="str">
        <v/>
      </c>
      <c r="I541" t="str">
        <v>27/09/2026</v>
      </c>
      <c r="J541" t="str">
        <v>12:38:19</v>
      </c>
      <c r="K541">
        <v>-12.196383</v>
      </c>
      <c r="L541">
        <v>-76.90956</v>
      </c>
      <c r="M541">
        <f>HYPERLINK("https://www.google.com/maps/search/?api=1&amp;query=-12.196383,-76.90956","Avenida Atocongo, Villa María del Triunfo, Lima")</f>
      </c>
      <c r="N541">
        <v>18.5</v>
      </c>
      <c r="O541">
        <v>88</v>
      </c>
      <c r="P541">
        <v>2530.93</v>
      </c>
      <c r="Q541" t="str">
        <v>162.15</v>
      </c>
      <c r="R541" t="str">
        <v/>
      </c>
      <c r="S541" t="str">
        <v/>
      </c>
      <c r="T541" t="str">
        <v/>
      </c>
      <c r="U541" t="str">
        <v/>
      </c>
    </row>
    <row r="542">
      <c r="A542" t="str">
        <v>541</v>
      </c>
      <c r="B542" t="str">
        <v>MASS BSF</v>
      </c>
      <c r="C542" t="str">
        <v>AAR-880</v>
      </c>
      <c r="D542" t="str">
        <v>AAR-880</v>
      </c>
      <c r="E542" t="str">
        <v/>
      </c>
      <c r="F542" t="str">
        <v>867806078847433</v>
      </c>
      <c r="G542" t="str">
        <v>Otro</v>
      </c>
      <c r="H542" t="str">
        <v/>
      </c>
      <c r="I542" t="str">
        <v>27/09/2026</v>
      </c>
      <c r="J542" t="str">
        <v>12:38:24</v>
      </c>
      <c r="K542">
        <v>-12.196114</v>
      </c>
      <c r="L542">
        <v>-76.90952</v>
      </c>
      <c r="M542">
        <f>HYPERLINK("https://www.google.com/maps/search/?api=1&amp;query=-12.196114,-76.90952","Avenida Atocongo, Villa María del Triunfo, Lima")</f>
      </c>
      <c r="N542">
        <v>24.8</v>
      </c>
      <c r="O542">
        <v>88</v>
      </c>
      <c r="P542">
        <v>2530.96</v>
      </c>
      <c r="Q542" t="str">
        <v>162.15</v>
      </c>
      <c r="R542" t="str">
        <v/>
      </c>
      <c r="S542" t="str">
        <v/>
      </c>
      <c r="T542" t="str">
        <v/>
      </c>
      <c r="U542" t="str">
        <v/>
      </c>
    </row>
    <row r="543">
      <c r="A543" t="str">
        <v>542</v>
      </c>
      <c r="B543" t="str">
        <v>MASS BSF</v>
      </c>
      <c r="C543" t="str">
        <v>AAR-880</v>
      </c>
      <c r="D543" t="str">
        <v>AAR-880</v>
      </c>
      <c r="E543" t="str">
        <v/>
      </c>
      <c r="F543" t="str">
        <v>867806078847433</v>
      </c>
      <c r="G543" t="str">
        <v>Otro</v>
      </c>
      <c r="H543" t="str">
        <v/>
      </c>
      <c r="I543" t="str">
        <v>27/09/2026</v>
      </c>
      <c r="J543" t="str">
        <v>12:38:29</v>
      </c>
      <c r="K543">
        <v>-12.195818</v>
      </c>
      <c r="L543">
        <v>-76.90938</v>
      </c>
      <c r="M543">
        <f>HYPERLINK("https://www.google.com/maps/search/?api=1&amp;query=-12.195818,-76.90938","Avenida Atocongo, Villa María del Triunfo, Lima")</f>
      </c>
      <c r="N543">
        <v>27</v>
      </c>
      <c r="O543">
        <v>88</v>
      </c>
      <c r="P543">
        <v>2531</v>
      </c>
      <c r="Q543" t="str">
        <v>162.15</v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>543</v>
      </c>
      <c r="B544" t="str">
        <v>MASS BSF</v>
      </c>
      <c r="C544" t="str">
        <v>AAR-880</v>
      </c>
      <c r="D544" t="str">
        <v>AAR-880</v>
      </c>
      <c r="E544" t="str">
        <v/>
      </c>
      <c r="F544" t="str">
        <v>867806078847433</v>
      </c>
      <c r="G544" t="str">
        <v>Otro</v>
      </c>
      <c r="H544" t="str">
        <v/>
      </c>
      <c r="I544" t="str">
        <v>27/09/2026</v>
      </c>
      <c r="J544" t="str">
        <v>12:38:34</v>
      </c>
      <c r="K544">
        <v>-12.195548</v>
      </c>
      <c r="L544">
        <v>-76.90914</v>
      </c>
      <c r="M544">
        <f>HYPERLINK("https://www.google.com/maps/search/?api=1&amp;query=-12.195548,-76.90914","Avenida Atocongo, Villa María del Triunfo, Lima")</f>
      </c>
      <c r="N544">
        <v>29.4</v>
      </c>
      <c r="O544">
        <v>88</v>
      </c>
      <c r="P544">
        <v>2531.04</v>
      </c>
      <c r="Q544" t="str">
        <v>162.15</v>
      </c>
      <c r="R544" t="str">
        <v/>
      </c>
      <c r="S544" t="str">
        <v/>
      </c>
      <c r="T544" t="str">
        <v/>
      </c>
      <c r="U544" t="str">
        <v/>
      </c>
    </row>
    <row r="545">
      <c r="A545" t="str">
        <v>544</v>
      </c>
      <c r="B545" t="str">
        <v>MASS BSF</v>
      </c>
      <c r="C545" t="str">
        <v>AAR-880</v>
      </c>
      <c r="D545" t="str">
        <v>AAR-880</v>
      </c>
      <c r="E545" t="str">
        <v/>
      </c>
      <c r="F545" t="str">
        <v>867806078847433</v>
      </c>
      <c r="G545" t="str">
        <v>Otro</v>
      </c>
      <c r="H545" t="str">
        <v/>
      </c>
      <c r="I545" t="str">
        <v>27/09/2026</v>
      </c>
      <c r="J545" t="str">
        <v>12:38:39</v>
      </c>
      <c r="K545">
        <v>-12.195365</v>
      </c>
      <c r="L545">
        <v>-76.90879</v>
      </c>
      <c r="M545">
        <f>HYPERLINK("https://www.google.com/maps/search/?api=1&amp;query=-12.195365,-76.90879","Avenida Atocongo, Villa María del Triunfo, Lima")</f>
      </c>
      <c r="N545">
        <v>32.5</v>
      </c>
      <c r="O545">
        <v>88</v>
      </c>
      <c r="P545">
        <v>2531.08</v>
      </c>
      <c r="Q545" t="str">
        <v>162.15</v>
      </c>
      <c r="R545" t="str">
        <v/>
      </c>
      <c r="S545" t="str">
        <v/>
      </c>
      <c r="T545" t="str">
        <v/>
      </c>
      <c r="U545" t="str">
        <v/>
      </c>
    </row>
    <row r="546">
      <c r="A546" t="str">
        <v>545</v>
      </c>
      <c r="B546" t="str">
        <v>MASS BSF</v>
      </c>
      <c r="C546" t="str">
        <v>AAR-880</v>
      </c>
      <c r="D546" t="str">
        <v>AAR-880</v>
      </c>
      <c r="E546" t="str">
        <v/>
      </c>
      <c r="F546" t="str">
        <v>867806078847433</v>
      </c>
      <c r="G546" t="str">
        <v>Otro</v>
      </c>
      <c r="H546" t="str">
        <v/>
      </c>
      <c r="I546" t="str">
        <v>27/09/2026</v>
      </c>
      <c r="J546" t="str">
        <v>12:38:53</v>
      </c>
      <c r="K546">
        <v>-12.194962</v>
      </c>
      <c r="L546">
        <v>-76.90755</v>
      </c>
      <c r="M546">
        <f>HYPERLINK("https://www.google.com/maps/search/?api=1&amp;query=-12.194962,-76.90755","Avenida Atocongo, Villa María del Triunfo, Lima")</f>
      </c>
      <c r="N546">
        <v>36.4</v>
      </c>
      <c r="O546">
        <v>93</v>
      </c>
      <c r="P546">
        <v>2531.22</v>
      </c>
      <c r="Q546" t="str">
        <v>162.15</v>
      </c>
      <c r="R546" t="str">
        <v>Exceso de velocidad en segmento vial</v>
      </c>
      <c r="S546" t="str">
        <v/>
      </c>
      <c r="T546" t="str">
        <v/>
      </c>
      <c r="U546" t="str">
        <v/>
      </c>
    </row>
    <row r="547">
      <c r="A547" t="str">
        <v>546</v>
      </c>
      <c r="B547" t="str">
        <v>MASS BSF</v>
      </c>
      <c r="C547" t="str">
        <v>AAR-880</v>
      </c>
      <c r="D547" t="str">
        <v>AAR-880</v>
      </c>
      <c r="E547" t="str">
        <v/>
      </c>
      <c r="F547" t="str">
        <v>867806078847433</v>
      </c>
      <c r="G547" t="str">
        <v>Otro</v>
      </c>
      <c r="H547" t="str">
        <v/>
      </c>
      <c r="I547" t="str">
        <v>27/09/2026</v>
      </c>
      <c r="J547" t="str">
        <v>12:38:58</v>
      </c>
      <c r="K547">
        <v>-12.194642</v>
      </c>
      <c r="L547">
        <v>-76.90721</v>
      </c>
      <c r="M547">
        <f>HYPERLINK("https://www.google.com/maps/search/?api=1&amp;query=-12.194642,-76.90721","Avenida Atocongo, Villa María del Triunfo, Lima")</f>
      </c>
      <c r="N547">
        <v>37.2</v>
      </c>
      <c r="O547">
        <v>93</v>
      </c>
      <c r="P547">
        <v>2531.27</v>
      </c>
      <c r="Q547" t="str">
        <v>162.15</v>
      </c>
      <c r="R547" t="str">
        <v>Exceso de velocidad en segmento vial</v>
      </c>
      <c r="S547" t="str">
        <v/>
      </c>
      <c r="T547" t="str">
        <v/>
      </c>
      <c r="U547" t="str">
        <v/>
      </c>
    </row>
    <row r="548">
      <c r="A548" t="str">
        <v>547</v>
      </c>
      <c r="B548" t="str">
        <v>MASS BSF</v>
      </c>
      <c r="C548" t="str">
        <v>AAR-880</v>
      </c>
      <c r="D548" t="str">
        <v>AAR-880</v>
      </c>
      <c r="E548" t="str">
        <v/>
      </c>
      <c r="F548" t="str">
        <v>867806078847433</v>
      </c>
      <c r="G548" t="str">
        <v>Otro</v>
      </c>
      <c r="H548" t="str">
        <v/>
      </c>
      <c r="I548" t="str">
        <v>27/09/2026</v>
      </c>
      <c r="J548" t="str">
        <v>12:39:03</v>
      </c>
      <c r="K548">
        <v>-12.1942</v>
      </c>
      <c r="L548">
        <v>-76.907036</v>
      </c>
      <c r="M548">
        <f>HYPERLINK("https://www.google.com/maps/search/?api=1&amp;query=-12.1942,-76.907036","Avenida Atocongo, Villa María del Triunfo, Lima")</f>
      </c>
      <c r="N548">
        <v>38.1</v>
      </c>
      <c r="O548">
        <v>93</v>
      </c>
      <c r="P548">
        <v>2531.32</v>
      </c>
      <c r="Q548" t="str">
        <v>162.15</v>
      </c>
      <c r="R548" t="str">
        <v>Exceso de velocidad en segmento vial</v>
      </c>
      <c r="S548" t="str">
        <v/>
      </c>
      <c r="T548" t="str">
        <v/>
      </c>
      <c r="U548" t="str">
        <v/>
      </c>
    </row>
    <row r="549">
      <c r="A549" t="str">
        <v>548</v>
      </c>
      <c r="B549" t="str">
        <v>MASS BSF</v>
      </c>
      <c r="C549" t="str">
        <v>AAR-880</v>
      </c>
      <c r="D549" t="str">
        <v>AAR-880</v>
      </c>
      <c r="E549" t="str">
        <v/>
      </c>
      <c r="F549" t="str">
        <v>867806078847433</v>
      </c>
      <c r="G549" t="str">
        <v>Otro</v>
      </c>
      <c r="H549" t="str">
        <v/>
      </c>
      <c r="I549" t="str">
        <v>27/09/2026</v>
      </c>
      <c r="J549" t="str">
        <v>12:40:03</v>
      </c>
      <c r="K549">
        <v>-12.19092</v>
      </c>
      <c r="L549">
        <v>-76.90674</v>
      </c>
      <c r="M549">
        <f>HYPERLINK("https://www.google.com/maps/search/?api=1&amp;query=-12.19092,-76.90674","Avenida Atocongo, Villa María del Triunfo, Lima")</f>
      </c>
      <c r="N549">
        <v>35.1</v>
      </c>
      <c r="O549">
        <v>93</v>
      </c>
      <c r="P549">
        <v>2531.69</v>
      </c>
      <c r="Q549" t="str">
        <v>162.15</v>
      </c>
      <c r="R549" t="str">
        <v>Exceso de velocidad en segmento vial</v>
      </c>
      <c r="S549" t="str">
        <v/>
      </c>
      <c r="T549" t="str">
        <v/>
      </c>
      <c r="U549" t="str">
        <v/>
      </c>
    </row>
    <row r="550">
      <c r="A550" t="str">
        <v>549</v>
      </c>
      <c r="B550" t="str">
        <v>MASS BSF</v>
      </c>
      <c r="C550" t="str">
        <v>AAR-880</v>
      </c>
      <c r="D550" t="str">
        <v>AAR-880</v>
      </c>
      <c r="E550" t="str">
        <v/>
      </c>
      <c r="F550" t="str">
        <v>867806078847433</v>
      </c>
      <c r="G550" t="str">
        <v>Otro</v>
      </c>
      <c r="H550" t="str">
        <v/>
      </c>
      <c r="I550" t="str">
        <v>27/09/2026</v>
      </c>
      <c r="J550" t="str">
        <v>12:40:38</v>
      </c>
      <c r="K550">
        <v>-12.187805</v>
      </c>
      <c r="L550">
        <v>-76.90675</v>
      </c>
      <c r="M550">
        <f>HYPERLINK("https://www.google.com/maps/search/?api=1&amp;query=-12.187805,-76.90675","Avenida Atocongo, Villa María del Triunfo, Lima")</f>
      </c>
      <c r="N550">
        <v>31.4</v>
      </c>
      <c r="O550">
        <v>93</v>
      </c>
      <c r="P550">
        <v>2532.03</v>
      </c>
      <c r="Q550" t="str">
        <v>162.15</v>
      </c>
      <c r="R550" t="str">
        <v/>
      </c>
      <c r="S550" t="str">
        <v/>
      </c>
      <c r="T550" t="str">
        <v/>
      </c>
      <c r="U550" t="str">
        <v/>
      </c>
    </row>
    <row r="551">
      <c r="A551" t="str">
        <v>550</v>
      </c>
      <c r="B551" t="str">
        <v>MASS BSF</v>
      </c>
      <c r="C551" t="str">
        <v>AAR-880</v>
      </c>
      <c r="D551" t="str">
        <v>AAR-880</v>
      </c>
      <c r="E551" t="str">
        <v/>
      </c>
      <c r="F551" t="str">
        <v>867806078847433</v>
      </c>
      <c r="G551" t="str">
        <v>Otro</v>
      </c>
      <c r="H551" t="str">
        <v/>
      </c>
      <c r="I551" t="str">
        <v>27/09/2026</v>
      </c>
      <c r="J551" t="str">
        <v>12:40:43</v>
      </c>
      <c r="K551">
        <v>-12.187438</v>
      </c>
      <c r="L551">
        <v>-76.906876</v>
      </c>
      <c r="M551">
        <f>HYPERLINK("https://www.google.com/maps/search/?api=1&amp;query=-12.187438,-76.906876","Avenida Atocongo, Villa María del Triunfo, Lima")</f>
      </c>
      <c r="N551">
        <v>30.3</v>
      </c>
      <c r="O551">
        <v>93</v>
      </c>
      <c r="P551">
        <v>2532.07</v>
      </c>
      <c r="Q551" t="str">
        <v>162.15</v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>551</v>
      </c>
      <c r="B552" t="str">
        <v>MASS BSF</v>
      </c>
      <c r="C552" t="str">
        <v>AAR-880</v>
      </c>
      <c r="D552" t="str">
        <v>AAR-880</v>
      </c>
      <c r="E552" t="str">
        <v/>
      </c>
      <c r="F552" t="str">
        <v>867806078847433</v>
      </c>
      <c r="G552" t="str">
        <v>Otro</v>
      </c>
      <c r="H552" t="str">
        <v/>
      </c>
      <c r="I552" t="str">
        <v>27/09/2026</v>
      </c>
      <c r="J552" t="str">
        <v>12:41:04</v>
      </c>
      <c r="K552">
        <v>-12.186425</v>
      </c>
      <c r="L552">
        <v>-76.90752</v>
      </c>
      <c r="M552">
        <f>HYPERLINK("https://www.google.com/maps/search/?api=1&amp;query=-12.186425,-76.90752","Avenida Atocongo, Villa María del Triunfo, Lima")</f>
      </c>
      <c r="N552">
        <v>7.5</v>
      </c>
      <c r="O552">
        <v>94</v>
      </c>
      <c r="P552">
        <v>2532.2</v>
      </c>
      <c r="Q552" t="str">
        <v>162.15</v>
      </c>
      <c r="R552" t="str">
        <v/>
      </c>
      <c r="S552" t="str">
        <v/>
      </c>
      <c r="T552" t="str">
        <v/>
      </c>
      <c r="U552" t="str">
        <v/>
      </c>
    </row>
    <row r="553">
      <c r="A553" t="str">
        <v>552</v>
      </c>
      <c r="B553" t="str">
        <v>MASS BSF</v>
      </c>
      <c r="C553" t="str">
        <v>AAR-880</v>
      </c>
      <c r="D553" t="str">
        <v>AAR-880</v>
      </c>
      <c r="E553" t="str">
        <v/>
      </c>
      <c r="F553" t="str">
        <v>867806078847433</v>
      </c>
      <c r="G553" t="str">
        <v>Otro</v>
      </c>
      <c r="H553" t="str">
        <v/>
      </c>
      <c r="I553" t="str">
        <v>27/09/2026</v>
      </c>
      <c r="J553" t="str">
        <v>12:42:04</v>
      </c>
      <c r="K553">
        <v>-12.183996</v>
      </c>
      <c r="L553">
        <v>-76.90917</v>
      </c>
      <c r="M553">
        <f>HYPERLINK("https://www.google.com/maps/search/?api=1&amp;query=-12.183996,-76.90917","Avenida Atocongo, Villa María del Triunfo, Lima")</f>
      </c>
      <c r="N553">
        <v>20.9</v>
      </c>
      <c r="O553">
        <v>94</v>
      </c>
      <c r="P553">
        <v>2532.52</v>
      </c>
      <c r="Q553" t="str">
        <v>162.15</v>
      </c>
      <c r="R553" t="str">
        <v/>
      </c>
      <c r="S553" t="str">
        <v/>
      </c>
      <c r="T553" t="str">
        <v/>
      </c>
      <c r="U553" t="str">
        <v/>
      </c>
    </row>
    <row r="554">
      <c r="A554" t="str">
        <v>553</v>
      </c>
      <c r="B554" t="str">
        <v>MASS BSF</v>
      </c>
      <c r="C554" t="str">
        <v>AAR-880</v>
      </c>
      <c r="D554" t="str">
        <v>AAR-880</v>
      </c>
      <c r="E554" t="str">
        <v/>
      </c>
      <c r="F554" t="str">
        <v>867806078847433</v>
      </c>
      <c r="G554" t="str">
        <v>Otro</v>
      </c>
      <c r="H554" t="str">
        <v/>
      </c>
      <c r="I554" t="str">
        <v>27/09/2026</v>
      </c>
      <c r="J554" t="str">
        <v>12:42:40</v>
      </c>
      <c r="K554">
        <v>-12.182609</v>
      </c>
      <c r="L554">
        <v>-76.91015</v>
      </c>
      <c r="M554">
        <f>HYPERLINK("https://www.google.com/maps/search/?api=1&amp;query=-12.182609,-76.91015","Avenida Atocongo, Villa María del Triunfo, Lima")</f>
      </c>
      <c r="N554">
        <v>22.9</v>
      </c>
      <c r="O554">
        <v>91</v>
      </c>
      <c r="P554">
        <v>2532.71</v>
      </c>
      <c r="Q554" t="str">
        <v>162.15</v>
      </c>
      <c r="R554" t="str">
        <v/>
      </c>
      <c r="S554" t="str">
        <v/>
      </c>
      <c r="T554" t="str">
        <v/>
      </c>
      <c r="U554" t="str">
        <v/>
      </c>
    </row>
    <row r="555">
      <c r="A555" t="str">
        <v>554</v>
      </c>
      <c r="B555" t="str">
        <v>MASS BSF</v>
      </c>
      <c r="C555" t="str">
        <v>AAR-880</v>
      </c>
      <c r="D555" t="str">
        <v>AAR-880</v>
      </c>
      <c r="E555" t="str">
        <v/>
      </c>
      <c r="F555" t="str">
        <v>867806078847433</v>
      </c>
      <c r="G555" t="str">
        <v>Otro</v>
      </c>
      <c r="H555" t="str">
        <v/>
      </c>
      <c r="I555" t="str">
        <v>27/09/2026</v>
      </c>
      <c r="J555" t="str">
        <v>12:42:45</v>
      </c>
      <c r="K555">
        <v>-12.18238</v>
      </c>
      <c r="L555">
        <v>-76.91032</v>
      </c>
      <c r="M555">
        <f>HYPERLINK("https://www.google.com/maps/search/?api=1&amp;query=-12.18238,-76.91032","Avenida Atocongo, Villa María del Triunfo, Lima")</f>
      </c>
      <c r="N555">
        <v>23.5</v>
      </c>
      <c r="O555">
        <v>91</v>
      </c>
      <c r="P555">
        <v>2532.73</v>
      </c>
      <c r="Q555" t="str">
        <v>162.15</v>
      </c>
      <c r="R555" t="str">
        <v/>
      </c>
      <c r="S555" t="str">
        <v/>
      </c>
      <c r="T555" t="str">
        <v/>
      </c>
      <c r="U555" t="str">
        <v/>
      </c>
    </row>
    <row r="556">
      <c r="A556" t="str">
        <v>555</v>
      </c>
      <c r="B556" t="str">
        <v>MASS BSF</v>
      </c>
      <c r="C556" t="str">
        <v>AAR-880</v>
      </c>
      <c r="D556" t="str">
        <v>AAR-880</v>
      </c>
      <c r="E556" t="str">
        <v/>
      </c>
      <c r="F556" t="str">
        <v>867806078847433</v>
      </c>
      <c r="G556" t="str">
        <v>Otro</v>
      </c>
      <c r="H556" t="str">
        <v/>
      </c>
      <c r="I556" t="str">
        <v>27/09/2026</v>
      </c>
      <c r="J556" t="str">
        <v>12:43:20</v>
      </c>
      <c r="K556">
        <v>-12.1809</v>
      </c>
      <c r="L556">
        <v>-76.91129</v>
      </c>
      <c r="M556">
        <f>HYPERLINK("https://www.google.com/maps/search/?api=1&amp;query=-12.1809,-76.91129","Avenida Atocongo, Villa María del Triunfo, Lima")</f>
      </c>
      <c r="N556">
        <v>21.2</v>
      </c>
      <c r="O556">
        <v>91</v>
      </c>
      <c r="P556">
        <v>2532.93</v>
      </c>
      <c r="Q556" t="str">
        <v>162.15</v>
      </c>
      <c r="R556" t="str">
        <v/>
      </c>
      <c r="S556" t="str">
        <v/>
      </c>
      <c r="T556" t="str">
        <v/>
      </c>
      <c r="U556" t="str">
        <v/>
      </c>
    </row>
    <row r="557">
      <c r="A557" t="str">
        <v>556</v>
      </c>
      <c r="B557" t="str">
        <v>MASS BSF</v>
      </c>
      <c r="C557" t="str">
        <v>AAR-880</v>
      </c>
      <c r="D557" t="str">
        <v>AAR-880</v>
      </c>
      <c r="E557" t="str">
        <v/>
      </c>
      <c r="F557" t="str">
        <v>867806078847433</v>
      </c>
      <c r="G557" t="str">
        <v>Otro</v>
      </c>
      <c r="H557" t="str">
        <v/>
      </c>
      <c r="I557" t="str">
        <v>27/09/2026</v>
      </c>
      <c r="J557" t="str">
        <v>12:44:20</v>
      </c>
      <c r="K557">
        <v>-12.177294</v>
      </c>
      <c r="L557">
        <v>-76.91387</v>
      </c>
      <c r="M557">
        <f>HYPERLINK("https://www.google.com/maps/search/?api=1&amp;query=-12.177294,-76.91387","Avenida Atocongo, Villa María del Triunfo, Lima")</f>
      </c>
      <c r="N557">
        <v>26.4</v>
      </c>
      <c r="O557">
        <v>91</v>
      </c>
      <c r="P557">
        <v>2533.41</v>
      </c>
      <c r="Q557" t="str">
        <v>162.15</v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>557</v>
      </c>
      <c r="B558" t="str">
        <v>MASS BSF</v>
      </c>
      <c r="C558" t="str">
        <v>AAR-880</v>
      </c>
      <c r="D558" t="str">
        <v>AAR-880</v>
      </c>
      <c r="E558" t="str">
        <v/>
      </c>
      <c r="F558" t="str">
        <v>867806078847433</v>
      </c>
      <c r="G558" t="str">
        <v>Otro</v>
      </c>
      <c r="H558" t="str">
        <v/>
      </c>
      <c r="I558" t="str">
        <v>27/09/2026</v>
      </c>
      <c r="J558" t="str">
        <v>12:45:02</v>
      </c>
      <c r="K558">
        <v>-12.1744</v>
      </c>
      <c r="L558">
        <v>-76.91561</v>
      </c>
      <c r="M558">
        <f>HYPERLINK("https://www.google.com/maps/search/?api=1&amp;query=-12.1744,-76.91561","Avenida 26 de Noviembre, Villa María del Triunfo, Lima")</f>
      </c>
      <c r="N558">
        <v>32.9</v>
      </c>
      <c r="O558">
        <v>91</v>
      </c>
      <c r="P558">
        <v>2533.78</v>
      </c>
      <c r="Q558" t="str">
        <v>162.15</v>
      </c>
      <c r="R558" t="str">
        <v/>
      </c>
      <c r="S558" t="str">
        <v/>
      </c>
      <c r="T558" t="str">
        <v/>
      </c>
      <c r="U558" t="str">
        <v/>
      </c>
    </row>
    <row r="559">
      <c r="A559" t="str">
        <v>558</v>
      </c>
      <c r="B559" t="str">
        <v>MASS BSF</v>
      </c>
      <c r="C559" t="str">
        <v>AAR-880</v>
      </c>
      <c r="D559" t="str">
        <v>AAR-880</v>
      </c>
      <c r="E559" t="str">
        <v/>
      </c>
      <c r="F559" t="str">
        <v>867806078847433</v>
      </c>
      <c r="G559" t="str">
        <v>Otro</v>
      </c>
      <c r="H559" t="str">
        <v/>
      </c>
      <c r="I559" t="str">
        <v>27/09/2026</v>
      </c>
      <c r="J559" t="str">
        <v>12:46:02</v>
      </c>
      <c r="K559">
        <v>-12.171331</v>
      </c>
      <c r="L559">
        <v>-76.91712</v>
      </c>
      <c r="M559">
        <f>HYPERLINK("https://www.google.com/maps/search/?api=1&amp;query=-12.171331,-76.91712","Avenida 26 de Noviembre, Villa María del Triunfo, Lima")</f>
      </c>
      <c r="N559">
        <v>31.4</v>
      </c>
      <c r="O559">
        <v>91</v>
      </c>
      <c r="P559">
        <v>2534.15</v>
      </c>
      <c r="Q559" t="str">
        <v>162.15</v>
      </c>
      <c r="R559" t="str">
        <v/>
      </c>
      <c r="S559" t="str">
        <v/>
      </c>
      <c r="T559" t="str">
        <v/>
      </c>
      <c r="U559" t="str">
        <v/>
      </c>
    </row>
    <row r="560">
      <c r="A560" t="str">
        <v>559</v>
      </c>
      <c r="B560" t="str">
        <v>MASS BSF</v>
      </c>
      <c r="C560" t="str">
        <v>AAR-880</v>
      </c>
      <c r="D560" t="str">
        <v>AAR-880</v>
      </c>
      <c r="E560" t="str">
        <v/>
      </c>
      <c r="F560" t="str">
        <v>867806078847433</v>
      </c>
      <c r="G560" t="str">
        <v>Otro</v>
      </c>
      <c r="H560" t="str">
        <v/>
      </c>
      <c r="I560" t="str">
        <v>27/09/2026</v>
      </c>
      <c r="J560" t="str">
        <v>12:46:38</v>
      </c>
      <c r="K560">
        <v>-12.168828</v>
      </c>
      <c r="L560">
        <v>-76.91844</v>
      </c>
      <c r="M560">
        <f>HYPERLINK("https://www.google.com/maps/search/?api=1&amp;query=-12.168828,-76.91844","Avenida 26 de Noviembre, Villa María del Triunfo, Lima")</f>
      </c>
      <c r="N560">
        <v>27.9</v>
      </c>
      <c r="O560">
        <v>91</v>
      </c>
      <c r="P560">
        <v>2534.46</v>
      </c>
      <c r="Q560" t="str">
        <v>162.15</v>
      </c>
      <c r="R560" t="str">
        <v/>
      </c>
      <c r="S560" t="str">
        <v/>
      </c>
      <c r="T560" t="str">
        <v/>
      </c>
      <c r="U560" t="str">
        <v/>
      </c>
    </row>
    <row r="561">
      <c r="A561" t="str">
        <v>560</v>
      </c>
      <c r="B561" t="str">
        <v>MASS BSF</v>
      </c>
      <c r="C561" t="str">
        <v>AAR-880</v>
      </c>
      <c r="D561" t="str">
        <v>AAR-880</v>
      </c>
      <c r="E561" t="str">
        <v/>
      </c>
      <c r="F561" t="str">
        <v>867806078847433</v>
      </c>
      <c r="G561" t="str">
        <v>Otro</v>
      </c>
      <c r="H561" t="str">
        <v/>
      </c>
      <c r="I561" t="str">
        <v>27/09/2026</v>
      </c>
      <c r="J561" t="str">
        <v>12:46:47</v>
      </c>
      <c r="K561">
        <v>-12.168473</v>
      </c>
      <c r="L561">
        <v>-76.918755</v>
      </c>
      <c r="M561">
        <f>HYPERLINK("https://www.google.com/maps/search/?api=1&amp;query=-12.168473,-76.918755","Avenida 26 de Noviembre, Villa María del Triunfo, Lima")</f>
      </c>
      <c r="N561">
        <v>16.8</v>
      </c>
      <c r="O561">
        <v>91</v>
      </c>
      <c r="P561">
        <v>2534.51</v>
      </c>
      <c r="Q561" t="str">
        <v>162.15</v>
      </c>
      <c r="R561" t="str">
        <v/>
      </c>
      <c r="S561" t="str">
        <v/>
      </c>
      <c r="T561" t="str">
        <v/>
      </c>
      <c r="U561" t="str">
        <v/>
      </c>
    </row>
    <row r="562">
      <c r="A562" t="str">
        <v>561</v>
      </c>
      <c r="B562" t="str">
        <v>MASS BSF</v>
      </c>
      <c r="C562" t="str">
        <v>AAR-880</v>
      </c>
      <c r="D562" t="str">
        <v>AAR-880</v>
      </c>
      <c r="E562" t="str">
        <v/>
      </c>
      <c r="F562" t="str">
        <v>867806078847433</v>
      </c>
      <c r="G562" t="str">
        <v>Otro</v>
      </c>
      <c r="H562" t="str">
        <v/>
      </c>
      <c r="I562" t="str">
        <v>27/09/2026</v>
      </c>
      <c r="J562" t="str">
        <v>12:47:47</v>
      </c>
      <c r="K562">
        <v>-12.168112</v>
      </c>
      <c r="L562">
        <v>-76.919136</v>
      </c>
      <c r="M562">
        <f>HYPERLINK("https://www.google.com/maps/search/?api=1&amp;query=-12.168112,-76.919136","Avenida 26 de Noviembre, Villa María del Triunfo, Lima")</f>
      </c>
      <c r="N562">
        <v>0</v>
      </c>
      <c r="O562">
        <v>91</v>
      </c>
      <c r="P562">
        <v>2534.56</v>
      </c>
      <c r="Q562" t="str">
        <v>162.15</v>
      </c>
      <c r="R562" t="str">
        <v/>
      </c>
      <c r="S562" t="str">
        <v/>
      </c>
      <c r="T562" t="str">
        <v/>
      </c>
      <c r="U562" t="str">
        <v/>
      </c>
    </row>
    <row r="563">
      <c r="A563" t="str">
        <v>562</v>
      </c>
      <c r="B563" t="str">
        <v>MASS BSF</v>
      </c>
      <c r="C563" t="str">
        <v>AAR-880</v>
      </c>
      <c r="D563" t="str">
        <v>AAR-880</v>
      </c>
      <c r="E563" t="str">
        <v/>
      </c>
      <c r="F563" t="str">
        <v>867806078847433</v>
      </c>
      <c r="G563" t="str">
        <v>Otro</v>
      </c>
      <c r="H563" t="str">
        <v/>
      </c>
      <c r="I563" t="str">
        <v>27/09/2026</v>
      </c>
      <c r="J563" t="str">
        <v>12:48:04</v>
      </c>
      <c r="K563">
        <v>-12.167963</v>
      </c>
      <c r="L563">
        <v>-76.91931</v>
      </c>
      <c r="M563">
        <f>HYPERLINK("https://www.google.com/maps/search/?api=1&amp;query=-12.167963,-76.91931","Avenida 26 de Noviembre, Villa María del Triunfo, Lima")</f>
      </c>
      <c r="N563">
        <v>9</v>
      </c>
      <c r="O563">
        <v>91</v>
      </c>
      <c r="P563">
        <v>2534.59</v>
      </c>
      <c r="Q563" t="str">
        <v>162.15</v>
      </c>
      <c r="R563" t="str">
        <v/>
      </c>
      <c r="S563" t="str">
        <v/>
      </c>
      <c r="T563" t="str">
        <v/>
      </c>
      <c r="U563" t="str">
        <v/>
      </c>
    </row>
    <row r="564">
      <c r="A564" t="str">
        <v>563</v>
      </c>
      <c r="B564" t="str">
        <v>MASS BSF</v>
      </c>
      <c r="C564" t="str">
        <v>AAR-880</v>
      </c>
      <c r="D564" t="str">
        <v>AAR-880</v>
      </c>
      <c r="E564" t="str">
        <v/>
      </c>
      <c r="F564" t="str">
        <v>867806078847433</v>
      </c>
      <c r="G564" t="str">
        <v>Otro</v>
      </c>
      <c r="H564" t="str">
        <v/>
      </c>
      <c r="I564" t="str">
        <v>27/09/2026</v>
      </c>
      <c r="J564" t="str">
        <v>12:48:38</v>
      </c>
      <c r="K564">
        <v>-12.167563</v>
      </c>
      <c r="L564">
        <v>-76.92003</v>
      </c>
      <c r="M564">
        <f>HYPERLINK("https://www.google.com/maps/search/?api=1&amp;query=-12.167563,-76.92003","Avenida 26 de Noviembre, Villa María del Triunfo, Lima")</f>
      </c>
      <c r="N564">
        <v>19</v>
      </c>
      <c r="O564">
        <v>91</v>
      </c>
      <c r="P564">
        <v>2534.67</v>
      </c>
      <c r="Q564" t="str">
        <v>162.15</v>
      </c>
      <c r="R564" t="str">
        <v/>
      </c>
      <c r="S564" t="str">
        <v/>
      </c>
      <c r="T564" t="str">
        <v/>
      </c>
      <c r="U564" t="str">
        <v/>
      </c>
    </row>
    <row r="565">
      <c r="A565" t="str">
        <v>564</v>
      </c>
      <c r="B565" t="str">
        <v>MASS BSF</v>
      </c>
      <c r="C565" t="str">
        <v>AAR-880</v>
      </c>
      <c r="D565" t="str">
        <v>AAR-880</v>
      </c>
      <c r="E565" t="str">
        <v/>
      </c>
      <c r="F565" t="str">
        <v>867806078847433</v>
      </c>
      <c r="G565" t="str">
        <v>Otro</v>
      </c>
      <c r="H565" t="str">
        <v/>
      </c>
      <c r="I565" t="str">
        <v>27/09/2026</v>
      </c>
      <c r="J565" t="str">
        <v>12:48:38</v>
      </c>
      <c r="K565">
        <v>-12.167563</v>
      </c>
      <c r="L565">
        <v>-76.92003</v>
      </c>
      <c r="M565">
        <f>HYPERLINK("https://www.google.com/maps/search/?api=1&amp;query=-12.167563,-76.92003","Avenida 26 de Noviembre, Villa María del Triunfo, Lima")</f>
      </c>
      <c r="N565">
        <v>19</v>
      </c>
      <c r="O565">
        <v>93</v>
      </c>
      <c r="P565">
        <v>2534.59</v>
      </c>
      <c r="Q565" t="str">
        <v>159.32</v>
      </c>
      <c r="R565" t="str">
        <v>Llegó a la zona</v>
      </c>
      <c r="S565" t="str">
        <v>370-26 DE NOVIEMBRE 19</v>
      </c>
      <c r="T565" t="str">
        <v xml:space="preserve"> </v>
      </c>
      <c r="U565" t="str">
        <v/>
      </c>
    </row>
    <row r="566">
      <c r="A566" t="str">
        <v>565</v>
      </c>
      <c r="B566" t="str">
        <v>MASS BSF</v>
      </c>
      <c r="C566" t="str">
        <v>AAR-880</v>
      </c>
      <c r="D566" t="str">
        <v>AAR-880</v>
      </c>
      <c r="E566" t="str">
        <v/>
      </c>
      <c r="F566" t="str">
        <v>867806078847433</v>
      </c>
      <c r="G566" t="str">
        <v>Otro</v>
      </c>
      <c r="H566" t="str">
        <v/>
      </c>
      <c r="I566" t="str">
        <v>27/09/2026</v>
      </c>
      <c r="J566" t="str">
        <v>12:48:43</v>
      </c>
      <c r="K566">
        <v>-12.167508</v>
      </c>
      <c r="L566">
        <v>-76.92031</v>
      </c>
      <c r="M566">
        <f>HYPERLINK("https://www.google.com/maps/search/?api=1&amp;query=-12.167508,-76.92031","Avenida 26 de Noviembre, Villa María del Triunfo, Lima")</f>
      </c>
      <c r="N566">
        <v>24.2</v>
      </c>
      <c r="O566">
        <v>91</v>
      </c>
      <c r="P566">
        <v>2534.7</v>
      </c>
      <c r="Q566" t="str">
        <v>162.15</v>
      </c>
      <c r="R566" t="str">
        <v/>
      </c>
      <c r="S566" t="str">
        <v/>
      </c>
      <c r="T566" t="str">
        <v/>
      </c>
      <c r="U566" t="str">
        <v/>
      </c>
    </row>
    <row r="567">
      <c r="A567" t="str">
        <v>566</v>
      </c>
      <c r="B567" t="str">
        <v>MASS BSF</v>
      </c>
      <c r="C567" t="str">
        <v>AAR-880</v>
      </c>
      <c r="D567" t="str">
        <v>AAR-880</v>
      </c>
      <c r="E567" t="str">
        <v/>
      </c>
      <c r="F567" t="str">
        <v>867806078847433</v>
      </c>
      <c r="G567" t="str">
        <v>Otro</v>
      </c>
      <c r="H567" t="str">
        <v/>
      </c>
      <c r="I567" t="str">
        <v>27/09/2026</v>
      </c>
      <c r="J567" t="str">
        <v>12:48:43</v>
      </c>
      <c r="K567">
        <v>-12.167508</v>
      </c>
      <c r="L567">
        <v>-76.92031</v>
      </c>
      <c r="M567">
        <f>HYPERLINK("https://www.google.com/maps/search/?api=1&amp;query=-12.167508,-76.92031","Avenida 26 de Noviembre, Villa María del Triunfo, Lima")</f>
      </c>
      <c r="N567">
        <v>24.2</v>
      </c>
      <c r="O567">
        <v>90</v>
      </c>
      <c r="P567">
        <v>2534.7</v>
      </c>
      <c r="Q567" t="str">
        <v>159.32</v>
      </c>
      <c r="R567" t="str">
        <v>Salió de zona</v>
      </c>
      <c r="S567" t="str">
        <v>370-26 DE NOVIEMBRE 19</v>
      </c>
      <c r="T567" t="str">
        <v xml:space="preserve"> </v>
      </c>
      <c r="U567" t="str">
        <v/>
      </c>
    </row>
    <row r="568">
      <c r="A568" t="str">
        <v>567</v>
      </c>
      <c r="B568" t="str">
        <v>MASS BSF</v>
      </c>
      <c r="C568" t="str">
        <v>AAR-880</v>
      </c>
      <c r="D568" t="str">
        <v>AAR-880</v>
      </c>
      <c r="E568" t="str">
        <v/>
      </c>
      <c r="F568" t="str">
        <v>867806078847433</v>
      </c>
      <c r="G568" t="str">
        <v>Otro</v>
      </c>
      <c r="H568" t="str">
        <v/>
      </c>
      <c r="I568" t="str">
        <v>27/09/2026</v>
      </c>
      <c r="J568" t="str">
        <v>12:48:48</v>
      </c>
      <c r="K568">
        <v>-12.167488</v>
      </c>
      <c r="L568">
        <v>-76.92061</v>
      </c>
      <c r="M568">
        <f>HYPERLINK("https://www.google.com/maps/search/?api=1&amp;query=-12.167488,-76.92061","Avenida 26 de Noviembre, Villa María del Triunfo, Lima")</f>
      </c>
      <c r="N568">
        <v>21.4</v>
      </c>
      <c r="O568">
        <v>90</v>
      </c>
      <c r="P568">
        <v>2534.73</v>
      </c>
      <c r="Q568" t="str">
        <v>162.15</v>
      </c>
      <c r="R568" t="str">
        <v/>
      </c>
      <c r="S568" t="str">
        <v/>
      </c>
      <c r="T568" t="str">
        <v/>
      </c>
      <c r="U568" t="str">
        <v/>
      </c>
    </row>
    <row r="569">
      <c r="A569" t="str">
        <v>568</v>
      </c>
      <c r="B569" t="str">
        <v>MASS BSF</v>
      </c>
      <c r="C569" t="str">
        <v>AAR-880</v>
      </c>
      <c r="D569" t="str">
        <v>AAR-880</v>
      </c>
      <c r="E569" t="str">
        <v/>
      </c>
      <c r="F569" t="str">
        <v>867806078847433</v>
      </c>
      <c r="G569" t="str">
        <v>Otro</v>
      </c>
      <c r="H569" t="str">
        <v/>
      </c>
      <c r="I569" t="str">
        <v>27/09/2026</v>
      </c>
      <c r="J569" t="str">
        <v>12:49:08</v>
      </c>
      <c r="K569">
        <v>-12.167671</v>
      </c>
      <c r="L569">
        <v>-76.92152</v>
      </c>
      <c r="M569">
        <f>HYPERLINK("https://www.google.com/maps/search/?api=1&amp;query=-12.167671,-76.92152","Avenida 26 de Noviembre, Villa María del Triunfo, Lima")</f>
      </c>
      <c r="N569">
        <v>11.8</v>
      </c>
      <c r="O569">
        <v>90</v>
      </c>
      <c r="P569">
        <v>2534.83</v>
      </c>
      <c r="Q569" t="str">
        <v>162.15</v>
      </c>
      <c r="R569" t="str">
        <v/>
      </c>
      <c r="S569" t="str">
        <v/>
      </c>
      <c r="T569" t="str">
        <v/>
      </c>
      <c r="U569" t="str">
        <v/>
      </c>
    </row>
    <row r="570">
      <c r="A570" t="str">
        <v>569</v>
      </c>
      <c r="B570" t="str">
        <v>MASS BSF</v>
      </c>
      <c r="C570" t="str">
        <v>AAR-880</v>
      </c>
      <c r="D570" t="str">
        <v>AAR-880</v>
      </c>
      <c r="E570" t="str">
        <v/>
      </c>
      <c r="F570" t="str">
        <v>867806078847433</v>
      </c>
      <c r="G570" t="str">
        <v>Otro</v>
      </c>
      <c r="H570" t="str">
        <v/>
      </c>
      <c r="I570" t="str">
        <v>27/09/2026</v>
      </c>
      <c r="J570" t="str">
        <v>12:49:35</v>
      </c>
      <c r="K570">
        <v>-12.167815</v>
      </c>
      <c r="L570">
        <v>-76.92225</v>
      </c>
      <c r="M570">
        <f>HYPERLINK("https://www.google.com/maps/search/?api=1&amp;query=-12.167815,-76.92225","Avenida 26 de Noviembre, Villa María del Triunfo, Lima")</f>
      </c>
      <c r="N570">
        <v>14.6</v>
      </c>
      <c r="O570">
        <v>90</v>
      </c>
      <c r="P570">
        <v>2534.91</v>
      </c>
      <c r="Q570" t="str">
        <v>162.15</v>
      </c>
      <c r="R570" t="str">
        <v/>
      </c>
      <c r="S570" t="str">
        <v/>
      </c>
      <c r="T570" t="str">
        <v/>
      </c>
      <c r="U570" t="str">
        <v/>
      </c>
    </row>
    <row r="571">
      <c r="A571" t="str">
        <v>570</v>
      </c>
      <c r="B571" t="str">
        <v>MASS BSF</v>
      </c>
      <c r="C571" t="str">
        <v>AAR-880</v>
      </c>
      <c r="D571" t="str">
        <v>AAR-880</v>
      </c>
      <c r="E571" t="str">
        <v/>
      </c>
      <c r="F571" t="str">
        <v>867806078847433</v>
      </c>
      <c r="G571" t="str">
        <v>Otro</v>
      </c>
      <c r="H571" t="str">
        <v/>
      </c>
      <c r="I571" t="str">
        <v>27/09/2026</v>
      </c>
      <c r="J571" t="str">
        <v>12:49:40</v>
      </c>
      <c r="K571">
        <v>-12.167775</v>
      </c>
      <c r="L571">
        <v>-76.92251</v>
      </c>
      <c r="M571">
        <f>HYPERLINK("https://www.google.com/maps/search/?api=1&amp;query=-12.167775,-76.92251","Avenida 26 de Noviembre, Villa María del Triunfo, Lima")</f>
      </c>
      <c r="N571">
        <v>24.2</v>
      </c>
      <c r="O571">
        <v>90</v>
      </c>
      <c r="P571">
        <v>2534.94</v>
      </c>
      <c r="Q571" t="str">
        <v>162.15</v>
      </c>
      <c r="R571" t="str">
        <v/>
      </c>
      <c r="S571" t="str">
        <v/>
      </c>
      <c r="T571" t="str">
        <v/>
      </c>
      <c r="U571" t="str">
        <v/>
      </c>
    </row>
    <row r="572">
      <c r="A572" t="str">
        <v>571</v>
      </c>
      <c r="B572" t="str">
        <v>MASS BSF</v>
      </c>
      <c r="C572" t="str">
        <v>AAR-880</v>
      </c>
      <c r="D572" t="str">
        <v>AAR-880</v>
      </c>
      <c r="E572" t="str">
        <v/>
      </c>
      <c r="F572" t="str">
        <v>867806078847433</v>
      </c>
      <c r="G572" t="str">
        <v>Otro</v>
      </c>
      <c r="H572" t="str">
        <v/>
      </c>
      <c r="I572" t="str">
        <v>27/09/2026</v>
      </c>
      <c r="J572" t="str">
        <v>12:50:32</v>
      </c>
      <c r="K572">
        <v>-12.167163</v>
      </c>
      <c r="L572">
        <v>-76.924805</v>
      </c>
      <c r="M572">
        <f>HYPERLINK("https://www.google.com/maps/search/?api=1&amp;query=-12.167163,-76.924805","Avenida 26 de Noviembre, Villa María del Triunfo, Lima")</f>
      </c>
      <c r="N572">
        <v>19</v>
      </c>
      <c r="O572">
        <v>85</v>
      </c>
      <c r="P572">
        <v>2535.19</v>
      </c>
      <c r="Q572" t="str">
        <v>162.15</v>
      </c>
      <c r="R572" t="str">
        <v/>
      </c>
      <c r="S572" t="str">
        <v/>
      </c>
      <c r="T572" t="str">
        <v/>
      </c>
      <c r="U572" t="str">
        <v/>
      </c>
    </row>
    <row r="573">
      <c r="A573" t="str">
        <v>572</v>
      </c>
      <c r="B573" t="str">
        <v>MASS BSF</v>
      </c>
      <c r="C573" t="str">
        <v>AAR-880</v>
      </c>
      <c r="D573" t="str">
        <v>AAR-880</v>
      </c>
      <c r="E573" t="str">
        <v/>
      </c>
      <c r="F573" t="str">
        <v>867806078847433</v>
      </c>
      <c r="G573" t="str">
        <v>Otro</v>
      </c>
      <c r="H573" t="str">
        <v/>
      </c>
      <c r="I573" t="str">
        <v>27/09/2026</v>
      </c>
      <c r="J573" t="str">
        <v>12:50:37</v>
      </c>
      <c r="K573">
        <v>-12.167215</v>
      </c>
      <c r="L573">
        <v>-76.92507</v>
      </c>
      <c r="M573">
        <f>HYPERLINK("https://www.google.com/maps/search/?api=1&amp;query=-12.167215,-76.92507","Avenida 26 de Noviembre, Villa María del Triunfo, Lima")</f>
      </c>
      <c r="N573">
        <v>18.7</v>
      </c>
      <c r="O573">
        <v>85</v>
      </c>
      <c r="P573">
        <v>2535.22</v>
      </c>
      <c r="Q573" t="str">
        <v>162.15</v>
      </c>
      <c r="R573" t="str">
        <v/>
      </c>
      <c r="S573" t="str">
        <v/>
      </c>
      <c r="T573" t="str">
        <v/>
      </c>
      <c r="U573" t="str">
        <v/>
      </c>
    </row>
    <row r="574">
      <c r="A574" t="str">
        <v>573</v>
      </c>
      <c r="B574" t="str">
        <v>MASS BSF</v>
      </c>
      <c r="C574" t="str">
        <v>AAR-880</v>
      </c>
      <c r="D574" t="str">
        <v>AAR-880</v>
      </c>
      <c r="E574" t="str">
        <v/>
      </c>
      <c r="F574" t="str">
        <v>867806078847433</v>
      </c>
      <c r="G574" t="str">
        <v>Otro</v>
      </c>
      <c r="H574" t="str">
        <v/>
      </c>
      <c r="I574" t="str">
        <v>27/09/2026</v>
      </c>
      <c r="J574" t="str">
        <v>12:50:54</v>
      </c>
      <c r="K574">
        <v>-12.167898</v>
      </c>
      <c r="L574">
        <v>-76.92637</v>
      </c>
      <c r="M574">
        <f>HYPERLINK("https://www.google.com/maps/search/?api=1&amp;query=-12.167898,-76.92637","Avenida 26 de Noviembre, Villa María del Triunfo, Lima")</f>
      </c>
      <c r="N574">
        <v>36.4</v>
      </c>
      <c r="O574">
        <v>85</v>
      </c>
      <c r="P574">
        <v>2535.38</v>
      </c>
      <c r="Q574" t="str">
        <v>162.15</v>
      </c>
      <c r="R574" t="str">
        <v/>
      </c>
      <c r="S574" t="str">
        <v/>
      </c>
      <c r="T574" t="str">
        <v/>
      </c>
      <c r="U574" t="str">
        <v/>
      </c>
    </row>
    <row r="575">
      <c r="A575" t="str">
        <v>574</v>
      </c>
      <c r="B575" t="str">
        <v>MASS BSF</v>
      </c>
      <c r="C575" t="str">
        <v>AAR-880</v>
      </c>
      <c r="D575" t="str">
        <v>AAR-880</v>
      </c>
      <c r="E575" t="str">
        <v/>
      </c>
      <c r="F575" t="str">
        <v>867806078847433</v>
      </c>
      <c r="G575" t="str">
        <v>Otro</v>
      </c>
      <c r="H575" t="str">
        <v/>
      </c>
      <c r="I575" t="str">
        <v>27/09/2026</v>
      </c>
      <c r="J575" t="str">
        <v>12:51:54</v>
      </c>
      <c r="K575">
        <v>-12.171225</v>
      </c>
      <c r="L575">
        <v>-76.93092</v>
      </c>
      <c r="M575">
        <f>HYPERLINK("https://www.google.com/maps/search/?api=1&amp;query=-12.171225,-76.93092","Avenida 26 de Noviembre, Villa María del Triunfo, Lima")</f>
      </c>
      <c r="N575">
        <v>17.9</v>
      </c>
      <c r="O575">
        <v>85</v>
      </c>
      <c r="P575">
        <v>2535.99</v>
      </c>
      <c r="Q575" t="str">
        <v>162.15</v>
      </c>
      <c r="R575" t="str">
        <v/>
      </c>
      <c r="S575" t="str">
        <v/>
      </c>
      <c r="T575" t="str">
        <v/>
      </c>
      <c r="U575" t="str">
        <v/>
      </c>
    </row>
    <row r="576">
      <c r="A576" t="str">
        <v>575</v>
      </c>
      <c r="B576" t="str">
        <v>MASS BSF</v>
      </c>
      <c r="C576" t="str">
        <v>AAR-880</v>
      </c>
      <c r="D576" t="str">
        <v>AAR-880</v>
      </c>
      <c r="E576" t="str">
        <v/>
      </c>
      <c r="F576" t="str">
        <v>867806078847433</v>
      </c>
      <c r="G576" t="str">
        <v>Otro</v>
      </c>
      <c r="H576" t="str">
        <v/>
      </c>
      <c r="I576" t="str">
        <v>27/09/2026</v>
      </c>
      <c r="J576" t="str">
        <v>12:52:54</v>
      </c>
      <c r="K576">
        <v>-12.172466</v>
      </c>
      <c r="L576">
        <v>-76.93264</v>
      </c>
      <c r="M576">
        <f>HYPERLINK("https://www.google.com/maps/search/?api=1&amp;query=-12.172466,-76.93264","Avenida 26 de Noviembre, Villa María del Triunfo, Lima")</f>
      </c>
      <c r="N576">
        <v>0</v>
      </c>
      <c r="O576">
        <v>85</v>
      </c>
      <c r="P576">
        <v>2536.22</v>
      </c>
      <c r="Q576" t="str">
        <v>162.15</v>
      </c>
      <c r="R576" t="str">
        <v/>
      </c>
      <c r="S576" t="str">
        <v/>
      </c>
      <c r="T576" t="str">
        <v/>
      </c>
      <c r="U576" t="str">
        <v/>
      </c>
    </row>
    <row r="577">
      <c r="A577" t="str">
        <v>576</v>
      </c>
      <c r="B577" t="str">
        <v>MASS BSF</v>
      </c>
      <c r="C577" t="str">
        <v>AAR-880</v>
      </c>
      <c r="D577" t="str">
        <v>AAR-880</v>
      </c>
      <c r="E577" t="str">
        <v/>
      </c>
      <c r="F577" t="str">
        <v>867806078847433</v>
      </c>
      <c r="G577" t="str">
        <v>Otro</v>
      </c>
      <c r="H577" t="str">
        <v/>
      </c>
      <c r="I577" t="str">
        <v>27/09/2026</v>
      </c>
      <c r="J577" t="str">
        <v>12:53:54</v>
      </c>
      <c r="K577">
        <v>-12.174811</v>
      </c>
      <c r="L577">
        <v>-76.93591</v>
      </c>
      <c r="M577">
        <f>HYPERLINK("https://www.google.com/maps/search/?api=1&amp;query=-12.174811,-76.93591","Avenida 26 de Noviembre, Villa María del Triunfo, Lima")</f>
      </c>
      <c r="N577">
        <v>35.9</v>
      </c>
      <c r="O577">
        <v>85</v>
      </c>
      <c r="P577">
        <v>2536.66</v>
      </c>
      <c r="Q577" t="str">
        <v>162.15</v>
      </c>
      <c r="R577" t="str">
        <v/>
      </c>
      <c r="S577" t="str">
        <v/>
      </c>
      <c r="T577" t="str">
        <v/>
      </c>
      <c r="U577" t="str">
        <v/>
      </c>
    </row>
    <row r="578">
      <c r="A578" t="str">
        <v>577</v>
      </c>
      <c r="B578" t="str">
        <v>MASS BSF</v>
      </c>
      <c r="C578" t="str">
        <v>AAR-880</v>
      </c>
      <c r="D578" t="str">
        <v>AAR-880</v>
      </c>
      <c r="E578" t="str">
        <v/>
      </c>
      <c r="F578" t="str">
        <v>867806078847433</v>
      </c>
      <c r="G578" t="str">
        <v>Otro</v>
      </c>
      <c r="H578" t="str">
        <v/>
      </c>
      <c r="I578" t="str">
        <v>27/09/2026</v>
      </c>
      <c r="J578" t="str">
        <v>12:54:54</v>
      </c>
      <c r="K578">
        <v>-12.177323</v>
      </c>
      <c r="L578">
        <v>-76.93931</v>
      </c>
      <c r="M578">
        <f>HYPERLINK("https://www.google.com/maps/search/?api=1&amp;query=-12.177323,-76.93931","Avenida 26 de Noviembre, Villa María del Triunfo, Lima")</f>
      </c>
      <c r="N578">
        <v>0</v>
      </c>
      <c r="O578">
        <v>85</v>
      </c>
      <c r="P578">
        <v>2537.11</v>
      </c>
      <c r="Q578" t="str">
        <v>162.15</v>
      </c>
      <c r="R578" t="str">
        <v/>
      </c>
      <c r="S578" t="str">
        <v/>
      </c>
      <c r="T578" t="str">
        <v/>
      </c>
      <c r="U578" t="str">
        <v/>
      </c>
    </row>
    <row r="579">
      <c r="A579" t="str">
        <v>578</v>
      </c>
      <c r="B579" t="str">
        <v>MASS BSF</v>
      </c>
      <c r="C579" t="str">
        <v>AAR-880</v>
      </c>
      <c r="D579" t="str">
        <v>AAR-880</v>
      </c>
      <c r="E579" t="str">
        <v/>
      </c>
      <c r="F579" t="str">
        <v>867806078847433</v>
      </c>
      <c r="G579" t="str">
        <v>Otro</v>
      </c>
      <c r="H579" t="str">
        <v/>
      </c>
      <c r="I579" t="str">
        <v>27/09/2026</v>
      </c>
      <c r="J579" t="str">
        <v>12:55:54</v>
      </c>
      <c r="K579">
        <v>-12.17905</v>
      </c>
      <c r="L579">
        <v>-76.941666</v>
      </c>
      <c r="M579">
        <f>HYPERLINK("https://www.google.com/maps/search/?api=1&amp;query=-12.17905,-76.941666","Avenida 26 de Noviembre, Villa María del Triunfo, Lima")</f>
      </c>
      <c r="N579">
        <v>48.1</v>
      </c>
      <c r="O579">
        <v>85</v>
      </c>
      <c r="P579">
        <v>2537.43</v>
      </c>
      <c r="Q579" t="str">
        <v>162.15</v>
      </c>
      <c r="R579" t="str">
        <v/>
      </c>
      <c r="S579" t="str">
        <v/>
      </c>
      <c r="T579" t="str">
        <v/>
      </c>
      <c r="U579" t="str">
        <v/>
      </c>
    </row>
    <row r="580">
      <c r="A580" t="str">
        <v>579</v>
      </c>
      <c r="B580" t="str">
        <v>MASS BSF</v>
      </c>
      <c r="C580" t="str">
        <v>AAR-880</v>
      </c>
      <c r="D580" t="str">
        <v>AAR-880</v>
      </c>
      <c r="E580" t="str">
        <v/>
      </c>
      <c r="F580" t="str">
        <v>867806078847433</v>
      </c>
      <c r="G580" t="str">
        <v>Otro</v>
      </c>
      <c r="H580" t="str">
        <v/>
      </c>
      <c r="I580" t="str">
        <v>27/09/2026</v>
      </c>
      <c r="J580" t="str">
        <v>12:56:54</v>
      </c>
      <c r="K580">
        <v>-12.180023</v>
      </c>
      <c r="L580">
        <v>-76.94286</v>
      </c>
      <c r="M580">
        <f>HYPERLINK("https://www.google.com/maps/search/?api=1&amp;query=-12.180023,-76.94286","Avenida 26 de Noviembre, Villa María del Triunfo, Lima")</f>
      </c>
      <c r="N580">
        <v>0</v>
      </c>
      <c r="O580">
        <v>85</v>
      </c>
      <c r="P580">
        <v>2537.6</v>
      </c>
      <c r="Q580" t="str">
        <v>162.15</v>
      </c>
      <c r="R580" t="str">
        <v/>
      </c>
      <c r="S580" t="str">
        <v/>
      </c>
      <c r="T580" t="str">
        <v/>
      </c>
      <c r="U580" t="str">
        <v/>
      </c>
    </row>
    <row r="581">
      <c r="A581" t="str">
        <v>580</v>
      </c>
      <c r="B581" t="str">
        <v>MASS BSF</v>
      </c>
      <c r="C581" t="str">
        <v>AAR-880</v>
      </c>
      <c r="D581" t="str">
        <v>AAR-880</v>
      </c>
      <c r="E581" t="str">
        <v/>
      </c>
      <c r="F581" t="str">
        <v>867806078847433</v>
      </c>
      <c r="G581" t="str">
        <v>Otro</v>
      </c>
      <c r="H581" t="str">
        <v/>
      </c>
      <c r="I581" t="str">
        <v>27/09/2026</v>
      </c>
      <c r="J581" t="str">
        <v>12:57:41</v>
      </c>
      <c r="K581">
        <v>-12.180262</v>
      </c>
      <c r="L581">
        <v>-76.943214</v>
      </c>
      <c r="M581">
        <f>HYPERLINK("https://www.google.com/maps/search/?api=1&amp;query=-12.180262,-76.943214","Avenida 26 de Noviembre, Villa María del Triunfo, Lima")</f>
      </c>
      <c r="N581">
        <v>17.2</v>
      </c>
      <c r="O581">
        <v>85</v>
      </c>
      <c r="P581">
        <v>2537.64</v>
      </c>
      <c r="Q581" t="str">
        <v>162.15</v>
      </c>
      <c r="R581" t="str">
        <v/>
      </c>
      <c r="S581" t="str">
        <v/>
      </c>
      <c r="T581" t="str">
        <v/>
      </c>
      <c r="U581" t="str">
        <v/>
      </c>
    </row>
    <row r="582">
      <c r="A582" t="str">
        <v>581</v>
      </c>
      <c r="B582" t="str">
        <v>MASS BSF</v>
      </c>
      <c r="C582" t="str">
        <v>AAR-880</v>
      </c>
      <c r="D582" t="str">
        <v>AAR-880</v>
      </c>
      <c r="E582" t="str">
        <v/>
      </c>
      <c r="F582" t="str">
        <v>867806078847433</v>
      </c>
      <c r="G582" t="str">
        <v>Otro</v>
      </c>
      <c r="H582" t="str">
        <v/>
      </c>
      <c r="I582" t="str">
        <v>27/09/2026</v>
      </c>
      <c r="J582" t="str">
        <v>12:57:46</v>
      </c>
      <c r="K582">
        <v>-12.180318</v>
      </c>
      <c r="L582">
        <v>-76.94345</v>
      </c>
      <c r="M582">
        <f>HYPERLINK("https://www.google.com/maps/search/?api=1&amp;query=-12.180318,-76.94345","Ovalo 26 de Noviembre, Villa María del Triunfo, Lima")</f>
      </c>
      <c r="N582">
        <v>17.7</v>
      </c>
      <c r="O582">
        <v>85</v>
      </c>
      <c r="P582">
        <v>2537.67</v>
      </c>
      <c r="Q582" t="str">
        <v>162.15</v>
      </c>
      <c r="R582" t="str">
        <v/>
      </c>
      <c r="S582" t="str">
        <v/>
      </c>
      <c r="T582" t="str">
        <v/>
      </c>
      <c r="U582" t="str">
        <v/>
      </c>
    </row>
    <row r="583">
      <c r="A583" t="str">
        <v>582</v>
      </c>
      <c r="B583" t="str">
        <v>MASS BSF</v>
      </c>
      <c r="C583" t="str">
        <v>AAR-880</v>
      </c>
      <c r="D583" t="str">
        <v>AAR-880</v>
      </c>
      <c r="E583" t="str">
        <v/>
      </c>
      <c r="F583" t="str">
        <v>867806078847433</v>
      </c>
      <c r="G583" t="str">
        <v>Otro</v>
      </c>
      <c r="H583" t="str">
        <v/>
      </c>
      <c r="I583" t="str">
        <v>27/09/2026</v>
      </c>
      <c r="J583" t="str">
        <v>12:57:51</v>
      </c>
      <c r="K583">
        <v>-12.1802</v>
      </c>
      <c r="L583">
        <v>-76.94366</v>
      </c>
      <c r="M583">
        <f>HYPERLINK("https://www.google.com/maps/search/?api=1&amp;query=-12.1802,-76.94366","Avenida Pachacútec, Villa María del Triunfo, Lima")</f>
      </c>
      <c r="N583">
        <v>20</v>
      </c>
      <c r="O583">
        <v>85</v>
      </c>
      <c r="P583">
        <v>2537.69</v>
      </c>
      <c r="Q583" t="str">
        <v>162.15</v>
      </c>
      <c r="R583" t="str">
        <v/>
      </c>
      <c r="S583" t="str">
        <v/>
      </c>
      <c r="T583" t="str">
        <v/>
      </c>
      <c r="U583" t="str">
        <v/>
      </c>
    </row>
    <row r="584">
      <c r="A584" t="str">
        <v>583</v>
      </c>
      <c r="B584" t="str">
        <v>MASS BSF</v>
      </c>
      <c r="C584" t="str">
        <v>AAR-880</v>
      </c>
      <c r="D584" t="str">
        <v>AAR-880</v>
      </c>
      <c r="E584" t="str">
        <v/>
      </c>
      <c r="F584" t="str">
        <v>867806078847433</v>
      </c>
      <c r="G584" t="str">
        <v>Otro</v>
      </c>
      <c r="H584" t="str">
        <v/>
      </c>
      <c r="I584" t="str">
        <v>27/09/2026</v>
      </c>
      <c r="J584" t="str">
        <v>12:58:30</v>
      </c>
      <c r="K584">
        <v>-12.177218</v>
      </c>
      <c r="L584">
        <v>-76.9453</v>
      </c>
      <c r="M584">
        <f>HYPERLINK("https://www.google.com/maps/search/?api=1&amp;query=-12.177218,-76.9453","Avenida Pachacútec, Villa María del Triunfo, Lima")</f>
      </c>
      <c r="N584">
        <v>44.8</v>
      </c>
      <c r="O584">
        <v>85</v>
      </c>
      <c r="P584">
        <v>2538.07</v>
      </c>
      <c r="Q584" t="str">
        <v>162.15</v>
      </c>
      <c r="R584" t="str">
        <v/>
      </c>
      <c r="S584" t="str">
        <v/>
      </c>
      <c r="T584" t="str">
        <v/>
      </c>
      <c r="U584" t="str">
        <v/>
      </c>
    </row>
    <row r="585">
      <c r="A585" t="str">
        <v>584</v>
      </c>
      <c r="B585" t="str">
        <v>MASS BSF</v>
      </c>
      <c r="C585" t="str">
        <v>AAR-880</v>
      </c>
      <c r="D585" t="str">
        <v>AAR-880</v>
      </c>
      <c r="E585" t="str">
        <v/>
      </c>
      <c r="F585" t="str">
        <v>867806078847433</v>
      </c>
      <c r="G585" t="str">
        <v>Otro</v>
      </c>
      <c r="H585" t="str">
        <v/>
      </c>
      <c r="I585" t="str">
        <v>27/09/2026</v>
      </c>
      <c r="J585" t="str">
        <v>12:59:30</v>
      </c>
      <c r="K585">
        <v>-12.176661</v>
      </c>
      <c r="L585">
        <v>-76.94557</v>
      </c>
      <c r="M585">
        <f>HYPERLINK("https://www.google.com/maps/search/?api=1&amp;query=-12.176661,-76.94557","Avenida Pachacútec, Villa María del Triunfo, Lima")</f>
      </c>
      <c r="N585">
        <v>0</v>
      </c>
      <c r="O585">
        <v>85</v>
      </c>
      <c r="P585">
        <v>2538.13</v>
      </c>
      <c r="Q585" t="str">
        <v>162.15</v>
      </c>
      <c r="R585" t="str">
        <v/>
      </c>
      <c r="S585" t="str">
        <v/>
      </c>
      <c r="T585" t="str">
        <v/>
      </c>
      <c r="U585" t="str">
        <v/>
      </c>
    </row>
    <row r="586">
      <c r="A586" t="str">
        <v>585</v>
      </c>
      <c r="B586" t="str">
        <v>MASS BSF</v>
      </c>
      <c r="C586" t="str">
        <v>AAR-880</v>
      </c>
      <c r="D586" t="str">
        <v>AAR-880</v>
      </c>
      <c r="E586" t="str">
        <v/>
      </c>
      <c r="F586" t="str">
        <v>867806078847433</v>
      </c>
      <c r="G586" t="str">
        <v>Otro</v>
      </c>
      <c r="H586" t="str">
        <v/>
      </c>
      <c r="I586" t="str">
        <v>27/09/2026</v>
      </c>
      <c r="J586" t="str">
        <v>13:00:30</v>
      </c>
      <c r="K586">
        <v>-12.175365</v>
      </c>
      <c r="L586">
        <v>-76.946335</v>
      </c>
      <c r="M586">
        <f>HYPERLINK("https://www.google.com/maps/search/?api=1&amp;query=-12.175365,-76.946335","Avenida Pachacútec, Villa María del Triunfo, Lima")</f>
      </c>
      <c r="N586">
        <v>0</v>
      </c>
      <c r="O586">
        <v>85</v>
      </c>
      <c r="P586">
        <v>2538.3</v>
      </c>
      <c r="Q586" t="str">
        <v>162.15</v>
      </c>
      <c r="R586" t="str">
        <v/>
      </c>
      <c r="S586" t="str">
        <v/>
      </c>
      <c r="T586" t="str">
        <v/>
      </c>
      <c r="U586" t="str">
        <v/>
      </c>
    </row>
    <row r="587">
      <c r="A587" t="str">
        <v>586</v>
      </c>
      <c r="B587" t="str">
        <v>MASS BSF</v>
      </c>
      <c r="C587" t="str">
        <v>AAR-880</v>
      </c>
      <c r="D587" t="str">
        <v>AAR-880</v>
      </c>
      <c r="E587" t="str">
        <v/>
      </c>
      <c r="F587" t="str">
        <v>867806078847433</v>
      </c>
      <c r="G587" t="str">
        <v>Otro</v>
      </c>
      <c r="H587" t="str">
        <v/>
      </c>
      <c r="I587" t="str">
        <v>27/09/2026</v>
      </c>
      <c r="J587" t="str">
        <v>13:01:30</v>
      </c>
      <c r="K587">
        <v>-12.174688</v>
      </c>
      <c r="L587">
        <v>-76.94679</v>
      </c>
      <c r="M587">
        <f>HYPERLINK("https://www.google.com/maps/search/?api=1&amp;query=-12.174688,-76.94679","Avenida Pachacútec, Villa María del Triunfo, Lima")</f>
      </c>
      <c r="N587">
        <v>25.9</v>
      </c>
      <c r="O587">
        <v>85</v>
      </c>
      <c r="P587">
        <v>2538.38</v>
      </c>
      <c r="Q587" t="str">
        <v>162.15</v>
      </c>
      <c r="R587" t="str">
        <v/>
      </c>
      <c r="S587" t="str">
        <v/>
      </c>
      <c r="T587" t="str">
        <v/>
      </c>
      <c r="U587" t="str">
        <v/>
      </c>
    </row>
    <row r="588">
      <c r="A588" t="str">
        <v>587</v>
      </c>
      <c r="B588" t="str">
        <v>MASS BSF</v>
      </c>
      <c r="C588" t="str">
        <v>AAR-880</v>
      </c>
      <c r="D588" t="str">
        <v>AAR-880</v>
      </c>
      <c r="E588" t="str">
        <v/>
      </c>
      <c r="F588" t="str">
        <v>867806078847433</v>
      </c>
      <c r="G588" t="str">
        <v>Otro</v>
      </c>
      <c r="H588" t="str">
        <v/>
      </c>
      <c r="I588" t="str">
        <v>27/09/2026</v>
      </c>
      <c r="J588" t="str">
        <v>13:02:30</v>
      </c>
      <c r="K588">
        <v>-12.170225</v>
      </c>
      <c r="L588">
        <v>-76.94964</v>
      </c>
      <c r="M588">
        <f>HYPERLINK("https://www.google.com/maps/search/?api=1&amp;query=-12.170225,-76.94964","Avenida Pachacútec, Villa María del Triunfo, Lima")</f>
      </c>
      <c r="N588">
        <v>39</v>
      </c>
      <c r="O588">
        <v>85</v>
      </c>
      <c r="P588">
        <v>2538.96</v>
      </c>
      <c r="Q588" t="str">
        <v>162.15</v>
      </c>
      <c r="R588" t="str">
        <v/>
      </c>
      <c r="S588" t="str">
        <v/>
      </c>
      <c r="T588" t="str">
        <v/>
      </c>
      <c r="U588" t="str">
        <v/>
      </c>
    </row>
    <row r="589">
      <c r="A589" t="str">
        <v>588</v>
      </c>
      <c r="B589" t="str">
        <v>MASS BSF</v>
      </c>
      <c r="C589" t="str">
        <v>AAR-880</v>
      </c>
      <c r="D589" t="str">
        <v>AAR-880</v>
      </c>
      <c r="E589" t="str">
        <v/>
      </c>
      <c r="F589" t="str">
        <v>867806078847433</v>
      </c>
      <c r="G589" t="str">
        <v>Otro</v>
      </c>
      <c r="H589" t="str">
        <v/>
      </c>
      <c r="I589" t="str">
        <v>27/09/2026</v>
      </c>
      <c r="J589" t="str">
        <v>13:03:08</v>
      </c>
      <c r="K589">
        <v>-12.16686</v>
      </c>
      <c r="L589">
        <v>-76.95174</v>
      </c>
      <c r="M589">
        <f>HYPERLINK("https://www.google.com/maps/search/?api=1&amp;query=-12.16686,-76.95174","Avenida Pachacútec, Villa María del Triunfo, Lima")</f>
      </c>
      <c r="N589">
        <v>46.6</v>
      </c>
      <c r="O589">
        <v>85</v>
      </c>
      <c r="P589">
        <v>2539.4</v>
      </c>
      <c r="Q589" t="str">
        <v>162.15</v>
      </c>
      <c r="R589" t="str">
        <v/>
      </c>
      <c r="S589" t="str">
        <v/>
      </c>
      <c r="T589" t="str">
        <v/>
      </c>
      <c r="U589" t="str">
        <v/>
      </c>
    </row>
    <row r="590">
      <c r="A590" t="str">
        <v>589</v>
      </c>
      <c r="B590" t="str">
        <v>MASS BSF</v>
      </c>
      <c r="C590" t="str">
        <v>AAR-880</v>
      </c>
      <c r="D590" t="str">
        <v>AAR-880</v>
      </c>
      <c r="E590" t="str">
        <v/>
      </c>
      <c r="F590" t="str">
        <v>867806078847433</v>
      </c>
      <c r="G590" t="str">
        <v>Otro</v>
      </c>
      <c r="H590" t="str">
        <v/>
      </c>
      <c r="I590" t="str">
        <v>27/09/2026</v>
      </c>
      <c r="J590" t="str">
        <v>13:03:57</v>
      </c>
      <c r="K590">
        <v>-12.161339</v>
      </c>
      <c r="L590">
        <v>-76.95593</v>
      </c>
      <c r="M590">
        <f>HYPERLINK("https://www.google.com/maps/search/?api=1&amp;query=-12.161339,-76.95593","Avenida Pachacútec, Villa María del Triunfo, Lima")</f>
      </c>
      <c r="N590">
        <v>39.6</v>
      </c>
      <c r="O590">
        <v>92</v>
      </c>
      <c r="P590">
        <v>2540.16</v>
      </c>
      <c r="Q590" t="str">
        <v>162.15</v>
      </c>
      <c r="R590" t="str">
        <v/>
      </c>
      <c r="S590" t="str">
        <v/>
      </c>
      <c r="T590" t="str">
        <v/>
      </c>
      <c r="U590" t="str">
        <v/>
      </c>
    </row>
    <row r="591">
      <c r="A591" t="str">
        <v>590</v>
      </c>
      <c r="B591" t="str">
        <v>MASS BSF</v>
      </c>
      <c r="C591" t="str">
        <v>AAR-880</v>
      </c>
      <c r="D591" t="str">
        <v>AAR-880</v>
      </c>
      <c r="E591" t="str">
        <v/>
      </c>
      <c r="F591" t="str">
        <v>867806078847433</v>
      </c>
      <c r="G591" t="str">
        <v>Otro</v>
      </c>
      <c r="H591" t="str">
        <v/>
      </c>
      <c r="I591" t="str">
        <v>27/09/2026</v>
      </c>
      <c r="J591" t="str">
        <v>13:04:29</v>
      </c>
      <c r="K591">
        <v>-12.160242</v>
      </c>
      <c r="L591">
        <v>-76.956726</v>
      </c>
      <c r="M591">
        <f>HYPERLINK("https://www.google.com/maps/search/?api=1&amp;query=-12.160242,-76.956726","Avenida Pachacútec, San Juan de Miraflores, Lima")</f>
      </c>
      <c r="N591">
        <v>12</v>
      </c>
      <c r="O591">
        <v>92</v>
      </c>
      <c r="P591">
        <v>2540.3</v>
      </c>
      <c r="Q591" t="str">
        <v>162.15</v>
      </c>
      <c r="R591" t="str">
        <v/>
      </c>
      <c r="S591" t="str">
        <v/>
      </c>
      <c r="T591" t="str">
        <v/>
      </c>
      <c r="U591" t="str">
        <v/>
      </c>
    </row>
    <row r="592">
      <c r="A592" t="str">
        <v>591</v>
      </c>
      <c r="B592" t="str">
        <v>MASS BSF</v>
      </c>
      <c r="C592" t="str">
        <v>AAR-880</v>
      </c>
      <c r="D592" t="str">
        <v>AAR-880</v>
      </c>
      <c r="E592" t="str">
        <v/>
      </c>
      <c r="F592" t="str">
        <v>867806078847433</v>
      </c>
      <c r="G592" t="str">
        <v>Otro</v>
      </c>
      <c r="H592" t="str">
        <v/>
      </c>
      <c r="I592" t="str">
        <v>27/09/2026</v>
      </c>
      <c r="J592" t="str">
        <v>13:04:44</v>
      </c>
      <c r="K592">
        <v>-12.160135</v>
      </c>
      <c r="L592">
        <v>-76.95671</v>
      </c>
      <c r="M592">
        <f>HYPERLINK("https://www.google.com/maps/search/?api=1&amp;query=-12.160135,-76.95671","Jirón Huamachuco, San Juan de Miraflores, Lima")</f>
      </c>
      <c r="N592">
        <v>6.4</v>
      </c>
      <c r="O592">
        <v>92</v>
      </c>
      <c r="P592">
        <v>2540.32</v>
      </c>
      <c r="Q592" t="str">
        <v>162.15</v>
      </c>
      <c r="R592" t="str">
        <v/>
      </c>
      <c r="S592" t="str">
        <v/>
      </c>
      <c r="T592" t="str">
        <v/>
      </c>
      <c r="U592" t="str">
        <v/>
      </c>
    </row>
    <row r="593">
      <c r="A593" t="str">
        <v>592</v>
      </c>
      <c r="B593" t="str">
        <v>MASS BSF</v>
      </c>
      <c r="C593" t="str">
        <v>AAR-880</v>
      </c>
      <c r="D593" t="str">
        <v>AAR-880</v>
      </c>
      <c r="E593" t="str">
        <v/>
      </c>
      <c r="F593" t="str">
        <v>867806078847433</v>
      </c>
      <c r="G593" t="str">
        <v>Otro</v>
      </c>
      <c r="H593" t="str">
        <v/>
      </c>
      <c r="I593" t="str">
        <v>27/09/2026</v>
      </c>
      <c r="J593" t="str">
        <v>13:04:51</v>
      </c>
      <c r="K593">
        <v>-12.16003</v>
      </c>
      <c r="L593">
        <v>-76.95659</v>
      </c>
      <c r="M593">
        <f>HYPERLINK("https://www.google.com/maps/search/?api=1&amp;query=-12.16003,-76.95659","Jirón Huamachuco, San Juan de Miraflores, Lima")</f>
      </c>
      <c r="N593">
        <v>9.8</v>
      </c>
      <c r="O593">
        <v>92</v>
      </c>
      <c r="P593">
        <v>2540.33</v>
      </c>
      <c r="Q593" t="str">
        <v>162.15</v>
      </c>
      <c r="R593" t="str">
        <v/>
      </c>
      <c r="S593" t="str">
        <v/>
      </c>
      <c r="T593" t="str">
        <v/>
      </c>
      <c r="U593" t="str">
        <v/>
      </c>
    </row>
    <row r="594">
      <c r="A594" t="str">
        <v>593</v>
      </c>
      <c r="B594" t="str">
        <v>MASS BSF</v>
      </c>
      <c r="C594" t="str">
        <v>AAR-880</v>
      </c>
      <c r="D594" t="str">
        <v>AAR-880</v>
      </c>
      <c r="E594" t="str">
        <v/>
      </c>
      <c r="F594" t="str">
        <v>867806078847433</v>
      </c>
      <c r="G594" t="str">
        <v>Otro</v>
      </c>
      <c r="H594" t="str">
        <v/>
      </c>
      <c r="I594" t="str">
        <v>27/09/2026</v>
      </c>
      <c r="J594" t="str">
        <v>13:05:19</v>
      </c>
      <c r="K594">
        <v>-12.159723</v>
      </c>
      <c r="L594">
        <v>-76.95627</v>
      </c>
      <c r="M594">
        <f>HYPERLINK("https://www.google.com/maps/search/?api=1&amp;query=-12.159723,-76.95627","Avenida Nicolás de Piérola, Villa María del Triunfo, Lima")</f>
      </c>
      <c r="N594">
        <v>11.6</v>
      </c>
      <c r="O594">
        <v>92</v>
      </c>
      <c r="P594">
        <v>2540.38</v>
      </c>
      <c r="Q594" t="str">
        <v>162.15</v>
      </c>
      <c r="R594" t="str">
        <v/>
      </c>
      <c r="S594" t="str">
        <v/>
      </c>
      <c r="T594" t="str">
        <v/>
      </c>
      <c r="U594" t="str">
        <v/>
      </c>
    </row>
    <row r="595">
      <c r="A595" t="str">
        <v>594</v>
      </c>
      <c r="B595" t="str">
        <v>MASS BSF</v>
      </c>
      <c r="C595" t="str">
        <v>AAR-880</v>
      </c>
      <c r="D595" t="str">
        <v>AAR-880</v>
      </c>
      <c r="E595" t="str">
        <v/>
      </c>
      <c r="F595" t="str">
        <v>867806078847433</v>
      </c>
      <c r="G595" t="str">
        <v>Otro</v>
      </c>
      <c r="H595" t="str">
        <v/>
      </c>
      <c r="I595" t="str">
        <v>27/09/2026</v>
      </c>
      <c r="J595" t="str">
        <v>13:05:24</v>
      </c>
      <c r="K595">
        <v>-12.159605</v>
      </c>
      <c r="L595">
        <v>-76.95618</v>
      </c>
      <c r="M595">
        <f>HYPERLINK("https://www.google.com/maps/search/?api=1&amp;query=-12.159605,-76.95618","Avenida José Carlos Mariátegui, Villa María del Triunfo, Lima")</f>
      </c>
      <c r="N595">
        <v>10.5</v>
      </c>
      <c r="O595">
        <v>92</v>
      </c>
      <c r="P595">
        <v>2540.4</v>
      </c>
      <c r="Q595" t="str">
        <v>162.15</v>
      </c>
      <c r="R595" t="str">
        <v/>
      </c>
      <c r="S595" t="str">
        <v/>
      </c>
      <c r="T595" t="str">
        <v/>
      </c>
      <c r="U595" t="str">
        <v/>
      </c>
    </row>
    <row r="596">
      <c r="A596" t="str">
        <v>595</v>
      </c>
      <c r="B596" t="str">
        <v>MASS BSF</v>
      </c>
      <c r="C596" t="str">
        <v>AAR-880</v>
      </c>
      <c r="D596" t="str">
        <v>AAR-880</v>
      </c>
      <c r="E596" t="str">
        <v/>
      </c>
      <c r="F596" t="str">
        <v>867806078847433</v>
      </c>
      <c r="G596" t="str">
        <v>Otro</v>
      </c>
      <c r="H596" t="str">
        <v/>
      </c>
      <c r="I596" t="str">
        <v>27/09/2026</v>
      </c>
      <c r="J596" t="str">
        <v>13:05:30</v>
      </c>
      <c r="K596">
        <v>-12.15944</v>
      </c>
      <c r="L596">
        <v>-76.95609</v>
      </c>
      <c r="M596">
        <f>HYPERLINK("https://www.google.com/maps/search/?api=1&amp;query=-12.15944,-76.95609","Avenida José Carlos Mariátegui, Villa María del Triunfo, Lima")</f>
      </c>
      <c r="N596">
        <v>15.5</v>
      </c>
      <c r="O596">
        <v>92</v>
      </c>
      <c r="P596">
        <v>2540.41</v>
      </c>
      <c r="Q596" t="str">
        <v>162.15</v>
      </c>
      <c r="R596" t="str">
        <v/>
      </c>
      <c r="S596" t="str">
        <v/>
      </c>
      <c r="T596" t="str">
        <v/>
      </c>
      <c r="U596" t="str">
        <v/>
      </c>
    </row>
    <row r="597">
      <c r="A597" t="str">
        <v>596</v>
      </c>
      <c r="B597" t="str">
        <v>MASS BSF</v>
      </c>
      <c r="C597" t="str">
        <v>AAR-880</v>
      </c>
      <c r="D597" t="str">
        <v>AAR-880</v>
      </c>
      <c r="E597" t="str">
        <v/>
      </c>
      <c r="F597" t="str">
        <v>867806078847433</v>
      </c>
      <c r="G597" t="str">
        <v>Otro</v>
      </c>
      <c r="H597" t="str">
        <v/>
      </c>
      <c r="I597" t="str">
        <v>27/09/2026</v>
      </c>
      <c r="J597" t="str">
        <v>13:05:30</v>
      </c>
      <c r="K597">
        <v>-12.15944</v>
      </c>
      <c r="L597">
        <v>-76.95609</v>
      </c>
      <c r="M597">
        <f>HYPERLINK("https://www.google.com/maps/search/?api=1&amp;query=-12.15944,-76.95609","Avenida José Carlos Mariátegui, Villa María del Triunfo, Lima")</f>
      </c>
      <c r="N597">
        <v>15.5</v>
      </c>
      <c r="O597">
        <v>93</v>
      </c>
      <c r="P597">
        <v>2540.38</v>
      </c>
      <c r="Q597" t="str">
        <v>159.32</v>
      </c>
      <c r="R597" t="str">
        <v>Llegó a la zona</v>
      </c>
      <c r="S597" t="str">
        <v>1160-ALLENDE1VMT MS</v>
      </c>
      <c r="T597" t="str">
        <v xml:space="preserve"> </v>
      </c>
      <c r="U597" t="str">
        <v/>
      </c>
    </row>
    <row r="598">
      <c r="A598" t="str">
        <v>597</v>
      </c>
      <c r="B598" t="str">
        <v>MASS BSF</v>
      </c>
      <c r="C598" t="str">
        <v>AAR-880</v>
      </c>
      <c r="D598" t="str">
        <v>AAR-880</v>
      </c>
      <c r="E598" t="str">
        <v/>
      </c>
      <c r="F598" t="str">
        <v>867806078847433</v>
      </c>
      <c r="G598" t="str">
        <v>Otro</v>
      </c>
      <c r="H598" t="str">
        <v/>
      </c>
      <c r="I598" t="str">
        <v>27/09/2026</v>
      </c>
      <c r="J598" t="str">
        <v>13:06:22</v>
      </c>
      <c r="K598">
        <v>-12.156426</v>
      </c>
      <c r="L598">
        <v>-76.95398</v>
      </c>
      <c r="M598">
        <f>HYPERLINK("https://www.google.com/maps/search/?api=1&amp;query=-12.156426,-76.95398","Avenida José Carlos Mariátegui, Villa María del Triunfo, Lima")</f>
      </c>
      <c r="N598">
        <v>10.5</v>
      </c>
      <c r="O598">
        <v>90</v>
      </c>
      <c r="P598">
        <v>2540.82</v>
      </c>
      <c r="Q598" t="str">
        <v>162.15</v>
      </c>
      <c r="R598" t="str">
        <v/>
      </c>
      <c r="S598" t="str">
        <v/>
      </c>
      <c r="T598" t="str">
        <v/>
      </c>
      <c r="U598" t="str">
        <v/>
      </c>
    </row>
    <row r="599">
      <c r="A599" t="str">
        <v>598</v>
      </c>
      <c r="B599" t="str">
        <v>MASS BSF</v>
      </c>
      <c r="C599" t="str">
        <v>AAR-880</v>
      </c>
      <c r="D599" t="str">
        <v>AAR-880</v>
      </c>
      <c r="E599" t="str">
        <v/>
      </c>
      <c r="F599" t="str">
        <v>867806078847433</v>
      </c>
      <c r="G599" t="str">
        <v>Otro</v>
      </c>
      <c r="H599" t="str">
        <v/>
      </c>
      <c r="I599" t="str">
        <v>27/09/2026</v>
      </c>
      <c r="J599" t="str">
        <v>13:06:22</v>
      </c>
      <c r="K599">
        <v>-12.156426</v>
      </c>
      <c r="L599">
        <v>-76.95398</v>
      </c>
      <c r="M599">
        <f>HYPERLINK("https://www.google.com/maps/search/?api=1&amp;query=-12.156426,-76.95398","Avenida José Carlos Mariátegui, Villa María del Triunfo, Lima")</f>
      </c>
      <c r="N599">
        <v>10.5</v>
      </c>
      <c r="O599">
        <v>94</v>
      </c>
      <c r="P599">
        <v>2540.82</v>
      </c>
      <c r="Q599" t="str">
        <v>159.32</v>
      </c>
      <c r="R599" t="str">
        <v>Salió de zona</v>
      </c>
      <c r="S599" t="str">
        <v>1160-ALLENDE1VMT MS</v>
      </c>
      <c r="T599" t="str">
        <v xml:space="preserve"> </v>
      </c>
      <c r="U599" t="str">
        <v/>
      </c>
    </row>
    <row r="600">
      <c r="A600" t="str">
        <v>599</v>
      </c>
      <c r="B600" t="str">
        <v>MASS BSF</v>
      </c>
      <c r="C600" t="str">
        <v>AAR-880</v>
      </c>
      <c r="D600" t="str">
        <v>AAR-880</v>
      </c>
      <c r="E600" t="str">
        <v/>
      </c>
      <c r="F600" t="str">
        <v>867806078847433</v>
      </c>
      <c r="G600" t="str">
        <v>Otro</v>
      </c>
      <c r="H600" t="str">
        <v/>
      </c>
      <c r="I600" t="str">
        <v>27/09/2026</v>
      </c>
      <c r="J600" t="str">
        <v>13:06:27</v>
      </c>
      <c r="K600">
        <v>-12.156305</v>
      </c>
      <c r="L600">
        <v>-76.95408</v>
      </c>
      <c r="M600">
        <f>HYPERLINK("https://www.google.com/maps/search/?api=1&amp;query=-12.156305,-76.95408","Jirón Santa Beatriz, Villa María del Triunfo, Lima")</f>
      </c>
      <c r="N600">
        <v>17.7</v>
      </c>
      <c r="O600">
        <v>90</v>
      </c>
      <c r="P600">
        <v>2540.83</v>
      </c>
      <c r="Q600" t="str">
        <v>162.15</v>
      </c>
      <c r="R600" t="str">
        <v/>
      </c>
      <c r="S600" t="str">
        <v/>
      </c>
      <c r="T600" t="str">
        <v/>
      </c>
      <c r="U600" t="str">
        <v/>
      </c>
    </row>
    <row r="601">
      <c r="A601" t="str">
        <v>600</v>
      </c>
      <c r="B601" t="str">
        <v>MASS BSF</v>
      </c>
      <c r="C601" t="str">
        <v>AAR-880</v>
      </c>
      <c r="D601" t="str">
        <v>AAR-880</v>
      </c>
      <c r="E601" t="str">
        <v/>
      </c>
      <c r="F601" t="str">
        <v>867806078847433</v>
      </c>
      <c r="G601" t="str">
        <v>Otro</v>
      </c>
      <c r="H601" t="str">
        <v/>
      </c>
      <c r="I601" t="str">
        <v>27/09/2026</v>
      </c>
      <c r="J601" t="str">
        <v>13:06:37</v>
      </c>
      <c r="K601">
        <v>-12.155931</v>
      </c>
      <c r="L601">
        <v>-76.954605</v>
      </c>
      <c r="M601">
        <f>HYPERLINK("https://www.google.com/maps/search/?api=1&amp;query=-12.155931,-76.954605","Jirón Santa Beatriz, Villa María del Triunfo, Lima")</f>
      </c>
      <c r="N601">
        <v>25.9</v>
      </c>
      <c r="O601">
        <v>90</v>
      </c>
      <c r="P601">
        <v>2540.9</v>
      </c>
      <c r="Q601" t="str">
        <v>162.15</v>
      </c>
      <c r="R601" t="str">
        <v/>
      </c>
      <c r="S601" t="str">
        <v/>
      </c>
      <c r="T601" t="str">
        <v/>
      </c>
      <c r="U601" t="str">
        <v/>
      </c>
    </row>
    <row r="602">
      <c r="A602" t="str">
        <v>601</v>
      </c>
      <c r="B602" t="str">
        <v>MASS BSF</v>
      </c>
      <c r="C602" t="str">
        <v>AAR-880</v>
      </c>
      <c r="D602" t="str">
        <v>AAR-880</v>
      </c>
      <c r="E602" t="str">
        <v/>
      </c>
      <c r="F602" t="str">
        <v>867806078847433</v>
      </c>
      <c r="G602" t="str">
        <v>Otro</v>
      </c>
      <c r="H602" t="str">
        <v/>
      </c>
      <c r="I602" t="str">
        <v>27/09/2026</v>
      </c>
      <c r="J602" t="str">
        <v>13:06:49</v>
      </c>
      <c r="K602">
        <v>-12.1555</v>
      </c>
      <c r="L602">
        <v>-76.95513</v>
      </c>
      <c r="M602">
        <f>HYPERLINK("https://www.google.com/maps/search/?api=1&amp;query=-12.1555,-76.95513","Jirón Santa Beatriz, Villa María del Triunfo, Lima")</f>
      </c>
      <c r="N602">
        <v>8.8</v>
      </c>
      <c r="O602">
        <v>90</v>
      </c>
      <c r="P602">
        <v>2540.98</v>
      </c>
      <c r="Q602" t="str">
        <v>162.15</v>
      </c>
      <c r="R602" t="str">
        <v/>
      </c>
      <c r="S602" t="str">
        <v/>
      </c>
      <c r="T602" t="str">
        <v/>
      </c>
      <c r="U602" t="str">
        <v/>
      </c>
    </row>
    <row r="603">
      <c r="A603" t="str">
        <v>602</v>
      </c>
      <c r="B603" t="str">
        <v>MASS BSF</v>
      </c>
      <c r="C603" t="str">
        <v>AAR-880</v>
      </c>
      <c r="D603" t="str">
        <v>AAR-880</v>
      </c>
      <c r="E603" t="str">
        <v/>
      </c>
      <c r="F603" t="str">
        <v>867806078847433</v>
      </c>
      <c r="G603" t="str">
        <v>Otro</v>
      </c>
      <c r="H603" t="str">
        <v/>
      </c>
      <c r="I603" t="str">
        <v>27/09/2026</v>
      </c>
      <c r="J603" t="str">
        <v>13:06:54</v>
      </c>
      <c r="K603">
        <v>-12.155388</v>
      </c>
      <c r="L603">
        <v>-76.95517</v>
      </c>
      <c r="M603">
        <f>HYPERLINK("https://www.google.com/maps/search/?api=1&amp;query=-12.155388,-76.95517","Avenida Pando Egusquiza, Villa María del Triunfo, Lima")</f>
      </c>
      <c r="N603">
        <v>12.9</v>
      </c>
      <c r="O603">
        <v>90</v>
      </c>
      <c r="P603">
        <v>2540.99</v>
      </c>
      <c r="Q603" t="str">
        <v>162.15</v>
      </c>
      <c r="R603" t="str">
        <v/>
      </c>
      <c r="S603" t="str">
        <v/>
      </c>
      <c r="T603" t="str">
        <v/>
      </c>
      <c r="U603" t="str">
        <v/>
      </c>
    </row>
    <row r="604">
      <c r="A604" t="str">
        <v>603</v>
      </c>
      <c r="B604" t="str">
        <v>MASS BSF</v>
      </c>
      <c r="C604" t="str">
        <v>AAR-880</v>
      </c>
      <c r="D604" t="str">
        <v>AAR-880</v>
      </c>
      <c r="E604" t="str">
        <v/>
      </c>
      <c r="F604" t="str">
        <v>867806078847433</v>
      </c>
      <c r="G604" t="str">
        <v>Otro</v>
      </c>
      <c r="H604" t="str">
        <v/>
      </c>
      <c r="I604" t="str">
        <v>27/09/2026</v>
      </c>
      <c r="J604" t="str">
        <v>13:06:59</v>
      </c>
      <c r="K604">
        <v>-12.155242</v>
      </c>
      <c r="L604">
        <v>-76.95504</v>
      </c>
      <c r="M604">
        <f>HYPERLINK("https://www.google.com/maps/search/?api=1&amp;query=-12.155242,-76.95504","Avenida Pando Egusquiza, Villa María del Triunfo, Lima")</f>
      </c>
      <c r="N604">
        <v>18.7</v>
      </c>
      <c r="O604">
        <v>90</v>
      </c>
      <c r="P604">
        <v>2541.01</v>
      </c>
      <c r="Q604" t="str">
        <v>162.15</v>
      </c>
      <c r="R604" t="str">
        <v/>
      </c>
      <c r="S604" t="str">
        <v/>
      </c>
      <c r="T604" t="str">
        <v/>
      </c>
      <c r="U604" t="str">
        <v/>
      </c>
    </row>
    <row r="605">
      <c r="A605" t="str">
        <v>604</v>
      </c>
      <c r="B605" t="str">
        <v>MASS BSF</v>
      </c>
      <c r="C605" t="str">
        <v>AAR-880</v>
      </c>
      <c r="D605" t="str">
        <v>AAR-880</v>
      </c>
      <c r="E605" t="str">
        <v/>
      </c>
      <c r="F605" t="str">
        <v>867806078847433</v>
      </c>
      <c r="G605" t="str">
        <v>Otro</v>
      </c>
      <c r="H605" t="str">
        <v/>
      </c>
      <c r="I605" t="str">
        <v>27/09/2026</v>
      </c>
      <c r="J605" t="str">
        <v>13:07:59</v>
      </c>
      <c r="K605">
        <v>-12.153687</v>
      </c>
      <c r="L605">
        <v>-76.95372</v>
      </c>
      <c r="M605">
        <f>HYPERLINK("https://www.google.com/maps/search/?api=1&amp;query=-12.153687,-76.95372","Avenida Pando Egusquiza, Villa María del Triunfo, Lima")</f>
      </c>
      <c r="N605">
        <v>0</v>
      </c>
      <c r="O605">
        <v>90</v>
      </c>
      <c r="P605">
        <v>2541.23</v>
      </c>
      <c r="Q605" t="str">
        <v>162.15</v>
      </c>
      <c r="R605" t="str">
        <v/>
      </c>
      <c r="S605" t="str">
        <v/>
      </c>
      <c r="T605" t="str">
        <v/>
      </c>
      <c r="U605" t="str">
        <v/>
      </c>
    </row>
    <row r="606">
      <c r="A606" t="str">
        <v>605</v>
      </c>
      <c r="B606" t="str">
        <v>MASS BSF</v>
      </c>
      <c r="C606" t="str">
        <v>AAR-880</v>
      </c>
      <c r="D606" t="str">
        <v>AAR-880</v>
      </c>
      <c r="E606" t="str">
        <v/>
      </c>
      <c r="F606" t="str">
        <v>867806078847433</v>
      </c>
      <c r="G606" t="str">
        <v>Otro</v>
      </c>
      <c r="H606" t="str">
        <v/>
      </c>
      <c r="I606" t="str">
        <v>27/09/2026</v>
      </c>
      <c r="J606" t="str">
        <v>13:08:03</v>
      </c>
      <c r="K606">
        <v>-12.153631</v>
      </c>
      <c r="L606">
        <v>-76.95376</v>
      </c>
      <c r="M606">
        <f>HYPERLINK("https://www.google.com/maps/search/?api=1&amp;query=-12.153631,-76.95376","Jirón Mariano Melgar, Villa María del Triunfo, Lima")</f>
      </c>
      <c r="N606">
        <v>7.4</v>
      </c>
      <c r="O606">
        <v>90</v>
      </c>
      <c r="P606">
        <v>2541.24</v>
      </c>
      <c r="Q606" t="str">
        <v>162.15</v>
      </c>
      <c r="R606" t="str">
        <v/>
      </c>
      <c r="S606" t="str">
        <v/>
      </c>
      <c r="T606" t="str">
        <v/>
      </c>
      <c r="U606" t="str">
        <v/>
      </c>
    </row>
    <row r="607">
      <c r="A607" t="str">
        <v>606</v>
      </c>
      <c r="B607" t="str">
        <v>MASS BSF</v>
      </c>
      <c r="C607" t="str">
        <v>AAR-880</v>
      </c>
      <c r="D607" t="str">
        <v>AAR-880</v>
      </c>
      <c r="E607" t="str">
        <v/>
      </c>
      <c r="F607" t="str">
        <v>867806078847433</v>
      </c>
      <c r="G607" t="str">
        <v>Otro</v>
      </c>
      <c r="H607" t="str">
        <v/>
      </c>
      <c r="I607" t="str">
        <v>27/09/2026</v>
      </c>
      <c r="J607" t="str">
        <v>13:08:08</v>
      </c>
      <c r="K607">
        <v>-12.153673</v>
      </c>
      <c r="L607">
        <v>-76.95384</v>
      </c>
      <c r="M607">
        <f>HYPERLINK("https://www.google.com/maps/search/?api=1&amp;query=-12.153673,-76.95384","Avenida Pando Egusquiza, Villa María del Triunfo, Lima")</f>
      </c>
      <c r="N607">
        <v>11.2</v>
      </c>
      <c r="O607">
        <v>90</v>
      </c>
      <c r="P607">
        <v>2541.25</v>
      </c>
      <c r="Q607" t="str">
        <v>162.15</v>
      </c>
      <c r="R607" t="str">
        <v/>
      </c>
      <c r="S607" t="str">
        <v/>
      </c>
      <c r="T607" t="str">
        <v/>
      </c>
      <c r="U607" t="str">
        <v/>
      </c>
    </row>
    <row r="608">
      <c r="A608" t="str">
        <v>607</v>
      </c>
      <c r="B608" t="str">
        <v>MASS BSF</v>
      </c>
      <c r="C608" t="str">
        <v>AAR-880</v>
      </c>
      <c r="D608" t="str">
        <v>AAR-880</v>
      </c>
      <c r="E608" t="str">
        <v/>
      </c>
      <c r="F608" t="str">
        <v>867806078847433</v>
      </c>
      <c r="G608" t="str">
        <v>Otro</v>
      </c>
      <c r="H608" t="str">
        <v/>
      </c>
      <c r="I608" t="str">
        <v>27/09/2026</v>
      </c>
      <c r="J608" t="str">
        <v>13:08:13</v>
      </c>
      <c r="K608">
        <v>-12.153845</v>
      </c>
      <c r="L608">
        <v>-76.95398</v>
      </c>
      <c r="M608">
        <f>HYPERLINK("https://www.google.com/maps/search/?api=1&amp;query=-12.153845,-76.95398","Avenida Pando Egusquiza, Villa María del Triunfo, Lima")</f>
      </c>
      <c r="N608">
        <v>19.2</v>
      </c>
      <c r="O608">
        <v>93</v>
      </c>
      <c r="P608">
        <v>2541.27</v>
      </c>
      <c r="Q608" t="str">
        <v>162.15</v>
      </c>
      <c r="R608" t="str">
        <v/>
      </c>
      <c r="S608" t="str">
        <v/>
      </c>
      <c r="T608" t="str">
        <v/>
      </c>
      <c r="U608" t="str">
        <v/>
      </c>
    </row>
    <row r="609">
      <c r="A609" t="str">
        <v>608</v>
      </c>
      <c r="B609" t="str">
        <v>MASS BSF</v>
      </c>
      <c r="C609" t="str">
        <v>AAR-880</v>
      </c>
      <c r="D609" t="str">
        <v>AAR-880</v>
      </c>
      <c r="E609" t="str">
        <v/>
      </c>
      <c r="F609" t="str">
        <v>867806078847433</v>
      </c>
      <c r="G609" t="str">
        <v>Otro</v>
      </c>
      <c r="H609" t="str">
        <v/>
      </c>
      <c r="I609" t="str">
        <v>27/09/2026</v>
      </c>
      <c r="J609" t="str">
        <v>13:08:18</v>
      </c>
      <c r="K609">
        <v>-12.15395</v>
      </c>
      <c r="L609">
        <v>-76.95412</v>
      </c>
      <c r="M609">
        <f>HYPERLINK("https://www.google.com/maps/search/?api=1&amp;query=-12.15395,-76.95412","Avenida Pando Egusquiza, Villa María del Triunfo, Lima")</f>
      </c>
      <c r="N609">
        <v>11.6</v>
      </c>
      <c r="O609">
        <v>93</v>
      </c>
      <c r="P609">
        <v>2541.29</v>
      </c>
      <c r="Q609" t="str">
        <v>162.15</v>
      </c>
      <c r="R609" t="str">
        <v/>
      </c>
      <c r="S609" t="str">
        <v/>
      </c>
      <c r="T609" t="str">
        <v/>
      </c>
      <c r="U609" t="str">
        <v/>
      </c>
    </row>
    <row r="610">
      <c r="A610" t="str">
        <v>609</v>
      </c>
      <c r="B610" t="str">
        <v>MASS BSF</v>
      </c>
      <c r="C610" t="str">
        <v>AAR-880</v>
      </c>
      <c r="D610" t="str">
        <v>AAR-880</v>
      </c>
      <c r="E610" t="str">
        <v/>
      </c>
      <c r="F610" t="str">
        <v>867806078847433</v>
      </c>
      <c r="G610" t="str">
        <v>Otro</v>
      </c>
      <c r="H610" t="str">
        <v/>
      </c>
      <c r="I610" t="str">
        <v>27/09/2026</v>
      </c>
      <c r="J610" t="str">
        <v>13:08:23</v>
      </c>
      <c r="K610">
        <v>-12.153889</v>
      </c>
      <c r="L610">
        <v>-76.95422</v>
      </c>
      <c r="M610">
        <f>HYPERLINK("https://www.google.com/maps/search/?api=1&amp;query=-12.153889,-76.95422","Calle Cajamarca, Villa María del Triunfo, Lima")</f>
      </c>
      <c r="N610">
        <v>8.3</v>
      </c>
      <c r="O610">
        <v>93</v>
      </c>
      <c r="P610">
        <v>2541.31</v>
      </c>
      <c r="Q610" t="str">
        <v>162.15</v>
      </c>
      <c r="R610" t="str">
        <v/>
      </c>
      <c r="S610" t="str">
        <v/>
      </c>
      <c r="T610" t="str">
        <v/>
      </c>
      <c r="U610" t="str">
        <v/>
      </c>
    </row>
    <row r="611">
      <c r="A611" t="str">
        <v>610</v>
      </c>
      <c r="B611" t="str">
        <v>MASS BSF</v>
      </c>
      <c r="C611" t="str">
        <v>AAR-880</v>
      </c>
      <c r="D611" t="str">
        <v>AAR-880</v>
      </c>
      <c r="E611" t="str">
        <v/>
      </c>
      <c r="F611" t="str">
        <v>867806078847433</v>
      </c>
      <c r="G611" t="str">
        <v>Otro</v>
      </c>
      <c r="H611" t="str">
        <v/>
      </c>
      <c r="I611" t="str">
        <v>27/09/2026</v>
      </c>
      <c r="J611" t="str">
        <v>13:08:38</v>
      </c>
      <c r="K611">
        <v>-12.153704</v>
      </c>
      <c r="L611">
        <v>-76.95442</v>
      </c>
      <c r="M611">
        <f>HYPERLINK("https://www.google.com/maps/search/?api=1&amp;query=-12.153704,-76.95442","Calle Cajamarca, Villa María del Triunfo, Lima")</f>
      </c>
      <c r="N611">
        <v>8.1</v>
      </c>
      <c r="O611">
        <v>93</v>
      </c>
      <c r="P611">
        <v>2541.33</v>
      </c>
      <c r="Q611" t="str">
        <v>162.15</v>
      </c>
      <c r="R611" t="str">
        <v/>
      </c>
      <c r="S611" t="str">
        <v/>
      </c>
      <c r="T611" t="str">
        <v/>
      </c>
      <c r="U611" t="str">
        <v/>
      </c>
    </row>
    <row r="612">
      <c r="A612" t="str">
        <v>611</v>
      </c>
      <c r="B612" t="str">
        <v>MASS BSF</v>
      </c>
      <c r="C612" t="str">
        <v>AAR-880</v>
      </c>
      <c r="D612" t="str">
        <v>AAR-880</v>
      </c>
      <c r="E612" t="str">
        <v/>
      </c>
      <c r="F612" t="str">
        <v>867806078847433</v>
      </c>
      <c r="G612" t="str">
        <v>Otro</v>
      </c>
      <c r="H612" t="str">
        <v/>
      </c>
      <c r="I612" t="str">
        <v>27/09/2026</v>
      </c>
      <c r="J612" t="str">
        <v>13:08:46</v>
      </c>
      <c r="K612">
        <v>-12.153546</v>
      </c>
      <c r="L612">
        <v>-76.9546</v>
      </c>
      <c r="M612">
        <f>HYPERLINK("https://www.google.com/maps/search/?api=1&amp;query=-12.153546,-76.9546","Calle Cajamarca, Villa María del Triunfo, Lima")</f>
      </c>
      <c r="N612">
        <v>15.5</v>
      </c>
      <c r="O612">
        <v>93</v>
      </c>
      <c r="P612">
        <v>2541.36</v>
      </c>
      <c r="Q612" t="str">
        <v>162.15</v>
      </c>
      <c r="R612" t="str">
        <v/>
      </c>
      <c r="S612" t="str">
        <v/>
      </c>
      <c r="T612" t="str">
        <v/>
      </c>
      <c r="U612" t="str">
        <v/>
      </c>
    </row>
    <row r="613">
      <c r="A613" t="str">
        <v>612</v>
      </c>
      <c r="B613" t="str">
        <v>MASS BSF</v>
      </c>
      <c r="C613" t="str">
        <v>AAR-880</v>
      </c>
      <c r="D613" t="str">
        <v>AAR-880</v>
      </c>
      <c r="E613" t="str">
        <v/>
      </c>
      <c r="F613" t="str">
        <v>867806078847433</v>
      </c>
      <c r="G613" t="str">
        <v>Otro</v>
      </c>
      <c r="H613" t="str">
        <v/>
      </c>
      <c r="I613" t="str">
        <v>27/09/2026</v>
      </c>
      <c r="J613" t="str">
        <v>13:09:04</v>
      </c>
      <c r="K613">
        <v>-12.15323</v>
      </c>
      <c r="L613">
        <v>-76.95499</v>
      </c>
      <c r="M613">
        <f>HYPERLINK("https://www.google.com/maps/search/?api=1&amp;query=-12.15323,-76.95499","Calle Cajamarca, Villa María del Triunfo, Lima")</f>
      </c>
      <c r="N613">
        <v>9.2</v>
      </c>
      <c r="O613">
        <v>93</v>
      </c>
      <c r="P613">
        <v>2541.41</v>
      </c>
      <c r="Q613" t="str">
        <v>162.15</v>
      </c>
      <c r="R613" t="str">
        <v/>
      </c>
      <c r="S613" t="str">
        <v/>
      </c>
      <c r="T613" t="str">
        <v/>
      </c>
      <c r="U613" t="str">
        <v/>
      </c>
    </row>
    <row r="614">
      <c r="A614" t="str">
        <v>613</v>
      </c>
      <c r="B614" t="str">
        <v>MASS BSF</v>
      </c>
      <c r="C614" t="str">
        <v>AAR-880</v>
      </c>
      <c r="D614" t="str">
        <v>AAR-880</v>
      </c>
      <c r="E614" t="str">
        <v/>
      </c>
      <c r="F614" t="str">
        <v>867806078847433</v>
      </c>
      <c r="G614" t="str">
        <v>Otro</v>
      </c>
      <c r="H614" t="str">
        <v/>
      </c>
      <c r="I614" t="str">
        <v>27/09/2026</v>
      </c>
      <c r="J614" t="str">
        <v>13:09:30</v>
      </c>
      <c r="K614">
        <v>-12.153027</v>
      </c>
      <c r="L614">
        <v>-76.95522</v>
      </c>
      <c r="M614">
        <f>HYPERLINK("https://www.google.com/maps/search/?api=1&amp;query=-12.153027,-76.95522","Calle Cajamarca, Villa María del Triunfo, Lima")</f>
      </c>
      <c r="N614">
        <v>6.6</v>
      </c>
      <c r="O614">
        <v>93</v>
      </c>
      <c r="P614">
        <v>2541.44</v>
      </c>
      <c r="Q614" t="str">
        <v>162.15</v>
      </c>
      <c r="R614" t="str">
        <v/>
      </c>
      <c r="S614" t="str">
        <v/>
      </c>
      <c r="T614" t="str">
        <v/>
      </c>
      <c r="U614" t="str">
        <v/>
      </c>
    </row>
    <row r="615">
      <c r="A615" t="str">
        <v>614</v>
      </c>
      <c r="B615" t="str">
        <v>MASS BSF</v>
      </c>
      <c r="C615" t="str">
        <v>AAR-880</v>
      </c>
      <c r="D615" t="str">
        <v>AAR-880</v>
      </c>
      <c r="E615" t="str">
        <v/>
      </c>
      <c r="F615" t="str">
        <v>867806078847433</v>
      </c>
      <c r="G615" t="str">
        <v>Otro</v>
      </c>
      <c r="H615" t="str">
        <v/>
      </c>
      <c r="I615" t="str">
        <v>27/09/2026</v>
      </c>
      <c r="J615" t="str">
        <v>13:09:35</v>
      </c>
      <c r="K615">
        <v>-12.152975</v>
      </c>
      <c r="L615">
        <v>-76.95531</v>
      </c>
      <c r="M615">
        <f>HYPERLINK("https://www.google.com/maps/search/?api=1&amp;query=-12.152975,-76.95531","Calle Cajamarca, Villa María del Triunfo, Lima")</f>
      </c>
      <c r="N615">
        <v>5.7</v>
      </c>
      <c r="O615">
        <v>93</v>
      </c>
      <c r="P615">
        <v>2541.45</v>
      </c>
      <c r="Q615" t="str">
        <v>162.15</v>
      </c>
      <c r="R615" t="str">
        <v/>
      </c>
      <c r="S615" t="str">
        <v/>
      </c>
      <c r="T615" t="str">
        <v/>
      </c>
      <c r="U615" t="str">
        <v/>
      </c>
    </row>
    <row r="616">
      <c r="A616" t="str">
        <v>615</v>
      </c>
      <c r="B616" t="str">
        <v>MASS BSF</v>
      </c>
      <c r="C616" t="str">
        <v>AAR-880</v>
      </c>
      <c r="D616" t="str">
        <v>AAR-880</v>
      </c>
      <c r="E616" t="str">
        <v/>
      </c>
      <c r="F616" t="str">
        <v>867806078847433</v>
      </c>
      <c r="G616" t="str">
        <v>Otro</v>
      </c>
      <c r="H616" t="str">
        <v/>
      </c>
      <c r="I616" t="str">
        <v>27/09/2026</v>
      </c>
      <c r="J616" t="str">
        <v>13:09:58</v>
      </c>
      <c r="K616">
        <v>-12.152857</v>
      </c>
      <c r="L616">
        <v>-76.95544</v>
      </c>
      <c r="M616">
        <f>HYPERLINK("https://www.google.com/maps/search/?api=1&amp;query=-12.152857,-76.95544","Calle Cajamarca, Villa María del Triunfo, Lima")</f>
      </c>
      <c r="N616">
        <v>7.9</v>
      </c>
      <c r="O616">
        <v>93</v>
      </c>
      <c r="P616">
        <v>2541.47</v>
      </c>
      <c r="Q616" t="str">
        <v>162.15</v>
      </c>
      <c r="R616" t="str">
        <v/>
      </c>
      <c r="S616" t="str">
        <v/>
      </c>
      <c r="T616" t="str">
        <v/>
      </c>
      <c r="U616" t="str">
        <v/>
      </c>
    </row>
    <row r="617">
      <c r="A617" t="str">
        <v>616</v>
      </c>
      <c r="B617" t="str">
        <v>MASS BSF</v>
      </c>
      <c r="C617" t="str">
        <v>AAR-880</v>
      </c>
      <c r="D617" t="str">
        <v>AAR-880</v>
      </c>
      <c r="E617" t="str">
        <v/>
      </c>
      <c r="F617" t="str">
        <v>867806078847433</v>
      </c>
      <c r="G617" t="str">
        <v>Otro</v>
      </c>
      <c r="H617" t="str">
        <v/>
      </c>
      <c r="I617" t="str">
        <v>27/09/2026</v>
      </c>
      <c r="J617" t="str">
        <v>13:10:03</v>
      </c>
      <c r="K617">
        <v>-12.152944</v>
      </c>
      <c r="L617">
        <v>-76.95556</v>
      </c>
      <c r="M617">
        <f>HYPERLINK("https://www.google.com/maps/search/?api=1&amp;query=-12.152944,-76.95556","Avenida Julio César Tello, Villa María del Triunfo, Lima")</f>
      </c>
      <c r="N617">
        <v>14.8</v>
      </c>
      <c r="O617">
        <v>93</v>
      </c>
      <c r="P617">
        <v>2541.49</v>
      </c>
      <c r="Q617" t="str">
        <v>162.15</v>
      </c>
      <c r="R617" t="str">
        <v/>
      </c>
      <c r="S617" t="str">
        <v/>
      </c>
      <c r="T617" t="str">
        <v/>
      </c>
      <c r="U617" t="str">
        <v/>
      </c>
    </row>
    <row r="618">
      <c r="A618" t="str">
        <v>617</v>
      </c>
      <c r="B618" t="str">
        <v>MASS BSF</v>
      </c>
      <c r="C618" t="str">
        <v>AAR-880</v>
      </c>
      <c r="D618" t="str">
        <v>AAR-880</v>
      </c>
      <c r="E618" t="str">
        <v/>
      </c>
      <c r="F618" t="str">
        <v>867806078847433</v>
      </c>
      <c r="G618" t="str">
        <v>Otro</v>
      </c>
      <c r="H618" t="str">
        <v/>
      </c>
      <c r="I618" t="str">
        <v>27/09/2026</v>
      </c>
      <c r="J618" t="str">
        <v>13:11:03</v>
      </c>
      <c r="K618">
        <v>-12.153626</v>
      </c>
      <c r="L618">
        <v>-76.956184</v>
      </c>
      <c r="M618">
        <f>HYPERLINK("https://www.google.com/maps/search/?api=1&amp;query=-12.153626,-76.956184","Avenida Julio César Tello, Villa María del Triunfo, Lima")</f>
      </c>
      <c r="N618">
        <v>0</v>
      </c>
      <c r="O618">
        <v>93</v>
      </c>
      <c r="P618">
        <v>2541.59</v>
      </c>
      <c r="Q618" t="str">
        <v>162.15</v>
      </c>
      <c r="R618" t="str">
        <v/>
      </c>
      <c r="S618" t="str">
        <v/>
      </c>
      <c r="T618" t="str">
        <v/>
      </c>
      <c r="U618" t="str">
        <v/>
      </c>
    </row>
    <row r="619">
      <c r="A619" t="str">
        <v>618</v>
      </c>
      <c r="B619" t="str">
        <v>MASS BSF</v>
      </c>
      <c r="C619" t="str">
        <v>AAR-880</v>
      </c>
      <c r="D619" t="str">
        <v>AAR-880</v>
      </c>
      <c r="E619" t="str">
        <v/>
      </c>
      <c r="F619" t="str">
        <v>867806078847433</v>
      </c>
      <c r="G619" t="str">
        <v>Otro</v>
      </c>
      <c r="H619" t="str">
        <v/>
      </c>
      <c r="I619" t="str">
        <v>27/09/2026</v>
      </c>
      <c r="J619" t="str">
        <v>13:12:03</v>
      </c>
      <c r="K619">
        <v>-12.153626</v>
      </c>
      <c r="L619">
        <v>-76.956184</v>
      </c>
      <c r="M619">
        <f>HYPERLINK("https://www.google.com/maps/search/?api=1&amp;query=-12.153626,-76.956184","Avenida Julio César Tello, Villa María del Triunfo, Lima")</f>
      </c>
      <c r="N619">
        <v>0</v>
      </c>
      <c r="O619">
        <v>93</v>
      </c>
      <c r="P619">
        <v>2541.59</v>
      </c>
      <c r="Q619" t="str">
        <v>162.15</v>
      </c>
      <c r="R619" t="str">
        <v/>
      </c>
      <c r="S619" t="str">
        <v/>
      </c>
      <c r="T619" t="str">
        <v/>
      </c>
      <c r="U619" t="str">
        <v/>
      </c>
    </row>
    <row r="620">
      <c r="A620" t="str">
        <v>619</v>
      </c>
      <c r="B620" t="str">
        <v>MASS BSF</v>
      </c>
      <c r="C620" t="str">
        <v>AAR-880</v>
      </c>
      <c r="D620" t="str">
        <v>AAR-880</v>
      </c>
      <c r="E620" t="str">
        <v/>
      </c>
      <c r="F620" t="str">
        <v>867806078847433</v>
      </c>
      <c r="G620" t="str">
        <v>Otro</v>
      </c>
      <c r="H620" t="str">
        <v/>
      </c>
      <c r="I620" t="str">
        <v>27/09/2026</v>
      </c>
      <c r="J620" t="str">
        <v>13:13:03</v>
      </c>
      <c r="K620">
        <v>-12.153626</v>
      </c>
      <c r="L620">
        <v>-76.956184</v>
      </c>
      <c r="M620">
        <f>HYPERLINK("https://www.google.com/maps/search/?api=1&amp;query=-12.153626,-76.956184","Avenida Julio César Tello, Villa María del Triunfo, Lima")</f>
      </c>
      <c r="N620">
        <v>0</v>
      </c>
      <c r="O620">
        <v>91</v>
      </c>
      <c r="P620">
        <v>2541.59</v>
      </c>
      <c r="Q620" t="str">
        <v>162.15</v>
      </c>
      <c r="R620" t="str">
        <v/>
      </c>
      <c r="S620" t="str">
        <v/>
      </c>
      <c r="T620" t="str">
        <v/>
      </c>
      <c r="U620" t="str">
        <v/>
      </c>
    </row>
    <row r="621">
      <c r="A621" t="str">
        <v>620</v>
      </c>
      <c r="B621" t="str">
        <v>MASS BSF</v>
      </c>
      <c r="C621" t="str">
        <v>AAR-880</v>
      </c>
      <c r="D621" t="str">
        <v>AAR-880</v>
      </c>
      <c r="E621" t="str">
        <v/>
      </c>
      <c r="F621" t="str">
        <v>867806078847433</v>
      </c>
      <c r="G621" t="str">
        <v>Otro</v>
      </c>
      <c r="H621" t="str">
        <v/>
      </c>
      <c r="I621" t="str">
        <v>27/09/2026</v>
      </c>
      <c r="J621" t="str">
        <v>13:14:03</v>
      </c>
      <c r="K621">
        <v>-12.153626</v>
      </c>
      <c r="L621">
        <v>-76.956184</v>
      </c>
      <c r="M621">
        <f>HYPERLINK("https://www.google.com/maps/search/?api=1&amp;query=-12.153626,-76.956184","Avenida Julio César Tello, Villa María del Triunfo, Lima")</f>
      </c>
      <c r="N621">
        <v>0</v>
      </c>
      <c r="O621">
        <v>91</v>
      </c>
      <c r="P621">
        <v>2541.59</v>
      </c>
      <c r="Q621" t="str">
        <v>162.15</v>
      </c>
      <c r="R621" t="str">
        <v/>
      </c>
      <c r="S621" t="str">
        <v/>
      </c>
      <c r="T621" t="str">
        <v/>
      </c>
      <c r="U621" t="str">
        <v/>
      </c>
    </row>
    <row r="622">
      <c r="A622" t="str">
        <v>621</v>
      </c>
      <c r="B622" t="str">
        <v>MASS BSF</v>
      </c>
      <c r="C622" t="str">
        <v>AAR-880</v>
      </c>
      <c r="D622" t="str">
        <v>AAR-880</v>
      </c>
      <c r="E622" t="str">
        <v/>
      </c>
      <c r="F622" t="str">
        <v>867806078847433</v>
      </c>
      <c r="G622" t="str">
        <v>Otro</v>
      </c>
      <c r="H622" t="str">
        <v/>
      </c>
      <c r="I622" t="str">
        <v>27/09/2026</v>
      </c>
      <c r="J622" t="str">
        <v>13:15:03</v>
      </c>
      <c r="K622">
        <v>-12.153626</v>
      </c>
      <c r="L622">
        <v>-76.956184</v>
      </c>
      <c r="M622">
        <f>HYPERLINK("https://www.google.com/maps/search/?api=1&amp;query=-12.153626,-76.956184","Avenida Julio César Tello, Villa María del Triunfo, Lima")</f>
      </c>
      <c r="N622">
        <v>0</v>
      </c>
      <c r="O622">
        <v>89</v>
      </c>
      <c r="P622">
        <v>2541.59</v>
      </c>
      <c r="Q622" t="str">
        <v>162.15</v>
      </c>
      <c r="R622" t="str">
        <v/>
      </c>
      <c r="S622" t="str">
        <v/>
      </c>
      <c r="T622" t="str">
        <v/>
      </c>
      <c r="U622" t="str">
        <v/>
      </c>
    </row>
    <row r="623">
      <c r="A623" t="str">
        <v>622</v>
      </c>
      <c r="B623" t="str">
        <v>MASS BSF</v>
      </c>
      <c r="C623" t="str">
        <v>AAR-880</v>
      </c>
      <c r="D623" t="str">
        <v>AAR-880</v>
      </c>
      <c r="E623" t="str">
        <v/>
      </c>
      <c r="F623" t="str">
        <v>867806078847433</v>
      </c>
      <c r="G623" t="str">
        <v>Otro</v>
      </c>
      <c r="H623" t="str">
        <v/>
      </c>
      <c r="I623" t="str">
        <v>27/09/2026</v>
      </c>
      <c r="J623" t="str">
        <v>13:16:03</v>
      </c>
      <c r="K623">
        <v>-12.153626</v>
      </c>
      <c r="L623">
        <v>-76.956184</v>
      </c>
      <c r="M623">
        <f>HYPERLINK("https://www.google.com/maps/search/?api=1&amp;query=-12.153626,-76.956184","Avenida Julio César Tello, Villa María del Triunfo, Lima")</f>
      </c>
      <c r="N623">
        <v>0</v>
      </c>
      <c r="O623">
        <v>89</v>
      </c>
      <c r="P623">
        <v>2541.59</v>
      </c>
      <c r="Q623" t="str">
        <v>162.15</v>
      </c>
      <c r="R623" t="str">
        <v/>
      </c>
      <c r="S623" t="str">
        <v/>
      </c>
      <c r="T623" t="str">
        <v/>
      </c>
      <c r="U623" t="str">
        <v/>
      </c>
    </row>
    <row r="624">
      <c r="A624" t="str">
        <v>623</v>
      </c>
      <c r="B624" t="str">
        <v>MASS BSF</v>
      </c>
      <c r="C624" t="str">
        <v>AAR-880</v>
      </c>
      <c r="D624" t="str">
        <v>AAR-880</v>
      </c>
      <c r="E624" t="str">
        <v/>
      </c>
      <c r="F624" t="str">
        <v>867806078847433</v>
      </c>
      <c r="G624" t="str">
        <v>Otro</v>
      </c>
      <c r="H624" t="str">
        <v/>
      </c>
      <c r="I624" t="str">
        <v>27/09/2026</v>
      </c>
      <c r="J624" t="str">
        <v>13:16:54</v>
      </c>
      <c r="K624">
        <v>-12.153626</v>
      </c>
      <c r="L624">
        <v>-76.956184</v>
      </c>
      <c r="M624">
        <f>HYPERLINK("https://www.google.com/maps/search/?api=1&amp;query=-12.153626,-76.956184","Avenida Julio César Tello, Villa María del Triunfo, Lima")</f>
      </c>
      <c r="N624">
        <v>0</v>
      </c>
      <c r="O624">
        <v>89</v>
      </c>
      <c r="P624">
        <v>2541.59</v>
      </c>
      <c r="Q624" t="str">
        <v>162.15</v>
      </c>
      <c r="R624" t="str">
        <v/>
      </c>
      <c r="S624" t="str">
        <v/>
      </c>
      <c r="T624" t="str">
        <v/>
      </c>
      <c r="U624" t="str">
        <v/>
      </c>
    </row>
    <row r="625">
      <c r="A625" t="str">
        <v>624</v>
      </c>
      <c r="B625" t="str">
        <v>MASS BSF</v>
      </c>
      <c r="C625" t="str">
        <v>AAR-880</v>
      </c>
      <c r="D625" t="str">
        <v>AAR-880</v>
      </c>
      <c r="E625" t="str">
        <v/>
      </c>
      <c r="F625" t="str">
        <v>867806078847433</v>
      </c>
      <c r="G625" t="str">
        <v>Otro</v>
      </c>
      <c r="H625" t="str">
        <v/>
      </c>
      <c r="I625" t="str">
        <v>27/09/2026</v>
      </c>
      <c r="J625" t="str">
        <v>13:17:03</v>
      </c>
      <c r="K625">
        <v>-12.153626</v>
      </c>
      <c r="L625">
        <v>-76.956184</v>
      </c>
      <c r="M625">
        <f>HYPERLINK("https://www.google.com/maps/search/?api=1&amp;query=-12.153626,-76.956184","Avenida Julio César Tello, Villa María del Triunfo, Lima")</f>
      </c>
      <c r="N625">
        <v>0</v>
      </c>
      <c r="O625">
        <v>89</v>
      </c>
      <c r="P625">
        <v>2541.59</v>
      </c>
      <c r="Q625" t="str">
        <v>162.15</v>
      </c>
      <c r="R625" t="str">
        <v/>
      </c>
      <c r="S625" t="str">
        <v/>
      </c>
      <c r="T625" t="str">
        <v/>
      </c>
      <c r="U625" t="str">
        <v/>
      </c>
    </row>
    <row r="626">
      <c r="A626" t="str">
        <v>625</v>
      </c>
      <c r="B626" t="str">
        <v>MASS BSF</v>
      </c>
      <c r="C626" t="str">
        <v>AAR-880</v>
      </c>
      <c r="D626" t="str">
        <v>AAR-880</v>
      </c>
      <c r="E626" t="str">
        <v/>
      </c>
      <c r="F626" t="str">
        <v>867806078847433</v>
      </c>
      <c r="G626" t="str">
        <v>Otro</v>
      </c>
      <c r="H626" t="str">
        <v/>
      </c>
      <c r="I626" t="str">
        <v>27/09/2026</v>
      </c>
      <c r="J626" t="str">
        <v>13:18:03</v>
      </c>
      <c r="K626">
        <v>-12.153626</v>
      </c>
      <c r="L626">
        <v>-76.956184</v>
      </c>
      <c r="M626">
        <f>HYPERLINK("https://www.google.com/maps/search/?api=1&amp;query=-12.153626,-76.956184","Avenida Julio César Tello, Villa María del Triunfo, Lima")</f>
      </c>
      <c r="N626">
        <v>0</v>
      </c>
      <c r="O626">
        <v>94</v>
      </c>
      <c r="P626">
        <v>2541.59</v>
      </c>
      <c r="Q626" t="str">
        <v>162.15</v>
      </c>
      <c r="R626" t="str">
        <v/>
      </c>
      <c r="S626" t="str">
        <v/>
      </c>
      <c r="T626" t="str">
        <v/>
      </c>
      <c r="U626" t="str">
        <v/>
      </c>
    </row>
    <row r="627">
      <c r="A627" t="str">
        <v>626</v>
      </c>
      <c r="B627" t="str">
        <v>MASS BSF</v>
      </c>
      <c r="C627" t="str">
        <v>AAR-880</v>
      </c>
      <c r="D627" t="str">
        <v>AAR-880</v>
      </c>
      <c r="E627" t="str">
        <v/>
      </c>
      <c r="F627" t="str">
        <v>867806078847433</v>
      </c>
      <c r="G627" t="str">
        <v>Otro</v>
      </c>
      <c r="H627" t="str">
        <v/>
      </c>
      <c r="I627" t="str">
        <v>27/09/2026</v>
      </c>
      <c r="J627" t="str">
        <v>13:19:03</v>
      </c>
      <c r="K627">
        <v>-12.153626</v>
      </c>
      <c r="L627">
        <v>-76.956184</v>
      </c>
      <c r="M627">
        <f>HYPERLINK("https://www.google.com/maps/search/?api=1&amp;query=-12.153626,-76.956184","Avenida Julio César Tello, Villa María del Triunfo, Lima")</f>
      </c>
      <c r="N627">
        <v>0</v>
      </c>
      <c r="O627">
        <v>94</v>
      </c>
      <c r="P627">
        <v>2541.59</v>
      </c>
      <c r="Q627" t="str">
        <v>162.15</v>
      </c>
      <c r="R627" t="str">
        <v/>
      </c>
      <c r="S627" t="str">
        <v/>
      </c>
      <c r="T627" t="str">
        <v/>
      </c>
      <c r="U627" t="str">
        <v/>
      </c>
    </row>
    <row r="628">
      <c r="A628" t="str">
        <v>627</v>
      </c>
      <c r="B628" t="str">
        <v>MASS BSF</v>
      </c>
      <c r="C628" t="str">
        <v>AAR-880</v>
      </c>
      <c r="D628" t="str">
        <v>AAR-880</v>
      </c>
      <c r="E628" t="str">
        <v/>
      </c>
      <c r="F628" t="str">
        <v>867806078847433</v>
      </c>
      <c r="G628" t="str">
        <v>Otro</v>
      </c>
      <c r="H628" t="str">
        <v/>
      </c>
      <c r="I628" t="str">
        <v>27/09/2026</v>
      </c>
      <c r="J628" t="str">
        <v>13:19:18</v>
      </c>
      <c r="K628">
        <v>-12.153626</v>
      </c>
      <c r="L628">
        <v>-76.956184</v>
      </c>
      <c r="M628">
        <f>HYPERLINK("https://www.google.com/maps/search/?api=1&amp;query=-12.153626,-76.956184","Avenida Julio César Tello, Villa María del Triunfo, Lima")</f>
      </c>
      <c r="N628">
        <v>0</v>
      </c>
      <c r="O628">
        <v>94</v>
      </c>
      <c r="P628">
        <v>2541.59</v>
      </c>
      <c r="Q628" t="str">
        <v>162.92</v>
      </c>
      <c r="R628" t="str">
        <v>Vehículo apagado</v>
      </c>
      <c r="S628" t="str">
        <v/>
      </c>
      <c r="T628" t="str">
        <v/>
      </c>
      <c r="U628" t="str">
        <v/>
      </c>
    </row>
    <row r="629">
      <c r="A629" t="str">
        <v>628</v>
      </c>
      <c r="B629" t="str">
        <v>MASS BSF</v>
      </c>
      <c r="C629" t="str">
        <v>AAR-880</v>
      </c>
      <c r="D629" t="str">
        <v>AAR-880</v>
      </c>
      <c r="E629" t="str">
        <v/>
      </c>
      <c r="F629" t="str">
        <v>867806078847433</v>
      </c>
      <c r="G629" t="str">
        <v>Otro</v>
      </c>
      <c r="H629" t="str">
        <v/>
      </c>
      <c r="I629" t="str">
        <v>27/09/2026</v>
      </c>
      <c r="J629" t="str">
        <v>13:21:57</v>
      </c>
      <c r="K629">
        <v>-12.153626</v>
      </c>
      <c r="L629">
        <v>-76.956184</v>
      </c>
      <c r="M629">
        <f>HYPERLINK("https://www.google.com/maps/search/?api=1&amp;query=-12.153626,-76.956184","Avenida Julio César Tello, Villa María del Triunfo, Lima")</f>
      </c>
      <c r="N629">
        <v>0</v>
      </c>
      <c r="O629">
        <v>94</v>
      </c>
      <c r="P629">
        <v>2541.59</v>
      </c>
      <c r="Q629" t="str">
        <v>162.92</v>
      </c>
      <c r="R629" t="str">
        <v>Vehículo encendido</v>
      </c>
      <c r="S629" t="str">
        <v/>
      </c>
      <c r="T629" t="str">
        <v/>
      </c>
      <c r="U629" t="str">
        <v/>
      </c>
    </row>
    <row r="630">
      <c r="A630" t="str">
        <v>629</v>
      </c>
      <c r="B630" t="str">
        <v>MASS BSF</v>
      </c>
      <c r="C630" t="str">
        <v>AAR-880</v>
      </c>
      <c r="D630" t="str">
        <v>AAR-880</v>
      </c>
      <c r="E630" t="str">
        <v/>
      </c>
      <c r="F630" t="str">
        <v>867806078847433</v>
      </c>
      <c r="G630" t="str">
        <v>Otro</v>
      </c>
      <c r="H630" t="str">
        <v/>
      </c>
      <c r="I630" t="str">
        <v>27/09/2026</v>
      </c>
      <c r="J630" t="str">
        <v>13:21:57</v>
      </c>
      <c r="K630">
        <v>-12.153626</v>
      </c>
      <c r="L630">
        <v>-76.956184</v>
      </c>
      <c r="M630">
        <f>HYPERLINK("https://www.google.com/maps/search/?api=1&amp;query=-12.153626,-76.956184","Avenida Julio César Tello, Villa María del Triunfo, Lima")</f>
      </c>
      <c r="N630">
        <v>0</v>
      </c>
      <c r="O630">
        <v>94</v>
      </c>
      <c r="P630">
        <v>2541.59</v>
      </c>
      <c r="Q630" t="str">
        <v>162.92</v>
      </c>
      <c r="R630" t="str">
        <v>Se movio</v>
      </c>
      <c r="S630" t="str">
        <v/>
      </c>
      <c r="T630" t="str">
        <v/>
      </c>
      <c r="U630" t="str">
        <v/>
      </c>
    </row>
    <row r="631">
      <c r="A631" t="str">
        <v>630</v>
      </c>
      <c r="B631" t="str">
        <v>MASS BSF</v>
      </c>
      <c r="C631" t="str">
        <v>AAR-880</v>
      </c>
      <c r="D631" t="str">
        <v>AAR-880</v>
      </c>
      <c r="E631" t="str">
        <v/>
      </c>
      <c r="F631" t="str">
        <v>867806078847433</v>
      </c>
      <c r="G631" t="str">
        <v>Otro</v>
      </c>
      <c r="H631" t="str">
        <v/>
      </c>
      <c r="I631" t="str">
        <v>27/09/2026</v>
      </c>
      <c r="J631" t="str">
        <v>13:22:57</v>
      </c>
      <c r="K631">
        <v>-12.153717</v>
      </c>
      <c r="L631">
        <v>-76.956215</v>
      </c>
      <c r="M631">
        <f>HYPERLINK("https://www.google.com/maps/search/?api=1&amp;query=-12.153717,-76.956215","Avenida Julio César Tello, Villa María del Triunfo, Lima")</f>
      </c>
      <c r="N631">
        <v>0</v>
      </c>
      <c r="O631">
        <v>94</v>
      </c>
      <c r="P631">
        <v>2541.6</v>
      </c>
      <c r="Q631" t="str">
        <v>162.92</v>
      </c>
      <c r="R631" t="str">
        <v/>
      </c>
      <c r="S631" t="str">
        <v/>
      </c>
      <c r="T631" t="str">
        <v/>
      </c>
      <c r="U631" t="str">
        <v/>
      </c>
    </row>
    <row r="632">
      <c r="A632" t="str">
        <v>631</v>
      </c>
      <c r="B632" t="str">
        <v>MASS BSF</v>
      </c>
      <c r="C632" t="str">
        <v>AAR-880</v>
      </c>
      <c r="D632" t="str">
        <v>AAR-880</v>
      </c>
      <c r="E632" t="str">
        <v/>
      </c>
      <c r="F632" t="str">
        <v>867806078847433</v>
      </c>
      <c r="G632" t="str">
        <v>Otro</v>
      </c>
      <c r="H632" t="str">
        <v/>
      </c>
      <c r="I632" t="str">
        <v>27/09/2026</v>
      </c>
      <c r="J632" t="str">
        <v>13:23:26</v>
      </c>
      <c r="K632">
        <v>-12.153762</v>
      </c>
      <c r="L632">
        <v>-76.95625</v>
      </c>
      <c r="M632">
        <f>HYPERLINK("https://www.google.com/maps/search/?api=1&amp;query=-12.153762,-76.95625","Avenida Julio César Tello, Villa María del Triunfo, Lima")</f>
      </c>
      <c r="N632">
        <v>11.2</v>
      </c>
      <c r="O632">
        <v>94</v>
      </c>
      <c r="P632">
        <v>2541.6</v>
      </c>
      <c r="Q632" t="str">
        <v>162.92</v>
      </c>
      <c r="R632" t="str">
        <v/>
      </c>
      <c r="S632" t="str">
        <v/>
      </c>
      <c r="T632" t="str">
        <v/>
      </c>
      <c r="U632" t="str">
        <v/>
      </c>
    </row>
    <row r="633">
      <c r="A633" t="str">
        <v>632</v>
      </c>
      <c r="B633" t="str">
        <v>MASS BSF</v>
      </c>
      <c r="C633" t="str">
        <v>AAR-880</v>
      </c>
      <c r="D633" t="str">
        <v>AAR-880</v>
      </c>
      <c r="E633" t="str">
        <v/>
      </c>
      <c r="F633" t="str">
        <v>867806078847433</v>
      </c>
      <c r="G633" t="str">
        <v>Otro</v>
      </c>
      <c r="H633" t="str">
        <v/>
      </c>
      <c r="I633" t="str">
        <v>27/09/2026</v>
      </c>
      <c r="J633" t="str">
        <v>13:23:42</v>
      </c>
      <c r="K633">
        <v>-12.154092</v>
      </c>
      <c r="L633">
        <v>-76.95657</v>
      </c>
      <c r="M633">
        <f>HYPERLINK("https://www.google.com/maps/search/?api=1&amp;query=-12.154092,-76.95657","Avenida Julio César Tello, Villa María del Triunfo, Lima")</f>
      </c>
      <c r="N633">
        <v>10.5</v>
      </c>
      <c r="O633">
        <v>94</v>
      </c>
      <c r="P633">
        <v>2541.65</v>
      </c>
      <c r="Q633" t="str">
        <v>162.92</v>
      </c>
      <c r="R633" t="str">
        <v/>
      </c>
      <c r="S633" t="str">
        <v/>
      </c>
      <c r="T633" t="str">
        <v/>
      </c>
      <c r="U633" t="str">
        <v/>
      </c>
    </row>
    <row r="634">
      <c r="A634" t="str">
        <v>633</v>
      </c>
      <c r="B634" t="str">
        <v>MASS BSF</v>
      </c>
      <c r="C634" t="str">
        <v>AAR-880</v>
      </c>
      <c r="D634" t="str">
        <v>AAR-880</v>
      </c>
      <c r="E634" t="str">
        <v/>
      </c>
      <c r="F634" t="str">
        <v>867806078847433</v>
      </c>
      <c r="G634" t="str">
        <v>Otro</v>
      </c>
      <c r="H634" t="str">
        <v/>
      </c>
      <c r="I634" t="str">
        <v>27/09/2026</v>
      </c>
      <c r="J634" t="str">
        <v>13:23:49</v>
      </c>
      <c r="K634">
        <v>-12.15425</v>
      </c>
      <c r="L634">
        <v>-76.95684</v>
      </c>
      <c r="M634">
        <f>HYPERLINK("https://www.google.com/maps/search/?api=1&amp;query=-12.15425,-76.95684","Avenida Julio César Tello, Villa María del Triunfo, Lima")</f>
      </c>
      <c r="N634">
        <v>18.3</v>
      </c>
      <c r="O634">
        <v>94</v>
      </c>
      <c r="P634">
        <v>2541.69</v>
      </c>
      <c r="Q634" t="str">
        <v>162.92</v>
      </c>
      <c r="R634" t="str">
        <v/>
      </c>
      <c r="S634" t="str">
        <v/>
      </c>
      <c r="T634" t="str">
        <v/>
      </c>
      <c r="U634" t="str">
        <v/>
      </c>
    </row>
    <row r="635">
      <c r="A635" t="str">
        <v>634</v>
      </c>
      <c r="B635" t="str">
        <v>MASS BSF</v>
      </c>
      <c r="C635" t="str">
        <v>AAR-880</v>
      </c>
      <c r="D635" t="str">
        <v>AAR-880</v>
      </c>
      <c r="E635" t="str">
        <v/>
      </c>
      <c r="F635" t="str">
        <v>867806078847433</v>
      </c>
      <c r="G635" t="str">
        <v>Otro</v>
      </c>
      <c r="H635" t="str">
        <v/>
      </c>
      <c r="I635" t="str">
        <v>27/09/2026</v>
      </c>
      <c r="J635" t="str">
        <v>13:24:09</v>
      </c>
      <c r="K635">
        <v>-12.154672</v>
      </c>
      <c r="L635">
        <v>-76.957756</v>
      </c>
      <c r="M635">
        <f>HYPERLINK("https://www.google.com/maps/search/?api=1&amp;query=-12.154672,-76.957756","Jirón San José, Villa María del Triunfo, Lima")</f>
      </c>
      <c r="N635">
        <v>10.7</v>
      </c>
      <c r="O635">
        <v>90</v>
      </c>
      <c r="P635">
        <v>2541.79</v>
      </c>
      <c r="Q635" t="str">
        <v>162.92</v>
      </c>
      <c r="R635" t="str">
        <v/>
      </c>
      <c r="S635" t="str">
        <v/>
      </c>
      <c r="T635" t="str">
        <v/>
      </c>
      <c r="U635" t="str">
        <v/>
      </c>
    </row>
    <row r="636">
      <c r="A636" t="str">
        <v>635</v>
      </c>
      <c r="B636" t="str">
        <v>MASS BSF</v>
      </c>
      <c r="C636" t="str">
        <v>AAR-880</v>
      </c>
      <c r="D636" t="str">
        <v>AAR-880</v>
      </c>
      <c r="E636" t="str">
        <v/>
      </c>
      <c r="F636" t="str">
        <v>867806078847433</v>
      </c>
      <c r="G636" t="str">
        <v>Otro</v>
      </c>
      <c r="H636" t="str">
        <v/>
      </c>
      <c r="I636" t="str">
        <v>27/09/2026</v>
      </c>
      <c r="J636" t="str">
        <v>13:24:14</v>
      </c>
      <c r="K636">
        <v>-12.154825</v>
      </c>
      <c r="L636">
        <v>-76.95772</v>
      </c>
      <c r="M636">
        <f>HYPERLINK("https://www.google.com/maps/search/?api=1&amp;query=-12.154825,-76.95772","Jirón San José, Villa María del Triunfo, Lima")</f>
      </c>
      <c r="N636">
        <v>17.7</v>
      </c>
      <c r="O636">
        <v>90</v>
      </c>
      <c r="P636">
        <v>2541.81</v>
      </c>
      <c r="Q636" t="str">
        <v>162.92</v>
      </c>
      <c r="R636" t="str">
        <v/>
      </c>
      <c r="S636" t="str">
        <v/>
      </c>
      <c r="T636" t="str">
        <v/>
      </c>
      <c r="U636" t="str">
        <v/>
      </c>
    </row>
    <row r="637">
      <c r="A637" t="str">
        <v>636</v>
      </c>
      <c r="B637" t="str">
        <v>MASS BSF</v>
      </c>
      <c r="C637" t="str">
        <v>AAR-880</v>
      </c>
      <c r="D637" t="str">
        <v>AAR-880</v>
      </c>
      <c r="E637" t="str">
        <v/>
      </c>
      <c r="F637" t="str">
        <v>867806078847433</v>
      </c>
      <c r="G637" t="str">
        <v>Otro</v>
      </c>
      <c r="H637" t="str">
        <v/>
      </c>
      <c r="I637" t="str">
        <v>27/09/2026</v>
      </c>
      <c r="J637" t="str">
        <v>13:24:26</v>
      </c>
      <c r="K637">
        <v>-12.155358</v>
      </c>
      <c r="L637">
        <v>-76.95743</v>
      </c>
      <c r="M637">
        <f>HYPERLINK("https://www.google.com/maps/search/?api=1&amp;query=-12.155358,-76.95743","Jirón San José, Villa María del Triunfo, Lima")</f>
      </c>
      <c r="N637">
        <v>21.6</v>
      </c>
      <c r="O637">
        <v>90</v>
      </c>
      <c r="P637">
        <v>2541.88</v>
      </c>
      <c r="Q637" t="str">
        <v>162.92</v>
      </c>
      <c r="R637" t="str">
        <v/>
      </c>
      <c r="S637" t="str">
        <v/>
      </c>
      <c r="T637" t="str">
        <v/>
      </c>
      <c r="U637" t="str">
        <v/>
      </c>
    </row>
    <row r="638">
      <c r="A638" t="str">
        <v>637</v>
      </c>
      <c r="B638" t="str">
        <v>MASS BSF</v>
      </c>
      <c r="C638" t="str">
        <v>AAR-880</v>
      </c>
      <c r="D638" t="str">
        <v>AAR-880</v>
      </c>
      <c r="E638" t="str">
        <v/>
      </c>
      <c r="F638" t="str">
        <v>867806078847433</v>
      </c>
      <c r="G638" t="str">
        <v>Otro</v>
      </c>
      <c r="H638" t="str">
        <v/>
      </c>
      <c r="I638" t="str">
        <v>27/09/2026</v>
      </c>
      <c r="J638" t="str">
        <v>13:24:31</v>
      </c>
      <c r="K638">
        <v>-12.155572</v>
      </c>
      <c r="L638">
        <v>-76.957214</v>
      </c>
      <c r="M638">
        <f>HYPERLINK("https://www.google.com/maps/search/?api=1&amp;query=-12.155572,-76.957214","Jirón San José, Villa María del Triunfo, Lima")</f>
      </c>
      <c r="N638">
        <v>23.3</v>
      </c>
      <c r="O638">
        <v>90</v>
      </c>
      <c r="P638">
        <v>2541.91</v>
      </c>
      <c r="Q638" t="str">
        <v>162.92</v>
      </c>
      <c r="R638" t="str">
        <v/>
      </c>
      <c r="S638" t="str">
        <v/>
      </c>
      <c r="T638" t="str">
        <v/>
      </c>
      <c r="U638" t="str">
        <v/>
      </c>
    </row>
    <row r="639">
      <c r="A639" t="str">
        <v>638</v>
      </c>
      <c r="B639" t="str">
        <v>MASS BSF</v>
      </c>
      <c r="C639" t="str">
        <v>AAR-880</v>
      </c>
      <c r="D639" t="str">
        <v>AAR-880</v>
      </c>
      <c r="E639" t="str">
        <v/>
      </c>
      <c r="F639" t="str">
        <v>867806078847433</v>
      </c>
      <c r="G639" t="str">
        <v>Otro</v>
      </c>
      <c r="H639" t="str">
        <v/>
      </c>
      <c r="I639" t="str">
        <v>27/09/2026</v>
      </c>
      <c r="J639" t="str">
        <v>13:24:38</v>
      </c>
      <c r="K639">
        <v>-12.155766</v>
      </c>
      <c r="L639">
        <v>-76.956985</v>
      </c>
      <c r="M639">
        <f>HYPERLINK("https://www.google.com/maps/search/?api=1&amp;query=-12.155766,-76.956985","Jirón San José, Villa María del Triunfo, Lima")</f>
      </c>
      <c r="N639">
        <v>5.7</v>
      </c>
      <c r="O639">
        <v>90</v>
      </c>
      <c r="P639">
        <v>2541.94</v>
      </c>
      <c r="Q639" t="str">
        <v>162.92</v>
      </c>
      <c r="R639" t="str">
        <v/>
      </c>
      <c r="S639" t="str">
        <v/>
      </c>
      <c r="T639" t="str">
        <v/>
      </c>
      <c r="U639" t="str">
        <v/>
      </c>
    </row>
    <row r="640">
      <c r="A640" t="str">
        <v>639</v>
      </c>
      <c r="B640" t="str">
        <v>MASS BSF</v>
      </c>
      <c r="C640" t="str">
        <v>AAR-880</v>
      </c>
      <c r="D640" t="str">
        <v>AAR-880</v>
      </c>
      <c r="E640" t="str">
        <v/>
      </c>
      <c r="F640" t="str">
        <v>867806078847433</v>
      </c>
      <c r="G640" t="str">
        <v>Otro</v>
      </c>
      <c r="H640" t="str">
        <v/>
      </c>
      <c r="I640" t="str">
        <v>27/09/2026</v>
      </c>
      <c r="J640" t="str">
        <v>13:24:43</v>
      </c>
      <c r="K640">
        <v>-12.155825</v>
      </c>
      <c r="L640">
        <v>-76.956924</v>
      </c>
      <c r="M640">
        <f>HYPERLINK("https://www.google.com/maps/search/?api=1&amp;query=-12.155825,-76.956924","Jirón San José, Villa María del Triunfo, Lima")</f>
      </c>
      <c r="N640">
        <v>7.4</v>
      </c>
      <c r="O640">
        <v>90</v>
      </c>
      <c r="P640">
        <v>2541.95</v>
      </c>
      <c r="Q640" t="str">
        <v>162.92</v>
      </c>
      <c r="R640" t="str">
        <v/>
      </c>
      <c r="S640" t="str">
        <v/>
      </c>
      <c r="T640" t="str">
        <v/>
      </c>
      <c r="U640" t="str">
        <v/>
      </c>
    </row>
    <row r="641">
      <c r="A641" t="str">
        <v>640</v>
      </c>
      <c r="B641" t="str">
        <v>MASS BSF</v>
      </c>
      <c r="C641" t="str">
        <v>AAR-880</v>
      </c>
      <c r="D641" t="str">
        <v>AAR-880</v>
      </c>
      <c r="E641" t="str">
        <v/>
      </c>
      <c r="F641" t="str">
        <v>867806078847433</v>
      </c>
      <c r="G641" t="str">
        <v>Otro</v>
      </c>
      <c r="H641" t="str">
        <v/>
      </c>
      <c r="I641" t="str">
        <v>27/09/2026</v>
      </c>
      <c r="J641" t="str">
        <v>13:24:54</v>
      </c>
      <c r="K641">
        <v>-12.156101</v>
      </c>
      <c r="L641">
        <v>-76.95659</v>
      </c>
      <c r="M641">
        <f>HYPERLINK("https://www.google.com/maps/search/?api=1&amp;query=-12.156101,-76.95659","Jirón San José, Villa María del Triunfo, Lima")</f>
      </c>
      <c r="N641">
        <v>19</v>
      </c>
      <c r="O641">
        <v>90</v>
      </c>
      <c r="P641">
        <v>2542</v>
      </c>
      <c r="Q641" t="str">
        <v>162.92</v>
      </c>
      <c r="R641" t="str">
        <v/>
      </c>
      <c r="S641" t="str">
        <v/>
      </c>
      <c r="T641" t="str">
        <v/>
      </c>
      <c r="U641" t="str">
        <v/>
      </c>
    </row>
    <row r="642">
      <c r="A642" t="str">
        <v>641</v>
      </c>
      <c r="B642" t="str">
        <v>MASS BSF</v>
      </c>
      <c r="C642" t="str">
        <v>AAR-880</v>
      </c>
      <c r="D642" t="str">
        <v>AAR-880</v>
      </c>
      <c r="E642" t="str">
        <v/>
      </c>
      <c r="F642" t="str">
        <v>867806078847433</v>
      </c>
      <c r="G642" t="str">
        <v>Otro</v>
      </c>
      <c r="H642" t="str">
        <v/>
      </c>
      <c r="I642" t="str">
        <v>27/09/2026</v>
      </c>
      <c r="J642" t="str">
        <v>13:25:08</v>
      </c>
      <c r="K642">
        <v>-12.156363</v>
      </c>
      <c r="L642">
        <v>-76.956276</v>
      </c>
      <c r="M642">
        <f>HYPERLINK("https://www.google.com/maps/search/?api=1&amp;query=-12.156363,-76.956276","Jirón San José, Villa María del Triunfo, Lima")</f>
      </c>
      <c r="N642">
        <v>9.4</v>
      </c>
      <c r="O642">
        <v>90</v>
      </c>
      <c r="P642">
        <v>2542.04</v>
      </c>
      <c r="Q642" t="str">
        <v>162.92</v>
      </c>
      <c r="R642" t="str">
        <v/>
      </c>
      <c r="S642" t="str">
        <v/>
      </c>
      <c r="T642" t="str">
        <v/>
      </c>
      <c r="U642" t="str">
        <v/>
      </c>
    </row>
    <row r="643">
      <c r="A643" t="str">
        <v>642</v>
      </c>
      <c r="B643" t="str">
        <v>MASS BSF</v>
      </c>
      <c r="C643" t="str">
        <v>AAR-880</v>
      </c>
      <c r="D643" t="str">
        <v>AAR-880</v>
      </c>
      <c r="E643" t="str">
        <v/>
      </c>
      <c r="F643" t="str">
        <v>867806078847433</v>
      </c>
      <c r="G643" t="str">
        <v>Otro</v>
      </c>
      <c r="H643" t="str">
        <v/>
      </c>
      <c r="I643" t="str">
        <v>27/09/2026</v>
      </c>
      <c r="J643" t="str">
        <v>13:25:13</v>
      </c>
      <c r="K643">
        <v>-12.15653</v>
      </c>
      <c r="L643">
        <v>-76.95631</v>
      </c>
      <c r="M643">
        <f>HYPERLINK("https://www.google.com/maps/search/?api=1&amp;query=-12.15653,-76.95631","Avenida Pando Egusquiza, Villa María del Triunfo, Lima")</f>
      </c>
      <c r="N643">
        <v>20</v>
      </c>
      <c r="O643">
        <v>90</v>
      </c>
      <c r="P643">
        <v>2542.06</v>
      </c>
      <c r="Q643" t="str">
        <v>162.92</v>
      </c>
      <c r="R643" t="str">
        <v/>
      </c>
      <c r="S643" t="str">
        <v/>
      </c>
      <c r="T643" t="str">
        <v/>
      </c>
      <c r="U643" t="str">
        <v/>
      </c>
    </row>
    <row r="644">
      <c r="A644" t="str">
        <v>643</v>
      </c>
      <c r="B644" t="str">
        <v>MASS BSF</v>
      </c>
      <c r="C644" t="str">
        <v>AAR-880</v>
      </c>
      <c r="D644" t="str">
        <v>AAR-880</v>
      </c>
      <c r="E644" t="str">
        <v/>
      </c>
      <c r="F644" t="str">
        <v>867806078847433</v>
      </c>
      <c r="G644" t="str">
        <v>Otro</v>
      </c>
      <c r="H644" t="str">
        <v/>
      </c>
      <c r="I644" t="str">
        <v>27/09/2026</v>
      </c>
      <c r="J644" t="str">
        <v>13:25:33</v>
      </c>
      <c r="K644">
        <v>-12.157395</v>
      </c>
      <c r="L644">
        <v>-76.95708</v>
      </c>
      <c r="M644">
        <f>HYPERLINK("https://www.google.com/maps/search/?api=1&amp;query=-12.157395,-76.95708","Calle Santo Toribio, Villa María del Triunfo, Lima")</f>
      </c>
      <c r="N644">
        <v>5.5</v>
      </c>
      <c r="O644">
        <v>90</v>
      </c>
      <c r="P644">
        <v>2542.19</v>
      </c>
      <c r="Q644" t="str">
        <v>162.92</v>
      </c>
      <c r="R644" t="str">
        <v/>
      </c>
      <c r="S644" t="str">
        <v/>
      </c>
      <c r="T644" t="str">
        <v/>
      </c>
      <c r="U644" t="str">
        <v/>
      </c>
    </row>
    <row r="645">
      <c r="A645" t="str">
        <v>644</v>
      </c>
      <c r="B645" t="str">
        <v>MASS BSF</v>
      </c>
      <c r="C645" t="str">
        <v>AAR-880</v>
      </c>
      <c r="D645" t="str">
        <v>AAR-880</v>
      </c>
      <c r="E645" t="str">
        <v/>
      </c>
      <c r="F645" t="str">
        <v>867806078847433</v>
      </c>
      <c r="G645" t="str">
        <v>Otro</v>
      </c>
      <c r="H645" t="str">
        <v/>
      </c>
      <c r="I645" t="str">
        <v>27/09/2026</v>
      </c>
      <c r="J645" t="str">
        <v>13:25:44</v>
      </c>
      <c r="K645">
        <v>-12.157416</v>
      </c>
      <c r="L645">
        <v>-76.95714</v>
      </c>
      <c r="M645">
        <f>HYPERLINK("https://www.google.com/maps/search/?api=1&amp;query=-12.157416,-76.95714","Jirón San Antonio, Villa María del Triunfo, Lima")</f>
      </c>
      <c r="N645">
        <v>6.4</v>
      </c>
      <c r="O645">
        <v>90</v>
      </c>
      <c r="P645">
        <v>2542.19</v>
      </c>
      <c r="Q645" t="str">
        <v>162.92</v>
      </c>
      <c r="R645" t="str">
        <v/>
      </c>
      <c r="S645" t="str">
        <v/>
      </c>
      <c r="T645" t="str">
        <v/>
      </c>
      <c r="U645" t="str">
        <v/>
      </c>
    </row>
    <row r="646">
      <c r="A646" t="str">
        <v>645</v>
      </c>
      <c r="B646" t="str">
        <v>MASS BSF</v>
      </c>
      <c r="C646" t="str">
        <v>AAR-880</v>
      </c>
      <c r="D646" t="str">
        <v>AAR-880</v>
      </c>
      <c r="E646" t="str">
        <v/>
      </c>
      <c r="F646" t="str">
        <v>867806078847433</v>
      </c>
      <c r="G646" t="str">
        <v>Otro</v>
      </c>
      <c r="H646" t="str">
        <v/>
      </c>
      <c r="I646" t="str">
        <v>27/09/2026</v>
      </c>
      <c r="J646" t="str">
        <v>13:25:49</v>
      </c>
      <c r="K646">
        <v>-12.157351</v>
      </c>
      <c r="L646">
        <v>-76.957214</v>
      </c>
      <c r="M646">
        <f>HYPERLINK("https://www.google.com/maps/search/?api=1&amp;query=-12.157351,-76.957214","Jirón San Antonio, Villa María del Triunfo, Lima")</f>
      </c>
      <c r="N646">
        <v>8.5</v>
      </c>
      <c r="O646">
        <v>94</v>
      </c>
      <c r="P646">
        <v>2542.2</v>
      </c>
      <c r="Q646" t="str">
        <v>162.92</v>
      </c>
      <c r="R646" t="str">
        <v/>
      </c>
      <c r="S646" t="str">
        <v/>
      </c>
      <c r="T646" t="str">
        <v/>
      </c>
      <c r="U646" t="str">
        <v/>
      </c>
    </row>
    <row r="647">
      <c r="A647" t="str">
        <v>646</v>
      </c>
      <c r="B647" t="str">
        <v>MASS BSF</v>
      </c>
      <c r="C647" t="str">
        <v>AAR-880</v>
      </c>
      <c r="D647" t="str">
        <v>AAR-880</v>
      </c>
      <c r="E647" t="str">
        <v/>
      </c>
      <c r="F647" t="str">
        <v>867806078847433</v>
      </c>
      <c r="G647" t="str">
        <v>Otro</v>
      </c>
      <c r="H647" t="str">
        <v/>
      </c>
      <c r="I647" t="str">
        <v>27/09/2026</v>
      </c>
      <c r="J647" t="str">
        <v>13:26:24</v>
      </c>
      <c r="K647">
        <v>-12.157012</v>
      </c>
      <c r="L647">
        <v>-76.95757</v>
      </c>
      <c r="M647">
        <f>HYPERLINK("https://www.google.com/maps/search/?api=1&amp;query=-12.157012,-76.95757","Jirón San Antonio, Villa María del Triunfo, Lima")</f>
      </c>
      <c r="N647">
        <v>12.2</v>
      </c>
      <c r="O647">
        <v>94</v>
      </c>
      <c r="P647">
        <v>2542.26</v>
      </c>
      <c r="Q647" t="str">
        <v>162.92</v>
      </c>
      <c r="R647" t="str">
        <v/>
      </c>
      <c r="S647" t="str">
        <v/>
      </c>
      <c r="T647" t="str">
        <v/>
      </c>
      <c r="U647" t="str">
        <v/>
      </c>
    </row>
    <row r="648">
      <c r="A648" t="str">
        <v>647</v>
      </c>
      <c r="B648" t="str">
        <v>MASS BSF</v>
      </c>
      <c r="C648" t="str">
        <v>AAR-880</v>
      </c>
      <c r="D648" t="str">
        <v>AAR-880</v>
      </c>
      <c r="E648" t="str">
        <v/>
      </c>
      <c r="F648" t="str">
        <v>867806078847433</v>
      </c>
      <c r="G648" t="str">
        <v>Otro</v>
      </c>
      <c r="H648" t="str">
        <v/>
      </c>
      <c r="I648" t="str">
        <v>27/09/2026</v>
      </c>
      <c r="J648" t="str">
        <v>13:26:34</v>
      </c>
      <c r="K648">
        <v>-12.156887</v>
      </c>
      <c r="L648">
        <v>-76.95773</v>
      </c>
      <c r="M648">
        <f>HYPERLINK("https://www.google.com/maps/search/?api=1&amp;query=-12.156887,-76.95773","Jirón San Antonio, Villa María del Triunfo, Lima")</f>
      </c>
      <c r="N648">
        <v>10.5</v>
      </c>
      <c r="O648">
        <v>94</v>
      </c>
      <c r="P648">
        <v>2542.28</v>
      </c>
      <c r="Q648" t="str">
        <v>162.92</v>
      </c>
      <c r="R648" t="str">
        <v/>
      </c>
      <c r="S648" t="str">
        <v/>
      </c>
      <c r="T648" t="str">
        <v/>
      </c>
      <c r="U648" t="str">
        <v/>
      </c>
    </row>
    <row r="649">
      <c r="A649" t="str">
        <v>648</v>
      </c>
      <c r="B649" t="str">
        <v>MASS BSF</v>
      </c>
      <c r="C649" t="str">
        <v>AAR-880</v>
      </c>
      <c r="D649" t="str">
        <v>AAR-880</v>
      </c>
      <c r="E649" t="str">
        <v/>
      </c>
      <c r="F649" t="str">
        <v>867806078847433</v>
      </c>
      <c r="G649" t="str">
        <v>Otro</v>
      </c>
      <c r="H649" t="str">
        <v/>
      </c>
      <c r="I649" t="str">
        <v>27/09/2026</v>
      </c>
      <c r="J649" t="str">
        <v>13:26:39</v>
      </c>
      <c r="K649">
        <v>-12.15682</v>
      </c>
      <c r="L649">
        <v>-76.957825</v>
      </c>
      <c r="M649">
        <f>HYPERLINK("https://www.google.com/maps/search/?api=1&amp;query=-12.15682,-76.957825","Jirón San Pedro, Villa María del Triunfo, Lima")</f>
      </c>
      <c r="N649">
        <v>8.8</v>
      </c>
      <c r="O649">
        <v>93</v>
      </c>
      <c r="P649">
        <v>2542.29</v>
      </c>
      <c r="Q649" t="str">
        <v>162.92</v>
      </c>
      <c r="R649" t="str">
        <v/>
      </c>
      <c r="S649" t="str">
        <v/>
      </c>
      <c r="T649" t="str">
        <v/>
      </c>
      <c r="U649" t="str">
        <v/>
      </c>
    </row>
    <row r="650">
      <c r="A650" t="str">
        <v>649</v>
      </c>
      <c r="B650" t="str">
        <v>MASS BSF</v>
      </c>
      <c r="C650" t="str">
        <v>AAR-880</v>
      </c>
      <c r="D650" t="str">
        <v>AAR-880</v>
      </c>
      <c r="E650" t="str">
        <v/>
      </c>
      <c r="F650" t="str">
        <v>867806078847433</v>
      </c>
      <c r="G650" t="str">
        <v>Otro</v>
      </c>
      <c r="H650" t="str">
        <v/>
      </c>
      <c r="I650" t="str">
        <v>27/09/2026</v>
      </c>
      <c r="J650" t="str">
        <v>13:26:45</v>
      </c>
      <c r="K650">
        <v>-12.156747</v>
      </c>
      <c r="L650">
        <v>-76.957924</v>
      </c>
      <c r="M650">
        <f>HYPERLINK("https://www.google.com/maps/search/?api=1&amp;query=-12.156747,-76.957924","Jirón San Antonio, Villa María del Triunfo, Lima")</f>
      </c>
      <c r="N650">
        <v>7.9</v>
      </c>
      <c r="O650">
        <v>93</v>
      </c>
      <c r="P650">
        <v>2542.3</v>
      </c>
      <c r="Q650" t="str">
        <v>162.92</v>
      </c>
      <c r="R650" t="str">
        <v/>
      </c>
      <c r="S650" t="str">
        <v/>
      </c>
      <c r="T650" t="str">
        <v/>
      </c>
      <c r="U650" t="str">
        <v/>
      </c>
    </row>
    <row r="651">
      <c r="A651" t="str">
        <v>650</v>
      </c>
      <c r="B651" t="str">
        <v>MASS BSF</v>
      </c>
      <c r="C651" t="str">
        <v>AAR-880</v>
      </c>
      <c r="D651" t="str">
        <v>AAR-880</v>
      </c>
      <c r="E651" t="str">
        <v/>
      </c>
      <c r="F651" t="str">
        <v>867806078847433</v>
      </c>
      <c r="G651" t="str">
        <v>Otro</v>
      </c>
      <c r="H651" t="str">
        <v/>
      </c>
      <c r="I651" t="str">
        <v>27/09/2026</v>
      </c>
      <c r="J651" t="str">
        <v>13:26:54</v>
      </c>
      <c r="K651">
        <v>-12.156638</v>
      </c>
      <c r="L651">
        <v>-76.95805</v>
      </c>
      <c r="M651">
        <f>HYPERLINK("https://www.google.com/maps/search/?api=1&amp;query=-12.156638,-76.95805","Jirón San Antonio, Villa María del Triunfo, Lima")</f>
      </c>
      <c r="N651">
        <v>6.8</v>
      </c>
      <c r="O651">
        <v>93</v>
      </c>
      <c r="P651">
        <v>2542.32</v>
      </c>
      <c r="Q651" t="str">
        <v>162.92</v>
      </c>
      <c r="R651" t="str">
        <v/>
      </c>
      <c r="S651" t="str">
        <v/>
      </c>
      <c r="T651" t="str">
        <v/>
      </c>
      <c r="U651" t="str">
        <v/>
      </c>
    </row>
    <row r="652">
      <c r="A652" t="str">
        <v>651</v>
      </c>
      <c r="B652" t="str">
        <v>MASS BSF</v>
      </c>
      <c r="C652" t="str">
        <v>AAR-880</v>
      </c>
      <c r="D652" t="str">
        <v>AAR-880</v>
      </c>
      <c r="E652" t="str">
        <v/>
      </c>
      <c r="F652" t="str">
        <v>867806078847433</v>
      </c>
      <c r="G652" t="str">
        <v>Otro</v>
      </c>
      <c r="H652" t="str">
        <v/>
      </c>
      <c r="I652" t="str">
        <v>27/09/2026</v>
      </c>
      <c r="J652" t="str">
        <v>13:27:54</v>
      </c>
      <c r="K652">
        <v>-12.156551</v>
      </c>
      <c r="L652">
        <v>-76.95818</v>
      </c>
      <c r="M652">
        <f>HYPERLINK("https://www.google.com/maps/search/?api=1&amp;query=-12.156551,-76.95818","Jirón San Antonio, Villa María del Triunfo, Lima")</f>
      </c>
      <c r="N652">
        <v>0</v>
      </c>
      <c r="O652">
        <v>87</v>
      </c>
      <c r="P652">
        <v>2542.34</v>
      </c>
      <c r="Q652" t="str">
        <v>162.92</v>
      </c>
      <c r="R652" t="str">
        <v/>
      </c>
      <c r="S652" t="str">
        <v/>
      </c>
      <c r="T652" t="str">
        <v/>
      </c>
      <c r="U652" t="str">
        <v/>
      </c>
    </row>
    <row r="653">
      <c r="A653" t="str">
        <v>652</v>
      </c>
      <c r="B653" t="str">
        <v>MASS BSF</v>
      </c>
      <c r="C653" t="str">
        <v>AAR-880</v>
      </c>
      <c r="D653" t="str">
        <v>AAR-880</v>
      </c>
      <c r="E653" t="str">
        <v/>
      </c>
      <c r="F653" t="str">
        <v>867806078847433</v>
      </c>
      <c r="G653" t="str">
        <v>Otro</v>
      </c>
      <c r="H653" t="str">
        <v/>
      </c>
      <c r="I653" t="str">
        <v>27/09/2026</v>
      </c>
      <c r="J653" t="str">
        <v>13:28:54</v>
      </c>
      <c r="K653">
        <v>-12.156551</v>
      </c>
      <c r="L653">
        <v>-76.95818</v>
      </c>
      <c r="M653">
        <f>HYPERLINK("https://www.google.com/maps/search/?api=1&amp;query=-12.156551,-76.95818","Jirón San Antonio, Villa María del Triunfo, Lima")</f>
      </c>
      <c r="N653">
        <v>0</v>
      </c>
      <c r="O653">
        <v>87</v>
      </c>
      <c r="P653">
        <v>2542.34</v>
      </c>
      <c r="Q653" t="str">
        <v>162.92</v>
      </c>
      <c r="R653" t="str">
        <v/>
      </c>
      <c r="S653" t="str">
        <v/>
      </c>
      <c r="T653" t="str">
        <v/>
      </c>
      <c r="U653" t="str">
        <v/>
      </c>
    </row>
    <row r="654">
      <c r="A654" t="str">
        <v>653</v>
      </c>
      <c r="B654" t="str">
        <v>MASS BSF</v>
      </c>
      <c r="C654" t="str">
        <v>AAR-880</v>
      </c>
      <c r="D654" t="str">
        <v>AAR-880</v>
      </c>
      <c r="E654" t="str">
        <v/>
      </c>
      <c r="F654" t="str">
        <v>867806078847433</v>
      </c>
      <c r="G654" t="str">
        <v>Otro</v>
      </c>
      <c r="H654" t="str">
        <v/>
      </c>
      <c r="I654" t="str">
        <v>27/09/2026</v>
      </c>
      <c r="J654" t="str">
        <v>13:29:54</v>
      </c>
      <c r="K654">
        <v>-12.156551</v>
      </c>
      <c r="L654">
        <v>-76.95818</v>
      </c>
      <c r="M654">
        <f>HYPERLINK("https://www.google.com/maps/search/?api=1&amp;query=-12.156551,-76.95818","Jirón San Antonio, Villa María del Triunfo, Lima")</f>
      </c>
      <c r="N654">
        <v>0</v>
      </c>
      <c r="O654">
        <v>87</v>
      </c>
      <c r="P654">
        <v>2542.34</v>
      </c>
      <c r="Q654" t="str">
        <v>162.92</v>
      </c>
      <c r="R654" t="str">
        <v/>
      </c>
      <c r="S654" t="str">
        <v/>
      </c>
      <c r="T654" t="str">
        <v/>
      </c>
      <c r="U654" t="str">
        <v/>
      </c>
    </row>
    <row r="655">
      <c r="A655" t="str">
        <v>654</v>
      </c>
      <c r="B655" t="str">
        <v>MASS BSF</v>
      </c>
      <c r="C655" t="str">
        <v>AAR-880</v>
      </c>
      <c r="D655" t="str">
        <v>AAR-880</v>
      </c>
      <c r="E655" t="str">
        <v/>
      </c>
      <c r="F655" t="str">
        <v>867806078847433</v>
      </c>
      <c r="G655" t="str">
        <v>Otro</v>
      </c>
      <c r="H655" t="str">
        <v/>
      </c>
      <c r="I655" t="str">
        <v>27/09/2026</v>
      </c>
      <c r="J655" t="str">
        <v>13:30:54</v>
      </c>
      <c r="K655">
        <v>-12.156551</v>
      </c>
      <c r="L655">
        <v>-76.95818</v>
      </c>
      <c r="M655">
        <f>HYPERLINK("https://www.google.com/maps/search/?api=1&amp;query=-12.156551,-76.95818","Jirón San Antonio, Villa María del Triunfo, Lima")</f>
      </c>
      <c r="N655">
        <v>0</v>
      </c>
      <c r="O655">
        <v>87</v>
      </c>
      <c r="P655">
        <v>2542.34</v>
      </c>
      <c r="Q655" t="str">
        <v>162.92</v>
      </c>
      <c r="R655" t="str">
        <v/>
      </c>
      <c r="S655" t="str">
        <v/>
      </c>
      <c r="T655" t="str">
        <v/>
      </c>
      <c r="U655" t="str">
        <v/>
      </c>
    </row>
    <row r="656">
      <c r="A656" t="str">
        <v>655</v>
      </c>
      <c r="B656" t="str">
        <v>MASS BSF</v>
      </c>
      <c r="C656" t="str">
        <v>AAR-880</v>
      </c>
      <c r="D656" t="str">
        <v>AAR-880</v>
      </c>
      <c r="E656" t="str">
        <v/>
      </c>
      <c r="F656" t="str">
        <v>867806078847433</v>
      </c>
      <c r="G656" t="str">
        <v>Otro</v>
      </c>
      <c r="H656" t="str">
        <v/>
      </c>
      <c r="I656" t="str">
        <v>27/09/2026</v>
      </c>
      <c r="J656" t="str">
        <v>13:31:09</v>
      </c>
      <c r="K656">
        <v>-12.156551</v>
      </c>
      <c r="L656">
        <v>-76.95818</v>
      </c>
      <c r="M656">
        <f>HYPERLINK("https://www.google.com/maps/search/?api=1&amp;query=-12.156551,-76.95818","Jirón San Antonio, Villa María del Triunfo, Lima")</f>
      </c>
      <c r="N656">
        <v>0</v>
      </c>
      <c r="O656">
        <v>87</v>
      </c>
      <c r="P656">
        <v>2542.34</v>
      </c>
      <c r="Q656" t="str">
        <v>162.92</v>
      </c>
      <c r="R656" t="str">
        <v/>
      </c>
      <c r="S656" t="str">
        <v/>
      </c>
      <c r="T656" t="str">
        <v/>
      </c>
      <c r="U656" t="str">
        <v/>
      </c>
    </row>
    <row r="657">
      <c r="A657" t="str">
        <v>656</v>
      </c>
      <c r="B657" t="str">
        <v>MASS BSF</v>
      </c>
      <c r="C657" t="str">
        <v>AAR-880</v>
      </c>
      <c r="D657" t="str">
        <v>AAR-880</v>
      </c>
      <c r="E657" t="str">
        <v/>
      </c>
      <c r="F657" t="str">
        <v>867806078847433</v>
      </c>
      <c r="G657" t="str">
        <v>Otro</v>
      </c>
      <c r="H657" t="str">
        <v/>
      </c>
      <c r="I657" t="str">
        <v>27/09/2026</v>
      </c>
      <c r="J657" t="str">
        <v>13:31:54</v>
      </c>
      <c r="K657">
        <v>-12.156551</v>
      </c>
      <c r="L657">
        <v>-76.95818</v>
      </c>
      <c r="M657">
        <f>HYPERLINK("https://www.google.com/maps/search/?api=1&amp;query=-12.156551,-76.95818","Jirón San Antonio, Villa María del Triunfo, Lima")</f>
      </c>
      <c r="N657">
        <v>0</v>
      </c>
      <c r="O657">
        <v>87</v>
      </c>
      <c r="P657">
        <v>2542.34</v>
      </c>
      <c r="Q657" t="str">
        <v>162.92</v>
      </c>
      <c r="R657" t="str">
        <v/>
      </c>
      <c r="S657" t="str">
        <v/>
      </c>
      <c r="T657" t="str">
        <v/>
      </c>
      <c r="U657" t="str">
        <v/>
      </c>
    </row>
    <row r="658">
      <c r="A658" t="str">
        <v>657</v>
      </c>
      <c r="B658" t="str">
        <v>MASS BSF</v>
      </c>
      <c r="C658" t="str">
        <v>AAR-880</v>
      </c>
      <c r="D658" t="str">
        <v>AAR-880</v>
      </c>
      <c r="E658" t="str">
        <v/>
      </c>
      <c r="F658" t="str">
        <v>867806078847433</v>
      </c>
      <c r="G658" t="str">
        <v>Otro</v>
      </c>
      <c r="H658" t="str">
        <v/>
      </c>
      <c r="I658" t="str">
        <v>27/09/2026</v>
      </c>
      <c r="J658" t="str">
        <v>13:32:54</v>
      </c>
      <c r="K658">
        <v>-12.156551</v>
      </c>
      <c r="L658">
        <v>-76.95818</v>
      </c>
      <c r="M658">
        <f>HYPERLINK("https://www.google.com/maps/search/?api=1&amp;query=-12.156551,-76.95818","Jirón San Antonio, Villa María del Triunfo, Lima")</f>
      </c>
      <c r="N658">
        <v>0</v>
      </c>
      <c r="O658">
        <v>87</v>
      </c>
      <c r="P658">
        <v>2542.34</v>
      </c>
      <c r="Q658" t="str">
        <v>162.92</v>
      </c>
      <c r="R658" t="str">
        <v/>
      </c>
      <c r="S658" t="str">
        <v/>
      </c>
      <c r="T658" t="str">
        <v/>
      </c>
      <c r="U658" t="str">
        <v/>
      </c>
    </row>
    <row r="659">
      <c r="A659" t="str">
        <v>658</v>
      </c>
      <c r="B659" t="str">
        <v>MASS BSF</v>
      </c>
      <c r="C659" t="str">
        <v>AAR-880</v>
      </c>
      <c r="D659" t="str">
        <v>AAR-880</v>
      </c>
      <c r="E659" t="str">
        <v/>
      </c>
      <c r="F659" t="str">
        <v>867806078847433</v>
      </c>
      <c r="G659" t="str">
        <v>Otro</v>
      </c>
      <c r="H659" t="str">
        <v/>
      </c>
      <c r="I659" t="str">
        <v>27/09/2026</v>
      </c>
      <c r="J659" t="str">
        <v>13:33:54</v>
      </c>
      <c r="K659">
        <v>-12.156551</v>
      </c>
      <c r="L659">
        <v>-76.95818</v>
      </c>
      <c r="M659">
        <f>HYPERLINK("https://www.google.com/maps/search/?api=1&amp;query=-12.156551,-76.95818","Jirón San Antonio, Villa María del Triunfo, Lima")</f>
      </c>
      <c r="N659">
        <v>0</v>
      </c>
      <c r="O659">
        <v>87</v>
      </c>
      <c r="P659">
        <v>2542.34</v>
      </c>
      <c r="Q659" t="str">
        <v>162.92</v>
      </c>
      <c r="R659" t="str">
        <v/>
      </c>
      <c r="S659" t="str">
        <v/>
      </c>
      <c r="T659" t="str">
        <v/>
      </c>
      <c r="U659" t="str">
        <v/>
      </c>
    </row>
    <row r="660">
      <c r="A660" t="str">
        <v>659</v>
      </c>
      <c r="B660" t="str">
        <v>MASS BSF</v>
      </c>
      <c r="C660" t="str">
        <v>AAR-880</v>
      </c>
      <c r="D660" t="str">
        <v>AAR-880</v>
      </c>
      <c r="E660" t="str">
        <v/>
      </c>
      <c r="F660" t="str">
        <v>867806078847433</v>
      </c>
      <c r="G660" t="str">
        <v>Otro</v>
      </c>
      <c r="H660" t="str">
        <v/>
      </c>
      <c r="I660" t="str">
        <v>27/09/2026</v>
      </c>
      <c r="J660" t="str">
        <v>13:34:09</v>
      </c>
      <c r="K660">
        <v>-12.156551</v>
      </c>
      <c r="L660">
        <v>-76.95818</v>
      </c>
      <c r="M660">
        <f>HYPERLINK("https://www.google.com/maps/search/?api=1&amp;query=-12.156551,-76.95818","Jirón San Antonio, Villa María del Triunfo, Lima")</f>
      </c>
      <c r="N660">
        <v>0</v>
      </c>
      <c r="O660">
        <v>87</v>
      </c>
      <c r="P660">
        <v>2542.34</v>
      </c>
      <c r="Q660" t="str">
        <v>162.92</v>
      </c>
      <c r="R660" t="str">
        <v>Inicio de ralentí</v>
      </c>
      <c r="S660" t="str">
        <v/>
      </c>
      <c r="T660" t="str">
        <v/>
      </c>
      <c r="U660" t="str">
        <v/>
      </c>
    </row>
    <row r="661">
      <c r="A661" t="str">
        <v>660</v>
      </c>
      <c r="B661" t="str">
        <v>MASS BSF</v>
      </c>
      <c r="C661" t="str">
        <v>AAR-880</v>
      </c>
      <c r="D661" t="str">
        <v>AAR-880</v>
      </c>
      <c r="E661" t="str">
        <v/>
      </c>
      <c r="F661" t="str">
        <v>867806078847433</v>
      </c>
      <c r="G661" t="str">
        <v>Otro</v>
      </c>
      <c r="H661" t="str">
        <v/>
      </c>
      <c r="I661" t="str">
        <v>27/09/2026</v>
      </c>
      <c r="J661" t="str">
        <v>13:34:39</v>
      </c>
      <c r="K661">
        <v>-12.156551</v>
      </c>
      <c r="L661">
        <v>-76.95818</v>
      </c>
      <c r="M661">
        <f>HYPERLINK("https://www.google.com/maps/search/?api=1&amp;query=-12.156551,-76.95818","Jirón San Antonio, Villa María del Triunfo, Lima")</f>
      </c>
      <c r="N661">
        <v>0</v>
      </c>
      <c r="O661">
        <v>87</v>
      </c>
      <c r="P661">
        <v>2542.34</v>
      </c>
      <c r="Q661" t="str">
        <v>163.13</v>
      </c>
      <c r="R661" t="str">
        <v>Vehículo apagado</v>
      </c>
      <c r="S661" t="str">
        <v/>
      </c>
      <c r="T661" t="str">
        <v/>
      </c>
      <c r="U661" t="str">
        <v/>
      </c>
    </row>
    <row r="662">
      <c r="A662" t="str">
        <v>661</v>
      </c>
      <c r="B662" t="str">
        <v>MASS BSF</v>
      </c>
      <c r="C662" t="str">
        <v>AAR-880</v>
      </c>
      <c r="D662" t="str">
        <v>AAR-880</v>
      </c>
      <c r="E662" t="str">
        <v/>
      </c>
      <c r="F662" t="str">
        <v>867806078847433</v>
      </c>
      <c r="G662" t="str">
        <v>Otro</v>
      </c>
      <c r="H662" t="str">
        <v/>
      </c>
      <c r="I662" t="str">
        <v>27/09/2026</v>
      </c>
      <c r="J662" t="str">
        <v>13:34:39</v>
      </c>
      <c r="K662">
        <v>-12.156551</v>
      </c>
      <c r="L662">
        <v>-76.95818</v>
      </c>
      <c r="M662">
        <f>HYPERLINK("https://www.google.com/maps/search/?api=1&amp;query=-12.156551,-76.95818","Jirón San Antonio, Villa María del Triunfo, Lima")</f>
      </c>
      <c r="N662">
        <v>0</v>
      </c>
      <c r="O662">
        <v>87</v>
      </c>
      <c r="P662">
        <v>2542.34</v>
      </c>
      <c r="Q662" t="str">
        <v>162.92</v>
      </c>
      <c r="R662" t="str">
        <v>Fin de ralentí</v>
      </c>
      <c r="S662" t="str">
        <v/>
      </c>
      <c r="T662" t="str">
        <v/>
      </c>
      <c r="U662" t="str">
        <v/>
      </c>
    </row>
    <row r="663">
      <c r="A663" t="str">
        <v>662</v>
      </c>
      <c r="B663" t="str">
        <v>MASS BSF</v>
      </c>
      <c r="C663" t="str">
        <v>AAR-880</v>
      </c>
      <c r="D663" t="str">
        <v>AAR-880</v>
      </c>
      <c r="E663" t="str">
        <v/>
      </c>
      <c r="F663" t="str">
        <v>867806078847433</v>
      </c>
      <c r="G663" t="str">
        <v>Otro</v>
      </c>
      <c r="H663" t="str">
        <v/>
      </c>
      <c r="I663" t="str">
        <v>27/09/2026</v>
      </c>
      <c r="J663" t="str">
        <v>13:34:39</v>
      </c>
      <c r="K663">
        <v>-12.156551</v>
      </c>
      <c r="L663">
        <v>-76.95818</v>
      </c>
      <c r="M663">
        <f>HYPERLINK("https://www.google.com/maps/search/?api=1&amp;query=-12.156551,-76.95818","Jirón San Antonio, Villa María del Triunfo, Lima")</f>
      </c>
      <c r="N663">
        <v>0</v>
      </c>
      <c r="O663">
        <v>87</v>
      </c>
      <c r="P663">
        <v>2542.34</v>
      </c>
      <c r="Q663" t="str">
        <v>162.92</v>
      </c>
      <c r="R663" t="str">
        <v/>
      </c>
      <c r="S663" t="str">
        <v/>
      </c>
      <c r="T663" t="str">
        <v/>
      </c>
      <c r="U663" t="str">
        <v/>
      </c>
    </row>
    <row r="664">
      <c r="A664" t="str">
        <v>663</v>
      </c>
      <c r="B664" t="str">
        <v>MASS BSF</v>
      </c>
      <c r="C664" t="str">
        <v>AAR-880</v>
      </c>
      <c r="D664" t="str">
        <v>AAR-880</v>
      </c>
      <c r="E664" t="str">
        <v/>
      </c>
      <c r="F664" t="str">
        <v>867806078847433</v>
      </c>
      <c r="G664" t="str">
        <v>Otro</v>
      </c>
      <c r="H664" t="str">
        <v/>
      </c>
      <c r="I664" t="str">
        <v>27/09/2026</v>
      </c>
      <c r="J664" t="str">
        <v>13:39:19</v>
      </c>
      <c r="K664">
        <v>-12.156551</v>
      </c>
      <c r="L664">
        <v>-76.95818</v>
      </c>
      <c r="M664">
        <f>HYPERLINK("https://www.google.com/maps/search/?api=1&amp;query=-12.156551,-76.95818","Jirón San Antonio, Villa María del Triunfo, Lima")</f>
      </c>
      <c r="N664">
        <v>0</v>
      </c>
      <c r="O664">
        <v>87</v>
      </c>
      <c r="P664">
        <v>2542.34</v>
      </c>
      <c r="Q664" t="str">
        <v>163.13</v>
      </c>
      <c r="R664" t="str">
        <v>Vehículo encendido</v>
      </c>
      <c r="S664" t="str">
        <v/>
      </c>
      <c r="T664" t="str">
        <v/>
      </c>
      <c r="U664" t="str">
        <v/>
      </c>
    </row>
    <row r="665">
      <c r="A665" t="str">
        <v>664</v>
      </c>
      <c r="B665" t="str">
        <v>MASS BSF</v>
      </c>
      <c r="C665" t="str">
        <v>AAR-880</v>
      </c>
      <c r="D665" t="str">
        <v>AAR-880</v>
      </c>
      <c r="E665" t="str">
        <v/>
      </c>
      <c r="F665" t="str">
        <v>867806078847433</v>
      </c>
      <c r="G665" t="str">
        <v>Otro</v>
      </c>
      <c r="H665" t="str">
        <v/>
      </c>
      <c r="I665" t="str">
        <v>27/09/2026</v>
      </c>
      <c r="J665" t="str">
        <v>13:39:19</v>
      </c>
      <c r="K665">
        <v>-12.156551</v>
      </c>
      <c r="L665">
        <v>-76.95818</v>
      </c>
      <c r="M665">
        <f>HYPERLINK("https://www.google.com/maps/search/?api=1&amp;query=-12.156551,-76.95818","Jirón San Antonio, Villa María del Triunfo, Lima")</f>
      </c>
      <c r="N665">
        <v>0</v>
      </c>
      <c r="O665">
        <v>87</v>
      </c>
      <c r="P665">
        <v>2542.34</v>
      </c>
      <c r="Q665" t="str">
        <v>163.13</v>
      </c>
      <c r="R665" t="str">
        <v/>
      </c>
      <c r="S665" t="str">
        <v/>
      </c>
      <c r="T665" t="str">
        <v/>
      </c>
      <c r="U665" t="str">
        <v/>
      </c>
    </row>
    <row r="666">
      <c r="A666" t="str">
        <v>665</v>
      </c>
      <c r="B666" t="str">
        <v>MASS BSF</v>
      </c>
      <c r="C666" t="str">
        <v>AAR-880</v>
      </c>
      <c r="D666" t="str">
        <v>AAR-880</v>
      </c>
      <c r="E666" t="str">
        <v/>
      </c>
      <c r="F666" t="str">
        <v>867806078847433</v>
      </c>
      <c r="G666" t="str">
        <v>Otro</v>
      </c>
      <c r="H666" t="str">
        <v/>
      </c>
      <c r="I666" t="str">
        <v>27/09/2026</v>
      </c>
      <c r="J666" t="str">
        <v>13:40:19</v>
      </c>
      <c r="K666">
        <v>-12.156515</v>
      </c>
      <c r="L666">
        <v>-76.95827</v>
      </c>
      <c r="M666">
        <f>HYPERLINK("https://www.google.com/maps/search/?api=1&amp;query=-12.156515,-76.95827","Jirón San Antonio, Villa María del Triunfo, Lima")</f>
      </c>
      <c r="N666">
        <v>0</v>
      </c>
      <c r="O666">
        <v>87</v>
      </c>
      <c r="P666">
        <v>2542.35</v>
      </c>
      <c r="Q666" t="str">
        <v>163.13</v>
      </c>
      <c r="R666" t="str">
        <v/>
      </c>
      <c r="S666" t="str">
        <v/>
      </c>
      <c r="T666" t="str">
        <v/>
      </c>
      <c r="U666" t="str">
        <v/>
      </c>
    </row>
    <row r="667">
      <c r="A667" t="str">
        <v>666</v>
      </c>
      <c r="B667" t="str">
        <v>MASS BSF</v>
      </c>
      <c r="C667" t="str">
        <v>AAR-880</v>
      </c>
      <c r="D667" t="str">
        <v>AAR-880</v>
      </c>
      <c r="E667" t="str">
        <v/>
      </c>
      <c r="F667" t="str">
        <v>867806078847433</v>
      </c>
      <c r="G667" t="str">
        <v>Otro</v>
      </c>
      <c r="H667" t="str">
        <v/>
      </c>
      <c r="I667" t="str">
        <v>27/09/2026</v>
      </c>
      <c r="J667" t="str">
        <v>13:41:19</v>
      </c>
      <c r="K667">
        <v>-12.156515</v>
      </c>
      <c r="L667">
        <v>-76.95827</v>
      </c>
      <c r="M667">
        <f>HYPERLINK("https://www.google.com/maps/search/?api=1&amp;query=-12.156515,-76.95827","Jirón San Antonio, Villa María del Triunfo, Lima")</f>
      </c>
      <c r="N667">
        <v>0</v>
      </c>
      <c r="O667">
        <v>84</v>
      </c>
      <c r="P667">
        <v>2542.35</v>
      </c>
      <c r="Q667" t="str">
        <v>163.13</v>
      </c>
      <c r="R667" t="str">
        <v/>
      </c>
      <c r="S667" t="str">
        <v/>
      </c>
      <c r="T667" t="str">
        <v/>
      </c>
      <c r="U667" t="str">
        <v/>
      </c>
    </row>
    <row r="668">
      <c r="A668" t="str">
        <v>667</v>
      </c>
      <c r="B668" t="str">
        <v>MASS BSF</v>
      </c>
      <c r="C668" t="str">
        <v>AAR-880</v>
      </c>
      <c r="D668" t="str">
        <v>AAR-880</v>
      </c>
      <c r="E668" t="str">
        <v/>
      </c>
      <c r="F668" t="str">
        <v>867806078847433</v>
      </c>
      <c r="G668" t="str">
        <v>Otro</v>
      </c>
      <c r="H668" t="str">
        <v/>
      </c>
      <c r="I668" t="str">
        <v>27/09/2026</v>
      </c>
      <c r="J668" t="str">
        <v>13:41:34</v>
      </c>
      <c r="K668">
        <v>-12.156515</v>
      </c>
      <c r="L668">
        <v>-76.95827</v>
      </c>
      <c r="M668">
        <f>HYPERLINK("https://www.google.com/maps/search/?api=1&amp;query=-12.156515,-76.95827","Jirón San Antonio, Villa María del Triunfo, Lima")</f>
      </c>
      <c r="N668">
        <v>0</v>
      </c>
      <c r="O668">
        <v>84</v>
      </c>
      <c r="P668">
        <v>2542.35</v>
      </c>
      <c r="Q668" t="str">
        <v>163.17</v>
      </c>
      <c r="R668" t="str">
        <v>Vehículo apagado</v>
      </c>
      <c r="S668" t="str">
        <v/>
      </c>
      <c r="T668" t="str">
        <v/>
      </c>
      <c r="U668" t="str">
        <v/>
      </c>
    </row>
    <row r="669">
      <c r="A669" t="str">
        <v>668</v>
      </c>
      <c r="B669" t="str">
        <v>MASS BSF</v>
      </c>
      <c r="C669" t="str">
        <v>AAR-880</v>
      </c>
      <c r="D669" t="str">
        <v>AAR-880</v>
      </c>
      <c r="E669" t="str">
        <v/>
      </c>
      <c r="F669" t="str">
        <v>867806078847433</v>
      </c>
      <c r="G669" t="str">
        <v>Otro</v>
      </c>
      <c r="H669" t="str">
        <v/>
      </c>
      <c r="I669" t="str">
        <v>27/09/2026</v>
      </c>
      <c r="J669" t="str">
        <v>13:41:34</v>
      </c>
      <c r="K669">
        <v>-12.156515</v>
      </c>
      <c r="L669">
        <v>-76.95827</v>
      </c>
      <c r="M669">
        <f>HYPERLINK("https://www.google.com/maps/search/?api=1&amp;query=-12.156515,-76.95827","Jirón San Antonio, Villa María del Triunfo, Lima")</f>
      </c>
      <c r="N669">
        <v>0</v>
      </c>
      <c r="O669">
        <v>84</v>
      </c>
      <c r="P669">
        <v>2542.35</v>
      </c>
      <c r="Q669" t="str">
        <v>163.13</v>
      </c>
      <c r="R669" t="str">
        <v/>
      </c>
      <c r="S669" t="str">
        <v/>
      </c>
      <c r="T669" t="str">
        <v/>
      </c>
      <c r="U669" t="str">
        <v/>
      </c>
    </row>
    <row r="670">
      <c r="A670" t="str">
        <v>669</v>
      </c>
      <c r="B670" t="str">
        <v>MASS BSF</v>
      </c>
      <c r="C670" t="str">
        <v>AAR-880</v>
      </c>
      <c r="D670" t="str">
        <v>AAR-880</v>
      </c>
      <c r="E670" t="str">
        <v/>
      </c>
      <c r="F670" t="str">
        <v>867806078847433</v>
      </c>
      <c r="G670" t="str">
        <v>Otro</v>
      </c>
      <c r="H670" t="str">
        <v/>
      </c>
      <c r="I670" t="str">
        <v>27/09/2026</v>
      </c>
      <c r="J670" t="str">
        <v>13:44:19</v>
      </c>
      <c r="K670">
        <v>-12.156515</v>
      </c>
      <c r="L670">
        <v>-76.95827</v>
      </c>
      <c r="M670">
        <f>HYPERLINK("https://www.google.com/maps/search/?api=1&amp;query=-12.156515,-76.95827","Jirón San Antonio, Villa María del Triunfo, Lima")</f>
      </c>
      <c r="N670">
        <v>0</v>
      </c>
      <c r="O670">
        <v>84</v>
      </c>
      <c r="P670">
        <v>2542.35</v>
      </c>
      <c r="Q670" t="str">
        <v>163.17</v>
      </c>
      <c r="R670" t="str">
        <v>Vehículo encendido</v>
      </c>
      <c r="S670" t="str">
        <v/>
      </c>
      <c r="T670" t="str">
        <v/>
      </c>
      <c r="U670" t="str">
        <v/>
      </c>
    </row>
    <row r="671">
      <c r="A671" t="str">
        <v>670</v>
      </c>
      <c r="B671" t="str">
        <v>MASS BSF</v>
      </c>
      <c r="C671" t="str">
        <v>AAR-880</v>
      </c>
      <c r="D671" t="str">
        <v>AAR-880</v>
      </c>
      <c r="E671" t="str">
        <v/>
      </c>
      <c r="F671" t="str">
        <v>867806078847433</v>
      </c>
      <c r="G671" t="str">
        <v>Otro</v>
      </c>
      <c r="H671" t="str">
        <v/>
      </c>
      <c r="I671" t="str">
        <v>27/09/2026</v>
      </c>
      <c r="J671" t="str">
        <v>13:44:19</v>
      </c>
      <c r="K671">
        <v>-12.156515</v>
      </c>
      <c r="L671">
        <v>-76.95827</v>
      </c>
      <c r="M671">
        <f>HYPERLINK("https://www.google.com/maps/search/?api=1&amp;query=-12.156515,-76.95827","Jirón San Antonio, Villa María del Triunfo, Lima")</f>
      </c>
      <c r="N671">
        <v>0</v>
      </c>
      <c r="O671">
        <v>84</v>
      </c>
      <c r="P671">
        <v>2542.35</v>
      </c>
      <c r="Q671" t="str">
        <v>163.17</v>
      </c>
      <c r="R671" t="str">
        <v/>
      </c>
      <c r="S671" t="str">
        <v/>
      </c>
      <c r="T671" t="str">
        <v/>
      </c>
      <c r="U671" t="str">
        <v/>
      </c>
    </row>
    <row r="672">
      <c r="A672" t="str">
        <v>671</v>
      </c>
      <c r="B672" t="str">
        <v>MASS BSF</v>
      </c>
      <c r="C672" t="str">
        <v>AAR-880</v>
      </c>
      <c r="D672" t="str">
        <v>AAR-880</v>
      </c>
      <c r="E672" t="str">
        <v/>
      </c>
      <c r="F672" t="str">
        <v>867806078847433</v>
      </c>
      <c r="G672" t="str">
        <v>Otro</v>
      </c>
      <c r="H672" t="str">
        <v/>
      </c>
      <c r="I672" t="str">
        <v>27/09/2026</v>
      </c>
      <c r="J672" t="str">
        <v>13:45:19</v>
      </c>
      <c r="K672">
        <v>-12.156515</v>
      </c>
      <c r="L672">
        <v>-76.95827</v>
      </c>
      <c r="M672">
        <f>HYPERLINK("https://www.google.com/maps/search/?api=1&amp;query=-12.156515,-76.95827","Jirón San Antonio, Villa María del Triunfo, Lima")</f>
      </c>
      <c r="N672">
        <v>0</v>
      </c>
      <c r="O672">
        <v>84</v>
      </c>
      <c r="P672">
        <v>2542.35</v>
      </c>
      <c r="Q672" t="str">
        <v>163.17</v>
      </c>
      <c r="R672" t="str">
        <v/>
      </c>
      <c r="S672" t="str">
        <v/>
      </c>
      <c r="T672" t="str">
        <v/>
      </c>
      <c r="U672" t="str">
        <v/>
      </c>
    </row>
    <row r="673">
      <c r="A673" t="str">
        <v>672</v>
      </c>
      <c r="B673" t="str">
        <v>MASS BSF</v>
      </c>
      <c r="C673" t="str">
        <v>AAR-880</v>
      </c>
      <c r="D673" t="str">
        <v>AAR-880</v>
      </c>
      <c r="E673" t="str">
        <v/>
      </c>
      <c r="F673" t="str">
        <v>867806078847433</v>
      </c>
      <c r="G673" t="str">
        <v>Otro</v>
      </c>
      <c r="H673" t="str">
        <v/>
      </c>
      <c r="I673" t="str">
        <v>27/09/2026</v>
      </c>
      <c r="J673" t="str">
        <v>13:45:49</v>
      </c>
      <c r="K673">
        <v>-12.156515</v>
      </c>
      <c r="L673">
        <v>-76.95827</v>
      </c>
      <c r="M673">
        <f>HYPERLINK("https://www.google.com/maps/search/?api=1&amp;query=-12.156515,-76.95827","Jirón San Antonio, Villa María del Triunfo, Lima")</f>
      </c>
      <c r="N673">
        <v>0</v>
      </c>
      <c r="O673">
        <v>84</v>
      </c>
      <c r="P673">
        <v>2542.35</v>
      </c>
      <c r="Q673" t="str">
        <v>163.20</v>
      </c>
      <c r="R673" t="str">
        <v>Vehículo apagado</v>
      </c>
      <c r="S673" t="str">
        <v/>
      </c>
      <c r="T673" t="str">
        <v/>
      </c>
      <c r="U673" t="str">
        <v/>
      </c>
    </row>
    <row r="674">
      <c r="A674" t="str">
        <v>673</v>
      </c>
      <c r="B674" t="str">
        <v>MASS BSF</v>
      </c>
      <c r="C674" t="str">
        <v>AAR-880</v>
      </c>
      <c r="D674" t="str">
        <v>AAR-880</v>
      </c>
      <c r="E674" t="str">
        <v/>
      </c>
      <c r="F674" t="str">
        <v>867806078847433</v>
      </c>
      <c r="G674" t="str">
        <v>Otro</v>
      </c>
      <c r="H674" t="str">
        <v/>
      </c>
      <c r="I674" t="str">
        <v>27/09/2026</v>
      </c>
      <c r="J674" t="str">
        <v>13:45:49</v>
      </c>
      <c r="K674">
        <v>-12.156515</v>
      </c>
      <c r="L674">
        <v>-76.95827</v>
      </c>
      <c r="M674">
        <f>HYPERLINK("https://www.google.com/maps/search/?api=1&amp;query=-12.156515,-76.95827","Jirón San Antonio, Villa María del Triunfo, Lima")</f>
      </c>
      <c r="N674">
        <v>0</v>
      </c>
      <c r="O674">
        <v>84</v>
      </c>
      <c r="P674">
        <v>2542.35</v>
      </c>
      <c r="Q674" t="str">
        <v>163.20</v>
      </c>
      <c r="R674" t="str">
        <v/>
      </c>
      <c r="S674" t="str">
        <v/>
      </c>
      <c r="T674" t="str">
        <v/>
      </c>
      <c r="U674" t="str">
        <v/>
      </c>
    </row>
    <row r="675">
      <c r="A675" t="str">
        <v>674</v>
      </c>
      <c r="B675" t="str">
        <v>MASS BSF</v>
      </c>
      <c r="C675" t="str">
        <v>AAR-880</v>
      </c>
      <c r="D675" t="str">
        <v>AAR-880</v>
      </c>
      <c r="E675" t="str">
        <v/>
      </c>
      <c r="F675" t="str">
        <v>867806078847433</v>
      </c>
      <c r="G675" t="str">
        <v>Otro</v>
      </c>
      <c r="H675" t="str">
        <v/>
      </c>
      <c r="I675" t="str">
        <v>27/09/2026</v>
      </c>
      <c r="J675" t="str">
        <v>13:50:54</v>
      </c>
      <c r="K675">
        <v>-12.156515</v>
      </c>
      <c r="L675">
        <v>-76.95827</v>
      </c>
      <c r="M675">
        <f>HYPERLINK("https://www.google.com/maps/search/?api=1&amp;query=-12.156515,-76.95827","Jirón San Antonio, Villa María del Triunfo, Lima")</f>
      </c>
      <c r="N675">
        <v>0</v>
      </c>
      <c r="O675">
        <v>84</v>
      </c>
      <c r="P675">
        <v>2542.35</v>
      </c>
      <c r="Q675" t="str">
        <v>163.20</v>
      </c>
      <c r="R675" t="str">
        <v>Vehículo encendido</v>
      </c>
      <c r="S675" t="str">
        <v/>
      </c>
      <c r="T675" t="str">
        <v/>
      </c>
      <c r="U675" t="str">
        <v/>
      </c>
    </row>
    <row r="676">
      <c r="A676" t="str">
        <v>675</v>
      </c>
      <c r="B676" t="str">
        <v>MASS BSF</v>
      </c>
      <c r="C676" t="str">
        <v>AAR-880</v>
      </c>
      <c r="D676" t="str">
        <v>AAR-880</v>
      </c>
      <c r="E676" t="str">
        <v/>
      </c>
      <c r="F676" t="str">
        <v>867806078847433</v>
      </c>
      <c r="G676" t="str">
        <v>Otro</v>
      </c>
      <c r="H676" t="str">
        <v/>
      </c>
      <c r="I676" t="str">
        <v>27/09/2026</v>
      </c>
      <c r="J676" t="str">
        <v>13:50:54</v>
      </c>
      <c r="K676">
        <v>-12.156515</v>
      </c>
      <c r="L676">
        <v>-76.95827</v>
      </c>
      <c r="M676">
        <f>HYPERLINK("https://www.google.com/maps/search/?api=1&amp;query=-12.156515,-76.95827","Jirón San Antonio, Villa María del Triunfo, Lima")</f>
      </c>
      <c r="N676">
        <v>0</v>
      </c>
      <c r="O676">
        <v>84</v>
      </c>
      <c r="P676">
        <v>2542.35</v>
      </c>
      <c r="Q676" t="str">
        <v>163.20</v>
      </c>
      <c r="R676" t="str">
        <v/>
      </c>
      <c r="S676" t="str">
        <v/>
      </c>
      <c r="T676" t="str">
        <v/>
      </c>
      <c r="U676" t="str">
        <v/>
      </c>
    </row>
    <row r="677">
      <c r="A677" t="str">
        <v>676</v>
      </c>
      <c r="B677" t="str">
        <v>MASS BSF</v>
      </c>
      <c r="C677" t="str">
        <v>AAR-880</v>
      </c>
      <c r="D677" t="str">
        <v>AAR-880</v>
      </c>
      <c r="E677" t="str">
        <v/>
      </c>
      <c r="F677" t="str">
        <v>867806078847433</v>
      </c>
      <c r="G677" t="str">
        <v>Otro</v>
      </c>
      <c r="H677" t="str">
        <v/>
      </c>
      <c r="I677" t="str">
        <v>27/09/2026</v>
      </c>
      <c r="J677" t="str">
        <v>13:50:58</v>
      </c>
      <c r="K677">
        <v>-12.156339</v>
      </c>
      <c r="L677">
        <v>-76.95841</v>
      </c>
      <c r="M677">
        <f>HYPERLINK("https://www.google.com/maps/search/?api=1&amp;query=-12.156339,-76.95841","Jirón San Antonio, Villa María del Triunfo, Lima")</f>
      </c>
      <c r="N677">
        <v>9.6</v>
      </c>
      <c r="O677">
        <v>84</v>
      </c>
      <c r="P677">
        <v>2542.37</v>
      </c>
      <c r="Q677" t="str">
        <v>163.20</v>
      </c>
      <c r="R677" t="str">
        <v/>
      </c>
      <c r="S677" t="str">
        <v/>
      </c>
      <c r="T677" t="str">
        <v/>
      </c>
      <c r="U677" t="str">
        <v/>
      </c>
    </row>
    <row r="678">
      <c r="A678" t="str">
        <v>677</v>
      </c>
      <c r="B678" t="str">
        <v>MASS BSF</v>
      </c>
      <c r="C678" t="str">
        <v>AAR-880</v>
      </c>
      <c r="D678" t="str">
        <v>AAR-880</v>
      </c>
      <c r="E678" t="str">
        <v/>
      </c>
      <c r="F678" t="str">
        <v>867806078847433</v>
      </c>
      <c r="G678" t="str">
        <v>Otro</v>
      </c>
      <c r="H678" t="str">
        <v/>
      </c>
      <c r="I678" t="str">
        <v>27/09/2026</v>
      </c>
      <c r="J678" t="str">
        <v>13:51:04</v>
      </c>
      <c r="K678">
        <v>-12.156277</v>
      </c>
      <c r="L678">
        <v>-76.95848</v>
      </c>
      <c r="M678">
        <f>HYPERLINK("https://www.google.com/maps/search/?api=1&amp;query=-12.156277,-76.95848","Jirón San Antonio, Villa María del Triunfo, Lima")</f>
      </c>
      <c r="N678">
        <v>6.4</v>
      </c>
      <c r="O678">
        <v>84</v>
      </c>
      <c r="P678">
        <v>2542.38</v>
      </c>
      <c r="Q678" t="str">
        <v>163.20</v>
      </c>
      <c r="R678" t="str">
        <v>Se movio</v>
      </c>
      <c r="S678" t="str">
        <v/>
      </c>
      <c r="T678" t="str">
        <v/>
      </c>
      <c r="U678" t="str">
        <v/>
      </c>
    </row>
    <row r="679">
      <c r="A679" t="str">
        <v>678</v>
      </c>
      <c r="B679" t="str">
        <v>MASS BSF</v>
      </c>
      <c r="C679" t="str">
        <v>AAR-880</v>
      </c>
      <c r="D679" t="str">
        <v>AAR-880</v>
      </c>
      <c r="E679" t="str">
        <v/>
      </c>
      <c r="F679" t="str">
        <v>867806078847433</v>
      </c>
      <c r="G679" t="str">
        <v>Otro</v>
      </c>
      <c r="H679" t="str">
        <v/>
      </c>
      <c r="I679" t="str">
        <v>27/09/2026</v>
      </c>
      <c r="J679" t="str">
        <v>13:51:28</v>
      </c>
      <c r="K679">
        <v>-12.155947</v>
      </c>
      <c r="L679">
        <v>-76.95887</v>
      </c>
      <c r="M679">
        <f>HYPERLINK("https://www.google.com/maps/search/?api=1&amp;query=-12.155947,-76.95887","Jirón San Antonio, Villa María del Triunfo, Lima")</f>
      </c>
      <c r="N679">
        <v>10.7</v>
      </c>
      <c r="O679">
        <v>84</v>
      </c>
      <c r="P679">
        <v>2542.43</v>
      </c>
      <c r="Q679" t="str">
        <v>163.20</v>
      </c>
      <c r="R679" t="str">
        <v/>
      </c>
      <c r="S679" t="str">
        <v/>
      </c>
      <c r="T679" t="str">
        <v/>
      </c>
      <c r="U679" t="str">
        <v/>
      </c>
    </row>
    <row r="680">
      <c r="A680" t="str">
        <v>679</v>
      </c>
      <c r="B680" t="str">
        <v>MASS BSF</v>
      </c>
      <c r="C680" t="str">
        <v>AAR-880</v>
      </c>
      <c r="D680" t="str">
        <v>AAR-880</v>
      </c>
      <c r="E680" t="str">
        <v/>
      </c>
      <c r="F680" t="str">
        <v>867806078847433</v>
      </c>
      <c r="G680" t="str">
        <v>Otro</v>
      </c>
      <c r="H680" t="str">
        <v/>
      </c>
      <c r="I680" t="str">
        <v>27/09/2026</v>
      </c>
      <c r="J680" t="str">
        <v>13:51:33</v>
      </c>
      <c r="K680">
        <v>-12.15583</v>
      </c>
      <c r="L680">
        <v>-76.95883</v>
      </c>
      <c r="M680">
        <f>HYPERLINK("https://www.google.com/maps/search/?api=1&amp;query=-12.15583,-76.95883","Jirón San Alberto, Villa María del Triunfo, Lima")</f>
      </c>
      <c r="N680">
        <v>8.3</v>
      </c>
      <c r="O680">
        <v>84</v>
      </c>
      <c r="P680">
        <v>2542.45</v>
      </c>
      <c r="Q680" t="str">
        <v>163.20</v>
      </c>
      <c r="R680" t="str">
        <v/>
      </c>
      <c r="S680" t="str">
        <v/>
      </c>
      <c r="T680" t="str">
        <v/>
      </c>
      <c r="U680" t="str">
        <v/>
      </c>
    </row>
    <row r="681">
      <c r="A681" t="str">
        <v>680</v>
      </c>
      <c r="B681" t="str">
        <v>MASS BSF</v>
      </c>
      <c r="C681" t="str">
        <v>AAR-880</v>
      </c>
      <c r="D681" t="str">
        <v>AAR-880</v>
      </c>
      <c r="E681" t="str">
        <v/>
      </c>
      <c r="F681" t="str">
        <v>867806078847433</v>
      </c>
      <c r="G681" t="str">
        <v>Otro</v>
      </c>
      <c r="H681" t="str">
        <v/>
      </c>
      <c r="I681" t="str">
        <v>27/09/2026</v>
      </c>
      <c r="J681" t="str">
        <v>13:51:44</v>
      </c>
      <c r="K681">
        <v>-12.15565</v>
      </c>
      <c r="L681">
        <v>-76.95866</v>
      </c>
      <c r="M681">
        <f>HYPERLINK("https://www.google.com/maps/search/?api=1&amp;query=-12.15565,-76.95866","Jirón San Alberto, Villa María del Triunfo, Lima")</f>
      </c>
      <c r="N681">
        <v>11.6</v>
      </c>
      <c r="O681">
        <v>84</v>
      </c>
      <c r="P681">
        <v>2542.47</v>
      </c>
      <c r="Q681" t="str">
        <v>163.20</v>
      </c>
      <c r="R681" t="str">
        <v/>
      </c>
      <c r="S681" t="str">
        <v/>
      </c>
      <c r="T681" t="str">
        <v/>
      </c>
      <c r="U681" t="str">
        <v/>
      </c>
    </row>
    <row r="682">
      <c r="A682" t="str">
        <v>681</v>
      </c>
      <c r="B682" t="str">
        <v>MASS BSF</v>
      </c>
      <c r="C682" t="str">
        <v>AAR-880</v>
      </c>
      <c r="D682" t="str">
        <v>AAR-880</v>
      </c>
      <c r="E682" t="str">
        <v/>
      </c>
      <c r="F682" t="str">
        <v>867806078847433</v>
      </c>
      <c r="G682" t="str">
        <v>Otro</v>
      </c>
      <c r="H682" t="str">
        <v/>
      </c>
      <c r="I682" t="str">
        <v>27/09/2026</v>
      </c>
      <c r="J682" t="str">
        <v>13:51:51</v>
      </c>
      <c r="K682">
        <v>-12.155525</v>
      </c>
      <c r="L682">
        <v>-76.95846</v>
      </c>
      <c r="M682">
        <f>HYPERLINK("https://www.google.com/maps/search/?api=1&amp;query=-12.155525,-76.95846","Jirón San Alberto, Villa María del Triunfo, Lima")</f>
      </c>
      <c r="N682">
        <v>13.8</v>
      </c>
      <c r="O682">
        <v>84</v>
      </c>
      <c r="P682">
        <v>2542.5</v>
      </c>
      <c r="Q682" t="str">
        <v>163.20</v>
      </c>
      <c r="R682" t="str">
        <v/>
      </c>
      <c r="S682" t="str">
        <v/>
      </c>
      <c r="T682" t="str">
        <v/>
      </c>
      <c r="U682" t="str">
        <v/>
      </c>
    </row>
    <row r="683">
      <c r="A683" t="str">
        <v>682</v>
      </c>
      <c r="B683" t="str">
        <v>MASS BSF</v>
      </c>
      <c r="C683" t="str">
        <v>AAR-880</v>
      </c>
      <c r="D683" t="str">
        <v>AAR-880</v>
      </c>
      <c r="E683" t="str">
        <v/>
      </c>
      <c r="F683" t="str">
        <v>867806078847433</v>
      </c>
      <c r="G683" t="str">
        <v>Otro</v>
      </c>
      <c r="H683" t="str">
        <v/>
      </c>
      <c r="I683" t="str">
        <v>27/09/2026</v>
      </c>
      <c r="J683" t="str">
        <v>13:52:09</v>
      </c>
      <c r="K683">
        <v>-12.155223</v>
      </c>
      <c r="L683">
        <v>-76.9578</v>
      </c>
      <c r="M683">
        <f>HYPERLINK("https://www.google.com/maps/search/?api=1&amp;query=-12.155223,-76.9578","Jirón San Alberto, Villa María del Triunfo, Lima")</f>
      </c>
      <c r="N683">
        <v>11.8</v>
      </c>
      <c r="O683">
        <v>84</v>
      </c>
      <c r="P683">
        <v>2542.57</v>
      </c>
      <c r="Q683" t="str">
        <v>163.20</v>
      </c>
      <c r="R683" t="str">
        <v/>
      </c>
      <c r="S683" t="str">
        <v/>
      </c>
      <c r="T683" t="str">
        <v/>
      </c>
      <c r="U683" t="str">
        <v/>
      </c>
    </row>
    <row r="684">
      <c r="A684" t="str">
        <v>683</v>
      </c>
      <c r="B684" t="str">
        <v>MASS BSF</v>
      </c>
      <c r="C684" t="str">
        <v>AAR-880</v>
      </c>
      <c r="D684" t="str">
        <v>AAR-880</v>
      </c>
      <c r="E684" t="str">
        <v/>
      </c>
      <c r="F684" t="str">
        <v>867806078847433</v>
      </c>
      <c r="G684" t="str">
        <v>Otro</v>
      </c>
      <c r="H684" t="str">
        <v/>
      </c>
      <c r="I684" t="str">
        <v>27/09/2026</v>
      </c>
      <c r="J684" t="str">
        <v>13:52:14</v>
      </c>
      <c r="K684">
        <v>-12.155144</v>
      </c>
      <c r="L684">
        <v>-76.95765</v>
      </c>
      <c r="M684">
        <f>HYPERLINK("https://www.google.com/maps/search/?api=1&amp;query=-12.155144,-76.95765","Jirón San Alberto, Villa María del Triunfo, Lima")</f>
      </c>
      <c r="N684">
        <v>10.7</v>
      </c>
      <c r="O684">
        <v>84</v>
      </c>
      <c r="P684">
        <v>2542.59</v>
      </c>
      <c r="Q684" t="str">
        <v>163.20</v>
      </c>
      <c r="R684" t="str">
        <v/>
      </c>
      <c r="S684" t="str">
        <v/>
      </c>
      <c r="T684" t="str">
        <v/>
      </c>
      <c r="U684" t="str">
        <v/>
      </c>
    </row>
    <row r="685">
      <c r="A685" t="str">
        <v>684</v>
      </c>
      <c r="B685" t="str">
        <v>MASS BSF</v>
      </c>
      <c r="C685" t="str">
        <v>AAR-880</v>
      </c>
      <c r="D685" t="str">
        <v>AAR-880</v>
      </c>
      <c r="E685" t="str">
        <v/>
      </c>
      <c r="F685" t="str">
        <v>867806078847433</v>
      </c>
      <c r="G685" t="str">
        <v>Otro</v>
      </c>
      <c r="H685" t="str">
        <v/>
      </c>
      <c r="I685" t="str">
        <v>27/09/2026</v>
      </c>
      <c r="J685" t="str">
        <v>13:52:19</v>
      </c>
      <c r="K685">
        <v>-12.155157</v>
      </c>
      <c r="L685">
        <v>-76.95759</v>
      </c>
      <c r="M685">
        <f>HYPERLINK("https://www.google.com/maps/search/?api=1&amp;query=-12.155157,-76.95759","Jirón San Alberto, Villa María del Triunfo, Lima")</f>
      </c>
      <c r="N685">
        <v>5.7</v>
      </c>
      <c r="O685">
        <v>84</v>
      </c>
      <c r="P685">
        <v>2542.6</v>
      </c>
      <c r="Q685" t="str">
        <v>163.20</v>
      </c>
      <c r="R685" t="str">
        <v/>
      </c>
      <c r="S685" t="str">
        <v/>
      </c>
      <c r="T685" t="str">
        <v/>
      </c>
      <c r="U685" t="str">
        <v/>
      </c>
    </row>
    <row r="686">
      <c r="A686" t="str">
        <v>685</v>
      </c>
      <c r="B686" t="str">
        <v>MASS BSF</v>
      </c>
      <c r="C686" t="str">
        <v>AAR-880</v>
      </c>
      <c r="D686" t="str">
        <v>AAR-880</v>
      </c>
      <c r="E686" t="str">
        <v/>
      </c>
      <c r="F686" t="str">
        <v>867806078847433</v>
      </c>
      <c r="G686" t="str">
        <v>Otro</v>
      </c>
      <c r="H686" t="str">
        <v/>
      </c>
      <c r="I686" t="str">
        <v>27/09/2026</v>
      </c>
      <c r="J686" t="str">
        <v>13:52:29</v>
      </c>
      <c r="K686">
        <v>-12.155345</v>
      </c>
      <c r="L686">
        <v>-76.95747</v>
      </c>
      <c r="M686">
        <f>HYPERLINK("https://www.google.com/maps/search/?api=1&amp;query=-12.155345,-76.95747","Jirón San José, Villa María del Triunfo, Lima")</f>
      </c>
      <c r="N686">
        <v>7.9</v>
      </c>
      <c r="O686">
        <v>84</v>
      </c>
      <c r="P686">
        <v>2542.62</v>
      </c>
      <c r="Q686" t="str">
        <v>163.20</v>
      </c>
      <c r="R686" t="str">
        <v/>
      </c>
      <c r="S686" t="str">
        <v/>
      </c>
      <c r="T686" t="str">
        <v/>
      </c>
      <c r="U686" t="str">
        <v/>
      </c>
    </row>
    <row r="687">
      <c r="A687" t="str">
        <v>686</v>
      </c>
      <c r="B687" t="str">
        <v>MASS BSF</v>
      </c>
      <c r="C687" t="str">
        <v>AAR-880</v>
      </c>
      <c r="D687" t="str">
        <v>AAR-880</v>
      </c>
      <c r="E687" t="str">
        <v/>
      </c>
      <c r="F687" t="str">
        <v>867806078847433</v>
      </c>
      <c r="G687" t="str">
        <v>Otro</v>
      </c>
      <c r="H687" t="str">
        <v/>
      </c>
      <c r="I687" t="str">
        <v>27/09/2026</v>
      </c>
      <c r="J687" t="str">
        <v>13:52:37</v>
      </c>
      <c r="K687">
        <v>-12.155546</v>
      </c>
      <c r="L687">
        <v>-76.95727</v>
      </c>
      <c r="M687">
        <f>HYPERLINK("https://www.google.com/maps/search/?api=1&amp;query=-12.155546,-76.95727","Jirón San José, Villa María del Triunfo, Lima")</f>
      </c>
      <c r="N687">
        <v>17.5</v>
      </c>
      <c r="O687">
        <v>87</v>
      </c>
      <c r="P687">
        <v>2542.65</v>
      </c>
      <c r="Q687" t="str">
        <v>163.20</v>
      </c>
      <c r="R687" t="str">
        <v/>
      </c>
      <c r="S687" t="str">
        <v/>
      </c>
      <c r="T687" t="str">
        <v/>
      </c>
      <c r="U687" t="str">
        <v/>
      </c>
    </row>
    <row r="688">
      <c r="A688" t="str">
        <v>687</v>
      </c>
      <c r="B688" t="str">
        <v>MASS BSF</v>
      </c>
      <c r="C688" t="str">
        <v>AAR-880</v>
      </c>
      <c r="D688" t="str">
        <v>AAR-880</v>
      </c>
      <c r="E688" t="str">
        <v/>
      </c>
      <c r="F688" t="str">
        <v>867806078847433</v>
      </c>
      <c r="G688" t="str">
        <v>Otro</v>
      </c>
      <c r="H688" t="str">
        <v/>
      </c>
      <c r="I688" t="str">
        <v>27/09/2026</v>
      </c>
      <c r="J688" t="str">
        <v>13:53:01</v>
      </c>
      <c r="K688">
        <v>-12.156081</v>
      </c>
      <c r="L688">
        <v>-76.95661</v>
      </c>
      <c r="M688">
        <f>HYPERLINK("https://www.google.com/maps/search/?api=1&amp;query=-12.156081,-76.95661","Jirón San José, Villa María del Triunfo, Lima")</f>
      </c>
      <c r="N688">
        <v>15</v>
      </c>
      <c r="O688">
        <v>87</v>
      </c>
      <c r="P688">
        <v>2542.74</v>
      </c>
      <c r="Q688" t="str">
        <v>163.20</v>
      </c>
      <c r="R688" t="str">
        <v/>
      </c>
      <c r="S688" t="str">
        <v/>
      </c>
      <c r="T688" t="str">
        <v/>
      </c>
      <c r="U688" t="str">
        <v/>
      </c>
    </row>
    <row r="689">
      <c r="A689" t="str">
        <v>688</v>
      </c>
      <c r="B689" t="str">
        <v>MASS BSF</v>
      </c>
      <c r="C689" t="str">
        <v>AAR-880</v>
      </c>
      <c r="D689" t="str">
        <v>AAR-880</v>
      </c>
      <c r="E689" t="str">
        <v/>
      </c>
      <c r="F689" t="str">
        <v>867806078847433</v>
      </c>
      <c r="G689" t="str">
        <v>Otro</v>
      </c>
      <c r="H689" t="str">
        <v/>
      </c>
      <c r="I689" t="str">
        <v>27/09/2026</v>
      </c>
      <c r="J689" t="str">
        <v>13:53:06</v>
      </c>
      <c r="K689">
        <v>-12.15621</v>
      </c>
      <c r="L689">
        <v>-76.95644</v>
      </c>
      <c r="M689">
        <f>HYPERLINK("https://www.google.com/maps/search/?api=1&amp;query=-12.15621,-76.95644","Jirón San José, Villa María del Triunfo, Lima")</f>
      </c>
      <c r="N689">
        <v>18.7</v>
      </c>
      <c r="O689">
        <v>93</v>
      </c>
      <c r="P689">
        <v>2542.77</v>
      </c>
      <c r="Q689" t="str">
        <v>163.20</v>
      </c>
      <c r="R689" t="str">
        <v/>
      </c>
      <c r="S689" t="str">
        <v/>
      </c>
      <c r="T689" t="str">
        <v/>
      </c>
      <c r="U689" t="str">
        <v/>
      </c>
    </row>
    <row r="690">
      <c r="A690" t="str">
        <v>689</v>
      </c>
      <c r="B690" t="str">
        <v>MASS BSF</v>
      </c>
      <c r="C690" t="str">
        <v>AAR-880</v>
      </c>
      <c r="D690" t="str">
        <v>AAR-880</v>
      </c>
      <c r="E690" t="str">
        <v/>
      </c>
      <c r="F690" t="str">
        <v>867806078847433</v>
      </c>
      <c r="G690" t="str">
        <v>Otro</v>
      </c>
      <c r="H690" t="str">
        <v/>
      </c>
      <c r="I690" t="str">
        <v>27/09/2026</v>
      </c>
      <c r="J690" t="str">
        <v>13:53:20</v>
      </c>
      <c r="K690">
        <v>-12.156468</v>
      </c>
      <c r="L690">
        <v>-76.95615</v>
      </c>
      <c r="M690">
        <f>HYPERLINK("https://www.google.com/maps/search/?api=1&amp;query=-12.156468,-76.95615","Jirón San José, Villa María del Triunfo, Lima")</f>
      </c>
      <c r="N690">
        <v>12.9</v>
      </c>
      <c r="O690">
        <v>93</v>
      </c>
      <c r="P690">
        <v>2542.81</v>
      </c>
      <c r="Q690" t="str">
        <v>163.20</v>
      </c>
      <c r="R690" t="str">
        <v/>
      </c>
      <c r="S690" t="str">
        <v/>
      </c>
      <c r="T690" t="str">
        <v/>
      </c>
      <c r="U690" t="str">
        <v/>
      </c>
    </row>
    <row r="691">
      <c r="A691" t="str">
        <v>690</v>
      </c>
      <c r="B691" t="str">
        <v>MASS BSF</v>
      </c>
      <c r="C691" t="str">
        <v>AAR-880</v>
      </c>
      <c r="D691" t="str">
        <v>AAR-880</v>
      </c>
      <c r="E691" t="str">
        <v/>
      </c>
      <c r="F691" t="str">
        <v>867806078847433</v>
      </c>
      <c r="G691" t="str">
        <v>Otro</v>
      </c>
      <c r="H691" t="str">
        <v/>
      </c>
      <c r="I691" t="str">
        <v>27/09/2026</v>
      </c>
      <c r="J691" t="str">
        <v>13:53:52</v>
      </c>
      <c r="K691">
        <v>-12.157112</v>
      </c>
      <c r="L691">
        <v>-76.95538</v>
      </c>
      <c r="M691">
        <f>HYPERLINK("https://www.google.com/maps/search/?api=1&amp;query=-12.157112,-76.95538","Jirón San José, Villa María del Triunfo, Lima")</f>
      </c>
      <c r="N691">
        <v>8.8</v>
      </c>
      <c r="O691">
        <v>93</v>
      </c>
      <c r="P691">
        <v>2542.92</v>
      </c>
      <c r="Q691" t="str">
        <v>163.20</v>
      </c>
      <c r="R691" t="str">
        <v/>
      </c>
      <c r="S691" t="str">
        <v/>
      </c>
      <c r="T691" t="str">
        <v/>
      </c>
      <c r="U691" t="str">
        <v/>
      </c>
    </row>
    <row r="692">
      <c r="A692" t="str">
        <v>691</v>
      </c>
      <c r="B692" t="str">
        <v>MASS BSF</v>
      </c>
      <c r="C692" t="str">
        <v>AAR-880</v>
      </c>
      <c r="D692" t="str">
        <v>AAR-880</v>
      </c>
      <c r="E692" t="str">
        <v/>
      </c>
      <c r="F692" t="str">
        <v>867806078847433</v>
      </c>
      <c r="G692" t="str">
        <v>Otro</v>
      </c>
      <c r="H692" t="str">
        <v/>
      </c>
      <c r="I692" t="str">
        <v>27/09/2026</v>
      </c>
      <c r="J692" t="str">
        <v>13:53:57</v>
      </c>
      <c r="K692">
        <v>-12.157202</v>
      </c>
      <c r="L692">
        <v>-76.955284</v>
      </c>
      <c r="M692">
        <f>HYPERLINK("https://www.google.com/maps/search/?api=1&amp;query=-12.157202,-76.955284","Jirón San José, Villa María del Triunfo, Lima")</f>
      </c>
      <c r="N692">
        <v>11.2</v>
      </c>
      <c r="O692">
        <v>93</v>
      </c>
      <c r="P692">
        <v>2542.93</v>
      </c>
      <c r="Q692" t="str">
        <v>163.20</v>
      </c>
      <c r="R692" t="str">
        <v/>
      </c>
      <c r="S692" t="str">
        <v/>
      </c>
      <c r="T692" t="str">
        <v/>
      </c>
      <c r="U692" t="str">
        <v/>
      </c>
    </row>
    <row r="693">
      <c r="A693" t="str">
        <v>692</v>
      </c>
      <c r="B693" t="str">
        <v>MASS BSF</v>
      </c>
      <c r="C693" t="str">
        <v>AAR-880</v>
      </c>
      <c r="D693" t="str">
        <v>AAR-880</v>
      </c>
      <c r="E693" t="str">
        <v/>
      </c>
      <c r="F693" t="str">
        <v>867806078847433</v>
      </c>
      <c r="G693" t="str">
        <v>Otro</v>
      </c>
      <c r="H693" t="str">
        <v/>
      </c>
      <c r="I693" t="str">
        <v>27/09/2026</v>
      </c>
      <c r="J693" t="str">
        <v>13:54:05</v>
      </c>
      <c r="K693">
        <v>-12.15731</v>
      </c>
      <c r="L693">
        <v>-76.95513</v>
      </c>
      <c r="M693">
        <f>HYPERLINK("https://www.google.com/maps/search/?api=1&amp;query=-12.15731,-76.95513","Jirón San José, Villa María del Triunfo, Lima")</f>
      </c>
      <c r="N693">
        <v>6.4</v>
      </c>
      <c r="O693">
        <v>91</v>
      </c>
      <c r="P693">
        <v>2542.95</v>
      </c>
      <c r="Q693" t="str">
        <v>163.20</v>
      </c>
      <c r="R693" t="str">
        <v/>
      </c>
      <c r="S693" t="str">
        <v/>
      </c>
      <c r="T693" t="str">
        <v/>
      </c>
      <c r="U693" t="str">
        <v/>
      </c>
    </row>
    <row r="694">
      <c r="A694" t="str">
        <v>693</v>
      </c>
      <c r="B694" t="str">
        <v>MASS BSF</v>
      </c>
      <c r="C694" t="str">
        <v>AAR-880</v>
      </c>
      <c r="D694" t="str">
        <v>AAR-880</v>
      </c>
      <c r="E694" t="str">
        <v/>
      </c>
      <c r="F694" t="str">
        <v>867806078847433</v>
      </c>
      <c r="G694" t="str">
        <v>Otro</v>
      </c>
      <c r="H694" t="str">
        <v/>
      </c>
      <c r="I694" t="str">
        <v>27/09/2026</v>
      </c>
      <c r="J694" t="str">
        <v>13:54:10</v>
      </c>
      <c r="K694">
        <v>-12.157371</v>
      </c>
      <c r="L694">
        <v>-76.95505</v>
      </c>
      <c r="M694">
        <f>HYPERLINK("https://www.google.com/maps/search/?api=1&amp;query=-12.157371,-76.95505","Jirón San José, Villa María del Triunfo, Lima")</f>
      </c>
      <c r="N694">
        <v>10</v>
      </c>
      <c r="O694">
        <v>91</v>
      </c>
      <c r="P694">
        <v>2542.96</v>
      </c>
      <c r="Q694" t="str">
        <v>163.20</v>
      </c>
      <c r="R694" t="str">
        <v/>
      </c>
      <c r="S694" t="str">
        <v/>
      </c>
      <c r="T694" t="str">
        <v/>
      </c>
      <c r="U694" t="str">
        <v/>
      </c>
    </row>
    <row r="695">
      <c r="A695" t="str">
        <v>694</v>
      </c>
      <c r="B695" t="str">
        <v>MASS BSF</v>
      </c>
      <c r="C695" t="str">
        <v>AAR-880</v>
      </c>
      <c r="D695" t="str">
        <v>AAR-880</v>
      </c>
      <c r="E695" t="str">
        <v/>
      </c>
      <c r="F695" t="str">
        <v>867806078847433</v>
      </c>
      <c r="G695" t="str">
        <v>Otro</v>
      </c>
      <c r="H695" t="str">
        <v/>
      </c>
      <c r="I695" t="str">
        <v>27/09/2026</v>
      </c>
      <c r="J695" t="str">
        <v>13:54:15</v>
      </c>
      <c r="K695">
        <v>-12.157463</v>
      </c>
      <c r="L695">
        <v>-76.954926</v>
      </c>
      <c r="M695">
        <f>HYPERLINK("https://www.google.com/maps/search/?api=1&amp;query=-12.157463,-76.954926","Jirón San José, Villa María del Triunfo, Lima")</f>
      </c>
      <c r="N695">
        <v>13.3</v>
      </c>
      <c r="O695">
        <v>89</v>
      </c>
      <c r="P695">
        <v>2542.98</v>
      </c>
      <c r="Q695" t="str">
        <v>163.20</v>
      </c>
      <c r="R695" t="str">
        <v/>
      </c>
      <c r="S695" t="str">
        <v/>
      </c>
      <c r="T695" t="str">
        <v/>
      </c>
      <c r="U695" t="str">
        <v/>
      </c>
    </row>
    <row r="696">
      <c r="A696" t="str">
        <v>695</v>
      </c>
      <c r="B696" t="str">
        <v>MASS BSF</v>
      </c>
      <c r="C696" t="str">
        <v>AAR-880</v>
      </c>
      <c r="D696" t="str">
        <v>AAR-880</v>
      </c>
      <c r="E696" t="str">
        <v/>
      </c>
      <c r="F696" t="str">
        <v>867806078847433</v>
      </c>
      <c r="G696" t="str">
        <v>Otro</v>
      </c>
      <c r="H696" t="str">
        <v/>
      </c>
      <c r="I696" t="str">
        <v>27/09/2026</v>
      </c>
      <c r="J696" t="str">
        <v>13:54:21</v>
      </c>
      <c r="K696">
        <v>-12.157534</v>
      </c>
      <c r="L696">
        <v>-76.95481</v>
      </c>
      <c r="M696">
        <f>HYPERLINK("https://www.google.com/maps/search/?api=1&amp;query=-12.157534,-76.95481","Jirón San José, Villa María del Triunfo, Lima")</f>
      </c>
      <c r="N696">
        <v>6.8</v>
      </c>
      <c r="O696">
        <v>89</v>
      </c>
      <c r="P696">
        <v>2542.99</v>
      </c>
      <c r="Q696" t="str">
        <v>163.20</v>
      </c>
      <c r="R696" t="str">
        <v/>
      </c>
      <c r="S696" t="str">
        <v/>
      </c>
      <c r="T696" t="str">
        <v/>
      </c>
      <c r="U696" t="str">
        <v/>
      </c>
    </row>
    <row r="697">
      <c r="A697" t="str">
        <v>696</v>
      </c>
      <c r="B697" t="str">
        <v>MASS BSF</v>
      </c>
      <c r="C697" t="str">
        <v>AAR-880</v>
      </c>
      <c r="D697" t="str">
        <v>AAR-880</v>
      </c>
      <c r="E697" t="str">
        <v/>
      </c>
      <c r="F697" t="str">
        <v>867806078847433</v>
      </c>
      <c r="G697" t="str">
        <v>Otro</v>
      </c>
      <c r="H697" t="str">
        <v/>
      </c>
      <c r="I697" t="str">
        <v>27/09/2026</v>
      </c>
      <c r="J697" t="str">
        <v>13:54:26</v>
      </c>
      <c r="K697">
        <v>-12.157456</v>
      </c>
      <c r="L697">
        <v>-76.9547</v>
      </c>
      <c r="M697">
        <f>HYPERLINK("https://www.google.com/maps/search/?api=1&amp;query=-12.157456,-76.9547","Avenida José Carlos Mariátegui, Villa María del Triunfo, Lima")</f>
      </c>
      <c r="N697">
        <v>12.9</v>
      </c>
      <c r="O697">
        <v>89</v>
      </c>
      <c r="P697">
        <v>2543.01</v>
      </c>
      <c r="Q697" t="str">
        <v>163.20</v>
      </c>
      <c r="R697" t="str">
        <v/>
      </c>
      <c r="S697" t="str">
        <v/>
      </c>
      <c r="T697" t="str">
        <v/>
      </c>
      <c r="U697" t="str">
        <v/>
      </c>
    </row>
    <row r="698">
      <c r="A698" t="str">
        <v>697</v>
      </c>
      <c r="B698" t="str">
        <v>MASS BSF</v>
      </c>
      <c r="C698" t="str">
        <v>AAR-880</v>
      </c>
      <c r="D698" t="str">
        <v>AAR-880</v>
      </c>
      <c r="E698" t="str">
        <v/>
      </c>
      <c r="F698" t="str">
        <v>867806078847433</v>
      </c>
      <c r="G698" t="str">
        <v>Otro</v>
      </c>
      <c r="H698" t="str">
        <v/>
      </c>
      <c r="I698" t="str">
        <v>27/09/2026</v>
      </c>
      <c r="J698" t="str">
        <v>13:54:53</v>
      </c>
      <c r="K698">
        <v>-12.156419</v>
      </c>
      <c r="L698">
        <v>-76.95399</v>
      </c>
      <c r="M698">
        <f>HYPERLINK("https://www.google.com/maps/search/?api=1&amp;query=-12.156419,-76.95399","Avenida José Carlos Mariátegui, Villa María del Triunfo, Lima")</f>
      </c>
      <c r="N698">
        <v>9.8</v>
      </c>
      <c r="O698">
        <v>89</v>
      </c>
      <c r="P698">
        <v>2543.14</v>
      </c>
      <c r="Q698" t="str">
        <v>163.20</v>
      </c>
      <c r="R698" t="str">
        <v/>
      </c>
      <c r="S698" t="str">
        <v/>
      </c>
      <c r="T698" t="str">
        <v/>
      </c>
      <c r="U698" t="str">
        <v/>
      </c>
    </row>
    <row r="699">
      <c r="A699" t="str">
        <v>698</v>
      </c>
      <c r="B699" t="str">
        <v>MASS BSF</v>
      </c>
      <c r="C699" t="str">
        <v>AAR-880</v>
      </c>
      <c r="D699" t="str">
        <v>AAR-880</v>
      </c>
      <c r="E699" t="str">
        <v/>
      </c>
      <c r="F699" t="str">
        <v>867806078847433</v>
      </c>
      <c r="G699" t="str">
        <v>Otro</v>
      </c>
      <c r="H699" t="str">
        <v/>
      </c>
      <c r="I699" t="str">
        <v>27/09/2026</v>
      </c>
      <c r="J699" t="str">
        <v>13:54:58</v>
      </c>
      <c r="K699">
        <v>-12.156458</v>
      </c>
      <c r="L699">
        <v>-76.95385</v>
      </c>
      <c r="M699">
        <f>HYPERLINK("https://www.google.com/maps/search/?api=1&amp;query=-12.156458,-76.95385","Jirón Santa Beatriz, Villa María del Triunfo, Lima")</f>
      </c>
      <c r="N699">
        <v>11.8</v>
      </c>
      <c r="O699">
        <v>89</v>
      </c>
      <c r="P699">
        <v>2543.16</v>
      </c>
      <c r="Q699" t="str">
        <v>163.20</v>
      </c>
      <c r="R699" t="str">
        <v/>
      </c>
      <c r="S699" t="str">
        <v/>
      </c>
      <c r="T699" t="str">
        <v/>
      </c>
      <c r="U699" t="str">
        <v/>
      </c>
    </row>
    <row r="700">
      <c r="A700" t="str">
        <v>699</v>
      </c>
      <c r="B700" t="str">
        <v>MASS BSF</v>
      </c>
      <c r="C700" t="str">
        <v>AAR-880</v>
      </c>
      <c r="D700" t="str">
        <v>AAR-880</v>
      </c>
      <c r="E700" t="str">
        <v/>
      </c>
      <c r="F700" t="str">
        <v>867806078847433</v>
      </c>
      <c r="G700" t="str">
        <v>Otro</v>
      </c>
      <c r="H700" t="str">
        <v/>
      </c>
      <c r="I700" t="str">
        <v>27/09/2026</v>
      </c>
      <c r="J700" t="str">
        <v>13:55:29</v>
      </c>
      <c r="K700">
        <v>-12.15721</v>
      </c>
      <c r="L700">
        <v>-76.952965</v>
      </c>
      <c r="M700">
        <f>HYPERLINK("https://www.google.com/maps/search/?api=1&amp;query=-12.15721,-76.952965","Jirón Santa Beatriz, Villa María del Triunfo, Lima")</f>
      </c>
      <c r="N700">
        <v>21.4</v>
      </c>
      <c r="O700">
        <v>89</v>
      </c>
      <c r="P700">
        <v>2543.28</v>
      </c>
      <c r="Q700" t="str">
        <v>163.20</v>
      </c>
      <c r="R700" t="str">
        <v/>
      </c>
      <c r="S700" t="str">
        <v/>
      </c>
      <c r="T700" t="str">
        <v/>
      </c>
      <c r="U700" t="str">
        <v/>
      </c>
    </row>
    <row r="701">
      <c r="A701" t="str">
        <v>700</v>
      </c>
      <c r="B701" t="str">
        <v>MASS BSF</v>
      </c>
      <c r="C701" t="str">
        <v>AAR-880</v>
      </c>
      <c r="D701" t="str">
        <v>AAR-880</v>
      </c>
      <c r="E701" t="str">
        <v/>
      </c>
      <c r="F701" t="str">
        <v>867806078847433</v>
      </c>
      <c r="G701" t="str">
        <v>Otro</v>
      </c>
      <c r="H701" t="str">
        <v/>
      </c>
      <c r="I701" t="str">
        <v>27/09/2026</v>
      </c>
      <c r="J701" t="str">
        <v>13:56:04</v>
      </c>
      <c r="K701">
        <v>-12.1582</v>
      </c>
      <c r="L701">
        <v>-76.951996</v>
      </c>
      <c r="M701">
        <f>HYPERLINK("https://www.google.com/maps/search/?api=1&amp;query=-12.1582,-76.951996","Jirón Progreso, Villa María del Triunfo, Lima")</f>
      </c>
      <c r="N701">
        <v>10.5</v>
      </c>
      <c r="O701">
        <v>90</v>
      </c>
      <c r="P701">
        <v>2543.43</v>
      </c>
      <c r="Q701" t="str">
        <v>163.20</v>
      </c>
      <c r="R701" t="str">
        <v/>
      </c>
      <c r="S701" t="str">
        <v/>
      </c>
      <c r="T701" t="str">
        <v/>
      </c>
      <c r="U701" t="str">
        <v/>
      </c>
    </row>
    <row r="702">
      <c r="A702" t="str">
        <v>701</v>
      </c>
      <c r="B702" t="str">
        <v>MASS BSF</v>
      </c>
      <c r="C702" t="str">
        <v>AAR-880</v>
      </c>
      <c r="D702" t="str">
        <v>AAR-880</v>
      </c>
      <c r="E702" t="str">
        <v/>
      </c>
      <c r="F702" t="str">
        <v>867806078847433</v>
      </c>
      <c r="G702" t="str">
        <v>Otro</v>
      </c>
      <c r="H702" t="str">
        <v/>
      </c>
      <c r="I702" t="str">
        <v>27/09/2026</v>
      </c>
      <c r="J702" t="str">
        <v>13:56:09</v>
      </c>
      <c r="K702">
        <v>-12.158332</v>
      </c>
      <c r="L702">
        <v>-76.95186</v>
      </c>
      <c r="M702">
        <f>HYPERLINK("https://www.google.com/maps/search/?api=1&amp;query=-12.158332,-76.95186","Jirón Progreso, Villa María del Triunfo, Lima")</f>
      </c>
      <c r="N702">
        <v>18.1</v>
      </c>
      <c r="O702">
        <v>90</v>
      </c>
      <c r="P702">
        <v>2543.45</v>
      </c>
      <c r="Q702" t="str">
        <v>163.20</v>
      </c>
      <c r="R702" t="str">
        <v/>
      </c>
      <c r="S702" t="str">
        <v/>
      </c>
      <c r="T702" t="str">
        <v/>
      </c>
      <c r="U702" t="str">
        <v/>
      </c>
    </row>
    <row r="703">
      <c r="A703" t="str">
        <v>702</v>
      </c>
      <c r="B703" t="str">
        <v>MASS BSF</v>
      </c>
      <c r="C703" t="str">
        <v>AAR-880</v>
      </c>
      <c r="D703" t="str">
        <v>AAR-880</v>
      </c>
      <c r="E703" t="str">
        <v/>
      </c>
      <c r="F703" t="str">
        <v>867806078847433</v>
      </c>
      <c r="G703" t="str">
        <v>Otro</v>
      </c>
      <c r="H703" t="str">
        <v/>
      </c>
      <c r="I703" t="str">
        <v>27/09/2026</v>
      </c>
      <c r="J703" t="str">
        <v>13:57:09</v>
      </c>
      <c r="K703">
        <v>-12.160285</v>
      </c>
      <c r="L703">
        <v>-76.95013</v>
      </c>
      <c r="M703">
        <f>HYPERLINK("https://www.google.com/maps/search/?api=1&amp;query=-12.160285,-76.95013","Jirón Progreso, Villa María del Triunfo, Lima")</f>
      </c>
      <c r="N703">
        <v>18.7</v>
      </c>
      <c r="O703">
        <v>93</v>
      </c>
      <c r="P703">
        <v>2543.73</v>
      </c>
      <c r="Q703" t="str">
        <v>160.32</v>
      </c>
      <c r="R703" t="str">
        <v/>
      </c>
      <c r="S703" t="str">
        <v/>
      </c>
      <c r="T703" t="str">
        <v/>
      </c>
      <c r="U703" t="str">
        <v/>
      </c>
    </row>
    <row r="704">
      <c r="A704" t="str">
        <v>703</v>
      </c>
      <c r="B704" t="str">
        <v>MASS BSF</v>
      </c>
      <c r="C704" t="str">
        <v>AAR-880</v>
      </c>
      <c r="D704" t="str">
        <v>AAR-880</v>
      </c>
      <c r="E704" t="str">
        <v/>
      </c>
      <c r="F704" t="str">
        <v>867806078847433</v>
      </c>
      <c r="G704" t="str">
        <v>Otro</v>
      </c>
      <c r="H704" t="str">
        <v/>
      </c>
      <c r="I704" t="str">
        <v>27/09/2026</v>
      </c>
      <c r="J704" t="str">
        <v>13:57:37</v>
      </c>
      <c r="K704">
        <v>-12.161145</v>
      </c>
      <c r="L704">
        <v>-76.94944</v>
      </c>
      <c r="M704">
        <f>HYPERLINK("https://www.google.com/maps/search/?api=1&amp;query=-12.161145,-76.94944","Jirón Progreso, Villa María del Triunfo, Lima")</f>
      </c>
      <c r="N704">
        <v>28.7</v>
      </c>
      <c r="O704">
        <v>93</v>
      </c>
      <c r="P704">
        <v>2543.85</v>
      </c>
      <c r="Q704" t="str">
        <v>160.32</v>
      </c>
      <c r="R704" t="str">
        <v/>
      </c>
      <c r="S704" t="str">
        <v/>
      </c>
      <c r="T704" t="str">
        <v/>
      </c>
      <c r="U704" t="str">
        <v/>
      </c>
    </row>
    <row r="705">
      <c r="A705" t="str">
        <v>704</v>
      </c>
      <c r="B705" t="str">
        <v>MASS BSF</v>
      </c>
      <c r="C705" t="str">
        <v>AAR-880</v>
      </c>
      <c r="D705" t="str">
        <v>AAR-880</v>
      </c>
      <c r="E705" t="str">
        <v/>
      </c>
      <c r="F705" t="str">
        <v>867806078847433</v>
      </c>
      <c r="G705" t="str">
        <v>Otro</v>
      </c>
      <c r="H705" t="str">
        <v/>
      </c>
      <c r="I705" t="str">
        <v>27/09/2026</v>
      </c>
      <c r="J705" t="str">
        <v>13:58:14</v>
      </c>
      <c r="K705">
        <v>-12.163141</v>
      </c>
      <c r="L705">
        <v>-76.94807</v>
      </c>
      <c r="M705">
        <f>HYPERLINK("https://www.google.com/maps/search/?api=1&amp;query=-12.163141,-76.94807","Jirón Progreso, Villa María del Triunfo, Lima")</f>
      </c>
      <c r="N705">
        <v>12.7</v>
      </c>
      <c r="O705">
        <v>89</v>
      </c>
      <c r="P705">
        <v>2544.11</v>
      </c>
      <c r="Q705" t="str">
        <v>160.32</v>
      </c>
      <c r="R705" t="str">
        <v/>
      </c>
      <c r="S705" t="str">
        <v/>
      </c>
      <c r="T705" t="str">
        <v/>
      </c>
      <c r="U705" t="str">
        <v/>
      </c>
    </row>
    <row r="706">
      <c r="A706" t="str">
        <v>705</v>
      </c>
      <c r="B706" t="str">
        <v>MASS BSF</v>
      </c>
      <c r="C706" t="str">
        <v>AAR-880</v>
      </c>
      <c r="D706" t="str">
        <v>AAR-880</v>
      </c>
      <c r="E706" t="str">
        <v/>
      </c>
      <c r="F706" t="str">
        <v>867806078847433</v>
      </c>
      <c r="G706" t="str">
        <v>Otro</v>
      </c>
      <c r="H706" t="str">
        <v/>
      </c>
      <c r="I706" t="str">
        <v>27/09/2026</v>
      </c>
      <c r="J706" t="str">
        <v>13:58:20</v>
      </c>
      <c r="K706">
        <v>-12.163346</v>
      </c>
      <c r="L706">
        <v>-76.94793</v>
      </c>
      <c r="M706">
        <f>HYPERLINK("https://www.google.com/maps/search/?api=1&amp;query=-12.163346,-76.94793","Jirón Progreso, Villa María del Triunfo, Lima")</f>
      </c>
      <c r="N706">
        <v>10.9</v>
      </c>
      <c r="O706">
        <v>89</v>
      </c>
      <c r="P706">
        <v>2544.14</v>
      </c>
      <c r="Q706" t="str">
        <v>160.32</v>
      </c>
      <c r="R706" t="str">
        <v/>
      </c>
      <c r="S706" t="str">
        <v/>
      </c>
      <c r="T706" t="str">
        <v/>
      </c>
      <c r="U706" t="str">
        <v/>
      </c>
    </row>
    <row r="707">
      <c r="A707" t="str">
        <v>706</v>
      </c>
      <c r="B707" t="str">
        <v>MASS BSF</v>
      </c>
      <c r="C707" t="str">
        <v>AAR-880</v>
      </c>
      <c r="D707" t="str">
        <v>AAR-880</v>
      </c>
      <c r="E707" t="str">
        <v/>
      </c>
      <c r="F707" t="str">
        <v>867806078847433</v>
      </c>
      <c r="G707" t="str">
        <v>Otro</v>
      </c>
      <c r="H707" t="str">
        <v/>
      </c>
      <c r="I707" t="str">
        <v>27/09/2026</v>
      </c>
      <c r="J707" t="str">
        <v>13:59:02</v>
      </c>
      <c r="K707">
        <v>-12.164561</v>
      </c>
      <c r="L707">
        <v>-76.94711</v>
      </c>
      <c r="M707">
        <f>HYPERLINK("https://www.google.com/maps/search/?api=1&amp;query=-12.164561,-76.94711","Jirón Progreso, Villa María del Triunfo, Lima")</f>
      </c>
      <c r="N707">
        <v>20.3</v>
      </c>
      <c r="O707">
        <v>89</v>
      </c>
      <c r="P707">
        <v>2544.3</v>
      </c>
      <c r="Q707" t="str">
        <v>160.32</v>
      </c>
      <c r="R707" t="str">
        <v/>
      </c>
      <c r="S707" t="str">
        <v/>
      </c>
      <c r="T707" t="str">
        <v/>
      </c>
      <c r="U707" t="str">
        <v/>
      </c>
    </row>
    <row r="708">
      <c r="A708" t="str">
        <v>707</v>
      </c>
      <c r="B708" t="str">
        <v>MASS BSF</v>
      </c>
      <c r="C708" t="str">
        <v>AAR-880</v>
      </c>
      <c r="D708" t="str">
        <v>AAR-880</v>
      </c>
      <c r="E708" t="str">
        <v/>
      </c>
      <c r="F708" t="str">
        <v>867806078847433</v>
      </c>
      <c r="G708" t="str">
        <v>Otro</v>
      </c>
      <c r="H708" t="str">
        <v/>
      </c>
      <c r="I708" t="str">
        <v>27/09/2026</v>
      </c>
      <c r="J708" t="str">
        <v>13:59:08</v>
      </c>
      <c r="K708">
        <v>-12.164839</v>
      </c>
      <c r="L708">
        <v>-76.946915</v>
      </c>
      <c r="M708">
        <f>HYPERLINK("https://www.google.com/maps/search/?api=1&amp;query=-12.164839,-76.946915","Jirón Progreso, Villa María del Triunfo, Lima")</f>
      </c>
      <c r="N708">
        <v>22</v>
      </c>
      <c r="O708">
        <v>89</v>
      </c>
      <c r="P708">
        <v>2544.33</v>
      </c>
      <c r="Q708" t="str">
        <v>160.32</v>
      </c>
      <c r="R708" t="str">
        <v/>
      </c>
      <c r="S708" t="str">
        <v/>
      </c>
      <c r="T708" t="str">
        <v/>
      </c>
      <c r="U708" t="str">
        <v/>
      </c>
    </row>
    <row r="709">
      <c r="A709" t="str">
        <v>708</v>
      </c>
      <c r="B709" t="str">
        <v>MASS BSF</v>
      </c>
      <c r="C709" t="str">
        <v>AAR-880</v>
      </c>
      <c r="D709" t="str">
        <v>AAR-880</v>
      </c>
      <c r="E709" t="str">
        <v/>
      </c>
      <c r="F709" t="str">
        <v>867806078847433</v>
      </c>
      <c r="G709" t="str">
        <v>Otro</v>
      </c>
      <c r="H709" t="str">
        <v/>
      </c>
      <c r="I709" t="str">
        <v>27/09/2026</v>
      </c>
      <c r="J709" t="str">
        <v>13:59:22</v>
      </c>
      <c r="K709">
        <v>-12.165305</v>
      </c>
      <c r="L709">
        <v>-76.94659</v>
      </c>
      <c r="M709">
        <f>HYPERLINK("https://www.google.com/maps/search/?api=1&amp;query=-12.165305,-76.94659","Jirón Progreso, Villa María del Triunfo, Lima")</f>
      </c>
      <c r="N709">
        <v>17.5</v>
      </c>
      <c r="O709">
        <v>89</v>
      </c>
      <c r="P709">
        <v>2544.39</v>
      </c>
      <c r="Q709" t="str">
        <v>160.32</v>
      </c>
      <c r="R709" t="str">
        <v/>
      </c>
      <c r="S709" t="str">
        <v/>
      </c>
      <c r="T709" t="str">
        <v/>
      </c>
      <c r="U709" t="str">
        <v/>
      </c>
    </row>
    <row r="710">
      <c r="A710" t="str">
        <v>709</v>
      </c>
      <c r="B710" t="str">
        <v>MASS BSF</v>
      </c>
      <c r="C710" t="str">
        <v>AAR-880</v>
      </c>
      <c r="D710" t="str">
        <v>AAR-880</v>
      </c>
      <c r="E710" t="str">
        <v/>
      </c>
      <c r="F710" t="str">
        <v>867806078847433</v>
      </c>
      <c r="G710" t="str">
        <v>Otro</v>
      </c>
      <c r="H710" t="str">
        <v/>
      </c>
      <c r="I710" t="str">
        <v>27/09/2026</v>
      </c>
      <c r="J710" t="str">
        <v>13:59:54</v>
      </c>
      <c r="K710">
        <v>-12.166873</v>
      </c>
      <c r="L710">
        <v>-76.94548</v>
      </c>
      <c r="M710">
        <f>HYPERLINK("https://www.google.com/maps/search/?api=1&amp;query=-12.166873,-76.94548","Jirón Progreso, Villa María del Triunfo, Lima")</f>
      </c>
      <c r="N710">
        <v>10</v>
      </c>
      <c r="O710">
        <v>89</v>
      </c>
      <c r="P710">
        <v>2544.6</v>
      </c>
      <c r="Q710" t="str">
        <v>160.32</v>
      </c>
      <c r="R710" t="str">
        <v/>
      </c>
      <c r="S710" t="str">
        <v/>
      </c>
      <c r="T710" t="str">
        <v/>
      </c>
      <c r="U710" t="str">
        <v/>
      </c>
    </row>
    <row r="711">
      <c r="A711" t="str">
        <v>710</v>
      </c>
      <c r="B711" t="str">
        <v>MASS BSF</v>
      </c>
      <c r="C711" t="str">
        <v>AAR-880</v>
      </c>
      <c r="D711" t="str">
        <v>AAR-880</v>
      </c>
      <c r="E711" t="str">
        <v/>
      </c>
      <c r="F711" t="str">
        <v>867806078847433</v>
      </c>
      <c r="G711" t="str">
        <v>Otro</v>
      </c>
      <c r="H711" t="str">
        <v/>
      </c>
      <c r="I711" t="str">
        <v>27/09/2026</v>
      </c>
      <c r="J711" t="str">
        <v>14:00:54</v>
      </c>
      <c r="K711">
        <v>-12.169686</v>
      </c>
      <c r="L711">
        <v>-76.94351</v>
      </c>
      <c r="M711">
        <f>HYPERLINK("https://www.google.com/maps/search/?api=1&amp;query=-12.169686,-76.94351","Jirón Progreso, Villa María del Triunfo, Lima")</f>
      </c>
      <c r="N711">
        <v>34.2</v>
      </c>
      <c r="O711">
        <v>93</v>
      </c>
      <c r="P711">
        <v>2544.98</v>
      </c>
      <c r="Q711" t="str">
        <v>160.32</v>
      </c>
      <c r="R711" t="str">
        <v/>
      </c>
      <c r="S711" t="str">
        <v/>
      </c>
      <c r="T711" t="str">
        <v/>
      </c>
      <c r="U711" t="str">
        <v/>
      </c>
    </row>
    <row r="712">
      <c r="A712" t="str">
        <v>711</v>
      </c>
      <c r="B712" t="str">
        <v>MASS BSF</v>
      </c>
      <c r="C712" t="str">
        <v>AAR-880</v>
      </c>
      <c r="D712" t="str">
        <v>AAR-880</v>
      </c>
      <c r="E712" t="str">
        <v/>
      </c>
      <c r="F712" t="str">
        <v>867806078847433</v>
      </c>
      <c r="G712" t="str">
        <v>Otro</v>
      </c>
      <c r="H712" t="str">
        <v/>
      </c>
      <c r="I712" t="str">
        <v>27/09/2026</v>
      </c>
      <c r="J712" t="str">
        <v>14:01:07</v>
      </c>
      <c r="K712">
        <v>-12.170062</v>
      </c>
      <c r="L712">
        <v>-76.94323</v>
      </c>
      <c r="M712">
        <f>HYPERLINK("https://www.google.com/maps/search/?api=1&amp;query=-12.170062,-76.94323","Jirón Progreso, Villa María del Triunfo, Lima")</f>
      </c>
      <c r="N712">
        <v>15.1</v>
      </c>
      <c r="O712">
        <v>93</v>
      </c>
      <c r="P712">
        <v>2545.03</v>
      </c>
      <c r="Q712" t="str">
        <v>160.32</v>
      </c>
      <c r="R712" t="str">
        <v/>
      </c>
      <c r="S712" t="str">
        <v/>
      </c>
      <c r="T712" t="str">
        <v/>
      </c>
      <c r="U712" t="str">
        <v/>
      </c>
    </row>
    <row r="713">
      <c r="A713" t="str">
        <v>712</v>
      </c>
      <c r="B713" t="str">
        <v>MASS BSF</v>
      </c>
      <c r="C713" t="str">
        <v>AAR-880</v>
      </c>
      <c r="D713" t="str">
        <v>AAR-880</v>
      </c>
      <c r="E713" t="str">
        <v/>
      </c>
      <c r="F713" t="str">
        <v>867806078847433</v>
      </c>
      <c r="G713" t="str">
        <v>Otro</v>
      </c>
      <c r="H713" t="str">
        <v/>
      </c>
      <c r="I713" t="str">
        <v>27/09/2026</v>
      </c>
      <c r="J713" t="str">
        <v>14:01:12</v>
      </c>
      <c r="K713">
        <v>-12.170223</v>
      </c>
      <c r="L713">
        <v>-76.94335</v>
      </c>
      <c r="M713">
        <f>HYPERLINK("https://www.google.com/maps/search/?api=1&amp;query=-12.170223,-76.94335","Avenida John F. Kennedy, Villa María del Triunfo, Lima")</f>
      </c>
      <c r="N713">
        <v>22.5</v>
      </c>
      <c r="O713">
        <v>93</v>
      </c>
      <c r="P713">
        <v>2545.05</v>
      </c>
      <c r="Q713" t="str">
        <v>160.32</v>
      </c>
      <c r="R713" t="str">
        <v/>
      </c>
      <c r="S713" t="str">
        <v/>
      </c>
      <c r="T713" t="str">
        <v/>
      </c>
      <c r="U713" t="str">
        <v/>
      </c>
    </row>
    <row r="714">
      <c r="A714" t="str">
        <v>713</v>
      </c>
      <c r="B714" t="str">
        <v>MASS BSF</v>
      </c>
      <c r="C714" t="str">
        <v>AAR-880</v>
      </c>
      <c r="D714" t="str">
        <v>AAR-880</v>
      </c>
      <c r="E714" t="str">
        <v/>
      </c>
      <c r="F714" t="str">
        <v>867806078847433</v>
      </c>
      <c r="G714" t="str">
        <v>Otro</v>
      </c>
      <c r="H714" t="str">
        <v/>
      </c>
      <c r="I714" t="str">
        <v>27/09/2026</v>
      </c>
      <c r="J714" t="str">
        <v>14:01:25</v>
      </c>
      <c r="K714">
        <v>-12.170653</v>
      </c>
      <c r="L714">
        <v>-76.944016</v>
      </c>
      <c r="M714">
        <f>HYPERLINK("https://www.google.com/maps/search/?api=1&amp;query=-12.170653,-76.944016","Avenida John F. Kennedy, Villa María del Triunfo, Lima")</f>
      </c>
      <c r="N714">
        <v>13.1</v>
      </c>
      <c r="O714">
        <v>93</v>
      </c>
      <c r="P714">
        <v>2545.14</v>
      </c>
      <c r="Q714" t="str">
        <v>160.32</v>
      </c>
      <c r="R714" t="str">
        <v/>
      </c>
      <c r="S714" t="str">
        <v/>
      </c>
      <c r="T714" t="str">
        <v/>
      </c>
      <c r="U714" t="str">
        <v/>
      </c>
    </row>
    <row r="715">
      <c r="A715" t="str">
        <v>714</v>
      </c>
      <c r="B715" t="str">
        <v>MASS BSF</v>
      </c>
      <c r="C715" t="str">
        <v>AAR-880</v>
      </c>
      <c r="D715" t="str">
        <v>AAR-880</v>
      </c>
      <c r="E715" t="str">
        <v/>
      </c>
      <c r="F715" t="str">
        <v>867806078847433</v>
      </c>
      <c r="G715" t="str">
        <v>Otro</v>
      </c>
      <c r="H715" t="str">
        <v/>
      </c>
      <c r="I715" t="str">
        <v>27/09/2026</v>
      </c>
      <c r="J715" t="str">
        <v>14:01:30</v>
      </c>
      <c r="K715">
        <v>-12.170865</v>
      </c>
      <c r="L715">
        <v>-76.94397</v>
      </c>
      <c r="M715">
        <f>HYPERLINK("https://www.google.com/maps/search/?api=1&amp;query=-12.170865,-76.94397","Jirón La Unión, Villa María del Triunfo, Lima")</f>
      </c>
      <c r="N715">
        <v>23.3</v>
      </c>
      <c r="O715">
        <v>93</v>
      </c>
      <c r="P715">
        <v>2545.16</v>
      </c>
      <c r="Q715" t="str">
        <v>160.32</v>
      </c>
      <c r="R715" t="str">
        <v/>
      </c>
      <c r="S715" t="str">
        <v/>
      </c>
      <c r="T715" t="str">
        <v/>
      </c>
      <c r="U715" t="str">
        <v/>
      </c>
    </row>
    <row r="716">
      <c r="A716" t="str">
        <v>715</v>
      </c>
      <c r="B716" t="str">
        <v>MASS BSF</v>
      </c>
      <c r="C716" t="str">
        <v>AAR-880</v>
      </c>
      <c r="D716" t="str">
        <v>AAR-880</v>
      </c>
      <c r="E716" t="str">
        <v/>
      </c>
      <c r="F716" t="str">
        <v>867806078847433</v>
      </c>
      <c r="G716" t="str">
        <v>Otro</v>
      </c>
      <c r="H716" t="str">
        <v/>
      </c>
      <c r="I716" t="str">
        <v>27/09/2026</v>
      </c>
      <c r="J716" t="str">
        <v>14:01:35</v>
      </c>
      <c r="K716">
        <v>-12.171193</v>
      </c>
      <c r="L716">
        <v>-76.9439</v>
      </c>
      <c r="M716">
        <f>HYPERLINK("https://www.google.com/maps/search/?api=1&amp;query=-12.171193,-76.9439","Jirón La Unión, Villa María del Triunfo, Lima")</f>
      </c>
      <c r="N716">
        <v>27.9</v>
      </c>
      <c r="O716">
        <v>89</v>
      </c>
      <c r="P716">
        <v>2545.2</v>
      </c>
      <c r="Q716" t="str">
        <v>160.32</v>
      </c>
      <c r="R716" t="str">
        <v/>
      </c>
      <c r="S716" t="str">
        <v/>
      </c>
      <c r="T716" t="str">
        <v/>
      </c>
      <c r="U716" t="str">
        <v/>
      </c>
    </row>
    <row r="717">
      <c r="A717" t="str">
        <v>716</v>
      </c>
      <c r="B717" t="str">
        <v>MASS BSF</v>
      </c>
      <c r="C717" t="str">
        <v>AAR-880</v>
      </c>
      <c r="D717" t="str">
        <v>AAR-880</v>
      </c>
      <c r="E717" t="str">
        <v/>
      </c>
      <c r="F717" t="str">
        <v>867806078847433</v>
      </c>
      <c r="G717" t="str">
        <v>Otro</v>
      </c>
      <c r="H717" t="str">
        <v/>
      </c>
      <c r="I717" t="str">
        <v>27/09/2026</v>
      </c>
      <c r="J717" t="str">
        <v>14:01:48</v>
      </c>
      <c r="K717">
        <v>-12.171726</v>
      </c>
      <c r="L717">
        <v>-76.943886</v>
      </c>
      <c r="M717">
        <f>HYPERLINK("https://www.google.com/maps/search/?api=1&amp;query=-12.171726,-76.943886","Jirón La Unión, Villa María del Triunfo, Lima")</f>
      </c>
      <c r="N717">
        <v>19</v>
      </c>
      <c r="O717">
        <v>89</v>
      </c>
      <c r="P717">
        <v>2545.26</v>
      </c>
      <c r="Q717" t="str">
        <v>160.32</v>
      </c>
      <c r="R717" t="str">
        <v/>
      </c>
      <c r="S717" t="str">
        <v/>
      </c>
      <c r="T717" t="str">
        <v/>
      </c>
      <c r="U717" t="str">
        <v/>
      </c>
    </row>
    <row r="718">
      <c r="A718" t="str">
        <v>717</v>
      </c>
      <c r="B718" t="str">
        <v>MASS BSF</v>
      </c>
      <c r="C718" t="str">
        <v>AAR-880</v>
      </c>
      <c r="D718" t="str">
        <v>AAR-880</v>
      </c>
      <c r="E718" t="str">
        <v/>
      </c>
      <c r="F718" t="str">
        <v>867806078847433</v>
      </c>
      <c r="G718" t="str">
        <v>Otro</v>
      </c>
      <c r="H718" t="str">
        <v/>
      </c>
      <c r="I718" t="str">
        <v>27/09/2026</v>
      </c>
      <c r="J718" t="str">
        <v>14:01:53</v>
      </c>
      <c r="K718">
        <v>-12.171933</v>
      </c>
      <c r="L718">
        <v>-76.94401</v>
      </c>
      <c r="M718">
        <f>HYPERLINK("https://www.google.com/maps/search/?api=1&amp;query=-12.171933,-76.94401","Jirón Unión, Villa María del Triunfo, Lima")</f>
      </c>
      <c r="N718">
        <v>22.4</v>
      </c>
      <c r="O718">
        <v>91</v>
      </c>
      <c r="P718">
        <v>2545.28</v>
      </c>
      <c r="Q718" t="str">
        <v>160.32</v>
      </c>
      <c r="R718" t="str">
        <v/>
      </c>
      <c r="S718" t="str">
        <v/>
      </c>
      <c r="T718" t="str">
        <v/>
      </c>
      <c r="U718" t="str">
        <v/>
      </c>
    </row>
    <row r="719">
      <c r="A719" t="str">
        <v>718</v>
      </c>
      <c r="B719" t="str">
        <v>MASS BSF</v>
      </c>
      <c r="C719" t="str">
        <v>AAR-880</v>
      </c>
      <c r="D719" t="str">
        <v>AAR-880</v>
      </c>
      <c r="E719" t="str">
        <v/>
      </c>
      <c r="F719" t="str">
        <v>867806078847433</v>
      </c>
      <c r="G719" t="str">
        <v>Otro</v>
      </c>
      <c r="H719" t="str">
        <v/>
      </c>
      <c r="I719" t="str">
        <v>27/09/2026</v>
      </c>
      <c r="J719" t="str">
        <v>14:02:11</v>
      </c>
      <c r="K719">
        <v>-12.17232</v>
      </c>
      <c r="L719">
        <v>-76.944626</v>
      </c>
      <c r="M719">
        <f>HYPERLINK("https://www.google.com/maps/search/?api=1&amp;query=-12.17232,-76.944626","Jirón Unión, Villa María del Triunfo, Lima")</f>
      </c>
      <c r="N719">
        <v>12.2</v>
      </c>
      <c r="O719">
        <v>92</v>
      </c>
      <c r="P719">
        <v>2545.36</v>
      </c>
      <c r="Q719" t="str">
        <v>160.32</v>
      </c>
      <c r="R719" t="str">
        <v/>
      </c>
      <c r="S719" t="str">
        <v/>
      </c>
      <c r="T719" t="str">
        <v/>
      </c>
      <c r="U719" t="str">
        <v/>
      </c>
    </row>
    <row r="720">
      <c r="A720" t="str">
        <v>719</v>
      </c>
      <c r="B720" t="str">
        <v>MASS BSF</v>
      </c>
      <c r="C720" t="str">
        <v>AAR-880</v>
      </c>
      <c r="D720" t="str">
        <v>AAR-880</v>
      </c>
      <c r="E720" t="str">
        <v/>
      </c>
      <c r="F720" t="str">
        <v>867806078847433</v>
      </c>
      <c r="G720" t="str">
        <v>Otro</v>
      </c>
      <c r="H720" t="str">
        <v/>
      </c>
      <c r="I720" t="str">
        <v>27/09/2026</v>
      </c>
      <c r="J720" t="str">
        <v>14:02:17</v>
      </c>
      <c r="K720">
        <v>-12.172388</v>
      </c>
      <c r="L720">
        <v>-76.9448</v>
      </c>
      <c r="M720">
        <f>HYPERLINK("https://www.google.com/maps/search/?api=1&amp;query=-12.172388,-76.9448","Jirón Unión, Villa María del Triunfo, Lima")</f>
      </c>
      <c r="N720">
        <v>15.7</v>
      </c>
      <c r="O720">
        <v>92</v>
      </c>
      <c r="P720">
        <v>2545.38</v>
      </c>
      <c r="Q720" t="str">
        <v>160.32</v>
      </c>
      <c r="R720" t="str">
        <v/>
      </c>
      <c r="S720" t="str">
        <v/>
      </c>
      <c r="T720" t="str">
        <v/>
      </c>
      <c r="U720" t="str">
        <v/>
      </c>
    </row>
    <row r="721">
      <c r="A721" t="str">
        <v>720</v>
      </c>
      <c r="B721" t="str">
        <v>MASS BSF</v>
      </c>
      <c r="C721" t="str">
        <v>AAR-880</v>
      </c>
      <c r="D721" t="str">
        <v>AAR-880</v>
      </c>
      <c r="E721" t="str">
        <v/>
      </c>
      <c r="F721" t="str">
        <v>867806078847433</v>
      </c>
      <c r="G721" t="str">
        <v>Otro</v>
      </c>
      <c r="H721" t="str">
        <v/>
      </c>
      <c r="I721" t="str">
        <v>27/09/2026</v>
      </c>
      <c r="J721" t="str">
        <v>14:02:22</v>
      </c>
      <c r="K721">
        <v>-12.172525</v>
      </c>
      <c r="L721">
        <v>-76.944954</v>
      </c>
      <c r="M721">
        <f>HYPERLINK("https://www.google.com/maps/search/?api=1&amp;query=-12.172525,-76.944954","Jirón Unión, Villa María del Triunfo, Lima")</f>
      </c>
      <c r="N721">
        <v>12</v>
      </c>
      <c r="O721">
        <v>92</v>
      </c>
      <c r="P721">
        <v>2545.4</v>
      </c>
      <c r="Q721" t="str">
        <v>160.32</v>
      </c>
      <c r="R721" t="str">
        <v/>
      </c>
      <c r="S721" t="str">
        <v/>
      </c>
      <c r="T721" t="str">
        <v/>
      </c>
      <c r="U721" t="str">
        <v/>
      </c>
    </row>
    <row r="722">
      <c r="A722" t="str">
        <v>721</v>
      </c>
      <c r="B722" t="str">
        <v>MASS BSF</v>
      </c>
      <c r="C722" t="str">
        <v>AAR-880</v>
      </c>
      <c r="D722" t="str">
        <v>AAR-880</v>
      </c>
      <c r="E722" t="str">
        <v/>
      </c>
      <c r="F722" t="str">
        <v>867806078847433</v>
      </c>
      <c r="G722" t="str">
        <v>Otro</v>
      </c>
      <c r="H722" t="str">
        <v/>
      </c>
      <c r="I722" t="str">
        <v>27/09/2026</v>
      </c>
      <c r="J722" t="str">
        <v>14:02:27</v>
      </c>
      <c r="K722">
        <v>-12.172678</v>
      </c>
      <c r="L722">
        <v>-76.94489</v>
      </c>
      <c r="M722">
        <f>HYPERLINK("https://www.google.com/maps/search/?api=1&amp;query=-12.172678,-76.94489","Avenida Nicolás de Piérola, Villa María del Triunfo, Lima")</f>
      </c>
      <c r="N722">
        <v>18.3</v>
      </c>
      <c r="O722">
        <v>92</v>
      </c>
      <c r="P722">
        <v>2545.42</v>
      </c>
      <c r="Q722" t="str">
        <v>160.32</v>
      </c>
      <c r="R722" t="str">
        <v/>
      </c>
      <c r="S722" t="str">
        <v/>
      </c>
      <c r="T722" t="str">
        <v/>
      </c>
      <c r="U722" t="str">
        <v/>
      </c>
    </row>
    <row r="723">
      <c r="A723" t="str">
        <v>722</v>
      </c>
      <c r="B723" t="str">
        <v>MASS BSF</v>
      </c>
      <c r="C723" t="str">
        <v>AAR-880</v>
      </c>
      <c r="D723" t="str">
        <v>AAR-880</v>
      </c>
      <c r="E723" t="str">
        <v/>
      </c>
      <c r="F723" t="str">
        <v>867806078847433</v>
      </c>
      <c r="G723" t="str">
        <v>Otro</v>
      </c>
      <c r="H723" t="str">
        <v/>
      </c>
      <c r="I723" t="str">
        <v>27/09/2026</v>
      </c>
      <c r="J723" t="str">
        <v>14:02:32</v>
      </c>
      <c r="K723">
        <v>-12.172865</v>
      </c>
      <c r="L723">
        <v>-76.94465</v>
      </c>
      <c r="M723">
        <f>HYPERLINK("https://www.google.com/maps/search/?api=1&amp;query=-12.172865,-76.94465","Avenida Nicolás de Piérola, Villa María del Triunfo, Lima")</f>
      </c>
      <c r="N723">
        <v>28.1</v>
      </c>
      <c r="O723">
        <v>90</v>
      </c>
      <c r="P723">
        <v>2545.46</v>
      </c>
      <c r="Q723" t="str">
        <v>160.32</v>
      </c>
      <c r="R723" t="str">
        <v/>
      </c>
      <c r="S723" t="str">
        <v/>
      </c>
      <c r="T723" t="str">
        <v/>
      </c>
      <c r="U723" t="str">
        <v/>
      </c>
    </row>
    <row r="724">
      <c r="A724" t="str">
        <v>723</v>
      </c>
      <c r="B724" t="str">
        <v>MASS BSF</v>
      </c>
      <c r="C724" t="str">
        <v>AAR-880</v>
      </c>
      <c r="D724" t="str">
        <v>AAR-880</v>
      </c>
      <c r="E724" t="str">
        <v/>
      </c>
      <c r="F724" t="str">
        <v>867806078847433</v>
      </c>
      <c r="G724" t="str">
        <v>Otro</v>
      </c>
      <c r="H724" t="str">
        <v/>
      </c>
      <c r="I724" t="str">
        <v>27/09/2026</v>
      </c>
      <c r="J724" t="str">
        <v>14:02:37</v>
      </c>
      <c r="K724">
        <v>-12.173177</v>
      </c>
      <c r="L724">
        <v>-76.944405</v>
      </c>
      <c r="M724">
        <f>HYPERLINK("https://www.google.com/maps/search/?api=1&amp;query=-12.173177,-76.944405","Avenida Nicolás de Piérola, Villa María del Triunfo, Lima")</f>
      </c>
      <c r="N724">
        <v>30.5</v>
      </c>
      <c r="O724">
        <v>90</v>
      </c>
      <c r="P724">
        <v>2545.5</v>
      </c>
      <c r="Q724" t="str">
        <v>160.32</v>
      </c>
      <c r="R724" t="str">
        <v/>
      </c>
      <c r="S724" t="str">
        <v/>
      </c>
      <c r="T724" t="str">
        <v/>
      </c>
      <c r="U724" t="str">
        <v/>
      </c>
    </row>
    <row r="725">
      <c r="A725" t="str">
        <v>724</v>
      </c>
      <c r="B725" t="str">
        <v>MASS BSF</v>
      </c>
      <c r="C725" t="str">
        <v>AAR-880</v>
      </c>
      <c r="D725" t="str">
        <v>AAR-880</v>
      </c>
      <c r="E725" t="str">
        <v/>
      </c>
      <c r="F725" t="str">
        <v>867806078847433</v>
      </c>
      <c r="G725" t="str">
        <v>Otro</v>
      </c>
      <c r="H725" t="str">
        <v/>
      </c>
      <c r="I725" t="str">
        <v>27/09/2026</v>
      </c>
      <c r="J725" t="str">
        <v>14:02:46</v>
      </c>
      <c r="K725">
        <v>-12.173496</v>
      </c>
      <c r="L725">
        <v>-76.94419</v>
      </c>
      <c r="M725">
        <f>HYPERLINK("https://www.google.com/maps/search/?api=1&amp;query=-12.173496,-76.94419","Avenida Nicolás de Piérola, Villa María del Triunfo, Lima")</f>
      </c>
      <c r="N725">
        <v>8.8</v>
      </c>
      <c r="O725">
        <v>90</v>
      </c>
      <c r="P725">
        <v>2545.54</v>
      </c>
      <c r="Q725" t="str">
        <v>160.32</v>
      </c>
      <c r="R725" t="str">
        <v/>
      </c>
      <c r="S725" t="str">
        <v/>
      </c>
      <c r="T725" t="str">
        <v/>
      </c>
      <c r="U725" t="str">
        <v/>
      </c>
    </row>
    <row r="726">
      <c r="A726" t="str">
        <v>725</v>
      </c>
      <c r="B726" t="str">
        <v>MASS BSF</v>
      </c>
      <c r="C726" t="str">
        <v>AAR-880</v>
      </c>
      <c r="D726" t="str">
        <v>AAR-880</v>
      </c>
      <c r="E726" t="str">
        <v/>
      </c>
      <c r="F726" t="str">
        <v>867806078847433</v>
      </c>
      <c r="G726" t="str">
        <v>Otro</v>
      </c>
      <c r="H726" t="str">
        <v/>
      </c>
      <c r="I726" t="str">
        <v>27/09/2026</v>
      </c>
      <c r="J726" t="str">
        <v>14:02:51</v>
      </c>
      <c r="K726">
        <v>-12.17363</v>
      </c>
      <c r="L726">
        <v>-76.94429</v>
      </c>
      <c r="M726">
        <f>HYPERLINK("https://www.google.com/maps/search/?api=1&amp;query=-12.17363,-76.94429","Calle 8 de Octubre, Villa María del Triunfo, Lima")</f>
      </c>
      <c r="N726">
        <v>17.7</v>
      </c>
      <c r="O726">
        <v>90</v>
      </c>
      <c r="P726">
        <v>2545.56</v>
      </c>
      <c r="Q726" t="str">
        <v>160.32</v>
      </c>
      <c r="R726" t="str">
        <v/>
      </c>
      <c r="S726" t="str">
        <v/>
      </c>
      <c r="T726" t="str">
        <v/>
      </c>
      <c r="U726" t="str">
        <v/>
      </c>
    </row>
    <row r="727">
      <c r="A727" t="str">
        <v>726</v>
      </c>
      <c r="B727" t="str">
        <v>MASS BSF</v>
      </c>
      <c r="C727" t="str">
        <v>AAR-880</v>
      </c>
      <c r="D727" t="str">
        <v>AAR-880</v>
      </c>
      <c r="E727" t="str">
        <v/>
      </c>
      <c r="F727" t="str">
        <v>867806078847433</v>
      </c>
      <c r="G727" t="str">
        <v>Otro</v>
      </c>
      <c r="H727" t="str">
        <v/>
      </c>
      <c r="I727" t="str">
        <v>27/09/2026</v>
      </c>
      <c r="J727" t="str">
        <v>14:03:17</v>
      </c>
      <c r="K727">
        <v>-12.174387</v>
      </c>
      <c r="L727">
        <v>-76.945656</v>
      </c>
      <c r="M727">
        <f>HYPERLINK("https://www.google.com/maps/search/?api=1&amp;query=-12.174387,-76.945656","Calle 8 de Octubre, Villa María del Triunfo, Lima")</f>
      </c>
      <c r="N727">
        <v>15.5</v>
      </c>
      <c r="O727">
        <v>90</v>
      </c>
      <c r="P727">
        <v>2545.73</v>
      </c>
      <c r="Q727" t="str">
        <v>160.32</v>
      </c>
      <c r="R727" t="str">
        <v/>
      </c>
      <c r="S727" t="str">
        <v/>
      </c>
      <c r="T727" t="str">
        <v/>
      </c>
      <c r="U727" t="str">
        <v/>
      </c>
    </row>
    <row r="728">
      <c r="A728" t="str">
        <v>727</v>
      </c>
      <c r="B728" t="str">
        <v>MASS BSF</v>
      </c>
      <c r="C728" t="str">
        <v>AAR-880</v>
      </c>
      <c r="D728" t="str">
        <v>AAR-880</v>
      </c>
      <c r="E728" t="str">
        <v/>
      </c>
      <c r="F728" t="str">
        <v>867806078847433</v>
      </c>
      <c r="G728" t="str">
        <v>Otro</v>
      </c>
      <c r="H728" t="str">
        <v/>
      </c>
      <c r="I728" t="str">
        <v>27/09/2026</v>
      </c>
      <c r="J728" t="str">
        <v>14:03:22</v>
      </c>
      <c r="K728">
        <v>-12.174503</v>
      </c>
      <c r="L728">
        <v>-76.945854</v>
      </c>
      <c r="M728">
        <f>HYPERLINK("https://www.google.com/maps/search/?api=1&amp;query=-12.174503,-76.945854","Calle 8 de Octubre, Villa María del Triunfo, Lima")</f>
      </c>
      <c r="N728">
        <v>20.5</v>
      </c>
      <c r="O728">
        <v>90</v>
      </c>
      <c r="P728">
        <v>2545.75</v>
      </c>
      <c r="Q728" t="str">
        <v>160.32</v>
      </c>
      <c r="R728" t="str">
        <v/>
      </c>
      <c r="S728" t="str">
        <v/>
      </c>
      <c r="T728" t="str">
        <v/>
      </c>
      <c r="U728" t="str">
        <v/>
      </c>
    </row>
    <row r="729">
      <c r="A729" t="str">
        <v>728</v>
      </c>
      <c r="B729" t="str">
        <v>MASS BSF</v>
      </c>
      <c r="C729" t="str">
        <v>AAR-880</v>
      </c>
      <c r="D729" t="str">
        <v>AAR-880</v>
      </c>
      <c r="E729" t="str">
        <v/>
      </c>
      <c r="F729" t="str">
        <v>867806078847433</v>
      </c>
      <c r="G729" t="str">
        <v>Otro</v>
      </c>
      <c r="H729" t="str">
        <v/>
      </c>
      <c r="I729" t="str">
        <v>27/09/2026</v>
      </c>
      <c r="J729" t="str">
        <v>14:03:38</v>
      </c>
      <c r="K729">
        <v>-12.174808</v>
      </c>
      <c r="L729">
        <v>-76.9464</v>
      </c>
      <c r="M729">
        <f>HYPERLINK("https://www.google.com/maps/search/?api=1&amp;query=-12.174808,-76.9464","Calle 8 de Octubre, Villa María del Triunfo, Lima")</f>
      </c>
      <c r="N729">
        <v>16.4</v>
      </c>
      <c r="O729">
        <v>90</v>
      </c>
      <c r="P729">
        <v>2545.82</v>
      </c>
      <c r="Q729" t="str">
        <v>160.32</v>
      </c>
      <c r="R729" t="str">
        <v/>
      </c>
      <c r="S729" t="str">
        <v/>
      </c>
      <c r="T729" t="str">
        <v/>
      </c>
      <c r="U729" t="str">
        <v/>
      </c>
    </row>
    <row r="730">
      <c r="A730" t="str">
        <v>729</v>
      </c>
      <c r="B730" t="str">
        <v>MASS BSF</v>
      </c>
      <c r="C730" t="str">
        <v>AAR-880</v>
      </c>
      <c r="D730" t="str">
        <v>AAR-880</v>
      </c>
      <c r="E730" t="str">
        <v/>
      </c>
      <c r="F730" t="str">
        <v>867806078847433</v>
      </c>
      <c r="G730" t="str">
        <v>Otro</v>
      </c>
      <c r="H730" t="str">
        <v/>
      </c>
      <c r="I730" t="str">
        <v>27/09/2026</v>
      </c>
      <c r="J730" t="str">
        <v>14:03:43</v>
      </c>
      <c r="K730">
        <v>-12.175002</v>
      </c>
      <c r="L730">
        <v>-76.94656</v>
      </c>
      <c r="M730">
        <f>HYPERLINK("https://www.google.com/maps/search/?api=1&amp;query=-12.175002,-76.94656","Calle 8 de Octubre, Villa María del Triunfo, Lima")</f>
      </c>
      <c r="N730">
        <v>25.3</v>
      </c>
      <c r="O730">
        <v>90</v>
      </c>
      <c r="P730">
        <v>2545.85</v>
      </c>
      <c r="Q730" t="str">
        <v>160.32</v>
      </c>
      <c r="R730" t="str">
        <v/>
      </c>
      <c r="S730" t="str">
        <v/>
      </c>
      <c r="T730" t="str">
        <v/>
      </c>
      <c r="U730" t="str">
        <v/>
      </c>
    </row>
    <row r="731">
      <c r="A731" t="str">
        <v>730</v>
      </c>
      <c r="B731" t="str">
        <v>MASS BSF</v>
      </c>
      <c r="C731" t="str">
        <v>AAR-880</v>
      </c>
      <c r="D731" t="str">
        <v>AAR-880</v>
      </c>
      <c r="E731" t="str">
        <v/>
      </c>
      <c r="F731" t="str">
        <v>867806078847433</v>
      </c>
      <c r="G731" t="str">
        <v>Otro</v>
      </c>
      <c r="H731" t="str">
        <v/>
      </c>
      <c r="I731" t="str">
        <v>27/09/2026</v>
      </c>
      <c r="J731" t="str">
        <v>14:03:48</v>
      </c>
      <c r="K731">
        <v>-12.175346</v>
      </c>
      <c r="L731">
        <v>-76.94662</v>
      </c>
      <c r="M731">
        <f>HYPERLINK("https://www.google.com/maps/search/?api=1&amp;query=-12.175346,-76.94662","Calle 8 de Octubre, Villa María del Triunfo, Lima")</f>
      </c>
      <c r="N731">
        <v>24.4</v>
      </c>
      <c r="O731">
        <v>90</v>
      </c>
      <c r="P731">
        <v>2545.89</v>
      </c>
      <c r="Q731" t="str">
        <v>160.32</v>
      </c>
      <c r="R731" t="str">
        <v/>
      </c>
      <c r="S731" t="str">
        <v/>
      </c>
      <c r="T731" t="str">
        <v/>
      </c>
      <c r="U731" t="str">
        <v/>
      </c>
    </row>
    <row r="732">
      <c r="A732" t="str">
        <v>731</v>
      </c>
      <c r="B732" t="str">
        <v>MASS BSF</v>
      </c>
      <c r="C732" t="str">
        <v>AAR-880</v>
      </c>
      <c r="D732" t="str">
        <v>AAR-880</v>
      </c>
      <c r="E732" t="str">
        <v/>
      </c>
      <c r="F732" t="str">
        <v>867806078847433</v>
      </c>
      <c r="G732" t="str">
        <v>Otro</v>
      </c>
      <c r="H732" t="str">
        <v/>
      </c>
      <c r="I732" t="str">
        <v>27/09/2026</v>
      </c>
      <c r="J732" t="str">
        <v>14:03:53</v>
      </c>
      <c r="K732">
        <v>-12.175689</v>
      </c>
      <c r="L732">
        <v>-76.94644</v>
      </c>
      <c r="M732">
        <f>HYPERLINK("https://www.google.com/maps/search/?api=1&amp;query=-12.175689,-76.94644","Avenida Pachacútec, Villa María del Triunfo, Lima")</f>
      </c>
      <c r="N732">
        <v>35.5</v>
      </c>
      <c r="O732">
        <v>90</v>
      </c>
      <c r="P732">
        <v>2545.93</v>
      </c>
      <c r="Q732" t="str">
        <v>160.32</v>
      </c>
      <c r="R732" t="str">
        <v/>
      </c>
      <c r="S732" t="str">
        <v/>
      </c>
      <c r="T732" t="str">
        <v/>
      </c>
      <c r="U732" t="str">
        <v/>
      </c>
    </row>
    <row r="733">
      <c r="A733" t="str">
        <v>732</v>
      </c>
      <c r="B733" t="str">
        <v>MASS BSF</v>
      </c>
      <c r="C733" t="str">
        <v>AAR-880</v>
      </c>
      <c r="D733" t="str">
        <v>AAR-880</v>
      </c>
      <c r="E733" t="str">
        <v/>
      </c>
      <c r="F733" t="str">
        <v>867806078847433</v>
      </c>
      <c r="G733" t="str">
        <v>Otro</v>
      </c>
      <c r="H733" t="str">
        <v/>
      </c>
      <c r="I733" t="str">
        <v>27/09/2026</v>
      </c>
      <c r="J733" t="str">
        <v>14:04:53</v>
      </c>
      <c r="K733">
        <v>-12.176276</v>
      </c>
      <c r="L733">
        <v>-76.94608</v>
      </c>
      <c r="M733">
        <f>HYPERLINK("https://www.google.com/maps/search/?api=1&amp;query=-12.176276,-76.94608","Avenida Pachacútec, Villa María del Triunfo, Lima")</f>
      </c>
      <c r="N733">
        <v>0</v>
      </c>
      <c r="O733">
        <v>90</v>
      </c>
      <c r="P733">
        <v>2546</v>
      </c>
      <c r="Q733" t="str">
        <v>160.32</v>
      </c>
      <c r="R733" t="str">
        <v/>
      </c>
      <c r="S733" t="str">
        <v/>
      </c>
      <c r="T733" t="str">
        <v/>
      </c>
      <c r="U733" t="str">
        <v/>
      </c>
    </row>
    <row r="734">
      <c r="A734" t="str">
        <v>733</v>
      </c>
      <c r="B734" t="str">
        <v>MASS BSF</v>
      </c>
      <c r="C734" t="str">
        <v>AAR-880</v>
      </c>
      <c r="D734" t="str">
        <v>AAR-880</v>
      </c>
      <c r="E734" t="str">
        <v/>
      </c>
      <c r="F734" t="str">
        <v>867806078847433</v>
      </c>
      <c r="G734" t="str">
        <v>Otro</v>
      </c>
      <c r="H734" t="str">
        <v/>
      </c>
      <c r="I734" t="str">
        <v>27/09/2026</v>
      </c>
      <c r="J734" t="str">
        <v>14:05:53</v>
      </c>
      <c r="K734">
        <v>-12.181474</v>
      </c>
      <c r="L734">
        <v>-76.94291</v>
      </c>
      <c r="M734">
        <f>HYPERLINK("https://www.google.com/maps/search/?api=1&amp;query=-12.181474,-76.94291","Avenida Pachacútec, Villa María del Triunfo, Lima")</f>
      </c>
      <c r="N734">
        <v>54</v>
      </c>
      <c r="O734">
        <v>90</v>
      </c>
      <c r="P734">
        <v>2546.67</v>
      </c>
      <c r="Q734" t="str">
        <v>160.32</v>
      </c>
      <c r="R734" t="str">
        <v/>
      </c>
      <c r="S734" t="str">
        <v/>
      </c>
      <c r="T734" t="str">
        <v/>
      </c>
      <c r="U734" t="str">
        <v/>
      </c>
    </row>
    <row r="735">
      <c r="A735" t="str">
        <v>734</v>
      </c>
      <c r="B735" t="str">
        <v>MASS BSF</v>
      </c>
      <c r="C735" t="str">
        <v>AAR-880</v>
      </c>
      <c r="D735" t="str">
        <v>AAR-880</v>
      </c>
      <c r="E735" t="str">
        <v/>
      </c>
      <c r="F735" t="str">
        <v>867806078847433</v>
      </c>
      <c r="G735" t="str">
        <v>Otro</v>
      </c>
      <c r="H735" t="str">
        <v/>
      </c>
      <c r="I735" t="str">
        <v>27/09/2026</v>
      </c>
      <c r="J735" t="str">
        <v>14:06:04</v>
      </c>
      <c r="K735">
        <v>-12.182696</v>
      </c>
      <c r="L735">
        <v>-76.94223</v>
      </c>
      <c r="M735">
        <f>HYPERLINK("https://www.google.com/maps/search/?api=1&amp;query=-12.182696,-76.94223","Avenida Pachacútec, Villa El Salvador, Lima")</f>
      </c>
      <c r="N735">
        <v>36.1</v>
      </c>
      <c r="O735">
        <v>90</v>
      </c>
      <c r="P735">
        <v>2546.82</v>
      </c>
      <c r="Q735" t="str">
        <v>160.32</v>
      </c>
      <c r="R735" t="str">
        <v/>
      </c>
      <c r="S735" t="str">
        <v/>
      </c>
      <c r="T735" t="str">
        <v/>
      </c>
      <c r="U735" t="str">
        <v/>
      </c>
    </row>
    <row r="736">
      <c r="A736" t="str">
        <v>735</v>
      </c>
      <c r="B736" t="str">
        <v>MASS BSF</v>
      </c>
      <c r="C736" t="str">
        <v>AAR-880</v>
      </c>
      <c r="D736" t="str">
        <v>AAR-880</v>
      </c>
      <c r="E736" t="str">
        <v/>
      </c>
      <c r="F736" t="str">
        <v>867806078847433</v>
      </c>
      <c r="G736" t="str">
        <v>Otro</v>
      </c>
      <c r="H736" t="str">
        <v/>
      </c>
      <c r="I736" t="str">
        <v>27/09/2026</v>
      </c>
      <c r="J736" t="str">
        <v>14:06:04</v>
      </c>
      <c r="K736">
        <v>-12.182696</v>
      </c>
      <c r="L736">
        <v>-76.94223</v>
      </c>
      <c r="M736">
        <f>HYPERLINK("https://www.google.com/maps/search/?api=1&amp;query=-12.182696,-76.94223","Avenida Pachacútec, Villa El Salvador, Lima")</f>
      </c>
      <c r="N736">
        <v>36.1</v>
      </c>
      <c r="O736">
        <v>90</v>
      </c>
      <c r="P736">
        <v>2546.82</v>
      </c>
      <c r="Q736" t="str">
        <v>160.32</v>
      </c>
      <c r="R736" t="str">
        <v/>
      </c>
      <c r="S736" t="str">
        <v/>
      </c>
      <c r="T736" t="str">
        <v/>
      </c>
      <c r="U736" t="str">
        <v/>
      </c>
    </row>
    <row r="737">
      <c r="A737" t="str">
        <v>736</v>
      </c>
      <c r="B737" t="str">
        <v>MASS BSF</v>
      </c>
      <c r="C737" t="str">
        <v>AAR-880</v>
      </c>
      <c r="D737" t="str">
        <v>AAR-880</v>
      </c>
      <c r="E737" t="str">
        <v/>
      </c>
      <c r="F737" t="str">
        <v>867806078847433</v>
      </c>
      <c r="G737" t="str">
        <v>Otro</v>
      </c>
      <c r="H737" t="str">
        <v/>
      </c>
      <c r="I737" t="str">
        <v>27/09/2026</v>
      </c>
      <c r="J737" t="str">
        <v>14:06:10</v>
      </c>
      <c r="K737">
        <v>-12.183035</v>
      </c>
      <c r="L737">
        <v>-76.941925</v>
      </c>
      <c r="M737">
        <f>HYPERLINK("https://www.google.com/maps/search/?api=1&amp;query=-12.183035,-76.941925","Avenida Pachacútec, Villa María del Triunfo, Lima")</f>
      </c>
      <c r="N737">
        <v>23.8</v>
      </c>
      <c r="O737">
        <v>90</v>
      </c>
      <c r="P737">
        <v>2546.87</v>
      </c>
      <c r="Q737" t="str">
        <v>160.32</v>
      </c>
      <c r="R737" t="str">
        <v/>
      </c>
      <c r="S737" t="str">
        <v/>
      </c>
      <c r="T737" t="str">
        <v/>
      </c>
      <c r="U737" t="str">
        <v/>
      </c>
    </row>
    <row r="738">
      <c r="A738" t="str">
        <v>737</v>
      </c>
      <c r="B738" t="str">
        <v>MASS BSF</v>
      </c>
      <c r="C738" t="str">
        <v>AAR-880</v>
      </c>
      <c r="D738" t="str">
        <v>AAR-880</v>
      </c>
      <c r="E738" t="str">
        <v/>
      </c>
      <c r="F738" t="str">
        <v>867806078847433</v>
      </c>
      <c r="G738" t="str">
        <v>Otro</v>
      </c>
      <c r="H738" t="str">
        <v/>
      </c>
      <c r="I738" t="str">
        <v>27/09/2026</v>
      </c>
      <c r="J738" t="str">
        <v>14:07:10</v>
      </c>
      <c r="K738">
        <v>-12.185594</v>
      </c>
      <c r="L738">
        <v>-76.94037</v>
      </c>
      <c r="M738">
        <f>HYPERLINK("https://www.google.com/maps/search/?api=1&amp;query=-12.185594,-76.94037","Avenida Pachacútec, Villa María del Triunfo, Lima")</f>
      </c>
      <c r="N738">
        <v>7</v>
      </c>
      <c r="O738">
        <v>90</v>
      </c>
      <c r="P738">
        <v>2547.19</v>
      </c>
      <c r="Q738" t="str">
        <v>160.32</v>
      </c>
      <c r="R738" t="str">
        <v/>
      </c>
      <c r="S738" t="str">
        <v/>
      </c>
      <c r="T738" t="str">
        <v/>
      </c>
      <c r="U738" t="str">
        <v/>
      </c>
    </row>
    <row r="739">
      <c r="A739" t="str">
        <v>738</v>
      </c>
      <c r="B739" t="str">
        <v>MASS BSF</v>
      </c>
      <c r="C739" t="str">
        <v>AAR-880</v>
      </c>
      <c r="D739" t="str">
        <v>AAR-880</v>
      </c>
      <c r="E739" t="str">
        <v/>
      </c>
      <c r="F739" t="str">
        <v>867806078847433</v>
      </c>
      <c r="G739" t="str">
        <v>Otro</v>
      </c>
      <c r="H739" t="str">
        <v/>
      </c>
      <c r="I739" t="str">
        <v>27/09/2026</v>
      </c>
      <c r="J739" t="str">
        <v>14:08:10</v>
      </c>
      <c r="K739">
        <v>-12.18903</v>
      </c>
      <c r="L739">
        <v>-76.93832</v>
      </c>
      <c r="M739">
        <f>HYPERLINK("https://www.google.com/maps/search/?api=1&amp;query=-12.18903,-76.93832","Avenida Pachacútec, Villa María del Triunfo, Lima")</f>
      </c>
      <c r="N739">
        <v>33.7</v>
      </c>
      <c r="O739">
        <v>90</v>
      </c>
      <c r="P739">
        <v>2547.63</v>
      </c>
      <c r="Q739" t="str">
        <v>160.32</v>
      </c>
      <c r="R739" t="str">
        <v/>
      </c>
      <c r="S739" t="str">
        <v/>
      </c>
      <c r="T739" t="str">
        <v/>
      </c>
      <c r="U739" t="str">
        <v/>
      </c>
    </row>
    <row r="740">
      <c r="A740" t="str">
        <v>739</v>
      </c>
      <c r="B740" t="str">
        <v>MASS BSF</v>
      </c>
      <c r="C740" t="str">
        <v>AAR-880</v>
      </c>
      <c r="D740" t="str">
        <v>AAR-880</v>
      </c>
      <c r="E740" t="str">
        <v/>
      </c>
      <c r="F740" t="str">
        <v>867806078847433</v>
      </c>
      <c r="G740" t="str">
        <v>Otro</v>
      </c>
      <c r="H740" t="str">
        <v/>
      </c>
      <c r="I740" t="str">
        <v>27/09/2026</v>
      </c>
      <c r="J740" t="str">
        <v>14:08:15</v>
      </c>
      <c r="K740">
        <v>-12.189486</v>
      </c>
      <c r="L740">
        <v>-76.93809</v>
      </c>
      <c r="M740">
        <f>HYPERLINK("https://www.google.com/maps/search/?api=1&amp;query=-12.189486,-76.93809","Avenida Pachacútec, Villa María del Triunfo, Lima")</f>
      </c>
      <c r="N740">
        <v>33.8</v>
      </c>
      <c r="O740">
        <v>90</v>
      </c>
      <c r="P740">
        <v>2547.69</v>
      </c>
      <c r="Q740" t="str">
        <v>160.32</v>
      </c>
      <c r="R740" t="str">
        <v/>
      </c>
      <c r="S740" t="str">
        <v/>
      </c>
      <c r="T740" t="str">
        <v/>
      </c>
      <c r="U740" t="str">
        <v/>
      </c>
    </row>
    <row r="741">
      <c r="A741" t="str">
        <v>740</v>
      </c>
      <c r="B741" t="str">
        <v>MASS BSF</v>
      </c>
      <c r="C741" t="str">
        <v>AAR-880</v>
      </c>
      <c r="D741" t="str">
        <v>AAR-880</v>
      </c>
      <c r="E741" t="str">
        <v/>
      </c>
      <c r="F741" t="str">
        <v>867806078847433</v>
      </c>
      <c r="G741" t="str">
        <v>Otro</v>
      </c>
      <c r="H741" t="str">
        <v/>
      </c>
      <c r="I741" t="str">
        <v>27/09/2026</v>
      </c>
      <c r="J741" t="str">
        <v>14:08:26</v>
      </c>
      <c r="K741">
        <v>-12.19037</v>
      </c>
      <c r="L741">
        <v>-76.93772</v>
      </c>
      <c r="M741">
        <f>HYPERLINK("https://www.google.com/maps/search/?api=1&amp;query=-12.19037,-76.93772","Avenida Pachacútec, Villa El Salvador, Lima")</f>
      </c>
      <c r="N741">
        <v>34.4</v>
      </c>
      <c r="O741">
        <v>90</v>
      </c>
      <c r="P741">
        <v>2547.79</v>
      </c>
      <c r="Q741" t="str">
        <v>160.32</v>
      </c>
      <c r="R741" t="str">
        <v/>
      </c>
      <c r="S741" t="str">
        <v/>
      </c>
      <c r="T741" t="str">
        <v/>
      </c>
      <c r="U741" t="str">
        <v/>
      </c>
    </row>
    <row r="742">
      <c r="A742" t="str">
        <v>741</v>
      </c>
      <c r="B742" t="str">
        <v>MASS BSF</v>
      </c>
      <c r="C742" t="str">
        <v>AAR-880</v>
      </c>
      <c r="D742" t="str">
        <v>AAR-880</v>
      </c>
      <c r="E742" t="str">
        <v/>
      </c>
      <c r="F742" t="str">
        <v>867806078847433</v>
      </c>
      <c r="G742" t="str">
        <v>Otro</v>
      </c>
      <c r="H742" t="str">
        <v/>
      </c>
      <c r="I742" t="str">
        <v>27/09/2026</v>
      </c>
      <c r="J742" t="str">
        <v>14:08:54</v>
      </c>
      <c r="K742">
        <v>-12.19219</v>
      </c>
      <c r="L742">
        <v>-76.93663</v>
      </c>
      <c r="M742">
        <f>HYPERLINK("https://www.google.com/maps/search/?api=1&amp;query=-12.19219,-76.93663","Avenida Pachacútec, Villa El Salvador, Lima")</f>
      </c>
      <c r="N742">
        <v>24.2</v>
      </c>
      <c r="O742">
        <v>90</v>
      </c>
      <c r="P742">
        <v>2548.02</v>
      </c>
      <c r="Q742" t="str">
        <v>160.32</v>
      </c>
      <c r="R742" t="str">
        <v/>
      </c>
      <c r="S742" t="str">
        <v/>
      </c>
      <c r="T742" t="str">
        <v/>
      </c>
      <c r="U742" t="str">
        <v/>
      </c>
    </row>
    <row r="743">
      <c r="A743" t="str">
        <v>742</v>
      </c>
      <c r="B743" t="str">
        <v>MASS BSF</v>
      </c>
      <c r="C743" t="str">
        <v>AAR-880</v>
      </c>
      <c r="D743" t="str">
        <v>AAR-880</v>
      </c>
      <c r="E743" t="str">
        <v/>
      </c>
      <c r="F743" t="str">
        <v>867806078847433</v>
      </c>
      <c r="G743" t="str">
        <v>Otro</v>
      </c>
      <c r="H743" t="str">
        <v/>
      </c>
      <c r="I743" t="str">
        <v>27/09/2026</v>
      </c>
      <c r="J743" t="str">
        <v>14:09:26</v>
      </c>
      <c r="K743">
        <v>-12.19235</v>
      </c>
      <c r="L743">
        <v>-76.93653</v>
      </c>
      <c r="M743">
        <f>HYPERLINK("https://www.google.com/maps/search/?api=1&amp;query=-12.19235,-76.93653","Avenida Pachacútec, Villa El Salvador, Lima")</f>
      </c>
      <c r="N743">
        <v>0</v>
      </c>
      <c r="O743">
        <v>90</v>
      </c>
      <c r="P743">
        <v>2548.04</v>
      </c>
      <c r="Q743" t="str">
        <v>160.32</v>
      </c>
      <c r="R743" t="str">
        <v/>
      </c>
      <c r="S743" t="str">
        <v/>
      </c>
      <c r="T743" t="str">
        <v/>
      </c>
      <c r="U743" t="str">
        <v/>
      </c>
    </row>
    <row r="744">
      <c r="A744" t="str">
        <v>743</v>
      </c>
      <c r="B744" t="str">
        <v>MASS BSF</v>
      </c>
      <c r="C744" t="str">
        <v>AAR-880</v>
      </c>
      <c r="D744" t="str">
        <v>AAR-880</v>
      </c>
      <c r="E744" t="str">
        <v/>
      </c>
      <c r="F744" t="str">
        <v>867806078847433</v>
      </c>
      <c r="G744" t="str">
        <v>Otro</v>
      </c>
      <c r="H744" t="str">
        <v/>
      </c>
      <c r="I744" t="str">
        <v>27/09/2026</v>
      </c>
      <c r="J744" t="str">
        <v>14:10:15</v>
      </c>
      <c r="K744">
        <v>-12.193127</v>
      </c>
      <c r="L744">
        <v>-76.93598</v>
      </c>
      <c r="M744">
        <f>HYPERLINK("https://www.google.com/maps/search/?api=1&amp;query=-12.193127,-76.93598","Avenida 27 de Diciembre, Villa María del Triunfo, Lima")</f>
      </c>
      <c r="N744">
        <v>7.4</v>
      </c>
      <c r="O744">
        <v>90</v>
      </c>
      <c r="P744">
        <v>2548.15</v>
      </c>
      <c r="Q744" t="str">
        <v>160.32</v>
      </c>
      <c r="R744" t="str">
        <v/>
      </c>
      <c r="S744" t="str">
        <v/>
      </c>
      <c r="T744" t="str">
        <v/>
      </c>
      <c r="U744" t="str">
        <v/>
      </c>
    </row>
    <row r="745">
      <c r="A745" t="str">
        <v>744</v>
      </c>
      <c r="B745" t="str">
        <v>MASS BSF</v>
      </c>
      <c r="C745" t="str">
        <v>AAR-880</v>
      </c>
      <c r="D745" t="str">
        <v>AAR-880</v>
      </c>
      <c r="E745" t="str">
        <v/>
      </c>
      <c r="F745" t="str">
        <v>867806078847433</v>
      </c>
      <c r="G745" t="str">
        <v>Otro</v>
      </c>
      <c r="H745" t="str">
        <v/>
      </c>
      <c r="I745" t="str">
        <v>27/09/2026</v>
      </c>
      <c r="J745" t="str">
        <v>14:10:53</v>
      </c>
      <c r="K745">
        <v>-12.192095</v>
      </c>
      <c r="L745">
        <v>-76.93412</v>
      </c>
      <c r="M745">
        <f>HYPERLINK("https://www.google.com/maps/search/?api=1&amp;query=-12.192095,-76.93412","Avenida 27 de Diciembre, Villa María del Triunfo, Lima")</f>
      </c>
      <c r="N745">
        <v>29.6</v>
      </c>
      <c r="O745">
        <v>87</v>
      </c>
      <c r="P745">
        <v>2548.38</v>
      </c>
      <c r="Q745" t="str">
        <v>160.32</v>
      </c>
      <c r="R745" t="str">
        <v/>
      </c>
      <c r="S745" t="str">
        <v/>
      </c>
      <c r="T745" t="str">
        <v/>
      </c>
      <c r="U745" t="str">
        <v/>
      </c>
    </row>
    <row r="746">
      <c r="A746" t="str">
        <v>745</v>
      </c>
      <c r="B746" t="str">
        <v>MASS BSF</v>
      </c>
      <c r="C746" t="str">
        <v>AAR-880</v>
      </c>
      <c r="D746" t="str">
        <v>AAR-880</v>
      </c>
      <c r="E746" t="str">
        <v/>
      </c>
      <c r="F746" t="str">
        <v>867806078847433</v>
      </c>
      <c r="G746" t="str">
        <v>Otro</v>
      </c>
      <c r="H746" t="str">
        <v/>
      </c>
      <c r="I746" t="str">
        <v>27/09/2026</v>
      </c>
      <c r="J746" t="str">
        <v>14:11:03</v>
      </c>
      <c r="K746">
        <v>-12.19184</v>
      </c>
      <c r="L746">
        <v>-76.9335</v>
      </c>
      <c r="M746">
        <f>HYPERLINK("https://www.google.com/maps/search/?api=1&amp;query=-12.19184,-76.9335","Avenida 27 de Diciembre, Villa María del Triunfo, Lima")</f>
      </c>
      <c r="N746">
        <v>16.8</v>
      </c>
      <c r="O746">
        <v>87</v>
      </c>
      <c r="P746">
        <v>2548.45</v>
      </c>
      <c r="Q746" t="str">
        <v>160.32</v>
      </c>
      <c r="R746" t="str">
        <v/>
      </c>
      <c r="S746" t="str">
        <v/>
      </c>
      <c r="T746" t="str">
        <v/>
      </c>
      <c r="U746" t="str">
        <v/>
      </c>
    </row>
    <row r="747">
      <c r="A747" t="str">
        <v>746</v>
      </c>
      <c r="B747" t="str">
        <v>MASS BSF</v>
      </c>
      <c r="C747" t="str">
        <v>AAR-880</v>
      </c>
      <c r="D747" t="str">
        <v>AAR-880</v>
      </c>
      <c r="E747" t="str">
        <v/>
      </c>
      <c r="F747" t="str">
        <v>867806078847433</v>
      </c>
      <c r="G747" t="str">
        <v>Otro</v>
      </c>
      <c r="H747" t="str">
        <v/>
      </c>
      <c r="I747" t="str">
        <v>27/09/2026</v>
      </c>
      <c r="J747" t="str">
        <v>14:11:08</v>
      </c>
      <c r="K747">
        <v>-12.19195</v>
      </c>
      <c r="L747">
        <v>-76.93333</v>
      </c>
      <c r="M747">
        <f>HYPERLINK("https://www.google.com/maps/search/?api=1&amp;query=-12.19195,-76.93333","Avenida Jorge Chávez, Villa María del Triunfo, Lima")</f>
      </c>
      <c r="N747">
        <v>18.8</v>
      </c>
      <c r="O747">
        <v>87</v>
      </c>
      <c r="P747">
        <v>2548.47</v>
      </c>
      <c r="Q747" t="str">
        <v>160.32</v>
      </c>
      <c r="R747" t="str">
        <v/>
      </c>
      <c r="S747" t="str">
        <v/>
      </c>
      <c r="T747" t="str">
        <v/>
      </c>
      <c r="U747" t="str">
        <v/>
      </c>
    </row>
    <row r="748">
      <c r="A748" t="str">
        <v>747</v>
      </c>
      <c r="B748" t="str">
        <v>MASS BSF</v>
      </c>
      <c r="C748" t="str">
        <v>AAR-880</v>
      </c>
      <c r="D748" t="str">
        <v>AAR-880</v>
      </c>
      <c r="E748" t="str">
        <v/>
      </c>
      <c r="F748" t="str">
        <v>867806078847433</v>
      </c>
      <c r="G748" t="str">
        <v>Otro</v>
      </c>
      <c r="H748" t="str">
        <v/>
      </c>
      <c r="I748" t="str">
        <v>27/09/2026</v>
      </c>
      <c r="J748" t="str">
        <v>14:11:19</v>
      </c>
      <c r="K748">
        <v>-12.192368</v>
      </c>
      <c r="L748">
        <v>-76.932945</v>
      </c>
      <c r="M748">
        <f>HYPERLINK("https://www.google.com/maps/search/?api=1&amp;query=-12.192368,-76.932945","Avenida República, Villa María del Triunfo, Lima")</f>
      </c>
      <c r="N748">
        <v>20.3</v>
      </c>
      <c r="O748">
        <v>87</v>
      </c>
      <c r="P748">
        <v>2548.54</v>
      </c>
      <c r="Q748" t="str">
        <v>160.32</v>
      </c>
      <c r="R748" t="str">
        <v/>
      </c>
      <c r="S748" t="str">
        <v/>
      </c>
      <c r="T748" t="str">
        <v/>
      </c>
      <c r="U748" t="str">
        <v/>
      </c>
    </row>
    <row r="749">
      <c r="A749" t="str">
        <v>748</v>
      </c>
      <c r="B749" t="str">
        <v>MASS BSF</v>
      </c>
      <c r="C749" t="str">
        <v>AAR-880</v>
      </c>
      <c r="D749" t="str">
        <v>AAR-880</v>
      </c>
      <c r="E749" t="str">
        <v/>
      </c>
      <c r="F749" t="str">
        <v>867806078847433</v>
      </c>
      <c r="G749" t="str">
        <v>Otro</v>
      </c>
      <c r="H749" t="str">
        <v/>
      </c>
      <c r="I749" t="str">
        <v>27/09/2026</v>
      </c>
      <c r="J749" t="str">
        <v>14:11:25</v>
      </c>
      <c r="K749">
        <v>-12.192562</v>
      </c>
      <c r="L749">
        <v>-76.93269</v>
      </c>
      <c r="M749">
        <f>HYPERLINK("https://www.google.com/maps/search/?api=1&amp;query=-12.192562,-76.93269","Avenida República, Villa María del Triunfo, Lima")</f>
      </c>
      <c r="N749">
        <v>20.3</v>
      </c>
      <c r="O749">
        <v>94</v>
      </c>
      <c r="P749">
        <v>2548.57</v>
      </c>
      <c r="Q749" t="str">
        <v>160.32</v>
      </c>
      <c r="R749" t="str">
        <v/>
      </c>
      <c r="S749" t="str">
        <v/>
      </c>
      <c r="T749" t="str">
        <v/>
      </c>
      <c r="U749" t="str">
        <v/>
      </c>
    </row>
    <row r="750">
      <c r="A750" t="str">
        <v>749</v>
      </c>
      <c r="B750" t="str">
        <v>MASS BSF</v>
      </c>
      <c r="C750" t="str">
        <v>AAR-880</v>
      </c>
      <c r="D750" t="str">
        <v>AAR-880</v>
      </c>
      <c r="E750" t="str">
        <v/>
      </c>
      <c r="F750" t="str">
        <v>867806078847433</v>
      </c>
      <c r="G750" t="str">
        <v>Otro</v>
      </c>
      <c r="H750" t="str">
        <v/>
      </c>
      <c r="I750" t="str">
        <v>27/09/2026</v>
      </c>
      <c r="J750" t="str">
        <v>14:11:29</v>
      </c>
      <c r="K750">
        <v>-12.19263</v>
      </c>
      <c r="L750">
        <v>-76.932556</v>
      </c>
      <c r="M750">
        <f>HYPERLINK("https://www.google.com/maps/search/?api=1&amp;query=-12.19263,-76.932556","Avenida República, Villa María del Triunfo, Lima")</f>
      </c>
      <c r="N750">
        <v>19.6</v>
      </c>
      <c r="O750">
        <v>94</v>
      </c>
      <c r="P750">
        <v>2548.59</v>
      </c>
      <c r="Q750" t="str">
        <v>160.32</v>
      </c>
      <c r="R750" t="str">
        <v/>
      </c>
      <c r="S750" t="str">
        <v/>
      </c>
      <c r="T750" t="str">
        <v/>
      </c>
      <c r="U750" t="str">
        <v/>
      </c>
    </row>
    <row r="751">
      <c r="A751" t="str">
        <v>750</v>
      </c>
      <c r="B751" t="str">
        <v>MASS BSF</v>
      </c>
      <c r="C751" t="str">
        <v>AAR-880</v>
      </c>
      <c r="D751" t="str">
        <v>AAR-880</v>
      </c>
      <c r="E751" t="str">
        <v/>
      </c>
      <c r="F751" t="str">
        <v>867806078847433</v>
      </c>
      <c r="G751" t="str">
        <v>Otro</v>
      </c>
      <c r="H751" t="str">
        <v/>
      </c>
      <c r="I751" t="str">
        <v>27/09/2026</v>
      </c>
      <c r="J751" t="str">
        <v>14:11:32</v>
      </c>
      <c r="K751">
        <v>-12.192697</v>
      </c>
      <c r="L751">
        <v>-76.93239</v>
      </c>
      <c r="M751">
        <f>HYPERLINK("https://www.google.com/maps/search/?api=1&amp;query=-12.192697,-76.93239","Avenida República, Villa María del Triunfo, Lima")</f>
      </c>
      <c r="N751">
        <v>17.7</v>
      </c>
      <c r="O751">
        <v>94</v>
      </c>
      <c r="P751">
        <v>2548.6</v>
      </c>
      <c r="Q751" t="str">
        <v>160.32</v>
      </c>
      <c r="R751" t="str">
        <v/>
      </c>
      <c r="S751" t="str">
        <v/>
      </c>
      <c r="T751" t="str">
        <v/>
      </c>
      <c r="U751" t="str">
        <v/>
      </c>
    </row>
    <row r="752">
      <c r="A752" t="str">
        <v>751</v>
      </c>
      <c r="B752" t="str">
        <v>MASS BSF</v>
      </c>
      <c r="C752" t="str">
        <v>AAR-880</v>
      </c>
      <c r="D752" t="str">
        <v>AAR-880</v>
      </c>
      <c r="E752" t="str">
        <v/>
      </c>
      <c r="F752" t="str">
        <v>867806078847433</v>
      </c>
      <c r="G752" t="str">
        <v>Otro</v>
      </c>
      <c r="H752" t="str">
        <v/>
      </c>
      <c r="I752" t="str">
        <v>27/09/2026</v>
      </c>
      <c r="J752" t="str">
        <v>14:11:37</v>
      </c>
      <c r="K752">
        <v>-12.19273</v>
      </c>
      <c r="L752">
        <v>-76.93214</v>
      </c>
      <c r="M752">
        <f>HYPERLINK("https://www.google.com/maps/search/?api=1&amp;query=-12.19273,-76.93214","Avenida República, Villa María del Triunfo, Lima")</f>
      </c>
      <c r="N752">
        <v>22.9</v>
      </c>
      <c r="O752">
        <v>89</v>
      </c>
      <c r="P752">
        <v>2548.63</v>
      </c>
      <c r="Q752" t="str">
        <v>160.32</v>
      </c>
      <c r="R752" t="str">
        <v/>
      </c>
      <c r="S752" t="str">
        <v/>
      </c>
      <c r="T752" t="str">
        <v/>
      </c>
      <c r="U752" t="str">
        <v/>
      </c>
    </row>
    <row r="753">
      <c r="A753" t="str">
        <v>752</v>
      </c>
      <c r="B753" t="str">
        <v>MASS BSF</v>
      </c>
      <c r="C753" t="str">
        <v>AAR-880</v>
      </c>
      <c r="D753" t="str">
        <v>AAR-880</v>
      </c>
      <c r="E753" t="str">
        <v/>
      </c>
      <c r="F753" t="str">
        <v>867806078847433</v>
      </c>
      <c r="G753" t="str">
        <v>Otro</v>
      </c>
      <c r="H753" t="str">
        <v/>
      </c>
      <c r="I753" t="str">
        <v>27/09/2026</v>
      </c>
      <c r="J753" t="str">
        <v>14:11:45</v>
      </c>
      <c r="K753">
        <v>-12.19265</v>
      </c>
      <c r="L753">
        <v>-76.93168</v>
      </c>
      <c r="M753">
        <f>HYPERLINK("https://www.google.com/maps/search/?api=1&amp;query=-12.19265,-76.93168","Avenida República, Villa María del Triunfo, Lima")</f>
      </c>
      <c r="N753">
        <v>22.4</v>
      </c>
      <c r="O753">
        <v>89</v>
      </c>
      <c r="P753">
        <v>2548.68</v>
      </c>
      <c r="Q753" t="str">
        <v>160.32</v>
      </c>
      <c r="R753" t="str">
        <v/>
      </c>
      <c r="S753" t="str">
        <v/>
      </c>
      <c r="T753" t="str">
        <v/>
      </c>
      <c r="U753" t="str">
        <v/>
      </c>
    </row>
    <row r="754">
      <c r="A754" t="str">
        <v>753</v>
      </c>
      <c r="B754" t="str">
        <v>MASS BSF</v>
      </c>
      <c r="C754" t="str">
        <v>AAR-880</v>
      </c>
      <c r="D754" t="str">
        <v>AAR-880</v>
      </c>
      <c r="E754" t="str">
        <v/>
      </c>
      <c r="F754" t="str">
        <v>867806078847433</v>
      </c>
      <c r="G754" t="str">
        <v>Otro</v>
      </c>
      <c r="H754" t="str">
        <v/>
      </c>
      <c r="I754" t="str">
        <v>27/09/2026</v>
      </c>
      <c r="J754" t="str">
        <v>14:12:06</v>
      </c>
      <c r="K754">
        <v>-12.19244</v>
      </c>
      <c r="L754">
        <v>-76.930626</v>
      </c>
      <c r="M754">
        <f>HYPERLINK("https://www.google.com/maps/search/?api=1&amp;query=-12.19244,-76.930626","Avenida República, Villa María del Triunfo, Lima")</f>
      </c>
      <c r="N754">
        <v>16.4</v>
      </c>
      <c r="O754">
        <v>89</v>
      </c>
      <c r="P754">
        <v>2548.8</v>
      </c>
      <c r="Q754" t="str">
        <v>160.32</v>
      </c>
      <c r="R754" t="str">
        <v/>
      </c>
      <c r="S754" t="str">
        <v/>
      </c>
      <c r="T754" t="str">
        <v/>
      </c>
      <c r="U754" t="str">
        <v/>
      </c>
    </row>
    <row r="755">
      <c r="A755" t="str">
        <v>754</v>
      </c>
      <c r="B755" t="str">
        <v>MASS BSF</v>
      </c>
      <c r="C755" t="str">
        <v>AAR-880</v>
      </c>
      <c r="D755" t="str">
        <v>AAR-880</v>
      </c>
      <c r="E755" t="str">
        <v/>
      </c>
      <c r="F755" t="str">
        <v>867806078847433</v>
      </c>
      <c r="G755" t="str">
        <v>Otro</v>
      </c>
      <c r="H755" t="str">
        <v/>
      </c>
      <c r="I755" t="str">
        <v>27/09/2026</v>
      </c>
      <c r="J755" t="str">
        <v>14:12:56</v>
      </c>
      <c r="K755">
        <v>-12.191397</v>
      </c>
      <c r="L755">
        <v>-76.92826</v>
      </c>
      <c r="M755">
        <f>HYPERLINK("https://www.google.com/maps/search/?api=1&amp;query=-12.191397,-76.92826","Avenida República, Villa María del Triunfo, Lima")</f>
      </c>
      <c r="N755">
        <v>15</v>
      </c>
      <c r="O755">
        <v>89</v>
      </c>
      <c r="P755">
        <v>2549.07</v>
      </c>
      <c r="Q755" t="str">
        <v>160.32</v>
      </c>
      <c r="R755" t="str">
        <v/>
      </c>
      <c r="S755" t="str">
        <v/>
      </c>
      <c r="T755" t="str">
        <v/>
      </c>
      <c r="U755" t="str">
        <v/>
      </c>
    </row>
    <row r="756">
      <c r="A756" t="str">
        <v>755</v>
      </c>
      <c r="B756" t="str">
        <v>MASS BSF</v>
      </c>
      <c r="C756" t="str">
        <v>AAR-880</v>
      </c>
      <c r="D756" t="str">
        <v>AAR-880</v>
      </c>
      <c r="E756" t="str">
        <v/>
      </c>
      <c r="F756" t="str">
        <v>867806078847433</v>
      </c>
      <c r="G756" t="str">
        <v>Otro</v>
      </c>
      <c r="H756" t="str">
        <v/>
      </c>
      <c r="I756" t="str">
        <v>27/09/2026</v>
      </c>
      <c r="J756" t="str">
        <v>14:13:03</v>
      </c>
      <c r="K756">
        <v>-12.191408</v>
      </c>
      <c r="L756">
        <v>-76.92801</v>
      </c>
      <c r="M756">
        <f>HYPERLINK("https://www.google.com/maps/search/?api=1&amp;query=-12.191408,-76.92801","Avenida República, Villa María del Triunfo, Lima")</f>
      </c>
      <c r="N756">
        <v>16.8</v>
      </c>
      <c r="O756">
        <v>87</v>
      </c>
      <c r="P756">
        <v>2549.1</v>
      </c>
      <c r="Q756" t="str">
        <v>160.32</v>
      </c>
      <c r="R756" t="str">
        <v/>
      </c>
      <c r="S756" t="str">
        <v/>
      </c>
      <c r="T756" t="str">
        <v/>
      </c>
      <c r="U756" t="str">
        <v/>
      </c>
    </row>
    <row r="757">
      <c r="A757" t="str">
        <v>756</v>
      </c>
      <c r="B757" t="str">
        <v>MASS BSF</v>
      </c>
      <c r="C757" t="str">
        <v>AAR-880</v>
      </c>
      <c r="D757" t="str">
        <v>AAR-880</v>
      </c>
      <c r="E757" t="str">
        <v/>
      </c>
      <c r="F757" t="str">
        <v>867806078847433</v>
      </c>
      <c r="G757" t="str">
        <v>Otro</v>
      </c>
      <c r="H757" t="str">
        <v/>
      </c>
      <c r="I757" t="str">
        <v>27/09/2026</v>
      </c>
      <c r="J757" t="str">
        <v>14:13:27</v>
      </c>
      <c r="K757">
        <v>-12.191055</v>
      </c>
      <c r="L757">
        <v>-76.92723</v>
      </c>
      <c r="M757">
        <f>HYPERLINK("https://www.google.com/maps/search/?api=1&amp;query=-12.191055,-76.92723","Avenida Guillermo Billinghurst, Villa María del Triunfo, Lima")</f>
      </c>
      <c r="N757">
        <v>10</v>
      </c>
      <c r="O757">
        <v>87</v>
      </c>
      <c r="P757">
        <v>2549.19</v>
      </c>
      <c r="Q757" t="str">
        <v>160.32</v>
      </c>
      <c r="R757" t="str">
        <v/>
      </c>
      <c r="S757" t="str">
        <v/>
      </c>
      <c r="T757" t="str">
        <v/>
      </c>
      <c r="U757" t="str">
        <v/>
      </c>
    </row>
    <row r="758">
      <c r="A758" t="str">
        <v>757</v>
      </c>
      <c r="B758" t="str">
        <v>MASS BSF</v>
      </c>
      <c r="C758" t="str">
        <v>AAR-880</v>
      </c>
      <c r="D758" t="str">
        <v>AAR-880</v>
      </c>
      <c r="E758" t="str">
        <v/>
      </c>
      <c r="F758" t="str">
        <v>867806078847433</v>
      </c>
      <c r="G758" t="str">
        <v>Otro</v>
      </c>
      <c r="H758" t="str">
        <v/>
      </c>
      <c r="I758" t="str">
        <v>27/09/2026</v>
      </c>
      <c r="J758" t="str">
        <v>14:13:32</v>
      </c>
      <c r="K758">
        <v>-12.191162</v>
      </c>
      <c r="L758">
        <v>-76.927155</v>
      </c>
      <c r="M758">
        <f>HYPERLINK("https://www.google.com/maps/search/?api=1&amp;query=-12.191162,-76.927155","Avenida Guillermo Billinghurst, Villa María del Triunfo, Lima")</f>
      </c>
      <c r="N758">
        <v>11.4</v>
      </c>
      <c r="O758">
        <v>87</v>
      </c>
      <c r="P758">
        <v>2549.21</v>
      </c>
      <c r="Q758" t="str">
        <v>160.32</v>
      </c>
      <c r="R758" t="str">
        <v/>
      </c>
      <c r="S758" t="str">
        <v/>
      </c>
      <c r="T758" t="str">
        <v/>
      </c>
      <c r="U758" t="str">
        <v/>
      </c>
    </row>
    <row r="759">
      <c r="A759" t="str">
        <v>758</v>
      </c>
      <c r="B759" t="str">
        <v>MASS BSF</v>
      </c>
      <c r="C759" t="str">
        <v>AAR-880</v>
      </c>
      <c r="D759" t="str">
        <v>AAR-880</v>
      </c>
      <c r="E759" t="str">
        <v/>
      </c>
      <c r="F759" t="str">
        <v>867806078847433</v>
      </c>
      <c r="G759" t="str">
        <v>Otro</v>
      </c>
      <c r="H759" t="str">
        <v/>
      </c>
      <c r="I759" t="str">
        <v>27/09/2026</v>
      </c>
      <c r="J759" t="str">
        <v>14:13:37</v>
      </c>
      <c r="K759">
        <v>-12.191255</v>
      </c>
      <c r="L759">
        <v>-76.927124</v>
      </c>
      <c r="M759">
        <f>HYPERLINK("https://www.google.com/maps/search/?api=1&amp;query=-12.191255,-76.927124","Avenida Guillermo Billinghurst, Villa María del Triunfo, Lima")</f>
      </c>
      <c r="N759">
        <v>8.1</v>
      </c>
      <c r="O759">
        <v>87</v>
      </c>
      <c r="P759">
        <v>2549.22</v>
      </c>
      <c r="Q759" t="str">
        <v>160.32</v>
      </c>
      <c r="R759" t="str">
        <v/>
      </c>
      <c r="S759" t="str">
        <v/>
      </c>
      <c r="T759" t="str">
        <v/>
      </c>
      <c r="U759" t="str">
        <v/>
      </c>
    </row>
    <row r="760">
      <c r="A760" t="str">
        <v>759</v>
      </c>
      <c r="B760" t="str">
        <v>MASS BSF</v>
      </c>
      <c r="C760" t="str">
        <v>AAR-880</v>
      </c>
      <c r="D760" t="str">
        <v>AAR-880</v>
      </c>
      <c r="E760" t="str">
        <v/>
      </c>
      <c r="F760" t="str">
        <v>867806078847433</v>
      </c>
      <c r="G760" t="str">
        <v>Otro</v>
      </c>
      <c r="H760" t="str">
        <v/>
      </c>
      <c r="I760" t="str">
        <v>27/09/2026</v>
      </c>
      <c r="J760" t="str">
        <v>14:14:10</v>
      </c>
      <c r="K760">
        <v>-12.192485</v>
      </c>
      <c r="L760">
        <v>-76.92656</v>
      </c>
      <c r="M760">
        <f>HYPERLINK("https://www.google.com/maps/search/?api=1&amp;query=-12.192485,-76.92656","Avenida Guillermo Billinghurst, Villa María del Triunfo, Lima")</f>
      </c>
      <c r="N760">
        <v>11.1</v>
      </c>
      <c r="O760">
        <v>89</v>
      </c>
      <c r="P760">
        <v>2549.36</v>
      </c>
      <c r="Q760" t="str">
        <v>160.32</v>
      </c>
      <c r="R760" t="str">
        <v/>
      </c>
      <c r="S760" t="str">
        <v/>
      </c>
      <c r="T760" t="str">
        <v/>
      </c>
      <c r="U760" t="str">
        <v/>
      </c>
    </row>
    <row r="761">
      <c r="A761" t="str">
        <v>760</v>
      </c>
      <c r="B761" t="str">
        <v>MASS BSF</v>
      </c>
      <c r="C761" t="str">
        <v>AAR-880</v>
      </c>
      <c r="D761" t="str">
        <v>AAR-880</v>
      </c>
      <c r="E761" t="str">
        <v/>
      </c>
      <c r="F761" t="str">
        <v>867806078847433</v>
      </c>
      <c r="G761" t="str">
        <v>Otro</v>
      </c>
      <c r="H761" t="str">
        <v/>
      </c>
      <c r="I761" t="str">
        <v>27/09/2026</v>
      </c>
      <c r="J761" t="str">
        <v>14:14:15</v>
      </c>
      <c r="K761">
        <v>-12.19262</v>
      </c>
      <c r="L761">
        <v>-76.92668</v>
      </c>
      <c r="M761">
        <f>HYPERLINK("https://www.google.com/maps/search/?api=1&amp;query=-12.19262,-76.92668","Avenida Flora Tristán, Villa María del Triunfo, Lima")</f>
      </c>
      <c r="N761">
        <v>19.8</v>
      </c>
      <c r="O761">
        <v>89</v>
      </c>
      <c r="P761">
        <v>2549.38</v>
      </c>
      <c r="Q761" t="str">
        <v>160.32</v>
      </c>
      <c r="R761" t="str">
        <v/>
      </c>
      <c r="S761" t="str">
        <v/>
      </c>
      <c r="T761" t="str">
        <v/>
      </c>
      <c r="U761" t="str">
        <v/>
      </c>
    </row>
    <row r="762">
      <c r="A762" t="str">
        <v>761</v>
      </c>
      <c r="B762" t="str">
        <v>MASS BSF</v>
      </c>
      <c r="C762" t="str">
        <v>AAR-880</v>
      </c>
      <c r="D762" t="str">
        <v>AAR-880</v>
      </c>
      <c r="E762" t="str">
        <v/>
      </c>
      <c r="F762" t="str">
        <v>867806078847433</v>
      </c>
      <c r="G762" t="str">
        <v>Otro</v>
      </c>
      <c r="H762" t="str">
        <v/>
      </c>
      <c r="I762" t="str">
        <v>27/09/2026</v>
      </c>
      <c r="J762" t="str">
        <v>14:14:29</v>
      </c>
      <c r="K762">
        <v>-12.192875</v>
      </c>
      <c r="L762">
        <v>-76.92717</v>
      </c>
      <c r="M762">
        <f>HYPERLINK("https://www.google.com/maps/search/?api=1&amp;query=-12.192875,-76.92717","Avenida Flora Tristán, Villa María del Triunfo, Lima")</f>
      </c>
      <c r="N762">
        <v>5.5</v>
      </c>
      <c r="O762">
        <v>89</v>
      </c>
      <c r="P762">
        <v>2549.44</v>
      </c>
      <c r="Q762" t="str">
        <v>160.32</v>
      </c>
      <c r="R762" t="str">
        <v/>
      </c>
      <c r="S762" t="str">
        <v/>
      </c>
      <c r="T762" t="str">
        <v/>
      </c>
      <c r="U762" t="str">
        <v/>
      </c>
    </row>
    <row r="763">
      <c r="A763" t="str">
        <v>762</v>
      </c>
      <c r="B763" t="str">
        <v>MASS BSF</v>
      </c>
      <c r="C763" t="str">
        <v>AAR-880</v>
      </c>
      <c r="D763" t="str">
        <v>AAR-880</v>
      </c>
      <c r="E763" t="str">
        <v/>
      </c>
      <c r="F763" t="str">
        <v>867806078847433</v>
      </c>
      <c r="G763" t="str">
        <v>Otro</v>
      </c>
      <c r="H763" t="str">
        <v/>
      </c>
      <c r="I763" t="str">
        <v>27/09/2026</v>
      </c>
      <c r="J763" t="str">
        <v>14:14:39</v>
      </c>
      <c r="K763">
        <v>-12.193038</v>
      </c>
      <c r="L763">
        <v>-76.92746</v>
      </c>
      <c r="M763">
        <f>HYPERLINK("https://www.google.com/maps/search/?api=1&amp;query=-12.193038,-76.92746","Jirón Ramón Castilla, Villa María del Triunfo, Lima")</f>
      </c>
      <c r="N763">
        <v>13.7</v>
      </c>
      <c r="O763">
        <v>92</v>
      </c>
      <c r="P763">
        <v>2549.48</v>
      </c>
      <c r="Q763" t="str">
        <v>160.32</v>
      </c>
      <c r="R763" t="str">
        <v/>
      </c>
      <c r="S763" t="str">
        <v/>
      </c>
      <c r="T763" t="str">
        <v/>
      </c>
      <c r="U763" t="str">
        <v/>
      </c>
    </row>
    <row r="764">
      <c r="A764" t="str">
        <v>763</v>
      </c>
      <c r="B764" t="str">
        <v>MASS BSF</v>
      </c>
      <c r="C764" t="str">
        <v>AAR-880</v>
      </c>
      <c r="D764" t="str">
        <v>AAR-880</v>
      </c>
      <c r="E764" t="str">
        <v/>
      </c>
      <c r="F764" t="str">
        <v>867806078847433</v>
      </c>
      <c r="G764" t="str">
        <v>Otro</v>
      </c>
      <c r="H764" t="str">
        <v/>
      </c>
      <c r="I764" t="str">
        <v>27/09/2026</v>
      </c>
      <c r="J764" t="str">
        <v>14:14:44</v>
      </c>
      <c r="K764">
        <v>-12.193193</v>
      </c>
      <c r="L764">
        <v>-76.927414</v>
      </c>
      <c r="M764">
        <f>HYPERLINK("https://www.google.com/maps/search/?api=1&amp;query=-12.193193,-76.927414","Jirón Ramón Castilla, Villa María del Triunfo, Lima")</f>
      </c>
      <c r="N764">
        <v>13.8</v>
      </c>
      <c r="O764">
        <v>92</v>
      </c>
      <c r="P764">
        <v>2549.5</v>
      </c>
      <c r="Q764" t="str">
        <v>160.32</v>
      </c>
      <c r="R764" t="str">
        <v/>
      </c>
      <c r="S764" t="str">
        <v/>
      </c>
      <c r="T764" t="str">
        <v/>
      </c>
      <c r="U764" t="str">
        <v/>
      </c>
    </row>
    <row r="765">
      <c r="A765" t="str">
        <v>764</v>
      </c>
      <c r="B765" t="str">
        <v>MASS BSF</v>
      </c>
      <c r="C765" t="str">
        <v>AAR-880</v>
      </c>
      <c r="D765" t="str">
        <v>AAR-880</v>
      </c>
      <c r="E765" t="str">
        <v/>
      </c>
      <c r="F765" t="str">
        <v>867806078847433</v>
      </c>
      <c r="G765" t="str">
        <v>Otro</v>
      </c>
      <c r="H765" t="str">
        <v/>
      </c>
      <c r="I765" t="str">
        <v>27/09/2026</v>
      </c>
      <c r="J765" t="str">
        <v>14:14:49</v>
      </c>
      <c r="K765">
        <v>-12.193341</v>
      </c>
      <c r="L765">
        <v>-76.927345</v>
      </c>
      <c r="M765">
        <f>HYPERLINK("https://www.google.com/maps/search/?api=1&amp;query=-12.193341,-76.927345","Jirón Ramón Castilla, Villa María del Triunfo, Lima")</f>
      </c>
      <c r="N765">
        <v>10.7</v>
      </c>
      <c r="O765">
        <v>92</v>
      </c>
      <c r="P765">
        <v>2549.52</v>
      </c>
      <c r="Q765" t="str">
        <v>160.32</v>
      </c>
      <c r="R765" t="str">
        <v/>
      </c>
      <c r="S765" t="str">
        <v/>
      </c>
      <c r="T765" t="str">
        <v/>
      </c>
      <c r="U765" t="str">
        <v/>
      </c>
    </row>
    <row r="766">
      <c r="A766" t="str">
        <v>765</v>
      </c>
      <c r="B766" t="str">
        <v>MASS BSF</v>
      </c>
      <c r="C766" t="str">
        <v>AAR-880</v>
      </c>
      <c r="D766" t="str">
        <v>AAR-880</v>
      </c>
      <c r="E766" t="str">
        <v/>
      </c>
      <c r="F766" t="str">
        <v>867806078847433</v>
      </c>
      <c r="G766" t="str">
        <v>Otro</v>
      </c>
      <c r="H766" t="str">
        <v/>
      </c>
      <c r="I766" t="str">
        <v>27/09/2026</v>
      </c>
      <c r="J766" t="str">
        <v>14:15:25</v>
      </c>
      <c r="K766">
        <v>-12.193461</v>
      </c>
      <c r="L766">
        <v>-76.92728</v>
      </c>
      <c r="M766">
        <f>HYPERLINK("https://www.google.com/maps/search/?api=1&amp;query=-12.193461,-76.92728","Jirón Ramón Castilla, Villa María del Triunfo, Lima")</f>
      </c>
      <c r="N766">
        <v>6.2</v>
      </c>
      <c r="O766">
        <v>92</v>
      </c>
      <c r="P766">
        <v>2549.53</v>
      </c>
      <c r="Q766" t="str">
        <v>160.32</v>
      </c>
      <c r="R766" t="str">
        <v/>
      </c>
      <c r="S766" t="str">
        <v/>
      </c>
      <c r="T766" t="str">
        <v/>
      </c>
      <c r="U766" t="str">
        <v/>
      </c>
    </row>
    <row r="767">
      <c r="A767" t="str">
        <v>766</v>
      </c>
      <c r="B767" t="str">
        <v>MASS BSF</v>
      </c>
      <c r="C767" t="str">
        <v>AAR-880</v>
      </c>
      <c r="D767" t="str">
        <v>AAR-880</v>
      </c>
      <c r="E767" t="str">
        <v/>
      </c>
      <c r="F767" t="str">
        <v>867806078847433</v>
      </c>
      <c r="G767" t="str">
        <v>Otro</v>
      </c>
      <c r="H767" t="str">
        <v/>
      </c>
      <c r="I767" t="str">
        <v>27/09/2026</v>
      </c>
      <c r="J767" t="str">
        <v>14:15:30</v>
      </c>
      <c r="K767">
        <v>-12.193542</v>
      </c>
      <c r="L767">
        <v>-76.92724</v>
      </c>
      <c r="M767">
        <f>HYPERLINK("https://www.google.com/maps/search/?api=1&amp;query=-12.193542,-76.92724","Jirón Ramón Castilla, Villa María del Triunfo, Lima")</f>
      </c>
      <c r="N767">
        <v>6.4</v>
      </c>
      <c r="O767">
        <v>92</v>
      </c>
      <c r="P767">
        <v>2549.54</v>
      </c>
      <c r="Q767" t="str">
        <v>160.32</v>
      </c>
      <c r="R767" t="str">
        <v/>
      </c>
      <c r="S767" t="str">
        <v/>
      </c>
      <c r="T767" t="str">
        <v/>
      </c>
      <c r="U767" t="str">
        <v/>
      </c>
    </row>
    <row r="768">
      <c r="A768" t="str">
        <v>767</v>
      </c>
      <c r="B768" t="str">
        <v>MASS BSF</v>
      </c>
      <c r="C768" t="str">
        <v>AAR-880</v>
      </c>
      <c r="D768" t="str">
        <v>AAR-880</v>
      </c>
      <c r="E768" t="str">
        <v/>
      </c>
      <c r="F768" t="str">
        <v>867806078847433</v>
      </c>
      <c r="G768" t="str">
        <v>Otro</v>
      </c>
      <c r="H768" t="str">
        <v/>
      </c>
      <c r="I768" t="str">
        <v>27/09/2026</v>
      </c>
      <c r="J768" t="str">
        <v>14:16:00</v>
      </c>
      <c r="K768">
        <v>-12.19366</v>
      </c>
      <c r="L768">
        <v>-76.92719</v>
      </c>
      <c r="M768">
        <f>HYPERLINK("https://www.google.com/maps/search/?api=1&amp;query=-12.19366,-76.92719","Jirón Ramón Castilla, Villa María del Triunfo, Lima")</f>
      </c>
      <c r="N768">
        <v>6.1</v>
      </c>
      <c r="O768">
        <v>92</v>
      </c>
      <c r="P768">
        <v>2549.55</v>
      </c>
      <c r="Q768" t="str">
        <v>160.32</v>
      </c>
      <c r="R768" t="str">
        <v/>
      </c>
      <c r="S768" t="str">
        <v/>
      </c>
      <c r="T768" t="str">
        <v/>
      </c>
      <c r="U768" t="str">
        <v/>
      </c>
    </row>
    <row r="769">
      <c r="A769" t="str">
        <v>768</v>
      </c>
      <c r="B769" t="str">
        <v>MASS BSF</v>
      </c>
      <c r="C769" t="str">
        <v>AAR-880</v>
      </c>
      <c r="D769" t="str">
        <v>AAR-880</v>
      </c>
      <c r="E769" t="str">
        <v/>
      </c>
      <c r="F769" t="str">
        <v>867806078847433</v>
      </c>
      <c r="G769" t="str">
        <v>Otro</v>
      </c>
      <c r="H769" t="str">
        <v/>
      </c>
      <c r="I769" t="str">
        <v>27/09/2026</v>
      </c>
      <c r="J769" t="str">
        <v>14:16:05</v>
      </c>
      <c r="K769">
        <v>-12.193646</v>
      </c>
      <c r="L769">
        <v>-76.927086</v>
      </c>
      <c r="M769">
        <f>HYPERLINK("https://www.google.com/maps/search/?api=1&amp;query=-12.193646,-76.927086","Avenida La Mariscala, Villa María del Triunfo, Lima")</f>
      </c>
      <c r="N769">
        <v>9.4</v>
      </c>
      <c r="O769">
        <v>92</v>
      </c>
      <c r="P769">
        <v>2549.57</v>
      </c>
      <c r="Q769" t="str">
        <v>160.32</v>
      </c>
      <c r="R769" t="str">
        <v/>
      </c>
      <c r="S769" t="str">
        <v/>
      </c>
      <c r="T769" t="str">
        <v/>
      </c>
      <c r="U769" t="str">
        <v/>
      </c>
    </row>
    <row r="770">
      <c r="A770" t="str">
        <v>769</v>
      </c>
      <c r="B770" t="str">
        <v>MASS BSF</v>
      </c>
      <c r="C770" t="str">
        <v>AAR-880</v>
      </c>
      <c r="D770" t="str">
        <v>AAR-880</v>
      </c>
      <c r="E770" t="str">
        <v/>
      </c>
      <c r="F770" t="str">
        <v>867806078847433</v>
      </c>
      <c r="G770" t="str">
        <v>Otro</v>
      </c>
      <c r="H770" t="str">
        <v/>
      </c>
      <c r="I770" t="str">
        <v>27/09/2026</v>
      </c>
      <c r="J770" t="str">
        <v>14:16:37</v>
      </c>
      <c r="K770">
        <v>-12.19293</v>
      </c>
      <c r="L770">
        <v>-76.925865</v>
      </c>
      <c r="M770">
        <f>HYPERLINK("https://www.google.com/maps/search/?api=1&amp;query=-12.19293,-76.925865","Avenida La Mariscala, Villa María del Triunfo, Lima")</f>
      </c>
      <c r="N770">
        <v>10</v>
      </c>
      <c r="O770">
        <v>92</v>
      </c>
      <c r="P770">
        <v>2549.72</v>
      </c>
      <c r="Q770" t="str">
        <v>160.32</v>
      </c>
      <c r="R770" t="str">
        <v/>
      </c>
      <c r="S770" t="str">
        <v/>
      </c>
      <c r="T770" t="str">
        <v/>
      </c>
      <c r="U770" t="str">
        <v/>
      </c>
    </row>
    <row r="771">
      <c r="A771" t="str">
        <v>770</v>
      </c>
      <c r="B771" t="str">
        <v>MASS BSF</v>
      </c>
      <c r="C771" t="str">
        <v>AAR-880</v>
      </c>
      <c r="D771" t="str">
        <v>AAR-880</v>
      </c>
      <c r="E771" t="str">
        <v/>
      </c>
      <c r="F771" t="str">
        <v>867806078847433</v>
      </c>
      <c r="G771" t="str">
        <v>Otro</v>
      </c>
      <c r="H771" t="str">
        <v/>
      </c>
      <c r="I771" t="str">
        <v>27/09/2026</v>
      </c>
      <c r="J771" t="str">
        <v>14:16:42</v>
      </c>
      <c r="K771">
        <v>-12.19294</v>
      </c>
      <c r="L771">
        <v>-76.92579</v>
      </c>
      <c r="M771">
        <f>HYPERLINK("https://www.google.com/maps/search/?api=1&amp;query=-12.19294,-76.92579","Jirón Arica, Villa María del Triunfo, Lima")</f>
      </c>
      <c r="N771">
        <v>9.6</v>
      </c>
      <c r="O771">
        <v>92</v>
      </c>
      <c r="P771">
        <v>2549.72</v>
      </c>
      <c r="Q771" t="str">
        <v>160.32</v>
      </c>
      <c r="R771" t="str">
        <v/>
      </c>
      <c r="S771" t="str">
        <v/>
      </c>
      <c r="T771" t="str">
        <v/>
      </c>
      <c r="U771" t="str">
        <v/>
      </c>
    </row>
    <row r="772">
      <c r="A772" t="str">
        <v>771</v>
      </c>
      <c r="B772" t="str">
        <v>MASS BSF</v>
      </c>
      <c r="C772" t="str">
        <v>AAR-880</v>
      </c>
      <c r="D772" t="str">
        <v>AAR-880</v>
      </c>
      <c r="E772" t="str">
        <v/>
      </c>
      <c r="F772" t="str">
        <v>867806078847433</v>
      </c>
      <c r="G772" t="str">
        <v>Otro</v>
      </c>
      <c r="H772" t="str">
        <v/>
      </c>
      <c r="I772" t="str">
        <v>27/09/2026</v>
      </c>
      <c r="J772" t="str">
        <v>14:16:47</v>
      </c>
      <c r="K772">
        <v>-12.193105</v>
      </c>
      <c r="L772">
        <v>-76.9257</v>
      </c>
      <c r="M772">
        <f>HYPERLINK("https://www.google.com/maps/search/?api=1&amp;query=-12.193105,-76.9257","Jirón Arica, Villa María del Triunfo, Lima")</f>
      </c>
      <c r="N772">
        <v>16.1</v>
      </c>
      <c r="O772">
        <v>92</v>
      </c>
      <c r="P772">
        <v>2549.75</v>
      </c>
      <c r="Q772" t="str">
        <v>160.32</v>
      </c>
      <c r="R772" t="str">
        <v/>
      </c>
      <c r="S772" t="str">
        <v/>
      </c>
      <c r="T772" t="str">
        <v/>
      </c>
      <c r="U772" t="str">
        <v/>
      </c>
    </row>
    <row r="773">
      <c r="A773" t="str">
        <v>772</v>
      </c>
      <c r="B773" t="str">
        <v>MASS BSF</v>
      </c>
      <c r="C773" t="str">
        <v>AAR-880</v>
      </c>
      <c r="D773" t="str">
        <v>AAR-880</v>
      </c>
      <c r="E773" t="str">
        <v/>
      </c>
      <c r="F773" t="str">
        <v>867806078847433</v>
      </c>
      <c r="G773" t="str">
        <v>Otro</v>
      </c>
      <c r="H773" t="str">
        <v/>
      </c>
      <c r="I773" t="str">
        <v>27/09/2026</v>
      </c>
      <c r="J773" t="str">
        <v>14:17:04</v>
      </c>
      <c r="K773">
        <v>-12.193472</v>
      </c>
      <c r="L773">
        <v>-76.92548</v>
      </c>
      <c r="M773">
        <f>HYPERLINK("https://www.google.com/maps/search/?api=1&amp;query=-12.193472,-76.92548","Jirón Arica, Villa María del Triunfo, Lima")</f>
      </c>
      <c r="N773">
        <v>8.8</v>
      </c>
      <c r="O773">
        <v>92</v>
      </c>
      <c r="P773">
        <v>2549.79</v>
      </c>
      <c r="Q773" t="str">
        <v>160.32</v>
      </c>
      <c r="R773" t="str">
        <v/>
      </c>
      <c r="S773" t="str">
        <v/>
      </c>
      <c r="T773" t="str">
        <v/>
      </c>
      <c r="U773" t="str">
        <v/>
      </c>
    </row>
    <row r="774">
      <c r="A774" t="str">
        <v>773</v>
      </c>
      <c r="B774" t="str">
        <v>MASS BSF</v>
      </c>
      <c r="C774" t="str">
        <v>AAR-880</v>
      </c>
      <c r="D774" t="str">
        <v>AAR-880</v>
      </c>
      <c r="E774" t="str">
        <v/>
      </c>
      <c r="F774" t="str">
        <v>867806078847433</v>
      </c>
      <c r="G774" t="str">
        <v>Otro</v>
      </c>
      <c r="H774" t="str">
        <v/>
      </c>
      <c r="I774" t="str">
        <v>27/09/2026</v>
      </c>
      <c r="J774" t="str">
        <v>14:17:09</v>
      </c>
      <c r="K774">
        <v>-12.19348</v>
      </c>
      <c r="L774">
        <v>-76.92536</v>
      </c>
      <c r="M774">
        <f>HYPERLINK("https://www.google.com/maps/search/?api=1&amp;query=-12.19348,-76.92536","Avenida Mariscal José La Mar, Villa María del Triunfo, Lima")</f>
      </c>
      <c r="N774">
        <v>13.1</v>
      </c>
      <c r="O774">
        <v>92</v>
      </c>
      <c r="P774">
        <v>2549.8</v>
      </c>
      <c r="Q774" t="str">
        <v>160.32</v>
      </c>
      <c r="R774" t="str">
        <v/>
      </c>
      <c r="S774" t="str">
        <v/>
      </c>
      <c r="T774" t="str">
        <v/>
      </c>
      <c r="U774" t="str">
        <v/>
      </c>
    </row>
    <row r="775">
      <c r="A775" t="str">
        <v>774</v>
      </c>
      <c r="B775" t="str">
        <v>MASS BSF</v>
      </c>
      <c r="C775" t="str">
        <v>AAR-880</v>
      </c>
      <c r="D775" t="str">
        <v>AAR-880</v>
      </c>
      <c r="E775" t="str">
        <v/>
      </c>
      <c r="F775" t="str">
        <v>867806078847433</v>
      </c>
      <c r="G775" t="str">
        <v>Otro</v>
      </c>
      <c r="H775" t="str">
        <v/>
      </c>
      <c r="I775" t="str">
        <v>27/09/2026</v>
      </c>
      <c r="J775" t="str">
        <v>14:17:34</v>
      </c>
      <c r="K775">
        <v>-12.19277</v>
      </c>
      <c r="L775">
        <v>-76.92425</v>
      </c>
      <c r="M775">
        <f>HYPERLINK("https://www.google.com/maps/search/?api=1&amp;query=-12.19277,-76.92425","Avenida Mariscal José La Mar, Villa María del Triunfo, Lima")</f>
      </c>
      <c r="N775">
        <v>18.5</v>
      </c>
      <c r="O775">
        <v>88</v>
      </c>
      <c r="P775">
        <v>2549.95</v>
      </c>
      <c r="Q775" t="str">
        <v>160.32</v>
      </c>
      <c r="R775" t="str">
        <v/>
      </c>
      <c r="S775" t="str">
        <v/>
      </c>
      <c r="T775" t="str">
        <v/>
      </c>
      <c r="U775" t="str">
        <v/>
      </c>
    </row>
    <row r="776">
      <c r="A776" t="str">
        <v>775</v>
      </c>
      <c r="B776" t="str">
        <v>MASS BSF</v>
      </c>
      <c r="C776" t="str">
        <v>AAR-880</v>
      </c>
      <c r="D776" t="str">
        <v>AAR-880</v>
      </c>
      <c r="E776" t="str">
        <v/>
      </c>
      <c r="F776" t="str">
        <v>867806078847433</v>
      </c>
      <c r="G776" t="str">
        <v>Otro</v>
      </c>
      <c r="H776" t="str">
        <v/>
      </c>
      <c r="I776" t="str">
        <v>27/09/2026</v>
      </c>
      <c r="J776" t="str">
        <v>14:17:39</v>
      </c>
      <c r="K776">
        <v>-12.192698</v>
      </c>
      <c r="L776">
        <v>-76.92411</v>
      </c>
      <c r="M776">
        <f>HYPERLINK("https://www.google.com/maps/search/?api=1&amp;query=-12.192698,-76.92411","Jirón Lima, Villa María del Triunfo")</f>
      </c>
      <c r="N776">
        <v>10</v>
      </c>
      <c r="O776">
        <v>88</v>
      </c>
      <c r="P776">
        <v>2549.96</v>
      </c>
      <c r="Q776" t="str">
        <v>160.32</v>
      </c>
      <c r="R776" t="str">
        <v/>
      </c>
      <c r="S776" t="str">
        <v/>
      </c>
      <c r="T776" t="str">
        <v/>
      </c>
      <c r="U776" t="str">
        <v/>
      </c>
    </row>
    <row r="777">
      <c r="A777" t="str">
        <v>776</v>
      </c>
      <c r="B777" t="str">
        <v>MASS BSF</v>
      </c>
      <c r="C777" t="str">
        <v>AAR-880</v>
      </c>
      <c r="D777" t="str">
        <v>AAR-880</v>
      </c>
      <c r="E777" t="str">
        <v/>
      </c>
      <c r="F777" t="str">
        <v>867806078847433</v>
      </c>
      <c r="G777" t="str">
        <v>Otro</v>
      </c>
      <c r="H777" t="str">
        <v/>
      </c>
      <c r="I777" t="str">
        <v>27/09/2026</v>
      </c>
      <c r="J777" t="str">
        <v>14:17:45</v>
      </c>
      <c r="K777">
        <v>-12.192775</v>
      </c>
      <c r="L777">
        <v>-76.92405</v>
      </c>
      <c r="M777">
        <f>HYPERLINK("https://www.google.com/maps/search/?api=1&amp;query=-12.192775,-76.92405","Jirón Lima, Villa María del Triunfo")</f>
      </c>
      <c r="N777">
        <v>5.9</v>
      </c>
      <c r="O777">
        <v>88</v>
      </c>
      <c r="P777">
        <v>2549.97</v>
      </c>
      <c r="Q777" t="str">
        <v>160.32</v>
      </c>
      <c r="R777" t="str">
        <v/>
      </c>
      <c r="S777" t="str">
        <v/>
      </c>
      <c r="T777" t="str">
        <v/>
      </c>
      <c r="U777" t="str">
        <v/>
      </c>
    </row>
    <row r="778">
      <c r="A778" t="str">
        <v>777</v>
      </c>
      <c r="B778" t="str">
        <v>MASS BSF</v>
      </c>
      <c r="C778" t="str">
        <v>AAR-880</v>
      </c>
      <c r="D778" t="str">
        <v>AAR-880</v>
      </c>
      <c r="E778" t="str">
        <v/>
      </c>
      <c r="F778" t="str">
        <v>867806078847433</v>
      </c>
      <c r="G778" t="str">
        <v>Otro</v>
      </c>
      <c r="H778" t="str">
        <v/>
      </c>
      <c r="I778" t="str">
        <v>27/09/2026</v>
      </c>
      <c r="J778" t="str">
        <v>14:17:51</v>
      </c>
      <c r="K778">
        <v>-12.192915</v>
      </c>
      <c r="L778">
        <v>-76.923965</v>
      </c>
      <c r="M778">
        <f>HYPERLINK("https://www.google.com/maps/search/?api=1&amp;query=-12.192915,-76.923965","Jirón Lima, Villa María del Triunfo")</f>
      </c>
      <c r="N778">
        <v>14.6</v>
      </c>
      <c r="O778">
        <v>88</v>
      </c>
      <c r="P778">
        <v>2549.99</v>
      </c>
      <c r="Q778" t="str">
        <v>160.32</v>
      </c>
      <c r="R778" t="str">
        <v/>
      </c>
      <c r="S778" t="str">
        <v/>
      </c>
      <c r="T778" t="str">
        <v/>
      </c>
      <c r="U778" t="str">
        <v/>
      </c>
    </row>
    <row r="779">
      <c r="A779" t="str">
        <v>778</v>
      </c>
      <c r="B779" t="str">
        <v>MASS BSF</v>
      </c>
      <c r="C779" t="str">
        <v>AAR-880</v>
      </c>
      <c r="D779" t="str">
        <v>AAR-880</v>
      </c>
      <c r="E779" t="str">
        <v/>
      </c>
      <c r="F779" t="str">
        <v>867806078847433</v>
      </c>
      <c r="G779" t="str">
        <v>Otro</v>
      </c>
      <c r="H779" t="str">
        <v/>
      </c>
      <c r="I779" t="str">
        <v>27/09/2026</v>
      </c>
      <c r="J779" t="str">
        <v>14:18:19</v>
      </c>
      <c r="K779">
        <v>-12.193778</v>
      </c>
      <c r="L779">
        <v>-76.92345</v>
      </c>
      <c r="M779">
        <f>HYPERLINK("https://www.google.com/maps/search/?api=1&amp;query=-12.193778,-76.92345","Jirón Lima, Villa María del Triunfo")</f>
      </c>
      <c r="N779">
        <v>12.2</v>
      </c>
      <c r="O779">
        <v>88</v>
      </c>
      <c r="P779">
        <v>2550.1</v>
      </c>
      <c r="Q779" t="str">
        <v>160.32</v>
      </c>
      <c r="R779" t="str">
        <v/>
      </c>
      <c r="S779" t="str">
        <v/>
      </c>
      <c r="T779" t="str">
        <v/>
      </c>
      <c r="U779" t="str">
        <v/>
      </c>
    </row>
    <row r="780">
      <c r="A780" t="str">
        <v>779</v>
      </c>
      <c r="B780" t="str">
        <v>MASS BSF</v>
      </c>
      <c r="C780" t="str">
        <v>AAR-880</v>
      </c>
      <c r="D780" t="str">
        <v>AAR-880</v>
      </c>
      <c r="E780" t="str">
        <v/>
      </c>
      <c r="F780" t="str">
        <v>867806078847433</v>
      </c>
      <c r="G780" t="str">
        <v>Otro</v>
      </c>
      <c r="H780" t="str">
        <v/>
      </c>
      <c r="I780" t="str">
        <v>27/09/2026</v>
      </c>
      <c r="J780" t="str">
        <v>14:18:24</v>
      </c>
      <c r="K780">
        <v>-12.193782</v>
      </c>
      <c r="L780">
        <v>-76.92331</v>
      </c>
      <c r="M780">
        <f>HYPERLINK("https://www.google.com/maps/search/?api=1&amp;query=-12.193782,-76.92331","Jirón La Concordia, Villa María del Triunfo, Lima")</f>
      </c>
      <c r="N780">
        <v>10.9</v>
      </c>
      <c r="O780">
        <v>88</v>
      </c>
      <c r="P780">
        <v>2550.12</v>
      </c>
      <c r="Q780" t="str">
        <v>160.32</v>
      </c>
      <c r="R780" t="str">
        <v/>
      </c>
      <c r="S780" t="str">
        <v/>
      </c>
      <c r="T780" t="str">
        <v/>
      </c>
      <c r="U780" t="str">
        <v/>
      </c>
    </row>
    <row r="781">
      <c r="A781" t="str">
        <v>780</v>
      </c>
      <c r="B781" t="str">
        <v>MASS BSF</v>
      </c>
      <c r="C781" t="str">
        <v>AAR-880</v>
      </c>
      <c r="D781" t="str">
        <v>AAR-880</v>
      </c>
      <c r="E781" t="str">
        <v/>
      </c>
      <c r="F781" t="str">
        <v>867806078847433</v>
      </c>
      <c r="G781" t="str">
        <v>Otro</v>
      </c>
      <c r="H781" t="str">
        <v/>
      </c>
      <c r="I781" t="str">
        <v>27/09/2026</v>
      </c>
      <c r="J781" t="str">
        <v>14:18:31</v>
      </c>
      <c r="K781">
        <v>-12.1937</v>
      </c>
      <c r="L781">
        <v>-76.92318</v>
      </c>
      <c r="M781">
        <f>HYPERLINK("https://www.google.com/maps/search/?api=1&amp;query=-12.1937,-76.92318","Jirón La Concordia, Villa María del Triunfo, Lima")</f>
      </c>
      <c r="N781">
        <v>7.4</v>
      </c>
      <c r="O781">
        <v>93</v>
      </c>
      <c r="P781">
        <v>2550.13</v>
      </c>
      <c r="Q781" t="str">
        <v>160.32</v>
      </c>
      <c r="R781" t="str">
        <v/>
      </c>
      <c r="S781" t="str">
        <v/>
      </c>
      <c r="T781" t="str">
        <v/>
      </c>
      <c r="U781" t="str">
        <v/>
      </c>
    </row>
    <row r="782">
      <c r="A782" t="str">
        <v>781</v>
      </c>
      <c r="B782" t="str">
        <v>MASS BSF</v>
      </c>
      <c r="C782" t="str">
        <v>AAR-880</v>
      </c>
      <c r="D782" t="str">
        <v>AAR-880</v>
      </c>
      <c r="E782" t="str">
        <v/>
      </c>
      <c r="F782" t="str">
        <v>867806078847433</v>
      </c>
      <c r="G782" t="str">
        <v>Otro</v>
      </c>
      <c r="H782" t="str">
        <v/>
      </c>
      <c r="I782" t="str">
        <v>27/09/2026</v>
      </c>
      <c r="J782" t="str">
        <v>14:19:16</v>
      </c>
      <c r="K782">
        <v>-12.193592</v>
      </c>
      <c r="L782">
        <v>-76.92299</v>
      </c>
      <c r="M782">
        <f>HYPERLINK("https://www.google.com/maps/search/?api=1&amp;query=-12.193592,-76.92299","Jirón La Concordia, Villa María del Triunfo, Lima")</f>
      </c>
      <c r="N782">
        <v>5.9</v>
      </c>
      <c r="O782">
        <v>93</v>
      </c>
      <c r="P782">
        <v>2550.15</v>
      </c>
      <c r="Q782" t="str">
        <v>160.32</v>
      </c>
      <c r="R782" t="str">
        <v/>
      </c>
      <c r="S782" t="str">
        <v/>
      </c>
      <c r="T782" t="str">
        <v/>
      </c>
      <c r="U782" t="str">
        <v/>
      </c>
    </row>
    <row r="783">
      <c r="A783" t="str">
        <v>782</v>
      </c>
      <c r="B783" t="str">
        <v>MASS BSF</v>
      </c>
      <c r="C783" t="str">
        <v>AAR-880</v>
      </c>
      <c r="D783" t="str">
        <v>AAR-880</v>
      </c>
      <c r="E783" t="str">
        <v/>
      </c>
      <c r="F783" t="str">
        <v>867806078847433</v>
      </c>
      <c r="G783" t="str">
        <v>Otro</v>
      </c>
      <c r="H783" t="str">
        <v/>
      </c>
      <c r="I783" t="str">
        <v>27/09/2026</v>
      </c>
      <c r="J783" t="str">
        <v>14:19:36</v>
      </c>
      <c r="K783">
        <v>-12.193318</v>
      </c>
      <c r="L783">
        <v>-76.92256</v>
      </c>
      <c r="M783">
        <f>HYPERLINK("https://www.google.com/maps/search/?api=1&amp;query=-12.193318,-76.92256","Jirón La Concordia, Villa María del Triunfo, Lima")</f>
      </c>
      <c r="N783">
        <v>11.8</v>
      </c>
      <c r="O783">
        <v>85</v>
      </c>
      <c r="P783">
        <v>2550.21</v>
      </c>
      <c r="Q783" t="str">
        <v>160.32</v>
      </c>
      <c r="R783" t="str">
        <v/>
      </c>
      <c r="S783" t="str">
        <v/>
      </c>
      <c r="T783" t="str">
        <v/>
      </c>
      <c r="U783" t="str">
        <v/>
      </c>
    </row>
    <row r="784">
      <c r="A784" t="str">
        <v>783</v>
      </c>
      <c r="B784" t="str">
        <v>MASS BSF</v>
      </c>
      <c r="C784" t="str">
        <v>AAR-880</v>
      </c>
      <c r="D784" t="str">
        <v>AAR-880</v>
      </c>
      <c r="E784" t="str">
        <v/>
      </c>
      <c r="F784" t="str">
        <v>867806078847433</v>
      </c>
      <c r="G784" t="str">
        <v>Otro</v>
      </c>
      <c r="H784" t="str">
        <v/>
      </c>
      <c r="I784" t="str">
        <v>27/09/2026</v>
      </c>
      <c r="J784" t="str">
        <v>14:19:47</v>
      </c>
      <c r="K784">
        <v>-12.193143</v>
      </c>
      <c r="L784">
        <v>-76.922264</v>
      </c>
      <c r="M784">
        <f>HYPERLINK("https://www.google.com/maps/search/?api=1&amp;query=-12.193143,-76.922264","Jirón La Concordia, Villa María del Triunfo, Lima")</f>
      </c>
      <c r="N784">
        <v>9.4</v>
      </c>
      <c r="O784">
        <v>85</v>
      </c>
      <c r="P784">
        <v>2550.24</v>
      </c>
      <c r="Q784" t="str">
        <v>160.32</v>
      </c>
      <c r="R784" t="str">
        <v/>
      </c>
      <c r="S784" t="str">
        <v/>
      </c>
      <c r="T784" t="str">
        <v/>
      </c>
      <c r="U784" t="str">
        <v/>
      </c>
    </row>
    <row r="785">
      <c r="A785" t="str">
        <v>784</v>
      </c>
      <c r="B785" t="str">
        <v>MASS BSF</v>
      </c>
      <c r="C785" t="str">
        <v>AAR-880</v>
      </c>
      <c r="D785" t="str">
        <v>AAR-880</v>
      </c>
      <c r="E785" t="str">
        <v/>
      </c>
      <c r="F785" t="str">
        <v>867806078847433</v>
      </c>
      <c r="G785" t="str">
        <v>Otro</v>
      </c>
      <c r="H785" t="str">
        <v/>
      </c>
      <c r="I785" t="str">
        <v>27/09/2026</v>
      </c>
      <c r="J785" t="str">
        <v>14:19:52</v>
      </c>
      <c r="K785">
        <v>-12.19302</v>
      </c>
      <c r="L785">
        <v>-76.92225</v>
      </c>
      <c r="M785">
        <f>HYPERLINK("https://www.google.com/maps/search/?api=1&amp;query=-12.19302,-76.92225","Jirón Cusco, Villa María del Triunfo, Lima")</f>
      </c>
      <c r="N785">
        <v>14</v>
      </c>
      <c r="O785">
        <v>93</v>
      </c>
      <c r="P785">
        <v>2550.26</v>
      </c>
      <c r="Q785" t="str">
        <v>160.32</v>
      </c>
      <c r="R785" t="str">
        <v/>
      </c>
      <c r="S785" t="str">
        <v/>
      </c>
      <c r="T785" t="str">
        <v/>
      </c>
      <c r="U785" t="str">
        <v/>
      </c>
    </row>
    <row r="786">
      <c r="A786" t="str">
        <v>785</v>
      </c>
      <c r="B786" t="str">
        <v>MASS BSF</v>
      </c>
      <c r="C786" t="str">
        <v>AAR-880</v>
      </c>
      <c r="D786" t="str">
        <v>AAR-880</v>
      </c>
      <c r="E786" t="str">
        <v/>
      </c>
      <c r="F786" t="str">
        <v>867806078847433</v>
      </c>
      <c r="G786" t="str">
        <v>Otro</v>
      </c>
      <c r="H786" t="str">
        <v/>
      </c>
      <c r="I786" t="str">
        <v>27/09/2026</v>
      </c>
      <c r="J786" t="str">
        <v>14:20:03</v>
      </c>
      <c r="K786">
        <v>-12.192582</v>
      </c>
      <c r="L786">
        <v>-76.92251</v>
      </c>
      <c r="M786">
        <f>HYPERLINK("https://www.google.com/maps/search/?api=1&amp;query=-12.192582,-76.92251","Jirón Cusco, Villa María del Triunfo, Lima")</f>
      </c>
      <c r="N786">
        <v>15.5</v>
      </c>
      <c r="O786">
        <v>93</v>
      </c>
      <c r="P786">
        <v>2550.31</v>
      </c>
      <c r="Q786" t="str">
        <v>160.32</v>
      </c>
      <c r="R786" t="str">
        <v/>
      </c>
      <c r="S786" t="str">
        <v/>
      </c>
      <c r="T786" t="str">
        <v/>
      </c>
      <c r="U786" t="str">
        <v/>
      </c>
    </row>
    <row r="787">
      <c r="A787" t="str">
        <v>786</v>
      </c>
      <c r="B787" t="str">
        <v>MASS BSF</v>
      </c>
      <c r="C787" t="str">
        <v>AAR-880</v>
      </c>
      <c r="D787" t="str">
        <v>AAR-880</v>
      </c>
      <c r="E787" t="str">
        <v/>
      </c>
      <c r="F787" t="str">
        <v>867806078847433</v>
      </c>
      <c r="G787" t="str">
        <v>Otro</v>
      </c>
      <c r="H787" t="str">
        <v/>
      </c>
      <c r="I787" t="str">
        <v>27/09/2026</v>
      </c>
      <c r="J787" t="str">
        <v>14:20:08</v>
      </c>
      <c r="K787">
        <v>-12.192618</v>
      </c>
      <c r="L787">
        <v>-76.922714</v>
      </c>
      <c r="M787">
        <f>HYPERLINK("https://www.google.com/maps/search/?api=1&amp;query=-12.192618,-76.922714","Jirón San Francisco, Villa María del Triunfo, Lima")</f>
      </c>
      <c r="N787">
        <v>19</v>
      </c>
      <c r="O787">
        <v>93</v>
      </c>
      <c r="P787">
        <v>2550.34</v>
      </c>
      <c r="Q787" t="str">
        <v>160.32</v>
      </c>
      <c r="R787" t="str">
        <v/>
      </c>
      <c r="S787" t="str">
        <v/>
      </c>
      <c r="T787" t="str">
        <v/>
      </c>
      <c r="U787" t="str">
        <v/>
      </c>
    </row>
    <row r="788">
      <c r="A788" t="str">
        <v>787</v>
      </c>
      <c r="B788" t="str">
        <v>MASS BSF</v>
      </c>
      <c r="C788" t="str">
        <v>AAR-880</v>
      </c>
      <c r="D788" t="str">
        <v>AAR-880</v>
      </c>
      <c r="E788" t="str">
        <v/>
      </c>
      <c r="F788" t="str">
        <v>867806078847433</v>
      </c>
      <c r="G788" t="str">
        <v>Otro</v>
      </c>
      <c r="H788" t="str">
        <v/>
      </c>
      <c r="I788" t="str">
        <v>27/09/2026</v>
      </c>
      <c r="J788" t="str">
        <v>14:20:13</v>
      </c>
      <c r="K788">
        <v>-12.192683</v>
      </c>
      <c r="L788">
        <v>-76.92288</v>
      </c>
      <c r="M788">
        <f>HYPERLINK("https://www.google.com/maps/search/?api=1&amp;query=-12.192683,-76.92288","Jirón Cusco, Villa María del Triunfo, Lima")</f>
      </c>
      <c r="N788">
        <v>12.4</v>
      </c>
      <c r="O788">
        <v>93</v>
      </c>
      <c r="P788">
        <v>2550.36</v>
      </c>
      <c r="Q788" t="str">
        <v>160.32</v>
      </c>
      <c r="R788" t="str">
        <v/>
      </c>
      <c r="S788" t="str">
        <v/>
      </c>
      <c r="T788" t="str">
        <v/>
      </c>
      <c r="U788" t="str">
        <v/>
      </c>
    </row>
    <row r="789">
      <c r="A789" t="str">
        <v>788</v>
      </c>
      <c r="B789" t="str">
        <v>MASS BSF</v>
      </c>
      <c r="C789" t="str">
        <v>AAR-880</v>
      </c>
      <c r="D789" t="str">
        <v>AAR-880</v>
      </c>
      <c r="E789" t="str">
        <v/>
      </c>
      <c r="F789" t="str">
        <v>867806078847433</v>
      </c>
      <c r="G789" t="str">
        <v>Otro</v>
      </c>
      <c r="H789" t="str">
        <v/>
      </c>
      <c r="I789" t="str">
        <v>27/09/2026</v>
      </c>
      <c r="J789" t="str">
        <v>14:20:18</v>
      </c>
      <c r="K789">
        <v>-12.192549</v>
      </c>
      <c r="L789">
        <v>-76.92298</v>
      </c>
      <c r="M789">
        <f>HYPERLINK("https://www.google.com/maps/search/?api=1&amp;query=-12.192549,-76.92298","Jirón Cusco, Villa María del Triunfo, Lima")</f>
      </c>
      <c r="N789">
        <v>17.2</v>
      </c>
      <c r="O789">
        <v>91</v>
      </c>
      <c r="P789">
        <v>2550.38</v>
      </c>
      <c r="Q789" t="str">
        <v>160.32</v>
      </c>
      <c r="R789" t="str">
        <v/>
      </c>
      <c r="S789" t="str">
        <v/>
      </c>
      <c r="T789" t="str">
        <v/>
      </c>
      <c r="U789" t="str">
        <v/>
      </c>
    </row>
    <row r="790">
      <c r="A790" t="str">
        <v>789</v>
      </c>
      <c r="B790" t="str">
        <v>MASS BSF</v>
      </c>
      <c r="C790" t="str">
        <v>AAR-880</v>
      </c>
      <c r="D790" t="str">
        <v>AAR-880</v>
      </c>
      <c r="E790" t="str">
        <v/>
      </c>
      <c r="F790" t="str">
        <v>867806078847433</v>
      </c>
      <c r="G790" t="str">
        <v>Otro</v>
      </c>
      <c r="H790" t="str">
        <v/>
      </c>
      <c r="I790" t="str">
        <v>27/09/2026</v>
      </c>
      <c r="J790" t="str">
        <v>14:20:28</v>
      </c>
      <c r="K790">
        <v>-12.1922</v>
      </c>
      <c r="L790">
        <v>-76.92318</v>
      </c>
      <c r="M790">
        <f>HYPERLINK("https://www.google.com/maps/search/?api=1&amp;query=-12.1922,-76.92318","Jirón Cusco, Villa María del Triunfo, Lima")</f>
      </c>
      <c r="N790">
        <v>11.1</v>
      </c>
      <c r="O790">
        <v>93</v>
      </c>
      <c r="P790">
        <v>2550.42</v>
      </c>
      <c r="Q790" t="str">
        <v>160.32</v>
      </c>
      <c r="R790" t="str">
        <v/>
      </c>
      <c r="S790" t="str">
        <v/>
      </c>
      <c r="T790" t="str">
        <v/>
      </c>
      <c r="U790" t="str">
        <v/>
      </c>
    </row>
    <row r="791">
      <c r="A791" t="str">
        <v>790</v>
      </c>
      <c r="B791" t="str">
        <v>MASS BSF</v>
      </c>
      <c r="C791" t="str">
        <v>AAR-880</v>
      </c>
      <c r="D791" t="str">
        <v>AAR-880</v>
      </c>
      <c r="E791" t="str">
        <v/>
      </c>
      <c r="F791" t="str">
        <v>867806078847433</v>
      </c>
      <c r="G791" t="str">
        <v>Otro</v>
      </c>
      <c r="H791" t="str">
        <v/>
      </c>
      <c r="I791" t="str">
        <v>27/09/2026</v>
      </c>
      <c r="J791" t="str">
        <v>14:20:33</v>
      </c>
      <c r="K791">
        <v>-12.192217</v>
      </c>
      <c r="L791">
        <v>-76.92335</v>
      </c>
      <c r="M791">
        <f>HYPERLINK("https://www.google.com/maps/search/?api=1&amp;query=-12.192217,-76.92335","Avenida Mariscal José La Mar, Villa María del Triunfo, Lima")</f>
      </c>
      <c r="N791">
        <v>19.8</v>
      </c>
      <c r="O791">
        <v>93</v>
      </c>
      <c r="P791">
        <v>2550.44</v>
      </c>
      <c r="Q791" t="str">
        <v>160.32</v>
      </c>
      <c r="R791" t="str">
        <v/>
      </c>
      <c r="S791" t="str">
        <v/>
      </c>
      <c r="T791" t="str">
        <v/>
      </c>
      <c r="U791" t="str">
        <v/>
      </c>
    </row>
    <row r="792">
      <c r="A792" t="str">
        <v>791</v>
      </c>
      <c r="B792" t="str">
        <v>MASS BSF</v>
      </c>
      <c r="C792" t="str">
        <v>AAR-880</v>
      </c>
      <c r="D792" t="str">
        <v>AAR-880</v>
      </c>
      <c r="E792" t="str">
        <v/>
      </c>
      <c r="F792" t="str">
        <v>867806078847433</v>
      </c>
      <c r="G792" t="str">
        <v>Otro</v>
      </c>
      <c r="H792" t="str">
        <v/>
      </c>
      <c r="I792" t="str">
        <v>27/09/2026</v>
      </c>
      <c r="J792" t="str">
        <v>14:20:56</v>
      </c>
      <c r="K792">
        <v>-12.192823</v>
      </c>
      <c r="L792">
        <v>-76.92436</v>
      </c>
      <c r="M792">
        <f>HYPERLINK("https://www.google.com/maps/search/?api=1&amp;query=-12.192823,-76.92436","Avenida Mariscal José La Mar, Villa María del Triunfo, Lima")</f>
      </c>
      <c r="N792">
        <v>15.9</v>
      </c>
      <c r="O792">
        <v>93</v>
      </c>
      <c r="P792">
        <v>2550.57</v>
      </c>
      <c r="Q792" t="str">
        <v>160.32</v>
      </c>
      <c r="R792" t="str">
        <v/>
      </c>
      <c r="S792" t="str">
        <v/>
      </c>
      <c r="T792" t="str">
        <v/>
      </c>
      <c r="U792" t="str">
        <v/>
      </c>
    </row>
    <row r="793">
      <c r="A793" t="str">
        <v>792</v>
      </c>
      <c r="B793" t="str">
        <v>MASS BSF</v>
      </c>
      <c r="C793" t="str">
        <v>AAR-880</v>
      </c>
      <c r="D793" t="str">
        <v>AAR-880</v>
      </c>
      <c r="E793" t="str">
        <v/>
      </c>
      <c r="F793" t="str">
        <v>867806078847433</v>
      </c>
      <c r="G793" t="str">
        <v>Otro</v>
      </c>
      <c r="H793" t="str">
        <v/>
      </c>
      <c r="I793" t="str">
        <v>27/09/2026</v>
      </c>
      <c r="J793" t="str">
        <v>14:21:13</v>
      </c>
      <c r="K793">
        <v>-12.193472</v>
      </c>
      <c r="L793">
        <v>-76.92538</v>
      </c>
      <c r="M793">
        <f>HYPERLINK("https://www.google.com/maps/search/?api=1&amp;query=-12.193472,-76.92538","Avenida Mariscal José La Mar, Villa María del Triunfo, Lima")</f>
      </c>
      <c r="N793">
        <v>16.4</v>
      </c>
      <c r="O793">
        <v>93</v>
      </c>
      <c r="P793">
        <v>2550.7</v>
      </c>
      <c r="Q793" t="str">
        <v>160.32</v>
      </c>
      <c r="R793" t="str">
        <v/>
      </c>
      <c r="S793" t="str">
        <v/>
      </c>
      <c r="T793" t="str">
        <v/>
      </c>
      <c r="U793" t="str">
        <v/>
      </c>
    </row>
    <row r="794">
      <c r="A794" t="str">
        <v>793</v>
      </c>
      <c r="B794" t="str">
        <v>MASS BSF</v>
      </c>
      <c r="C794" t="str">
        <v>AAR-880</v>
      </c>
      <c r="D794" t="str">
        <v>AAR-880</v>
      </c>
      <c r="E794" t="str">
        <v/>
      </c>
      <c r="F794" t="str">
        <v>867806078847433</v>
      </c>
      <c r="G794" t="str">
        <v>Otro</v>
      </c>
      <c r="H794" t="str">
        <v/>
      </c>
      <c r="I794" t="str">
        <v>27/09/2026</v>
      </c>
      <c r="J794" t="str">
        <v>14:21:18</v>
      </c>
      <c r="K794">
        <v>-12.193465</v>
      </c>
      <c r="L794">
        <v>-76.92552</v>
      </c>
      <c r="M794">
        <f>HYPERLINK("https://www.google.com/maps/search/?api=1&amp;query=-12.193465,-76.92552","Jirón Arica, Villa María del Triunfo, Lima")</f>
      </c>
      <c r="N794">
        <v>12.2</v>
      </c>
      <c r="O794">
        <v>91</v>
      </c>
      <c r="P794">
        <v>2550.71</v>
      </c>
      <c r="Q794" t="str">
        <v>160.32</v>
      </c>
      <c r="R794" t="str">
        <v/>
      </c>
      <c r="S794" t="str">
        <v/>
      </c>
      <c r="T794" t="str">
        <v/>
      </c>
      <c r="U794" t="str">
        <v/>
      </c>
    </row>
    <row r="795">
      <c r="A795" t="str">
        <v>794</v>
      </c>
      <c r="B795" t="str">
        <v>MASS BSF</v>
      </c>
      <c r="C795" t="str">
        <v>AAR-880</v>
      </c>
      <c r="D795" t="str">
        <v>AAR-880</v>
      </c>
      <c r="E795" t="str">
        <v/>
      </c>
      <c r="F795" t="str">
        <v>867806078847433</v>
      </c>
      <c r="G795" t="str">
        <v>Otro</v>
      </c>
      <c r="H795" t="str">
        <v/>
      </c>
      <c r="I795" t="str">
        <v>27/09/2026</v>
      </c>
      <c r="J795" t="str">
        <v>14:21:19</v>
      </c>
      <c r="K795">
        <v>-12.193465</v>
      </c>
      <c r="L795">
        <v>-76.92552</v>
      </c>
      <c r="M795">
        <f>HYPERLINK("https://www.google.com/maps/search/?api=1&amp;query=-12.193465,-76.92552","Jirón Arica, Villa María del Triunfo, Lima")</f>
      </c>
      <c r="N795">
        <v>12.2</v>
      </c>
      <c r="O795">
        <v>87</v>
      </c>
      <c r="P795">
        <v>2550.71</v>
      </c>
      <c r="Q795" t="str">
        <v>160.32</v>
      </c>
      <c r="R795" t="str">
        <v/>
      </c>
      <c r="S795" t="str">
        <v/>
      </c>
      <c r="T795" t="str">
        <v/>
      </c>
      <c r="U795" t="str">
        <v/>
      </c>
    </row>
    <row r="796">
      <c r="A796" t="str">
        <v>795</v>
      </c>
      <c r="B796" t="str">
        <v>MASS BSF</v>
      </c>
      <c r="C796" t="str">
        <v>AAR-880</v>
      </c>
      <c r="D796" t="str">
        <v>AAR-880</v>
      </c>
      <c r="E796" t="str">
        <v/>
      </c>
      <c r="F796" t="str">
        <v>867806078847433</v>
      </c>
      <c r="G796" t="str">
        <v>Otro</v>
      </c>
      <c r="H796" t="str">
        <v/>
      </c>
      <c r="I796" t="str">
        <v>27/09/2026</v>
      </c>
      <c r="J796" t="str">
        <v>14:21:24</v>
      </c>
      <c r="K796">
        <v>-12.193354</v>
      </c>
      <c r="L796">
        <v>-76.925575</v>
      </c>
      <c r="M796">
        <f>HYPERLINK("https://www.google.com/maps/search/?api=1&amp;query=-12.193354,-76.925575","Jirón Arica, Villa María del Triunfo, Lima")</f>
      </c>
      <c r="N796">
        <v>6.1</v>
      </c>
      <c r="O796">
        <v>91</v>
      </c>
      <c r="P796">
        <v>2550.73</v>
      </c>
      <c r="Q796" t="str">
        <v>160.32</v>
      </c>
      <c r="R796" t="str">
        <v/>
      </c>
      <c r="S796" t="str">
        <v/>
      </c>
      <c r="T796" t="str">
        <v/>
      </c>
      <c r="U796" t="str">
        <v/>
      </c>
    </row>
    <row r="797">
      <c r="A797" t="str">
        <v>796</v>
      </c>
      <c r="B797" t="str">
        <v>MASS BSF</v>
      </c>
      <c r="C797" t="str">
        <v>AAR-880</v>
      </c>
      <c r="D797" t="str">
        <v>AAR-880</v>
      </c>
      <c r="E797" t="str">
        <v/>
      </c>
      <c r="F797" t="str">
        <v>867806078847433</v>
      </c>
      <c r="G797" t="str">
        <v>Otro</v>
      </c>
      <c r="H797" t="str">
        <v/>
      </c>
      <c r="I797" t="str">
        <v>27/09/2026</v>
      </c>
      <c r="J797" t="str">
        <v>14:21:30</v>
      </c>
      <c r="K797">
        <v>-12.193215</v>
      </c>
      <c r="L797">
        <v>-76.92565</v>
      </c>
      <c r="M797">
        <f>HYPERLINK("https://www.google.com/maps/search/?api=1&amp;query=-12.193215,-76.92565","Jirón Arica, Villa María del Triunfo, Lima")</f>
      </c>
      <c r="N797">
        <v>18.3</v>
      </c>
      <c r="O797">
        <v>87</v>
      </c>
      <c r="P797">
        <v>2550.74</v>
      </c>
      <c r="Q797" t="str">
        <v>160.32</v>
      </c>
      <c r="R797" t="str">
        <v/>
      </c>
      <c r="S797" t="str">
        <v/>
      </c>
      <c r="T797" t="str">
        <v/>
      </c>
      <c r="U797" t="str">
        <v/>
      </c>
    </row>
    <row r="798">
      <c r="A798" t="str">
        <v>797</v>
      </c>
      <c r="B798" t="str">
        <v>MASS BSF</v>
      </c>
      <c r="C798" t="str">
        <v>AAR-880</v>
      </c>
      <c r="D798" t="str">
        <v>AAR-880</v>
      </c>
      <c r="E798" t="str">
        <v/>
      </c>
      <c r="F798" t="str">
        <v>867806078847433</v>
      </c>
      <c r="G798" t="str">
        <v>Otro</v>
      </c>
      <c r="H798" t="str">
        <v/>
      </c>
      <c r="I798" t="str">
        <v>27/09/2026</v>
      </c>
      <c r="J798" t="str">
        <v>14:21:36</v>
      </c>
      <c r="K798">
        <v>-12.19296</v>
      </c>
      <c r="L798">
        <v>-76.92577</v>
      </c>
      <c r="M798">
        <f>HYPERLINK("https://www.google.com/maps/search/?api=1&amp;query=-12.19296,-76.92577","Jirón Arica, Villa María del Triunfo, Lima")</f>
      </c>
      <c r="N798">
        <v>12.9</v>
      </c>
      <c r="O798">
        <v>87</v>
      </c>
      <c r="P798">
        <v>2550.77</v>
      </c>
      <c r="Q798" t="str">
        <v>160.32</v>
      </c>
      <c r="R798" t="str">
        <v/>
      </c>
      <c r="S798" t="str">
        <v/>
      </c>
      <c r="T798" t="str">
        <v/>
      </c>
      <c r="U798" t="str">
        <v/>
      </c>
    </row>
    <row r="799">
      <c r="A799" t="str">
        <v>798</v>
      </c>
      <c r="B799" t="str">
        <v>MASS BSF</v>
      </c>
      <c r="C799" t="str">
        <v>AAR-880</v>
      </c>
      <c r="D799" t="str">
        <v>AAR-880</v>
      </c>
      <c r="E799" t="str">
        <v/>
      </c>
      <c r="F799" t="str">
        <v>867806078847433</v>
      </c>
      <c r="G799" t="str">
        <v>Otro</v>
      </c>
      <c r="H799" t="str">
        <v/>
      </c>
      <c r="I799" t="str">
        <v>27/09/2026</v>
      </c>
      <c r="J799" t="str">
        <v>14:21:41</v>
      </c>
      <c r="K799">
        <v>-12.192991</v>
      </c>
      <c r="L799">
        <v>-76.92594</v>
      </c>
      <c r="M799">
        <f>HYPERLINK("https://www.google.com/maps/search/?api=1&amp;query=-12.192991,-76.92594","Avenida La Mariscala, Villa María del Triunfo, Lima")</f>
      </c>
      <c r="N799">
        <v>19</v>
      </c>
      <c r="O799">
        <v>85</v>
      </c>
      <c r="P799">
        <v>2550.79</v>
      </c>
      <c r="Q799" t="str">
        <v>160.32</v>
      </c>
      <c r="R799" t="str">
        <v/>
      </c>
      <c r="S799" t="str">
        <v/>
      </c>
      <c r="T799" t="str">
        <v/>
      </c>
      <c r="U799" t="str">
        <v/>
      </c>
    </row>
    <row r="800">
      <c r="A800" t="str">
        <v>799</v>
      </c>
      <c r="B800" t="str">
        <v>MASS BSF</v>
      </c>
      <c r="C800" t="str">
        <v>AAR-880</v>
      </c>
      <c r="D800" t="str">
        <v>AAR-880</v>
      </c>
      <c r="E800" t="str">
        <v/>
      </c>
      <c r="F800" t="str">
        <v>867806078847433</v>
      </c>
      <c r="G800" t="str">
        <v>Otro</v>
      </c>
      <c r="H800" t="str">
        <v/>
      </c>
      <c r="I800" t="str">
        <v>27/09/2026</v>
      </c>
      <c r="J800" t="str">
        <v>14:21:46</v>
      </c>
      <c r="K800">
        <v>-12.193131</v>
      </c>
      <c r="L800">
        <v>-76.92617</v>
      </c>
      <c r="M800">
        <f>HYPERLINK("https://www.google.com/maps/search/?api=1&amp;query=-12.193131,-76.92617","Avenida La Mariscala, Villa María del Triunfo, Lima")</f>
      </c>
      <c r="N800">
        <v>20.7</v>
      </c>
      <c r="O800">
        <v>85</v>
      </c>
      <c r="P800">
        <v>2550.82</v>
      </c>
      <c r="Q800" t="str">
        <v>160.32</v>
      </c>
      <c r="R800" t="str">
        <v/>
      </c>
      <c r="S800" t="str">
        <v/>
      </c>
      <c r="T800" t="str">
        <v/>
      </c>
      <c r="U800" t="str">
        <v/>
      </c>
    </row>
    <row r="801">
      <c r="A801" t="str">
        <v>800</v>
      </c>
      <c r="B801" t="str">
        <v>MASS BSF</v>
      </c>
      <c r="C801" t="str">
        <v>AAR-880</v>
      </c>
      <c r="D801" t="str">
        <v>AAR-880</v>
      </c>
      <c r="E801" t="str">
        <v/>
      </c>
      <c r="F801" t="str">
        <v>867806078847433</v>
      </c>
      <c r="G801" t="str">
        <v>Otro</v>
      </c>
      <c r="H801" t="str">
        <v/>
      </c>
      <c r="I801" t="str">
        <v>27/09/2026</v>
      </c>
      <c r="J801" t="str">
        <v>14:22:08</v>
      </c>
      <c r="K801">
        <v>-12.193648</v>
      </c>
      <c r="L801">
        <v>-76.92713</v>
      </c>
      <c r="M801">
        <f>HYPERLINK("https://www.google.com/maps/search/?api=1&amp;query=-12.193648,-76.92713","Avenida La Mariscala, Villa María del Triunfo, Lima")</f>
      </c>
      <c r="N801">
        <v>8.3</v>
      </c>
      <c r="O801">
        <v>85</v>
      </c>
      <c r="P801">
        <v>2550.94</v>
      </c>
      <c r="Q801" t="str">
        <v>160.32</v>
      </c>
      <c r="R801" t="str">
        <v/>
      </c>
      <c r="S801" t="str">
        <v/>
      </c>
      <c r="T801" t="str">
        <v/>
      </c>
      <c r="U801" t="str">
        <v/>
      </c>
    </row>
    <row r="802">
      <c r="A802" t="str">
        <v>801</v>
      </c>
      <c r="B802" t="str">
        <v>MASS BSF</v>
      </c>
      <c r="C802" t="str">
        <v>AAR-880</v>
      </c>
      <c r="D802" t="str">
        <v>AAR-880</v>
      </c>
      <c r="E802" t="str">
        <v/>
      </c>
      <c r="F802" t="str">
        <v>867806078847433</v>
      </c>
      <c r="G802" t="str">
        <v>Otro</v>
      </c>
      <c r="H802" t="str">
        <v/>
      </c>
      <c r="I802" t="str">
        <v>27/09/2026</v>
      </c>
      <c r="J802" t="str">
        <v>14:22:14</v>
      </c>
      <c r="K802">
        <v>-12.193603</v>
      </c>
      <c r="L802">
        <v>-76.92722</v>
      </c>
      <c r="M802">
        <f>HYPERLINK("https://www.google.com/maps/search/?api=1&amp;query=-12.193603,-76.92722","Jirón Ramón Castilla, Villa María del Triunfo, Lima")</f>
      </c>
      <c r="N802">
        <v>5.9</v>
      </c>
      <c r="O802">
        <v>85</v>
      </c>
      <c r="P802">
        <v>2550.95</v>
      </c>
      <c r="Q802" t="str">
        <v>160.32</v>
      </c>
      <c r="R802" t="str">
        <v/>
      </c>
      <c r="S802" t="str">
        <v/>
      </c>
      <c r="T802" t="str">
        <v/>
      </c>
      <c r="U802" t="str">
        <v/>
      </c>
    </row>
    <row r="803">
      <c r="A803" t="str">
        <v>802</v>
      </c>
      <c r="B803" t="str">
        <v>MASS BSF</v>
      </c>
      <c r="C803" t="str">
        <v>AAR-880</v>
      </c>
      <c r="D803" t="str">
        <v>AAR-880</v>
      </c>
      <c r="E803" t="str">
        <v/>
      </c>
      <c r="F803" t="str">
        <v>867806078847433</v>
      </c>
      <c r="G803" t="str">
        <v>Otro</v>
      </c>
      <c r="H803" t="str">
        <v/>
      </c>
      <c r="I803" t="str">
        <v>27/09/2026</v>
      </c>
      <c r="J803" t="str">
        <v>14:22:22</v>
      </c>
      <c r="K803">
        <v>-12.193483</v>
      </c>
      <c r="L803">
        <v>-76.92726</v>
      </c>
      <c r="M803">
        <f>HYPERLINK("https://www.google.com/maps/search/?api=1&amp;query=-12.193483,-76.92726","Jirón Ramón Castilla, Villa María del Triunfo, Lima")</f>
      </c>
      <c r="N803">
        <v>6.1</v>
      </c>
      <c r="O803">
        <v>85</v>
      </c>
      <c r="P803">
        <v>2550.96</v>
      </c>
      <c r="Q803" t="str">
        <v>160.32</v>
      </c>
      <c r="R803" t="str">
        <v/>
      </c>
      <c r="S803" t="str">
        <v/>
      </c>
      <c r="T803" t="str">
        <v/>
      </c>
      <c r="U803" t="str">
        <v/>
      </c>
    </row>
    <row r="804">
      <c r="A804" t="str">
        <v>803</v>
      </c>
      <c r="B804" t="str">
        <v>MASS BSF</v>
      </c>
      <c r="C804" t="str">
        <v>AAR-880</v>
      </c>
      <c r="D804" t="str">
        <v>AAR-880</v>
      </c>
      <c r="E804" t="str">
        <v/>
      </c>
      <c r="F804" t="str">
        <v>867806078847433</v>
      </c>
      <c r="G804" t="str">
        <v>Otro</v>
      </c>
      <c r="H804" t="str">
        <v/>
      </c>
      <c r="I804" t="str">
        <v>27/09/2026</v>
      </c>
      <c r="J804" t="str">
        <v>14:23:22</v>
      </c>
      <c r="K804">
        <v>-12.193441</v>
      </c>
      <c r="L804">
        <v>-76.92726</v>
      </c>
      <c r="M804">
        <f>HYPERLINK("https://www.google.com/maps/search/?api=1&amp;query=-12.193441,-76.92726","Jirón Ramón Castilla, Villa María del Triunfo, Lima")</f>
      </c>
      <c r="N804">
        <v>0</v>
      </c>
      <c r="O804">
        <v>85</v>
      </c>
      <c r="P804">
        <v>2550.97</v>
      </c>
      <c r="Q804" t="str">
        <v>160.32</v>
      </c>
      <c r="R804" t="str">
        <v/>
      </c>
      <c r="S804" t="str">
        <v/>
      </c>
      <c r="T804" t="str">
        <v/>
      </c>
      <c r="U804" t="str">
        <v/>
      </c>
    </row>
    <row r="805">
      <c r="A805" t="str">
        <v>804</v>
      </c>
      <c r="B805" t="str">
        <v>MASS BSF</v>
      </c>
      <c r="C805" t="str">
        <v>AAR-880</v>
      </c>
      <c r="D805" t="str">
        <v>AAR-880</v>
      </c>
      <c r="E805" t="str">
        <v/>
      </c>
      <c r="F805" t="str">
        <v>867806078847433</v>
      </c>
      <c r="G805" t="str">
        <v>Otro</v>
      </c>
      <c r="H805" t="str">
        <v/>
      </c>
      <c r="I805" t="str">
        <v>27/09/2026</v>
      </c>
      <c r="J805" t="str">
        <v>14:24:22</v>
      </c>
      <c r="K805">
        <v>-12.193441</v>
      </c>
      <c r="L805">
        <v>-76.92726</v>
      </c>
      <c r="M805">
        <f>HYPERLINK("https://www.google.com/maps/search/?api=1&amp;query=-12.193441,-76.92726","Jirón Ramón Castilla, Villa María del Triunfo, Lima")</f>
      </c>
      <c r="N805">
        <v>0</v>
      </c>
      <c r="O805">
        <v>93</v>
      </c>
      <c r="P805">
        <v>2550.97</v>
      </c>
      <c r="Q805" t="str">
        <v>160.32</v>
      </c>
      <c r="R805" t="str">
        <v/>
      </c>
      <c r="S805" t="str">
        <v/>
      </c>
      <c r="T805" t="str">
        <v/>
      </c>
      <c r="U805" t="str">
        <v/>
      </c>
    </row>
    <row r="806">
      <c r="A806" t="str">
        <v>805</v>
      </c>
      <c r="B806" t="str">
        <v>MASS BSF</v>
      </c>
      <c r="C806" t="str">
        <v>AAR-880</v>
      </c>
      <c r="D806" t="str">
        <v>AAR-880</v>
      </c>
      <c r="E806" t="str">
        <v/>
      </c>
      <c r="F806" t="str">
        <v>867806078847433</v>
      </c>
      <c r="G806" t="str">
        <v>Otro</v>
      </c>
      <c r="H806" t="str">
        <v/>
      </c>
      <c r="I806" t="str">
        <v>27/09/2026</v>
      </c>
      <c r="J806" t="str">
        <v>14:25:02</v>
      </c>
      <c r="K806">
        <v>-12.1934</v>
      </c>
      <c r="L806">
        <v>-76.92721</v>
      </c>
      <c r="M806">
        <f>HYPERLINK("https://www.google.com/maps/search/?api=1&amp;query=-12.1934,-76.92721","Jirón Ramón Castilla, Villa María del Triunfo, Lima")</f>
      </c>
      <c r="N806">
        <v>5.5</v>
      </c>
      <c r="O806">
        <v>93</v>
      </c>
      <c r="P806">
        <v>2550.97</v>
      </c>
      <c r="Q806" t="str">
        <v>160.32</v>
      </c>
      <c r="R806" t="str">
        <v/>
      </c>
      <c r="S806" t="str">
        <v/>
      </c>
      <c r="T806" t="str">
        <v/>
      </c>
      <c r="U806" t="str">
        <v/>
      </c>
    </row>
    <row r="807">
      <c r="A807" t="str">
        <v>806</v>
      </c>
      <c r="B807" t="str">
        <v>MASS BSF</v>
      </c>
      <c r="C807" t="str">
        <v>AAR-880</v>
      </c>
      <c r="D807" t="str">
        <v>AAR-880</v>
      </c>
      <c r="E807" t="str">
        <v/>
      </c>
      <c r="F807" t="str">
        <v>867806078847433</v>
      </c>
      <c r="G807" t="str">
        <v>Otro</v>
      </c>
      <c r="H807" t="str">
        <v/>
      </c>
      <c r="I807" t="str">
        <v>27/09/2026</v>
      </c>
      <c r="J807" t="str">
        <v>14:25:08</v>
      </c>
      <c r="K807">
        <v>-12.193316</v>
      </c>
      <c r="L807">
        <v>-76.92711</v>
      </c>
      <c r="M807">
        <f>HYPERLINK("https://www.google.com/maps/search/?api=1&amp;query=-12.193316,-76.92711","Jirón Ramón Castilla, Villa María del Triunfo, Lima")</f>
      </c>
      <c r="N807">
        <v>7.5</v>
      </c>
      <c r="O807">
        <v>93</v>
      </c>
      <c r="P807">
        <v>2550.99</v>
      </c>
      <c r="Q807" t="str">
        <v>160.32</v>
      </c>
      <c r="R807" t="str">
        <v/>
      </c>
      <c r="S807" t="str">
        <v/>
      </c>
      <c r="T807" t="str">
        <v/>
      </c>
      <c r="U807" t="str">
        <v/>
      </c>
    </row>
    <row r="808">
      <c r="A808" t="str">
        <v>807</v>
      </c>
      <c r="B808" t="str">
        <v>MASS BSF</v>
      </c>
      <c r="C808" t="str">
        <v>AAR-880</v>
      </c>
      <c r="D808" t="str">
        <v>AAR-880</v>
      </c>
      <c r="E808" t="str">
        <v/>
      </c>
      <c r="F808" t="str">
        <v>867806078847433</v>
      </c>
      <c r="G808" t="str">
        <v>Otro</v>
      </c>
      <c r="H808" t="str">
        <v/>
      </c>
      <c r="I808" t="str">
        <v>27/09/2026</v>
      </c>
      <c r="J808" t="str">
        <v>14:25:24</v>
      </c>
      <c r="K808">
        <v>-12.19332</v>
      </c>
      <c r="L808">
        <v>-76.927025</v>
      </c>
      <c r="M808">
        <f>HYPERLINK("https://www.google.com/maps/search/?api=1&amp;query=-12.19332,-76.927025","Avenida La Mariscala, Villa María del Triunfo, Lima")</f>
      </c>
      <c r="N808">
        <v>5.9</v>
      </c>
      <c r="O808">
        <v>87</v>
      </c>
      <c r="P808">
        <v>2551</v>
      </c>
      <c r="Q808" t="str">
        <v>160.32</v>
      </c>
      <c r="R808" t="str">
        <v/>
      </c>
      <c r="S808" t="str">
        <v/>
      </c>
      <c r="T808" t="str">
        <v/>
      </c>
      <c r="U808" t="str">
        <v/>
      </c>
    </row>
    <row r="809">
      <c r="A809" t="str">
        <v>808</v>
      </c>
      <c r="B809" t="str">
        <v>MASS BSF</v>
      </c>
      <c r="C809" t="str">
        <v>AAR-880</v>
      </c>
      <c r="D809" t="str">
        <v>AAR-880</v>
      </c>
      <c r="E809" t="str">
        <v/>
      </c>
      <c r="F809" t="str">
        <v>867806078847433</v>
      </c>
      <c r="G809" t="str">
        <v>Otro</v>
      </c>
      <c r="H809" t="str">
        <v/>
      </c>
      <c r="I809" t="str">
        <v>27/09/2026</v>
      </c>
      <c r="J809" t="str">
        <v>14:26:24</v>
      </c>
      <c r="K809">
        <v>-12.19326</v>
      </c>
      <c r="L809">
        <v>-76.92703</v>
      </c>
      <c r="M809">
        <f>HYPERLINK("https://www.google.com/maps/search/?api=1&amp;query=-12.19326,-76.92703","Villa María del Triunfo, Lima")</f>
      </c>
      <c r="N809">
        <v>0</v>
      </c>
      <c r="O809">
        <v>87</v>
      </c>
      <c r="P809">
        <v>2551.02</v>
      </c>
      <c r="Q809" t="str">
        <v>160.32</v>
      </c>
      <c r="R809" t="str">
        <v/>
      </c>
      <c r="S809" t="str">
        <v/>
      </c>
      <c r="T809" t="str">
        <v/>
      </c>
      <c r="U809" t="str">
        <v/>
      </c>
    </row>
    <row r="810">
      <c r="A810" t="str">
        <v>809</v>
      </c>
      <c r="B810" t="str">
        <v>MASS BSF</v>
      </c>
      <c r="C810" t="str">
        <v>AAR-880</v>
      </c>
      <c r="D810" t="str">
        <v>AAR-880</v>
      </c>
      <c r="E810" t="str">
        <v/>
      </c>
      <c r="F810" t="str">
        <v>867806078847433</v>
      </c>
      <c r="G810" t="str">
        <v>Otro</v>
      </c>
      <c r="H810" t="str">
        <v/>
      </c>
      <c r="I810" t="str">
        <v>27/09/2026</v>
      </c>
      <c r="J810" t="str">
        <v>14:27:24</v>
      </c>
      <c r="K810">
        <v>-12.19326</v>
      </c>
      <c r="L810">
        <v>-76.92703</v>
      </c>
      <c r="M810">
        <f>HYPERLINK("https://www.google.com/maps/search/?api=1&amp;query=-12.19326,-76.92703","Villa María del Triunfo, Lima")</f>
      </c>
      <c r="N810">
        <v>0</v>
      </c>
      <c r="O810">
        <v>94</v>
      </c>
      <c r="P810">
        <v>2551.02</v>
      </c>
      <c r="Q810" t="str">
        <v>160.32</v>
      </c>
      <c r="R810" t="str">
        <v/>
      </c>
      <c r="S810" t="str">
        <v/>
      </c>
      <c r="T810" t="str">
        <v/>
      </c>
      <c r="U810" t="str">
        <v/>
      </c>
    </row>
    <row r="811">
      <c r="A811" t="str">
        <v>810</v>
      </c>
      <c r="B811" t="str">
        <v>MASS BSF</v>
      </c>
      <c r="C811" t="str">
        <v>AAR-880</v>
      </c>
      <c r="D811" t="str">
        <v>AAR-880</v>
      </c>
      <c r="E811" t="str">
        <v/>
      </c>
      <c r="F811" t="str">
        <v>867806078847433</v>
      </c>
      <c r="G811" t="str">
        <v>Otro</v>
      </c>
      <c r="H811" t="str">
        <v/>
      </c>
      <c r="I811" t="str">
        <v>27/09/2026</v>
      </c>
      <c r="J811" t="str">
        <v>14:28:24</v>
      </c>
      <c r="K811">
        <v>-12.19326</v>
      </c>
      <c r="L811">
        <v>-76.92703</v>
      </c>
      <c r="M811">
        <f>HYPERLINK("https://www.google.com/maps/search/?api=1&amp;query=-12.19326,-76.92703","Villa María del Triunfo, Lima")</f>
      </c>
      <c r="N811">
        <v>0</v>
      </c>
      <c r="O811">
        <v>94</v>
      </c>
      <c r="P811">
        <v>2551.02</v>
      </c>
      <c r="Q811" t="str">
        <v>160.32</v>
      </c>
      <c r="R811" t="str">
        <v/>
      </c>
      <c r="S811" t="str">
        <v/>
      </c>
      <c r="T811" t="str">
        <v/>
      </c>
      <c r="U811" t="str">
        <v/>
      </c>
    </row>
    <row r="812">
      <c r="A812" t="str">
        <v>811</v>
      </c>
      <c r="B812" t="str">
        <v>MASS BSF</v>
      </c>
      <c r="C812" t="str">
        <v>AAR-880</v>
      </c>
      <c r="D812" t="str">
        <v>AAR-880</v>
      </c>
      <c r="E812" t="str">
        <v/>
      </c>
      <c r="F812" t="str">
        <v>867806078847433</v>
      </c>
      <c r="G812" t="str">
        <v>Otro</v>
      </c>
      <c r="H812" t="str">
        <v/>
      </c>
      <c r="I812" t="str">
        <v>27/09/2026</v>
      </c>
      <c r="J812" t="str">
        <v>14:29:24</v>
      </c>
      <c r="K812">
        <v>-12.19326</v>
      </c>
      <c r="L812">
        <v>-76.92703</v>
      </c>
      <c r="M812">
        <f>HYPERLINK("https://www.google.com/maps/search/?api=1&amp;query=-12.19326,-76.92703","Villa María del Triunfo, Lima")</f>
      </c>
      <c r="N812">
        <v>0</v>
      </c>
      <c r="O812">
        <v>94</v>
      </c>
      <c r="P812">
        <v>2551.02</v>
      </c>
      <c r="Q812" t="str">
        <v>160.32</v>
      </c>
      <c r="R812" t="str">
        <v/>
      </c>
      <c r="S812" t="str">
        <v/>
      </c>
      <c r="T812" t="str">
        <v/>
      </c>
      <c r="U812" t="str">
        <v/>
      </c>
    </row>
    <row r="813">
      <c r="A813" t="str">
        <v>812</v>
      </c>
      <c r="B813" t="str">
        <v>MASS BSF</v>
      </c>
      <c r="C813" t="str">
        <v>AAR-880</v>
      </c>
      <c r="D813" t="str">
        <v>AAR-880</v>
      </c>
      <c r="E813" t="str">
        <v/>
      </c>
      <c r="F813" t="str">
        <v>867806078847433</v>
      </c>
      <c r="G813" t="str">
        <v>Otro</v>
      </c>
      <c r="H813" t="str">
        <v/>
      </c>
      <c r="I813" t="str">
        <v>27/09/2026</v>
      </c>
      <c r="J813" t="str">
        <v>14:30:24</v>
      </c>
      <c r="K813">
        <v>-12.193338</v>
      </c>
      <c r="L813">
        <v>-76.92696</v>
      </c>
      <c r="M813">
        <f>HYPERLINK("https://www.google.com/maps/search/?api=1&amp;query=-12.193338,-76.92696","Avenida La Mariscala, Villa María del Triunfo, Lima")</f>
      </c>
      <c r="N813">
        <v>0</v>
      </c>
      <c r="O813">
        <v>94</v>
      </c>
      <c r="P813">
        <v>2551.03</v>
      </c>
      <c r="Q813" t="str">
        <v>160.32</v>
      </c>
      <c r="R813" t="str">
        <v/>
      </c>
      <c r="S813" t="str">
        <v/>
      </c>
      <c r="T813" t="str">
        <v/>
      </c>
      <c r="U813" t="str">
        <v/>
      </c>
    </row>
    <row r="814">
      <c r="A814" t="str">
        <v>813</v>
      </c>
      <c r="B814" t="str">
        <v>MASS BSF</v>
      </c>
      <c r="C814" t="str">
        <v>AAR-880</v>
      </c>
      <c r="D814" t="str">
        <v>AAR-880</v>
      </c>
      <c r="E814" t="str">
        <v/>
      </c>
      <c r="F814" t="str">
        <v>867806078847433</v>
      </c>
      <c r="G814" t="str">
        <v>Otro</v>
      </c>
      <c r="H814" t="str">
        <v/>
      </c>
      <c r="I814" t="str">
        <v>27/09/2026</v>
      </c>
      <c r="J814" t="str">
        <v>14:31:24</v>
      </c>
      <c r="K814">
        <v>-12.193338</v>
      </c>
      <c r="L814">
        <v>-76.92696</v>
      </c>
      <c r="M814">
        <f>HYPERLINK("https://www.google.com/maps/search/?api=1&amp;query=-12.193338,-76.92696","Avenida La Mariscala, Villa María del Triunfo, Lima")</f>
      </c>
      <c r="N814">
        <v>0</v>
      </c>
      <c r="O814">
        <v>94</v>
      </c>
      <c r="P814">
        <v>2551.03</v>
      </c>
      <c r="Q814" t="str">
        <v>160.32</v>
      </c>
      <c r="R814" t="str">
        <v/>
      </c>
      <c r="S814" t="str">
        <v/>
      </c>
      <c r="T814" t="str">
        <v/>
      </c>
      <c r="U814" t="str">
        <v/>
      </c>
    </row>
    <row r="815">
      <c r="A815" t="str">
        <v>814</v>
      </c>
      <c r="B815" t="str">
        <v>MASS BSF</v>
      </c>
      <c r="C815" t="str">
        <v>AAR-880</v>
      </c>
      <c r="D815" t="str">
        <v>AAR-880</v>
      </c>
      <c r="E815" t="str">
        <v/>
      </c>
      <c r="F815" t="str">
        <v>867806078847433</v>
      </c>
      <c r="G815" t="str">
        <v>Otro</v>
      </c>
      <c r="H815" t="str">
        <v/>
      </c>
      <c r="I815" t="str">
        <v>27/09/2026</v>
      </c>
      <c r="J815" t="str">
        <v>14:32:24</v>
      </c>
      <c r="K815">
        <v>-12.193338</v>
      </c>
      <c r="L815">
        <v>-76.92696</v>
      </c>
      <c r="M815">
        <f>HYPERLINK("https://www.google.com/maps/search/?api=1&amp;query=-12.193338,-76.92696","Avenida La Mariscala, Villa María del Triunfo, Lima")</f>
      </c>
      <c r="N815">
        <v>0</v>
      </c>
      <c r="O815">
        <v>94</v>
      </c>
      <c r="P815">
        <v>2551.03</v>
      </c>
      <c r="Q815" t="str">
        <v>160.32</v>
      </c>
      <c r="R815" t="str">
        <v/>
      </c>
      <c r="S815" t="str">
        <v/>
      </c>
      <c r="T815" t="str">
        <v/>
      </c>
      <c r="U815" t="str">
        <v/>
      </c>
    </row>
    <row r="816">
      <c r="A816" t="str">
        <v>815</v>
      </c>
      <c r="B816" t="str">
        <v>MASS BSF</v>
      </c>
      <c r="C816" t="str">
        <v>AAR-880</v>
      </c>
      <c r="D816" t="str">
        <v>AAR-880</v>
      </c>
      <c r="E816" t="str">
        <v/>
      </c>
      <c r="F816" t="str">
        <v>867806078847433</v>
      </c>
      <c r="G816" t="str">
        <v>Otro</v>
      </c>
      <c r="H816" t="str">
        <v/>
      </c>
      <c r="I816" t="str">
        <v>27/09/2026</v>
      </c>
      <c r="J816" t="str">
        <v>14:33:13</v>
      </c>
      <c r="K816">
        <v>-12.193338</v>
      </c>
      <c r="L816">
        <v>-76.92696</v>
      </c>
      <c r="M816">
        <f>HYPERLINK("https://www.google.com/maps/search/?api=1&amp;query=-12.193338,-76.92696","Avenida La Mariscala, Villa María del Triunfo, Lima")</f>
      </c>
      <c r="N816">
        <v>0</v>
      </c>
      <c r="O816">
        <v>94</v>
      </c>
      <c r="P816">
        <v>2551.03</v>
      </c>
      <c r="Q816" t="str">
        <v>161.02</v>
      </c>
      <c r="R816" t="str">
        <v>Vehículo apagado</v>
      </c>
      <c r="S816" t="str">
        <v/>
      </c>
      <c r="T816" t="str">
        <v/>
      </c>
      <c r="U816" t="str">
        <v/>
      </c>
    </row>
    <row r="817">
      <c r="A817" t="str">
        <v>816</v>
      </c>
      <c r="B817" t="str">
        <v>MASS BSF</v>
      </c>
      <c r="C817" t="str">
        <v>AAR-880</v>
      </c>
      <c r="D817" t="str">
        <v>AAR-880</v>
      </c>
      <c r="E817" t="str">
        <v/>
      </c>
      <c r="F817" t="str">
        <v>867806078847433</v>
      </c>
      <c r="G817" t="str">
        <v>Otro</v>
      </c>
      <c r="H817" t="str">
        <v/>
      </c>
      <c r="I817" t="str">
        <v>27/09/2026</v>
      </c>
      <c r="J817" t="str">
        <v>14:33:13</v>
      </c>
      <c r="K817">
        <v>-12.193338</v>
      </c>
      <c r="L817">
        <v>-76.92696</v>
      </c>
      <c r="M817">
        <f>HYPERLINK("https://www.google.com/maps/search/?api=1&amp;query=-12.193338,-76.92696","Avenida La Mariscala, Villa María del Triunfo, Lima")</f>
      </c>
      <c r="N817">
        <v>0</v>
      </c>
      <c r="O817">
        <v>94</v>
      </c>
      <c r="P817">
        <v>2551.03</v>
      </c>
      <c r="Q817" t="str">
        <v>160.32</v>
      </c>
      <c r="R817" t="str">
        <v>Se detuvo</v>
      </c>
      <c r="S817" t="str">
        <v/>
      </c>
      <c r="T817" t="str">
        <v/>
      </c>
      <c r="U817" t="str">
        <v/>
      </c>
    </row>
    <row r="818">
      <c r="A818" t="str">
        <v>817</v>
      </c>
      <c r="B818" t="str">
        <v>MASS BSF</v>
      </c>
      <c r="C818" t="str">
        <v>AAR-880</v>
      </c>
      <c r="D818" t="str">
        <v>AAR-880</v>
      </c>
      <c r="E818" t="str">
        <v/>
      </c>
      <c r="F818" t="str">
        <v>867806078847433</v>
      </c>
      <c r="G818" t="str">
        <v>Otro</v>
      </c>
      <c r="H818" t="str">
        <v/>
      </c>
      <c r="I818" t="str">
        <v>27/09/2026</v>
      </c>
      <c r="J818" t="str">
        <v>14:43:13</v>
      </c>
      <c r="K818">
        <v>-12.193338</v>
      </c>
      <c r="L818">
        <v>-76.92696</v>
      </c>
      <c r="M818">
        <f>HYPERLINK("https://www.google.com/maps/search/?api=1&amp;query=-12.193338,-76.92696","Avenida La Mariscala, Villa María del Triunfo, Lima")</f>
      </c>
      <c r="N818">
        <v>0</v>
      </c>
      <c r="O818">
        <v>94</v>
      </c>
      <c r="P818">
        <v>2551.03</v>
      </c>
      <c r="Q818" t="str">
        <v>161.02</v>
      </c>
      <c r="R818" t="str">
        <v/>
      </c>
      <c r="S818" t="str">
        <v/>
      </c>
      <c r="T818" t="str">
        <v/>
      </c>
      <c r="U818" t="str">
        <v/>
      </c>
    </row>
    <row r="819">
      <c r="A819" t="str">
        <v>818</v>
      </c>
      <c r="B819" t="str">
        <v>MASS BSF</v>
      </c>
      <c r="C819" t="str">
        <v>AAR-880</v>
      </c>
      <c r="D819" t="str">
        <v>AAR-880</v>
      </c>
      <c r="E819" t="str">
        <v/>
      </c>
      <c r="F819" t="str">
        <v>867806078847433</v>
      </c>
      <c r="G819" t="str">
        <v>Otro</v>
      </c>
      <c r="H819" t="str">
        <v/>
      </c>
      <c r="I819" t="str">
        <v>27/09/2026</v>
      </c>
      <c r="J819" t="str">
        <v>14:53:13</v>
      </c>
      <c r="K819">
        <v>-12.193338</v>
      </c>
      <c r="L819">
        <v>-76.92696</v>
      </c>
      <c r="M819">
        <f>HYPERLINK("https://www.google.com/maps/search/?api=1&amp;query=-12.193338,-76.92696","Avenida La Mariscala, Villa María del Triunfo, Lima")</f>
      </c>
      <c r="N819">
        <v>0</v>
      </c>
      <c r="O819">
        <v>94</v>
      </c>
      <c r="P819">
        <v>2551.03</v>
      </c>
      <c r="Q819" t="str">
        <v>161.02</v>
      </c>
      <c r="R819" t="str">
        <v/>
      </c>
      <c r="S819" t="str">
        <v/>
      </c>
      <c r="T819" t="str">
        <v/>
      </c>
      <c r="U819" t="str">
        <v/>
      </c>
    </row>
    <row r="820">
      <c r="A820" t="str">
        <v>819</v>
      </c>
      <c r="B820" t="str">
        <v>MASS BSF</v>
      </c>
      <c r="C820" t="str">
        <v>AAR-880</v>
      </c>
      <c r="D820" t="str">
        <v>AAR-880</v>
      </c>
      <c r="E820" t="str">
        <v/>
      </c>
      <c r="F820" t="str">
        <v>867806078847433</v>
      </c>
      <c r="G820" t="str">
        <v>Otro</v>
      </c>
      <c r="H820" t="str">
        <v/>
      </c>
      <c r="I820" t="str">
        <v>27/09/2026</v>
      </c>
      <c r="J820" t="str">
        <v>15:03:13</v>
      </c>
      <c r="K820">
        <v>-12.193338</v>
      </c>
      <c r="L820">
        <v>-76.92696</v>
      </c>
      <c r="M820">
        <f>HYPERLINK("https://www.google.com/maps/search/?api=1&amp;query=-12.193338,-76.92696","Avenida La Mariscala, Villa María del Triunfo, Lima")</f>
      </c>
      <c r="N820">
        <v>0</v>
      </c>
      <c r="O820">
        <v>94</v>
      </c>
      <c r="P820">
        <v>2551.03</v>
      </c>
      <c r="Q820" t="str">
        <v>161.02</v>
      </c>
      <c r="R820" t="str">
        <v/>
      </c>
      <c r="S820" t="str">
        <v/>
      </c>
      <c r="T820" t="str">
        <v/>
      </c>
      <c r="U820" t="str">
        <v/>
      </c>
    </row>
    <row r="821">
      <c r="A821" t="str">
        <v>820</v>
      </c>
      <c r="B821" t="str">
        <v>MASS BSF</v>
      </c>
      <c r="C821" t="str">
        <v>AAR-880</v>
      </c>
      <c r="D821" t="str">
        <v>AAR-880</v>
      </c>
      <c r="E821" t="str">
        <v/>
      </c>
      <c r="F821" t="str">
        <v>867806078847433</v>
      </c>
      <c r="G821" t="str">
        <v>Otro</v>
      </c>
      <c r="H821" t="str">
        <v/>
      </c>
      <c r="I821" t="str">
        <v>27/09/2026</v>
      </c>
      <c r="J821" t="str">
        <v>15:13:13</v>
      </c>
      <c r="K821">
        <v>-12.193338</v>
      </c>
      <c r="L821">
        <v>-76.92696</v>
      </c>
      <c r="M821">
        <f>HYPERLINK("https://www.google.com/maps/search/?api=1&amp;query=-12.193338,-76.92696","Avenida La Mariscala, Villa María del Triunfo, Lima")</f>
      </c>
      <c r="N821">
        <v>0</v>
      </c>
      <c r="O821">
        <v>94</v>
      </c>
      <c r="P821">
        <v>2551.03</v>
      </c>
      <c r="Q821" t="str">
        <v>161.02</v>
      </c>
      <c r="R821" t="str">
        <v/>
      </c>
      <c r="S821" t="str">
        <v/>
      </c>
      <c r="T821" t="str">
        <v/>
      </c>
      <c r="U821" t="str">
        <v/>
      </c>
    </row>
    <row r="822">
      <c r="A822" t="str">
        <v>821</v>
      </c>
      <c r="B822" t="str">
        <v>MASS BSF</v>
      </c>
      <c r="C822" t="str">
        <v>AAR-880</v>
      </c>
      <c r="D822" t="str">
        <v>AAR-880</v>
      </c>
      <c r="E822" t="str">
        <v/>
      </c>
      <c r="F822" t="str">
        <v>867806078847433</v>
      </c>
      <c r="G822" t="str">
        <v>Otro</v>
      </c>
      <c r="H822" t="str">
        <v/>
      </c>
      <c r="I822" t="str">
        <v>27/09/2026</v>
      </c>
      <c r="J822" t="str">
        <v>15:23:13</v>
      </c>
      <c r="K822">
        <v>-12.193338</v>
      </c>
      <c r="L822">
        <v>-76.92696</v>
      </c>
      <c r="M822">
        <f>HYPERLINK("https://www.google.com/maps/search/?api=1&amp;query=-12.193338,-76.92696","Avenida La Mariscala, Villa María del Triunfo, Lima")</f>
      </c>
      <c r="N822">
        <v>0</v>
      </c>
      <c r="O822">
        <v>94</v>
      </c>
      <c r="P822">
        <v>2551.03</v>
      </c>
      <c r="Q822" t="str">
        <v>161.02</v>
      </c>
      <c r="R822" t="str">
        <v/>
      </c>
      <c r="S822" t="str">
        <v/>
      </c>
      <c r="T822" t="str">
        <v/>
      </c>
      <c r="U822" t="str">
        <v/>
      </c>
    </row>
    <row r="823">
      <c r="A823" t="str">
        <v>822</v>
      </c>
      <c r="B823" t="str">
        <v>MASS BSF</v>
      </c>
      <c r="C823" t="str">
        <v>AAR-880</v>
      </c>
      <c r="D823" t="str">
        <v>AAR-880</v>
      </c>
      <c r="E823" t="str">
        <v/>
      </c>
      <c r="F823" t="str">
        <v>867806078847433</v>
      </c>
      <c r="G823" t="str">
        <v>Otro</v>
      </c>
      <c r="H823" t="str">
        <v/>
      </c>
      <c r="I823" t="str">
        <v>27/09/2026</v>
      </c>
      <c r="J823" t="str">
        <v>15:33:13</v>
      </c>
      <c r="K823">
        <v>-12.193338</v>
      </c>
      <c r="L823">
        <v>-76.92696</v>
      </c>
      <c r="M823">
        <f>HYPERLINK("https://www.google.com/maps/search/?api=1&amp;query=-12.193338,-76.92696","Avenida La Mariscala, Villa María del Triunfo, Lima")</f>
      </c>
      <c r="N823">
        <v>0</v>
      </c>
      <c r="O823">
        <v>85</v>
      </c>
      <c r="P823">
        <v>2551.03</v>
      </c>
      <c r="Q823" t="str">
        <v>161.02</v>
      </c>
      <c r="R823" t="str">
        <v/>
      </c>
      <c r="S823" t="str">
        <v/>
      </c>
      <c r="T823" t="str">
        <v/>
      </c>
      <c r="U823" t="str">
        <v/>
      </c>
    </row>
    <row r="824">
      <c r="A824" t="str">
        <v>823</v>
      </c>
      <c r="B824" t="str">
        <v>MASS BSF</v>
      </c>
      <c r="C824" t="str">
        <v>AAR-880</v>
      </c>
      <c r="D824" t="str">
        <v>AAR-880</v>
      </c>
      <c r="E824" t="str">
        <v/>
      </c>
      <c r="F824" t="str">
        <v>867806078847433</v>
      </c>
      <c r="G824" t="str">
        <v>Otro</v>
      </c>
      <c r="H824" t="str">
        <v/>
      </c>
      <c r="I824" t="str">
        <v>27/09/2026</v>
      </c>
      <c r="J824" t="str">
        <v>15:43:13</v>
      </c>
      <c r="K824">
        <v>-12.193338</v>
      </c>
      <c r="L824">
        <v>-76.92696</v>
      </c>
      <c r="M824">
        <f>HYPERLINK("https://www.google.com/maps/search/?api=1&amp;query=-12.193338,-76.92696","Avenida La Mariscala, Villa María del Triunfo, Lima")</f>
      </c>
      <c r="N824">
        <v>0</v>
      </c>
      <c r="O824">
        <v>87</v>
      </c>
      <c r="P824">
        <v>2551.03</v>
      </c>
      <c r="Q824" t="str">
        <v>161.02</v>
      </c>
      <c r="R824" t="str">
        <v/>
      </c>
      <c r="S824" t="str">
        <v/>
      </c>
      <c r="T824" t="str">
        <v/>
      </c>
      <c r="U824" t="str">
        <v/>
      </c>
    </row>
    <row r="825">
      <c r="A825" t="str">
        <v>824</v>
      </c>
      <c r="B825" t="str">
        <v>MASS BSF</v>
      </c>
      <c r="C825" t="str">
        <v>AAR-880</v>
      </c>
      <c r="D825" t="str">
        <v>AAR-880</v>
      </c>
      <c r="E825" t="str">
        <v/>
      </c>
      <c r="F825" t="str">
        <v>867806078847433</v>
      </c>
      <c r="G825" t="str">
        <v>Otro</v>
      </c>
      <c r="H825" t="str">
        <v/>
      </c>
      <c r="I825" t="str">
        <v>27/09/2026</v>
      </c>
      <c r="J825" t="str">
        <v>15:53:13</v>
      </c>
      <c r="K825">
        <v>-12.193338</v>
      </c>
      <c r="L825">
        <v>-76.92696</v>
      </c>
      <c r="M825">
        <f>HYPERLINK("https://www.google.com/maps/search/?api=1&amp;query=-12.193338,-76.92696","Avenida La Mariscala, Villa María del Triunfo, Lima")</f>
      </c>
      <c r="N825">
        <v>0</v>
      </c>
      <c r="O825">
        <v>87</v>
      </c>
      <c r="P825">
        <v>2551.03</v>
      </c>
      <c r="Q825" t="str">
        <v>161.02</v>
      </c>
      <c r="R825" t="str">
        <v/>
      </c>
      <c r="S825" t="str">
        <v/>
      </c>
      <c r="T825" t="str">
        <v/>
      </c>
      <c r="U825" t="str">
        <v/>
      </c>
    </row>
    <row r="826">
      <c r="A826" t="str">
        <v>825</v>
      </c>
      <c r="B826" t="str">
        <v>MASS BSF</v>
      </c>
      <c r="C826" t="str">
        <v>AAR-880</v>
      </c>
      <c r="D826" t="str">
        <v>AAR-880</v>
      </c>
      <c r="E826" t="str">
        <v/>
      </c>
      <c r="F826" t="str">
        <v>867806078847433</v>
      </c>
      <c r="G826" t="str">
        <v>Otro</v>
      </c>
      <c r="H826" t="str">
        <v/>
      </c>
      <c r="I826" t="str">
        <v>27/09/2026</v>
      </c>
      <c r="J826" t="str">
        <v>16:03:13</v>
      </c>
      <c r="K826">
        <v>-12.193338</v>
      </c>
      <c r="L826">
        <v>-76.92696</v>
      </c>
      <c r="M826">
        <f>HYPERLINK("https://www.google.com/maps/search/?api=1&amp;query=-12.193338,-76.92696","Avenida La Mariscala, Villa María del Triunfo, Lima")</f>
      </c>
      <c r="N826">
        <v>0</v>
      </c>
      <c r="O826">
        <v>87</v>
      </c>
      <c r="P826">
        <v>2551.03</v>
      </c>
      <c r="Q826" t="str">
        <v>161.02</v>
      </c>
      <c r="R826" t="str">
        <v/>
      </c>
      <c r="S826" t="str">
        <v/>
      </c>
      <c r="T826" t="str">
        <v/>
      </c>
      <c r="U826" t="str">
        <v/>
      </c>
    </row>
    <row r="827">
      <c r="A827" t="str">
        <v>826</v>
      </c>
      <c r="B827" t="str">
        <v>MASS BSF</v>
      </c>
      <c r="C827" t="str">
        <v>AAR-880</v>
      </c>
      <c r="D827" t="str">
        <v>AAR-880</v>
      </c>
      <c r="E827" t="str">
        <v/>
      </c>
      <c r="F827" t="str">
        <v>867806078847433</v>
      </c>
      <c r="G827" t="str">
        <v>Otro</v>
      </c>
      <c r="H827" t="str">
        <v/>
      </c>
      <c r="I827" t="str">
        <v>27/09/2026</v>
      </c>
      <c r="J827" t="str">
        <v>16:13:13</v>
      </c>
      <c r="K827">
        <v>-12.193338</v>
      </c>
      <c r="L827">
        <v>-76.92696</v>
      </c>
      <c r="M827">
        <f>HYPERLINK("https://www.google.com/maps/search/?api=1&amp;query=-12.193338,-76.92696","Avenida La Mariscala, Villa María del Triunfo, Lima")</f>
      </c>
      <c r="N827">
        <v>0</v>
      </c>
      <c r="O827">
        <v>89</v>
      </c>
      <c r="P827">
        <v>2551.03</v>
      </c>
      <c r="Q827" t="str">
        <v>161.02</v>
      </c>
      <c r="R827" t="str">
        <v/>
      </c>
      <c r="S827" t="str">
        <v/>
      </c>
      <c r="T827" t="str">
        <v/>
      </c>
      <c r="U827" t="str">
        <v/>
      </c>
    </row>
    <row r="828">
      <c r="A828" t="str">
        <v>827</v>
      </c>
      <c r="B828" t="str">
        <v>MASS BSF</v>
      </c>
      <c r="C828" t="str">
        <v>AAR-880</v>
      </c>
      <c r="D828" t="str">
        <v>AAR-880</v>
      </c>
      <c r="E828" t="str">
        <v/>
      </c>
      <c r="F828" t="str">
        <v>867806078847433</v>
      </c>
      <c r="G828" t="str">
        <v>Otro</v>
      </c>
      <c r="H828" t="str">
        <v/>
      </c>
      <c r="I828" t="str">
        <v>27/09/2026</v>
      </c>
      <c r="J828" t="str">
        <v>16:23:13</v>
      </c>
      <c r="K828">
        <v>-12.193338</v>
      </c>
      <c r="L828">
        <v>-76.92696</v>
      </c>
      <c r="M828">
        <f>HYPERLINK("https://www.google.com/maps/search/?api=1&amp;query=-12.193338,-76.92696","Avenida La Mariscala, Villa María del Triunfo, Lima")</f>
      </c>
      <c r="N828">
        <v>0</v>
      </c>
      <c r="O828">
        <v>87</v>
      </c>
      <c r="P828">
        <v>2551.03</v>
      </c>
      <c r="Q828" t="str">
        <v>161.02</v>
      </c>
      <c r="R828" t="str">
        <v/>
      </c>
      <c r="S828" t="str">
        <v/>
      </c>
      <c r="T828" t="str">
        <v/>
      </c>
      <c r="U828" t="str">
        <v/>
      </c>
    </row>
    <row r="829">
      <c r="A829" t="str">
        <v>828</v>
      </c>
      <c r="B829" t="str">
        <v>MASS BSF</v>
      </c>
      <c r="C829" t="str">
        <v>AAR-880</v>
      </c>
      <c r="D829" t="str">
        <v>AAR-880</v>
      </c>
      <c r="E829" t="str">
        <v/>
      </c>
      <c r="F829" t="str">
        <v>867806078847433</v>
      </c>
      <c r="G829" t="str">
        <v>Otro</v>
      </c>
      <c r="H829" t="str">
        <v/>
      </c>
      <c r="I829" t="str">
        <v>27/09/2026</v>
      </c>
      <c r="J829" t="str">
        <v>16:33:13</v>
      </c>
      <c r="K829">
        <v>-12.193338</v>
      </c>
      <c r="L829">
        <v>-76.92696</v>
      </c>
      <c r="M829">
        <f>HYPERLINK("https://www.google.com/maps/search/?api=1&amp;query=-12.193338,-76.92696","Avenida La Mariscala, Villa María del Triunfo, Lima")</f>
      </c>
      <c r="N829">
        <v>0</v>
      </c>
      <c r="O829">
        <v>93</v>
      </c>
      <c r="P829">
        <v>2551.03</v>
      </c>
      <c r="Q829" t="str">
        <v>161.02</v>
      </c>
      <c r="R829" t="str">
        <v/>
      </c>
      <c r="S829" t="str">
        <v/>
      </c>
      <c r="T829" t="str">
        <v/>
      </c>
      <c r="U829" t="str">
        <v/>
      </c>
    </row>
    <row r="830">
      <c r="A830" t="str">
        <v>829</v>
      </c>
      <c r="B830" t="str">
        <v>MASS BSF</v>
      </c>
      <c r="C830" t="str">
        <v>AAR-880</v>
      </c>
      <c r="D830" t="str">
        <v>AAR-880</v>
      </c>
      <c r="E830" t="str">
        <v/>
      </c>
      <c r="F830" t="str">
        <v>867806078847433</v>
      </c>
      <c r="G830" t="str">
        <v>Otro</v>
      </c>
      <c r="H830" t="str">
        <v/>
      </c>
      <c r="I830" t="str">
        <v>27/09/2026</v>
      </c>
      <c r="J830" t="str">
        <v>16:43:13</v>
      </c>
      <c r="K830">
        <v>-12.193338</v>
      </c>
      <c r="L830">
        <v>-76.92696</v>
      </c>
      <c r="M830">
        <f>HYPERLINK("https://www.google.com/maps/search/?api=1&amp;query=-12.193338,-76.92696","Avenida La Mariscala, Villa María del Triunfo, Lima")</f>
      </c>
      <c r="N830">
        <v>0</v>
      </c>
      <c r="O830">
        <v>93</v>
      </c>
      <c r="P830">
        <v>2551.03</v>
      </c>
      <c r="Q830" t="str">
        <v>161.02</v>
      </c>
      <c r="R830" t="str">
        <v/>
      </c>
      <c r="S830" t="str">
        <v/>
      </c>
      <c r="T830" t="str">
        <v/>
      </c>
      <c r="U830" t="str">
        <v/>
      </c>
    </row>
    <row r="831">
      <c r="A831" t="str">
        <v>830</v>
      </c>
      <c r="B831" t="str">
        <v>MASS BSF</v>
      </c>
      <c r="C831" t="str">
        <v>AAR-880</v>
      </c>
      <c r="D831" t="str">
        <v>AAR-880</v>
      </c>
      <c r="E831" t="str">
        <v/>
      </c>
      <c r="F831" t="str">
        <v>867806078847433</v>
      </c>
      <c r="G831" t="str">
        <v>Otro</v>
      </c>
      <c r="H831" t="str">
        <v/>
      </c>
      <c r="I831" t="str">
        <v>27/09/2026</v>
      </c>
      <c r="J831" t="str">
        <v>16:53:13</v>
      </c>
      <c r="K831">
        <v>-12.193338</v>
      </c>
      <c r="L831">
        <v>-76.92696</v>
      </c>
      <c r="M831">
        <f>HYPERLINK("https://www.google.com/maps/search/?api=1&amp;query=-12.193338,-76.92696","Avenida La Mariscala, Villa María del Triunfo, Lima")</f>
      </c>
      <c r="N831">
        <v>0</v>
      </c>
      <c r="O831">
        <v>86</v>
      </c>
      <c r="P831">
        <v>2551.03</v>
      </c>
      <c r="Q831" t="str">
        <v>161.02</v>
      </c>
      <c r="R831" t="str">
        <v/>
      </c>
      <c r="S831" t="str">
        <v/>
      </c>
      <c r="T831" t="str">
        <v/>
      </c>
      <c r="U831" t="str">
        <v/>
      </c>
    </row>
    <row r="832">
      <c r="A832" t="str">
        <v>831</v>
      </c>
      <c r="B832" t="str">
        <v>MASS BSF</v>
      </c>
      <c r="C832" t="str">
        <v>AAR-880</v>
      </c>
      <c r="D832" t="str">
        <v>AAR-880</v>
      </c>
      <c r="E832" t="str">
        <v/>
      </c>
      <c r="F832" t="str">
        <v>867806078847433</v>
      </c>
      <c r="G832" t="str">
        <v>Otro</v>
      </c>
      <c r="H832" t="str">
        <v/>
      </c>
      <c r="I832" t="str">
        <v>27/09/2026</v>
      </c>
      <c r="J832" t="str">
        <v>17:03:13</v>
      </c>
      <c r="K832">
        <v>-12.193338</v>
      </c>
      <c r="L832">
        <v>-76.92696</v>
      </c>
      <c r="M832">
        <f>HYPERLINK("https://www.google.com/maps/search/?api=1&amp;query=-12.193338,-76.92696","Avenida La Mariscala, Villa María del Triunfo, Lima")</f>
      </c>
      <c r="N832">
        <v>0</v>
      </c>
      <c r="O832">
        <v>85</v>
      </c>
      <c r="P832">
        <v>2551.03</v>
      </c>
      <c r="Q832" t="str">
        <v>161.02</v>
      </c>
      <c r="R832" t="str">
        <v/>
      </c>
      <c r="S832" t="str">
        <v/>
      </c>
      <c r="T832" t="str">
        <v/>
      </c>
      <c r="U832" t="str">
        <v/>
      </c>
    </row>
    <row r="833">
      <c r="A833" t="str">
        <v>832</v>
      </c>
      <c r="B833" t="str">
        <v>MASS BSF</v>
      </c>
      <c r="C833" t="str">
        <v>AAR-880</v>
      </c>
      <c r="D833" t="str">
        <v>AAR-880</v>
      </c>
      <c r="E833" t="str">
        <v/>
      </c>
      <c r="F833" t="str">
        <v>867806078847433</v>
      </c>
      <c r="G833" t="str">
        <v>Otro</v>
      </c>
      <c r="H833" t="str">
        <v/>
      </c>
      <c r="I833" t="str">
        <v>27/09/2026</v>
      </c>
      <c r="J833" t="str">
        <v>17:13:13</v>
      </c>
      <c r="K833">
        <v>-12.193338</v>
      </c>
      <c r="L833">
        <v>-76.92696</v>
      </c>
      <c r="M833">
        <f>HYPERLINK("https://www.google.com/maps/search/?api=1&amp;query=-12.193338,-76.92696","Avenida La Mariscala, Villa María del Triunfo, Lima")</f>
      </c>
      <c r="N833">
        <v>0</v>
      </c>
      <c r="O833">
        <v>85</v>
      </c>
      <c r="P833">
        <v>2551.03</v>
      </c>
      <c r="Q833" t="str">
        <v>161.02</v>
      </c>
      <c r="R833" t="str">
        <v/>
      </c>
      <c r="S833" t="str">
        <v/>
      </c>
      <c r="T833" t="str">
        <v/>
      </c>
      <c r="U833" t="str">
        <v/>
      </c>
    </row>
    <row r="834">
      <c r="A834" t="str">
        <v>833</v>
      </c>
      <c r="B834" t="str">
        <v>MASS BSF</v>
      </c>
      <c r="C834" t="str">
        <v>AAR-880</v>
      </c>
      <c r="D834" t="str">
        <v>AAR-880</v>
      </c>
      <c r="E834" t="str">
        <v/>
      </c>
      <c r="F834" t="str">
        <v>867806078847433</v>
      </c>
      <c r="G834" t="str">
        <v>Otro</v>
      </c>
      <c r="H834" t="str">
        <v/>
      </c>
      <c r="I834" t="str">
        <v>27/09/2026</v>
      </c>
      <c r="J834" t="str">
        <v>17:23:13</v>
      </c>
      <c r="K834">
        <v>-12.193338</v>
      </c>
      <c r="L834">
        <v>-76.92696</v>
      </c>
      <c r="M834">
        <f>HYPERLINK("https://www.google.com/maps/search/?api=1&amp;query=-12.193338,-76.92696","Avenida La Mariscala, Villa María del Triunfo, Lima")</f>
      </c>
      <c r="N834">
        <v>0</v>
      </c>
      <c r="O834">
        <v>85</v>
      </c>
      <c r="P834">
        <v>2551.03</v>
      </c>
      <c r="Q834" t="str">
        <v>161.02</v>
      </c>
      <c r="R834" t="str">
        <v/>
      </c>
      <c r="S834" t="str">
        <v/>
      </c>
      <c r="T834" t="str">
        <v/>
      </c>
      <c r="U834" t="str">
        <v/>
      </c>
    </row>
    <row r="835">
      <c r="A835" t="str">
        <v>834</v>
      </c>
      <c r="B835" t="str">
        <v>MASS BSF</v>
      </c>
      <c r="C835" t="str">
        <v>AAR-880</v>
      </c>
      <c r="D835" t="str">
        <v>AAR-880</v>
      </c>
      <c r="E835" t="str">
        <v/>
      </c>
      <c r="F835" t="str">
        <v>867806078847433</v>
      </c>
      <c r="G835" t="str">
        <v>Otro</v>
      </c>
      <c r="H835" t="str">
        <v/>
      </c>
      <c r="I835" t="str">
        <v>27/09/2026</v>
      </c>
      <c r="J835" t="str">
        <v>17:33:13</v>
      </c>
      <c r="K835">
        <v>-12.193338</v>
      </c>
      <c r="L835">
        <v>-76.92696</v>
      </c>
      <c r="M835">
        <f>HYPERLINK("https://www.google.com/maps/search/?api=1&amp;query=-12.193338,-76.92696","Avenida La Mariscala, Villa María del Triunfo, Lima")</f>
      </c>
      <c r="N835">
        <v>0</v>
      </c>
      <c r="O835">
        <v>85</v>
      </c>
      <c r="P835">
        <v>2551.03</v>
      </c>
      <c r="Q835" t="str">
        <v>161.02</v>
      </c>
      <c r="R835" t="str">
        <v/>
      </c>
      <c r="S835" t="str">
        <v/>
      </c>
      <c r="T835" t="str">
        <v/>
      </c>
      <c r="U835" t="str">
        <v/>
      </c>
    </row>
    <row r="836">
      <c r="A836" t="str">
        <v>835</v>
      </c>
      <c r="B836" t="str">
        <v>MASS BSF</v>
      </c>
      <c r="C836" t="str">
        <v>AAR-880</v>
      </c>
      <c r="D836" t="str">
        <v>AAR-880</v>
      </c>
      <c r="E836" t="str">
        <v/>
      </c>
      <c r="F836" t="str">
        <v>867806078847433</v>
      </c>
      <c r="G836" t="str">
        <v>Otro</v>
      </c>
      <c r="H836" t="str">
        <v/>
      </c>
      <c r="I836" t="str">
        <v>27/09/2026</v>
      </c>
      <c r="J836" t="str">
        <v>17:43:13</v>
      </c>
      <c r="K836">
        <v>-12.193338</v>
      </c>
      <c r="L836">
        <v>-76.92696</v>
      </c>
      <c r="M836">
        <f>HYPERLINK("https://www.google.com/maps/search/?api=1&amp;query=-12.193338,-76.92696","Avenida La Mariscala, Villa María del Triunfo, Lima")</f>
      </c>
      <c r="N836">
        <v>0</v>
      </c>
      <c r="O836">
        <v>85</v>
      </c>
      <c r="P836">
        <v>2551.03</v>
      </c>
      <c r="Q836" t="str">
        <v>161.02</v>
      </c>
      <c r="R836" t="str">
        <v/>
      </c>
      <c r="S836" t="str">
        <v/>
      </c>
      <c r="T836" t="str">
        <v/>
      </c>
      <c r="U836" t="str">
        <v/>
      </c>
    </row>
    <row r="837">
      <c r="A837" t="str">
        <v>836</v>
      </c>
      <c r="B837" t="str">
        <v>MASS BSF</v>
      </c>
      <c r="C837" t="str">
        <v>AAR-880</v>
      </c>
      <c r="D837" t="str">
        <v>AAR-880</v>
      </c>
      <c r="E837" t="str">
        <v/>
      </c>
      <c r="F837" t="str">
        <v>867806078847433</v>
      </c>
      <c r="G837" t="str">
        <v>Otro</v>
      </c>
      <c r="H837" t="str">
        <v/>
      </c>
      <c r="I837" t="str">
        <v>27/09/2026</v>
      </c>
      <c r="J837" t="str">
        <v>17:53:13</v>
      </c>
      <c r="K837">
        <v>-12.193338</v>
      </c>
      <c r="L837">
        <v>-76.92696</v>
      </c>
      <c r="M837">
        <f>HYPERLINK("https://www.google.com/maps/search/?api=1&amp;query=-12.193338,-76.92696","Avenida La Mariscala, Villa María del Triunfo, Lima")</f>
      </c>
      <c r="N837">
        <v>0</v>
      </c>
      <c r="O837">
        <v>85</v>
      </c>
      <c r="P837">
        <v>2551.03</v>
      </c>
      <c r="Q837" t="str">
        <v>161.02</v>
      </c>
      <c r="R837" t="str">
        <v/>
      </c>
      <c r="S837" t="str">
        <v/>
      </c>
      <c r="T837" t="str">
        <v/>
      </c>
      <c r="U837" t="str">
        <v/>
      </c>
    </row>
    <row r="838">
      <c r="A838" t="str">
        <v>837</v>
      </c>
      <c r="B838" t="str">
        <v>MASS BSF</v>
      </c>
      <c r="C838" t="str">
        <v>AAR-880</v>
      </c>
      <c r="D838" t="str">
        <v>AAR-880</v>
      </c>
      <c r="E838" t="str">
        <v/>
      </c>
      <c r="F838" t="str">
        <v>867806078847433</v>
      </c>
      <c r="G838" t="str">
        <v>Otro</v>
      </c>
      <c r="H838" t="str">
        <v/>
      </c>
      <c r="I838" t="str">
        <v>27/09/2026</v>
      </c>
      <c r="J838" t="str">
        <v>18:03:13</v>
      </c>
      <c r="K838">
        <v>-12.193338</v>
      </c>
      <c r="L838">
        <v>-76.92696</v>
      </c>
      <c r="M838">
        <f>HYPERLINK("https://www.google.com/maps/search/?api=1&amp;query=-12.193338,-76.92696","Avenida La Mariscala, Villa María del Triunfo, Lima")</f>
      </c>
      <c r="N838">
        <v>0</v>
      </c>
      <c r="O838">
        <v>85</v>
      </c>
      <c r="P838">
        <v>2551.03</v>
      </c>
      <c r="Q838" t="str">
        <v>161.02</v>
      </c>
      <c r="R838" t="str">
        <v/>
      </c>
      <c r="S838" t="str">
        <v/>
      </c>
      <c r="T838" t="str">
        <v/>
      </c>
      <c r="U838" t="str">
        <v/>
      </c>
    </row>
    <row r="839">
      <c r="A839" t="str">
        <v>838</v>
      </c>
      <c r="B839" t="str">
        <v>MASS BSF</v>
      </c>
      <c r="C839" t="str">
        <v>AAR-880</v>
      </c>
      <c r="D839" t="str">
        <v>AAR-880</v>
      </c>
      <c r="E839" t="str">
        <v/>
      </c>
      <c r="F839" t="str">
        <v>867806078847433</v>
      </c>
      <c r="G839" t="str">
        <v>Otro</v>
      </c>
      <c r="H839" t="str">
        <v/>
      </c>
      <c r="I839" t="str">
        <v>27/09/2026</v>
      </c>
      <c r="J839" t="str">
        <v>18:13:13</v>
      </c>
      <c r="K839">
        <v>-12.193338</v>
      </c>
      <c r="L839">
        <v>-76.92696</v>
      </c>
      <c r="M839">
        <f>HYPERLINK("https://www.google.com/maps/search/?api=1&amp;query=-12.193338,-76.92696","Avenida La Mariscala, Villa María del Triunfo, Lima")</f>
      </c>
      <c r="N839">
        <v>0</v>
      </c>
      <c r="O839">
        <v>85</v>
      </c>
      <c r="P839">
        <v>2551.03</v>
      </c>
      <c r="Q839" t="str">
        <v>161.02</v>
      </c>
      <c r="R839" t="str">
        <v/>
      </c>
      <c r="S839" t="str">
        <v/>
      </c>
      <c r="T839" t="str">
        <v/>
      </c>
      <c r="U839" t="str">
        <v/>
      </c>
    </row>
    <row r="840">
      <c r="A840" t="str">
        <v>839</v>
      </c>
      <c r="B840" t="str">
        <v>MASS BSF</v>
      </c>
      <c r="C840" t="str">
        <v>AAR-880</v>
      </c>
      <c r="D840" t="str">
        <v>AAR-880</v>
      </c>
      <c r="E840" t="str">
        <v/>
      </c>
      <c r="F840" t="str">
        <v>867806078847433</v>
      </c>
      <c r="G840" t="str">
        <v>Otro</v>
      </c>
      <c r="H840" t="str">
        <v/>
      </c>
      <c r="I840" t="str">
        <v>27/09/2026</v>
      </c>
      <c r="J840" t="str">
        <v>18:23:13</v>
      </c>
      <c r="K840">
        <v>-12.193338</v>
      </c>
      <c r="L840">
        <v>-76.92696</v>
      </c>
      <c r="M840">
        <f>HYPERLINK("https://www.google.com/maps/search/?api=1&amp;query=-12.193338,-76.92696","Avenida La Mariscala, Villa María del Triunfo, Lima")</f>
      </c>
      <c r="N840">
        <v>0</v>
      </c>
      <c r="O840">
        <v>89</v>
      </c>
      <c r="P840">
        <v>2551.03</v>
      </c>
      <c r="Q840" t="str">
        <v>161.02</v>
      </c>
      <c r="R840" t="str">
        <v/>
      </c>
      <c r="S840" t="str">
        <v/>
      </c>
      <c r="T840" t="str">
        <v/>
      </c>
      <c r="U840" t="str">
        <v/>
      </c>
    </row>
    <row r="841">
      <c r="A841" t="str">
        <v>840</v>
      </c>
      <c r="B841" t="str">
        <v>MASS BSF</v>
      </c>
      <c r="C841" t="str">
        <v>AAR-880</v>
      </c>
      <c r="D841" t="str">
        <v>AAR-880</v>
      </c>
      <c r="E841" t="str">
        <v/>
      </c>
      <c r="F841" t="str">
        <v>867806078847433</v>
      </c>
      <c r="G841" t="str">
        <v>Otro</v>
      </c>
      <c r="H841" t="str">
        <v/>
      </c>
      <c r="I841" t="str">
        <v>27/09/2026</v>
      </c>
      <c r="J841" t="str">
        <v>18:33:13</v>
      </c>
      <c r="K841">
        <v>-12.193338</v>
      </c>
      <c r="L841">
        <v>-76.92696</v>
      </c>
      <c r="M841">
        <f>HYPERLINK("https://www.google.com/maps/search/?api=1&amp;query=-12.193338,-76.92696","Avenida La Mariscala, Villa María del Triunfo, Lima")</f>
      </c>
      <c r="N841">
        <v>0</v>
      </c>
      <c r="O841">
        <v>95</v>
      </c>
      <c r="P841">
        <v>2551.03</v>
      </c>
      <c r="Q841" t="str">
        <v>161.02</v>
      </c>
      <c r="R841" t="str">
        <v/>
      </c>
      <c r="S841" t="str">
        <v/>
      </c>
      <c r="T841" t="str">
        <v/>
      </c>
      <c r="U841" t="str">
        <v/>
      </c>
    </row>
    <row r="842">
      <c r="A842" t="str">
        <v>841</v>
      </c>
      <c r="B842" t="str">
        <v>MASS BSF</v>
      </c>
      <c r="C842" t="str">
        <v>AAR-880</v>
      </c>
      <c r="D842" t="str">
        <v>AAR-880</v>
      </c>
      <c r="E842" t="str">
        <v/>
      </c>
      <c r="F842" t="str">
        <v>867806078847433</v>
      </c>
      <c r="G842" t="str">
        <v>Otro</v>
      </c>
      <c r="H842" t="str">
        <v/>
      </c>
      <c r="I842" t="str">
        <v>27/09/2026</v>
      </c>
      <c r="J842" t="str">
        <v>18:43:13</v>
      </c>
      <c r="K842">
        <v>-12.193338</v>
      </c>
      <c r="L842">
        <v>-76.92696</v>
      </c>
      <c r="M842">
        <f>HYPERLINK("https://www.google.com/maps/search/?api=1&amp;query=-12.193338,-76.92696","Avenida La Mariscala, Villa María del Triunfo, Lima")</f>
      </c>
      <c r="N842">
        <v>0</v>
      </c>
      <c r="O842">
        <v>95</v>
      </c>
      <c r="P842">
        <v>2551.03</v>
      </c>
      <c r="Q842" t="str">
        <v>161.02</v>
      </c>
      <c r="R842" t="str">
        <v/>
      </c>
      <c r="S842" t="str">
        <v/>
      </c>
      <c r="T842" t="str">
        <v/>
      </c>
      <c r="U842" t="str">
        <v/>
      </c>
    </row>
    <row r="843">
      <c r="A843" t="str">
        <v>842</v>
      </c>
      <c r="B843" t="str">
        <v>MASS BSF</v>
      </c>
      <c r="C843" t="str">
        <v>AAR-880</v>
      </c>
      <c r="D843" t="str">
        <v>AAR-880</v>
      </c>
      <c r="E843" t="str">
        <v/>
      </c>
      <c r="F843" t="str">
        <v>867806078847433</v>
      </c>
      <c r="G843" t="str">
        <v>Otro</v>
      </c>
      <c r="H843" t="str">
        <v/>
      </c>
      <c r="I843" t="str">
        <v>27/09/2026</v>
      </c>
      <c r="J843" t="str">
        <v>18:53:13</v>
      </c>
      <c r="K843">
        <v>-12.193338</v>
      </c>
      <c r="L843">
        <v>-76.92696</v>
      </c>
      <c r="M843">
        <f>HYPERLINK("https://www.google.com/maps/search/?api=1&amp;query=-12.193338,-76.92696","Avenida La Mariscala, Villa María del Triunfo, Lima")</f>
      </c>
      <c r="N843">
        <v>0</v>
      </c>
      <c r="O843">
        <v>87</v>
      </c>
      <c r="P843">
        <v>2551.03</v>
      </c>
      <c r="Q843" t="str">
        <v>161.02</v>
      </c>
      <c r="R843" t="str">
        <v/>
      </c>
      <c r="S843" t="str">
        <v/>
      </c>
      <c r="T843" t="str">
        <v/>
      </c>
      <c r="U843" t="str">
        <v/>
      </c>
    </row>
    <row r="844">
      <c r="A844" t="str">
        <v>843</v>
      </c>
      <c r="B844" t="str">
        <v>MASS BSF</v>
      </c>
      <c r="C844" t="str">
        <v>AAR-880</v>
      </c>
      <c r="D844" t="str">
        <v>AAR-880</v>
      </c>
      <c r="E844" t="str">
        <v/>
      </c>
      <c r="F844" t="str">
        <v>867806078847433</v>
      </c>
      <c r="G844" t="str">
        <v>Otro</v>
      </c>
      <c r="H844" t="str">
        <v/>
      </c>
      <c r="I844" t="str">
        <v>27/09/2026</v>
      </c>
      <c r="J844" t="str">
        <v>19:03:13</v>
      </c>
      <c r="K844">
        <v>-12.193338</v>
      </c>
      <c r="L844">
        <v>-76.92696</v>
      </c>
      <c r="M844">
        <f>HYPERLINK("https://www.google.com/maps/search/?api=1&amp;query=-12.193338,-76.92696","Avenida La Mariscala, Villa María del Triunfo, Lima")</f>
      </c>
      <c r="N844">
        <v>0</v>
      </c>
      <c r="O844">
        <v>87</v>
      </c>
      <c r="P844">
        <v>2551.03</v>
      </c>
      <c r="Q844" t="str">
        <v>161.02</v>
      </c>
      <c r="R844" t="str">
        <v/>
      </c>
      <c r="S844" t="str">
        <v/>
      </c>
      <c r="T844" t="str">
        <v/>
      </c>
      <c r="U844" t="str">
        <v/>
      </c>
    </row>
    <row r="845">
      <c r="A845" t="str">
        <v>844</v>
      </c>
      <c r="B845" t="str">
        <v>MASS BSF</v>
      </c>
      <c r="C845" t="str">
        <v>AAR-880</v>
      </c>
      <c r="D845" t="str">
        <v>AAR-880</v>
      </c>
      <c r="E845" t="str">
        <v/>
      </c>
      <c r="F845" t="str">
        <v>867806078847433</v>
      </c>
      <c r="G845" t="str">
        <v>Otro</v>
      </c>
      <c r="H845" t="str">
        <v/>
      </c>
      <c r="I845" t="str">
        <v>27/09/2026</v>
      </c>
      <c r="J845" t="str">
        <v>19:13:13</v>
      </c>
      <c r="K845">
        <v>-12.193338</v>
      </c>
      <c r="L845">
        <v>-76.92696</v>
      </c>
      <c r="M845">
        <f>HYPERLINK("https://www.google.com/maps/search/?api=1&amp;query=-12.193338,-76.92696","Avenida La Mariscala, Villa María del Triunfo, Lima")</f>
      </c>
      <c r="N845">
        <v>0</v>
      </c>
      <c r="O845">
        <v>87</v>
      </c>
      <c r="P845">
        <v>2551.03</v>
      </c>
      <c r="Q845" t="str">
        <v>161.02</v>
      </c>
      <c r="R845" t="str">
        <v/>
      </c>
      <c r="S845" t="str">
        <v/>
      </c>
      <c r="T845" t="str">
        <v/>
      </c>
      <c r="U845" t="str">
        <v/>
      </c>
    </row>
    <row r="846">
      <c r="A846" t="str">
        <v>845</v>
      </c>
      <c r="B846" t="str">
        <v>MASS BSF</v>
      </c>
      <c r="C846" t="str">
        <v>AAR-880</v>
      </c>
      <c r="D846" t="str">
        <v>AAR-880</v>
      </c>
      <c r="E846" t="str">
        <v/>
      </c>
      <c r="F846" t="str">
        <v>867806078847433</v>
      </c>
      <c r="G846" t="str">
        <v>Otro</v>
      </c>
      <c r="H846" t="str">
        <v/>
      </c>
      <c r="I846" t="str">
        <v>27/09/2026</v>
      </c>
      <c r="J846" t="str">
        <v>19:23:13</v>
      </c>
      <c r="K846">
        <v>-12.193338</v>
      </c>
      <c r="L846">
        <v>-76.92696</v>
      </c>
      <c r="M846">
        <f>HYPERLINK("https://www.google.com/maps/search/?api=1&amp;query=-12.193338,-76.92696","Avenida La Mariscala, Villa María del Triunfo, Lima")</f>
      </c>
      <c r="N846">
        <v>0</v>
      </c>
      <c r="O846">
        <v>87</v>
      </c>
      <c r="P846">
        <v>2551.03</v>
      </c>
      <c r="Q846" t="str">
        <v>161.02</v>
      </c>
      <c r="R846" t="str">
        <v/>
      </c>
      <c r="S846" t="str">
        <v/>
      </c>
      <c r="T846" t="str">
        <v/>
      </c>
      <c r="U846" t="str">
        <v/>
      </c>
    </row>
    <row r="847">
      <c r="A847" t="str">
        <v>846</v>
      </c>
      <c r="B847" t="str">
        <v>MASS BSF</v>
      </c>
      <c r="C847" t="str">
        <v>AAR-880</v>
      </c>
      <c r="D847" t="str">
        <v>AAR-880</v>
      </c>
      <c r="E847" t="str">
        <v/>
      </c>
      <c r="F847" t="str">
        <v>867806078847433</v>
      </c>
      <c r="G847" t="str">
        <v>Otro</v>
      </c>
      <c r="H847" t="str">
        <v/>
      </c>
      <c r="I847" t="str">
        <v>27/09/2026</v>
      </c>
      <c r="J847" t="str">
        <v>19:33:13</v>
      </c>
      <c r="K847">
        <v>-12.193338</v>
      </c>
      <c r="L847">
        <v>-76.92696</v>
      </c>
      <c r="M847">
        <f>HYPERLINK("https://www.google.com/maps/search/?api=1&amp;query=-12.193338,-76.92696","Avenida La Mariscala, Villa María del Triunfo, Lima")</f>
      </c>
      <c r="N847">
        <v>0</v>
      </c>
      <c r="O847">
        <v>93</v>
      </c>
      <c r="P847">
        <v>2551.03</v>
      </c>
      <c r="Q847" t="str">
        <v>161.02</v>
      </c>
      <c r="R847" t="str">
        <v/>
      </c>
      <c r="S847" t="str">
        <v/>
      </c>
      <c r="T847" t="str">
        <v/>
      </c>
      <c r="U847" t="str">
        <v/>
      </c>
    </row>
    <row r="848">
      <c r="A848" t="str">
        <v>847</v>
      </c>
      <c r="B848" t="str">
        <v>MASS BSF</v>
      </c>
      <c r="C848" t="str">
        <v>AAR-880</v>
      </c>
      <c r="D848" t="str">
        <v>AAR-880</v>
      </c>
      <c r="E848" t="str">
        <v/>
      </c>
      <c r="F848" t="str">
        <v>867806078847433</v>
      </c>
      <c r="G848" t="str">
        <v>Otro</v>
      </c>
      <c r="H848" t="str">
        <v/>
      </c>
      <c r="I848" t="str">
        <v>27/09/2026</v>
      </c>
      <c r="J848" t="str">
        <v>19:43:13</v>
      </c>
      <c r="K848">
        <v>-12.193338</v>
      </c>
      <c r="L848">
        <v>-76.92696</v>
      </c>
      <c r="M848">
        <f>HYPERLINK("https://www.google.com/maps/search/?api=1&amp;query=-12.193338,-76.92696","Avenida La Mariscala, Villa María del Triunfo, Lima")</f>
      </c>
      <c r="N848">
        <v>0</v>
      </c>
      <c r="O848">
        <v>84</v>
      </c>
      <c r="P848">
        <v>2551.03</v>
      </c>
      <c r="Q848" t="str">
        <v>161.02</v>
      </c>
      <c r="R848" t="str">
        <v/>
      </c>
      <c r="S848" t="str">
        <v/>
      </c>
      <c r="T848" t="str">
        <v/>
      </c>
      <c r="U848" t="str">
        <v/>
      </c>
    </row>
    <row r="849">
      <c r="A849" t="str">
        <v>848</v>
      </c>
      <c r="B849" t="str">
        <v>MASS BSF</v>
      </c>
      <c r="C849" t="str">
        <v>AAR-880</v>
      </c>
      <c r="D849" t="str">
        <v>AAR-880</v>
      </c>
      <c r="E849" t="str">
        <v/>
      </c>
      <c r="F849" t="str">
        <v>867806078847433</v>
      </c>
      <c r="G849" t="str">
        <v>Otro</v>
      </c>
      <c r="H849" t="str">
        <v/>
      </c>
      <c r="I849" t="str">
        <v>27/09/2026</v>
      </c>
      <c r="J849" t="str">
        <v>19:53:13</v>
      </c>
      <c r="K849">
        <v>-12.193338</v>
      </c>
      <c r="L849">
        <v>-76.92696</v>
      </c>
      <c r="M849">
        <f>HYPERLINK("https://www.google.com/maps/search/?api=1&amp;query=-12.193338,-76.92696","Avenida La Mariscala, Villa María del Triunfo, Lima")</f>
      </c>
      <c r="N849">
        <v>0</v>
      </c>
      <c r="O849">
        <v>86</v>
      </c>
      <c r="P849">
        <v>2551.03</v>
      </c>
      <c r="Q849" t="str">
        <v>161.02</v>
      </c>
      <c r="R849" t="str">
        <v/>
      </c>
      <c r="S849" t="str">
        <v/>
      </c>
      <c r="T849" t="str">
        <v/>
      </c>
      <c r="U849" t="str">
        <v/>
      </c>
    </row>
    <row r="850">
      <c r="A850" t="str">
        <v>849</v>
      </c>
      <c r="B850" t="str">
        <v>MASS BSF</v>
      </c>
      <c r="C850" t="str">
        <v>AAR-880</v>
      </c>
      <c r="D850" t="str">
        <v>AAR-880</v>
      </c>
      <c r="E850" t="str">
        <v/>
      </c>
      <c r="F850" t="str">
        <v>867806078847433</v>
      </c>
      <c r="G850" t="str">
        <v>Otro</v>
      </c>
      <c r="H850" t="str">
        <v/>
      </c>
      <c r="I850" t="str">
        <v>27/09/2026</v>
      </c>
      <c r="J850" t="str">
        <v>20:03:13</v>
      </c>
      <c r="K850">
        <v>-12.193338</v>
      </c>
      <c r="L850">
        <v>-76.92696</v>
      </c>
      <c r="M850">
        <f>HYPERLINK("https://www.google.com/maps/search/?api=1&amp;query=-12.193338,-76.92696","Avenida La Mariscala, Villa María del Triunfo, Lima")</f>
      </c>
      <c r="N850">
        <v>0</v>
      </c>
      <c r="O850">
        <v>86</v>
      </c>
      <c r="P850">
        <v>2551.03</v>
      </c>
      <c r="Q850" t="str">
        <v>161.02</v>
      </c>
      <c r="R850" t="str">
        <v/>
      </c>
      <c r="S850" t="str">
        <v/>
      </c>
      <c r="T850" t="str">
        <v/>
      </c>
      <c r="U850" t="str">
        <v/>
      </c>
    </row>
    <row r="851">
      <c r="A851" t="str">
        <v>850</v>
      </c>
      <c r="B851" t="str">
        <v>MASS BSF</v>
      </c>
      <c r="C851" t="str">
        <v>AAR-880</v>
      </c>
      <c r="D851" t="str">
        <v>AAR-880</v>
      </c>
      <c r="E851" t="str">
        <v/>
      </c>
      <c r="F851" t="str">
        <v>867806078847433</v>
      </c>
      <c r="G851" t="str">
        <v>Otro</v>
      </c>
      <c r="H851" t="str">
        <v/>
      </c>
      <c r="I851" t="str">
        <v>27/09/2026</v>
      </c>
      <c r="J851" t="str">
        <v>20:13:13</v>
      </c>
      <c r="K851">
        <v>-12.193338</v>
      </c>
      <c r="L851">
        <v>-76.92696</v>
      </c>
      <c r="M851">
        <f>HYPERLINK("https://www.google.com/maps/search/?api=1&amp;query=-12.193338,-76.92696","Avenida La Mariscala, Villa María del Triunfo, Lima")</f>
      </c>
      <c r="N851">
        <v>0</v>
      </c>
      <c r="O851">
        <v>86</v>
      </c>
      <c r="P851">
        <v>2551.03</v>
      </c>
      <c r="Q851" t="str">
        <v>161.02</v>
      </c>
      <c r="R851" t="str">
        <v/>
      </c>
      <c r="S851" t="str">
        <v/>
      </c>
      <c r="T851" t="str">
        <v/>
      </c>
      <c r="U851" t="str">
        <v/>
      </c>
    </row>
    <row r="852">
      <c r="A852" t="str">
        <v>851</v>
      </c>
      <c r="B852" t="str">
        <v>MASS BSF</v>
      </c>
      <c r="C852" t="str">
        <v>AAR-880</v>
      </c>
      <c r="D852" t="str">
        <v>AAR-880</v>
      </c>
      <c r="E852" t="str">
        <v/>
      </c>
      <c r="F852" t="str">
        <v>867806078847433</v>
      </c>
      <c r="G852" t="str">
        <v>Otro</v>
      </c>
      <c r="H852" t="str">
        <v/>
      </c>
      <c r="I852" t="str">
        <v>27/09/2026</v>
      </c>
      <c r="J852" t="str">
        <v>20:23:13</v>
      </c>
      <c r="K852">
        <v>-12.193338</v>
      </c>
      <c r="L852">
        <v>-76.92696</v>
      </c>
      <c r="M852">
        <f>HYPERLINK("https://www.google.com/maps/search/?api=1&amp;query=-12.193338,-76.92696","Avenida La Mariscala, Villa María del Triunfo, Lima")</f>
      </c>
      <c r="N852">
        <v>0</v>
      </c>
      <c r="O852">
        <v>86</v>
      </c>
      <c r="P852">
        <v>2551.03</v>
      </c>
      <c r="Q852" t="str">
        <v>161.02</v>
      </c>
      <c r="R852" t="str">
        <v/>
      </c>
      <c r="S852" t="str">
        <v/>
      </c>
      <c r="T852" t="str">
        <v/>
      </c>
      <c r="U852" t="str">
        <v/>
      </c>
    </row>
    <row r="853">
      <c r="A853" t="str">
        <v>852</v>
      </c>
      <c r="B853" t="str">
        <v>MASS BSF</v>
      </c>
      <c r="C853" t="str">
        <v>AAR-880</v>
      </c>
      <c r="D853" t="str">
        <v>AAR-880</v>
      </c>
      <c r="E853" t="str">
        <v/>
      </c>
      <c r="F853" t="str">
        <v>867806078847433</v>
      </c>
      <c r="G853" t="str">
        <v>Otro</v>
      </c>
      <c r="H853" t="str">
        <v/>
      </c>
      <c r="I853" t="str">
        <v>27/09/2026</v>
      </c>
      <c r="J853" t="str">
        <v>20:33:13</v>
      </c>
      <c r="K853">
        <v>-12.193338</v>
      </c>
      <c r="L853">
        <v>-76.92696</v>
      </c>
      <c r="M853">
        <f>HYPERLINK("https://www.google.com/maps/search/?api=1&amp;query=-12.193338,-76.92696","Avenida La Mariscala, Villa María del Triunfo, Lima")</f>
      </c>
      <c r="N853">
        <v>0</v>
      </c>
      <c r="O853">
        <v>84</v>
      </c>
      <c r="P853">
        <v>2551.03</v>
      </c>
      <c r="Q853" t="str">
        <v>161.02</v>
      </c>
      <c r="R853" t="str">
        <v/>
      </c>
      <c r="S853" t="str">
        <v/>
      </c>
      <c r="T853" t="str">
        <v/>
      </c>
      <c r="U853" t="str">
        <v/>
      </c>
    </row>
    <row r="854">
      <c r="A854" t="str">
        <v>853</v>
      </c>
      <c r="B854" t="str">
        <v>MASS BSF</v>
      </c>
      <c r="C854" t="str">
        <v>AAR-880</v>
      </c>
      <c r="D854" t="str">
        <v>AAR-880</v>
      </c>
      <c r="E854" t="str">
        <v/>
      </c>
      <c r="F854" t="str">
        <v>867806078847433</v>
      </c>
      <c r="G854" t="str">
        <v>Otro</v>
      </c>
      <c r="H854" t="str">
        <v/>
      </c>
      <c r="I854" t="str">
        <v>27/09/2026</v>
      </c>
      <c r="J854" t="str">
        <v>20:43:13</v>
      </c>
      <c r="K854">
        <v>-12.193338</v>
      </c>
      <c r="L854">
        <v>-76.92696</v>
      </c>
      <c r="M854">
        <f>HYPERLINK("https://www.google.com/maps/search/?api=1&amp;query=-12.193338,-76.92696","Avenida La Mariscala, Villa María del Triunfo, Lima")</f>
      </c>
      <c r="N854">
        <v>0</v>
      </c>
      <c r="O854">
        <v>84</v>
      </c>
      <c r="P854">
        <v>2551.03</v>
      </c>
      <c r="Q854" t="str">
        <v>161.02</v>
      </c>
      <c r="R854" t="str">
        <v/>
      </c>
      <c r="S854" t="str">
        <v/>
      </c>
      <c r="T854" t="str">
        <v/>
      </c>
      <c r="U854" t="str">
        <v/>
      </c>
    </row>
    <row r="855">
      <c r="A855" t="str">
        <v>854</v>
      </c>
      <c r="B855" t="str">
        <v>MASS BSF</v>
      </c>
      <c r="C855" t="str">
        <v>AAR-880</v>
      </c>
      <c r="D855" t="str">
        <v>AAR-880</v>
      </c>
      <c r="E855" t="str">
        <v/>
      </c>
      <c r="F855" t="str">
        <v>867806078847433</v>
      </c>
      <c r="G855" t="str">
        <v>Otro</v>
      </c>
      <c r="H855" t="str">
        <v/>
      </c>
      <c r="I855" t="str">
        <v>27/09/2026</v>
      </c>
      <c r="J855" t="str">
        <v>20:53:13</v>
      </c>
      <c r="K855">
        <v>-12.193338</v>
      </c>
      <c r="L855">
        <v>-76.92696</v>
      </c>
      <c r="M855">
        <f>HYPERLINK("https://www.google.com/maps/search/?api=1&amp;query=-12.193338,-76.92696","Avenida La Mariscala, Villa María del Triunfo, Lima")</f>
      </c>
      <c r="N855">
        <v>0</v>
      </c>
      <c r="O855">
        <v>84</v>
      </c>
      <c r="P855">
        <v>2551.03</v>
      </c>
      <c r="Q855" t="str">
        <v>161.02</v>
      </c>
      <c r="R855" t="str">
        <v/>
      </c>
      <c r="S855" t="str">
        <v/>
      </c>
      <c r="T855" t="str">
        <v/>
      </c>
      <c r="U855" t="str">
        <v/>
      </c>
    </row>
    <row r="856">
      <c r="A856" t="str">
        <v>855</v>
      </c>
      <c r="B856" t="str">
        <v>MASS BSF</v>
      </c>
      <c r="C856" t="str">
        <v>AAR-880</v>
      </c>
      <c r="D856" t="str">
        <v>AAR-880</v>
      </c>
      <c r="E856" t="str">
        <v/>
      </c>
      <c r="F856" t="str">
        <v>867806078847433</v>
      </c>
      <c r="G856" t="str">
        <v>Otro</v>
      </c>
      <c r="H856" t="str">
        <v/>
      </c>
      <c r="I856" t="str">
        <v>27/09/2026</v>
      </c>
      <c r="J856" t="str">
        <v>21:03:13</v>
      </c>
      <c r="K856">
        <v>-12.193338</v>
      </c>
      <c r="L856">
        <v>-76.92696</v>
      </c>
      <c r="M856">
        <f>HYPERLINK("https://www.google.com/maps/search/?api=1&amp;query=-12.193338,-76.92696","Avenida La Mariscala, Villa María del Triunfo, Lima")</f>
      </c>
      <c r="N856">
        <v>0</v>
      </c>
      <c r="O856">
        <v>84</v>
      </c>
      <c r="P856">
        <v>2551.03</v>
      </c>
      <c r="Q856" t="str">
        <v>161.02</v>
      </c>
      <c r="R856" t="str">
        <v/>
      </c>
      <c r="S856" t="str">
        <v/>
      </c>
      <c r="T856" t="str">
        <v/>
      </c>
      <c r="U856" t="str">
        <v/>
      </c>
    </row>
    <row r="857">
      <c r="A857" t="str">
        <v>856</v>
      </c>
      <c r="B857" t="str">
        <v>MASS BSF</v>
      </c>
      <c r="C857" t="str">
        <v>AAR-880</v>
      </c>
      <c r="D857" t="str">
        <v>AAR-880</v>
      </c>
      <c r="E857" t="str">
        <v/>
      </c>
      <c r="F857" t="str">
        <v>867806078847433</v>
      </c>
      <c r="G857" t="str">
        <v>Otro</v>
      </c>
      <c r="H857" t="str">
        <v/>
      </c>
      <c r="I857" t="str">
        <v>27/09/2026</v>
      </c>
      <c r="J857" t="str">
        <v>21:13:13</v>
      </c>
      <c r="K857">
        <v>-12.193338</v>
      </c>
      <c r="L857">
        <v>-76.92696</v>
      </c>
      <c r="M857">
        <f>HYPERLINK("https://www.google.com/maps/search/?api=1&amp;query=-12.193338,-76.92696","Avenida La Mariscala, Villa María del Triunfo, Lima")</f>
      </c>
      <c r="N857">
        <v>0</v>
      </c>
      <c r="O857">
        <v>87</v>
      </c>
      <c r="P857">
        <v>2551.03</v>
      </c>
      <c r="Q857" t="str">
        <v>161.02</v>
      </c>
      <c r="R857" t="str">
        <v/>
      </c>
      <c r="S857" t="str">
        <v/>
      </c>
      <c r="T857" t="str">
        <v/>
      </c>
      <c r="U857" t="str">
        <v/>
      </c>
    </row>
    <row r="858">
      <c r="A858" t="str">
        <v>857</v>
      </c>
      <c r="B858" t="str">
        <v>MASS BSF</v>
      </c>
      <c r="C858" t="str">
        <v>AAR-880</v>
      </c>
      <c r="D858" t="str">
        <v>AAR-880</v>
      </c>
      <c r="E858" t="str">
        <v/>
      </c>
      <c r="F858" t="str">
        <v>867806078847433</v>
      </c>
      <c r="G858" t="str">
        <v>Otro</v>
      </c>
      <c r="H858" t="str">
        <v/>
      </c>
      <c r="I858" t="str">
        <v>27/09/2026</v>
      </c>
      <c r="J858" t="str">
        <v>21:23:13</v>
      </c>
      <c r="K858">
        <v>-12.193338</v>
      </c>
      <c r="L858">
        <v>-76.92696</v>
      </c>
      <c r="M858">
        <f>HYPERLINK("https://www.google.com/maps/search/?api=1&amp;query=-12.193338,-76.92696","Avenida La Mariscala, Villa María del Triunfo, Lima")</f>
      </c>
      <c r="N858">
        <v>0</v>
      </c>
      <c r="O858">
        <v>87</v>
      </c>
      <c r="P858">
        <v>2551.03</v>
      </c>
      <c r="Q858" t="str">
        <v>161.02</v>
      </c>
      <c r="R858" t="str">
        <v/>
      </c>
      <c r="S858" t="str">
        <v/>
      </c>
      <c r="T858" t="str">
        <v/>
      </c>
      <c r="U858" t="str">
        <v/>
      </c>
    </row>
    <row r="859">
      <c r="A859" t="str">
        <v>858</v>
      </c>
      <c r="B859" t="str">
        <v>MASS BSF</v>
      </c>
      <c r="C859" t="str">
        <v>AAR-880</v>
      </c>
      <c r="D859" t="str">
        <v>AAR-880</v>
      </c>
      <c r="E859" t="str">
        <v/>
      </c>
      <c r="F859" t="str">
        <v>867806078847433</v>
      </c>
      <c r="G859" t="str">
        <v>Otro</v>
      </c>
      <c r="H859" t="str">
        <v/>
      </c>
      <c r="I859" t="str">
        <v>27/09/2026</v>
      </c>
      <c r="J859" t="str">
        <v>21:43:13</v>
      </c>
      <c r="K859">
        <v>-12.193338</v>
      </c>
      <c r="L859">
        <v>-76.92696</v>
      </c>
      <c r="M859">
        <f>HYPERLINK("https://www.google.com/maps/search/?api=1&amp;query=-12.193338,-76.92696","Avenida La Mariscala, Villa María del Triunfo, Lima")</f>
      </c>
      <c r="N859">
        <v>0</v>
      </c>
      <c r="O859">
        <v>87</v>
      </c>
      <c r="P859">
        <v>2551.03</v>
      </c>
      <c r="Q859" t="str">
        <v>161.02</v>
      </c>
      <c r="R859" t="str">
        <v/>
      </c>
      <c r="S859" t="str">
        <v/>
      </c>
      <c r="T859" t="str">
        <v/>
      </c>
      <c r="U859" t="str">
        <v/>
      </c>
    </row>
    <row r="860">
      <c r="A860" t="str">
        <v>859</v>
      </c>
      <c r="B860" t="str">
        <v>MASS BSF</v>
      </c>
      <c r="C860" t="str">
        <v>AAR-880</v>
      </c>
      <c r="D860" t="str">
        <v>AAR-880</v>
      </c>
      <c r="E860" t="str">
        <v/>
      </c>
      <c r="F860" t="str">
        <v>867806078847433</v>
      </c>
      <c r="G860" t="str">
        <v>Otro</v>
      </c>
      <c r="H860" t="str">
        <v/>
      </c>
      <c r="I860" t="str">
        <v>27/09/2026</v>
      </c>
      <c r="J860" t="str">
        <v>21:53:13</v>
      </c>
      <c r="K860">
        <v>-12.193338</v>
      </c>
      <c r="L860">
        <v>-76.92696</v>
      </c>
      <c r="M860">
        <f>HYPERLINK("https://www.google.com/maps/search/?api=1&amp;query=-12.193338,-76.92696","Avenida La Mariscala, Villa María del Triunfo, Lima")</f>
      </c>
      <c r="N860">
        <v>0</v>
      </c>
      <c r="O860">
        <v>87</v>
      </c>
      <c r="P860">
        <v>2551.03</v>
      </c>
      <c r="Q860" t="str">
        <v>161.02</v>
      </c>
      <c r="R860" t="str">
        <v/>
      </c>
      <c r="S860" t="str">
        <v/>
      </c>
      <c r="T860" t="str">
        <v/>
      </c>
      <c r="U860" t="str">
        <v/>
      </c>
    </row>
    <row r="861">
      <c r="A861" t="str">
        <v>860</v>
      </c>
      <c r="B861" t="str">
        <v>MASS BSF</v>
      </c>
      <c r="C861" t="str">
        <v>AAR-880</v>
      </c>
      <c r="D861" t="str">
        <v>AAR-880</v>
      </c>
      <c r="E861" t="str">
        <v/>
      </c>
      <c r="F861" t="str">
        <v>867806078847433</v>
      </c>
      <c r="G861" t="str">
        <v>Otro</v>
      </c>
      <c r="H861" t="str">
        <v/>
      </c>
      <c r="I861" t="str">
        <v>27/09/2026</v>
      </c>
      <c r="J861" t="str">
        <v>22:03:13</v>
      </c>
      <c r="K861">
        <v>-12.193338</v>
      </c>
      <c r="L861">
        <v>-76.92696</v>
      </c>
      <c r="M861">
        <f>HYPERLINK("https://www.google.com/maps/search/?api=1&amp;query=-12.193338,-76.92696","Avenida La Mariscala, Villa María del Triunfo, Lima")</f>
      </c>
      <c r="N861">
        <v>0</v>
      </c>
      <c r="O861">
        <v>89</v>
      </c>
      <c r="P861">
        <v>2551.03</v>
      </c>
      <c r="Q861" t="str">
        <v>161.02</v>
      </c>
      <c r="R861" t="str">
        <v/>
      </c>
      <c r="S861" t="str">
        <v/>
      </c>
      <c r="T861" t="str">
        <v/>
      </c>
      <c r="U861" t="str">
        <v/>
      </c>
    </row>
    <row r="862">
      <c r="A862" t="str">
        <v>861</v>
      </c>
      <c r="B862" t="str">
        <v>MASS BSF</v>
      </c>
      <c r="C862" t="str">
        <v>AAR-880</v>
      </c>
      <c r="D862" t="str">
        <v>AAR-880</v>
      </c>
      <c r="E862" t="str">
        <v/>
      </c>
      <c r="F862" t="str">
        <v>867806078847433</v>
      </c>
      <c r="G862" t="str">
        <v>Otro</v>
      </c>
      <c r="H862" t="str">
        <v/>
      </c>
      <c r="I862" t="str">
        <v>27/09/2026</v>
      </c>
      <c r="J862" t="str">
        <v>22:13:13</v>
      </c>
      <c r="K862">
        <v>-12.193338</v>
      </c>
      <c r="L862">
        <v>-76.92696</v>
      </c>
      <c r="M862">
        <f>HYPERLINK("https://www.google.com/maps/search/?api=1&amp;query=-12.193338,-76.92696","Avenida La Mariscala, Villa María del Triunfo, Lima")</f>
      </c>
      <c r="N862">
        <v>0</v>
      </c>
      <c r="O862">
        <v>87</v>
      </c>
      <c r="P862">
        <v>2551.03</v>
      </c>
      <c r="Q862" t="str">
        <v>161.02</v>
      </c>
      <c r="R862" t="str">
        <v/>
      </c>
      <c r="S862" t="str">
        <v/>
      </c>
      <c r="T862" t="str">
        <v/>
      </c>
      <c r="U862" t="str">
        <v/>
      </c>
    </row>
    <row r="863">
      <c r="A863" t="str">
        <v>862</v>
      </c>
      <c r="B863" t="str">
        <v>MASS BSF</v>
      </c>
      <c r="C863" t="str">
        <v>AAR-880</v>
      </c>
      <c r="D863" t="str">
        <v>AAR-880</v>
      </c>
      <c r="E863" t="str">
        <v/>
      </c>
      <c r="F863" t="str">
        <v>867806078847433</v>
      </c>
      <c r="G863" t="str">
        <v>Otro</v>
      </c>
      <c r="H863" t="str">
        <v/>
      </c>
      <c r="I863" t="str">
        <v>27/09/2026</v>
      </c>
      <c r="J863" t="str">
        <v>22:23:13</v>
      </c>
      <c r="K863">
        <v>-12.193338</v>
      </c>
      <c r="L863">
        <v>-76.92696</v>
      </c>
      <c r="M863">
        <f>HYPERLINK("https://www.google.com/maps/search/?api=1&amp;query=-12.193338,-76.92696","Avenida La Mariscala, Villa María del Triunfo, Lima")</f>
      </c>
      <c r="N863">
        <v>0</v>
      </c>
      <c r="O863">
        <v>87</v>
      </c>
      <c r="P863">
        <v>2551.03</v>
      </c>
      <c r="Q863" t="str">
        <v>161.02</v>
      </c>
      <c r="R863" t="str">
        <v/>
      </c>
      <c r="S863" t="str">
        <v/>
      </c>
      <c r="T863" t="str">
        <v/>
      </c>
      <c r="U863" t="str">
        <v/>
      </c>
    </row>
    <row r="864">
      <c r="A864" t="str">
        <v>863</v>
      </c>
      <c r="B864" t="str">
        <v>MASS BSF</v>
      </c>
      <c r="C864" t="str">
        <v>AAR-880</v>
      </c>
      <c r="D864" t="str">
        <v>AAR-880</v>
      </c>
      <c r="E864" t="str">
        <v/>
      </c>
      <c r="F864" t="str">
        <v>867806078847433</v>
      </c>
      <c r="G864" t="str">
        <v>Otro</v>
      </c>
      <c r="H864" t="str">
        <v/>
      </c>
      <c r="I864" t="str">
        <v>27/09/2026</v>
      </c>
      <c r="J864" t="str">
        <v>22:33:13</v>
      </c>
      <c r="K864">
        <v>-12.193338</v>
      </c>
      <c r="L864">
        <v>-76.92696</v>
      </c>
      <c r="M864">
        <f>HYPERLINK("https://www.google.com/maps/search/?api=1&amp;query=-12.193338,-76.92696","Avenida La Mariscala, Villa María del Triunfo, Lima")</f>
      </c>
      <c r="N864">
        <v>0</v>
      </c>
      <c r="O864">
        <v>87</v>
      </c>
      <c r="P864">
        <v>2551.03</v>
      </c>
      <c r="Q864" t="str">
        <v>161.02</v>
      </c>
      <c r="R864" t="str">
        <v/>
      </c>
      <c r="S864" t="str">
        <v/>
      </c>
      <c r="T864" t="str">
        <v/>
      </c>
      <c r="U864" t="str">
        <v/>
      </c>
    </row>
    <row r="865">
      <c r="A865" t="str">
        <v>864</v>
      </c>
      <c r="B865" t="str">
        <v>MASS BSF</v>
      </c>
      <c r="C865" t="str">
        <v>AAR-880</v>
      </c>
      <c r="D865" t="str">
        <v>AAR-880</v>
      </c>
      <c r="E865" t="str">
        <v/>
      </c>
      <c r="F865" t="str">
        <v>867806078847433</v>
      </c>
      <c r="G865" t="str">
        <v>Otro</v>
      </c>
      <c r="H865" t="str">
        <v/>
      </c>
      <c r="I865" t="str">
        <v>27/09/2026</v>
      </c>
      <c r="J865" t="str">
        <v>22:43:13</v>
      </c>
      <c r="K865">
        <v>-12.193338</v>
      </c>
      <c r="L865">
        <v>-76.92696</v>
      </c>
      <c r="M865">
        <f>HYPERLINK("https://www.google.com/maps/search/?api=1&amp;query=-12.193338,-76.92696","Avenida La Mariscala, Villa María del Triunfo, Lima")</f>
      </c>
      <c r="N865">
        <v>0</v>
      </c>
      <c r="O865">
        <v>86</v>
      </c>
      <c r="P865">
        <v>2551.03</v>
      </c>
      <c r="Q865" t="str">
        <v>161.02</v>
      </c>
      <c r="R865" t="str">
        <v/>
      </c>
      <c r="S865" t="str">
        <v/>
      </c>
      <c r="T865" t="str">
        <v/>
      </c>
      <c r="U865" t="str">
        <v/>
      </c>
    </row>
    <row r="866">
      <c r="A866" t="str">
        <v>865</v>
      </c>
      <c r="B866" t="str">
        <v>MASS BSF</v>
      </c>
      <c r="C866" t="str">
        <v>AAR-880</v>
      </c>
      <c r="D866" t="str">
        <v>AAR-880</v>
      </c>
      <c r="E866" t="str">
        <v/>
      </c>
      <c r="F866" t="str">
        <v>867806078847433</v>
      </c>
      <c r="G866" t="str">
        <v>Otro</v>
      </c>
      <c r="H866" t="str">
        <v/>
      </c>
      <c r="I866" t="str">
        <v>27/09/2026</v>
      </c>
      <c r="J866" t="str">
        <v>22:53:13</v>
      </c>
      <c r="K866">
        <v>-12.193338</v>
      </c>
      <c r="L866">
        <v>-76.92696</v>
      </c>
      <c r="M866">
        <f>HYPERLINK("https://www.google.com/maps/search/?api=1&amp;query=-12.193338,-76.92696","Avenida La Mariscala, Villa María del Triunfo, Lima")</f>
      </c>
      <c r="N866">
        <v>0</v>
      </c>
      <c r="O866">
        <v>86</v>
      </c>
      <c r="P866">
        <v>2551.03</v>
      </c>
      <c r="Q866" t="str">
        <v>161.02</v>
      </c>
      <c r="R866" t="str">
        <v/>
      </c>
      <c r="S866" t="str">
        <v/>
      </c>
      <c r="T866" t="str">
        <v/>
      </c>
      <c r="U866" t="str">
        <v/>
      </c>
    </row>
    <row r="867">
      <c r="A867" t="str">
        <v>866</v>
      </c>
      <c r="B867" t="str">
        <v>MASS BSF</v>
      </c>
      <c r="C867" t="str">
        <v>AAR-880</v>
      </c>
      <c r="D867" t="str">
        <v>AAR-880</v>
      </c>
      <c r="E867" t="str">
        <v/>
      </c>
      <c r="F867" t="str">
        <v>867806078847433</v>
      </c>
      <c r="G867" t="str">
        <v>Otro</v>
      </c>
      <c r="H867" t="str">
        <v/>
      </c>
      <c r="I867" t="str">
        <v>27/09/2026</v>
      </c>
      <c r="J867" t="str">
        <v>23:03:13</v>
      </c>
      <c r="K867">
        <v>-12.193338</v>
      </c>
      <c r="L867">
        <v>-76.92696</v>
      </c>
      <c r="M867">
        <f>HYPERLINK("https://www.google.com/maps/search/?api=1&amp;query=-12.193338,-76.92696","Avenida La Mariscala, Villa María del Triunfo, Lima")</f>
      </c>
      <c r="N867">
        <v>0</v>
      </c>
      <c r="O867">
        <v>85</v>
      </c>
      <c r="P867">
        <v>2551.03</v>
      </c>
      <c r="Q867" t="str">
        <v>161.02</v>
      </c>
      <c r="R867" t="str">
        <v/>
      </c>
      <c r="S867" t="str">
        <v/>
      </c>
      <c r="T867" t="str">
        <v/>
      </c>
      <c r="U867" t="str">
        <v/>
      </c>
    </row>
    <row r="868">
      <c r="A868" t="str">
        <v>867</v>
      </c>
      <c r="B868" t="str">
        <v>MASS BSF</v>
      </c>
      <c r="C868" t="str">
        <v>AAR-880</v>
      </c>
      <c r="D868" t="str">
        <v>AAR-880</v>
      </c>
      <c r="E868" t="str">
        <v/>
      </c>
      <c r="F868" t="str">
        <v>867806078847433</v>
      </c>
      <c r="G868" t="str">
        <v>Otro</v>
      </c>
      <c r="H868" t="str">
        <v/>
      </c>
      <c r="I868" t="str">
        <v>27/09/2026</v>
      </c>
      <c r="J868" t="str">
        <v>23:13:13</v>
      </c>
      <c r="K868">
        <v>-12.193338</v>
      </c>
      <c r="L868">
        <v>-76.92696</v>
      </c>
      <c r="M868">
        <f>HYPERLINK("https://www.google.com/maps/search/?api=1&amp;query=-12.193338,-76.92696","Avenida La Mariscala, Villa María del Triunfo, Lima")</f>
      </c>
      <c r="N868">
        <v>0</v>
      </c>
      <c r="O868">
        <v>84</v>
      </c>
      <c r="P868">
        <v>2551.03</v>
      </c>
      <c r="Q868" t="str">
        <v>161.02</v>
      </c>
      <c r="R868" t="str">
        <v/>
      </c>
      <c r="S868" t="str">
        <v/>
      </c>
      <c r="T868" t="str">
        <v/>
      </c>
      <c r="U868" t="str">
        <v/>
      </c>
    </row>
    <row r="869">
      <c r="A869" t="str">
        <v>868</v>
      </c>
      <c r="B869" t="str">
        <v>MASS BSF</v>
      </c>
      <c r="C869" t="str">
        <v>AAR-880</v>
      </c>
      <c r="D869" t="str">
        <v>AAR-880</v>
      </c>
      <c r="E869" t="str">
        <v/>
      </c>
      <c r="F869" t="str">
        <v>867806078847433</v>
      </c>
      <c r="G869" t="str">
        <v>Otro</v>
      </c>
      <c r="H869" t="str">
        <v/>
      </c>
      <c r="I869" t="str">
        <v>27/09/2026</v>
      </c>
      <c r="J869" t="str">
        <v>23:23:13</v>
      </c>
      <c r="K869">
        <v>-12.193338</v>
      </c>
      <c r="L869">
        <v>-76.92696</v>
      </c>
      <c r="M869">
        <f>HYPERLINK("https://www.google.com/maps/search/?api=1&amp;query=-12.193338,-76.92696","Avenida La Mariscala, Villa María del Triunfo, Lima")</f>
      </c>
      <c r="N869">
        <v>0</v>
      </c>
      <c r="O869">
        <v>84</v>
      </c>
      <c r="P869">
        <v>2551.03</v>
      </c>
      <c r="Q869" t="str">
        <v>161.02</v>
      </c>
      <c r="R869" t="str">
        <v/>
      </c>
      <c r="S869" t="str">
        <v/>
      </c>
      <c r="T869" t="str">
        <v/>
      </c>
      <c r="U869" t="str">
        <v/>
      </c>
    </row>
    <row r="870">
      <c r="A870" t="str">
        <v>869</v>
      </c>
      <c r="B870" t="str">
        <v>MASS BSF</v>
      </c>
      <c r="C870" t="str">
        <v>AAR-880</v>
      </c>
      <c r="D870" t="str">
        <v>AAR-880</v>
      </c>
      <c r="E870" t="str">
        <v/>
      </c>
      <c r="F870" t="str">
        <v>867806078847433</v>
      </c>
      <c r="G870" t="str">
        <v>Otro</v>
      </c>
      <c r="H870" t="str">
        <v/>
      </c>
      <c r="I870" t="str">
        <v>27/09/2026</v>
      </c>
      <c r="J870" t="str">
        <v>23:33:13</v>
      </c>
      <c r="K870">
        <v>-12.193338</v>
      </c>
      <c r="L870">
        <v>-76.92696</v>
      </c>
      <c r="M870">
        <f>HYPERLINK("https://www.google.com/maps/search/?api=1&amp;query=-12.193338,-76.92696","Avenida La Mariscala, Villa María del Triunfo, Lima")</f>
      </c>
      <c r="N870">
        <v>0</v>
      </c>
      <c r="O870">
        <v>84</v>
      </c>
      <c r="P870">
        <v>2551.03</v>
      </c>
      <c r="Q870" t="str">
        <v>161.02</v>
      </c>
      <c r="R870" t="str">
        <v/>
      </c>
      <c r="S870" t="str">
        <v/>
      </c>
      <c r="T870" t="str">
        <v/>
      </c>
      <c r="U870" t="str">
        <v/>
      </c>
    </row>
    <row r="871">
      <c r="A871" t="str">
        <v>870</v>
      </c>
      <c r="B871" t="str">
        <v>MASS BSF</v>
      </c>
      <c r="C871" t="str">
        <v>AAR-880</v>
      </c>
      <c r="D871" t="str">
        <v>AAR-880</v>
      </c>
      <c r="E871" t="str">
        <v/>
      </c>
      <c r="F871" t="str">
        <v>867806078847433</v>
      </c>
      <c r="G871" t="str">
        <v>Otro</v>
      </c>
      <c r="H871" t="str">
        <v/>
      </c>
      <c r="I871" t="str">
        <v>27/09/2026</v>
      </c>
      <c r="J871" t="str">
        <v>23:43:13</v>
      </c>
      <c r="K871">
        <v>-12.193338</v>
      </c>
      <c r="L871">
        <v>-76.92696</v>
      </c>
      <c r="M871">
        <f>HYPERLINK("https://www.google.com/maps/search/?api=1&amp;query=-12.193338,-76.92696","Avenida La Mariscala, Villa María del Triunfo, Lima")</f>
      </c>
      <c r="N871">
        <v>0</v>
      </c>
      <c r="O871">
        <v>84</v>
      </c>
      <c r="P871">
        <v>2551.03</v>
      </c>
      <c r="Q871" t="str">
        <v>161.02</v>
      </c>
      <c r="R871" t="str">
        <v/>
      </c>
      <c r="S871" t="str">
        <v/>
      </c>
      <c r="T871" t="str">
        <v/>
      </c>
      <c r="U871" t="str">
        <v/>
      </c>
    </row>
    <row r="872">
      <c r="A872" t="str">
        <v>871</v>
      </c>
      <c r="B872" t="str">
        <v>MASS BSF</v>
      </c>
      <c r="C872" t="str">
        <v>AAR-880</v>
      </c>
      <c r="D872" t="str">
        <v>AAR-880</v>
      </c>
      <c r="E872" t="str">
        <v/>
      </c>
      <c r="F872" t="str">
        <v>867806078847433</v>
      </c>
      <c r="G872" t="str">
        <v>Otro</v>
      </c>
      <c r="H872" t="str">
        <v/>
      </c>
      <c r="I872" t="str">
        <v>27/09/2026</v>
      </c>
      <c r="J872" t="str">
        <v>23:53:13</v>
      </c>
      <c r="K872">
        <v>-12.193338</v>
      </c>
      <c r="L872">
        <v>-76.92696</v>
      </c>
      <c r="M872">
        <f>HYPERLINK("https://www.google.com/maps/search/?api=1&amp;query=-12.193338,-76.92696","Avenida La Mariscala, Villa María del Triunfo, Lima")</f>
      </c>
      <c r="N872">
        <v>0</v>
      </c>
      <c r="O872">
        <v>84</v>
      </c>
      <c r="P872">
        <v>2551.03</v>
      </c>
      <c r="Q872" t="str">
        <v>161.02</v>
      </c>
      <c r="R872" t="str">
        <v/>
      </c>
      <c r="S872" t="str">
        <v/>
      </c>
      <c r="T872" t="str">
        <v/>
      </c>
      <c r="U872" t="str">
        <v/>
      </c>
    </row>
  </sheetData>
  <ignoredErrors>
    <ignoredError numberStoredAsText="1" sqref="A1:U8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