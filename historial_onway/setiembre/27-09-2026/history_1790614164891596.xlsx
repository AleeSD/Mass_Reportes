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>27/09/2026</v>
      </c>
      <c r="J2" t="str">
        <v>00:01:34</v>
      </c>
      <c r="K2">
        <v>-12.213241</v>
      </c>
      <c r="L2">
        <v>-76.95898</v>
      </c>
      <c r="M2">
        <f>HYPERLINK("https://www.google.com/maps/search/?api=1&amp;query=-12.213241,-76.95898","Villa El Salvador, Lima")</f>
      </c>
      <c r="N2">
        <v>0</v>
      </c>
      <c r="O2">
        <v>100</v>
      </c>
      <c r="P2">
        <v>718988.7</v>
      </c>
      <c r="Q2" t="str">
        <v>114.55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>27/09/2026</v>
      </c>
      <c r="J3" t="str">
        <v>00:31:39</v>
      </c>
      <c r="K3">
        <v>-12.213241</v>
      </c>
      <c r="L3">
        <v>-76.95898</v>
      </c>
      <c r="M3">
        <f>HYPERLINK("https://www.google.com/maps/search/?api=1&amp;query=-12.213241,-76.95898","Villa El Salvador, Lima")</f>
      </c>
      <c r="N3">
        <v>0</v>
      </c>
      <c r="O3">
        <v>100</v>
      </c>
      <c r="P3">
        <v>718988.7</v>
      </c>
      <c r="Q3" t="str">
        <v>114.55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>27/09/2026</v>
      </c>
      <c r="J4" t="str">
        <v>01:01:44</v>
      </c>
      <c r="K4">
        <v>-12.213241</v>
      </c>
      <c r="L4">
        <v>-76.95898</v>
      </c>
      <c r="M4">
        <f>HYPERLINK("https://www.google.com/maps/search/?api=1&amp;query=-12.213241,-76.95898","Villa El Salvador, Lima")</f>
      </c>
      <c r="N4">
        <v>0</v>
      </c>
      <c r="O4">
        <v>100</v>
      </c>
      <c r="P4">
        <v>718988.7</v>
      </c>
      <c r="Q4" t="str">
        <v>114.55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>27/09/2026</v>
      </c>
      <c r="J5" t="str">
        <v>01:31:48</v>
      </c>
      <c r="K5">
        <v>-12.213241</v>
      </c>
      <c r="L5">
        <v>-76.95898</v>
      </c>
      <c r="M5">
        <f>HYPERLINK("https://www.google.com/maps/search/?api=1&amp;query=-12.213241,-76.95898","Villa El Salvador, Lima")</f>
      </c>
      <c r="N5">
        <v>0</v>
      </c>
      <c r="O5">
        <v>100</v>
      </c>
      <c r="P5">
        <v>718988.7</v>
      </c>
      <c r="Q5" t="str">
        <v>114.55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>27/09/2026</v>
      </c>
      <c r="J6" t="str">
        <v>02:01:53</v>
      </c>
      <c r="K6">
        <v>-12.213241</v>
      </c>
      <c r="L6">
        <v>-76.95898</v>
      </c>
      <c r="M6">
        <f>HYPERLINK("https://www.google.com/maps/search/?api=1&amp;query=-12.213241,-76.95898","Villa El Salvador, Lima")</f>
      </c>
      <c r="N6">
        <v>0</v>
      </c>
      <c r="O6">
        <v>100</v>
      </c>
      <c r="P6">
        <v>718988.7</v>
      </c>
      <c r="Q6" t="str">
        <v>114.55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>27/09/2026</v>
      </c>
      <c r="J7" t="str">
        <v>02:31:58</v>
      </c>
      <c r="K7">
        <v>-12.213241</v>
      </c>
      <c r="L7">
        <v>-76.95898</v>
      </c>
      <c r="M7">
        <f>HYPERLINK("https://www.google.com/maps/search/?api=1&amp;query=-12.213241,-76.95898","Villa El Salvador, Lima")</f>
      </c>
      <c r="N7">
        <v>0</v>
      </c>
      <c r="O7">
        <v>100</v>
      </c>
      <c r="P7">
        <v>718988.7</v>
      </c>
      <c r="Q7" t="str">
        <v>114.55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>27/09/2026</v>
      </c>
      <c r="J8" t="str">
        <v>03:02:03</v>
      </c>
      <c r="K8">
        <v>-12.213241</v>
      </c>
      <c r="L8">
        <v>-76.95898</v>
      </c>
      <c r="M8">
        <f>HYPERLINK("https://www.google.com/maps/search/?api=1&amp;query=-12.213241,-76.95898","Villa El Salvador, Lima")</f>
      </c>
      <c r="N8">
        <v>0</v>
      </c>
      <c r="O8">
        <v>100</v>
      </c>
      <c r="P8">
        <v>718988.7</v>
      </c>
      <c r="Q8" t="str">
        <v>114.55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>27/09/2026</v>
      </c>
      <c r="J9" t="str">
        <v>03:32:06</v>
      </c>
      <c r="K9">
        <v>-12.213241</v>
      </c>
      <c r="L9">
        <v>-76.95898</v>
      </c>
      <c r="M9">
        <f>HYPERLINK("https://www.google.com/maps/search/?api=1&amp;query=-12.213241,-76.95898","Villa El Salvador, Lima")</f>
      </c>
      <c r="N9">
        <v>0</v>
      </c>
      <c r="O9">
        <v>100</v>
      </c>
      <c r="P9">
        <v>718988.7</v>
      </c>
      <c r="Q9" t="str">
        <v>114.55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>27/09/2026</v>
      </c>
      <c r="J10" t="str">
        <v>04:02:11</v>
      </c>
      <c r="K10">
        <v>-12.213241</v>
      </c>
      <c r="L10">
        <v>-76.95898</v>
      </c>
      <c r="M10">
        <f>HYPERLINK("https://www.google.com/maps/search/?api=1&amp;query=-12.213241,-76.95898","Villa El Salvador, Lima")</f>
      </c>
      <c r="N10">
        <v>0</v>
      </c>
      <c r="O10">
        <v>100</v>
      </c>
      <c r="P10">
        <v>718988.7</v>
      </c>
      <c r="Q10" t="str">
        <v>114.55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>27/09/2026</v>
      </c>
      <c r="J11" t="str">
        <v>04:32:16</v>
      </c>
      <c r="K11">
        <v>-12.213241</v>
      </c>
      <c r="L11">
        <v>-76.95898</v>
      </c>
      <c r="M11">
        <f>HYPERLINK("https://www.google.com/maps/search/?api=1&amp;query=-12.213241,-76.95898","Villa El Salvador, Lima")</f>
      </c>
      <c r="N11">
        <v>0</v>
      </c>
      <c r="O11">
        <v>100</v>
      </c>
      <c r="P11">
        <v>718988.7</v>
      </c>
      <c r="Q11" t="str">
        <v>114.55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>27/09/2026</v>
      </c>
      <c r="J12" t="str">
        <v>05:02:21</v>
      </c>
      <c r="K12">
        <v>-12.213241</v>
      </c>
      <c r="L12">
        <v>-76.95898</v>
      </c>
      <c r="M12">
        <f>HYPERLINK("https://www.google.com/maps/search/?api=1&amp;query=-12.213241,-76.95898","Villa El Salvador, Lima")</f>
      </c>
      <c r="N12">
        <v>0</v>
      </c>
      <c r="O12">
        <v>100</v>
      </c>
      <c r="P12">
        <v>718988.7</v>
      </c>
      <c r="Q12" t="str">
        <v>114.55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>27/09/2026</v>
      </c>
      <c r="J13" t="str">
        <v>05:32:25</v>
      </c>
      <c r="K13">
        <v>-12.213241</v>
      </c>
      <c r="L13">
        <v>-76.95898</v>
      </c>
      <c r="M13">
        <f>HYPERLINK("https://www.google.com/maps/search/?api=1&amp;query=-12.213241,-76.95898","Villa El Salvador, Lima")</f>
      </c>
      <c r="N13">
        <v>0</v>
      </c>
      <c r="O13">
        <v>100</v>
      </c>
      <c r="P13">
        <v>718988.7</v>
      </c>
      <c r="Q13" t="str">
        <v>114.55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>27/09/2026</v>
      </c>
      <c r="J14" t="str">
        <v>05:47:28</v>
      </c>
      <c r="K14">
        <v>-12.213241</v>
      </c>
      <c r="L14">
        <v>-76.95898</v>
      </c>
      <c r="M14">
        <f>HYPERLINK("https://www.google.com/maps/search/?api=1&amp;query=-12.213241,-76.95898","Villa El Salvador, Lima")</f>
      </c>
      <c r="N14">
        <v>0</v>
      </c>
      <c r="O14">
        <v>100</v>
      </c>
      <c r="P14">
        <v>718988.7</v>
      </c>
      <c r="Q14" t="str">
        <v>114.55</v>
      </c>
      <c r="R14" t="str">
        <v>Vehículo encendido</v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>27/09/2026</v>
      </c>
      <c r="J15" t="str">
        <v>05:47:34</v>
      </c>
      <c r="K15">
        <v>-12.213206</v>
      </c>
      <c r="L15">
        <v>-76.95898</v>
      </c>
      <c r="M15">
        <f>HYPERLINK("https://www.google.com/maps/search/?api=1&amp;query=-12.213206,-76.95898","Villa El Salvador, Lima")</f>
      </c>
      <c r="N15">
        <v>0.1</v>
      </c>
      <c r="O15">
        <v>100</v>
      </c>
      <c r="P15">
        <v>718988.7</v>
      </c>
      <c r="Q15" t="str">
        <v>114.55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>27/09/2026</v>
      </c>
      <c r="J16" t="str">
        <v>05:48:33</v>
      </c>
      <c r="K16">
        <v>-12.213206</v>
      </c>
      <c r="L16">
        <v>-76.95898</v>
      </c>
      <c r="M16">
        <f>HYPERLINK("https://www.google.com/maps/search/?api=1&amp;query=-12.213206,-76.95898","Villa El Salvador, Lima")</f>
      </c>
      <c r="N16">
        <v>0</v>
      </c>
      <c r="O16">
        <v>100</v>
      </c>
      <c r="P16">
        <v>718988.7</v>
      </c>
      <c r="Q16" t="str">
        <v>114.55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>27/09/2026</v>
      </c>
      <c r="J17" t="str">
        <v>05:49:33</v>
      </c>
      <c r="K17">
        <v>-12.213206</v>
      </c>
      <c r="L17">
        <v>-76.95898</v>
      </c>
      <c r="M17">
        <f>HYPERLINK("https://www.google.com/maps/search/?api=1&amp;query=-12.213206,-76.95898","Villa El Salvador, Lima")</f>
      </c>
      <c r="N17">
        <v>0</v>
      </c>
      <c r="O17">
        <v>100</v>
      </c>
      <c r="P17">
        <v>718988.7</v>
      </c>
      <c r="Q17" t="str">
        <v>114.55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>27/09/2026</v>
      </c>
      <c r="J18" t="str">
        <v>05:50:33</v>
      </c>
      <c r="K18">
        <v>-12.213206</v>
      </c>
      <c r="L18">
        <v>-76.95898</v>
      </c>
      <c r="M18">
        <f>HYPERLINK("https://www.google.com/maps/search/?api=1&amp;query=-12.213206,-76.95898","Villa El Salvador, Lima")</f>
      </c>
      <c r="N18">
        <v>0</v>
      </c>
      <c r="O18">
        <v>100</v>
      </c>
      <c r="P18">
        <v>718988.7</v>
      </c>
      <c r="Q18" t="str">
        <v>114.55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>27/09/2026</v>
      </c>
      <c r="J19" t="str">
        <v>05:51:33</v>
      </c>
      <c r="K19">
        <v>-12.213206</v>
      </c>
      <c r="L19">
        <v>-76.95898</v>
      </c>
      <c r="M19">
        <f>HYPERLINK("https://www.google.com/maps/search/?api=1&amp;query=-12.213206,-76.95898","Villa El Salvador, Lima")</f>
      </c>
      <c r="N19">
        <v>0</v>
      </c>
      <c r="O19">
        <v>100</v>
      </c>
      <c r="P19">
        <v>718988.7</v>
      </c>
      <c r="Q19" t="str">
        <v>114.55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>27/09/2026</v>
      </c>
      <c r="J20" t="str">
        <v>05:52:26</v>
      </c>
      <c r="K20">
        <v>-12.213206</v>
      </c>
      <c r="L20">
        <v>-76.95898</v>
      </c>
      <c r="M20">
        <f>HYPERLINK("https://www.google.com/maps/search/?api=1&amp;query=-12.213206,-76.95898","Villa El Salvador, Lima")</f>
      </c>
      <c r="N20">
        <v>0</v>
      </c>
      <c r="O20">
        <v>100</v>
      </c>
      <c r="P20">
        <v>718988.7</v>
      </c>
      <c r="Q20" t="str">
        <v>114.55</v>
      </c>
      <c r="R20" t="str">
        <v>Inicio de ralentí</v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>27/09/2026</v>
      </c>
      <c r="J21" t="str">
        <v>05:52:33</v>
      </c>
      <c r="K21">
        <v>-12.213206</v>
      </c>
      <c r="L21">
        <v>-76.95898</v>
      </c>
      <c r="M21">
        <f>HYPERLINK("https://www.google.com/maps/search/?api=1&amp;query=-12.213206,-76.95898","Villa El Salvador, Lima")</f>
      </c>
      <c r="N21">
        <v>0</v>
      </c>
      <c r="O21">
        <v>100</v>
      </c>
      <c r="P21">
        <v>718988.7</v>
      </c>
      <c r="Q21" t="str">
        <v>114.55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>27/09/2026</v>
      </c>
      <c r="J22" t="str">
        <v>05:53:33</v>
      </c>
      <c r="K22">
        <v>-12.213206</v>
      </c>
      <c r="L22">
        <v>-76.95898</v>
      </c>
      <c r="M22">
        <f>HYPERLINK("https://www.google.com/maps/search/?api=1&amp;query=-12.213206,-76.95898","Villa El Salvador, Lima")</f>
      </c>
      <c r="N22">
        <v>0</v>
      </c>
      <c r="O22">
        <v>100</v>
      </c>
      <c r="P22">
        <v>718988.7</v>
      </c>
      <c r="Q22" t="str">
        <v>114.55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>27/09/2026</v>
      </c>
      <c r="J23" t="str">
        <v>05:54:33</v>
      </c>
      <c r="K23">
        <v>-12.213206</v>
      </c>
      <c r="L23">
        <v>-76.95898</v>
      </c>
      <c r="M23">
        <f>HYPERLINK("https://www.google.com/maps/search/?api=1&amp;query=-12.213206,-76.95898","Villa El Salvador, Lima")</f>
      </c>
      <c r="N23">
        <v>0</v>
      </c>
      <c r="O23">
        <v>100</v>
      </c>
      <c r="P23">
        <v>718988.7</v>
      </c>
      <c r="Q23" t="str">
        <v>114.55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>27/09/2026</v>
      </c>
      <c r="J24" t="str">
        <v>05:55:33</v>
      </c>
      <c r="K24">
        <v>-12.213206</v>
      </c>
      <c r="L24">
        <v>-76.95898</v>
      </c>
      <c r="M24">
        <f>HYPERLINK("https://www.google.com/maps/search/?api=1&amp;query=-12.213206,-76.95898","Villa El Salvador, Lima")</f>
      </c>
      <c r="N24">
        <v>0</v>
      </c>
      <c r="O24">
        <v>100</v>
      </c>
      <c r="P24">
        <v>718988.7</v>
      </c>
      <c r="Q24" t="str">
        <v>114.55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>27/09/2026</v>
      </c>
      <c r="J25" t="str">
        <v>05:56:33</v>
      </c>
      <c r="K25">
        <v>-12.213206</v>
      </c>
      <c r="L25">
        <v>-76.95898</v>
      </c>
      <c r="M25">
        <f>HYPERLINK("https://www.google.com/maps/search/?api=1&amp;query=-12.213206,-76.95898","Villa El Salvador, Lima")</f>
      </c>
      <c r="N25">
        <v>0</v>
      </c>
      <c r="O25">
        <v>100</v>
      </c>
      <c r="P25">
        <v>718988.7</v>
      </c>
      <c r="Q25" t="str">
        <v>114.55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>27/09/2026</v>
      </c>
      <c r="J26" t="str">
        <v>05:57:33</v>
      </c>
      <c r="K26">
        <v>-12.213206</v>
      </c>
      <c r="L26">
        <v>-76.95898</v>
      </c>
      <c r="M26">
        <f>HYPERLINK("https://www.google.com/maps/search/?api=1&amp;query=-12.213206,-76.95898","Villa El Salvador, Lima")</f>
      </c>
      <c r="N26">
        <v>0</v>
      </c>
      <c r="O26">
        <v>100</v>
      </c>
      <c r="P26">
        <v>718988.7</v>
      </c>
      <c r="Q26" t="str">
        <v>114.55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>27/09/2026</v>
      </c>
      <c r="J27" t="str">
        <v>05:58:33</v>
      </c>
      <c r="K27">
        <v>-12.213206</v>
      </c>
      <c r="L27">
        <v>-76.95898</v>
      </c>
      <c r="M27">
        <f>HYPERLINK("https://www.google.com/maps/search/?api=1&amp;query=-12.213206,-76.95898","Villa El Salvador, Lima")</f>
      </c>
      <c r="N27">
        <v>0</v>
      </c>
      <c r="O27">
        <v>100</v>
      </c>
      <c r="P27">
        <v>718988.7</v>
      </c>
      <c r="Q27" t="str">
        <v>114.55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>27/09/2026</v>
      </c>
      <c r="J28" t="str">
        <v>05:59:33</v>
      </c>
      <c r="K28">
        <v>-12.213206</v>
      </c>
      <c r="L28">
        <v>-76.95898</v>
      </c>
      <c r="M28">
        <f>HYPERLINK("https://www.google.com/maps/search/?api=1&amp;query=-12.213206,-76.95898","Villa El Salvador, Lima")</f>
      </c>
      <c r="N28">
        <v>0</v>
      </c>
      <c r="O28">
        <v>100</v>
      </c>
      <c r="P28">
        <v>718988.7</v>
      </c>
      <c r="Q28" t="str">
        <v>114.55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>27/09/2026</v>
      </c>
      <c r="J29" t="str">
        <v>06:00:33</v>
      </c>
      <c r="K29">
        <v>-12.213206</v>
      </c>
      <c r="L29">
        <v>-76.95898</v>
      </c>
      <c r="M29">
        <f>HYPERLINK("https://www.google.com/maps/search/?api=1&amp;query=-12.213206,-76.95898","Villa El Salvador, Lima")</f>
      </c>
      <c r="N29">
        <v>0</v>
      </c>
      <c r="O29">
        <v>100</v>
      </c>
      <c r="P29">
        <v>718988.7</v>
      </c>
      <c r="Q29" t="str">
        <v>114.55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>27/09/2026</v>
      </c>
      <c r="J30" t="str">
        <v>06:01:33</v>
      </c>
      <c r="K30">
        <v>-12.213206</v>
      </c>
      <c r="L30">
        <v>-76.95898</v>
      </c>
      <c r="M30">
        <f>HYPERLINK("https://www.google.com/maps/search/?api=1&amp;query=-12.213206,-76.95898","Villa El Salvador, Lima")</f>
      </c>
      <c r="N30">
        <v>0</v>
      </c>
      <c r="O30">
        <v>100</v>
      </c>
      <c r="P30">
        <v>718988.7</v>
      </c>
      <c r="Q30" t="str">
        <v>114.55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>27/09/2026</v>
      </c>
      <c r="J31" t="str">
        <v>06:02:12</v>
      </c>
      <c r="K31">
        <v>-12.213206</v>
      </c>
      <c r="L31">
        <v>-76.95898</v>
      </c>
      <c r="M31">
        <f>HYPERLINK("https://www.google.com/maps/search/?api=1&amp;query=-12.213206,-76.95898","Villa El Salvador, Lima")</f>
      </c>
      <c r="N31">
        <v>0</v>
      </c>
      <c r="O31">
        <v>100</v>
      </c>
      <c r="P31">
        <v>718988.7</v>
      </c>
      <c r="Q31" t="str">
        <v>114.80</v>
      </c>
      <c r="R31" t="str">
        <v>Vehículo apagado</v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>27/09/2026</v>
      </c>
      <c r="J32" t="str">
        <v>06:02:16</v>
      </c>
      <c r="K32">
        <v>-12.213206</v>
      </c>
      <c r="L32">
        <v>-76.95898</v>
      </c>
      <c r="M32">
        <f>HYPERLINK("https://www.google.com/maps/search/?api=1&amp;query=-12.213206,-76.95898","Villa El Salvador, Lima")</f>
      </c>
      <c r="N32">
        <v>0</v>
      </c>
      <c r="O32">
        <v>100</v>
      </c>
      <c r="P32">
        <v>718988.7</v>
      </c>
      <c r="Q32" t="str">
        <v>114.55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>27/09/2026</v>
      </c>
      <c r="J33" t="str">
        <v>06:03:12</v>
      </c>
      <c r="K33">
        <v>-12.213206</v>
      </c>
      <c r="L33">
        <v>-76.95898</v>
      </c>
      <c r="M33">
        <f>HYPERLINK("https://www.google.com/maps/search/?api=1&amp;query=-12.213206,-76.95898","Villa El Salvador, Lima")</f>
      </c>
      <c r="N33">
        <v>0</v>
      </c>
      <c r="O33">
        <v>100</v>
      </c>
      <c r="P33">
        <v>718988.7</v>
      </c>
      <c r="Q33" t="str">
        <v>114.80</v>
      </c>
      <c r="R33" t="str">
        <v>Fin de ralentí</v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>27/09/2026</v>
      </c>
      <c r="J34" t="str">
        <v>06:32:16</v>
      </c>
      <c r="K34">
        <v>-12.213206</v>
      </c>
      <c r="L34">
        <v>-76.95898</v>
      </c>
      <c r="M34">
        <f>HYPERLINK("https://www.google.com/maps/search/?api=1&amp;query=-12.213206,-76.95898","Villa El Salvador, Lima")</f>
      </c>
      <c r="N34">
        <v>0</v>
      </c>
      <c r="O34">
        <v>100</v>
      </c>
      <c r="P34">
        <v>718988.7</v>
      </c>
      <c r="Q34" t="str">
        <v>114.80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>27/09/2026</v>
      </c>
      <c r="J35" t="str">
        <v>06:33:10</v>
      </c>
      <c r="K35">
        <v>-12.213206</v>
      </c>
      <c r="L35">
        <v>-76.95898</v>
      </c>
      <c r="M35">
        <f>HYPERLINK("https://www.google.com/maps/search/?api=1&amp;query=-12.213206,-76.95898","Villa El Salvador, Lima")</f>
      </c>
      <c r="N35">
        <v>0</v>
      </c>
      <c r="O35">
        <v>100</v>
      </c>
      <c r="P35">
        <v>718988.7</v>
      </c>
      <c r="Q35" t="str">
        <v>114.80</v>
      </c>
      <c r="R35" t="str">
        <v>Vehículo encendido</v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>27/09/2026</v>
      </c>
      <c r="J36" t="str">
        <v>06:33:15</v>
      </c>
      <c r="K36">
        <v>-12.213238</v>
      </c>
      <c r="L36">
        <v>-76.95926</v>
      </c>
      <c r="M36">
        <f>HYPERLINK("https://www.google.com/maps/search/?api=1&amp;query=-12.213238,-76.95926","Villa El Salvador, Lima")</f>
      </c>
      <c r="N36">
        <v>0.5</v>
      </c>
      <c r="O36">
        <v>100</v>
      </c>
      <c r="P36">
        <v>718988.7</v>
      </c>
      <c r="Q36" t="str">
        <v>114.80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>27/09/2026</v>
      </c>
      <c r="J37" t="str">
        <v>06:34:11</v>
      </c>
      <c r="K37">
        <v>-12.213052</v>
      </c>
      <c r="L37">
        <v>-76.95912</v>
      </c>
      <c r="M37">
        <f>HYPERLINK("https://www.google.com/maps/search/?api=1&amp;query=-12.213052,-76.95912","Avenida Villa del Mar, Villa El Salvador, Lima")</f>
      </c>
      <c r="N37">
        <v>0</v>
      </c>
      <c r="O37">
        <v>100</v>
      </c>
      <c r="P37">
        <v>718988.7</v>
      </c>
      <c r="Q37" t="str">
        <v>114.80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>27/09/2026</v>
      </c>
      <c r="J38" t="str">
        <v>06:35:11</v>
      </c>
      <c r="K38">
        <v>-12.213052</v>
      </c>
      <c r="L38">
        <v>-76.95912</v>
      </c>
      <c r="M38">
        <f>HYPERLINK("https://www.google.com/maps/search/?api=1&amp;query=-12.213052,-76.95912","Avenida Villa del Mar, Villa El Salvador, Lima")</f>
      </c>
      <c r="N38">
        <v>0</v>
      </c>
      <c r="O38">
        <v>100</v>
      </c>
      <c r="P38">
        <v>718988.7</v>
      </c>
      <c r="Q38" t="str">
        <v>114.80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>27/09/2026</v>
      </c>
      <c r="J39" t="str">
        <v>06:36:11</v>
      </c>
      <c r="K39">
        <v>-12.213288</v>
      </c>
      <c r="L39">
        <v>-76.95972</v>
      </c>
      <c r="M39">
        <f>HYPERLINK("https://www.google.com/maps/search/?api=1&amp;query=-12.213288,-76.95972","Avenida Villa del Mar, Villa El Salvador, Lima")</f>
      </c>
      <c r="N39">
        <v>6.7</v>
      </c>
      <c r="O39">
        <v>100</v>
      </c>
      <c r="P39">
        <v>718988.8</v>
      </c>
      <c r="Q39" t="str">
        <v>114.80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>27/09/2026</v>
      </c>
      <c r="J40" t="str">
        <v>06:36:51</v>
      </c>
      <c r="K40">
        <v>-12.213566</v>
      </c>
      <c r="L40">
        <v>-76.96045</v>
      </c>
      <c r="M40">
        <f>HYPERLINK("https://www.google.com/maps/search/?api=1&amp;query=-12.213566,-76.96045","Avenida Villa del Mar, Villa El Salvador, Lima")</f>
      </c>
      <c r="N40">
        <v>4.1</v>
      </c>
      <c r="O40">
        <v>100</v>
      </c>
      <c r="P40">
        <v>718988.9</v>
      </c>
      <c r="Q40" t="str">
        <v>114.80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>27/09/2026</v>
      </c>
      <c r="J41" t="str">
        <v>06:37:06</v>
      </c>
      <c r="K41">
        <v>-12.213417</v>
      </c>
      <c r="L41">
        <v>-76.96056</v>
      </c>
      <c r="M41">
        <f>HYPERLINK("https://www.google.com/maps/search/?api=1&amp;query=-12.213417,-76.96056","Calle 1, Villa El Salvador, Lima")</f>
      </c>
      <c r="N41">
        <v>5.1</v>
      </c>
      <c r="O41">
        <v>100</v>
      </c>
      <c r="P41">
        <v>718988.9</v>
      </c>
      <c r="Q41" t="str">
        <v>114.80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>27/09/2026</v>
      </c>
      <c r="J42" t="str">
        <v>06:37:11</v>
      </c>
      <c r="K42">
        <v>-12.213378</v>
      </c>
      <c r="L42">
        <v>-76.96059</v>
      </c>
      <c r="M42">
        <f>HYPERLINK("https://www.google.com/maps/search/?api=1&amp;query=-12.213378,-76.96059","Calle 1, Villa El Salvador, Lima")</f>
      </c>
      <c r="N42">
        <v>5.6</v>
      </c>
      <c r="O42">
        <v>100</v>
      </c>
      <c r="P42">
        <v>718988.9</v>
      </c>
      <c r="Q42" t="str">
        <v>114.80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>27/09/2026</v>
      </c>
      <c r="J43" t="str">
        <v>06:38:11</v>
      </c>
      <c r="K43">
        <v>-12.212535</v>
      </c>
      <c r="L43">
        <v>-76.96109</v>
      </c>
      <c r="M43">
        <f>HYPERLINK("https://www.google.com/maps/search/?api=1&amp;query=-12.212535,-76.96109","Calle 1, Villa El Salvador, Lima")</f>
      </c>
      <c r="N43">
        <v>7.6</v>
      </c>
      <c r="O43">
        <v>100</v>
      </c>
      <c r="P43">
        <v>718989</v>
      </c>
      <c r="Q43" t="str">
        <v>114.80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>27/09/2026</v>
      </c>
      <c r="J44" t="str">
        <v>06:39:11</v>
      </c>
      <c r="K44">
        <v>-12.211627</v>
      </c>
      <c r="L44">
        <v>-76.9617</v>
      </c>
      <c r="M44">
        <f>HYPERLINK("https://www.google.com/maps/search/?api=1&amp;query=-12.211627,-76.9617","Calle 1, Villa El Salvador, Lima")</f>
      </c>
      <c r="N44">
        <v>9.2</v>
      </c>
      <c r="O44">
        <v>100</v>
      </c>
      <c r="P44">
        <v>718989.1</v>
      </c>
      <c r="Q44" t="str">
        <v>114.80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>27/09/2026</v>
      </c>
      <c r="J45" t="str">
        <v>06:39:45</v>
      </c>
      <c r="K45">
        <v>-12.211217</v>
      </c>
      <c r="L45">
        <v>-76.96198</v>
      </c>
      <c r="M45">
        <f>HYPERLINK("https://www.google.com/maps/search/?api=1&amp;query=-12.211217,-76.96198","Calle 1, Villa El Salvador, Lima")</f>
      </c>
      <c r="N45">
        <v>5.6</v>
      </c>
      <c r="O45">
        <v>100</v>
      </c>
      <c r="P45">
        <v>718989.2</v>
      </c>
      <c r="Q45" t="str">
        <v>114.80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>27/09/2026</v>
      </c>
      <c r="J46" t="str">
        <v>06:40:11</v>
      </c>
      <c r="K46">
        <v>-12.21077</v>
      </c>
      <c r="L46">
        <v>-76.96124</v>
      </c>
      <c r="M46">
        <f>HYPERLINK("https://www.google.com/maps/search/?api=1&amp;query=-12.21077,-76.96124","Avenida El Sol, Villa El Salvador, Lima")</f>
      </c>
      <c r="N46">
        <v>18.2</v>
      </c>
      <c r="O46">
        <v>100</v>
      </c>
      <c r="P46">
        <v>718989.3</v>
      </c>
      <c r="Q46" t="str">
        <v>114.80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>27/09/2026</v>
      </c>
      <c r="J47" t="str">
        <v>06:41:11</v>
      </c>
      <c r="K47">
        <v>-12.209438</v>
      </c>
      <c r="L47">
        <v>-76.95901</v>
      </c>
      <c r="M47">
        <f>HYPERLINK("https://www.google.com/maps/search/?api=1&amp;query=-12.209438,-76.95901","Avenida El Sol, Villa El Salvador, Lima")</f>
      </c>
      <c r="N47">
        <v>31.4</v>
      </c>
      <c r="O47">
        <v>100</v>
      </c>
      <c r="P47">
        <v>718989.6</v>
      </c>
      <c r="Q47" t="str">
        <v>114.80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>27/09/2026</v>
      </c>
      <c r="J48" t="str">
        <v>06:42:11</v>
      </c>
      <c r="K48">
        <v>-12.206592</v>
      </c>
      <c r="L48">
        <v>-76.95438</v>
      </c>
      <c r="M48">
        <f>HYPERLINK("https://www.google.com/maps/search/?api=1&amp;query=-12.206592,-76.95438","Avenida El Sol, Villa El Salvador, Lima")</f>
      </c>
      <c r="N48">
        <v>39.2</v>
      </c>
      <c r="O48">
        <v>100</v>
      </c>
      <c r="P48">
        <v>718990.2</v>
      </c>
      <c r="Q48" t="str">
        <v>114.80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>27/09/2026</v>
      </c>
      <c r="J49" t="str">
        <v>06:42:33</v>
      </c>
      <c r="K49">
        <v>-12.205761</v>
      </c>
      <c r="L49">
        <v>-76.95281</v>
      </c>
      <c r="M49">
        <f>HYPERLINK("https://www.google.com/maps/search/?api=1&amp;query=-12.205761,-76.95281","Avenida Mariano Pastor Sevilla, Villa El Salvador, Lima")</f>
      </c>
      <c r="N49">
        <v>14</v>
      </c>
      <c r="O49">
        <v>100</v>
      </c>
      <c r="P49">
        <v>718990.4</v>
      </c>
      <c r="Q49" t="str">
        <v>114.80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>27/09/2026</v>
      </c>
      <c r="J50" t="str">
        <v>06:42:36</v>
      </c>
      <c r="K50">
        <v>-12.205654</v>
      </c>
      <c r="L50">
        <v>-76.95285</v>
      </c>
      <c r="M50">
        <f>HYPERLINK("https://www.google.com/maps/search/?api=1&amp;query=-12.205654,-76.95285","Avenida Mariano Pastor Sevilla, Villa El Salvador, Lima")</f>
      </c>
      <c r="N50">
        <v>17</v>
      </c>
      <c r="O50">
        <v>100</v>
      </c>
      <c r="P50">
        <v>718990.4</v>
      </c>
      <c r="Q50" t="str">
        <v>114.80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>27/09/2026</v>
      </c>
      <c r="J51" t="str">
        <v>06:43:11</v>
      </c>
      <c r="K51">
        <v>-12.203425</v>
      </c>
      <c r="L51">
        <v>-76.95424</v>
      </c>
      <c r="M51">
        <f>HYPERLINK("https://www.google.com/maps/search/?api=1&amp;query=-12.203425,-76.95424","Avenida Mariano Pastor Sevilla, Villa El Salvador, Lima")</f>
      </c>
      <c r="N51">
        <v>25.3</v>
      </c>
      <c r="O51">
        <v>100</v>
      </c>
      <c r="P51">
        <v>718990.7</v>
      </c>
      <c r="Q51" t="str">
        <v>114.80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>27/09/2026</v>
      </c>
      <c r="J52" t="str">
        <v>06:44:11</v>
      </c>
      <c r="K52">
        <v>-12.199456</v>
      </c>
      <c r="L52">
        <v>-76.95666</v>
      </c>
      <c r="M52">
        <f>HYPERLINK("https://www.google.com/maps/search/?api=1&amp;query=-12.199456,-76.95666","Avenida Mariano Pastor Sevilla, Villa El Salvador, Lima")</f>
      </c>
      <c r="N52">
        <v>31.7</v>
      </c>
      <c r="O52">
        <v>100</v>
      </c>
      <c r="P52">
        <v>718991.2</v>
      </c>
      <c r="Q52" t="str">
        <v>114.80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>27/09/2026</v>
      </c>
      <c r="J53" t="str">
        <v>06:45:11</v>
      </c>
      <c r="K53">
        <v>-12.19634</v>
      </c>
      <c r="L53">
        <v>-76.95855</v>
      </c>
      <c r="M53">
        <f>HYPERLINK("https://www.google.com/maps/search/?api=1&amp;query=-12.19634,-76.95855","Avenida Mariano Pastor Sevilla, Villa El Salvador, Lima")</f>
      </c>
      <c r="N53">
        <v>22.4</v>
      </c>
      <c r="O53">
        <v>100</v>
      </c>
      <c r="P53">
        <v>718991.6</v>
      </c>
      <c r="Q53" t="str">
        <v>114.80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>27/09/2026</v>
      </c>
      <c r="J54" t="str">
        <v>06:46:11</v>
      </c>
      <c r="K54">
        <v>-12.193162</v>
      </c>
      <c r="L54">
        <v>-76.960495</v>
      </c>
      <c r="M54">
        <f>HYPERLINK("https://www.google.com/maps/search/?api=1&amp;query=-12.193162,-76.960495","Avenida Mariano Pastor Sevilla, Villa El Salvador, Lima")</f>
      </c>
      <c r="N54">
        <v>18.2</v>
      </c>
      <c r="O54">
        <v>100</v>
      </c>
      <c r="P54">
        <v>718992</v>
      </c>
      <c r="Q54" t="str">
        <v>114.80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>27/09/2026</v>
      </c>
      <c r="J55" t="str">
        <v>06:47:11</v>
      </c>
      <c r="K55">
        <v>-12.190942</v>
      </c>
      <c r="L55">
        <v>-76.96184</v>
      </c>
      <c r="M55">
        <f>HYPERLINK("https://www.google.com/maps/search/?api=1&amp;query=-12.190942,-76.96184","Avenida Mariano Pastor Sevilla, San Juan de Miraflores, Lima")</f>
      </c>
      <c r="N55">
        <v>45</v>
      </c>
      <c r="O55">
        <v>100</v>
      </c>
      <c r="P55">
        <v>718992.3</v>
      </c>
      <c r="Q55" t="str">
        <v>114.80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>27/09/2026</v>
      </c>
      <c r="J56" t="str">
        <v>06:48:11</v>
      </c>
      <c r="K56">
        <v>-12.185413</v>
      </c>
      <c r="L56">
        <v>-76.964714</v>
      </c>
      <c r="M56">
        <f>HYPERLINK("https://www.google.com/maps/search/?api=1&amp;query=-12.185413,-76.964714","Avenida Mariano Pastor Sevilla, San Juan de Miraflores, Lima")</f>
      </c>
      <c r="N56">
        <v>34.3</v>
      </c>
      <c r="O56">
        <v>100</v>
      </c>
      <c r="P56">
        <v>718993</v>
      </c>
      <c r="Q56" t="str">
        <v>114.80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>27/09/2026</v>
      </c>
      <c r="J57" t="str">
        <v>06:49:11</v>
      </c>
      <c r="K57">
        <v>-12.181897</v>
      </c>
      <c r="L57">
        <v>-76.96607</v>
      </c>
      <c r="M57">
        <f>HYPERLINK("https://www.google.com/maps/search/?api=1&amp;query=-12.181897,-76.96607","Avenida Mariano Pastor Sevilla, San Juan de Miraflores, Lima")</f>
      </c>
      <c r="N57">
        <v>12.4</v>
      </c>
      <c r="O57">
        <v>100</v>
      </c>
      <c r="P57">
        <v>718993.4</v>
      </c>
      <c r="Q57" t="str">
        <v>114.80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>27/09/2026</v>
      </c>
      <c r="J58" t="str">
        <v>06:49:36</v>
      </c>
      <c r="K58">
        <v>-12.180003</v>
      </c>
      <c r="L58">
        <v>-76.9666</v>
      </c>
      <c r="M58">
        <f>HYPERLINK("https://www.google.com/maps/search/?api=1&amp;query=-12.180003,-76.9666","Avenida Mariano Pastor Sevilla, San Juan de Miraflores, Lima")</f>
      </c>
      <c r="N58">
        <v>33.8</v>
      </c>
      <c r="O58">
        <v>100</v>
      </c>
      <c r="P58">
        <v>718993.6</v>
      </c>
      <c r="Q58" t="str">
        <v>114.80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>27/09/2026</v>
      </c>
      <c r="J59" t="str">
        <v>06:50:00</v>
      </c>
      <c r="K59">
        <v>-12.178271</v>
      </c>
      <c r="L59">
        <v>-76.966095</v>
      </c>
      <c r="M59">
        <f>HYPERLINK("https://www.google.com/maps/search/?api=1&amp;query=-12.178271,-76.966095","Avenida César Canevaro, San Juan de Miraflores, Lima")</f>
      </c>
      <c r="N59">
        <v>23</v>
      </c>
      <c r="O59">
        <v>100</v>
      </c>
      <c r="P59">
        <v>718993.8</v>
      </c>
      <c r="Q59" t="str">
        <v>114.80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>27/09/2026</v>
      </c>
      <c r="J60" t="str">
        <v>06:50:11</v>
      </c>
      <c r="K60">
        <v>-12.177556</v>
      </c>
      <c r="L60">
        <v>-76.96628</v>
      </c>
      <c r="M60">
        <f>HYPERLINK("https://www.google.com/maps/search/?api=1&amp;query=-12.177556,-76.96628","Avenida César Canevaro, San Juan de Miraflores, Lima")</f>
      </c>
      <c r="N60">
        <v>35.5</v>
      </c>
      <c r="O60">
        <v>100</v>
      </c>
      <c r="P60">
        <v>718993.9</v>
      </c>
      <c r="Q60" t="str">
        <v>114.80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>27/09/2026</v>
      </c>
      <c r="J61" t="str">
        <v>06:51:12</v>
      </c>
      <c r="K61">
        <v>-12.174174</v>
      </c>
      <c r="L61">
        <v>-76.967155</v>
      </c>
      <c r="M61">
        <f>HYPERLINK("https://www.google.com/maps/search/?api=1&amp;query=-12.174174,-76.967155","Avenida César Canevaro, San Juan de Miraflores, Lima")</f>
      </c>
      <c r="N61">
        <v>7.3</v>
      </c>
      <c r="O61">
        <v>100</v>
      </c>
      <c r="P61">
        <v>718994.3</v>
      </c>
      <c r="Q61" t="str">
        <v>114.80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>27/09/2026</v>
      </c>
      <c r="J62" t="str">
        <v>06:52:00</v>
      </c>
      <c r="K62">
        <v>-12.171468</v>
      </c>
      <c r="L62">
        <v>-76.96776</v>
      </c>
      <c r="M62">
        <f>HYPERLINK("https://www.google.com/maps/search/?api=1&amp;query=-12.171468,-76.96776","Calle Los Cipreses, San Juan de Miraflores, Lima")</f>
      </c>
      <c r="N62">
        <v>10.8</v>
      </c>
      <c r="O62">
        <v>100</v>
      </c>
      <c r="P62">
        <v>718994.6</v>
      </c>
      <c r="Q62" t="str">
        <v>114.80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>27/09/2026</v>
      </c>
      <c r="J63" t="str">
        <v>06:52:12</v>
      </c>
      <c r="K63">
        <v>-12.171371</v>
      </c>
      <c r="L63">
        <v>-76.96739</v>
      </c>
      <c r="M63">
        <f>HYPERLINK("https://www.google.com/maps/search/?api=1&amp;query=-12.171371,-76.96739","Calle Los Cipreses, San Juan de Miraflores, Lima")</f>
      </c>
      <c r="N63">
        <v>20.8</v>
      </c>
      <c r="O63">
        <v>100</v>
      </c>
      <c r="P63">
        <v>718994.7</v>
      </c>
      <c r="Q63" t="str">
        <v>114.80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>27/09/2026</v>
      </c>
      <c r="J64" t="str">
        <v>06:53:12</v>
      </c>
      <c r="K64">
        <v>-12.171152</v>
      </c>
      <c r="L64">
        <v>-76.96642</v>
      </c>
      <c r="M64">
        <f>HYPERLINK("https://www.google.com/maps/search/?api=1&amp;query=-12.171152,-76.96642","Calle Los Cipreses, San Juan de Miraflores, Lima")</f>
      </c>
      <c r="N64">
        <v>0</v>
      </c>
      <c r="O64">
        <v>100</v>
      </c>
      <c r="P64">
        <v>718994.8</v>
      </c>
      <c r="Q64" t="str">
        <v>114.80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>27/09/2026</v>
      </c>
      <c r="J65" t="str">
        <v>06:53:45</v>
      </c>
      <c r="K65">
        <v>-12.171132</v>
      </c>
      <c r="L65">
        <v>-76.9662</v>
      </c>
      <c r="M65">
        <f>HYPERLINK("https://www.google.com/maps/search/?api=1&amp;query=-12.171132,-76.9662","Calle Los Cipreses, San Juan de Miraflores, Lima")</f>
      </c>
      <c r="N65">
        <v>6.5</v>
      </c>
      <c r="O65">
        <v>100</v>
      </c>
      <c r="P65">
        <v>718994.8</v>
      </c>
      <c r="Q65" t="str">
        <v>114.80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>27/09/2026</v>
      </c>
      <c r="J66" t="str">
        <v>06:54:12</v>
      </c>
      <c r="K66">
        <v>-12.170847</v>
      </c>
      <c r="L66">
        <v>-76.96613</v>
      </c>
      <c r="M66">
        <f>HYPERLINK("https://www.google.com/maps/search/?api=1&amp;query=-12.170847,-76.96613","Calle Los Alhelies, San Juan de Miraflores, Lima")</f>
      </c>
      <c r="N66">
        <v>0</v>
      </c>
      <c r="O66">
        <v>100</v>
      </c>
      <c r="P66">
        <v>718994.8</v>
      </c>
      <c r="Q66" t="str">
        <v>114.80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>27/09/2026</v>
      </c>
      <c r="J67" t="str">
        <v>06:55:12</v>
      </c>
      <c r="K67">
        <v>-12.170847</v>
      </c>
      <c r="L67">
        <v>-76.96613</v>
      </c>
      <c r="M67">
        <f>HYPERLINK("https://www.google.com/maps/search/?api=1&amp;query=-12.170847,-76.96613","Calle Los Alhelies, San Juan de Miraflores, Lima")</f>
      </c>
      <c r="N67">
        <v>0</v>
      </c>
      <c r="O67">
        <v>100</v>
      </c>
      <c r="P67">
        <v>718994.8</v>
      </c>
      <c r="Q67" t="str">
        <v>114.80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BXQ-847</v>
      </c>
      <c r="D68" t="str">
        <v>BXQ-847</v>
      </c>
      <c r="E68" t="str">
        <v/>
      </c>
      <c r="F68" t="str">
        <v>867162029843950</v>
      </c>
      <c r="G68" t="str">
        <v>TBD</v>
      </c>
      <c r="H68" t="str">
        <v/>
      </c>
      <c r="I68" t="str">
        <v>27/09/2026</v>
      </c>
      <c r="J68" t="str">
        <v>06:55:21</v>
      </c>
      <c r="K68">
        <v>-12.170847</v>
      </c>
      <c r="L68">
        <v>-76.96613</v>
      </c>
      <c r="M68">
        <f>HYPERLINK("https://www.google.com/maps/search/?api=1&amp;query=-12.170847,-76.96613","Calle Los Alhelies, San Juan de Miraflores, Lima")</f>
      </c>
      <c r="N68">
        <v>0</v>
      </c>
      <c r="O68">
        <v>100</v>
      </c>
      <c r="P68">
        <v>718994.8</v>
      </c>
      <c r="Q68" t="str">
        <v>115.17</v>
      </c>
      <c r="R68" t="str">
        <v>Vehículo apagado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BXQ-847</v>
      </c>
      <c r="D69" t="str">
        <v>BXQ-847</v>
      </c>
      <c r="E69" t="str">
        <v/>
      </c>
      <c r="F69" t="str">
        <v>867162029843950</v>
      </c>
      <c r="G69" t="str">
        <v>TBD</v>
      </c>
      <c r="H69" t="str">
        <v/>
      </c>
      <c r="I69" t="str">
        <v>27/09/2026</v>
      </c>
      <c r="J69" t="str">
        <v>06:55:26</v>
      </c>
      <c r="K69">
        <v>-12.170847</v>
      </c>
      <c r="L69">
        <v>-76.96613</v>
      </c>
      <c r="M69">
        <f>HYPERLINK("https://www.google.com/maps/search/?api=1&amp;query=-12.170847,-76.96613","Calle Los Alhelies, San Juan de Miraflores, Lima")</f>
      </c>
      <c r="N69">
        <v>0</v>
      </c>
      <c r="O69">
        <v>100</v>
      </c>
      <c r="P69">
        <v>718994.8</v>
      </c>
      <c r="Q69" t="str">
        <v>115.17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BXQ-847</v>
      </c>
      <c r="D70" t="str">
        <v>BXQ-847</v>
      </c>
      <c r="E70" t="str">
        <v/>
      </c>
      <c r="F70" t="str">
        <v>867162029843950</v>
      </c>
      <c r="G70" t="str">
        <v>TBD</v>
      </c>
      <c r="H70" t="str">
        <v/>
      </c>
      <c r="I70" t="str">
        <v>27/09/2026</v>
      </c>
      <c r="J70" t="str">
        <v>06:55:35</v>
      </c>
      <c r="K70">
        <v>-12.170582</v>
      </c>
      <c r="L70">
        <v>-76.966064</v>
      </c>
      <c r="M70">
        <f>HYPERLINK("https://www.google.com/maps/search/?api=1&amp;query=-12.170582,-76.966064","Calle Los Alhelies, San Juan de Miraflores, Lima")</f>
      </c>
      <c r="N70">
        <v>0</v>
      </c>
      <c r="O70">
        <v>100</v>
      </c>
      <c r="P70">
        <v>718994.9</v>
      </c>
      <c r="Q70" t="str">
        <v>115.17</v>
      </c>
      <c r="R70" t="str">
        <v>Vehículo encendido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BXQ-847</v>
      </c>
      <c r="D71" t="str">
        <v>BXQ-847</v>
      </c>
      <c r="E71" t="str">
        <v/>
      </c>
      <c r="F71" t="str">
        <v>867162029843950</v>
      </c>
      <c r="G71" t="str">
        <v>TBD</v>
      </c>
      <c r="H71" t="str">
        <v/>
      </c>
      <c r="I71" t="str">
        <v>27/09/2026</v>
      </c>
      <c r="J71" t="str">
        <v>06:55:41</v>
      </c>
      <c r="K71">
        <v>-12.170582</v>
      </c>
      <c r="L71">
        <v>-76.966064</v>
      </c>
      <c r="M71">
        <f>HYPERLINK("https://www.google.com/maps/search/?api=1&amp;query=-12.170582,-76.966064","Calle Los Alhelies, San Juan de Miraflores, Lima")</f>
      </c>
      <c r="N71">
        <v>0.6</v>
      </c>
      <c r="O71">
        <v>100</v>
      </c>
      <c r="P71">
        <v>718994.9</v>
      </c>
      <c r="Q71" t="str">
        <v>115.17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BXQ-847</v>
      </c>
      <c r="D72" t="str">
        <v>BXQ-847</v>
      </c>
      <c r="E72" t="str">
        <v/>
      </c>
      <c r="F72" t="str">
        <v>867162029843950</v>
      </c>
      <c r="G72" t="str">
        <v>TBD</v>
      </c>
      <c r="H72" t="str">
        <v/>
      </c>
      <c r="I72" t="str">
        <v>27/09/2026</v>
      </c>
      <c r="J72" t="str">
        <v>06:56:05</v>
      </c>
      <c r="K72">
        <v>-12.170582</v>
      </c>
      <c r="L72">
        <v>-76.966064</v>
      </c>
      <c r="M72">
        <f>HYPERLINK("https://www.google.com/maps/search/?api=1&amp;query=-12.170582,-76.966064","Calle Los Alhelies, San Juan de Miraflores, Lima")</f>
      </c>
      <c r="N72">
        <v>0.6</v>
      </c>
      <c r="O72">
        <v>100</v>
      </c>
      <c r="P72">
        <v>718994.9</v>
      </c>
      <c r="Q72" t="str">
        <v>115.17</v>
      </c>
      <c r="R72" t="str">
        <v>Vehículo apagado</v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BXQ-847</v>
      </c>
      <c r="D73" t="str">
        <v>BXQ-847</v>
      </c>
      <c r="E73" t="str">
        <v/>
      </c>
      <c r="F73" t="str">
        <v>867162029843950</v>
      </c>
      <c r="G73" t="str">
        <v>TBD</v>
      </c>
      <c r="H73" t="str">
        <v/>
      </c>
      <c r="I73" t="str">
        <v>27/09/2026</v>
      </c>
      <c r="J73" t="str">
        <v>06:56:07</v>
      </c>
      <c r="K73">
        <v>-12.170582</v>
      </c>
      <c r="L73">
        <v>-76.966064</v>
      </c>
      <c r="M73">
        <f>HYPERLINK("https://www.google.com/maps/search/?api=1&amp;query=-12.170582,-76.966064","Calle Los Alhelies, San Juan de Miraflores, Lima")</f>
      </c>
      <c r="N73">
        <v>0</v>
      </c>
      <c r="O73">
        <v>100</v>
      </c>
      <c r="P73">
        <v>718994.9</v>
      </c>
      <c r="Q73" t="str">
        <v>115.17</v>
      </c>
      <c r="R73" t="str">
        <v>Vehículo encendido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BXQ-847</v>
      </c>
      <c r="D74" t="str">
        <v>BXQ-847</v>
      </c>
      <c r="E74" t="str">
        <v/>
      </c>
      <c r="F74" t="str">
        <v>867162029843950</v>
      </c>
      <c r="G74" t="str">
        <v>TBD</v>
      </c>
      <c r="H74" t="str">
        <v/>
      </c>
      <c r="I74" t="str">
        <v>27/09/2026</v>
      </c>
      <c r="J74" t="str">
        <v>06:56:08</v>
      </c>
      <c r="K74">
        <v>-12.170574</v>
      </c>
      <c r="L74">
        <v>-76.96608</v>
      </c>
      <c r="M74">
        <f>HYPERLINK("https://www.google.com/maps/search/?api=1&amp;query=-12.170574,-76.96608","Calle Los Alhelies, San Juan de Miraflores, Lima")</f>
      </c>
      <c r="N74">
        <v>0</v>
      </c>
      <c r="O74">
        <v>100</v>
      </c>
      <c r="P74">
        <v>718994.9</v>
      </c>
      <c r="Q74" t="str">
        <v>115.17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BXQ-847</v>
      </c>
      <c r="D75" t="str">
        <v>BXQ-847</v>
      </c>
      <c r="E75" t="str">
        <v/>
      </c>
      <c r="F75" t="str">
        <v>867162029843950</v>
      </c>
      <c r="G75" t="str">
        <v>TBD</v>
      </c>
      <c r="H75" t="str">
        <v/>
      </c>
      <c r="I75" t="str">
        <v>27/09/2026</v>
      </c>
      <c r="J75" t="str">
        <v>06:56:11</v>
      </c>
      <c r="K75">
        <v>-12.170574</v>
      </c>
      <c r="L75">
        <v>-76.96608</v>
      </c>
      <c r="M75">
        <f>HYPERLINK("https://www.google.com/maps/search/?api=1&amp;query=-12.170574,-76.96608","Calle Los Alhelies, San Juan de Miraflores, Lima")</f>
      </c>
      <c r="N75">
        <v>0</v>
      </c>
      <c r="O75">
        <v>100</v>
      </c>
      <c r="P75">
        <v>718994.9</v>
      </c>
      <c r="Q75" t="str">
        <v>115.17</v>
      </c>
      <c r="R75" t="str">
        <v>Vehículo apagado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BXQ-847</v>
      </c>
      <c r="D76" t="str">
        <v>BXQ-847</v>
      </c>
      <c r="E76" t="str">
        <v/>
      </c>
      <c r="F76" t="str">
        <v>867162029843950</v>
      </c>
      <c r="G76" t="str">
        <v>TBD</v>
      </c>
      <c r="H76" t="str">
        <v/>
      </c>
      <c r="I76" t="str">
        <v>27/09/2026</v>
      </c>
      <c r="J76" t="str">
        <v>06:56:16</v>
      </c>
      <c r="K76">
        <v>-12.170574</v>
      </c>
      <c r="L76">
        <v>-76.96608</v>
      </c>
      <c r="M76">
        <f>HYPERLINK("https://www.google.com/maps/search/?api=1&amp;query=-12.170574,-76.96608","Calle Los Alhelies, San Juan de Miraflores, Lima")</f>
      </c>
      <c r="N76">
        <v>0</v>
      </c>
      <c r="O76">
        <v>100</v>
      </c>
      <c r="P76">
        <v>718994.9</v>
      </c>
      <c r="Q76" t="str">
        <v>115.17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BXQ-847</v>
      </c>
      <c r="D77" t="str">
        <v>BXQ-847</v>
      </c>
      <c r="E77" t="str">
        <v/>
      </c>
      <c r="F77" t="str">
        <v>867162029843950</v>
      </c>
      <c r="G77" t="str">
        <v>TBD</v>
      </c>
      <c r="H77" t="str">
        <v/>
      </c>
      <c r="I77" t="str">
        <v>27/09/2026</v>
      </c>
      <c r="J77" t="str">
        <v>07:26:12</v>
      </c>
      <c r="K77">
        <v>-12.170574</v>
      </c>
      <c r="L77">
        <v>-76.96608</v>
      </c>
      <c r="M77">
        <f>HYPERLINK("https://www.google.com/maps/search/?api=1&amp;query=-12.170574,-76.96608","Calle Los Alhelies, San Juan de Miraflores, Lima")</f>
      </c>
      <c r="N77">
        <v>0</v>
      </c>
      <c r="O77">
        <v>100</v>
      </c>
      <c r="P77">
        <v>718994.9</v>
      </c>
      <c r="Q77" t="str">
        <v>115.17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BXQ-847</v>
      </c>
      <c r="D78" t="str">
        <v>BXQ-847</v>
      </c>
      <c r="E78" t="str">
        <v/>
      </c>
      <c r="F78" t="str">
        <v>867162029843950</v>
      </c>
      <c r="G78" t="str">
        <v>TBD</v>
      </c>
      <c r="H78" t="str">
        <v/>
      </c>
      <c r="I78" t="str">
        <v>27/09/2026</v>
      </c>
      <c r="J78" t="str">
        <v>07:33:27</v>
      </c>
      <c r="K78">
        <v>-12.170574</v>
      </c>
      <c r="L78">
        <v>-76.96608</v>
      </c>
      <c r="M78">
        <f>HYPERLINK("https://www.google.com/maps/search/?api=1&amp;query=-12.170574,-76.96608","Calle Los Alhelies, San Juan de Miraflores, Lima")</f>
      </c>
      <c r="N78">
        <v>0</v>
      </c>
      <c r="O78">
        <v>100</v>
      </c>
      <c r="P78">
        <v>718994.9</v>
      </c>
      <c r="Q78" t="str">
        <v>115.17</v>
      </c>
      <c r="R78" t="str">
        <v>Vehículo encendido</v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BXQ-847</v>
      </c>
      <c r="D79" t="str">
        <v>BXQ-847</v>
      </c>
      <c r="E79" t="str">
        <v/>
      </c>
      <c r="F79" t="str">
        <v>867162029843950</v>
      </c>
      <c r="G79" t="str">
        <v>TBD</v>
      </c>
      <c r="H79" t="str">
        <v/>
      </c>
      <c r="I79" t="str">
        <v>27/09/2026</v>
      </c>
      <c r="J79" t="str">
        <v>07:33:34</v>
      </c>
      <c r="K79">
        <v>-12.170613</v>
      </c>
      <c r="L79">
        <v>-76.96608</v>
      </c>
      <c r="M79">
        <f>HYPERLINK("https://www.google.com/maps/search/?api=1&amp;query=-12.170613,-76.96608","Calle Los Alhelies, San Juan de Miraflores, Lima")</f>
      </c>
      <c r="N79">
        <v>0.5</v>
      </c>
      <c r="O79">
        <v>100</v>
      </c>
      <c r="P79">
        <v>718994.9</v>
      </c>
      <c r="Q79" t="str">
        <v>115.17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BXQ-847</v>
      </c>
      <c r="D80" t="str">
        <v>BXQ-847</v>
      </c>
      <c r="E80" t="str">
        <v/>
      </c>
      <c r="F80" t="str">
        <v>867162029843950</v>
      </c>
      <c r="G80" t="str">
        <v>TBD</v>
      </c>
      <c r="H80" t="str">
        <v/>
      </c>
      <c r="I80" t="str">
        <v>27/09/2026</v>
      </c>
      <c r="J80" t="str">
        <v>07:34:32</v>
      </c>
      <c r="K80">
        <v>-12.170576</v>
      </c>
      <c r="L80">
        <v>-76.96609</v>
      </c>
      <c r="M80">
        <f>HYPERLINK("https://www.google.com/maps/search/?api=1&amp;query=-12.170576,-76.96609","Calle Los Alhelies, San Juan de Miraflores, Lima")</f>
      </c>
      <c r="N80">
        <v>0</v>
      </c>
      <c r="O80">
        <v>100</v>
      </c>
      <c r="P80">
        <v>718994.9</v>
      </c>
      <c r="Q80" t="str">
        <v>115.17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BXQ-847</v>
      </c>
      <c r="D81" t="str">
        <v>BXQ-847</v>
      </c>
      <c r="E81" t="str">
        <v/>
      </c>
      <c r="F81" t="str">
        <v>867162029843950</v>
      </c>
      <c r="G81" t="str">
        <v>TBD</v>
      </c>
      <c r="H81" t="str">
        <v/>
      </c>
      <c r="I81" t="str">
        <v>27/09/2026</v>
      </c>
      <c r="J81" t="str">
        <v>07:35:32</v>
      </c>
      <c r="K81">
        <v>-12.169847</v>
      </c>
      <c r="L81">
        <v>-76.96609</v>
      </c>
      <c r="M81">
        <f>HYPERLINK("https://www.google.com/maps/search/?api=1&amp;query=-12.169847,-76.96609","Calle Los Alhelies, San Juan de Miraflores, Lima")</f>
      </c>
      <c r="N81">
        <v>15.3</v>
      </c>
      <c r="O81">
        <v>100</v>
      </c>
      <c r="P81">
        <v>718994.9</v>
      </c>
      <c r="Q81" t="str">
        <v>115.17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BXQ-847</v>
      </c>
      <c r="D82" t="str">
        <v>BXQ-847</v>
      </c>
      <c r="E82" t="str">
        <v/>
      </c>
      <c r="F82" t="str">
        <v>867162029843950</v>
      </c>
      <c r="G82" t="str">
        <v>TBD</v>
      </c>
      <c r="H82" t="str">
        <v/>
      </c>
      <c r="I82" t="str">
        <v>27/09/2026</v>
      </c>
      <c r="J82" t="str">
        <v>07:35:40</v>
      </c>
      <c r="K82">
        <v>-12.169536</v>
      </c>
      <c r="L82">
        <v>-76.96607</v>
      </c>
      <c r="M82">
        <f>HYPERLINK("https://www.google.com/maps/search/?api=1&amp;query=-12.169536,-76.96607","Avenida Victor Castro Iglesias, San Juan de Miraflores, Lima")</f>
      </c>
      <c r="N82">
        <v>8.7</v>
      </c>
      <c r="O82">
        <v>100</v>
      </c>
      <c r="P82">
        <v>718995</v>
      </c>
      <c r="Q82" t="str">
        <v>115.17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BXQ-847</v>
      </c>
      <c r="D83" t="str">
        <v>BXQ-847</v>
      </c>
      <c r="E83" t="str">
        <v/>
      </c>
      <c r="F83" t="str">
        <v>867162029843950</v>
      </c>
      <c r="G83" t="str">
        <v>TBD</v>
      </c>
      <c r="H83" t="str">
        <v/>
      </c>
      <c r="I83" t="str">
        <v>27/09/2026</v>
      </c>
      <c r="J83" t="str">
        <v>07:36:32</v>
      </c>
      <c r="K83">
        <v>-12.169885</v>
      </c>
      <c r="L83">
        <v>-76.96343</v>
      </c>
      <c r="M83">
        <f>HYPERLINK("https://www.google.com/maps/search/?api=1&amp;query=-12.169885,-76.96343","Avenida Victor Castro Iglesias, San Juan de Miraflores, Lima")</f>
      </c>
      <c r="N83">
        <v>22</v>
      </c>
      <c r="O83">
        <v>100</v>
      </c>
      <c r="P83">
        <v>718995.3</v>
      </c>
      <c r="Q83" t="str">
        <v>115.17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BXQ-847</v>
      </c>
      <c r="D84" t="str">
        <v>BXQ-847</v>
      </c>
      <c r="E84" t="str">
        <v/>
      </c>
      <c r="F84" t="str">
        <v>867162029843950</v>
      </c>
      <c r="G84" t="str">
        <v>TBD</v>
      </c>
      <c r="H84" t="str">
        <v/>
      </c>
      <c r="I84" t="str">
        <v>27/09/2026</v>
      </c>
      <c r="J84" t="str">
        <v>07:36:52</v>
      </c>
      <c r="K84">
        <v>-12.170237</v>
      </c>
      <c r="L84">
        <v>-76.96184</v>
      </c>
      <c r="M84">
        <f>HYPERLINK("https://www.google.com/maps/search/?api=1&amp;query=-12.170237,-76.96184","Avenida Victor Castro Iglesias, San Juan de Miraflores, Lima")</f>
      </c>
      <c r="N84">
        <v>16</v>
      </c>
      <c r="O84">
        <v>100</v>
      </c>
      <c r="P84">
        <v>718995.4</v>
      </c>
      <c r="Q84" t="str">
        <v>115.17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BXQ-847</v>
      </c>
      <c r="D85" t="str">
        <v>BXQ-847</v>
      </c>
      <c r="E85" t="str">
        <v/>
      </c>
      <c r="F85" t="str">
        <v>867162029843950</v>
      </c>
      <c r="G85" t="str">
        <v>TBD</v>
      </c>
      <c r="H85" t="str">
        <v/>
      </c>
      <c r="I85" t="str">
        <v>27/09/2026</v>
      </c>
      <c r="J85" t="str">
        <v>07:36:55</v>
      </c>
      <c r="K85">
        <v>-12.170332</v>
      </c>
      <c r="L85">
        <v>-76.96178</v>
      </c>
      <c r="M85">
        <f>HYPERLINK("https://www.google.com/maps/search/?api=1&amp;query=-12.170332,-76.96178","Avenida Miguel Iglesias, San Juan de Miraflores, Lima")</f>
      </c>
      <c r="N85">
        <v>17.6</v>
      </c>
      <c r="O85">
        <v>100</v>
      </c>
      <c r="P85">
        <v>718995.5</v>
      </c>
      <c r="Q85" t="str">
        <v>115.17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BXQ-847</v>
      </c>
      <c r="D86" t="str">
        <v>BXQ-847</v>
      </c>
      <c r="E86" t="str">
        <v/>
      </c>
      <c r="F86" t="str">
        <v>867162029843950</v>
      </c>
      <c r="G86" t="str">
        <v>TBD</v>
      </c>
      <c r="H86" t="str">
        <v/>
      </c>
      <c r="I86" t="str">
        <v>27/09/2026</v>
      </c>
      <c r="J86" t="str">
        <v>07:37:32</v>
      </c>
      <c r="K86">
        <v>-12.172899</v>
      </c>
      <c r="L86">
        <v>-76.96234</v>
      </c>
      <c r="M86">
        <f>HYPERLINK("https://www.google.com/maps/search/?api=1&amp;query=-12.172899,-76.96234","Avenida Miguel Iglesias, San Juan de Miraflores, Lima")</f>
      </c>
      <c r="N86">
        <v>28.5</v>
      </c>
      <c r="O86">
        <v>100</v>
      </c>
      <c r="P86">
        <v>718995.8</v>
      </c>
      <c r="Q86" t="str">
        <v>115.17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BXQ-847</v>
      </c>
      <c r="D87" t="str">
        <v>BXQ-847</v>
      </c>
      <c r="E87" t="str">
        <v/>
      </c>
      <c r="F87" t="str">
        <v>867162029843950</v>
      </c>
      <c r="G87" t="str">
        <v>TBD</v>
      </c>
      <c r="H87" t="str">
        <v/>
      </c>
      <c r="I87" t="str">
        <v>27/09/2026</v>
      </c>
      <c r="J87" t="str">
        <v>07:38:07</v>
      </c>
      <c r="K87">
        <v>-12.173788</v>
      </c>
      <c r="L87">
        <v>-76.96255</v>
      </c>
      <c r="M87">
        <f>HYPERLINK("https://www.google.com/maps/search/?api=1&amp;query=-12.173788,-76.96255","Avenida Miguel Iglesias, San Juan de Miraflores, Lima")</f>
      </c>
      <c r="N87">
        <v>0</v>
      </c>
      <c r="O87">
        <v>100</v>
      </c>
      <c r="P87">
        <v>718995.8</v>
      </c>
      <c r="Q87" t="str">
        <v>115.17</v>
      </c>
      <c r="R87" t="str">
        <v>Vehículo apagado</v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BXQ-847</v>
      </c>
      <c r="D88" t="str">
        <v>BXQ-847</v>
      </c>
      <c r="E88" t="str">
        <v/>
      </c>
      <c r="F88" t="str">
        <v>867162029843950</v>
      </c>
      <c r="G88" t="str">
        <v>TBD</v>
      </c>
      <c r="H88" t="str">
        <v/>
      </c>
      <c r="I88" t="str">
        <v>27/09/2026</v>
      </c>
      <c r="J88" t="str">
        <v>07:38:09</v>
      </c>
      <c r="K88">
        <v>-12.172899</v>
      </c>
      <c r="L88">
        <v>-76.96234</v>
      </c>
      <c r="M88">
        <f>HYPERLINK("https://www.google.com/maps/search/?api=1&amp;query=-12.172899,-76.96234","Avenida Miguel Iglesias, San Juan de Miraflores, Lima")</f>
      </c>
      <c r="N88">
        <v>0</v>
      </c>
      <c r="O88">
        <v>100</v>
      </c>
      <c r="P88">
        <v>718995.8</v>
      </c>
      <c r="Q88" t="str">
        <v>115.17</v>
      </c>
      <c r="R88" t="str">
        <v>Vehículo encendido</v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BXQ-847</v>
      </c>
      <c r="D89" t="str">
        <v>BXQ-847</v>
      </c>
      <c r="E89" t="str">
        <v/>
      </c>
      <c r="F89" t="str">
        <v>867162029843950</v>
      </c>
      <c r="G89" t="str">
        <v>TBD</v>
      </c>
      <c r="H89" t="str">
        <v/>
      </c>
      <c r="I89" t="str">
        <v>27/09/2026</v>
      </c>
      <c r="J89" t="str">
        <v>07:38:10</v>
      </c>
      <c r="K89">
        <v>-12.173788</v>
      </c>
      <c r="L89">
        <v>-76.96255</v>
      </c>
      <c r="M89">
        <f>HYPERLINK("https://www.google.com/maps/search/?api=1&amp;query=-12.173788,-76.96255","Avenida Miguel Iglesias, San Juan de Miraflores, Lima")</f>
      </c>
      <c r="N89">
        <v>0</v>
      </c>
      <c r="O89">
        <v>100</v>
      </c>
      <c r="P89">
        <v>718995.8</v>
      </c>
      <c r="Q89" t="str">
        <v>115.17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BXQ-847</v>
      </c>
      <c r="D90" t="str">
        <v>BXQ-847</v>
      </c>
      <c r="E90" t="str">
        <v/>
      </c>
      <c r="F90" t="str">
        <v>867162029843950</v>
      </c>
      <c r="G90" t="str">
        <v>TBD</v>
      </c>
      <c r="H90" t="str">
        <v/>
      </c>
      <c r="I90" t="str">
        <v>27/09/2026</v>
      </c>
      <c r="J90" t="str">
        <v>07:38:13</v>
      </c>
      <c r="K90">
        <v>-12.173788</v>
      </c>
      <c r="L90">
        <v>-76.96255</v>
      </c>
      <c r="M90">
        <f>HYPERLINK("https://www.google.com/maps/search/?api=1&amp;query=-12.173788,-76.96255","Avenida Miguel Iglesias, San Juan de Miraflores, Lima")</f>
      </c>
      <c r="N90">
        <v>0</v>
      </c>
      <c r="O90">
        <v>100</v>
      </c>
      <c r="P90">
        <v>718995.8</v>
      </c>
      <c r="Q90" t="str">
        <v>115.17</v>
      </c>
      <c r="R90" t="str">
        <v>Vehículo apagado</v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BXQ-847</v>
      </c>
      <c r="D91" t="str">
        <v>BXQ-847</v>
      </c>
      <c r="E91" t="str">
        <v/>
      </c>
      <c r="F91" t="str">
        <v>867162029843950</v>
      </c>
      <c r="G91" t="str">
        <v>TBD</v>
      </c>
      <c r="H91" t="str">
        <v/>
      </c>
      <c r="I91" t="str">
        <v>27/09/2026</v>
      </c>
      <c r="J91" t="str">
        <v>07:38:18</v>
      </c>
      <c r="K91">
        <v>-12.173788</v>
      </c>
      <c r="L91">
        <v>-76.96255</v>
      </c>
      <c r="M91">
        <f>HYPERLINK("https://www.google.com/maps/search/?api=1&amp;query=-12.173788,-76.96255","Avenida Miguel Iglesias, San Juan de Miraflores, Lima")</f>
      </c>
      <c r="N91">
        <v>0</v>
      </c>
      <c r="O91">
        <v>100</v>
      </c>
      <c r="P91">
        <v>718995.8</v>
      </c>
      <c r="Q91" t="str">
        <v>115.17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BXQ-847</v>
      </c>
      <c r="D92" t="str">
        <v>BXQ-847</v>
      </c>
      <c r="E92" t="str">
        <v/>
      </c>
      <c r="F92" t="str">
        <v>867162029843950</v>
      </c>
      <c r="G92" t="str">
        <v>TBD</v>
      </c>
      <c r="H92" t="str">
        <v/>
      </c>
      <c r="I92" t="str">
        <v>27/09/2026</v>
      </c>
      <c r="J92" t="str">
        <v>07:45:22</v>
      </c>
      <c r="K92">
        <v>-12.173788</v>
      </c>
      <c r="L92">
        <v>-76.96255</v>
      </c>
      <c r="M92">
        <f>HYPERLINK("https://www.google.com/maps/search/?api=1&amp;query=-12.173788,-76.96255","Avenida Miguel Iglesias, San Juan de Miraflores, Lima")</f>
      </c>
      <c r="N92">
        <v>0</v>
      </c>
      <c r="O92">
        <v>100</v>
      </c>
      <c r="P92">
        <v>718995.8</v>
      </c>
      <c r="Q92" t="str">
        <v>115.17</v>
      </c>
      <c r="R92" t="str">
        <v>Vehículo encendido</v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BXQ-847</v>
      </c>
      <c r="D93" t="str">
        <v>BXQ-847</v>
      </c>
      <c r="E93" t="str">
        <v/>
      </c>
      <c r="F93" t="str">
        <v>867162029843950</v>
      </c>
      <c r="G93" t="str">
        <v>TBD</v>
      </c>
      <c r="H93" t="str">
        <v/>
      </c>
      <c r="I93" t="str">
        <v>27/09/2026</v>
      </c>
      <c r="J93" t="str">
        <v>07:45:36</v>
      </c>
      <c r="K93">
        <v>-12.173962</v>
      </c>
      <c r="L93">
        <v>-76.96256</v>
      </c>
      <c r="M93">
        <f>HYPERLINK("https://www.google.com/maps/search/?api=1&amp;query=-12.173962,-76.96256","Avenida Miguel Iglesias, San Juan de Miraflores, Lima")</f>
      </c>
      <c r="N93">
        <v>0</v>
      </c>
      <c r="O93">
        <v>100</v>
      </c>
      <c r="P93">
        <v>718995.8</v>
      </c>
      <c r="Q93" t="str">
        <v>115.17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BXQ-847</v>
      </c>
      <c r="D94" t="str">
        <v>BXQ-847</v>
      </c>
      <c r="E94" t="str">
        <v/>
      </c>
      <c r="F94" t="str">
        <v>867162029843950</v>
      </c>
      <c r="G94" t="str">
        <v>TBD</v>
      </c>
      <c r="H94" t="str">
        <v/>
      </c>
      <c r="I94" t="str">
        <v>27/09/2026</v>
      </c>
      <c r="J94" t="str">
        <v>07:46:32</v>
      </c>
      <c r="K94">
        <v>-12.173962</v>
      </c>
      <c r="L94">
        <v>-76.96256</v>
      </c>
      <c r="M94">
        <f>HYPERLINK("https://www.google.com/maps/search/?api=1&amp;query=-12.173962,-76.96256","Avenida Miguel Iglesias, San Juan de Miraflores, Lima")</f>
      </c>
      <c r="N94">
        <v>0</v>
      </c>
      <c r="O94">
        <v>100</v>
      </c>
      <c r="P94">
        <v>718995.8</v>
      </c>
      <c r="Q94" t="str">
        <v>115.17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BXQ-847</v>
      </c>
      <c r="D95" t="str">
        <v>BXQ-847</v>
      </c>
      <c r="E95" t="str">
        <v/>
      </c>
      <c r="F95" t="str">
        <v>867162029843950</v>
      </c>
      <c r="G95" t="str">
        <v>TBD</v>
      </c>
      <c r="H95" t="str">
        <v/>
      </c>
      <c r="I95" t="str">
        <v>27/09/2026</v>
      </c>
      <c r="J95" t="str">
        <v>07:47:32</v>
      </c>
      <c r="K95">
        <v>-12.173962</v>
      </c>
      <c r="L95">
        <v>-76.96256</v>
      </c>
      <c r="M95">
        <f>HYPERLINK("https://www.google.com/maps/search/?api=1&amp;query=-12.173962,-76.96256","Avenida Miguel Iglesias, San Juan de Miraflores, Lima")</f>
      </c>
      <c r="N95">
        <v>0</v>
      </c>
      <c r="O95">
        <v>100</v>
      </c>
      <c r="P95">
        <v>718995.8</v>
      </c>
      <c r="Q95" t="str">
        <v>115.17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BXQ-847</v>
      </c>
      <c r="D96" t="str">
        <v>BXQ-847</v>
      </c>
      <c r="E96" t="str">
        <v/>
      </c>
      <c r="F96" t="str">
        <v>867162029843950</v>
      </c>
      <c r="G96" t="str">
        <v>TBD</v>
      </c>
      <c r="H96" t="str">
        <v/>
      </c>
      <c r="I96" t="str">
        <v>27/09/2026</v>
      </c>
      <c r="J96" t="str">
        <v>07:48:32</v>
      </c>
      <c r="K96">
        <v>-12.175918</v>
      </c>
      <c r="L96">
        <v>-76.96255</v>
      </c>
      <c r="M96">
        <f>HYPERLINK("https://www.google.com/maps/search/?api=1&amp;query=-12.175918,-76.96255","Avenida Miguel Iglesias, San Juan de Miraflores, Lima")</f>
      </c>
      <c r="N96">
        <v>34.1</v>
      </c>
      <c r="O96">
        <v>100</v>
      </c>
      <c r="P96">
        <v>718996.1</v>
      </c>
      <c r="Q96" t="str">
        <v>115.17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BXQ-847</v>
      </c>
      <c r="D97" t="str">
        <v>BXQ-847</v>
      </c>
      <c r="E97" t="str">
        <v/>
      </c>
      <c r="F97" t="str">
        <v>867162029843950</v>
      </c>
      <c r="G97" t="str">
        <v>TBD</v>
      </c>
      <c r="H97" t="str">
        <v/>
      </c>
      <c r="I97" t="str">
        <v>27/09/2026</v>
      </c>
      <c r="J97" t="str">
        <v>07:49:32</v>
      </c>
      <c r="K97">
        <v>-12.18032</v>
      </c>
      <c r="L97">
        <v>-76.96264</v>
      </c>
      <c r="M97">
        <f>HYPERLINK("https://www.google.com/maps/search/?api=1&amp;query=-12.18032,-76.96264","Avenida Miguel Iglesias, San Juan de Miraflores, Lima")</f>
      </c>
      <c r="N97">
        <v>54.1</v>
      </c>
      <c r="O97">
        <v>100</v>
      </c>
      <c r="P97">
        <v>718996.7</v>
      </c>
      <c r="Q97" t="str">
        <v>115.17</v>
      </c>
      <c r="R97" t="str">
        <v>Exceso de velocidad en segmento vial</v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BXQ-847</v>
      </c>
      <c r="D98" t="str">
        <v>BXQ-847</v>
      </c>
      <c r="E98" t="str">
        <v/>
      </c>
      <c r="F98" t="str">
        <v>867162029843950</v>
      </c>
      <c r="G98" t="str">
        <v>TBD</v>
      </c>
      <c r="H98" t="str">
        <v/>
      </c>
      <c r="I98" t="str">
        <v>27/09/2026</v>
      </c>
      <c r="J98" t="str">
        <v>07:50:32</v>
      </c>
      <c r="K98">
        <v>-12.186069</v>
      </c>
      <c r="L98">
        <v>-76.959625</v>
      </c>
      <c r="M98">
        <f>HYPERLINK("https://www.google.com/maps/search/?api=1&amp;query=-12.186069,-76.959625","Avenida Miguel Iglesias, San Juan de Miraflores, Lima")</f>
      </c>
      <c r="N98">
        <v>10.4</v>
      </c>
      <c r="O98">
        <v>100</v>
      </c>
      <c r="P98">
        <v>718997.3</v>
      </c>
      <c r="Q98" t="str">
        <v>115.17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BXQ-847</v>
      </c>
      <c r="D99" t="str">
        <v>BXQ-847</v>
      </c>
      <c r="E99" t="str">
        <v/>
      </c>
      <c r="F99" t="str">
        <v>867162029843950</v>
      </c>
      <c r="G99" t="str">
        <v>TBD</v>
      </c>
      <c r="H99" t="str">
        <v/>
      </c>
      <c r="I99" t="str">
        <v>27/09/2026</v>
      </c>
      <c r="J99" t="str">
        <v>07:51:32</v>
      </c>
      <c r="K99">
        <v>-12.188965</v>
      </c>
      <c r="L99">
        <v>-76.95793</v>
      </c>
      <c r="M99">
        <f>HYPERLINK("https://www.google.com/maps/search/?api=1&amp;query=-12.188965,-76.95793","Avenida Miguel Iglesias, San Juan de Miraflores, Lima")</f>
      </c>
      <c r="N99">
        <v>12.8</v>
      </c>
      <c r="O99">
        <v>100</v>
      </c>
      <c r="P99">
        <v>718997.7</v>
      </c>
      <c r="Q99" t="str">
        <v>115.17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BXQ-847</v>
      </c>
      <c r="D100" t="str">
        <v>BXQ-847</v>
      </c>
      <c r="E100" t="str">
        <v/>
      </c>
      <c r="F100" t="str">
        <v>867162029843950</v>
      </c>
      <c r="G100" t="str">
        <v>TBD</v>
      </c>
      <c r="H100" t="str">
        <v/>
      </c>
      <c r="I100" t="str">
        <v>27/09/2026</v>
      </c>
      <c r="J100" t="str">
        <v>07:52:32</v>
      </c>
      <c r="K100">
        <v>-12.192657</v>
      </c>
      <c r="L100">
        <v>-76.95574</v>
      </c>
      <c r="M100">
        <f>HYPERLINK("https://www.google.com/maps/search/?api=1&amp;query=-12.192657,-76.95574","Avenida Micaela Bastidas, Villa El Salvador, Lima")</f>
      </c>
      <c r="N100">
        <v>33.5</v>
      </c>
      <c r="O100">
        <v>100</v>
      </c>
      <c r="P100">
        <v>718998.2</v>
      </c>
      <c r="Q100" t="str">
        <v>115.18</v>
      </c>
      <c r="R100" t="str">
        <v>Llegó a la zona</v>
      </c>
      <c r="S100" t="str">
        <v>257-MIGUEL IGLESIAS</v>
      </c>
      <c r="T100" t="str">
        <v xml:space="preserve"> </v>
      </c>
      <c r="U100" t="str">
        <v/>
      </c>
    </row>
    <row r="101">
      <c r="A101" t="str">
        <v>100</v>
      </c>
      <c r="B101" t="str">
        <v>MASS BSF</v>
      </c>
      <c r="C101" t="str">
        <v>BXQ-847</v>
      </c>
      <c r="D101" t="str">
        <v>BXQ-847</v>
      </c>
      <c r="E101" t="str">
        <v/>
      </c>
      <c r="F101" t="str">
        <v>867162029843950</v>
      </c>
      <c r="G101" t="str">
        <v>TBD</v>
      </c>
      <c r="H101" t="str">
        <v/>
      </c>
      <c r="I101" t="str">
        <v>27/09/2026</v>
      </c>
      <c r="J101" t="str">
        <v>07:52:32</v>
      </c>
      <c r="K101">
        <v>-12.192657</v>
      </c>
      <c r="L101">
        <v>-76.95574</v>
      </c>
      <c r="M101">
        <f>HYPERLINK("https://www.google.com/maps/search/?api=1&amp;query=-12.192657,-76.95574","Avenida Micaela Bastidas, Villa El Salvador, Lima")</f>
      </c>
      <c r="N101">
        <v>33.5</v>
      </c>
      <c r="O101">
        <v>100</v>
      </c>
      <c r="P101">
        <v>718998.2</v>
      </c>
      <c r="Q101" t="str">
        <v>115.17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BXQ-847</v>
      </c>
      <c r="D102" t="str">
        <v>BXQ-847</v>
      </c>
      <c r="E102" t="str">
        <v/>
      </c>
      <c r="F102" t="str">
        <v>867162029843950</v>
      </c>
      <c r="G102" t="str">
        <v>TBD</v>
      </c>
      <c r="H102" t="str">
        <v/>
      </c>
      <c r="I102" t="str">
        <v>27/09/2026</v>
      </c>
      <c r="J102" t="str">
        <v>07:53:24</v>
      </c>
      <c r="K102">
        <v>-12.195617</v>
      </c>
      <c r="L102">
        <v>-76.95399</v>
      </c>
      <c r="M102">
        <f>HYPERLINK("https://www.google.com/maps/search/?api=1&amp;query=-12.195617,-76.95399","Avenida Micaela Bastidas, Villa El Salvador, Lima")</f>
      </c>
      <c r="N102">
        <v>26.4</v>
      </c>
      <c r="O102">
        <v>100</v>
      </c>
      <c r="P102">
        <v>718998.2</v>
      </c>
      <c r="Q102" t="str">
        <v>115.18</v>
      </c>
      <c r="R102" t="str">
        <v>Salió de zona</v>
      </c>
      <c r="S102" t="str">
        <v>257-MIGUEL IGLESIAS</v>
      </c>
      <c r="T102" t="str">
        <v xml:space="preserve"> </v>
      </c>
      <c r="U102" t="str">
        <v/>
      </c>
    </row>
    <row r="103">
      <c r="A103" t="str">
        <v>102</v>
      </c>
      <c r="B103" t="str">
        <v>MASS BSF</v>
      </c>
      <c r="C103" t="str">
        <v>BXQ-847</v>
      </c>
      <c r="D103" t="str">
        <v>BXQ-847</v>
      </c>
      <c r="E103" t="str">
        <v/>
      </c>
      <c r="F103" t="str">
        <v>867162029843950</v>
      </c>
      <c r="G103" t="str">
        <v>TBD</v>
      </c>
      <c r="H103" t="str">
        <v/>
      </c>
      <c r="I103" t="str">
        <v>27/09/2026</v>
      </c>
      <c r="J103" t="str">
        <v>07:53:24</v>
      </c>
      <c r="K103">
        <v>-12.195617</v>
      </c>
      <c r="L103">
        <v>-76.95399</v>
      </c>
      <c r="M103">
        <f>HYPERLINK("https://www.google.com/maps/search/?api=1&amp;query=-12.195617,-76.95399","Avenida Micaela Bastidas, Villa El Salvador, Lima")</f>
      </c>
      <c r="N103">
        <v>26.4</v>
      </c>
      <c r="O103">
        <v>100</v>
      </c>
      <c r="P103">
        <v>718998.5</v>
      </c>
      <c r="Q103" t="str">
        <v>115.17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BXQ-847</v>
      </c>
      <c r="D104" t="str">
        <v>BXQ-847</v>
      </c>
      <c r="E104" t="str">
        <v/>
      </c>
      <c r="F104" t="str">
        <v>867162029843950</v>
      </c>
      <c r="G104" t="str">
        <v>TBD</v>
      </c>
      <c r="H104" t="str">
        <v/>
      </c>
      <c r="I104" t="str">
        <v>27/09/2026</v>
      </c>
      <c r="J104" t="str">
        <v>07:53:24</v>
      </c>
      <c r="K104">
        <v>-12.195905</v>
      </c>
      <c r="L104">
        <v>-76.95393</v>
      </c>
      <c r="M104">
        <f>HYPERLINK("https://www.google.com/maps/search/?api=1&amp;query=-12.195905,-76.95393","Avenida Primero de Mayo, Villa El Salvador, Lima")</f>
      </c>
      <c r="N104">
        <v>19</v>
      </c>
      <c r="O104">
        <v>100</v>
      </c>
      <c r="P104">
        <v>718998.5</v>
      </c>
      <c r="Q104" t="str">
        <v>115.17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BXQ-847</v>
      </c>
      <c r="D105" t="str">
        <v>BXQ-847</v>
      </c>
      <c r="E105" t="str">
        <v/>
      </c>
      <c r="F105" t="str">
        <v>867162029843950</v>
      </c>
      <c r="G105" t="str">
        <v>TBD</v>
      </c>
      <c r="H105" t="str">
        <v/>
      </c>
      <c r="I105" t="str">
        <v>27/09/2026</v>
      </c>
      <c r="J105" t="str">
        <v>07:53:24</v>
      </c>
      <c r="K105">
        <v>-12.195905</v>
      </c>
      <c r="L105">
        <v>-76.95393</v>
      </c>
      <c r="M105">
        <f>HYPERLINK("https://www.google.com/maps/search/?api=1&amp;query=-12.195905,-76.95393","Avenida Primero de Mayo, Villa El Salvador, Lima")</f>
      </c>
      <c r="N105">
        <v>19</v>
      </c>
      <c r="O105">
        <v>100</v>
      </c>
      <c r="P105">
        <v>718998.2</v>
      </c>
      <c r="Q105" t="str">
        <v>115.18</v>
      </c>
      <c r="R105" t="str">
        <v>Salió de zona</v>
      </c>
      <c r="S105" t="str">
        <v>257-MIGUEL IGLESIAS</v>
      </c>
      <c r="T105" t="str">
        <v xml:space="preserve"> </v>
      </c>
      <c r="U105" t="str">
        <v/>
      </c>
    </row>
    <row r="106">
      <c r="A106" t="str">
        <v>105</v>
      </c>
      <c r="B106" t="str">
        <v>MASS BSF</v>
      </c>
      <c r="C106" t="str">
        <v>BXQ-847</v>
      </c>
      <c r="D106" t="str">
        <v>BXQ-847</v>
      </c>
      <c r="E106" t="str">
        <v/>
      </c>
      <c r="F106" t="str">
        <v>867162029843950</v>
      </c>
      <c r="G106" t="str">
        <v>TBD</v>
      </c>
      <c r="H106" t="str">
        <v/>
      </c>
      <c r="I106" t="str">
        <v>27/09/2026</v>
      </c>
      <c r="J106" t="str">
        <v>07:54:21</v>
      </c>
      <c r="K106">
        <v>-12.198155</v>
      </c>
      <c r="L106">
        <v>-76.95777</v>
      </c>
      <c r="M106">
        <f>HYPERLINK("https://www.google.com/maps/search/?api=1&amp;query=-12.198155,-76.95777","Avenida Mariano Pastor Sevilla, Villa El Salvador, Lima")</f>
      </c>
      <c r="N106">
        <v>19.2</v>
      </c>
      <c r="O106">
        <v>100</v>
      </c>
      <c r="P106">
        <v>718999.1</v>
      </c>
      <c r="Q106" t="str">
        <v>115.17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BXQ-847</v>
      </c>
      <c r="D107" t="str">
        <v>BXQ-847</v>
      </c>
      <c r="E107" t="str">
        <v/>
      </c>
      <c r="F107" t="str">
        <v>867162029843950</v>
      </c>
      <c r="G107" t="str">
        <v>TBD</v>
      </c>
      <c r="H107" t="str">
        <v/>
      </c>
      <c r="I107" t="str">
        <v>27/09/2026</v>
      </c>
      <c r="J107" t="str">
        <v>07:54:21</v>
      </c>
      <c r="K107">
        <v>-12.198259</v>
      </c>
      <c r="L107">
        <v>-76.95783</v>
      </c>
      <c r="M107">
        <f>HYPERLINK("https://www.google.com/maps/search/?api=1&amp;query=-12.198259,-76.95783","Avenida Mariano Pastor Sevilla, Villa El Salvador, Lima")</f>
      </c>
      <c r="N107">
        <v>13.7</v>
      </c>
      <c r="O107">
        <v>100</v>
      </c>
      <c r="P107">
        <v>718999.1</v>
      </c>
      <c r="Q107" t="str">
        <v>115.17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BXQ-847</v>
      </c>
      <c r="D108" t="str">
        <v>BXQ-847</v>
      </c>
      <c r="E108" t="str">
        <v/>
      </c>
      <c r="F108" t="str">
        <v>867162029843950</v>
      </c>
      <c r="G108" t="str">
        <v>TBD</v>
      </c>
      <c r="H108" t="str">
        <v/>
      </c>
      <c r="I108" t="str">
        <v>27/09/2026</v>
      </c>
      <c r="J108" t="str">
        <v>07:54:24</v>
      </c>
      <c r="K108">
        <v>-12.198343</v>
      </c>
      <c r="L108">
        <v>-76.957794</v>
      </c>
      <c r="M108">
        <f>HYPERLINK("https://www.google.com/maps/search/?api=1&amp;query=-12.198343,-76.957794","Avenida Mariano Pastor Sevilla, Villa El Salvador, Lima")</f>
      </c>
      <c r="N108">
        <v>11.4</v>
      </c>
      <c r="O108">
        <v>100</v>
      </c>
      <c r="P108">
        <v>718999.1</v>
      </c>
      <c r="Q108" t="str">
        <v>115.17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BXQ-847</v>
      </c>
      <c r="D109" t="str">
        <v>BXQ-847</v>
      </c>
      <c r="E109" t="str">
        <v/>
      </c>
      <c r="F109" t="str">
        <v>867162029843950</v>
      </c>
      <c r="G109" t="str">
        <v>TBD</v>
      </c>
      <c r="H109" t="str">
        <v/>
      </c>
      <c r="I109" t="str">
        <v>27/09/2026</v>
      </c>
      <c r="J109" t="str">
        <v>07:55:17</v>
      </c>
      <c r="K109">
        <v>-12.198343</v>
      </c>
      <c r="L109">
        <v>-76.957794</v>
      </c>
      <c r="M109">
        <f>HYPERLINK("https://www.google.com/maps/search/?api=1&amp;query=-12.198343,-76.957794","Avenida Mariano Pastor Sevilla, Villa El Salvador, Lima")</f>
      </c>
      <c r="N109">
        <v>11.4</v>
      </c>
      <c r="O109">
        <v>100</v>
      </c>
      <c r="P109">
        <v>718999.1</v>
      </c>
      <c r="Q109" t="str">
        <v>115.17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BXQ-847</v>
      </c>
      <c r="D110" t="str">
        <v>BXQ-847</v>
      </c>
      <c r="E110" t="str">
        <v/>
      </c>
      <c r="F110" t="str">
        <v>867162029843950</v>
      </c>
      <c r="G110" t="str">
        <v>TBD</v>
      </c>
      <c r="H110" t="str">
        <v/>
      </c>
      <c r="I110" t="str">
        <v>27/09/2026</v>
      </c>
      <c r="J110" t="str">
        <v>07:56:12</v>
      </c>
      <c r="K110">
        <v>-12.202264</v>
      </c>
      <c r="L110">
        <v>-76.95538</v>
      </c>
      <c r="M110">
        <f>HYPERLINK("https://www.google.com/maps/search/?api=1&amp;query=-12.202264,-76.95538","Avenida Mariano Pastor Sevilla, Villa El Salvador, Lima")</f>
      </c>
      <c r="N110">
        <v>67.3</v>
      </c>
      <c r="O110">
        <v>100</v>
      </c>
      <c r="P110">
        <v>719000</v>
      </c>
      <c r="Q110" t="str">
        <v>115.17</v>
      </c>
      <c r="R110" t="str">
        <v>Exceso de velocidad en segmento vial</v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BXQ-847</v>
      </c>
      <c r="D111" t="str">
        <v>BXQ-847</v>
      </c>
      <c r="E111" t="str">
        <v/>
      </c>
      <c r="F111" t="str">
        <v>867162029843950</v>
      </c>
      <c r="G111" t="str">
        <v>TBD</v>
      </c>
      <c r="H111" t="str">
        <v/>
      </c>
      <c r="I111" t="str">
        <v>27/09/2026</v>
      </c>
      <c r="J111" t="str">
        <v>07:56:12</v>
      </c>
      <c r="K111">
        <v>-12.20569</v>
      </c>
      <c r="L111">
        <v>-76.953415</v>
      </c>
      <c r="M111">
        <f>HYPERLINK("https://www.google.com/maps/search/?api=1&amp;query=-12.20569,-76.953415","Avenida El Sol, Villa El Salvador, Lima")</f>
      </c>
      <c r="N111">
        <v>12.8</v>
      </c>
      <c r="O111">
        <v>100</v>
      </c>
      <c r="P111">
        <v>719000</v>
      </c>
      <c r="Q111" t="str">
        <v>115.17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BXQ-847</v>
      </c>
      <c r="D112" t="str">
        <v>BXQ-847</v>
      </c>
      <c r="E112" t="str">
        <v/>
      </c>
      <c r="F112" t="str">
        <v>867162029843950</v>
      </c>
      <c r="G112" t="str">
        <v>TBD</v>
      </c>
      <c r="H112" t="str">
        <v/>
      </c>
      <c r="I112" t="str">
        <v>27/09/2026</v>
      </c>
      <c r="J112" t="str">
        <v>07:57:07</v>
      </c>
      <c r="K112">
        <v>-12.205883</v>
      </c>
      <c r="L112">
        <v>-76.9537</v>
      </c>
      <c r="M112">
        <f>HYPERLINK("https://www.google.com/maps/search/?api=1&amp;query=-12.205883,-76.9537","Avenida El Sol, Villa El Salvador, Lima")</f>
      </c>
      <c r="N112">
        <v>34.1</v>
      </c>
      <c r="O112">
        <v>100</v>
      </c>
      <c r="P112">
        <v>719000.6</v>
      </c>
      <c r="Q112" t="str">
        <v>115.17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BXQ-847</v>
      </c>
      <c r="D113" t="str">
        <v>BXQ-847</v>
      </c>
      <c r="E113" t="str">
        <v/>
      </c>
      <c r="F113" t="str">
        <v>867162029843950</v>
      </c>
      <c r="G113" t="str">
        <v>TBD</v>
      </c>
      <c r="H113" t="str">
        <v/>
      </c>
      <c r="I113" t="str">
        <v>27/09/2026</v>
      </c>
      <c r="J113" t="str">
        <v>07:58:08</v>
      </c>
      <c r="K113">
        <v>-12.209169</v>
      </c>
      <c r="L113">
        <v>-76.958855</v>
      </c>
      <c r="M113">
        <f>HYPERLINK("https://www.google.com/maps/search/?api=1&amp;query=-12.209169,-76.958855","Avenida El Sol, Villa El Salvador, Lima")</f>
      </c>
      <c r="N113">
        <v>22</v>
      </c>
      <c r="O113">
        <v>100</v>
      </c>
      <c r="P113">
        <v>719001.3</v>
      </c>
      <c r="Q113" t="str">
        <v>115.17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BXQ-847</v>
      </c>
      <c r="D114" t="str">
        <v>BXQ-847</v>
      </c>
      <c r="E114" t="str">
        <v/>
      </c>
      <c r="F114" t="str">
        <v>867162029843950</v>
      </c>
      <c r="G114" t="str">
        <v>TBD</v>
      </c>
      <c r="H114" t="str">
        <v/>
      </c>
      <c r="I114" t="str">
        <v>27/09/2026</v>
      </c>
      <c r="J114" t="str">
        <v>07:59:08</v>
      </c>
      <c r="K114">
        <v>-12.212778</v>
      </c>
      <c r="L114">
        <v>-76.96503</v>
      </c>
      <c r="M114">
        <f>HYPERLINK("https://www.google.com/maps/search/?api=1&amp;query=-12.212778,-76.96503","Avenida El Sol, Villa El Salvador, Lima")</f>
      </c>
      <c r="N114">
        <v>51.2</v>
      </c>
      <c r="O114">
        <v>100</v>
      </c>
      <c r="P114">
        <v>719002.1</v>
      </c>
      <c r="Q114" t="str">
        <v>115.17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BXQ-847</v>
      </c>
      <c r="D115" t="str">
        <v>BXQ-847</v>
      </c>
      <c r="E115" t="str">
        <v/>
      </c>
      <c r="F115" t="str">
        <v>867162029843950</v>
      </c>
      <c r="G115" t="str">
        <v>TBD</v>
      </c>
      <c r="H115" t="str">
        <v/>
      </c>
      <c r="I115" t="str">
        <v>27/09/2026</v>
      </c>
      <c r="J115" t="str">
        <v>08:00:08</v>
      </c>
      <c r="K115">
        <v>-12.21762</v>
      </c>
      <c r="L115">
        <v>-76.96963</v>
      </c>
      <c r="M115">
        <f>HYPERLINK("https://www.google.com/maps/search/?api=1&amp;query=-12.21762,-76.96963","Avenida El Sol, Villa El Salvador, Lima")</f>
      </c>
      <c r="N115">
        <v>36.2</v>
      </c>
      <c r="O115">
        <v>100</v>
      </c>
      <c r="P115">
        <v>719002.8</v>
      </c>
      <c r="Q115" t="str">
        <v>115.17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BXQ-847</v>
      </c>
      <c r="D116" t="str">
        <v>BXQ-847</v>
      </c>
      <c r="E116" t="str">
        <v/>
      </c>
      <c r="F116" t="str">
        <v>867162029843950</v>
      </c>
      <c r="G116" t="str">
        <v>TBD</v>
      </c>
      <c r="H116" t="str">
        <v/>
      </c>
      <c r="I116" t="str">
        <v>27/09/2026</v>
      </c>
      <c r="J116" t="str">
        <v>08:00:21</v>
      </c>
      <c r="K116">
        <v>-12.222011</v>
      </c>
      <c r="L116">
        <v>-76.97427</v>
      </c>
      <c r="M116">
        <f>HYPERLINK("https://www.google.com/maps/search/?api=1&amp;query=-12.222011,-76.97427","Avenida El Sol, Villa El Salvador, Lima")</f>
      </c>
      <c r="N116">
        <v>25.9</v>
      </c>
      <c r="O116">
        <v>100</v>
      </c>
      <c r="P116">
        <v>719003</v>
      </c>
      <c r="Q116" t="str">
        <v>115.17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BXQ-847</v>
      </c>
      <c r="D117" t="str">
        <v>BXQ-847</v>
      </c>
      <c r="E117" t="str">
        <v/>
      </c>
      <c r="F117" t="str">
        <v>867162029843950</v>
      </c>
      <c r="G117" t="str">
        <v>TBD</v>
      </c>
      <c r="H117" t="str">
        <v/>
      </c>
      <c r="I117" t="str">
        <v>27/09/2026</v>
      </c>
      <c r="J117" t="str">
        <v>08:00:21</v>
      </c>
      <c r="K117">
        <v>-12.222109</v>
      </c>
      <c r="L117">
        <v>-76.97441</v>
      </c>
      <c r="M117">
        <f>HYPERLINK("https://www.google.com/maps/search/?api=1&amp;query=-12.222109,-76.97441","Avenida El Sol, Villa El Salvador, Lima")</f>
      </c>
      <c r="N117">
        <v>20.7</v>
      </c>
      <c r="O117">
        <v>100</v>
      </c>
      <c r="P117">
        <v>719003</v>
      </c>
      <c r="Q117" t="str">
        <v>115.17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BXQ-847</v>
      </c>
      <c r="D118" t="str">
        <v>BXQ-847</v>
      </c>
      <c r="E118" t="str">
        <v/>
      </c>
      <c r="F118" t="str">
        <v>867162029843950</v>
      </c>
      <c r="G118" t="str">
        <v>TBD</v>
      </c>
      <c r="H118" t="str">
        <v/>
      </c>
      <c r="I118" t="str">
        <v>27/09/2026</v>
      </c>
      <c r="J118" t="str">
        <v>08:00:24</v>
      </c>
      <c r="K118">
        <v>-12.222085</v>
      </c>
      <c r="L118">
        <v>-76.97455</v>
      </c>
      <c r="M118">
        <f>HYPERLINK("https://www.google.com/maps/search/?api=1&amp;query=-12.222085,-76.97455","Antigua Panamericana Sur, Villa El Salvador, Lima")</f>
      </c>
      <c r="N118">
        <v>17.5</v>
      </c>
      <c r="O118">
        <v>100</v>
      </c>
      <c r="P118">
        <v>719003</v>
      </c>
      <c r="Q118" t="str">
        <v>115.17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BXQ-847</v>
      </c>
      <c r="D119" t="str">
        <v>BXQ-847</v>
      </c>
      <c r="E119" t="str">
        <v/>
      </c>
      <c r="F119" t="str">
        <v>867162029843950</v>
      </c>
      <c r="G119" t="str">
        <v>TBD</v>
      </c>
      <c r="H119" t="str">
        <v/>
      </c>
      <c r="I119" t="str">
        <v>27/09/2026</v>
      </c>
      <c r="J119" t="str">
        <v>08:00:45</v>
      </c>
      <c r="K119">
        <v>-12.220768</v>
      </c>
      <c r="L119">
        <v>-76.97569</v>
      </c>
      <c r="M119">
        <f>HYPERLINK("https://www.google.com/maps/search/?api=1&amp;query=-12.220768,-76.97569","Antigua Panamericana Sur, Villa El Salvador, Lima")</f>
      </c>
      <c r="N119">
        <v>38.3</v>
      </c>
      <c r="O119">
        <v>100</v>
      </c>
      <c r="P119">
        <v>719003.2</v>
      </c>
      <c r="Q119" t="str">
        <v>115.17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BXQ-847</v>
      </c>
      <c r="D120" t="str">
        <v>BXQ-847</v>
      </c>
      <c r="E120" t="str">
        <v/>
      </c>
      <c r="F120" t="str">
        <v>867162029843950</v>
      </c>
      <c r="G120" t="str">
        <v>TBD</v>
      </c>
      <c r="H120" t="str">
        <v/>
      </c>
      <c r="I120" t="str">
        <v>27/09/2026</v>
      </c>
      <c r="J120" t="str">
        <v>08:01:09</v>
      </c>
      <c r="K120">
        <v>-12.21813</v>
      </c>
      <c r="L120">
        <v>-76.97621</v>
      </c>
      <c r="M120">
        <f>HYPERLINK("https://www.google.com/maps/search/?api=1&amp;query=-12.21813,-76.97621","Villa El Salvador, Lima")</f>
      </c>
      <c r="N120">
        <v>57.2</v>
      </c>
      <c r="O120">
        <v>100</v>
      </c>
      <c r="P120">
        <v>719003.5</v>
      </c>
      <c r="Q120" t="str">
        <v>115.17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BXQ-847</v>
      </c>
      <c r="D121" t="str">
        <v>BXQ-847</v>
      </c>
      <c r="E121" t="str">
        <v/>
      </c>
      <c r="F121" t="str">
        <v>867162029843950</v>
      </c>
      <c r="G121" t="str">
        <v>TBD</v>
      </c>
      <c r="H121" t="str">
        <v/>
      </c>
      <c r="I121" t="str">
        <v>27/09/2026</v>
      </c>
      <c r="J121" t="str">
        <v>08:01:18</v>
      </c>
      <c r="K121">
        <v>-12.21813</v>
      </c>
      <c r="L121">
        <v>-76.97621</v>
      </c>
      <c r="M121">
        <f>HYPERLINK("https://www.google.com/maps/search/?api=1&amp;query=-12.21813,-76.97621","Villa El Salvador, Lima")</f>
      </c>
      <c r="N121">
        <v>57.2</v>
      </c>
      <c r="O121">
        <v>100</v>
      </c>
      <c r="P121">
        <v>719003.5</v>
      </c>
      <c r="Q121" t="str">
        <v>115.17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BXQ-847</v>
      </c>
      <c r="D122" t="str">
        <v>BXQ-847</v>
      </c>
      <c r="E122" t="str">
        <v/>
      </c>
      <c r="F122" t="str">
        <v>867162029843950</v>
      </c>
      <c r="G122" t="str">
        <v>TBD</v>
      </c>
      <c r="H122" t="str">
        <v/>
      </c>
      <c r="I122" t="str">
        <v>27/09/2026</v>
      </c>
      <c r="J122" t="str">
        <v>08:01:42</v>
      </c>
      <c r="K122">
        <v>-12.217918</v>
      </c>
      <c r="L122">
        <v>-76.97778</v>
      </c>
      <c r="M122">
        <f>HYPERLINK("https://www.google.com/maps/search/?api=1&amp;query=-12.217918,-76.97778","Avenida Caminos del Inca, Chorrillos, Lima")</f>
      </c>
      <c r="N122">
        <v>30.8</v>
      </c>
      <c r="O122">
        <v>100</v>
      </c>
      <c r="P122">
        <v>719003.9</v>
      </c>
      <c r="Q122" t="str">
        <v>115.17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BXQ-847</v>
      </c>
      <c r="D123" t="str">
        <v>BXQ-847</v>
      </c>
      <c r="E123" t="str">
        <v/>
      </c>
      <c r="F123" t="str">
        <v>867162029843950</v>
      </c>
      <c r="G123" t="str">
        <v>TBD</v>
      </c>
      <c r="H123" t="str">
        <v/>
      </c>
      <c r="I123" t="str">
        <v>27/09/2026</v>
      </c>
      <c r="J123" t="str">
        <v>08:01:42</v>
      </c>
      <c r="K123">
        <v>-12.217116</v>
      </c>
      <c r="L123">
        <v>-76.97967</v>
      </c>
      <c r="M123">
        <f>HYPERLINK("https://www.google.com/maps/search/?api=1&amp;query=-12.217116,-76.97967","Avenida Caminos del Inca, Chorrillos, Lima")</f>
      </c>
      <c r="N123">
        <v>69.2</v>
      </c>
      <c r="O123">
        <v>100</v>
      </c>
      <c r="P123">
        <v>719003.9</v>
      </c>
      <c r="Q123" t="str">
        <v>115.17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BXQ-847</v>
      </c>
      <c r="D124" t="str">
        <v>BXQ-847</v>
      </c>
      <c r="E124" t="str">
        <v/>
      </c>
      <c r="F124" t="str">
        <v>867162029843950</v>
      </c>
      <c r="G124" t="str">
        <v>TBD</v>
      </c>
      <c r="H124" t="str">
        <v/>
      </c>
      <c r="I124" t="str">
        <v>27/09/2026</v>
      </c>
      <c r="J124" t="str">
        <v>08:02:00</v>
      </c>
      <c r="K124">
        <v>-12.215749</v>
      </c>
      <c r="L124">
        <v>-76.98111</v>
      </c>
      <c r="M124">
        <f>HYPERLINK("https://www.google.com/maps/search/?api=1&amp;query=-12.215749,-76.98111","Avenida Caminos del Inca, Chorrillos, Lima")</f>
      </c>
      <c r="N124">
        <v>15.8</v>
      </c>
      <c r="O124">
        <v>100</v>
      </c>
      <c r="P124">
        <v>719004.1</v>
      </c>
      <c r="Q124" t="str">
        <v>115.17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BXQ-847</v>
      </c>
      <c r="D125" t="str">
        <v>BXQ-847</v>
      </c>
      <c r="E125" t="str">
        <v/>
      </c>
      <c r="F125" t="str">
        <v>867162029843950</v>
      </c>
      <c r="G125" t="str">
        <v>TBD</v>
      </c>
      <c r="H125" t="str">
        <v/>
      </c>
      <c r="I125" t="str">
        <v>27/09/2026</v>
      </c>
      <c r="J125" t="str">
        <v>08:02:03</v>
      </c>
      <c r="K125">
        <v>-12.215847</v>
      </c>
      <c r="L125">
        <v>-76.98114</v>
      </c>
      <c r="M125">
        <f>HYPERLINK("https://www.google.com/maps/search/?api=1&amp;query=-12.215847,-76.98114","Avenida Caminos del Inca, Chorrillos, Lima")</f>
      </c>
      <c r="N125">
        <v>13.8</v>
      </c>
      <c r="O125">
        <v>100</v>
      </c>
      <c r="P125">
        <v>719004.1</v>
      </c>
      <c r="Q125" t="str">
        <v>115.17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BXQ-847</v>
      </c>
      <c r="D126" t="str">
        <v>BXQ-847</v>
      </c>
      <c r="E126" t="str">
        <v/>
      </c>
      <c r="F126" t="str">
        <v>867162029843950</v>
      </c>
      <c r="G126" t="str">
        <v>TBD</v>
      </c>
      <c r="H126" t="str">
        <v/>
      </c>
      <c r="I126" t="str">
        <v>27/09/2026</v>
      </c>
      <c r="J126" t="str">
        <v>08:02:06</v>
      </c>
      <c r="K126">
        <v>-12.215955</v>
      </c>
      <c r="L126">
        <v>-76.98106</v>
      </c>
      <c r="M126">
        <f>HYPERLINK("https://www.google.com/maps/search/?api=1&amp;query=-12.215955,-76.98106","Prolongación Huaylas, Chorrillos, Lima")</f>
      </c>
      <c r="N126">
        <v>22.7</v>
      </c>
      <c r="O126">
        <v>100</v>
      </c>
      <c r="P126">
        <v>719004.1</v>
      </c>
      <c r="Q126" t="str">
        <v>115.17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BXQ-847</v>
      </c>
      <c r="D127" t="str">
        <v>BXQ-847</v>
      </c>
      <c r="E127" t="str">
        <v/>
      </c>
      <c r="F127" t="str">
        <v>867162029843950</v>
      </c>
      <c r="G127" t="str">
        <v>TBD</v>
      </c>
      <c r="H127" t="str">
        <v/>
      </c>
      <c r="I127" t="str">
        <v>27/09/2026</v>
      </c>
      <c r="J127" t="str">
        <v>08:02:38</v>
      </c>
      <c r="K127">
        <v>-12.217083</v>
      </c>
      <c r="L127">
        <v>-76.97981</v>
      </c>
      <c r="M127">
        <f>HYPERLINK("https://www.google.com/maps/search/?api=1&amp;query=-12.217083,-76.97981","Avenida Caminos del Inca, Chorrillos, Lima")</f>
      </c>
      <c r="N127">
        <v>54.9</v>
      </c>
      <c r="O127">
        <v>100</v>
      </c>
      <c r="P127">
        <v>719004.5</v>
      </c>
      <c r="Q127" t="str">
        <v>115.17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BXQ-847</v>
      </c>
      <c r="D128" t="str">
        <v>BXQ-847</v>
      </c>
      <c r="E128" t="str">
        <v/>
      </c>
      <c r="F128" t="str">
        <v>867162029843950</v>
      </c>
      <c r="G128" t="str">
        <v>TBD</v>
      </c>
      <c r="H128" t="str">
        <v/>
      </c>
      <c r="I128" t="str">
        <v>27/09/2026</v>
      </c>
      <c r="J128" t="str">
        <v>08:03:38</v>
      </c>
      <c r="K128">
        <v>-12.223757</v>
      </c>
      <c r="L128">
        <v>-76.97352</v>
      </c>
      <c r="M128">
        <f>HYPERLINK("https://www.google.com/maps/search/?api=1&amp;query=-12.223757,-76.97352","Carretera Panamericana Sur, Chorrillos, Lima")</f>
      </c>
      <c r="N128">
        <v>67.8</v>
      </c>
      <c r="O128">
        <v>100</v>
      </c>
      <c r="P128">
        <v>719005.6</v>
      </c>
      <c r="Q128" t="str">
        <v>115.17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BXQ-847</v>
      </c>
      <c r="D129" t="str">
        <v>BXQ-847</v>
      </c>
      <c r="E129" t="str">
        <v/>
      </c>
      <c r="F129" t="str">
        <v>867162029843950</v>
      </c>
      <c r="G129" t="str">
        <v>TBD</v>
      </c>
      <c r="H129" t="str">
        <v/>
      </c>
      <c r="I129" t="str">
        <v>27/09/2026</v>
      </c>
      <c r="J129" t="str">
        <v>08:04:38</v>
      </c>
      <c r="K129">
        <v>-12.230635</v>
      </c>
      <c r="L129">
        <v>-76.966576</v>
      </c>
      <c r="M129">
        <f>HYPERLINK("https://www.google.com/maps/search/?api=1&amp;query=-12.230635,-76.966576","Carretera Panamericana Sur, Villa El Salvador, Lima")</f>
      </c>
      <c r="N129">
        <v>92</v>
      </c>
      <c r="O129">
        <v>100</v>
      </c>
      <c r="P129">
        <v>719006.8</v>
      </c>
      <c r="Q129" t="str">
        <v>115.17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BXQ-847</v>
      </c>
      <c r="D130" t="str">
        <v>BXQ-847</v>
      </c>
      <c r="E130" t="str">
        <v/>
      </c>
      <c r="F130" t="str">
        <v>867162029843950</v>
      </c>
      <c r="G130" t="str">
        <v>TBD</v>
      </c>
      <c r="H130" t="str">
        <v/>
      </c>
      <c r="I130" t="str">
        <v>27/09/2026</v>
      </c>
      <c r="J130" t="str">
        <v>08:05:00</v>
      </c>
      <c r="K130">
        <v>-12.234937</v>
      </c>
      <c r="L130">
        <v>-76.958496</v>
      </c>
      <c r="M130">
        <f>HYPERLINK("https://www.google.com/maps/search/?api=1&amp;query=-12.234937,-76.958496","Carretera Panamericana Sur, Villa El Salvador, Lima")</f>
      </c>
      <c r="N130">
        <v>91.5</v>
      </c>
      <c r="O130">
        <v>100</v>
      </c>
      <c r="P130">
        <v>719007.4</v>
      </c>
      <c r="Q130" t="str">
        <v>115.17</v>
      </c>
      <c r="R130" t="str">
        <v>Excedió el límite de velocidad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BXQ-847</v>
      </c>
      <c r="D131" t="str">
        <v>BXQ-847</v>
      </c>
      <c r="E131" t="str">
        <v/>
      </c>
      <c r="F131" t="str">
        <v>867162029843950</v>
      </c>
      <c r="G131" t="str">
        <v>TBD</v>
      </c>
      <c r="H131" t="str">
        <v/>
      </c>
      <c r="I131" t="str">
        <v>27/09/2026</v>
      </c>
      <c r="J131" t="str">
        <v>08:05:38</v>
      </c>
      <c r="K131">
        <v>-12.237214</v>
      </c>
      <c r="L131">
        <v>-76.954185</v>
      </c>
      <c r="M131">
        <f>HYPERLINK("https://www.google.com/maps/search/?api=1&amp;query=-12.237214,-76.954185","Carretera Panamericana Sur, Villa El Salvador, Lima")</f>
      </c>
      <c r="N131">
        <v>83.4</v>
      </c>
      <c r="O131">
        <v>100</v>
      </c>
      <c r="P131">
        <v>719008.3</v>
      </c>
      <c r="Q131" t="str">
        <v>115.17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BXQ-847</v>
      </c>
      <c r="D132" t="str">
        <v>BXQ-847</v>
      </c>
      <c r="E132" t="str">
        <v/>
      </c>
      <c r="F132" t="str">
        <v>867162029843950</v>
      </c>
      <c r="G132" t="str">
        <v>TBD</v>
      </c>
      <c r="H132" t="str">
        <v/>
      </c>
      <c r="I132" t="str">
        <v>27/09/2026</v>
      </c>
      <c r="J132" t="str">
        <v>08:06:38</v>
      </c>
      <c r="K132">
        <v>-12.243463</v>
      </c>
      <c r="L132">
        <v>-76.94207</v>
      </c>
      <c r="M132">
        <f>HYPERLINK("https://www.google.com/maps/search/?api=1&amp;query=-12.243463,-76.94207","Carretera Panamericana Sur, Villa El Salvador, Lima")</f>
      </c>
      <c r="N132">
        <v>90.5</v>
      </c>
      <c r="O132">
        <v>100</v>
      </c>
      <c r="P132">
        <v>719009.8</v>
      </c>
      <c r="Q132" t="str">
        <v>115.17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BXQ-847</v>
      </c>
      <c r="D133" t="str">
        <v>BXQ-847</v>
      </c>
      <c r="E133" t="str">
        <v/>
      </c>
      <c r="F133" t="str">
        <v>867162029843950</v>
      </c>
      <c r="G133" t="str">
        <v>TBD</v>
      </c>
      <c r="H133" t="str">
        <v/>
      </c>
      <c r="I133" t="str">
        <v>27/09/2026</v>
      </c>
      <c r="J133" t="str">
        <v>08:07:30</v>
      </c>
      <c r="K133">
        <v>-12.251527</v>
      </c>
      <c r="L133">
        <v>-76.92913</v>
      </c>
      <c r="M133">
        <f>HYPERLINK("https://www.google.com/maps/search/?api=1&amp;query=-12.251527,-76.92913","Carretera Panamericana Sur, Lurín, Lima")</f>
      </c>
      <c r="N133">
        <v>80.5</v>
      </c>
      <c r="O133">
        <v>100</v>
      </c>
      <c r="P133">
        <v>719011.1</v>
      </c>
      <c r="Q133" t="str">
        <v>115.17</v>
      </c>
      <c r="R133" t="str">
        <v>Excedió el límite de velocidad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BXQ-847</v>
      </c>
      <c r="D134" t="str">
        <v>BXQ-847</v>
      </c>
      <c r="E134" t="str">
        <v/>
      </c>
      <c r="F134" t="str">
        <v>867162029843950</v>
      </c>
      <c r="G134" t="str">
        <v>TBD</v>
      </c>
      <c r="H134" t="str">
        <v/>
      </c>
      <c r="I134" t="str">
        <v>27/09/2026</v>
      </c>
      <c r="J134" t="str">
        <v>08:07:38</v>
      </c>
      <c r="K134">
        <v>-12.250397</v>
      </c>
      <c r="L134">
        <v>-76.93061</v>
      </c>
      <c r="M134">
        <f>HYPERLINK("https://www.google.com/maps/search/?api=1&amp;query=-12.250397,-76.93061","Carretera Panamericana Sur, Lurín, Lima")</f>
      </c>
      <c r="N134">
        <v>78.8</v>
      </c>
      <c r="O134">
        <v>100</v>
      </c>
      <c r="P134">
        <v>719011.3</v>
      </c>
      <c r="Q134" t="str">
        <v>115.17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BXQ-847</v>
      </c>
      <c r="D135" t="str">
        <v>BXQ-847</v>
      </c>
      <c r="E135" t="str">
        <v/>
      </c>
      <c r="F135" t="str">
        <v>867162029843950</v>
      </c>
      <c r="G135" t="str">
        <v>TBD</v>
      </c>
      <c r="H135" t="str">
        <v/>
      </c>
      <c r="I135" t="str">
        <v>27/09/2026</v>
      </c>
      <c r="J135" t="str">
        <v>08:08:38</v>
      </c>
      <c r="K135">
        <v>-12.257869</v>
      </c>
      <c r="L135">
        <v>-76.91888</v>
      </c>
      <c r="M135">
        <f>HYPERLINK("https://www.google.com/maps/search/?api=1&amp;query=-12.257869,-76.91888","Carretera Panamericana Sur, Lurín, Lima")</f>
      </c>
      <c r="N135">
        <v>92.3</v>
      </c>
      <c r="O135">
        <v>100</v>
      </c>
      <c r="P135">
        <v>719012.8</v>
      </c>
      <c r="Q135" t="str">
        <v>115.17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BXQ-847</v>
      </c>
      <c r="D136" t="str">
        <v>BXQ-847</v>
      </c>
      <c r="E136" t="str">
        <v/>
      </c>
      <c r="F136" t="str">
        <v>867162029843950</v>
      </c>
      <c r="G136" t="str">
        <v>TBD</v>
      </c>
      <c r="H136" t="str">
        <v/>
      </c>
      <c r="I136" t="str">
        <v>27/09/2026</v>
      </c>
      <c r="J136" t="str">
        <v>08:09:38</v>
      </c>
      <c r="K136">
        <v>-12.265222</v>
      </c>
      <c r="L136">
        <v>-76.907196</v>
      </c>
      <c r="M136">
        <f>HYPERLINK("https://www.google.com/maps/search/?api=1&amp;query=-12.265222,-76.907196","Carretera Panamericana Sur, Lurín, Lima")</f>
      </c>
      <c r="N136">
        <v>89.2</v>
      </c>
      <c r="O136">
        <v>100</v>
      </c>
      <c r="P136">
        <v>719014.3</v>
      </c>
      <c r="Q136" t="str">
        <v>115.17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BXQ-847</v>
      </c>
      <c r="D137" t="str">
        <v>BXQ-847</v>
      </c>
      <c r="E137" t="str">
        <v/>
      </c>
      <c r="F137" t="str">
        <v>867162029843950</v>
      </c>
      <c r="G137" t="str">
        <v>TBD</v>
      </c>
      <c r="H137" t="str">
        <v/>
      </c>
      <c r="I137" t="str">
        <v>27/09/2026</v>
      </c>
      <c r="J137" t="str">
        <v>08:10:33</v>
      </c>
      <c r="K137">
        <v>-12.272912</v>
      </c>
      <c r="L137">
        <v>-76.89497</v>
      </c>
      <c r="M137">
        <f>HYPERLINK("https://www.google.com/maps/search/?api=1&amp;query=-12.272912,-76.89497","Carretera Panamericana Sur, Lurín, Lima")</f>
      </c>
      <c r="N137">
        <v>80.5</v>
      </c>
      <c r="O137">
        <v>100</v>
      </c>
      <c r="P137">
        <v>719015.5</v>
      </c>
      <c r="Q137" t="str">
        <v>115.17</v>
      </c>
      <c r="R137" t="str">
        <v>Excedió el límite de velocidad</v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BXQ-847</v>
      </c>
      <c r="D138" t="str">
        <v>BXQ-847</v>
      </c>
      <c r="E138" t="str">
        <v/>
      </c>
      <c r="F138" t="str">
        <v>867162029843950</v>
      </c>
      <c r="G138" t="str">
        <v>TBD</v>
      </c>
      <c r="H138" t="str">
        <v/>
      </c>
      <c r="I138" t="str">
        <v>27/09/2026</v>
      </c>
      <c r="J138" t="str">
        <v>08:10:38</v>
      </c>
      <c r="K138">
        <v>-12.271611</v>
      </c>
      <c r="L138">
        <v>-76.89705</v>
      </c>
      <c r="M138">
        <f>HYPERLINK("https://www.google.com/maps/search/?api=1&amp;query=-12.271611,-76.89705","Carretera Panamericana Sur, Lurín, Lima")</f>
      </c>
      <c r="N138">
        <v>74.1</v>
      </c>
      <c r="O138">
        <v>100</v>
      </c>
      <c r="P138">
        <v>719015.6</v>
      </c>
      <c r="Q138" t="str">
        <v>115.17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BXQ-847</v>
      </c>
      <c r="D139" t="str">
        <v>BXQ-847</v>
      </c>
      <c r="E139" t="str">
        <v/>
      </c>
      <c r="F139" t="str">
        <v>867162029843950</v>
      </c>
      <c r="G139" t="str">
        <v>TBD</v>
      </c>
      <c r="H139" t="str">
        <v/>
      </c>
      <c r="I139" t="str">
        <v>27/09/2026</v>
      </c>
      <c r="J139" t="str">
        <v>08:11:06</v>
      </c>
      <c r="K139">
        <v>-12.276363</v>
      </c>
      <c r="L139">
        <v>-76.88948</v>
      </c>
      <c r="M139">
        <f>HYPERLINK("https://www.google.com/maps/search/?api=1&amp;query=-12.276363,-76.88948","Carretera Panamericana Sur, Lurín, Lima")</f>
      </c>
      <c r="N139">
        <v>92.5</v>
      </c>
      <c r="O139">
        <v>100</v>
      </c>
      <c r="P139">
        <v>719016.2</v>
      </c>
      <c r="Q139" t="str">
        <v>115.17</v>
      </c>
      <c r="R139" t="str">
        <v>Excedió el límite de velocidad</v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BXQ-847</v>
      </c>
      <c r="D140" t="str">
        <v>BXQ-847</v>
      </c>
      <c r="E140" t="str">
        <v/>
      </c>
      <c r="F140" t="str">
        <v>867162029843950</v>
      </c>
      <c r="G140" t="str">
        <v>TBD</v>
      </c>
      <c r="H140" t="str">
        <v/>
      </c>
      <c r="I140" t="str">
        <v>27/09/2026</v>
      </c>
      <c r="J140" t="str">
        <v>08:11:38</v>
      </c>
      <c r="K140">
        <v>-12.278379</v>
      </c>
      <c r="L140">
        <v>-76.886284</v>
      </c>
      <c r="M140">
        <f>HYPERLINK("https://www.google.com/maps/search/?api=1&amp;query=-12.278379,-76.886284","Carretera Panamericana Sur, Lurín, Lima")</f>
      </c>
      <c r="N140">
        <v>96.4</v>
      </c>
      <c r="O140">
        <v>100</v>
      </c>
      <c r="P140">
        <v>719017.1</v>
      </c>
      <c r="Q140" t="str">
        <v>115.17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BXQ-847</v>
      </c>
      <c r="D141" t="str">
        <v>BXQ-847</v>
      </c>
      <c r="E141" t="str">
        <v/>
      </c>
      <c r="F141" t="str">
        <v>867162029843950</v>
      </c>
      <c r="G141" t="str">
        <v>TBD</v>
      </c>
      <c r="H141" t="str">
        <v/>
      </c>
      <c r="I141" t="str">
        <v>27/09/2026</v>
      </c>
      <c r="J141" t="str">
        <v>08:12:38</v>
      </c>
      <c r="K141">
        <v>-12.286187</v>
      </c>
      <c r="L141">
        <v>-76.87382</v>
      </c>
      <c r="M141">
        <f>HYPERLINK("https://www.google.com/maps/search/?api=1&amp;query=-12.286187,-76.87382","Carretera Panamericana Sur, Lurín, Lima")</f>
      </c>
      <c r="N141">
        <v>100.6</v>
      </c>
      <c r="O141">
        <v>100</v>
      </c>
      <c r="P141">
        <v>719018.7</v>
      </c>
      <c r="Q141" t="str">
        <v>115.17</v>
      </c>
      <c r="R141" t="str">
        <v>Exceso de velocidad en segmento vial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BXQ-847</v>
      </c>
      <c r="D142" t="str">
        <v>BXQ-847</v>
      </c>
      <c r="E142" t="str">
        <v/>
      </c>
      <c r="F142" t="str">
        <v>867162029843950</v>
      </c>
      <c r="G142" t="str">
        <v>TBD</v>
      </c>
      <c r="H142" t="str">
        <v/>
      </c>
      <c r="I142" t="str">
        <v>27/09/2026</v>
      </c>
      <c r="J142" t="str">
        <v>08:13:38</v>
      </c>
      <c r="K142">
        <v>-12.294162</v>
      </c>
      <c r="L142">
        <v>-76.86117</v>
      </c>
      <c r="M142">
        <f>HYPERLINK("https://www.google.com/maps/search/?api=1&amp;query=-12.294162,-76.86117","Carretera Panamericana Sur, Lurín, Lima")</f>
      </c>
      <c r="N142">
        <v>103</v>
      </c>
      <c r="O142">
        <v>100</v>
      </c>
      <c r="P142">
        <v>719020.3</v>
      </c>
      <c r="Q142" t="str">
        <v>115.17</v>
      </c>
      <c r="R142" t="str">
        <v>Exceso de velocidad en segmento vial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BXQ-847</v>
      </c>
      <c r="D143" t="str">
        <v>BXQ-847</v>
      </c>
      <c r="E143" t="str">
        <v/>
      </c>
      <c r="F143" t="str">
        <v>867162029843950</v>
      </c>
      <c r="G143" t="str">
        <v>TBD</v>
      </c>
      <c r="H143" t="str">
        <v/>
      </c>
      <c r="I143" t="str">
        <v>27/09/2026</v>
      </c>
      <c r="J143" t="str">
        <v>08:14:38</v>
      </c>
      <c r="K143">
        <v>-12.300773</v>
      </c>
      <c r="L143">
        <v>-76.84778</v>
      </c>
      <c r="M143">
        <f>HYPERLINK("https://www.google.com/maps/search/?api=1&amp;query=-12.300773,-76.84778","Carretera Panamericana Sur, Lurín, Lima")</f>
      </c>
      <c r="N143">
        <v>77.7</v>
      </c>
      <c r="O143">
        <v>100</v>
      </c>
      <c r="P143">
        <v>719021.8</v>
      </c>
      <c r="Q143" t="str">
        <v>115.17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BXQ-847</v>
      </c>
      <c r="D144" t="str">
        <v>BXQ-847</v>
      </c>
      <c r="E144" t="str">
        <v/>
      </c>
      <c r="F144" t="str">
        <v>867162029843950</v>
      </c>
      <c r="G144" t="str">
        <v>TBD</v>
      </c>
      <c r="H144" t="str">
        <v/>
      </c>
      <c r="I144" t="str">
        <v>27/09/2026</v>
      </c>
      <c r="J144" t="str">
        <v>08:14:39</v>
      </c>
      <c r="K144">
        <v>-12.302354</v>
      </c>
      <c r="L144">
        <v>-76.84536</v>
      </c>
      <c r="M144">
        <f>HYPERLINK("https://www.google.com/maps/search/?api=1&amp;query=-12.302354,-76.84536","Antigua Panamericana Sur, Lurín, Lima")</f>
      </c>
      <c r="N144">
        <v>30.2</v>
      </c>
      <c r="O144">
        <v>100</v>
      </c>
      <c r="P144">
        <v>719021.9</v>
      </c>
      <c r="Q144" t="str">
        <v>115.17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BXQ-847</v>
      </c>
      <c r="D145" t="str">
        <v>BXQ-847</v>
      </c>
      <c r="E145" t="str">
        <v/>
      </c>
      <c r="F145" t="str">
        <v>867162029843950</v>
      </c>
      <c r="G145" t="str">
        <v>TBD</v>
      </c>
      <c r="H145" t="str">
        <v/>
      </c>
      <c r="I145" t="str">
        <v>27/09/2026</v>
      </c>
      <c r="J145" t="str">
        <v>08:14:51</v>
      </c>
      <c r="K145">
        <v>-12.30365</v>
      </c>
      <c r="L145">
        <v>-76.84519</v>
      </c>
      <c r="M145">
        <f>HYPERLINK("https://www.google.com/maps/search/?api=1&amp;query=-12.30365,-76.84519","Antigua Panamericana Sur, Lurín, Lima")</f>
      </c>
      <c r="N145">
        <v>54.7</v>
      </c>
      <c r="O145">
        <v>100</v>
      </c>
      <c r="P145">
        <v>719022</v>
      </c>
      <c r="Q145" t="str">
        <v>115.17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BXQ-847</v>
      </c>
      <c r="D146" t="str">
        <v>BXQ-847</v>
      </c>
      <c r="E146" t="str">
        <v/>
      </c>
      <c r="F146" t="str">
        <v>867162029843950</v>
      </c>
      <c r="G146" t="str">
        <v>TBD</v>
      </c>
      <c r="H146" t="str">
        <v/>
      </c>
      <c r="I146" t="str">
        <v>27/09/2026</v>
      </c>
      <c r="J146" t="str">
        <v>08:15:00</v>
      </c>
      <c r="K146">
        <v>-12.304106</v>
      </c>
      <c r="L146">
        <v>-76.84404</v>
      </c>
      <c r="M146">
        <f>HYPERLINK("https://www.google.com/maps/search/?api=1&amp;query=-12.304106,-76.84404","Antigua Panamericana Sur, Lurín, Lima")</f>
      </c>
      <c r="N146">
        <v>60.2</v>
      </c>
      <c r="O146">
        <v>100</v>
      </c>
      <c r="P146">
        <v>719022.1</v>
      </c>
      <c r="Q146" t="str">
        <v>115.17</v>
      </c>
      <c r="R146" t="str">
        <v>Exceso de velocidad en segmento vial</v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BXQ-847</v>
      </c>
      <c r="D147" t="str">
        <v>BXQ-847</v>
      </c>
      <c r="E147" t="str">
        <v/>
      </c>
      <c r="F147" t="str">
        <v>867162029843950</v>
      </c>
      <c r="G147" t="str">
        <v>TBD</v>
      </c>
      <c r="H147" t="str">
        <v/>
      </c>
      <c r="I147" t="str">
        <v>27/09/2026</v>
      </c>
      <c r="J147" t="str">
        <v>08:15:12</v>
      </c>
      <c r="K147">
        <v>-12.30462</v>
      </c>
      <c r="L147">
        <v>-76.842316</v>
      </c>
      <c r="M147">
        <f>HYPERLINK("https://www.google.com/maps/search/?api=1&amp;query=-12.30462,-76.842316","Antigua Panamericana Sur, Lurín, Lima")</f>
      </c>
      <c r="N147">
        <v>66.9</v>
      </c>
      <c r="O147">
        <v>100</v>
      </c>
      <c r="P147">
        <v>719022.4</v>
      </c>
      <c r="Q147" t="str">
        <v>115.17</v>
      </c>
      <c r="R147" t="str">
        <v>Exceso de velocidad en segmento vial</v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BXQ-847</v>
      </c>
      <c r="D148" t="str">
        <v>BXQ-847</v>
      </c>
      <c r="E148" t="str">
        <v/>
      </c>
      <c r="F148" t="str">
        <v>867162029843950</v>
      </c>
      <c r="G148" t="str">
        <v>TBD</v>
      </c>
      <c r="H148" t="str">
        <v/>
      </c>
      <c r="I148" t="str">
        <v>27/09/2026</v>
      </c>
      <c r="J148" t="str">
        <v>08:15:38</v>
      </c>
      <c r="K148">
        <v>-12.305566</v>
      </c>
      <c r="L148">
        <v>-76.84135</v>
      </c>
      <c r="M148">
        <f>HYPERLINK("https://www.google.com/maps/search/?api=1&amp;query=-12.305566,-76.84135","Antigua Panamericana Sur, Lurín, Lima")</f>
      </c>
      <c r="N148">
        <v>50.9</v>
      </c>
      <c r="O148">
        <v>100</v>
      </c>
      <c r="P148">
        <v>719022.6</v>
      </c>
      <c r="Q148" t="str">
        <v>115.17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BXQ-847</v>
      </c>
      <c r="D149" t="str">
        <v>BXQ-847</v>
      </c>
      <c r="E149" t="str">
        <v/>
      </c>
      <c r="F149" t="str">
        <v>867162029843950</v>
      </c>
      <c r="G149" t="str">
        <v>TBD</v>
      </c>
      <c r="H149" t="str">
        <v/>
      </c>
      <c r="I149" t="str">
        <v>27/09/2026</v>
      </c>
      <c r="J149" t="str">
        <v>08:16:03</v>
      </c>
      <c r="K149">
        <v>-12.307593</v>
      </c>
      <c r="L149">
        <v>-76.83911</v>
      </c>
      <c r="M149">
        <f>HYPERLINK("https://www.google.com/maps/search/?api=1&amp;query=-12.307593,-76.83911","Calle Los Pulpos, Punta Hermosa, Lima")</f>
      </c>
      <c r="N149">
        <v>7.9</v>
      </c>
      <c r="O149">
        <v>100</v>
      </c>
      <c r="P149">
        <v>719021.8</v>
      </c>
      <c r="Q149" t="str">
        <v>115.18</v>
      </c>
      <c r="R149" t="str">
        <v>Llegó a la zona</v>
      </c>
      <c r="S149" t="str">
        <v>1191-ANTIGUA1 LU MS</v>
      </c>
      <c r="T149" t="str">
        <v xml:space="preserve"> </v>
      </c>
      <c r="U149" t="str">
        <v/>
      </c>
    </row>
    <row r="150">
      <c r="A150" t="str">
        <v>149</v>
      </c>
      <c r="B150" t="str">
        <v>MASS BSF</v>
      </c>
      <c r="C150" t="str">
        <v>BXQ-847</v>
      </c>
      <c r="D150" t="str">
        <v>BXQ-847</v>
      </c>
      <c r="E150" t="str">
        <v/>
      </c>
      <c r="F150" t="str">
        <v>867162029843950</v>
      </c>
      <c r="G150" t="str">
        <v>TBD</v>
      </c>
      <c r="H150" t="str">
        <v/>
      </c>
      <c r="I150" t="str">
        <v>27/09/2026</v>
      </c>
      <c r="J150" t="str">
        <v>08:16:03</v>
      </c>
      <c r="K150">
        <v>-12.307593</v>
      </c>
      <c r="L150">
        <v>-76.83911</v>
      </c>
      <c r="M150">
        <f>HYPERLINK("https://www.google.com/maps/search/?api=1&amp;query=-12.307593,-76.83911","Calle Los Pulpos, Punta Hermosa, Lima")</f>
      </c>
      <c r="N150">
        <v>7.9</v>
      </c>
      <c r="O150">
        <v>100</v>
      </c>
      <c r="P150">
        <v>719022.8</v>
      </c>
      <c r="Q150" t="str">
        <v>115.17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BXQ-847</v>
      </c>
      <c r="D151" t="str">
        <v>BXQ-847</v>
      </c>
      <c r="E151" t="str">
        <v/>
      </c>
      <c r="F151" t="str">
        <v>867162029843950</v>
      </c>
      <c r="G151" t="str">
        <v>TBD</v>
      </c>
      <c r="H151" t="str">
        <v/>
      </c>
      <c r="I151" t="str">
        <v>27/09/2026</v>
      </c>
      <c r="J151" t="str">
        <v>08:16:09</v>
      </c>
      <c r="K151">
        <v>-12.307423</v>
      </c>
      <c r="L151">
        <v>-76.83917</v>
      </c>
      <c r="M151">
        <f>HYPERLINK("https://www.google.com/maps/search/?api=1&amp;query=-12.307423,-76.83917","Antigua Panamericana Sur, Lurín, Lima")</f>
      </c>
      <c r="N151">
        <v>21.4</v>
      </c>
      <c r="O151">
        <v>100</v>
      </c>
      <c r="P151">
        <v>719022.8</v>
      </c>
      <c r="Q151" t="str">
        <v>115.17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BXQ-847</v>
      </c>
      <c r="D152" t="str">
        <v>BXQ-847</v>
      </c>
      <c r="E152" t="str">
        <v/>
      </c>
      <c r="F152" t="str">
        <v>867162029843950</v>
      </c>
      <c r="G152" t="str">
        <v>TBD</v>
      </c>
      <c r="H152" t="str">
        <v/>
      </c>
      <c r="I152" t="str">
        <v>27/09/2026</v>
      </c>
      <c r="J152" t="str">
        <v>08:16:18</v>
      </c>
      <c r="K152">
        <v>-12.307077</v>
      </c>
      <c r="L152">
        <v>-76.83936</v>
      </c>
      <c r="M152">
        <f>HYPERLINK("https://www.google.com/maps/search/?api=1&amp;query=-12.307077,-76.83936","Antigua Panamericana Sur, Lurín, Lima")</f>
      </c>
      <c r="N152">
        <v>6.9</v>
      </c>
      <c r="O152">
        <v>100</v>
      </c>
      <c r="P152">
        <v>719021.8</v>
      </c>
      <c r="Q152" t="str">
        <v>115.18</v>
      </c>
      <c r="R152" t="str">
        <v>Salió de zona</v>
      </c>
      <c r="S152" t="str">
        <v>1191-ANTIGUA1 LU MS</v>
      </c>
      <c r="T152" t="str">
        <v xml:space="preserve"> </v>
      </c>
      <c r="U152" t="str">
        <v/>
      </c>
    </row>
    <row r="153">
      <c r="A153" t="str">
        <v>152</v>
      </c>
      <c r="B153" t="str">
        <v>MASS BSF</v>
      </c>
      <c r="C153" t="str">
        <v>BXQ-847</v>
      </c>
      <c r="D153" t="str">
        <v>BXQ-847</v>
      </c>
      <c r="E153" t="str">
        <v/>
      </c>
      <c r="F153" t="str">
        <v>867162029843950</v>
      </c>
      <c r="G153" t="str">
        <v>TBD</v>
      </c>
      <c r="H153" t="str">
        <v/>
      </c>
      <c r="I153" t="str">
        <v>27/09/2026</v>
      </c>
      <c r="J153" t="str">
        <v>08:16:18</v>
      </c>
      <c r="K153">
        <v>-12.307077</v>
      </c>
      <c r="L153">
        <v>-76.83936</v>
      </c>
      <c r="M153">
        <f>HYPERLINK("https://www.google.com/maps/search/?api=1&amp;query=-12.307077,-76.83936","Antigua Panamericana Sur, Lurín, Lima")</f>
      </c>
      <c r="N153">
        <v>6.9</v>
      </c>
      <c r="O153">
        <v>100</v>
      </c>
      <c r="P153">
        <v>719022.9</v>
      </c>
      <c r="Q153" t="str">
        <v>115.17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BXQ-847</v>
      </c>
      <c r="D154" t="str">
        <v>BXQ-847</v>
      </c>
      <c r="E154" t="str">
        <v/>
      </c>
      <c r="F154" t="str">
        <v>867162029843950</v>
      </c>
      <c r="G154" t="str">
        <v>TBD</v>
      </c>
      <c r="H154" t="str">
        <v/>
      </c>
      <c r="I154" t="str">
        <v>27/09/2026</v>
      </c>
      <c r="J154" t="str">
        <v>08:16:24</v>
      </c>
      <c r="K154">
        <v>-12.307018</v>
      </c>
      <c r="L154">
        <v>-76.83937</v>
      </c>
      <c r="M154">
        <f>HYPERLINK("https://www.google.com/maps/search/?api=1&amp;query=-12.307018,-76.83937","Antigua Panamericana Sur, Lurín, Lima")</f>
      </c>
      <c r="N154">
        <v>4</v>
      </c>
      <c r="O154">
        <v>100</v>
      </c>
      <c r="P154">
        <v>719022.9</v>
      </c>
      <c r="Q154" t="str">
        <v>115.17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BXQ-847</v>
      </c>
      <c r="D155" t="str">
        <v>BXQ-847</v>
      </c>
      <c r="E155" t="str">
        <v/>
      </c>
      <c r="F155" t="str">
        <v>867162029843950</v>
      </c>
      <c r="G155" t="str">
        <v>TBD</v>
      </c>
      <c r="H155" t="str">
        <v/>
      </c>
      <c r="I155" t="str">
        <v>27/09/2026</v>
      </c>
      <c r="J155" t="str">
        <v>08:16:24</v>
      </c>
      <c r="K155">
        <v>-12.307049</v>
      </c>
      <c r="L155">
        <v>-76.839355</v>
      </c>
      <c r="M155">
        <f>HYPERLINK("https://www.google.com/maps/search/?api=1&amp;query=-12.307049,-76.839355","Antigua Panamericana Sur, Lurín, Lima")</f>
      </c>
      <c r="N155">
        <v>4.3</v>
      </c>
      <c r="O155">
        <v>100</v>
      </c>
      <c r="P155">
        <v>719022.9</v>
      </c>
      <c r="Q155" t="str">
        <v>115.17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BXQ-847</v>
      </c>
      <c r="D156" t="str">
        <v>BXQ-847</v>
      </c>
      <c r="E156" t="str">
        <v/>
      </c>
      <c r="F156" t="str">
        <v>867162029843950</v>
      </c>
      <c r="G156" t="str">
        <v>TBD</v>
      </c>
      <c r="H156" t="str">
        <v/>
      </c>
      <c r="I156" t="str">
        <v>27/09/2026</v>
      </c>
      <c r="J156" t="str">
        <v>08:16:41</v>
      </c>
      <c r="K156">
        <v>-12.307049</v>
      </c>
      <c r="L156">
        <v>-76.839355</v>
      </c>
      <c r="M156">
        <f>HYPERLINK("https://www.google.com/maps/search/?api=1&amp;query=-12.307049,-76.839355","Antigua Panamericana Sur, Lurín, Lima")</f>
      </c>
      <c r="N156">
        <v>4.3</v>
      </c>
      <c r="O156">
        <v>100</v>
      </c>
      <c r="P156">
        <v>719022.9</v>
      </c>
      <c r="Q156" t="str">
        <v>115.68</v>
      </c>
      <c r="R156" t="str">
        <v>Vehículo apagado</v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BXQ-847</v>
      </c>
      <c r="D157" t="str">
        <v>BXQ-847</v>
      </c>
      <c r="E157" t="str">
        <v/>
      </c>
      <c r="F157" t="str">
        <v>867162029843950</v>
      </c>
      <c r="G157" t="str">
        <v>TBD</v>
      </c>
      <c r="H157" t="str">
        <v/>
      </c>
      <c r="I157" t="str">
        <v>27/09/2026</v>
      </c>
      <c r="J157" t="str">
        <v>08:16:44</v>
      </c>
      <c r="K157">
        <v>-12.307009</v>
      </c>
      <c r="L157">
        <v>-76.83938</v>
      </c>
      <c r="M157">
        <f>HYPERLINK("https://www.google.com/maps/search/?api=1&amp;query=-12.307009,-76.83938","Antigua Panamericana Sur, Lurín, Lima")</f>
      </c>
      <c r="N157">
        <v>0</v>
      </c>
      <c r="O157">
        <v>100</v>
      </c>
      <c r="P157">
        <v>719022.9</v>
      </c>
      <c r="Q157" t="str">
        <v>115.68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BXQ-847</v>
      </c>
      <c r="D158" t="str">
        <v>BXQ-847</v>
      </c>
      <c r="E158" t="str">
        <v/>
      </c>
      <c r="F158" t="str">
        <v>867162029843950</v>
      </c>
      <c r="G158" t="str">
        <v>TBD</v>
      </c>
      <c r="H158" t="str">
        <v/>
      </c>
      <c r="I158" t="str">
        <v>27/09/2026</v>
      </c>
      <c r="J158" t="str">
        <v>08:17:16</v>
      </c>
      <c r="K158">
        <v>-12.306927</v>
      </c>
      <c r="L158">
        <v>-76.8395</v>
      </c>
      <c r="M158">
        <f>HYPERLINK("https://www.google.com/maps/search/?api=1&amp;query=-12.306927,-76.8395","Antigua Panamericana Sur, Lurín, Lima")</f>
      </c>
      <c r="N158">
        <v>0</v>
      </c>
      <c r="O158">
        <v>100</v>
      </c>
      <c r="P158">
        <v>719022.9</v>
      </c>
      <c r="Q158" t="str">
        <v>115.68</v>
      </c>
      <c r="R158" t="str">
        <v>Vehículo encendido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BXQ-847</v>
      </c>
      <c r="D159" t="str">
        <v>BXQ-847</v>
      </c>
      <c r="E159" t="str">
        <v/>
      </c>
      <c r="F159" t="str">
        <v>867162029843950</v>
      </c>
      <c r="G159" t="str">
        <v>TBD</v>
      </c>
      <c r="H159" t="str">
        <v/>
      </c>
      <c r="I159" t="str">
        <v>27/09/2026</v>
      </c>
      <c r="J159" t="str">
        <v>08:17:21</v>
      </c>
      <c r="K159">
        <v>-12.306927</v>
      </c>
      <c r="L159">
        <v>-76.8395</v>
      </c>
      <c r="M159">
        <f>HYPERLINK("https://www.google.com/maps/search/?api=1&amp;query=-12.306927,-76.8395","Antigua Panamericana Sur, Lurín, Lima")</f>
      </c>
      <c r="N159">
        <v>0.1</v>
      </c>
      <c r="O159">
        <v>100</v>
      </c>
      <c r="P159">
        <v>719022.9</v>
      </c>
      <c r="Q159" t="str">
        <v>115.68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BXQ-847</v>
      </c>
      <c r="D160" t="str">
        <v>BXQ-847</v>
      </c>
      <c r="E160" t="str">
        <v/>
      </c>
      <c r="F160" t="str">
        <v>867162029843950</v>
      </c>
      <c r="G160" t="str">
        <v>TBD</v>
      </c>
      <c r="H160" t="str">
        <v/>
      </c>
      <c r="I160" t="str">
        <v>27/09/2026</v>
      </c>
      <c r="J160" t="str">
        <v>08:17:30</v>
      </c>
      <c r="K160">
        <v>-12.306927</v>
      </c>
      <c r="L160">
        <v>-76.8395</v>
      </c>
      <c r="M160">
        <f>HYPERLINK("https://www.google.com/maps/search/?api=1&amp;query=-12.306927,-76.8395","Antigua Panamericana Sur, Lurín, Lima")</f>
      </c>
      <c r="N160">
        <v>0.1</v>
      </c>
      <c r="O160">
        <v>100</v>
      </c>
      <c r="P160">
        <v>719022.9</v>
      </c>
      <c r="Q160" t="str">
        <v>115.68</v>
      </c>
      <c r="R160" t="str">
        <v>Vehículo apagado</v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BXQ-847</v>
      </c>
      <c r="D161" t="str">
        <v>BXQ-847</v>
      </c>
      <c r="E161" t="str">
        <v/>
      </c>
      <c r="F161" t="str">
        <v>867162029843950</v>
      </c>
      <c r="G161" t="str">
        <v>TBD</v>
      </c>
      <c r="H161" t="str">
        <v/>
      </c>
      <c r="I161" t="str">
        <v>27/09/2026</v>
      </c>
      <c r="J161" t="str">
        <v>08:17:32</v>
      </c>
      <c r="K161">
        <v>-12.306927</v>
      </c>
      <c r="L161">
        <v>-76.8395</v>
      </c>
      <c r="M161">
        <f>HYPERLINK("https://www.google.com/maps/search/?api=1&amp;query=-12.306927,-76.8395","Antigua Panamericana Sur, Lurín, Lima")</f>
      </c>
      <c r="N161">
        <v>0</v>
      </c>
      <c r="O161">
        <v>100</v>
      </c>
      <c r="P161">
        <v>719022.9</v>
      </c>
      <c r="Q161" t="str">
        <v>115.68</v>
      </c>
      <c r="R161" t="str">
        <v>Vehículo encendido</v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BXQ-847</v>
      </c>
      <c r="D162" t="str">
        <v>BXQ-847</v>
      </c>
      <c r="E162" t="str">
        <v/>
      </c>
      <c r="F162" t="str">
        <v>867162029843950</v>
      </c>
      <c r="G162" t="str">
        <v>TBD</v>
      </c>
      <c r="H162" t="str">
        <v/>
      </c>
      <c r="I162" t="str">
        <v>27/09/2026</v>
      </c>
      <c r="J162" t="str">
        <v>08:17:32</v>
      </c>
      <c r="K162">
        <v>-12.306927</v>
      </c>
      <c r="L162">
        <v>-76.8395</v>
      </c>
      <c r="M162">
        <f>HYPERLINK("https://www.google.com/maps/search/?api=1&amp;query=-12.306927,-76.8395","Antigua Panamericana Sur, Lurín, Lima")</f>
      </c>
      <c r="N162">
        <v>0</v>
      </c>
      <c r="O162">
        <v>100</v>
      </c>
      <c r="P162">
        <v>719022.9</v>
      </c>
      <c r="Q162" t="str">
        <v>115.68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BXQ-847</v>
      </c>
      <c r="D163" t="str">
        <v>BXQ-847</v>
      </c>
      <c r="E163" t="str">
        <v/>
      </c>
      <c r="F163" t="str">
        <v>867162029843950</v>
      </c>
      <c r="G163" t="str">
        <v>TBD</v>
      </c>
      <c r="H163" t="str">
        <v/>
      </c>
      <c r="I163" t="str">
        <v>27/09/2026</v>
      </c>
      <c r="J163" t="str">
        <v>08:17:48</v>
      </c>
      <c r="K163">
        <v>-12.306927</v>
      </c>
      <c r="L163">
        <v>-76.8395</v>
      </c>
      <c r="M163">
        <f>HYPERLINK("https://www.google.com/maps/search/?api=1&amp;query=-12.306927,-76.8395","Antigua Panamericana Sur, Lurín, Lima")</f>
      </c>
      <c r="N163">
        <v>0</v>
      </c>
      <c r="O163">
        <v>100</v>
      </c>
      <c r="P163">
        <v>719022.9</v>
      </c>
      <c r="Q163" t="str">
        <v>115.68</v>
      </c>
      <c r="R163" t="str">
        <v>Vehículo apagado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BXQ-847</v>
      </c>
      <c r="D164" t="str">
        <v>BXQ-847</v>
      </c>
      <c r="E164" t="str">
        <v/>
      </c>
      <c r="F164" t="str">
        <v>867162029843950</v>
      </c>
      <c r="G164" t="str">
        <v>TBD</v>
      </c>
      <c r="H164" t="str">
        <v/>
      </c>
      <c r="I164" t="str">
        <v>27/09/2026</v>
      </c>
      <c r="J164" t="str">
        <v>08:17:52</v>
      </c>
      <c r="K164">
        <v>-12.306927</v>
      </c>
      <c r="L164">
        <v>-76.8395</v>
      </c>
      <c r="M164">
        <f>HYPERLINK("https://www.google.com/maps/search/?api=1&amp;query=-12.306927,-76.8395","Antigua Panamericana Sur, Lurín, Lima")</f>
      </c>
      <c r="N164">
        <v>0</v>
      </c>
      <c r="O164">
        <v>100</v>
      </c>
      <c r="P164">
        <v>719022.9</v>
      </c>
      <c r="Q164" t="str">
        <v>115.68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BXQ-847</v>
      </c>
      <c r="D165" t="str">
        <v>BXQ-847</v>
      </c>
      <c r="E165" t="str">
        <v/>
      </c>
      <c r="F165" t="str">
        <v>867162029843950</v>
      </c>
      <c r="G165" t="str">
        <v>TBD</v>
      </c>
      <c r="H165" t="str">
        <v/>
      </c>
      <c r="I165" t="str">
        <v>27/09/2026</v>
      </c>
      <c r="J165" t="str">
        <v>08:22:32</v>
      </c>
      <c r="K165">
        <v>-12.306927</v>
      </c>
      <c r="L165">
        <v>-76.8395</v>
      </c>
      <c r="M165">
        <f>HYPERLINK("https://www.google.com/maps/search/?api=1&amp;query=-12.306927,-76.8395","Antigua Panamericana Sur, Lurín, Lima")</f>
      </c>
      <c r="N165">
        <v>0</v>
      </c>
      <c r="O165">
        <v>100</v>
      </c>
      <c r="P165">
        <v>719022.9</v>
      </c>
      <c r="Q165" t="str">
        <v>115.68</v>
      </c>
      <c r="R165" t="str">
        <v>Vehículo encendido</v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BXQ-847</v>
      </c>
      <c r="D166" t="str">
        <v>BXQ-847</v>
      </c>
      <c r="E166" t="str">
        <v/>
      </c>
      <c r="F166" t="str">
        <v>867162029843950</v>
      </c>
      <c r="G166" t="str">
        <v>TBD</v>
      </c>
      <c r="H166" t="str">
        <v/>
      </c>
      <c r="I166" t="str">
        <v>27/09/2026</v>
      </c>
      <c r="J166" t="str">
        <v>08:22:38</v>
      </c>
      <c r="K166">
        <v>-12.306979</v>
      </c>
      <c r="L166">
        <v>-76.83941</v>
      </c>
      <c r="M166">
        <f>HYPERLINK("https://www.google.com/maps/search/?api=1&amp;query=-12.306979,-76.83941","Antigua Panamericana Sur, Lurín, Lima")</f>
      </c>
      <c r="N166">
        <v>0.3</v>
      </c>
      <c r="O166">
        <v>100</v>
      </c>
      <c r="P166">
        <v>719022.9</v>
      </c>
      <c r="Q166" t="str">
        <v>115.68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BXQ-847</v>
      </c>
      <c r="D167" t="str">
        <v>BXQ-847</v>
      </c>
      <c r="E167" t="str">
        <v/>
      </c>
      <c r="F167" t="str">
        <v>867162029843950</v>
      </c>
      <c r="G167" t="str">
        <v>TBD</v>
      </c>
      <c r="H167" t="str">
        <v/>
      </c>
      <c r="I167" t="str">
        <v>27/09/2026</v>
      </c>
      <c r="J167" t="str">
        <v>08:23:34</v>
      </c>
      <c r="K167">
        <v>-12.306979</v>
      </c>
      <c r="L167">
        <v>-76.83941</v>
      </c>
      <c r="M167">
        <f>HYPERLINK("https://www.google.com/maps/search/?api=1&amp;query=-12.306979,-76.83941","Antigua Panamericana Sur, Lurín, Lima")</f>
      </c>
      <c r="N167">
        <v>0</v>
      </c>
      <c r="O167">
        <v>100</v>
      </c>
      <c r="P167">
        <v>719022.9</v>
      </c>
      <c r="Q167" t="str">
        <v>115.68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BXQ-847</v>
      </c>
      <c r="D168" t="str">
        <v>BXQ-847</v>
      </c>
      <c r="E168" t="str">
        <v/>
      </c>
      <c r="F168" t="str">
        <v>867162029843950</v>
      </c>
      <c r="G168" t="str">
        <v>TBD</v>
      </c>
      <c r="H168" t="str">
        <v/>
      </c>
      <c r="I168" t="str">
        <v>27/09/2026</v>
      </c>
      <c r="J168" t="str">
        <v>08:24:05</v>
      </c>
      <c r="K168">
        <v>-12.30711</v>
      </c>
      <c r="L168">
        <v>-76.839516</v>
      </c>
      <c r="M168">
        <f>HYPERLINK("https://www.google.com/maps/search/?api=1&amp;query=-12.30711,-76.839516","Antigua Panamericana Sur, Lurín, Lima")</f>
      </c>
      <c r="N168">
        <v>10.7</v>
      </c>
      <c r="O168">
        <v>100</v>
      </c>
      <c r="P168">
        <v>719022.9</v>
      </c>
      <c r="Q168" t="str">
        <v>115.68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BXQ-847</v>
      </c>
      <c r="D169" t="str">
        <v>BXQ-847</v>
      </c>
      <c r="E169" t="str">
        <v/>
      </c>
      <c r="F169" t="str">
        <v>867162029843950</v>
      </c>
      <c r="G169" t="str">
        <v>TBD</v>
      </c>
      <c r="H169" t="str">
        <v/>
      </c>
      <c r="I169" t="str">
        <v>27/09/2026</v>
      </c>
      <c r="J169" t="str">
        <v>08:24:05</v>
      </c>
      <c r="K169">
        <v>-12.30711</v>
      </c>
      <c r="L169">
        <v>-76.839516</v>
      </c>
      <c r="M169">
        <f>HYPERLINK("https://www.google.com/maps/search/?api=1&amp;query=-12.30711,-76.839516","Antigua Panamericana Sur, Lurín, Lima")</f>
      </c>
      <c r="N169">
        <v>10.7</v>
      </c>
      <c r="O169">
        <v>100</v>
      </c>
      <c r="P169">
        <v>719022.9</v>
      </c>
      <c r="Q169" t="str">
        <v>115.70</v>
      </c>
      <c r="R169" t="str">
        <v>Llegó a la zona</v>
      </c>
      <c r="S169" t="str">
        <v>1191-ANTIGUA1 LU MS</v>
      </c>
      <c r="T169" t="str">
        <v xml:space="preserve"> </v>
      </c>
      <c r="U169" t="str">
        <v/>
      </c>
    </row>
    <row r="170">
      <c r="A170" t="str">
        <v>169</v>
      </c>
      <c r="B170" t="str">
        <v>MASS BSF</v>
      </c>
      <c r="C170" t="str">
        <v>BXQ-847</v>
      </c>
      <c r="D170" t="str">
        <v>BXQ-847</v>
      </c>
      <c r="E170" t="str">
        <v/>
      </c>
      <c r="F170" t="str">
        <v>867162029843950</v>
      </c>
      <c r="G170" t="str">
        <v>TBD</v>
      </c>
      <c r="H170" t="str">
        <v/>
      </c>
      <c r="I170" t="str">
        <v>27/09/2026</v>
      </c>
      <c r="J170" t="str">
        <v>08:24:08</v>
      </c>
      <c r="K170">
        <v>-12.307157</v>
      </c>
      <c r="L170">
        <v>-76.83945</v>
      </c>
      <c r="M170">
        <f>HYPERLINK("https://www.google.com/maps/search/?api=1&amp;query=-12.307157,-76.83945","Antigua Panamericana Sur, Lurín, Lima")</f>
      </c>
      <c r="N170">
        <v>12</v>
      </c>
      <c r="O170">
        <v>100</v>
      </c>
      <c r="P170">
        <v>719022.9</v>
      </c>
      <c r="Q170" t="str">
        <v>115.68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BXQ-847</v>
      </c>
      <c r="D171" t="str">
        <v>BXQ-847</v>
      </c>
      <c r="E171" t="str">
        <v/>
      </c>
      <c r="F171" t="str">
        <v>867162029843950</v>
      </c>
      <c r="G171" t="str">
        <v>TBD</v>
      </c>
      <c r="H171" t="str">
        <v/>
      </c>
      <c r="I171" t="str">
        <v>27/09/2026</v>
      </c>
      <c r="J171" t="str">
        <v>08:24:23</v>
      </c>
      <c r="K171">
        <v>-12.307552</v>
      </c>
      <c r="L171">
        <v>-76.83908</v>
      </c>
      <c r="M171">
        <f>HYPERLINK("https://www.google.com/maps/search/?api=1&amp;query=-12.307552,-76.83908","Calle Los Pulpos, Punta Hermosa, Lima")</f>
      </c>
      <c r="N171">
        <v>7.6</v>
      </c>
      <c r="O171">
        <v>100</v>
      </c>
      <c r="P171">
        <v>719022.9</v>
      </c>
      <c r="Q171" t="str">
        <v>115.68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BXQ-847</v>
      </c>
      <c r="D172" t="str">
        <v>BXQ-847</v>
      </c>
      <c r="E172" t="str">
        <v/>
      </c>
      <c r="F172" t="str">
        <v>867162029843950</v>
      </c>
      <c r="G172" t="str">
        <v>TBD</v>
      </c>
      <c r="H172" t="str">
        <v/>
      </c>
      <c r="I172" t="str">
        <v>27/09/2026</v>
      </c>
      <c r="J172" t="str">
        <v>08:24:34</v>
      </c>
      <c r="K172">
        <v>-12.3076</v>
      </c>
      <c r="L172">
        <v>-76.8391</v>
      </c>
      <c r="M172">
        <f>HYPERLINK("https://www.google.com/maps/search/?api=1&amp;query=-12.3076,-76.8391","Calle Los Pulpos, Punta Hermosa, Lima")</f>
      </c>
      <c r="N172">
        <v>6.8</v>
      </c>
      <c r="O172">
        <v>100</v>
      </c>
      <c r="P172">
        <v>719022.9</v>
      </c>
      <c r="Q172" t="str">
        <v>115.68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BXQ-847</v>
      </c>
      <c r="D173" t="str">
        <v>BXQ-847</v>
      </c>
      <c r="E173" t="str">
        <v/>
      </c>
      <c r="F173" t="str">
        <v>867162029843950</v>
      </c>
      <c r="G173" t="str">
        <v>TBD</v>
      </c>
      <c r="H173" t="str">
        <v/>
      </c>
      <c r="I173" t="str">
        <v>27/09/2026</v>
      </c>
      <c r="J173" t="str">
        <v>08:24:38</v>
      </c>
      <c r="K173">
        <v>-12.307788</v>
      </c>
      <c r="L173">
        <v>-76.83909</v>
      </c>
      <c r="M173">
        <f>HYPERLINK("https://www.google.com/maps/search/?api=1&amp;query=-12.307788,-76.83909","Antigua Panamericana Sur, Punta Hermosa, Lima")</f>
      </c>
      <c r="N173">
        <v>21.1</v>
      </c>
      <c r="O173">
        <v>100</v>
      </c>
      <c r="P173">
        <v>719023</v>
      </c>
      <c r="Q173" t="str">
        <v>115.68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BXQ-847</v>
      </c>
      <c r="D174" t="str">
        <v>BXQ-847</v>
      </c>
      <c r="E174" t="str">
        <v/>
      </c>
      <c r="F174" t="str">
        <v>867162029843950</v>
      </c>
      <c r="G174" t="str">
        <v>TBD</v>
      </c>
      <c r="H174" t="str">
        <v/>
      </c>
      <c r="I174" t="str">
        <v>27/09/2026</v>
      </c>
      <c r="J174" t="str">
        <v>08:24:38</v>
      </c>
      <c r="K174">
        <v>-12.307788</v>
      </c>
      <c r="L174">
        <v>-76.83909</v>
      </c>
      <c r="M174">
        <f>HYPERLINK("https://www.google.com/maps/search/?api=1&amp;query=-12.307788,-76.83909","Antigua Panamericana Sur, Punta Hermosa, Lima")</f>
      </c>
      <c r="N174">
        <v>21.1</v>
      </c>
      <c r="O174">
        <v>100</v>
      </c>
      <c r="P174">
        <v>719022.9</v>
      </c>
      <c r="Q174" t="str">
        <v>115.70</v>
      </c>
      <c r="R174" t="str">
        <v>Salió de zona</v>
      </c>
      <c r="S174" t="str">
        <v>1191-ANTIGUA1 LU MS</v>
      </c>
      <c r="T174" t="str">
        <v xml:space="preserve"> </v>
      </c>
      <c r="U174" t="str">
        <v/>
      </c>
    </row>
    <row r="175">
      <c r="A175" t="str">
        <v>174</v>
      </c>
      <c r="B175" t="str">
        <v>MASS BSF</v>
      </c>
      <c r="C175" t="str">
        <v>BXQ-847</v>
      </c>
      <c r="D175" t="str">
        <v>BXQ-847</v>
      </c>
      <c r="E175" t="str">
        <v/>
      </c>
      <c r="F175" t="str">
        <v>867162029843950</v>
      </c>
      <c r="G175" t="str">
        <v>TBD</v>
      </c>
      <c r="H175" t="str">
        <v/>
      </c>
      <c r="I175" t="str">
        <v>27/09/2026</v>
      </c>
      <c r="J175" t="str">
        <v>08:25:34</v>
      </c>
      <c r="K175">
        <v>-12.31106</v>
      </c>
      <c r="L175">
        <v>-76.836044</v>
      </c>
      <c r="M175">
        <f>HYPERLINK("https://www.google.com/maps/search/?api=1&amp;query=-12.31106,-76.836044","Antigua Panamericana Sur, Punta Hermosa, Lima")</f>
      </c>
      <c r="N175">
        <v>26.7</v>
      </c>
      <c r="O175">
        <v>100</v>
      </c>
      <c r="P175">
        <v>719023.5</v>
      </c>
      <c r="Q175" t="str">
        <v>115.68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BXQ-847</v>
      </c>
      <c r="D176" t="str">
        <v>BXQ-847</v>
      </c>
      <c r="E176" t="str">
        <v/>
      </c>
      <c r="F176" t="str">
        <v>867162029843950</v>
      </c>
      <c r="G176" t="str">
        <v>TBD</v>
      </c>
      <c r="H176" t="str">
        <v/>
      </c>
      <c r="I176" t="str">
        <v>27/09/2026</v>
      </c>
      <c r="J176" t="str">
        <v>08:26:34</v>
      </c>
      <c r="K176">
        <v>-12.315271</v>
      </c>
      <c r="L176">
        <v>-76.83317</v>
      </c>
      <c r="M176">
        <f>HYPERLINK("https://www.google.com/maps/search/?api=1&amp;query=-12.315271,-76.83317","Antigua Panamericana Sur, Punta Hermosa, Lima")</f>
      </c>
      <c r="N176">
        <v>36.2</v>
      </c>
      <c r="O176">
        <v>100</v>
      </c>
      <c r="P176">
        <v>719024</v>
      </c>
      <c r="Q176" t="str">
        <v>115.68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BXQ-847</v>
      </c>
      <c r="D177" t="str">
        <v>BXQ-847</v>
      </c>
      <c r="E177" t="str">
        <v/>
      </c>
      <c r="F177" t="str">
        <v>867162029843950</v>
      </c>
      <c r="G177" t="str">
        <v>TBD</v>
      </c>
      <c r="H177" t="str">
        <v/>
      </c>
      <c r="I177" t="str">
        <v>27/09/2026</v>
      </c>
      <c r="J177" t="str">
        <v>08:27:34</v>
      </c>
      <c r="K177">
        <v>-12.32084</v>
      </c>
      <c r="L177">
        <v>-76.82939</v>
      </c>
      <c r="M177">
        <f>HYPERLINK("https://www.google.com/maps/search/?api=1&amp;query=-12.32084,-76.82939","Antigua Panamericana Sur, Punta Hermosa, Lima")</f>
      </c>
      <c r="N177">
        <v>64.2</v>
      </c>
      <c r="O177">
        <v>100</v>
      </c>
      <c r="P177">
        <v>719024.8</v>
      </c>
      <c r="Q177" t="str">
        <v>115.68</v>
      </c>
      <c r="R177" t="str">
        <v>Exceso de velocidad en segmento vial</v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BXQ-847</v>
      </c>
      <c r="D178" t="str">
        <v>BXQ-847</v>
      </c>
      <c r="E178" t="str">
        <v/>
      </c>
      <c r="F178" t="str">
        <v>867162029843950</v>
      </c>
      <c r="G178" t="str">
        <v>TBD</v>
      </c>
      <c r="H178" t="str">
        <v/>
      </c>
      <c r="I178" t="str">
        <v>27/09/2026</v>
      </c>
      <c r="J178" t="str">
        <v>08:28:34</v>
      </c>
      <c r="K178">
        <v>-12.327012</v>
      </c>
      <c r="L178">
        <v>-76.8252</v>
      </c>
      <c r="M178">
        <f>HYPERLINK("https://www.google.com/maps/search/?api=1&amp;query=-12.327012,-76.8252","Antigua Panamericana Sur, Punta Hermosa, Lima")</f>
      </c>
      <c r="N178">
        <v>34.5</v>
      </c>
      <c r="O178">
        <v>100</v>
      </c>
      <c r="P178">
        <v>719025.6</v>
      </c>
      <c r="Q178" t="str">
        <v>115.68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BXQ-847</v>
      </c>
      <c r="D179" t="str">
        <v>BXQ-847</v>
      </c>
      <c r="E179" t="str">
        <v/>
      </c>
      <c r="F179" t="str">
        <v>867162029843950</v>
      </c>
      <c r="G179" t="str">
        <v>TBD</v>
      </c>
      <c r="H179" t="str">
        <v/>
      </c>
      <c r="I179" t="str">
        <v>27/09/2026</v>
      </c>
      <c r="J179" t="str">
        <v>08:29:34</v>
      </c>
      <c r="K179">
        <v>-12.33335</v>
      </c>
      <c r="L179">
        <v>-76.82091</v>
      </c>
      <c r="M179">
        <f>HYPERLINK("https://www.google.com/maps/search/?api=1&amp;query=-12.33335,-76.82091","Antigua Panamericana Sur, Punta Hermosa, Lima")</f>
      </c>
      <c r="N179">
        <v>41.9</v>
      </c>
      <c r="O179">
        <v>100</v>
      </c>
      <c r="P179">
        <v>719026.4</v>
      </c>
      <c r="Q179" t="str">
        <v>115.68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BXQ-847</v>
      </c>
      <c r="D180" t="str">
        <v>BXQ-847</v>
      </c>
      <c r="E180" t="str">
        <v/>
      </c>
      <c r="F180" t="str">
        <v>867162029843950</v>
      </c>
      <c r="G180" t="str">
        <v>TBD</v>
      </c>
      <c r="H180" t="str">
        <v/>
      </c>
      <c r="I180" t="str">
        <v>27/09/2026</v>
      </c>
      <c r="J180" t="str">
        <v>08:29:44</v>
      </c>
      <c r="K180">
        <v>-12.333722</v>
      </c>
      <c r="L180">
        <v>-76.82041</v>
      </c>
      <c r="M180">
        <f>HYPERLINK("https://www.google.com/maps/search/?api=1&amp;query=-12.333722,-76.82041","Antigua Panamericana Sur, Punta Hermosa, Lima")</f>
      </c>
      <c r="N180">
        <v>24.9</v>
      </c>
      <c r="O180">
        <v>100</v>
      </c>
      <c r="P180">
        <v>719026.5</v>
      </c>
      <c r="Q180" t="str">
        <v>115.68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BXQ-847</v>
      </c>
      <c r="D181" t="str">
        <v>BXQ-847</v>
      </c>
      <c r="E181" t="str">
        <v/>
      </c>
      <c r="F181" t="str">
        <v>867162029843950</v>
      </c>
      <c r="G181" t="str">
        <v>TBD</v>
      </c>
      <c r="H181" t="str">
        <v/>
      </c>
      <c r="I181" t="str">
        <v>27/09/2026</v>
      </c>
      <c r="J181" t="str">
        <v>08:29:53</v>
      </c>
      <c r="K181">
        <v>-12.333579</v>
      </c>
      <c r="L181">
        <v>-76.8197</v>
      </c>
      <c r="M181">
        <f>HYPERLINK("https://www.google.com/maps/search/?api=1&amp;query=-12.333579,-76.8197","Carretera Panamericana Sur, Punta Hermosa, Lima")</f>
      </c>
      <c r="N181">
        <v>33.1</v>
      </c>
      <c r="O181">
        <v>100</v>
      </c>
      <c r="P181">
        <v>719026.6</v>
      </c>
      <c r="Q181" t="str">
        <v>115.68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BXQ-847</v>
      </c>
      <c r="D182" t="str">
        <v>BXQ-847</v>
      </c>
      <c r="E182" t="str">
        <v/>
      </c>
      <c r="F182" t="str">
        <v>867162029843950</v>
      </c>
      <c r="G182" t="str">
        <v>TBD</v>
      </c>
      <c r="H182" t="str">
        <v/>
      </c>
      <c r="I182" t="str">
        <v>27/09/2026</v>
      </c>
      <c r="J182" t="str">
        <v>08:29:56</v>
      </c>
      <c r="K182">
        <v>-12.333364</v>
      </c>
      <c r="L182">
        <v>-76.819595</v>
      </c>
      <c r="M182">
        <f>HYPERLINK("https://www.google.com/maps/search/?api=1&amp;query=-12.333364,-76.819595","Carretera Panamericana Sur, Punta Hermosa, Lima")</f>
      </c>
      <c r="N182">
        <v>32.1</v>
      </c>
      <c r="O182">
        <v>100</v>
      </c>
      <c r="P182">
        <v>719026.6</v>
      </c>
      <c r="Q182" t="str">
        <v>115.68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BXQ-847</v>
      </c>
      <c r="D183" t="str">
        <v>BXQ-847</v>
      </c>
      <c r="E183" t="str">
        <v/>
      </c>
      <c r="F183" t="str">
        <v>867162029843950</v>
      </c>
      <c r="G183" t="str">
        <v>TBD</v>
      </c>
      <c r="H183" t="str">
        <v/>
      </c>
      <c r="I183" t="str">
        <v>27/09/2026</v>
      </c>
      <c r="J183" t="str">
        <v>08:30:02</v>
      </c>
      <c r="K183">
        <v>-12.332934</v>
      </c>
      <c r="L183">
        <v>-76.81985</v>
      </c>
      <c r="M183">
        <f>HYPERLINK("https://www.google.com/maps/search/?api=1&amp;query=-12.332934,-76.81985","Carretera Panamericana Sur, Punta Hermosa, Lima")</f>
      </c>
      <c r="N183">
        <v>36.4</v>
      </c>
      <c r="O183">
        <v>100</v>
      </c>
      <c r="P183">
        <v>719026.7</v>
      </c>
      <c r="Q183" t="str">
        <v>115.68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BXQ-847</v>
      </c>
      <c r="D184" t="str">
        <v>BXQ-847</v>
      </c>
      <c r="E184" t="str">
        <v/>
      </c>
      <c r="F184" t="str">
        <v>867162029843950</v>
      </c>
      <c r="G184" t="str">
        <v>TBD</v>
      </c>
      <c r="H184" t="str">
        <v/>
      </c>
      <c r="I184" t="str">
        <v>27/09/2026</v>
      </c>
      <c r="J184" t="str">
        <v>08:30:34</v>
      </c>
      <c r="K184">
        <v>-12.329881</v>
      </c>
      <c r="L184">
        <v>-76.8222</v>
      </c>
      <c r="M184">
        <f>HYPERLINK("https://www.google.com/maps/search/?api=1&amp;query=-12.329881,-76.8222","Carretera Panamericana Sur, Punta Hermosa, Lima")</f>
      </c>
      <c r="N184">
        <v>75.1</v>
      </c>
      <c r="O184">
        <v>100</v>
      </c>
      <c r="P184">
        <v>719027.1</v>
      </c>
      <c r="Q184" t="str">
        <v>115.68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BXQ-847</v>
      </c>
      <c r="D185" t="str">
        <v>BXQ-847</v>
      </c>
      <c r="E185" t="str">
        <v/>
      </c>
      <c r="F185" t="str">
        <v>867162029843950</v>
      </c>
      <c r="G185" t="str">
        <v>TBD</v>
      </c>
      <c r="H185" t="str">
        <v/>
      </c>
      <c r="I185" t="str">
        <v>27/09/2026</v>
      </c>
      <c r="J185" t="str">
        <v>08:30:44</v>
      </c>
      <c r="K185">
        <v>-12.327834</v>
      </c>
      <c r="L185">
        <v>-76.82359</v>
      </c>
      <c r="M185">
        <f>HYPERLINK("https://www.google.com/maps/search/?api=1&amp;query=-12.327834,-76.82359","Carretera Panamericana Sur, Punta Hermosa, Lima")</f>
      </c>
      <c r="N185">
        <v>86.6</v>
      </c>
      <c r="O185">
        <v>100</v>
      </c>
      <c r="P185">
        <v>719027.4</v>
      </c>
      <c r="Q185" t="str">
        <v>115.68</v>
      </c>
      <c r="R185" t="str">
        <v>Excedió el límite de velocidad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BXQ-847</v>
      </c>
      <c r="D186" t="str">
        <v>BXQ-847</v>
      </c>
      <c r="E186" t="str">
        <v/>
      </c>
      <c r="F186" t="str">
        <v>867162029843950</v>
      </c>
      <c r="G186" t="str">
        <v>TBD</v>
      </c>
      <c r="H186" t="str">
        <v/>
      </c>
      <c r="I186" t="str">
        <v>27/09/2026</v>
      </c>
      <c r="J186" t="str">
        <v>08:31:34</v>
      </c>
      <c r="K186">
        <v>-12.318845</v>
      </c>
      <c r="L186">
        <v>-76.829475</v>
      </c>
      <c r="M186">
        <f>HYPERLINK("https://www.google.com/maps/search/?api=1&amp;query=-12.318845,-76.829475","Carretera Panamericana Sur, Punta Hermosa, Lima")</f>
      </c>
      <c r="N186">
        <v>66.1</v>
      </c>
      <c r="O186">
        <v>100</v>
      </c>
      <c r="P186">
        <v>719028.6</v>
      </c>
      <c r="Q186" t="str">
        <v>115.68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BXQ-847</v>
      </c>
      <c r="D187" t="str">
        <v>BXQ-847</v>
      </c>
      <c r="E187" t="str">
        <v/>
      </c>
      <c r="F187" t="str">
        <v>867162029843950</v>
      </c>
      <c r="G187" t="str">
        <v>TBD</v>
      </c>
      <c r="H187" t="str">
        <v/>
      </c>
      <c r="I187" t="str">
        <v>27/09/2026</v>
      </c>
      <c r="J187" t="str">
        <v>08:31:41</v>
      </c>
      <c r="K187">
        <v>-12.317888</v>
      </c>
      <c r="L187">
        <v>-76.82977</v>
      </c>
      <c r="M187">
        <f>HYPERLINK("https://www.google.com/maps/search/?api=1&amp;query=-12.317888,-76.82977","Punta Hermosa, Lima")</f>
      </c>
      <c r="N187">
        <v>30.7</v>
      </c>
      <c r="O187">
        <v>100</v>
      </c>
      <c r="P187">
        <v>719028.7</v>
      </c>
      <c r="Q187" t="str">
        <v>115.68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BXQ-847</v>
      </c>
      <c r="D188" t="str">
        <v>BXQ-847</v>
      </c>
      <c r="E188" t="str">
        <v/>
      </c>
      <c r="F188" t="str">
        <v>867162029843950</v>
      </c>
      <c r="G188" t="str">
        <v>TBD</v>
      </c>
      <c r="H188" t="str">
        <v/>
      </c>
      <c r="I188" t="str">
        <v>27/09/2026</v>
      </c>
      <c r="J188" t="str">
        <v>08:32:34</v>
      </c>
      <c r="K188">
        <v>-12.317704</v>
      </c>
      <c r="L188">
        <v>-76.829704</v>
      </c>
      <c r="M188">
        <f>HYPERLINK("https://www.google.com/maps/search/?api=1&amp;query=-12.317704,-76.829704","Punta Hermosa, Lima")</f>
      </c>
      <c r="N188">
        <v>0</v>
      </c>
      <c r="O188">
        <v>100</v>
      </c>
      <c r="P188">
        <v>719028.7</v>
      </c>
      <c r="Q188" t="str">
        <v>115.68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BXQ-847</v>
      </c>
      <c r="D189" t="str">
        <v>BXQ-847</v>
      </c>
      <c r="E189" t="str">
        <v/>
      </c>
      <c r="F189" t="str">
        <v>867162029843950</v>
      </c>
      <c r="G189" t="str">
        <v>TBD</v>
      </c>
      <c r="H189" t="str">
        <v/>
      </c>
      <c r="I189" t="str">
        <v>27/09/2026</v>
      </c>
      <c r="J189" t="str">
        <v>08:33:11</v>
      </c>
      <c r="K189">
        <v>-12.317501</v>
      </c>
      <c r="L189">
        <v>-76.829575</v>
      </c>
      <c r="M189">
        <f>HYPERLINK("https://www.google.com/maps/search/?api=1&amp;query=-12.317501,-76.829575","Punta Hermosa, Lima")</f>
      </c>
      <c r="N189">
        <v>7.3</v>
      </c>
      <c r="O189">
        <v>100</v>
      </c>
      <c r="P189">
        <v>719028.7</v>
      </c>
      <c r="Q189" t="str">
        <v>115.70</v>
      </c>
      <c r="R189" t="str">
        <v>Llegó a la zona</v>
      </c>
      <c r="S189" t="str">
        <v>MASS BSF 1</v>
      </c>
      <c r="T189" t="str">
        <v xml:space="preserve"> </v>
      </c>
      <c r="U189" t="str">
        <v/>
      </c>
    </row>
    <row r="190">
      <c r="A190" t="str">
        <v>189</v>
      </c>
      <c r="B190" t="str">
        <v>MASS BSF</v>
      </c>
      <c r="C190" t="str">
        <v>BXQ-847</v>
      </c>
      <c r="D190" t="str">
        <v>BXQ-847</v>
      </c>
      <c r="E190" t="str">
        <v/>
      </c>
      <c r="F190" t="str">
        <v>867162029843950</v>
      </c>
      <c r="G190" t="str">
        <v>TBD</v>
      </c>
      <c r="H190" t="str">
        <v/>
      </c>
      <c r="I190" t="str">
        <v>27/09/2026</v>
      </c>
      <c r="J190" t="str">
        <v>08:33:11</v>
      </c>
      <c r="K190">
        <v>-12.317501</v>
      </c>
      <c r="L190">
        <v>-76.829575</v>
      </c>
      <c r="M190">
        <f>HYPERLINK("https://www.google.com/maps/search/?api=1&amp;query=-12.317501,-76.829575","Punta Hermosa, Lima")</f>
      </c>
      <c r="N190">
        <v>7.3</v>
      </c>
      <c r="O190">
        <v>100</v>
      </c>
      <c r="P190">
        <v>719028.7</v>
      </c>
      <c r="Q190" t="str">
        <v>115.68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BXQ-847</v>
      </c>
      <c r="D191" t="str">
        <v>BXQ-847</v>
      </c>
      <c r="E191" t="str">
        <v/>
      </c>
      <c r="F191" t="str">
        <v>867162029843950</v>
      </c>
      <c r="G191" t="str">
        <v>TBD</v>
      </c>
      <c r="H191" t="str">
        <v/>
      </c>
      <c r="I191" t="str">
        <v>27/09/2026</v>
      </c>
      <c r="J191" t="str">
        <v>08:33:34</v>
      </c>
      <c r="K191">
        <v>-12.317463</v>
      </c>
      <c r="L191">
        <v>-76.829506</v>
      </c>
      <c r="M191">
        <f>HYPERLINK("https://www.google.com/maps/search/?api=1&amp;query=-12.317463,-76.829506","Punta Hermosa, Lima")</f>
      </c>
      <c r="N191">
        <v>0</v>
      </c>
      <c r="O191">
        <v>100</v>
      </c>
      <c r="P191">
        <v>719028.7</v>
      </c>
      <c r="Q191" t="str">
        <v>115.68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BXQ-847</v>
      </c>
      <c r="D192" t="str">
        <v>BXQ-847</v>
      </c>
      <c r="E192" t="str">
        <v/>
      </c>
      <c r="F192" t="str">
        <v>867162029843950</v>
      </c>
      <c r="G192" t="str">
        <v>TBD</v>
      </c>
      <c r="H192" t="str">
        <v/>
      </c>
      <c r="I192" t="str">
        <v>27/09/2026</v>
      </c>
      <c r="J192" t="str">
        <v>08:34:34</v>
      </c>
      <c r="K192">
        <v>-12.316932</v>
      </c>
      <c r="L192">
        <v>-76.8286</v>
      </c>
      <c r="M192">
        <f>HYPERLINK("https://www.google.com/maps/search/?api=1&amp;query=-12.316932,-76.8286","Punta Hermosa, Lima")</f>
      </c>
      <c r="N192">
        <v>15.4</v>
      </c>
      <c r="O192">
        <v>100</v>
      </c>
      <c r="P192">
        <v>719028.9</v>
      </c>
      <c r="Q192" t="str">
        <v>115.68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BXQ-847</v>
      </c>
      <c r="D193" t="str">
        <v>BXQ-847</v>
      </c>
      <c r="E193" t="str">
        <v/>
      </c>
      <c r="F193" t="str">
        <v>867162029843950</v>
      </c>
      <c r="G193" t="str">
        <v>TBD</v>
      </c>
      <c r="H193" t="str">
        <v/>
      </c>
      <c r="I193" t="str">
        <v>27/09/2026</v>
      </c>
      <c r="J193" t="str">
        <v>08:35:17</v>
      </c>
      <c r="K193">
        <v>-12.316173</v>
      </c>
      <c r="L193">
        <v>-76.82711</v>
      </c>
      <c r="M193">
        <f>HYPERLINK("https://www.google.com/maps/search/?api=1&amp;query=-12.316173,-76.82711","Punta Hermosa, Lima")</f>
      </c>
      <c r="N193">
        <v>12.2</v>
      </c>
      <c r="O193">
        <v>100</v>
      </c>
      <c r="P193">
        <v>719029.1</v>
      </c>
      <c r="Q193" t="str">
        <v>115.68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BXQ-847</v>
      </c>
      <c r="D194" t="str">
        <v>BXQ-847</v>
      </c>
      <c r="E194" t="str">
        <v/>
      </c>
      <c r="F194" t="str">
        <v>867162029843950</v>
      </c>
      <c r="G194" t="str">
        <v>TBD</v>
      </c>
      <c r="H194" t="str">
        <v/>
      </c>
      <c r="I194" t="str">
        <v>27/09/2026</v>
      </c>
      <c r="J194" t="str">
        <v>08:35:34</v>
      </c>
      <c r="K194">
        <v>-12.316703</v>
      </c>
      <c r="L194">
        <v>-76.82678</v>
      </c>
      <c r="M194">
        <f>HYPERLINK("https://www.google.com/maps/search/?api=1&amp;query=-12.316703,-76.82678","Punta Hermosa, Lima")</f>
      </c>
      <c r="N194">
        <v>15.5</v>
      </c>
      <c r="O194">
        <v>100</v>
      </c>
      <c r="P194">
        <v>719029.1</v>
      </c>
      <c r="Q194" t="str">
        <v>115.68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BXQ-847</v>
      </c>
      <c r="D195" t="str">
        <v>BXQ-847</v>
      </c>
      <c r="E195" t="str">
        <v/>
      </c>
      <c r="F195" t="str">
        <v>867162029843950</v>
      </c>
      <c r="G195" t="str">
        <v>TBD</v>
      </c>
      <c r="H195" t="str">
        <v/>
      </c>
      <c r="I195" t="str">
        <v>27/09/2026</v>
      </c>
      <c r="J195" t="str">
        <v>08:35:56</v>
      </c>
      <c r="K195">
        <v>-12.317341</v>
      </c>
      <c r="L195">
        <v>-76.82625</v>
      </c>
      <c r="M195">
        <f>HYPERLINK("https://www.google.com/maps/search/?api=1&amp;query=-12.317341,-76.82625","Punta Hermosa, Lima")</f>
      </c>
      <c r="N195">
        <v>14.8</v>
      </c>
      <c r="O195">
        <v>100</v>
      </c>
      <c r="P195">
        <v>719029.2</v>
      </c>
      <c r="Q195" t="str">
        <v>115.68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BXQ-847</v>
      </c>
      <c r="D196" t="str">
        <v>BXQ-847</v>
      </c>
      <c r="E196" t="str">
        <v/>
      </c>
      <c r="F196" t="str">
        <v>867162029843950</v>
      </c>
      <c r="G196" t="str">
        <v>TBD</v>
      </c>
      <c r="H196" t="str">
        <v/>
      </c>
      <c r="I196" t="str">
        <v>27/09/2026</v>
      </c>
      <c r="J196" t="str">
        <v>08:36:29</v>
      </c>
      <c r="K196">
        <v>-12.316783</v>
      </c>
      <c r="L196">
        <v>-76.82509</v>
      </c>
      <c r="M196">
        <f>HYPERLINK("https://www.google.com/maps/search/?api=1&amp;query=-12.316783,-76.82509","Punta Hermosa, Lima")</f>
      </c>
      <c r="N196">
        <v>16.9</v>
      </c>
      <c r="O196">
        <v>100</v>
      </c>
      <c r="P196">
        <v>719029.4</v>
      </c>
      <c r="Q196" t="str">
        <v>115.68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BXQ-847</v>
      </c>
      <c r="D197" t="str">
        <v>BXQ-847</v>
      </c>
      <c r="E197" t="str">
        <v/>
      </c>
      <c r="F197" t="str">
        <v>867162029843950</v>
      </c>
      <c r="G197" t="str">
        <v>TBD</v>
      </c>
      <c r="H197" t="str">
        <v/>
      </c>
      <c r="I197" t="str">
        <v>27/09/2026</v>
      </c>
      <c r="J197" t="str">
        <v>08:36:34</v>
      </c>
      <c r="K197">
        <v>-12.316869</v>
      </c>
      <c r="L197">
        <v>-76.82499</v>
      </c>
      <c r="M197">
        <f>HYPERLINK("https://www.google.com/maps/search/?api=1&amp;query=-12.316869,-76.82499","Punta Hermosa, Lima")</f>
      </c>
      <c r="N197">
        <v>16.7</v>
      </c>
      <c r="O197">
        <v>100</v>
      </c>
      <c r="P197">
        <v>719029.4</v>
      </c>
      <c r="Q197" t="str">
        <v>115.68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BXQ-847</v>
      </c>
      <c r="D198" t="str">
        <v>BXQ-847</v>
      </c>
      <c r="E198" t="str">
        <v/>
      </c>
      <c r="F198" t="str">
        <v>867162029843950</v>
      </c>
      <c r="G198" t="str">
        <v>TBD</v>
      </c>
      <c r="H198" t="str">
        <v/>
      </c>
      <c r="I198" t="str">
        <v>27/09/2026</v>
      </c>
      <c r="J198" t="str">
        <v>08:36:34</v>
      </c>
      <c r="K198">
        <v>-12.316869</v>
      </c>
      <c r="L198">
        <v>-76.82499</v>
      </c>
      <c r="M198">
        <f>HYPERLINK("https://www.google.com/maps/search/?api=1&amp;query=-12.316869,-76.82499","Punta Hermosa, Lima")</f>
      </c>
      <c r="N198">
        <v>16.7</v>
      </c>
      <c r="O198">
        <v>100</v>
      </c>
      <c r="P198">
        <v>719029.4</v>
      </c>
      <c r="Q198" t="str">
        <v>115.68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BXQ-847</v>
      </c>
      <c r="D199" t="str">
        <v>BXQ-847</v>
      </c>
      <c r="E199" t="str">
        <v/>
      </c>
      <c r="F199" t="str">
        <v>867162029843950</v>
      </c>
      <c r="G199" t="str">
        <v>TBD</v>
      </c>
      <c r="H199" t="str">
        <v/>
      </c>
      <c r="I199" t="str">
        <v>27/09/2026</v>
      </c>
      <c r="J199" t="str">
        <v>08:37:34</v>
      </c>
      <c r="K199">
        <v>-12.317924</v>
      </c>
      <c r="L199">
        <v>-76.82418</v>
      </c>
      <c r="M199">
        <f>HYPERLINK("https://www.google.com/maps/search/?api=1&amp;query=-12.317924,-76.82418","Punta Hermosa, Lima")</f>
      </c>
      <c r="N199">
        <v>0</v>
      </c>
      <c r="O199">
        <v>100</v>
      </c>
      <c r="P199">
        <v>719029.5</v>
      </c>
      <c r="Q199" t="str">
        <v>115.68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BXQ-847</v>
      </c>
      <c r="D200" t="str">
        <v>BXQ-847</v>
      </c>
      <c r="E200" t="str">
        <v/>
      </c>
      <c r="F200" t="str">
        <v>867162029843950</v>
      </c>
      <c r="G200" t="str">
        <v>TBD</v>
      </c>
      <c r="H200" t="str">
        <v/>
      </c>
      <c r="I200" t="str">
        <v>27/09/2026</v>
      </c>
      <c r="J200" t="str">
        <v>08:38:05</v>
      </c>
      <c r="K200">
        <v>-12.318469</v>
      </c>
      <c r="L200">
        <v>-76.82374</v>
      </c>
      <c r="M200">
        <f>HYPERLINK("https://www.google.com/maps/search/?api=1&amp;query=-12.318469,-76.82374","Punta Hermosa, Lima")</f>
      </c>
      <c r="N200">
        <v>14.7</v>
      </c>
      <c r="O200">
        <v>100</v>
      </c>
      <c r="P200">
        <v>719029.6</v>
      </c>
      <c r="Q200" t="str">
        <v>115.68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BXQ-847</v>
      </c>
      <c r="D201" t="str">
        <v>BXQ-847</v>
      </c>
      <c r="E201" t="str">
        <v/>
      </c>
      <c r="F201" t="str">
        <v>867162029843950</v>
      </c>
      <c r="G201" t="str">
        <v>TBD</v>
      </c>
      <c r="H201" t="str">
        <v/>
      </c>
      <c r="I201" t="str">
        <v>27/09/2026</v>
      </c>
      <c r="J201" t="str">
        <v>08:38:11</v>
      </c>
      <c r="K201">
        <v>-12.318376</v>
      </c>
      <c r="L201">
        <v>-76.82351</v>
      </c>
      <c r="M201">
        <f>HYPERLINK("https://www.google.com/maps/search/?api=1&amp;query=-12.318376,-76.82351","Punta Hermosa, Lima")</f>
      </c>
      <c r="N201">
        <v>17.3</v>
      </c>
      <c r="O201">
        <v>100</v>
      </c>
      <c r="P201">
        <v>719029.6</v>
      </c>
      <c r="Q201" t="str">
        <v>115.68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BXQ-847</v>
      </c>
      <c r="D202" t="str">
        <v>BXQ-847</v>
      </c>
      <c r="E202" t="str">
        <v/>
      </c>
      <c r="F202" t="str">
        <v>867162029843950</v>
      </c>
      <c r="G202" t="str">
        <v>TBD</v>
      </c>
      <c r="H202" t="str">
        <v/>
      </c>
      <c r="I202" t="str">
        <v>27/09/2026</v>
      </c>
      <c r="J202" t="str">
        <v>08:38:29</v>
      </c>
      <c r="K202">
        <v>-12.317953</v>
      </c>
      <c r="L202">
        <v>-76.82293</v>
      </c>
      <c r="M202">
        <f>HYPERLINK("https://www.google.com/maps/search/?api=1&amp;query=-12.317953,-76.82293","Punta Hermosa, Lima")</f>
      </c>
      <c r="N202">
        <v>16.7</v>
      </c>
      <c r="O202">
        <v>100</v>
      </c>
      <c r="P202">
        <v>719029.7</v>
      </c>
      <c r="Q202" t="str">
        <v>115.68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BXQ-847</v>
      </c>
      <c r="D203" t="str">
        <v>BXQ-847</v>
      </c>
      <c r="E203" t="str">
        <v/>
      </c>
      <c r="F203" t="str">
        <v>867162029843950</v>
      </c>
      <c r="G203" t="str">
        <v>TBD</v>
      </c>
      <c r="H203" t="str">
        <v/>
      </c>
      <c r="I203" t="str">
        <v>27/09/2026</v>
      </c>
      <c r="J203" t="str">
        <v>08:38:34</v>
      </c>
      <c r="K203">
        <v>-12.31783</v>
      </c>
      <c r="L203">
        <v>-76.82289</v>
      </c>
      <c r="M203">
        <f>HYPERLINK("https://www.google.com/maps/search/?api=1&amp;query=-12.31783,-76.82289","Punta Hermosa, Lima")</f>
      </c>
      <c r="N203">
        <v>17.1</v>
      </c>
      <c r="O203">
        <v>100</v>
      </c>
      <c r="P203">
        <v>719029.7</v>
      </c>
      <c r="Q203" t="str">
        <v>115.68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BXQ-847</v>
      </c>
      <c r="D204" t="str">
        <v>BXQ-847</v>
      </c>
      <c r="E204" t="str">
        <v/>
      </c>
      <c r="F204" t="str">
        <v>867162029843950</v>
      </c>
      <c r="G204" t="str">
        <v>TBD</v>
      </c>
      <c r="H204" t="str">
        <v/>
      </c>
      <c r="I204" t="str">
        <v>27/09/2026</v>
      </c>
      <c r="J204" t="str">
        <v>08:38:41</v>
      </c>
      <c r="K204">
        <v>-12.31746</v>
      </c>
      <c r="L204">
        <v>-76.82291</v>
      </c>
      <c r="M204">
        <f>HYPERLINK("https://www.google.com/maps/search/?api=1&amp;query=-12.31746,-76.82291","Punta Hermosa, Lima")</f>
      </c>
      <c r="N204">
        <v>15.8</v>
      </c>
      <c r="O204">
        <v>100</v>
      </c>
      <c r="P204">
        <v>719029.8</v>
      </c>
      <c r="Q204" t="str">
        <v>115.68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BXQ-847</v>
      </c>
      <c r="D205" t="str">
        <v>BXQ-847</v>
      </c>
      <c r="E205" t="str">
        <v/>
      </c>
      <c r="F205" t="str">
        <v>867162029843950</v>
      </c>
      <c r="G205" t="str">
        <v>TBD</v>
      </c>
      <c r="H205" t="str">
        <v/>
      </c>
      <c r="I205" t="str">
        <v>27/09/2026</v>
      </c>
      <c r="J205" t="str">
        <v>08:38:47</v>
      </c>
      <c r="K205">
        <v>-12.31731</v>
      </c>
      <c r="L205">
        <v>-76.82292</v>
      </c>
      <c r="M205">
        <f>HYPERLINK("https://www.google.com/maps/search/?api=1&amp;query=-12.31731,-76.82292","Punta Hermosa, Lima")</f>
      </c>
      <c r="N205">
        <v>8.8</v>
      </c>
      <c r="O205">
        <v>100</v>
      </c>
      <c r="P205">
        <v>719029.8</v>
      </c>
      <c r="Q205" t="str">
        <v>115.68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BXQ-847</v>
      </c>
      <c r="D206" t="str">
        <v>BXQ-847</v>
      </c>
      <c r="E206" t="str">
        <v/>
      </c>
      <c r="F206" t="str">
        <v>867162029843950</v>
      </c>
      <c r="G206" t="str">
        <v>TBD</v>
      </c>
      <c r="H206" t="str">
        <v/>
      </c>
      <c r="I206" t="str">
        <v>27/09/2026</v>
      </c>
      <c r="J206" t="str">
        <v>08:38:53</v>
      </c>
      <c r="K206">
        <v>-12.317319</v>
      </c>
      <c r="L206">
        <v>-76.82291</v>
      </c>
      <c r="M206">
        <f>HYPERLINK("https://www.google.com/maps/search/?api=1&amp;query=-12.317319,-76.82291","Punta Hermosa, Lima")</f>
      </c>
      <c r="N206">
        <v>5</v>
      </c>
      <c r="O206">
        <v>100</v>
      </c>
      <c r="P206">
        <v>719029.8</v>
      </c>
      <c r="Q206" t="str">
        <v>115.68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BXQ-847</v>
      </c>
      <c r="D207" t="str">
        <v>BXQ-847</v>
      </c>
      <c r="E207" t="str">
        <v/>
      </c>
      <c r="F207" t="str">
        <v>867162029843950</v>
      </c>
      <c r="G207" t="str">
        <v>TBD</v>
      </c>
      <c r="H207" t="str">
        <v/>
      </c>
      <c r="I207" t="str">
        <v>27/09/2026</v>
      </c>
      <c r="J207" t="str">
        <v>08:39:06</v>
      </c>
      <c r="K207">
        <v>-12.317348</v>
      </c>
      <c r="L207">
        <v>-76.822945</v>
      </c>
      <c r="M207">
        <f>HYPERLINK("https://www.google.com/maps/search/?api=1&amp;query=-12.317348,-76.822945","Punta Hermosa, Lima")</f>
      </c>
      <c r="N207">
        <v>0</v>
      </c>
      <c r="O207">
        <v>100</v>
      </c>
      <c r="P207">
        <v>719029.8</v>
      </c>
      <c r="Q207" t="str">
        <v>115.97</v>
      </c>
      <c r="R207" t="str">
        <v>Vehículo apagado</v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BXQ-847</v>
      </c>
      <c r="D208" t="str">
        <v>BXQ-847</v>
      </c>
      <c r="E208" t="str">
        <v/>
      </c>
      <c r="F208" t="str">
        <v>867162029843950</v>
      </c>
      <c r="G208" t="str">
        <v>TBD</v>
      </c>
      <c r="H208" t="str">
        <v/>
      </c>
      <c r="I208" t="str">
        <v>27/09/2026</v>
      </c>
      <c r="J208" t="str">
        <v>08:39:10</v>
      </c>
      <c r="K208">
        <v>-12.317348</v>
      </c>
      <c r="L208">
        <v>-76.822945</v>
      </c>
      <c r="M208">
        <f>HYPERLINK("https://www.google.com/maps/search/?api=1&amp;query=-12.317348,-76.822945","Punta Hermosa, Lima")</f>
      </c>
      <c r="N208">
        <v>0</v>
      </c>
      <c r="O208">
        <v>100</v>
      </c>
      <c r="P208">
        <v>719029.8</v>
      </c>
      <c r="Q208" t="str">
        <v>115.68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BXQ-847</v>
      </c>
      <c r="D209" t="str">
        <v>BXQ-847</v>
      </c>
      <c r="E209" t="str">
        <v/>
      </c>
      <c r="F209" t="str">
        <v>867162029843950</v>
      </c>
      <c r="G209" t="str">
        <v>TBD</v>
      </c>
      <c r="H209" t="str">
        <v/>
      </c>
      <c r="I209" t="str">
        <v>27/09/2026</v>
      </c>
      <c r="J209" t="str">
        <v>08:44:11</v>
      </c>
      <c r="K209">
        <v>-12.317348</v>
      </c>
      <c r="L209">
        <v>-76.822945</v>
      </c>
      <c r="M209">
        <f>HYPERLINK("https://www.google.com/maps/search/?api=1&amp;query=-12.317348,-76.822945","Punta Hermosa, Lima")</f>
      </c>
      <c r="N209">
        <v>0</v>
      </c>
      <c r="O209">
        <v>100</v>
      </c>
      <c r="P209">
        <v>719029.8</v>
      </c>
      <c r="Q209" t="str">
        <v>115.97</v>
      </c>
      <c r="R209" t="str">
        <v>Vehículo encendido</v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BXQ-847</v>
      </c>
      <c r="D210" t="str">
        <v>BXQ-847</v>
      </c>
      <c r="E210" t="str">
        <v/>
      </c>
      <c r="F210" t="str">
        <v>867162029843950</v>
      </c>
      <c r="G210" t="str">
        <v>TBD</v>
      </c>
      <c r="H210" t="str">
        <v/>
      </c>
      <c r="I210" t="str">
        <v>27/09/2026</v>
      </c>
      <c r="J210" t="str">
        <v>08:44:18</v>
      </c>
      <c r="K210">
        <v>-12.317347</v>
      </c>
      <c r="L210">
        <v>-76.822945</v>
      </c>
      <c r="M210">
        <f>HYPERLINK("https://www.google.com/maps/search/?api=1&amp;query=-12.317347,-76.822945","Punta Hermosa, Lima")</f>
      </c>
      <c r="N210">
        <v>3.2</v>
      </c>
      <c r="O210">
        <v>100</v>
      </c>
      <c r="P210">
        <v>719029.8</v>
      </c>
      <c r="Q210" t="str">
        <v>115.97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BXQ-847</v>
      </c>
      <c r="D211" t="str">
        <v>BXQ-847</v>
      </c>
      <c r="E211" t="str">
        <v/>
      </c>
      <c r="F211" t="str">
        <v>867162029843950</v>
      </c>
      <c r="G211" t="str">
        <v>TBD</v>
      </c>
      <c r="H211" t="str">
        <v/>
      </c>
      <c r="I211" t="str">
        <v>27/09/2026</v>
      </c>
      <c r="J211" t="str">
        <v>08:44:24</v>
      </c>
      <c r="K211">
        <v>-12.317247</v>
      </c>
      <c r="L211">
        <v>-76.82287</v>
      </c>
      <c r="M211">
        <f>HYPERLINK("https://www.google.com/maps/search/?api=1&amp;query=-12.317247,-76.82287","Punta Hermosa, Lima")</f>
      </c>
      <c r="N211">
        <v>11.9</v>
      </c>
      <c r="O211">
        <v>100</v>
      </c>
      <c r="P211">
        <v>719029.8</v>
      </c>
      <c r="Q211" t="str">
        <v>115.97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BXQ-847</v>
      </c>
      <c r="D212" t="str">
        <v>BXQ-847</v>
      </c>
      <c r="E212" t="str">
        <v/>
      </c>
      <c r="F212" t="str">
        <v>867162029843950</v>
      </c>
      <c r="G212" t="str">
        <v>TBD</v>
      </c>
      <c r="H212" t="str">
        <v/>
      </c>
      <c r="I212" t="str">
        <v>27/09/2026</v>
      </c>
      <c r="J212" t="str">
        <v>08:44:30</v>
      </c>
      <c r="K212">
        <v>-12.31709</v>
      </c>
      <c r="L212">
        <v>-76.82295</v>
      </c>
      <c r="M212">
        <f>HYPERLINK("https://www.google.com/maps/search/?api=1&amp;query=-12.31709,-76.82295","Punta Hermosa, Lima")</f>
      </c>
      <c r="N212">
        <v>10.9</v>
      </c>
      <c r="O212">
        <v>100</v>
      </c>
      <c r="P212">
        <v>719029.8</v>
      </c>
      <c r="Q212" t="str">
        <v>115.97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BXQ-847</v>
      </c>
      <c r="D213" t="str">
        <v>BXQ-847</v>
      </c>
      <c r="E213" t="str">
        <v/>
      </c>
      <c r="F213" t="str">
        <v>867162029843950</v>
      </c>
      <c r="G213" t="str">
        <v>TBD</v>
      </c>
      <c r="H213" t="str">
        <v/>
      </c>
      <c r="I213" t="str">
        <v>27/09/2026</v>
      </c>
      <c r="J213" t="str">
        <v>08:44:33</v>
      </c>
      <c r="K213">
        <v>-12.317061</v>
      </c>
      <c r="L213">
        <v>-76.82302</v>
      </c>
      <c r="M213">
        <f>HYPERLINK("https://www.google.com/maps/search/?api=1&amp;query=-12.317061,-76.82302","Punta Hermosa, Lima")</f>
      </c>
      <c r="N213">
        <v>10.2</v>
      </c>
      <c r="O213">
        <v>100</v>
      </c>
      <c r="P213">
        <v>719029.8</v>
      </c>
      <c r="Q213" t="str">
        <v>115.97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BXQ-847</v>
      </c>
      <c r="D214" t="str">
        <v>BXQ-847</v>
      </c>
      <c r="E214" t="str">
        <v/>
      </c>
      <c r="F214" t="str">
        <v>867162029843950</v>
      </c>
      <c r="G214" t="str">
        <v>TBD</v>
      </c>
      <c r="H214" t="str">
        <v/>
      </c>
      <c r="I214" t="str">
        <v>27/09/2026</v>
      </c>
      <c r="J214" t="str">
        <v>08:44:39</v>
      </c>
      <c r="K214">
        <v>-12.317153</v>
      </c>
      <c r="L214">
        <v>-76.82311</v>
      </c>
      <c r="M214">
        <f>HYPERLINK("https://www.google.com/maps/search/?api=1&amp;query=-12.317153,-76.82311","Punta Hermosa, Lima")</f>
      </c>
      <c r="N214">
        <v>10</v>
      </c>
      <c r="O214">
        <v>100</v>
      </c>
      <c r="P214">
        <v>719029.8</v>
      </c>
      <c r="Q214" t="str">
        <v>115.97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BXQ-847</v>
      </c>
      <c r="D215" t="str">
        <v>BXQ-847</v>
      </c>
      <c r="E215" t="str">
        <v/>
      </c>
      <c r="F215" t="str">
        <v>867162029843950</v>
      </c>
      <c r="G215" t="str">
        <v>TBD</v>
      </c>
      <c r="H215" t="str">
        <v/>
      </c>
      <c r="I215" t="str">
        <v>27/09/2026</v>
      </c>
      <c r="J215" t="str">
        <v>08:45:15</v>
      </c>
      <c r="K215">
        <v>-12.31722</v>
      </c>
      <c r="L215">
        <v>-76.82308</v>
      </c>
      <c r="M215">
        <f>HYPERLINK("https://www.google.com/maps/search/?api=1&amp;query=-12.31722,-76.82308","Punta Hermosa, Lima")</f>
      </c>
      <c r="N215">
        <v>0</v>
      </c>
      <c r="O215">
        <v>100</v>
      </c>
      <c r="P215">
        <v>719029.8</v>
      </c>
      <c r="Q215" t="str">
        <v>115.97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BXQ-847</v>
      </c>
      <c r="D216" t="str">
        <v>BXQ-847</v>
      </c>
      <c r="E216" t="str">
        <v/>
      </c>
      <c r="F216" t="str">
        <v>867162029843950</v>
      </c>
      <c r="G216" t="str">
        <v>TBD</v>
      </c>
      <c r="H216" t="str">
        <v/>
      </c>
      <c r="I216" t="str">
        <v>27/09/2026</v>
      </c>
      <c r="J216" t="str">
        <v>08:46:15</v>
      </c>
      <c r="K216">
        <v>-12.31722</v>
      </c>
      <c r="L216">
        <v>-76.82308</v>
      </c>
      <c r="M216">
        <f>HYPERLINK("https://www.google.com/maps/search/?api=1&amp;query=-12.31722,-76.82308","Punta Hermosa, Lima")</f>
      </c>
      <c r="N216">
        <v>0</v>
      </c>
      <c r="O216">
        <v>100</v>
      </c>
      <c r="P216">
        <v>719029.8</v>
      </c>
      <c r="Q216" t="str">
        <v>115.97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BXQ-847</v>
      </c>
      <c r="D217" t="str">
        <v>BXQ-847</v>
      </c>
      <c r="E217" t="str">
        <v/>
      </c>
      <c r="F217" t="str">
        <v>867162029843950</v>
      </c>
      <c r="G217" t="str">
        <v>TBD</v>
      </c>
      <c r="H217" t="str">
        <v/>
      </c>
      <c r="I217" t="str">
        <v>27/09/2026</v>
      </c>
      <c r="J217" t="str">
        <v>08:46:30</v>
      </c>
      <c r="K217">
        <v>-12.317285</v>
      </c>
      <c r="L217">
        <v>-76.82301</v>
      </c>
      <c r="M217">
        <f>HYPERLINK("https://www.google.com/maps/search/?api=1&amp;query=-12.317285,-76.82301","Punta Hermosa, Lima")</f>
      </c>
      <c r="N217">
        <v>9.3</v>
      </c>
      <c r="O217">
        <v>100</v>
      </c>
      <c r="P217">
        <v>719029.8</v>
      </c>
      <c r="Q217" t="str">
        <v>115.97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BXQ-847</v>
      </c>
      <c r="D218" t="str">
        <v>BXQ-847</v>
      </c>
      <c r="E218" t="str">
        <v/>
      </c>
      <c r="F218" t="str">
        <v>867162029843950</v>
      </c>
      <c r="G218" t="str">
        <v>TBD</v>
      </c>
      <c r="H218" t="str">
        <v/>
      </c>
      <c r="I218" t="str">
        <v>27/09/2026</v>
      </c>
      <c r="J218" t="str">
        <v>08:46:39</v>
      </c>
      <c r="K218">
        <v>-12.317467</v>
      </c>
      <c r="L218">
        <v>-76.82284</v>
      </c>
      <c r="M218">
        <f>HYPERLINK("https://www.google.com/maps/search/?api=1&amp;query=-12.317467,-76.82284","Punta Hermosa, Lima")</f>
      </c>
      <c r="N218">
        <v>12.6</v>
      </c>
      <c r="O218">
        <v>100</v>
      </c>
      <c r="P218">
        <v>719029.9</v>
      </c>
      <c r="Q218" t="str">
        <v>115.97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BXQ-847</v>
      </c>
      <c r="D219" t="str">
        <v>BXQ-847</v>
      </c>
      <c r="E219" t="str">
        <v/>
      </c>
      <c r="F219" t="str">
        <v>867162029843950</v>
      </c>
      <c r="G219" t="str">
        <v>TBD</v>
      </c>
      <c r="H219" t="str">
        <v/>
      </c>
      <c r="I219" t="str">
        <v>27/09/2026</v>
      </c>
      <c r="J219" t="str">
        <v>08:46:57</v>
      </c>
      <c r="K219">
        <v>-12.31807</v>
      </c>
      <c r="L219">
        <v>-76.823</v>
      </c>
      <c r="M219">
        <f>HYPERLINK("https://www.google.com/maps/search/?api=1&amp;query=-12.31807,-76.823","Punta Hermosa, Lima")</f>
      </c>
      <c r="N219">
        <v>14</v>
      </c>
      <c r="O219">
        <v>100</v>
      </c>
      <c r="P219">
        <v>719029.9</v>
      </c>
      <c r="Q219" t="str">
        <v>115.97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BXQ-847</v>
      </c>
      <c r="D220" t="str">
        <v>BXQ-847</v>
      </c>
      <c r="E220" t="str">
        <v/>
      </c>
      <c r="F220" t="str">
        <v>867162029843950</v>
      </c>
      <c r="G220" t="str">
        <v>TBD</v>
      </c>
      <c r="H220" t="str">
        <v/>
      </c>
      <c r="I220" t="str">
        <v>27/09/2026</v>
      </c>
      <c r="J220" t="str">
        <v>08:47:15</v>
      </c>
      <c r="K220">
        <v>-12.318378</v>
      </c>
      <c r="L220">
        <v>-76.823456</v>
      </c>
      <c r="M220">
        <f>HYPERLINK("https://www.google.com/maps/search/?api=1&amp;query=-12.318378,-76.823456","Punta Hermosa, Lima")</f>
      </c>
      <c r="N220">
        <v>14.9</v>
      </c>
      <c r="O220">
        <v>100</v>
      </c>
      <c r="P220">
        <v>719030</v>
      </c>
      <c r="Q220" t="str">
        <v>115.97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BXQ-847</v>
      </c>
      <c r="D221" t="str">
        <v>BXQ-847</v>
      </c>
      <c r="E221" t="str">
        <v/>
      </c>
      <c r="F221" t="str">
        <v>867162029843950</v>
      </c>
      <c r="G221" t="str">
        <v>TBD</v>
      </c>
      <c r="H221" t="str">
        <v/>
      </c>
      <c r="I221" t="str">
        <v>27/09/2026</v>
      </c>
      <c r="J221" t="str">
        <v>08:47:21</v>
      </c>
      <c r="K221">
        <v>-12.318492</v>
      </c>
      <c r="L221">
        <v>-76.82375</v>
      </c>
      <c r="M221">
        <f>HYPERLINK("https://www.google.com/maps/search/?api=1&amp;query=-12.318492,-76.82375","Punta Hermosa, Lima")</f>
      </c>
      <c r="N221">
        <v>13.1</v>
      </c>
      <c r="O221">
        <v>100</v>
      </c>
      <c r="P221">
        <v>719030</v>
      </c>
      <c r="Q221" t="str">
        <v>115.97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BXQ-847</v>
      </c>
      <c r="D222" t="str">
        <v>BXQ-847</v>
      </c>
      <c r="E222" t="str">
        <v/>
      </c>
      <c r="F222" t="str">
        <v>867162029843950</v>
      </c>
      <c r="G222" t="str">
        <v>TBD</v>
      </c>
      <c r="H222" t="str">
        <v/>
      </c>
      <c r="I222" t="str">
        <v>27/09/2026</v>
      </c>
      <c r="J222" t="str">
        <v>08:47:27</v>
      </c>
      <c r="K222">
        <v>-12.318391</v>
      </c>
      <c r="L222">
        <v>-76.82388</v>
      </c>
      <c r="M222">
        <f>HYPERLINK("https://www.google.com/maps/search/?api=1&amp;query=-12.318391,-76.82388","Punta Hermosa, Lima")</f>
      </c>
      <c r="N222">
        <v>10.6</v>
      </c>
      <c r="O222">
        <v>100</v>
      </c>
      <c r="P222">
        <v>719030</v>
      </c>
      <c r="Q222" t="str">
        <v>115.97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BXQ-847</v>
      </c>
      <c r="D223" t="str">
        <v>BXQ-847</v>
      </c>
      <c r="E223" t="str">
        <v/>
      </c>
      <c r="F223" t="str">
        <v>867162029843950</v>
      </c>
      <c r="G223" t="str">
        <v>TBD</v>
      </c>
      <c r="H223" t="str">
        <v/>
      </c>
      <c r="I223" t="str">
        <v>27/09/2026</v>
      </c>
      <c r="J223" t="str">
        <v>08:48:03</v>
      </c>
      <c r="K223">
        <v>-12.317616</v>
      </c>
      <c r="L223">
        <v>-76.824425</v>
      </c>
      <c r="M223">
        <f>HYPERLINK("https://www.google.com/maps/search/?api=1&amp;query=-12.317616,-76.824425","Punta Hermosa, Lima")</f>
      </c>
      <c r="N223">
        <v>8</v>
      </c>
      <c r="O223">
        <v>100</v>
      </c>
      <c r="P223">
        <v>719030.2</v>
      </c>
      <c r="Q223" t="str">
        <v>115.97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BXQ-847</v>
      </c>
      <c r="D224" t="str">
        <v>BXQ-847</v>
      </c>
      <c r="E224" t="str">
        <v/>
      </c>
      <c r="F224" t="str">
        <v>867162029843950</v>
      </c>
      <c r="G224" t="str">
        <v>TBD</v>
      </c>
      <c r="H224" t="str">
        <v/>
      </c>
      <c r="I224" t="str">
        <v>27/09/2026</v>
      </c>
      <c r="J224" t="str">
        <v>08:48:06</v>
      </c>
      <c r="K224">
        <v>-12.317653</v>
      </c>
      <c r="L224">
        <v>-76.824455</v>
      </c>
      <c r="M224">
        <f>HYPERLINK("https://www.google.com/maps/search/?api=1&amp;query=-12.317653,-76.824455","Punta Hermosa, Lima")</f>
      </c>
      <c r="N224">
        <v>5.3</v>
      </c>
      <c r="O224">
        <v>100</v>
      </c>
      <c r="P224">
        <v>719030.2</v>
      </c>
      <c r="Q224" t="str">
        <v>115.97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BXQ-847</v>
      </c>
      <c r="D225" t="str">
        <v>BXQ-847</v>
      </c>
      <c r="E225" t="str">
        <v/>
      </c>
      <c r="F225" t="str">
        <v>867162029843950</v>
      </c>
      <c r="G225" t="str">
        <v>TBD</v>
      </c>
      <c r="H225" t="str">
        <v/>
      </c>
      <c r="I225" t="str">
        <v>27/09/2026</v>
      </c>
      <c r="J225" t="str">
        <v>08:48:15</v>
      </c>
      <c r="K225">
        <v>-12.317643</v>
      </c>
      <c r="L225">
        <v>-76.82444</v>
      </c>
      <c r="M225">
        <f>HYPERLINK("https://www.google.com/maps/search/?api=1&amp;query=-12.317643,-76.82444","Punta Hermosa, Lima")</f>
      </c>
      <c r="N225">
        <v>4.2</v>
      </c>
      <c r="O225">
        <v>100</v>
      </c>
      <c r="P225">
        <v>719030.2</v>
      </c>
      <c r="Q225" t="str">
        <v>115.97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BXQ-847</v>
      </c>
      <c r="D226" t="str">
        <v>BXQ-847</v>
      </c>
      <c r="E226" t="str">
        <v/>
      </c>
      <c r="F226" t="str">
        <v>867162029843950</v>
      </c>
      <c r="G226" t="str">
        <v>TBD</v>
      </c>
      <c r="H226" t="str">
        <v/>
      </c>
      <c r="I226" t="str">
        <v>27/09/2026</v>
      </c>
      <c r="J226" t="str">
        <v>08:48:30</v>
      </c>
      <c r="K226">
        <v>-12.317612</v>
      </c>
      <c r="L226">
        <v>-76.824326</v>
      </c>
      <c r="M226">
        <f>HYPERLINK("https://www.google.com/maps/search/?api=1&amp;query=-12.317612,-76.824326","Punta Hermosa, Lima")</f>
      </c>
      <c r="N226">
        <v>0</v>
      </c>
      <c r="O226">
        <v>100</v>
      </c>
      <c r="P226">
        <v>719030.2</v>
      </c>
      <c r="Q226" t="str">
        <v>116.03</v>
      </c>
      <c r="R226" t="str">
        <v>Vehículo apagado</v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BXQ-847</v>
      </c>
      <c r="D227" t="str">
        <v>BXQ-847</v>
      </c>
      <c r="E227" t="str">
        <v/>
      </c>
      <c r="F227" t="str">
        <v>867162029843950</v>
      </c>
      <c r="G227" t="str">
        <v>TBD</v>
      </c>
      <c r="H227" t="str">
        <v/>
      </c>
      <c r="I227" t="str">
        <v>27/09/2026</v>
      </c>
      <c r="J227" t="str">
        <v>08:48:32</v>
      </c>
      <c r="K227">
        <v>-12.317612</v>
      </c>
      <c r="L227">
        <v>-76.824326</v>
      </c>
      <c r="M227">
        <f>HYPERLINK("https://www.google.com/maps/search/?api=1&amp;query=-12.317612,-76.824326","Punta Hermosa, Lima")</f>
      </c>
      <c r="N227">
        <v>0</v>
      </c>
      <c r="O227">
        <v>100</v>
      </c>
      <c r="P227">
        <v>719030.2</v>
      </c>
      <c r="Q227" t="str">
        <v>115.97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BXQ-847</v>
      </c>
      <c r="D228" t="str">
        <v>BXQ-847</v>
      </c>
      <c r="E228" t="str">
        <v/>
      </c>
      <c r="F228" t="str">
        <v>867162029843950</v>
      </c>
      <c r="G228" t="str">
        <v>TBD</v>
      </c>
      <c r="H228" t="str">
        <v/>
      </c>
      <c r="I228" t="str">
        <v>27/09/2026</v>
      </c>
      <c r="J228" t="str">
        <v>08:49:54</v>
      </c>
      <c r="K228">
        <v>-12.317612</v>
      </c>
      <c r="L228">
        <v>-76.824326</v>
      </c>
      <c r="M228">
        <f>HYPERLINK("https://www.google.com/maps/search/?api=1&amp;query=-12.317612,-76.824326","Punta Hermosa, Lima")</f>
      </c>
      <c r="N228">
        <v>0</v>
      </c>
      <c r="O228">
        <v>100</v>
      </c>
      <c r="P228">
        <v>719030.2</v>
      </c>
      <c r="Q228" t="str">
        <v>116.03</v>
      </c>
      <c r="R228" t="str">
        <v>Vehículo encendido</v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BXQ-847</v>
      </c>
      <c r="D229" t="str">
        <v>BXQ-847</v>
      </c>
      <c r="E229" t="str">
        <v/>
      </c>
      <c r="F229" t="str">
        <v>867162029843950</v>
      </c>
      <c r="G229" t="str">
        <v>TBD</v>
      </c>
      <c r="H229" t="str">
        <v/>
      </c>
      <c r="I229" t="str">
        <v>27/09/2026</v>
      </c>
      <c r="J229" t="str">
        <v>08:50:00</v>
      </c>
      <c r="K229">
        <v>-12.317603</v>
      </c>
      <c r="L229">
        <v>-76.82431</v>
      </c>
      <c r="M229">
        <f>HYPERLINK("https://www.google.com/maps/search/?api=1&amp;query=-12.317603,-76.82431","Punta Hermosa, Lima")</f>
      </c>
      <c r="N229">
        <v>0.4</v>
      </c>
      <c r="O229">
        <v>100</v>
      </c>
      <c r="P229">
        <v>719030.2</v>
      </c>
      <c r="Q229" t="str">
        <v>116.03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BXQ-847</v>
      </c>
      <c r="D230" t="str">
        <v>BXQ-847</v>
      </c>
      <c r="E230" t="str">
        <v/>
      </c>
      <c r="F230" t="str">
        <v>867162029843950</v>
      </c>
      <c r="G230" t="str">
        <v>TBD</v>
      </c>
      <c r="H230" t="str">
        <v/>
      </c>
      <c r="I230" t="str">
        <v>27/09/2026</v>
      </c>
      <c r="J230" t="str">
        <v>08:50:55</v>
      </c>
      <c r="K230">
        <v>-12.317608</v>
      </c>
      <c r="L230">
        <v>-76.824326</v>
      </c>
      <c r="M230">
        <f>HYPERLINK("https://www.google.com/maps/search/?api=1&amp;query=-12.317608,-76.824326","Punta Hermosa, Lima")</f>
      </c>
      <c r="N230">
        <v>0</v>
      </c>
      <c r="O230">
        <v>100</v>
      </c>
      <c r="P230">
        <v>719030.2</v>
      </c>
      <c r="Q230" t="str">
        <v>116.03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BXQ-847</v>
      </c>
      <c r="D231" t="str">
        <v>BXQ-847</v>
      </c>
      <c r="E231" t="str">
        <v/>
      </c>
      <c r="F231" t="str">
        <v>867162029843950</v>
      </c>
      <c r="G231" t="str">
        <v>TBD</v>
      </c>
      <c r="H231" t="str">
        <v/>
      </c>
      <c r="I231" t="str">
        <v>27/09/2026</v>
      </c>
      <c r="J231" t="str">
        <v>08:51:55</v>
      </c>
      <c r="K231">
        <v>-12.317608</v>
      </c>
      <c r="L231">
        <v>-76.824326</v>
      </c>
      <c r="M231">
        <f>HYPERLINK("https://www.google.com/maps/search/?api=1&amp;query=-12.317608,-76.824326","Punta Hermosa, Lima")</f>
      </c>
      <c r="N231">
        <v>0</v>
      </c>
      <c r="O231">
        <v>100</v>
      </c>
      <c r="P231">
        <v>719030.2</v>
      </c>
      <c r="Q231" t="str">
        <v>116.03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BXQ-847</v>
      </c>
      <c r="D232" t="str">
        <v>BXQ-847</v>
      </c>
      <c r="E232" t="str">
        <v/>
      </c>
      <c r="F232" t="str">
        <v>867162029843950</v>
      </c>
      <c r="G232" t="str">
        <v>TBD</v>
      </c>
      <c r="H232" t="str">
        <v/>
      </c>
      <c r="I232" t="str">
        <v>27/09/2026</v>
      </c>
      <c r="J232" t="str">
        <v>08:52:36</v>
      </c>
      <c r="K232">
        <v>-12.317608</v>
      </c>
      <c r="L232">
        <v>-76.824326</v>
      </c>
      <c r="M232">
        <f>HYPERLINK("https://www.google.com/maps/search/?api=1&amp;query=-12.317608,-76.824326","Punta Hermosa, Lima")</f>
      </c>
      <c r="N232">
        <v>0</v>
      </c>
      <c r="O232">
        <v>100</v>
      </c>
      <c r="P232">
        <v>719030.2</v>
      </c>
      <c r="Q232" t="str">
        <v>116.08</v>
      </c>
      <c r="R232" t="str">
        <v>Vehículo apagado</v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BXQ-847</v>
      </c>
      <c r="D233" t="str">
        <v>BXQ-847</v>
      </c>
      <c r="E233" t="str">
        <v/>
      </c>
      <c r="F233" t="str">
        <v>867162029843950</v>
      </c>
      <c r="G233" t="str">
        <v>TBD</v>
      </c>
      <c r="H233" t="str">
        <v/>
      </c>
      <c r="I233" t="str">
        <v>27/09/2026</v>
      </c>
      <c r="J233" t="str">
        <v>08:52:38</v>
      </c>
      <c r="K233">
        <v>-12.317608</v>
      </c>
      <c r="L233">
        <v>-76.824326</v>
      </c>
      <c r="M233">
        <f>HYPERLINK("https://www.google.com/maps/search/?api=1&amp;query=-12.317608,-76.824326","Punta Hermosa, Lima")</f>
      </c>
      <c r="N233">
        <v>0</v>
      </c>
      <c r="O233">
        <v>100</v>
      </c>
      <c r="P233">
        <v>719030.2</v>
      </c>
      <c r="Q233" t="str">
        <v>116.03</v>
      </c>
      <c r="R233" t="str">
        <v>Vehículo encendido</v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BXQ-847</v>
      </c>
      <c r="D234" t="str">
        <v>BXQ-847</v>
      </c>
      <c r="E234" t="str">
        <v/>
      </c>
      <c r="F234" t="str">
        <v>867162029843950</v>
      </c>
      <c r="G234" t="str">
        <v>TBD</v>
      </c>
      <c r="H234" t="str">
        <v/>
      </c>
      <c r="I234" t="str">
        <v>27/09/2026</v>
      </c>
      <c r="J234" t="str">
        <v>08:52:39</v>
      </c>
      <c r="K234">
        <v>-12.317608</v>
      </c>
      <c r="L234">
        <v>-76.824326</v>
      </c>
      <c r="M234">
        <f>HYPERLINK("https://www.google.com/maps/search/?api=1&amp;query=-12.317608,-76.824326","Punta Hermosa, Lima")</f>
      </c>
      <c r="N234">
        <v>0</v>
      </c>
      <c r="O234">
        <v>100</v>
      </c>
      <c r="P234">
        <v>719030.2</v>
      </c>
      <c r="Q234" t="str">
        <v>116.03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BXQ-847</v>
      </c>
      <c r="D235" t="str">
        <v>BXQ-847</v>
      </c>
      <c r="E235" t="str">
        <v/>
      </c>
      <c r="F235" t="str">
        <v>867162029843950</v>
      </c>
      <c r="G235" t="str">
        <v>TBD</v>
      </c>
      <c r="H235" t="str">
        <v/>
      </c>
      <c r="I235" t="str">
        <v>27/09/2026</v>
      </c>
      <c r="J235" t="str">
        <v>08:52:42</v>
      </c>
      <c r="K235">
        <v>-12.317608</v>
      </c>
      <c r="L235">
        <v>-76.824326</v>
      </c>
      <c r="M235">
        <f>HYPERLINK("https://www.google.com/maps/search/?api=1&amp;query=-12.317608,-76.824326","Punta Hermosa, Lima")</f>
      </c>
      <c r="N235">
        <v>0</v>
      </c>
      <c r="O235">
        <v>100</v>
      </c>
      <c r="P235">
        <v>719030.2</v>
      </c>
      <c r="Q235" t="str">
        <v>116.03</v>
      </c>
      <c r="R235" t="str">
        <v>Vehículo apagado</v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BXQ-847</v>
      </c>
      <c r="D236" t="str">
        <v>BXQ-847</v>
      </c>
      <c r="E236" t="str">
        <v/>
      </c>
      <c r="F236" t="str">
        <v>867162029843950</v>
      </c>
      <c r="G236" t="str">
        <v>TBD</v>
      </c>
      <c r="H236" t="str">
        <v/>
      </c>
      <c r="I236" t="str">
        <v>27/09/2026</v>
      </c>
      <c r="J236" t="str">
        <v>08:52:47</v>
      </c>
      <c r="K236">
        <v>-12.317608</v>
      </c>
      <c r="L236">
        <v>-76.824326</v>
      </c>
      <c r="M236">
        <f>HYPERLINK("https://www.google.com/maps/search/?api=1&amp;query=-12.317608,-76.824326","Punta Hermosa, Lima")</f>
      </c>
      <c r="N236">
        <v>0</v>
      </c>
      <c r="O236">
        <v>100</v>
      </c>
      <c r="P236">
        <v>719030.2</v>
      </c>
      <c r="Q236" t="str">
        <v>116.03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BXQ-847</v>
      </c>
      <c r="D237" t="str">
        <v>BXQ-847</v>
      </c>
      <c r="E237" t="str">
        <v/>
      </c>
      <c r="F237" t="str">
        <v>867162029843950</v>
      </c>
      <c r="G237" t="str">
        <v>TBD</v>
      </c>
      <c r="H237" t="str">
        <v/>
      </c>
      <c r="I237" t="str">
        <v>27/09/2026</v>
      </c>
      <c r="J237" t="str">
        <v>09:22:47</v>
      </c>
      <c r="K237">
        <v>-12.317608</v>
      </c>
      <c r="L237">
        <v>-76.824326</v>
      </c>
      <c r="M237">
        <f>HYPERLINK("https://www.google.com/maps/search/?api=1&amp;query=-12.317608,-76.824326","Punta Hermosa, Lima")</f>
      </c>
      <c r="N237">
        <v>0</v>
      </c>
      <c r="O237">
        <v>100</v>
      </c>
      <c r="P237">
        <v>719030.2</v>
      </c>
      <c r="Q237" t="str">
        <v>116.03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BXQ-847</v>
      </c>
      <c r="D238" t="str">
        <v>BXQ-847</v>
      </c>
      <c r="E238" t="str">
        <v/>
      </c>
      <c r="F238" t="str">
        <v>867162029843950</v>
      </c>
      <c r="G238" t="str">
        <v>TBD</v>
      </c>
      <c r="H238" t="str">
        <v/>
      </c>
      <c r="I238" t="str">
        <v>27/09/2026</v>
      </c>
      <c r="J238" t="str">
        <v>09:52:49</v>
      </c>
      <c r="K238">
        <v>-12.317608</v>
      </c>
      <c r="L238">
        <v>-76.824326</v>
      </c>
      <c r="M238">
        <f>HYPERLINK("https://www.google.com/maps/search/?api=1&amp;query=-12.317608,-76.824326","Punta Hermosa, Lima")</f>
      </c>
      <c r="N238">
        <v>0</v>
      </c>
      <c r="O238">
        <v>100</v>
      </c>
      <c r="P238">
        <v>719030.2</v>
      </c>
      <c r="Q238" t="str">
        <v>116.03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BXQ-847</v>
      </c>
      <c r="D239" t="str">
        <v>BXQ-847</v>
      </c>
      <c r="E239" t="str">
        <v/>
      </c>
      <c r="F239" t="str">
        <v>867162029843950</v>
      </c>
      <c r="G239" t="str">
        <v>TBD</v>
      </c>
      <c r="H239" t="str">
        <v/>
      </c>
      <c r="I239" t="str">
        <v>27/09/2026</v>
      </c>
      <c r="J239" t="str">
        <v>10:22:49</v>
      </c>
      <c r="K239">
        <v>-12.317608</v>
      </c>
      <c r="L239">
        <v>-76.824326</v>
      </c>
      <c r="M239">
        <f>HYPERLINK("https://www.google.com/maps/search/?api=1&amp;query=-12.317608,-76.824326","Punta Hermosa, Lima")</f>
      </c>
      <c r="N239">
        <v>0</v>
      </c>
      <c r="O239">
        <v>100</v>
      </c>
      <c r="P239">
        <v>719030.2</v>
      </c>
      <c r="Q239" t="str">
        <v>116.03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BXQ-847</v>
      </c>
      <c r="D240" t="str">
        <v>BXQ-847</v>
      </c>
      <c r="E240" t="str">
        <v/>
      </c>
      <c r="F240" t="str">
        <v>867162029843950</v>
      </c>
      <c r="G240" t="str">
        <v>TBD</v>
      </c>
      <c r="H240" t="str">
        <v/>
      </c>
      <c r="I240" t="str">
        <v>27/09/2026</v>
      </c>
      <c r="J240" t="str">
        <v>10:52:51</v>
      </c>
      <c r="K240">
        <v>-12.317608</v>
      </c>
      <c r="L240">
        <v>-76.824326</v>
      </c>
      <c r="M240">
        <f>HYPERLINK("https://www.google.com/maps/search/?api=1&amp;query=-12.317608,-76.824326","Punta Hermosa, Lima")</f>
      </c>
      <c r="N240">
        <v>0</v>
      </c>
      <c r="O240">
        <v>100</v>
      </c>
      <c r="P240">
        <v>719030.2</v>
      </c>
      <c r="Q240" t="str">
        <v>116.03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BXQ-847</v>
      </c>
      <c r="D241" t="str">
        <v>BXQ-847</v>
      </c>
      <c r="E241" t="str">
        <v/>
      </c>
      <c r="F241" t="str">
        <v>867162029843950</v>
      </c>
      <c r="G241" t="str">
        <v>TBD</v>
      </c>
      <c r="H241" t="str">
        <v/>
      </c>
      <c r="I241" t="str">
        <v>27/09/2026</v>
      </c>
      <c r="J241" t="str">
        <v>11:22:54</v>
      </c>
      <c r="K241">
        <v>-12.317608</v>
      </c>
      <c r="L241">
        <v>-76.824326</v>
      </c>
      <c r="M241">
        <f>HYPERLINK("https://www.google.com/maps/search/?api=1&amp;query=-12.317608,-76.824326","Punta Hermosa, Lima")</f>
      </c>
      <c r="N241">
        <v>0</v>
      </c>
      <c r="O241">
        <v>100</v>
      </c>
      <c r="P241">
        <v>719030.2</v>
      </c>
      <c r="Q241" t="str">
        <v>116.03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BXQ-847</v>
      </c>
      <c r="D242" t="str">
        <v>BXQ-847</v>
      </c>
      <c r="E242" t="str">
        <v/>
      </c>
      <c r="F242" t="str">
        <v>867162029843950</v>
      </c>
      <c r="G242" t="str">
        <v>TBD</v>
      </c>
      <c r="H242" t="str">
        <v/>
      </c>
      <c r="I242" t="str">
        <v>27/09/2026</v>
      </c>
      <c r="J242" t="str">
        <v>11:52:55</v>
      </c>
      <c r="K242">
        <v>-12.317608</v>
      </c>
      <c r="L242">
        <v>-76.824326</v>
      </c>
      <c r="M242">
        <f>HYPERLINK("https://www.google.com/maps/search/?api=1&amp;query=-12.317608,-76.824326","Punta Hermosa, Lima")</f>
      </c>
      <c r="N242">
        <v>0</v>
      </c>
      <c r="O242">
        <v>100</v>
      </c>
      <c r="P242">
        <v>719030.2</v>
      </c>
      <c r="Q242" t="str">
        <v>116.03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BXQ-847</v>
      </c>
      <c r="D243" t="str">
        <v>BXQ-847</v>
      </c>
      <c r="E243" t="str">
        <v/>
      </c>
      <c r="F243" t="str">
        <v>867162029843950</v>
      </c>
      <c r="G243" t="str">
        <v>TBD</v>
      </c>
      <c r="H243" t="str">
        <v/>
      </c>
      <c r="I243" t="str">
        <v>27/09/2026</v>
      </c>
      <c r="J243" t="str">
        <v>11:55:14</v>
      </c>
      <c r="K243">
        <v>-12.317608</v>
      </c>
      <c r="L243">
        <v>-76.824326</v>
      </c>
      <c r="M243">
        <f>HYPERLINK("https://www.google.com/maps/search/?api=1&amp;query=-12.317608,-76.824326","Punta Hermosa, Lima")</f>
      </c>
      <c r="N243">
        <v>0</v>
      </c>
      <c r="O243">
        <v>100</v>
      </c>
      <c r="P243">
        <v>719030.2</v>
      </c>
      <c r="Q243" t="str">
        <v>116.03</v>
      </c>
      <c r="R243" t="str">
        <v>Vehículo encendido</v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BXQ-847</v>
      </c>
      <c r="D244" t="str">
        <v>BXQ-847</v>
      </c>
      <c r="E244" t="str">
        <v/>
      </c>
      <c r="F244" t="str">
        <v>867162029843950</v>
      </c>
      <c r="G244" t="str">
        <v>TBD</v>
      </c>
      <c r="H244" t="str">
        <v/>
      </c>
      <c r="I244" t="str">
        <v>27/09/2026</v>
      </c>
      <c r="J244" t="str">
        <v>11:55:20</v>
      </c>
      <c r="K244">
        <v>-12.3177</v>
      </c>
      <c r="L244">
        <v>-76.8244</v>
      </c>
      <c r="M244">
        <f>HYPERLINK("https://www.google.com/maps/search/?api=1&amp;query=-12.3177,-76.8244","Punta Hermosa, Lima")</f>
      </c>
      <c r="N244">
        <v>1.2</v>
      </c>
      <c r="O244">
        <v>100</v>
      </c>
      <c r="P244">
        <v>719030.2</v>
      </c>
      <c r="Q244" t="str">
        <v>116.03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BXQ-847</v>
      </c>
      <c r="D245" t="str">
        <v>BXQ-847</v>
      </c>
      <c r="E245" t="str">
        <v/>
      </c>
      <c r="F245" t="str">
        <v>867162029843950</v>
      </c>
      <c r="G245" t="str">
        <v>TBD</v>
      </c>
      <c r="H245" t="str">
        <v/>
      </c>
      <c r="I245" t="str">
        <v>27/09/2026</v>
      </c>
      <c r="J245" t="str">
        <v>11:55:59</v>
      </c>
      <c r="K245">
        <v>-12.317577</v>
      </c>
      <c r="L245">
        <v>-76.82448</v>
      </c>
      <c r="M245">
        <f>HYPERLINK("https://www.google.com/maps/search/?api=1&amp;query=-12.317577,-76.82448","Punta Hermosa, Lima")</f>
      </c>
      <c r="N245">
        <v>7.1</v>
      </c>
      <c r="O245">
        <v>100</v>
      </c>
      <c r="P245">
        <v>719030.2</v>
      </c>
      <c r="Q245" t="str">
        <v>116.03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BXQ-847</v>
      </c>
      <c r="D246" t="str">
        <v>BXQ-847</v>
      </c>
      <c r="E246" t="str">
        <v/>
      </c>
      <c r="F246" t="str">
        <v>867162029843950</v>
      </c>
      <c r="G246" t="str">
        <v>TBD</v>
      </c>
      <c r="H246" t="str">
        <v/>
      </c>
      <c r="I246" t="str">
        <v>27/09/2026</v>
      </c>
      <c r="J246" t="str">
        <v>11:56:02</v>
      </c>
      <c r="K246">
        <v>-12.317604</v>
      </c>
      <c r="L246">
        <v>-76.82454</v>
      </c>
      <c r="M246">
        <f>HYPERLINK("https://www.google.com/maps/search/?api=1&amp;query=-12.317604,-76.82454","Punta Hermosa, Lima")</f>
      </c>
      <c r="N246">
        <v>8</v>
      </c>
      <c r="O246">
        <v>100</v>
      </c>
      <c r="P246">
        <v>719030.2</v>
      </c>
      <c r="Q246" t="str">
        <v>116.03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BXQ-847</v>
      </c>
      <c r="D247" t="str">
        <v>BXQ-847</v>
      </c>
      <c r="E247" t="str">
        <v/>
      </c>
      <c r="F247" t="str">
        <v>867162029843950</v>
      </c>
      <c r="G247" t="str">
        <v>TBD</v>
      </c>
      <c r="H247" t="str">
        <v/>
      </c>
      <c r="I247" t="str">
        <v>27/09/2026</v>
      </c>
      <c r="J247" t="str">
        <v>11:56:05</v>
      </c>
      <c r="K247">
        <v>-12.317597</v>
      </c>
      <c r="L247">
        <v>-76.82453</v>
      </c>
      <c r="M247">
        <f>HYPERLINK("https://www.google.com/maps/search/?api=1&amp;query=-12.317597,-76.82453","Punta Hermosa, Lima")</f>
      </c>
      <c r="N247">
        <v>4.7</v>
      </c>
      <c r="O247">
        <v>100</v>
      </c>
      <c r="P247">
        <v>719030.2</v>
      </c>
      <c r="Q247" t="str">
        <v>116.03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BXQ-847</v>
      </c>
      <c r="D248" t="str">
        <v>BXQ-847</v>
      </c>
      <c r="E248" t="str">
        <v/>
      </c>
      <c r="F248" t="str">
        <v>867162029843950</v>
      </c>
      <c r="G248" t="str">
        <v>TBD</v>
      </c>
      <c r="H248" t="str">
        <v/>
      </c>
      <c r="I248" t="str">
        <v>27/09/2026</v>
      </c>
      <c r="J248" t="str">
        <v>11:56:15</v>
      </c>
      <c r="K248">
        <v>-12.317558</v>
      </c>
      <c r="L248">
        <v>-76.82448</v>
      </c>
      <c r="M248">
        <f>HYPERLINK("https://www.google.com/maps/search/?api=1&amp;query=-12.317558,-76.82448","Punta Hermosa, Lima")</f>
      </c>
      <c r="N248">
        <v>4.3</v>
      </c>
      <c r="O248">
        <v>100</v>
      </c>
      <c r="P248">
        <v>719030.2</v>
      </c>
      <c r="Q248" t="str">
        <v>116.03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BXQ-847</v>
      </c>
      <c r="D249" t="str">
        <v>BXQ-847</v>
      </c>
      <c r="E249" t="str">
        <v/>
      </c>
      <c r="F249" t="str">
        <v>867162029843950</v>
      </c>
      <c r="G249" t="str">
        <v>TBD</v>
      </c>
      <c r="H249" t="str">
        <v/>
      </c>
      <c r="I249" t="str">
        <v>27/09/2026</v>
      </c>
      <c r="J249" t="str">
        <v>11:57:15</v>
      </c>
      <c r="K249">
        <v>-12.317505</v>
      </c>
      <c r="L249">
        <v>-76.8244</v>
      </c>
      <c r="M249">
        <f>HYPERLINK("https://www.google.com/maps/search/?api=1&amp;query=-12.317505,-76.8244","Punta Hermosa, Lima")</f>
      </c>
      <c r="N249">
        <v>0</v>
      </c>
      <c r="O249">
        <v>100</v>
      </c>
      <c r="P249">
        <v>719030.2</v>
      </c>
      <c r="Q249" t="str">
        <v>116.03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BXQ-847</v>
      </c>
      <c r="D250" t="str">
        <v>BXQ-847</v>
      </c>
      <c r="E250" t="str">
        <v/>
      </c>
      <c r="F250" t="str">
        <v>867162029843950</v>
      </c>
      <c r="G250" t="str">
        <v>TBD</v>
      </c>
      <c r="H250" t="str">
        <v/>
      </c>
      <c r="I250" t="str">
        <v>27/09/2026</v>
      </c>
      <c r="J250" t="str">
        <v>11:58:14</v>
      </c>
      <c r="K250">
        <v>-12.317505</v>
      </c>
      <c r="L250">
        <v>-76.8244</v>
      </c>
      <c r="M250">
        <f>HYPERLINK("https://www.google.com/maps/search/?api=1&amp;query=-12.317505,-76.8244","Punta Hermosa, Lima")</f>
      </c>
      <c r="N250">
        <v>0</v>
      </c>
      <c r="O250">
        <v>100</v>
      </c>
      <c r="P250">
        <v>719030.2</v>
      </c>
      <c r="Q250" t="str">
        <v>116.08</v>
      </c>
      <c r="R250" t="str">
        <v>Vehículo apagado</v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BXQ-847</v>
      </c>
      <c r="D251" t="str">
        <v>BXQ-847</v>
      </c>
      <c r="E251" t="str">
        <v/>
      </c>
      <c r="F251" t="str">
        <v>867162029843950</v>
      </c>
      <c r="G251" t="str">
        <v>TBD</v>
      </c>
      <c r="H251" t="str">
        <v/>
      </c>
      <c r="I251" t="str">
        <v>27/09/2026</v>
      </c>
      <c r="J251" t="str">
        <v>11:58:16</v>
      </c>
      <c r="K251">
        <v>-12.317505</v>
      </c>
      <c r="L251">
        <v>-76.8244</v>
      </c>
      <c r="M251">
        <f>HYPERLINK("https://www.google.com/maps/search/?api=1&amp;query=-12.317505,-76.8244","Punta Hermosa, Lima")</f>
      </c>
      <c r="N251">
        <v>0</v>
      </c>
      <c r="O251">
        <v>100</v>
      </c>
      <c r="P251">
        <v>719030.2</v>
      </c>
      <c r="Q251" t="str">
        <v>116.08</v>
      </c>
      <c r="R251" t="str">
        <v>Vehículo encendido</v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BXQ-847</v>
      </c>
      <c r="D252" t="str">
        <v>BXQ-847</v>
      </c>
      <c r="E252" t="str">
        <v/>
      </c>
      <c r="F252" t="str">
        <v>867162029843950</v>
      </c>
      <c r="G252" t="str">
        <v>TBD</v>
      </c>
      <c r="H252" t="str">
        <v/>
      </c>
      <c r="I252" t="str">
        <v>27/09/2026</v>
      </c>
      <c r="J252" t="str">
        <v>11:58:17</v>
      </c>
      <c r="K252">
        <v>-12.317505</v>
      </c>
      <c r="L252">
        <v>-76.8244</v>
      </c>
      <c r="M252">
        <f>HYPERLINK("https://www.google.com/maps/search/?api=1&amp;query=-12.317505,-76.8244","Punta Hermosa, Lima")</f>
      </c>
      <c r="N252">
        <v>0</v>
      </c>
      <c r="O252">
        <v>100</v>
      </c>
      <c r="P252">
        <v>719030.2</v>
      </c>
      <c r="Q252" t="str">
        <v>116.03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BXQ-847</v>
      </c>
      <c r="D253" t="str">
        <v>BXQ-847</v>
      </c>
      <c r="E253" t="str">
        <v/>
      </c>
      <c r="F253" t="str">
        <v>867162029843950</v>
      </c>
      <c r="G253" t="str">
        <v>TBD</v>
      </c>
      <c r="H253" t="str">
        <v/>
      </c>
      <c r="I253" t="str">
        <v>27/09/2026</v>
      </c>
      <c r="J253" t="str">
        <v>11:58:20</v>
      </c>
      <c r="K253">
        <v>-12.317505</v>
      </c>
      <c r="L253">
        <v>-76.8244</v>
      </c>
      <c r="M253">
        <f>HYPERLINK("https://www.google.com/maps/search/?api=1&amp;query=-12.317505,-76.8244","Punta Hermosa, Lima")</f>
      </c>
      <c r="N253">
        <v>0</v>
      </c>
      <c r="O253">
        <v>100</v>
      </c>
      <c r="P253">
        <v>719030.2</v>
      </c>
      <c r="Q253" t="str">
        <v>116.08</v>
      </c>
      <c r="R253" t="str">
        <v>Vehículo apagado</v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BXQ-847</v>
      </c>
      <c r="D254" t="str">
        <v>BXQ-847</v>
      </c>
      <c r="E254" t="str">
        <v/>
      </c>
      <c r="F254" t="str">
        <v>867162029843950</v>
      </c>
      <c r="G254" t="str">
        <v>TBD</v>
      </c>
      <c r="H254" t="str">
        <v/>
      </c>
      <c r="I254" t="str">
        <v>27/09/2026</v>
      </c>
      <c r="J254" t="str">
        <v>11:58:25</v>
      </c>
      <c r="K254">
        <v>-12.317505</v>
      </c>
      <c r="L254">
        <v>-76.8244</v>
      </c>
      <c r="M254">
        <f>HYPERLINK("https://www.google.com/maps/search/?api=1&amp;query=-12.317505,-76.8244","Punta Hermosa, Lima")</f>
      </c>
      <c r="N254">
        <v>0</v>
      </c>
      <c r="O254">
        <v>100</v>
      </c>
      <c r="P254">
        <v>719030.2</v>
      </c>
      <c r="Q254" t="str">
        <v>116.08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BXQ-847</v>
      </c>
      <c r="D255" t="str">
        <v>BXQ-847</v>
      </c>
      <c r="E255" t="str">
        <v/>
      </c>
      <c r="F255" t="str">
        <v>867162029843950</v>
      </c>
      <c r="G255" t="str">
        <v>TBD</v>
      </c>
      <c r="H255" t="str">
        <v/>
      </c>
      <c r="I255" t="str">
        <v>27/09/2026</v>
      </c>
      <c r="J255" t="str">
        <v>12:24:53</v>
      </c>
      <c r="K255">
        <v>-12.317505</v>
      </c>
      <c r="L255">
        <v>-76.8244</v>
      </c>
      <c r="M255">
        <f>HYPERLINK("https://www.google.com/maps/search/?api=1&amp;query=-12.317505,-76.8244","Punta Hermosa, Lima")</f>
      </c>
      <c r="N255">
        <v>0</v>
      </c>
      <c r="O255">
        <v>100</v>
      </c>
      <c r="P255">
        <v>719030.2</v>
      </c>
      <c r="Q255" t="str">
        <v>116.08</v>
      </c>
      <c r="R255" t="str">
        <v>Vehículo encendido</v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BXQ-847</v>
      </c>
      <c r="D256" t="str">
        <v>BXQ-847</v>
      </c>
      <c r="E256" t="str">
        <v/>
      </c>
      <c r="F256" t="str">
        <v>867162029843950</v>
      </c>
      <c r="G256" t="str">
        <v>TBD</v>
      </c>
      <c r="H256" t="str">
        <v/>
      </c>
      <c r="I256" t="str">
        <v>27/09/2026</v>
      </c>
      <c r="J256" t="str">
        <v>12:24:57</v>
      </c>
      <c r="K256">
        <v>-12.31742</v>
      </c>
      <c r="L256">
        <v>-76.824394</v>
      </c>
      <c r="M256">
        <f>HYPERLINK("https://www.google.com/maps/search/?api=1&amp;query=-12.31742,-76.824394","Punta Hermosa, Lima")</f>
      </c>
      <c r="N256">
        <v>0.2</v>
      </c>
      <c r="O256">
        <v>100</v>
      </c>
      <c r="P256">
        <v>719030.2</v>
      </c>
      <c r="Q256" t="str">
        <v>116.08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BXQ-847</v>
      </c>
      <c r="D257" t="str">
        <v>BXQ-847</v>
      </c>
      <c r="E257" t="str">
        <v/>
      </c>
      <c r="F257" t="str">
        <v>867162029843950</v>
      </c>
      <c r="G257" t="str">
        <v>TBD</v>
      </c>
      <c r="H257" t="str">
        <v/>
      </c>
      <c r="I257" t="str">
        <v>27/09/2026</v>
      </c>
      <c r="J257" t="str">
        <v>12:25:56</v>
      </c>
      <c r="K257">
        <v>-12.317476</v>
      </c>
      <c r="L257">
        <v>-76.82444</v>
      </c>
      <c r="M257">
        <f>HYPERLINK("https://www.google.com/maps/search/?api=1&amp;query=-12.317476,-76.82444","Punta Hermosa, Lima")</f>
      </c>
      <c r="N257">
        <v>0</v>
      </c>
      <c r="O257">
        <v>100</v>
      </c>
      <c r="P257">
        <v>719030.2</v>
      </c>
      <c r="Q257" t="str">
        <v>116.08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BXQ-847</v>
      </c>
      <c r="D258" t="str">
        <v>BXQ-847</v>
      </c>
      <c r="E258" t="str">
        <v/>
      </c>
      <c r="F258" t="str">
        <v>867162029843950</v>
      </c>
      <c r="G258" t="str">
        <v>TBD</v>
      </c>
      <c r="H258" t="str">
        <v/>
      </c>
      <c r="I258" t="str">
        <v>27/09/2026</v>
      </c>
      <c r="J258" t="str">
        <v>12:26:57</v>
      </c>
      <c r="K258">
        <v>-12.317476</v>
      </c>
      <c r="L258">
        <v>-76.82444</v>
      </c>
      <c r="M258">
        <f>HYPERLINK("https://www.google.com/maps/search/?api=1&amp;query=-12.317476,-76.82444","Punta Hermosa, Lima")</f>
      </c>
      <c r="N258">
        <v>0</v>
      </c>
      <c r="O258">
        <v>100</v>
      </c>
      <c r="P258">
        <v>719030.2</v>
      </c>
      <c r="Q258" t="str">
        <v>116.08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BXQ-847</v>
      </c>
      <c r="D259" t="str">
        <v>BXQ-847</v>
      </c>
      <c r="E259" t="str">
        <v/>
      </c>
      <c r="F259" t="str">
        <v>867162029843950</v>
      </c>
      <c r="G259" t="str">
        <v>TBD</v>
      </c>
      <c r="H259" t="str">
        <v/>
      </c>
      <c r="I259" t="str">
        <v>27/09/2026</v>
      </c>
      <c r="J259" t="str">
        <v>12:27:57</v>
      </c>
      <c r="K259">
        <v>-12.317476</v>
      </c>
      <c r="L259">
        <v>-76.82444</v>
      </c>
      <c r="M259">
        <f>HYPERLINK("https://www.google.com/maps/search/?api=1&amp;query=-12.317476,-76.82444","Punta Hermosa, Lima")</f>
      </c>
      <c r="N259">
        <v>0</v>
      </c>
      <c r="O259">
        <v>100</v>
      </c>
      <c r="P259">
        <v>719030.2</v>
      </c>
      <c r="Q259" t="str">
        <v>116.08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BXQ-847</v>
      </c>
      <c r="D260" t="str">
        <v>BXQ-847</v>
      </c>
      <c r="E260" t="str">
        <v/>
      </c>
      <c r="F260" t="str">
        <v>867162029843950</v>
      </c>
      <c r="G260" t="str">
        <v>TBD</v>
      </c>
      <c r="H260" t="str">
        <v/>
      </c>
      <c r="I260" t="str">
        <v>27/09/2026</v>
      </c>
      <c r="J260" t="str">
        <v>12:28:57</v>
      </c>
      <c r="K260">
        <v>-12.317476</v>
      </c>
      <c r="L260">
        <v>-76.82444</v>
      </c>
      <c r="M260">
        <f>HYPERLINK("https://www.google.com/maps/search/?api=1&amp;query=-12.317476,-76.82444","Punta Hermosa, Lima")</f>
      </c>
      <c r="N260">
        <v>0</v>
      </c>
      <c r="O260">
        <v>100</v>
      </c>
      <c r="P260">
        <v>719030.2</v>
      </c>
      <c r="Q260" t="str">
        <v>116.08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BXQ-847</v>
      </c>
      <c r="D261" t="str">
        <v>BXQ-847</v>
      </c>
      <c r="E261" t="str">
        <v/>
      </c>
      <c r="F261" t="str">
        <v>867162029843950</v>
      </c>
      <c r="G261" t="str">
        <v>TBD</v>
      </c>
      <c r="H261" t="str">
        <v/>
      </c>
      <c r="I261" t="str">
        <v>27/09/2026</v>
      </c>
      <c r="J261" t="str">
        <v>12:29:57</v>
      </c>
      <c r="K261">
        <v>-12.317476</v>
      </c>
      <c r="L261">
        <v>-76.82444</v>
      </c>
      <c r="M261">
        <f>HYPERLINK("https://www.google.com/maps/search/?api=1&amp;query=-12.317476,-76.82444","Punta Hermosa, Lima")</f>
      </c>
      <c r="N261">
        <v>0</v>
      </c>
      <c r="O261">
        <v>100</v>
      </c>
      <c r="P261">
        <v>719030.2</v>
      </c>
      <c r="Q261" t="str">
        <v>116.08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BXQ-847</v>
      </c>
      <c r="D262" t="str">
        <v>BXQ-847</v>
      </c>
      <c r="E262" t="str">
        <v/>
      </c>
      <c r="F262" t="str">
        <v>867162029843950</v>
      </c>
      <c r="G262" t="str">
        <v>TBD</v>
      </c>
      <c r="H262" t="str">
        <v/>
      </c>
      <c r="I262" t="str">
        <v>27/09/2026</v>
      </c>
      <c r="J262" t="str">
        <v>12:30:06</v>
      </c>
      <c r="K262">
        <v>-12.317455</v>
      </c>
      <c r="L262">
        <v>-76.82451</v>
      </c>
      <c r="M262">
        <f>HYPERLINK("https://www.google.com/maps/search/?api=1&amp;query=-12.317455,-76.82451","Punta Hermosa, Lima")</f>
      </c>
      <c r="N262">
        <v>8.9</v>
      </c>
      <c r="O262">
        <v>100</v>
      </c>
      <c r="P262">
        <v>719030.2</v>
      </c>
      <c r="Q262" t="str">
        <v>116.08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BXQ-847</v>
      </c>
      <c r="D263" t="str">
        <v>BXQ-847</v>
      </c>
      <c r="E263" t="str">
        <v/>
      </c>
      <c r="F263" t="str">
        <v>867162029843950</v>
      </c>
      <c r="G263" t="str">
        <v>TBD</v>
      </c>
      <c r="H263" t="str">
        <v/>
      </c>
      <c r="I263" t="str">
        <v>27/09/2026</v>
      </c>
      <c r="J263" t="str">
        <v>12:30:57</v>
      </c>
      <c r="K263">
        <v>-12.316529</v>
      </c>
      <c r="L263">
        <v>-76.8251</v>
      </c>
      <c r="M263">
        <f>HYPERLINK("https://www.google.com/maps/search/?api=1&amp;query=-12.316529,-76.8251","Punta Hermosa, Lima")</f>
      </c>
      <c r="N263">
        <v>11.9</v>
      </c>
      <c r="O263">
        <v>100</v>
      </c>
      <c r="P263">
        <v>719030.3</v>
      </c>
      <c r="Q263" t="str">
        <v>116.08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BXQ-847</v>
      </c>
      <c r="D264" t="str">
        <v>BXQ-847</v>
      </c>
      <c r="E264" t="str">
        <v/>
      </c>
      <c r="F264" t="str">
        <v>867162029843950</v>
      </c>
      <c r="G264" t="str">
        <v>TBD</v>
      </c>
      <c r="H264" t="str">
        <v/>
      </c>
      <c r="I264" t="str">
        <v>27/09/2026</v>
      </c>
      <c r="J264" t="str">
        <v>12:31:45</v>
      </c>
      <c r="K264">
        <v>-12.315288</v>
      </c>
      <c r="L264">
        <v>-76.82606</v>
      </c>
      <c r="M264">
        <f>HYPERLINK("https://www.google.com/maps/search/?api=1&amp;query=-12.315288,-76.82606","Punta Hermosa, Lima")</f>
      </c>
      <c r="N264">
        <v>11.9</v>
      </c>
      <c r="O264">
        <v>100</v>
      </c>
      <c r="P264">
        <v>719030.5</v>
      </c>
      <c r="Q264" t="str">
        <v>116.08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BXQ-847</v>
      </c>
      <c r="D265" t="str">
        <v>BXQ-847</v>
      </c>
      <c r="E265" t="str">
        <v/>
      </c>
      <c r="F265" t="str">
        <v>867162029843950</v>
      </c>
      <c r="G265" t="str">
        <v>TBD</v>
      </c>
      <c r="H265" t="str">
        <v/>
      </c>
      <c r="I265" t="str">
        <v>27/09/2026</v>
      </c>
      <c r="J265" t="str">
        <v>12:31:57</v>
      </c>
      <c r="K265">
        <v>-12.315451</v>
      </c>
      <c r="L265">
        <v>-76.82632</v>
      </c>
      <c r="M265">
        <f>HYPERLINK("https://www.google.com/maps/search/?api=1&amp;query=-12.315451,-76.82632","Punta Hermosa, Lima")</f>
      </c>
      <c r="N265">
        <v>12.6</v>
      </c>
      <c r="O265">
        <v>100</v>
      </c>
      <c r="P265">
        <v>719030.5</v>
      </c>
      <c r="Q265" t="str">
        <v>116.08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BXQ-847</v>
      </c>
      <c r="D266" t="str">
        <v>BXQ-847</v>
      </c>
      <c r="E266" t="str">
        <v/>
      </c>
      <c r="F266" t="str">
        <v>867162029843950</v>
      </c>
      <c r="G266" t="str">
        <v>TBD</v>
      </c>
      <c r="H266" t="str">
        <v/>
      </c>
      <c r="I266" t="str">
        <v>27/09/2026</v>
      </c>
      <c r="J266" t="str">
        <v>12:32:57</v>
      </c>
      <c r="K266">
        <v>-12.316456</v>
      </c>
      <c r="L266">
        <v>-76.82799</v>
      </c>
      <c r="M266">
        <f>HYPERLINK("https://www.google.com/maps/search/?api=1&amp;query=-12.316456,-76.82799","Punta Hermosa, Lima")</f>
      </c>
      <c r="N266">
        <v>9.8</v>
      </c>
      <c r="O266">
        <v>100</v>
      </c>
      <c r="P266">
        <v>719030.7</v>
      </c>
      <c r="Q266" t="str">
        <v>116.08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BXQ-847</v>
      </c>
      <c r="D267" t="str">
        <v>BXQ-847</v>
      </c>
      <c r="E267" t="str">
        <v/>
      </c>
      <c r="F267" t="str">
        <v>867162029843950</v>
      </c>
      <c r="G267" t="str">
        <v>TBD</v>
      </c>
      <c r="H267" t="str">
        <v/>
      </c>
      <c r="I267" t="str">
        <v>27/09/2026</v>
      </c>
      <c r="J267" t="str">
        <v>12:33:57</v>
      </c>
      <c r="K267">
        <v>-12.317405</v>
      </c>
      <c r="L267">
        <v>-76.82951</v>
      </c>
      <c r="M267">
        <f>HYPERLINK("https://www.google.com/maps/search/?api=1&amp;query=-12.317405,-76.82951","Punta Hermosa, Lima")</f>
      </c>
      <c r="N267">
        <v>3.1</v>
      </c>
      <c r="O267">
        <v>100</v>
      </c>
      <c r="P267">
        <v>719030.9</v>
      </c>
      <c r="Q267" t="str">
        <v>116.08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BXQ-847</v>
      </c>
      <c r="D268" t="str">
        <v>BXQ-847</v>
      </c>
      <c r="E268" t="str">
        <v/>
      </c>
      <c r="F268" t="str">
        <v>867162029843950</v>
      </c>
      <c r="G268" t="str">
        <v>TBD</v>
      </c>
      <c r="H268" t="str">
        <v/>
      </c>
      <c r="I268" t="str">
        <v>27/09/2026</v>
      </c>
      <c r="J268" t="str">
        <v>12:34:36</v>
      </c>
      <c r="K268">
        <v>-12.317512</v>
      </c>
      <c r="L268">
        <v>-76.83002</v>
      </c>
      <c r="M268">
        <f>HYPERLINK("https://www.google.com/maps/search/?api=1&amp;query=-12.317512,-76.83002","Punta Hermosa, Lima")</f>
      </c>
      <c r="N268">
        <v>23.3</v>
      </c>
      <c r="O268">
        <v>100</v>
      </c>
      <c r="P268">
        <v>719030.9</v>
      </c>
      <c r="Q268" t="str">
        <v>116.10</v>
      </c>
      <c r="R268" t="str">
        <v>Salió de zona</v>
      </c>
      <c r="S268" t="str">
        <v>MASS BSF 1</v>
      </c>
      <c r="T268" t="str">
        <v xml:space="preserve"> </v>
      </c>
      <c r="U268" t="str">
        <v/>
      </c>
    </row>
    <row r="269">
      <c r="A269" t="str">
        <v>268</v>
      </c>
      <c r="B269" t="str">
        <v>MASS BSF</v>
      </c>
      <c r="C269" t="str">
        <v>BXQ-847</v>
      </c>
      <c r="D269" t="str">
        <v>BXQ-847</v>
      </c>
      <c r="E269" t="str">
        <v/>
      </c>
      <c r="F269" t="str">
        <v>867162029843950</v>
      </c>
      <c r="G269" t="str">
        <v>TBD</v>
      </c>
      <c r="H269" t="str">
        <v/>
      </c>
      <c r="I269" t="str">
        <v>27/09/2026</v>
      </c>
      <c r="J269" t="str">
        <v>12:34:36</v>
      </c>
      <c r="K269">
        <v>-12.317512</v>
      </c>
      <c r="L269">
        <v>-76.83002</v>
      </c>
      <c r="M269">
        <f>HYPERLINK("https://www.google.com/maps/search/?api=1&amp;query=-12.317512,-76.83002","Punta Hermosa, Lima")</f>
      </c>
      <c r="N269">
        <v>23.3</v>
      </c>
      <c r="O269">
        <v>100</v>
      </c>
      <c r="P269">
        <v>719031</v>
      </c>
      <c r="Q269" t="str">
        <v>116.08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BXQ-847</v>
      </c>
      <c r="D270" t="str">
        <v>BXQ-847</v>
      </c>
      <c r="E270" t="str">
        <v/>
      </c>
      <c r="F270" t="str">
        <v>867162029843950</v>
      </c>
      <c r="G270" t="str">
        <v>TBD</v>
      </c>
      <c r="H270" t="str">
        <v/>
      </c>
      <c r="I270" t="str">
        <v>27/09/2026</v>
      </c>
      <c r="J270" t="str">
        <v>12:34:42</v>
      </c>
      <c r="K270">
        <v>-12.317312</v>
      </c>
      <c r="L270">
        <v>-76.83041</v>
      </c>
      <c r="M270">
        <f>HYPERLINK("https://www.google.com/maps/search/?api=1&amp;query=-12.317312,-76.83041","Carretera Panamericana Sur, Punta Hermosa, Lima")</f>
      </c>
      <c r="N270">
        <v>34.5</v>
      </c>
      <c r="O270">
        <v>100</v>
      </c>
      <c r="P270">
        <v>719031</v>
      </c>
      <c r="Q270" t="str">
        <v>116.08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BXQ-847</v>
      </c>
      <c r="D271" t="str">
        <v>BXQ-847</v>
      </c>
      <c r="E271" t="str">
        <v/>
      </c>
      <c r="F271" t="str">
        <v>867162029843950</v>
      </c>
      <c r="G271" t="str">
        <v>TBD</v>
      </c>
      <c r="H271" t="str">
        <v/>
      </c>
      <c r="I271" t="str">
        <v>27/09/2026</v>
      </c>
      <c r="J271" t="str">
        <v>12:34:57</v>
      </c>
      <c r="K271">
        <v>-12.316436</v>
      </c>
      <c r="L271">
        <v>-76.831154</v>
      </c>
      <c r="M271">
        <f>HYPERLINK("https://www.google.com/maps/search/?api=1&amp;query=-12.316436,-76.831154","Carretera Panamericana Sur, Punta Hermosa, Lima")</f>
      </c>
      <c r="N271">
        <v>41.6</v>
      </c>
      <c r="O271">
        <v>100</v>
      </c>
      <c r="P271">
        <v>719031.1</v>
      </c>
      <c r="Q271" t="str">
        <v>116.08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BXQ-847</v>
      </c>
      <c r="D272" t="str">
        <v>BXQ-847</v>
      </c>
      <c r="E272" t="str">
        <v/>
      </c>
      <c r="F272" t="str">
        <v>867162029843950</v>
      </c>
      <c r="G272" t="str">
        <v>TBD</v>
      </c>
      <c r="H272" t="str">
        <v/>
      </c>
      <c r="I272" t="str">
        <v>27/09/2026</v>
      </c>
      <c r="J272" t="str">
        <v>12:35:40</v>
      </c>
      <c r="K272">
        <v>-12.310255</v>
      </c>
      <c r="L272">
        <v>-76.83531</v>
      </c>
      <c r="M272">
        <f>HYPERLINK("https://www.google.com/maps/search/?api=1&amp;query=-12.310255,-76.83531","Carretera Panamericana Sur, Punta Hermosa, Lima")</f>
      </c>
      <c r="N272">
        <v>84.6</v>
      </c>
      <c r="O272">
        <v>100</v>
      </c>
      <c r="P272">
        <v>719032</v>
      </c>
      <c r="Q272" t="str">
        <v>116.08</v>
      </c>
      <c r="R272" t="str">
        <v>Excedió el límite de velocidad</v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BXQ-847</v>
      </c>
      <c r="D273" t="str">
        <v>BXQ-847</v>
      </c>
      <c r="E273" t="str">
        <v/>
      </c>
      <c r="F273" t="str">
        <v>867162029843950</v>
      </c>
      <c r="G273" t="str">
        <v>TBD</v>
      </c>
      <c r="H273" t="str">
        <v/>
      </c>
      <c r="I273" t="str">
        <v>27/09/2026</v>
      </c>
      <c r="J273" t="str">
        <v>12:35:57</v>
      </c>
      <c r="K273">
        <v>-12.30761</v>
      </c>
      <c r="L273">
        <v>-76.83714</v>
      </c>
      <c r="M273">
        <f>HYPERLINK("https://www.google.com/maps/search/?api=1&amp;query=-12.30761,-76.83714","Carretera Panamericana Sur, Punta Hermosa, Lima")</f>
      </c>
      <c r="N273">
        <v>85.9</v>
      </c>
      <c r="O273">
        <v>100</v>
      </c>
      <c r="P273">
        <v>719032.3</v>
      </c>
      <c r="Q273" t="str">
        <v>116.08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BXQ-847</v>
      </c>
      <c r="D274" t="str">
        <v>BXQ-847</v>
      </c>
      <c r="E274" t="str">
        <v/>
      </c>
      <c r="F274" t="str">
        <v>867162029843950</v>
      </c>
      <c r="G274" t="str">
        <v>TBD</v>
      </c>
      <c r="H274" t="str">
        <v/>
      </c>
      <c r="I274" t="str">
        <v>27/09/2026</v>
      </c>
      <c r="J274" t="str">
        <v>12:36:57</v>
      </c>
      <c r="K274">
        <v>-12.301403</v>
      </c>
      <c r="L274">
        <v>-76.844795</v>
      </c>
      <c r="M274">
        <f>HYPERLINK("https://www.google.com/maps/search/?api=1&amp;query=-12.301403,-76.844795","Antigua Panamericana Sur, Lurín, Lima")</f>
      </c>
      <c r="N274">
        <v>9.4</v>
      </c>
      <c r="O274">
        <v>100</v>
      </c>
      <c r="P274">
        <v>719033.4</v>
      </c>
      <c r="Q274" t="str">
        <v>116.08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BXQ-847</v>
      </c>
      <c r="D275" t="str">
        <v>BXQ-847</v>
      </c>
      <c r="E275" t="str">
        <v/>
      </c>
      <c r="F275" t="str">
        <v>867162029843950</v>
      </c>
      <c r="G275" t="str">
        <v>TBD</v>
      </c>
      <c r="H275" t="str">
        <v/>
      </c>
      <c r="I275" t="str">
        <v>27/09/2026</v>
      </c>
      <c r="J275" t="str">
        <v>12:37:01</v>
      </c>
      <c r="K275">
        <v>-12.301534</v>
      </c>
      <c r="L275">
        <v>-76.844894</v>
      </c>
      <c r="M275">
        <f>HYPERLINK("https://www.google.com/maps/search/?api=1&amp;query=-12.301534,-76.844894","Antigua Panamericana Sur, Lurín, Lima")</f>
      </c>
      <c r="N275">
        <v>15.7</v>
      </c>
      <c r="O275">
        <v>100</v>
      </c>
      <c r="P275">
        <v>719033.4</v>
      </c>
      <c r="Q275" t="str">
        <v>116.08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BXQ-847</v>
      </c>
      <c r="D276" t="str">
        <v>BXQ-847</v>
      </c>
      <c r="E276" t="str">
        <v/>
      </c>
      <c r="F276" t="str">
        <v>867162029843950</v>
      </c>
      <c r="G276" t="str">
        <v>TBD</v>
      </c>
      <c r="H276" t="str">
        <v/>
      </c>
      <c r="I276" t="str">
        <v>27/09/2026</v>
      </c>
      <c r="J276" t="str">
        <v>12:37:22</v>
      </c>
      <c r="K276">
        <v>-12.303163</v>
      </c>
      <c r="L276">
        <v>-76.84545</v>
      </c>
      <c r="M276">
        <f>HYPERLINK("https://www.google.com/maps/search/?api=1&amp;query=-12.303163,-76.84545","Antigua Panamericana Sur, Lurín, Lima")</f>
      </c>
      <c r="N276">
        <v>32.2</v>
      </c>
      <c r="O276">
        <v>100</v>
      </c>
      <c r="P276">
        <v>719033.6</v>
      </c>
      <c r="Q276" t="str">
        <v>116.08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BXQ-847</v>
      </c>
      <c r="D277" t="str">
        <v>BXQ-847</v>
      </c>
      <c r="E277" t="str">
        <v/>
      </c>
      <c r="F277" t="str">
        <v>867162029843950</v>
      </c>
      <c r="G277" t="str">
        <v>TBD</v>
      </c>
      <c r="H277" t="str">
        <v/>
      </c>
      <c r="I277" t="str">
        <v>27/09/2026</v>
      </c>
      <c r="J277" t="str">
        <v>12:37:34</v>
      </c>
      <c r="K277">
        <v>-12.303907</v>
      </c>
      <c r="L277">
        <v>-76.84489</v>
      </c>
      <c r="M277">
        <f>HYPERLINK("https://www.google.com/maps/search/?api=1&amp;query=-12.303907,-76.84489","Antigua Panamericana Sur, Lurín, Lima")</f>
      </c>
      <c r="N277">
        <v>33.7</v>
      </c>
      <c r="O277">
        <v>100</v>
      </c>
      <c r="P277">
        <v>719033.7</v>
      </c>
      <c r="Q277" t="str">
        <v>116.08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BXQ-847</v>
      </c>
      <c r="D278" t="str">
        <v>BXQ-847</v>
      </c>
      <c r="E278" t="str">
        <v/>
      </c>
      <c r="F278" t="str">
        <v>867162029843950</v>
      </c>
      <c r="G278" t="str">
        <v>TBD</v>
      </c>
      <c r="H278" t="str">
        <v/>
      </c>
      <c r="I278" t="str">
        <v>27/09/2026</v>
      </c>
      <c r="J278" t="str">
        <v>12:37:57</v>
      </c>
      <c r="K278">
        <v>-12.304183</v>
      </c>
      <c r="L278">
        <v>-76.84296</v>
      </c>
      <c r="M278">
        <f>HYPERLINK("https://www.google.com/maps/search/?api=1&amp;query=-12.304183,-76.84296","Antigua Panamericana Sur, Lurín, Lima")</f>
      </c>
      <c r="N278">
        <v>39.1</v>
      </c>
      <c r="O278">
        <v>100</v>
      </c>
      <c r="P278">
        <v>719033.9</v>
      </c>
      <c r="Q278" t="str">
        <v>116.08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BXQ-847</v>
      </c>
      <c r="D279" t="str">
        <v>BXQ-847</v>
      </c>
      <c r="E279" t="str">
        <v/>
      </c>
      <c r="F279" t="str">
        <v>867162029843950</v>
      </c>
      <c r="G279" t="str">
        <v>TBD</v>
      </c>
      <c r="H279" t="str">
        <v/>
      </c>
      <c r="I279" t="str">
        <v>27/09/2026</v>
      </c>
      <c r="J279" t="str">
        <v>12:38:01</v>
      </c>
      <c r="K279">
        <v>-12.304537</v>
      </c>
      <c r="L279">
        <v>-76.84242</v>
      </c>
      <c r="M279">
        <f>HYPERLINK("https://www.google.com/maps/search/?api=1&amp;query=-12.304537,-76.84242","Antigua Panamericana Sur, Lurín, Lima")</f>
      </c>
      <c r="N279">
        <v>44.5</v>
      </c>
      <c r="O279">
        <v>100</v>
      </c>
      <c r="P279">
        <v>719034</v>
      </c>
      <c r="Q279" t="str">
        <v>116.08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BXQ-847</v>
      </c>
      <c r="D280" t="str">
        <v>BXQ-847</v>
      </c>
      <c r="E280" t="str">
        <v/>
      </c>
      <c r="F280" t="str">
        <v>867162029843950</v>
      </c>
      <c r="G280" t="str">
        <v>TBD</v>
      </c>
      <c r="H280" t="str">
        <v/>
      </c>
      <c r="I280" t="str">
        <v>27/09/2026</v>
      </c>
      <c r="J280" t="str">
        <v>12:38:57</v>
      </c>
      <c r="K280">
        <v>-12.308045</v>
      </c>
      <c r="L280">
        <v>-76.83881</v>
      </c>
      <c r="M280">
        <f>HYPERLINK("https://www.google.com/maps/search/?api=1&amp;query=-12.308045,-76.83881","Antigua Panamericana Sur, Punta Hermosa, Lima")</f>
      </c>
      <c r="N280">
        <v>52.5</v>
      </c>
      <c r="O280">
        <v>100</v>
      </c>
      <c r="P280">
        <v>719034.6</v>
      </c>
      <c r="Q280" t="str">
        <v>116.08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BXQ-847</v>
      </c>
      <c r="D281" t="str">
        <v>BXQ-847</v>
      </c>
      <c r="E281" t="str">
        <v/>
      </c>
      <c r="F281" t="str">
        <v>867162029843950</v>
      </c>
      <c r="G281" t="str">
        <v>TBD</v>
      </c>
      <c r="H281" t="str">
        <v/>
      </c>
      <c r="I281" t="str">
        <v>27/09/2026</v>
      </c>
      <c r="J281" t="str">
        <v>12:39:57</v>
      </c>
      <c r="K281">
        <v>-12.311454</v>
      </c>
      <c r="L281">
        <v>-76.835785</v>
      </c>
      <c r="M281">
        <f>HYPERLINK("https://www.google.com/maps/search/?api=1&amp;query=-12.311454,-76.835785","Antigua Panamericana Sur, Punta Hermosa, Lima")</f>
      </c>
      <c r="N281">
        <v>37.1</v>
      </c>
      <c r="O281">
        <v>100</v>
      </c>
      <c r="P281">
        <v>719035.1</v>
      </c>
      <c r="Q281" t="str">
        <v>116.08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BXQ-847</v>
      </c>
      <c r="D282" t="str">
        <v>BXQ-847</v>
      </c>
      <c r="E282" t="str">
        <v/>
      </c>
      <c r="F282" t="str">
        <v>867162029843950</v>
      </c>
      <c r="G282" t="str">
        <v>TBD</v>
      </c>
      <c r="H282" t="str">
        <v/>
      </c>
      <c r="I282" t="str">
        <v>27/09/2026</v>
      </c>
      <c r="J282" t="str">
        <v>12:40:57</v>
      </c>
      <c r="K282">
        <v>-12.314991</v>
      </c>
      <c r="L282">
        <v>-76.83339</v>
      </c>
      <c r="M282">
        <f>HYPERLINK("https://www.google.com/maps/search/?api=1&amp;query=-12.314991,-76.83339","Antigua Panamericana Sur, Punta Hermosa, Lima")</f>
      </c>
      <c r="N282">
        <v>19.7</v>
      </c>
      <c r="O282">
        <v>100</v>
      </c>
      <c r="P282">
        <v>719035.5</v>
      </c>
      <c r="Q282" t="str">
        <v>116.08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BXQ-847</v>
      </c>
      <c r="D283" t="str">
        <v>BXQ-847</v>
      </c>
      <c r="E283" t="str">
        <v/>
      </c>
      <c r="F283" t="str">
        <v>867162029843950</v>
      </c>
      <c r="G283" t="str">
        <v>TBD</v>
      </c>
      <c r="H283" t="str">
        <v/>
      </c>
      <c r="I283" t="str">
        <v>27/09/2026</v>
      </c>
      <c r="J283" t="str">
        <v>12:41:12</v>
      </c>
      <c r="K283">
        <v>-12.315779</v>
      </c>
      <c r="L283">
        <v>-76.83295</v>
      </c>
      <c r="M283">
        <f>HYPERLINK("https://www.google.com/maps/search/?api=1&amp;query=-12.315779,-76.83295","Antigua Panamericana Sur, Punta Hermosa, Lima")</f>
      </c>
      <c r="N283">
        <v>5.4</v>
      </c>
      <c r="O283">
        <v>100</v>
      </c>
      <c r="P283">
        <v>719035.6</v>
      </c>
      <c r="Q283" t="str">
        <v>116.08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BXQ-847</v>
      </c>
      <c r="D284" t="str">
        <v>BXQ-847</v>
      </c>
      <c r="E284" t="str">
        <v/>
      </c>
      <c r="F284" t="str">
        <v>867162029843950</v>
      </c>
      <c r="G284" t="str">
        <v>TBD</v>
      </c>
      <c r="H284" t="str">
        <v/>
      </c>
      <c r="I284" t="str">
        <v>27/09/2026</v>
      </c>
      <c r="J284" t="str">
        <v>12:41:40</v>
      </c>
      <c r="K284">
        <v>-12.315753</v>
      </c>
      <c r="L284">
        <v>-76.83299</v>
      </c>
      <c r="M284">
        <f>HYPERLINK("https://www.google.com/maps/search/?api=1&amp;query=-12.315753,-76.83299","Calle Santa Rosa, Punta Hermosa, Lima")</f>
      </c>
      <c r="N284">
        <v>6.7</v>
      </c>
      <c r="O284">
        <v>100</v>
      </c>
      <c r="P284">
        <v>719035.6</v>
      </c>
      <c r="Q284" t="str">
        <v>116.08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BXQ-847</v>
      </c>
      <c r="D285" t="str">
        <v>BXQ-847</v>
      </c>
      <c r="E285" t="str">
        <v/>
      </c>
      <c r="F285" t="str">
        <v>867162029843950</v>
      </c>
      <c r="G285" t="str">
        <v>TBD</v>
      </c>
      <c r="H285" t="str">
        <v/>
      </c>
      <c r="I285" t="str">
        <v>27/09/2026</v>
      </c>
      <c r="J285" t="str">
        <v>12:41:57</v>
      </c>
      <c r="K285">
        <v>-12.315698</v>
      </c>
      <c r="L285">
        <v>-76.83301</v>
      </c>
      <c r="M285">
        <f>HYPERLINK("https://www.google.com/maps/search/?api=1&amp;query=-12.315698,-76.83301","Antigua Panamericana Sur, Punta Hermosa, Lima")</f>
      </c>
      <c r="N285">
        <v>0</v>
      </c>
      <c r="O285">
        <v>100</v>
      </c>
      <c r="P285">
        <v>719035.6</v>
      </c>
      <c r="Q285" t="str">
        <v>116.08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BXQ-847</v>
      </c>
      <c r="D286" t="str">
        <v>BXQ-847</v>
      </c>
      <c r="E286" t="str">
        <v/>
      </c>
      <c r="F286" t="str">
        <v>867162029843950</v>
      </c>
      <c r="G286" t="str">
        <v>TBD</v>
      </c>
      <c r="H286" t="str">
        <v/>
      </c>
      <c r="I286" t="str">
        <v>27/09/2026</v>
      </c>
      <c r="J286" t="str">
        <v>12:42:24</v>
      </c>
      <c r="K286">
        <v>-12.315698</v>
      </c>
      <c r="L286">
        <v>-76.83301</v>
      </c>
      <c r="M286">
        <f>HYPERLINK("https://www.google.com/maps/search/?api=1&amp;query=-12.315698,-76.83301","Antigua Panamericana Sur, Punta Hermosa, Lima")</f>
      </c>
      <c r="N286">
        <v>0</v>
      </c>
      <c r="O286">
        <v>100</v>
      </c>
      <c r="P286">
        <v>719035.6</v>
      </c>
      <c r="Q286" t="str">
        <v>116.38</v>
      </c>
      <c r="R286" t="str">
        <v>Vehículo apagado</v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BXQ-847</v>
      </c>
      <c r="D287" t="str">
        <v>BXQ-847</v>
      </c>
      <c r="E287" t="str">
        <v/>
      </c>
      <c r="F287" t="str">
        <v>867162029843950</v>
      </c>
      <c r="G287" t="str">
        <v>TBD</v>
      </c>
      <c r="H287" t="str">
        <v/>
      </c>
      <c r="I287" t="str">
        <v>27/09/2026</v>
      </c>
      <c r="J287" t="str">
        <v>12:42:26</v>
      </c>
      <c r="K287">
        <v>-12.315698</v>
      </c>
      <c r="L287">
        <v>-76.83301</v>
      </c>
      <c r="M287">
        <f>HYPERLINK("https://www.google.com/maps/search/?api=1&amp;query=-12.315698,-76.83301","Antigua Panamericana Sur, Punta Hermosa, Lima")</f>
      </c>
      <c r="N287">
        <v>0</v>
      </c>
      <c r="O287">
        <v>100</v>
      </c>
      <c r="P287">
        <v>719035.6</v>
      </c>
      <c r="Q287" t="str">
        <v>116.08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BXQ-847</v>
      </c>
      <c r="D288" t="str">
        <v>BXQ-847</v>
      </c>
      <c r="E288" t="str">
        <v/>
      </c>
      <c r="F288" t="str">
        <v>867162029843950</v>
      </c>
      <c r="G288" t="str">
        <v>TBD</v>
      </c>
      <c r="H288" t="str">
        <v/>
      </c>
      <c r="I288" t="str">
        <v>27/09/2026</v>
      </c>
      <c r="J288" t="str">
        <v>12:44:06</v>
      </c>
      <c r="K288">
        <v>-12.315717</v>
      </c>
      <c r="L288">
        <v>-76.832985</v>
      </c>
      <c r="M288">
        <f>HYPERLINK("https://www.google.com/maps/search/?api=1&amp;query=-12.315717,-76.832985","Antigua Panamericana Sur, Punta Hermosa, Lima")</f>
      </c>
      <c r="N288">
        <v>0</v>
      </c>
      <c r="O288">
        <v>100</v>
      </c>
      <c r="P288">
        <v>719035.6</v>
      </c>
      <c r="Q288" t="str">
        <v>116.38</v>
      </c>
      <c r="R288" t="str">
        <v>Vehículo encendido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BXQ-847</v>
      </c>
      <c r="D289" t="str">
        <v>BXQ-847</v>
      </c>
      <c r="E289" t="str">
        <v/>
      </c>
      <c r="F289" t="str">
        <v>867162029843950</v>
      </c>
      <c r="G289" t="str">
        <v>TBD</v>
      </c>
      <c r="H289" t="str">
        <v/>
      </c>
      <c r="I289" t="str">
        <v>27/09/2026</v>
      </c>
      <c r="J289" t="str">
        <v>12:44:14</v>
      </c>
      <c r="K289">
        <v>-12.315717</v>
      </c>
      <c r="L289">
        <v>-76.832985</v>
      </c>
      <c r="M289">
        <f>HYPERLINK("https://www.google.com/maps/search/?api=1&amp;query=-12.315717,-76.832985","Antigua Panamericana Sur, Punta Hermosa, Lima")</f>
      </c>
      <c r="N289">
        <v>1.7</v>
      </c>
      <c r="O289">
        <v>100</v>
      </c>
      <c r="P289">
        <v>719035.6</v>
      </c>
      <c r="Q289" t="str">
        <v>116.38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BXQ-847</v>
      </c>
      <c r="D290" t="str">
        <v>BXQ-847</v>
      </c>
      <c r="E290" t="str">
        <v/>
      </c>
      <c r="F290" t="str">
        <v>867162029843950</v>
      </c>
      <c r="G290" t="str">
        <v>TBD</v>
      </c>
      <c r="H290" t="str">
        <v/>
      </c>
      <c r="I290" t="str">
        <v>27/09/2026</v>
      </c>
      <c r="J290" t="str">
        <v>12:44:40</v>
      </c>
      <c r="K290">
        <v>-12.315717</v>
      </c>
      <c r="L290">
        <v>-76.832985</v>
      </c>
      <c r="M290">
        <f>HYPERLINK("https://www.google.com/maps/search/?api=1&amp;query=-12.315717,-76.832985","Antigua Panamericana Sur, Punta Hermosa, Lima")</f>
      </c>
      <c r="N290">
        <v>1.7</v>
      </c>
      <c r="O290">
        <v>100</v>
      </c>
      <c r="P290">
        <v>719035.6</v>
      </c>
      <c r="Q290" t="str">
        <v>116.40</v>
      </c>
      <c r="R290" t="str">
        <v>Vehículo apagado</v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BXQ-847</v>
      </c>
      <c r="D291" t="str">
        <v>BXQ-847</v>
      </c>
      <c r="E291" t="str">
        <v/>
      </c>
      <c r="F291" t="str">
        <v>867162029843950</v>
      </c>
      <c r="G291" t="str">
        <v>TBD</v>
      </c>
      <c r="H291" t="str">
        <v/>
      </c>
      <c r="I291" t="str">
        <v>27/09/2026</v>
      </c>
      <c r="J291" t="str">
        <v>12:44:43</v>
      </c>
      <c r="K291">
        <v>-12.315733</v>
      </c>
      <c r="L291">
        <v>-76.83301</v>
      </c>
      <c r="M291">
        <f>HYPERLINK("https://www.google.com/maps/search/?api=1&amp;query=-12.315733,-76.83301","Antigua Panamericana Sur, Punta Hermosa, Lima")</f>
      </c>
      <c r="N291">
        <v>0</v>
      </c>
      <c r="O291">
        <v>100</v>
      </c>
      <c r="P291">
        <v>719035.6</v>
      </c>
      <c r="Q291" t="str">
        <v>116.40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BXQ-847</v>
      </c>
      <c r="D292" t="str">
        <v>BXQ-847</v>
      </c>
      <c r="E292" t="str">
        <v/>
      </c>
      <c r="F292" t="str">
        <v>867162029843950</v>
      </c>
      <c r="G292" t="str">
        <v>TBD</v>
      </c>
      <c r="H292" t="str">
        <v/>
      </c>
      <c r="I292" t="str">
        <v>27/09/2026</v>
      </c>
      <c r="J292" t="str">
        <v>13:06:15</v>
      </c>
      <c r="K292">
        <v>-12.315733</v>
      </c>
      <c r="L292">
        <v>-76.83301</v>
      </c>
      <c r="M292">
        <f>HYPERLINK("https://www.google.com/maps/search/?api=1&amp;query=-12.315733,-76.83301","Antigua Panamericana Sur, Punta Hermosa, Lima")</f>
      </c>
      <c r="N292">
        <v>0</v>
      </c>
      <c r="O292">
        <v>100</v>
      </c>
      <c r="P292">
        <v>719035.6</v>
      </c>
      <c r="Q292" t="str">
        <v>116.40</v>
      </c>
      <c r="R292" t="str">
        <v>Vehículo encendido</v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BXQ-847</v>
      </c>
      <c r="D293" t="str">
        <v>BXQ-847</v>
      </c>
      <c r="E293" t="str">
        <v/>
      </c>
      <c r="F293" t="str">
        <v>867162029843950</v>
      </c>
      <c r="G293" t="str">
        <v>TBD</v>
      </c>
      <c r="H293" t="str">
        <v/>
      </c>
      <c r="I293" t="str">
        <v>27/09/2026</v>
      </c>
      <c r="J293" t="str">
        <v>13:06:20</v>
      </c>
      <c r="K293">
        <v>-12.315742</v>
      </c>
      <c r="L293">
        <v>-76.83312</v>
      </c>
      <c r="M293">
        <f>HYPERLINK("https://www.google.com/maps/search/?api=1&amp;query=-12.315742,-76.83312","Calle Santa Rosa, Punta Hermosa, Lima")</f>
      </c>
      <c r="N293">
        <v>1.3</v>
      </c>
      <c r="O293">
        <v>100</v>
      </c>
      <c r="P293">
        <v>719035.6</v>
      </c>
      <c r="Q293" t="str">
        <v>116.40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BXQ-847</v>
      </c>
      <c r="D294" t="str">
        <v>BXQ-847</v>
      </c>
      <c r="E294" t="str">
        <v/>
      </c>
      <c r="F294" t="str">
        <v>867162029843950</v>
      </c>
      <c r="G294" t="str">
        <v>TBD</v>
      </c>
      <c r="H294" t="str">
        <v/>
      </c>
      <c r="I294" t="str">
        <v>27/09/2026</v>
      </c>
      <c r="J294" t="str">
        <v>13:07:16</v>
      </c>
      <c r="K294">
        <v>-12.315745</v>
      </c>
      <c r="L294">
        <v>-76.83308</v>
      </c>
      <c r="M294">
        <f>HYPERLINK("https://www.google.com/maps/search/?api=1&amp;query=-12.315745,-76.83308","Calle Santa Rosa, Punta Hermosa, Lima")</f>
      </c>
      <c r="N294">
        <v>0</v>
      </c>
      <c r="O294">
        <v>100</v>
      </c>
      <c r="P294">
        <v>719035.6</v>
      </c>
      <c r="Q294" t="str">
        <v>116.40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BXQ-847</v>
      </c>
      <c r="D295" t="str">
        <v>BXQ-847</v>
      </c>
      <c r="E295" t="str">
        <v/>
      </c>
      <c r="F295" t="str">
        <v>867162029843950</v>
      </c>
      <c r="G295" t="str">
        <v>TBD</v>
      </c>
      <c r="H295" t="str">
        <v/>
      </c>
      <c r="I295" t="str">
        <v>27/09/2026</v>
      </c>
      <c r="J295" t="str">
        <v>13:08:16</v>
      </c>
      <c r="K295">
        <v>-12.315745</v>
      </c>
      <c r="L295">
        <v>-76.83308</v>
      </c>
      <c r="M295">
        <f>HYPERLINK("https://www.google.com/maps/search/?api=1&amp;query=-12.315745,-76.83308","Calle Santa Rosa, Punta Hermosa, Lima")</f>
      </c>
      <c r="N295">
        <v>0</v>
      </c>
      <c r="O295">
        <v>100</v>
      </c>
      <c r="P295">
        <v>719035.6</v>
      </c>
      <c r="Q295" t="str">
        <v>116.40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BXQ-847</v>
      </c>
      <c r="D296" t="str">
        <v>BXQ-847</v>
      </c>
      <c r="E296" t="str">
        <v/>
      </c>
      <c r="F296" t="str">
        <v>867162029843950</v>
      </c>
      <c r="G296" t="str">
        <v>TBD</v>
      </c>
      <c r="H296" t="str">
        <v/>
      </c>
      <c r="I296" t="str">
        <v>27/09/2026</v>
      </c>
      <c r="J296" t="str">
        <v>13:08:55</v>
      </c>
      <c r="K296">
        <v>-12.316613</v>
      </c>
      <c r="L296">
        <v>-76.83229</v>
      </c>
      <c r="M296">
        <f>HYPERLINK("https://www.google.com/maps/search/?api=1&amp;query=-12.316613,-76.83229","Antigua Panamericana Sur, Punta Hermosa, Lima")</f>
      </c>
      <c r="N296">
        <v>9.5</v>
      </c>
      <c r="O296">
        <v>100</v>
      </c>
      <c r="P296">
        <v>719035.8</v>
      </c>
      <c r="Q296" t="str">
        <v>116.40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BXQ-847</v>
      </c>
      <c r="D297" t="str">
        <v>BXQ-847</v>
      </c>
      <c r="E297" t="str">
        <v/>
      </c>
      <c r="F297" t="str">
        <v>867162029843950</v>
      </c>
      <c r="G297" t="str">
        <v>TBD</v>
      </c>
      <c r="H297" t="str">
        <v/>
      </c>
      <c r="I297" t="str">
        <v>27/09/2026</v>
      </c>
      <c r="J297" t="str">
        <v>13:08:57</v>
      </c>
      <c r="K297">
        <v>-12.316533</v>
      </c>
      <c r="L297">
        <v>-76.83229</v>
      </c>
      <c r="M297">
        <f>HYPERLINK("https://www.google.com/maps/search/?api=1&amp;query=-12.316533,-76.83229","Antigua Panamericana Sur, Punta Hermosa, Lima")</f>
      </c>
      <c r="N297">
        <v>13.7</v>
      </c>
      <c r="O297">
        <v>100</v>
      </c>
      <c r="P297">
        <v>719035.8</v>
      </c>
      <c r="Q297" t="str">
        <v>116.40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BXQ-847</v>
      </c>
      <c r="D298" t="str">
        <v>BXQ-847</v>
      </c>
      <c r="E298" t="str">
        <v/>
      </c>
      <c r="F298" t="str">
        <v>867162029843950</v>
      </c>
      <c r="G298" t="str">
        <v>TBD</v>
      </c>
      <c r="H298" t="str">
        <v/>
      </c>
      <c r="I298" t="str">
        <v>27/09/2026</v>
      </c>
      <c r="J298" t="str">
        <v>13:09:16</v>
      </c>
      <c r="K298">
        <v>-12.315768</v>
      </c>
      <c r="L298">
        <v>-76.8328</v>
      </c>
      <c r="M298">
        <f>HYPERLINK("https://www.google.com/maps/search/?api=1&amp;query=-12.315768,-76.8328","Antigua Panamericana Sur, Punta Hermosa, Lima")</f>
      </c>
      <c r="N298">
        <v>36.5</v>
      </c>
      <c r="O298">
        <v>100</v>
      </c>
      <c r="P298">
        <v>719035.9</v>
      </c>
      <c r="Q298" t="str">
        <v>116.40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BXQ-847</v>
      </c>
      <c r="D299" t="str">
        <v>BXQ-847</v>
      </c>
      <c r="E299" t="str">
        <v/>
      </c>
      <c r="F299" t="str">
        <v>867162029843950</v>
      </c>
      <c r="G299" t="str">
        <v>TBD</v>
      </c>
      <c r="H299" t="str">
        <v/>
      </c>
      <c r="I299" t="str">
        <v>27/09/2026</v>
      </c>
      <c r="J299" t="str">
        <v>13:10:16</v>
      </c>
      <c r="K299">
        <v>-12.312085</v>
      </c>
      <c r="L299">
        <v>-76.83526</v>
      </c>
      <c r="M299">
        <f>HYPERLINK("https://www.google.com/maps/search/?api=1&amp;query=-12.312085,-76.83526","Antigua Panamericana Sur, Punta Hermosa, Lima")</f>
      </c>
      <c r="N299">
        <v>35.5</v>
      </c>
      <c r="O299">
        <v>100</v>
      </c>
      <c r="P299">
        <v>719036.4</v>
      </c>
      <c r="Q299" t="str">
        <v>116.40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BXQ-847</v>
      </c>
      <c r="D300" t="str">
        <v>BXQ-847</v>
      </c>
      <c r="E300" t="str">
        <v/>
      </c>
      <c r="F300" t="str">
        <v>867162029843950</v>
      </c>
      <c r="G300" t="str">
        <v>TBD</v>
      </c>
      <c r="H300" t="str">
        <v/>
      </c>
      <c r="I300" t="str">
        <v>27/09/2026</v>
      </c>
      <c r="J300" t="str">
        <v>13:11:16</v>
      </c>
      <c r="K300">
        <v>-12.308356</v>
      </c>
      <c r="L300">
        <v>-76.83839</v>
      </c>
      <c r="M300">
        <f>HYPERLINK("https://www.google.com/maps/search/?api=1&amp;query=-12.308356,-76.83839","Antigua Panamericana Sur, Punta Hermosa, Lima")</f>
      </c>
      <c r="N300">
        <v>38.5</v>
      </c>
      <c r="O300">
        <v>100</v>
      </c>
      <c r="P300">
        <v>719036.9</v>
      </c>
      <c r="Q300" t="str">
        <v>116.40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BXQ-847</v>
      </c>
      <c r="D301" t="str">
        <v>BXQ-847</v>
      </c>
      <c r="E301" t="str">
        <v/>
      </c>
      <c r="F301" t="str">
        <v>867162029843950</v>
      </c>
      <c r="G301" t="str">
        <v>TBD</v>
      </c>
      <c r="H301" t="str">
        <v/>
      </c>
      <c r="I301" t="str">
        <v>27/09/2026</v>
      </c>
      <c r="J301" t="str">
        <v>13:12:16</v>
      </c>
      <c r="K301">
        <v>-12.304336</v>
      </c>
      <c r="L301">
        <v>-76.84254</v>
      </c>
      <c r="M301">
        <f>HYPERLINK("https://www.google.com/maps/search/?api=1&amp;query=-12.304336,-76.84254","Antigua Panamericana Sur, Lurín, Lima")</f>
      </c>
      <c r="N301">
        <v>45.7</v>
      </c>
      <c r="O301">
        <v>100</v>
      </c>
      <c r="P301">
        <v>719037.6</v>
      </c>
      <c r="Q301" t="str">
        <v>116.40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BXQ-847</v>
      </c>
      <c r="D302" t="str">
        <v>BXQ-847</v>
      </c>
      <c r="E302" t="str">
        <v/>
      </c>
      <c r="F302" t="str">
        <v>867162029843950</v>
      </c>
      <c r="G302" t="str">
        <v>TBD</v>
      </c>
      <c r="H302" t="str">
        <v/>
      </c>
      <c r="I302" t="str">
        <v>27/09/2026</v>
      </c>
      <c r="J302" t="str">
        <v>13:12:16</v>
      </c>
      <c r="K302">
        <v>-12.304101</v>
      </c>
      <c r="L302">
        <v>-76.84295</v>
      </c>
      <c r="M302">
        <f>HYPERLINK("https://www.google.com/maps/search/?api=1&amp;query=-12.304101,-76.84295","Antigua Panamericana Sur, Lurín, Lima")</f>
      </c>
      <c r="N302">
        <v>48.3</v>
      </c>
      <c r="O302">
        <v>100</v>
      </c>
      <c r="P302">
        <v>719037.6</v>
      </c>
      <c r="Q302" t="str">
        <v>116.40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BXQ-847</v>
      </c>
      <c r="D303" t="str">
        <v>BXQ-847</v>
      </c>
      <c r="E303" t="str">
        <v/>
      </c>
      <c r="F303" t="str">
        <v>867162029843950</v>
      </c>
      <c r="G303" t="str">
        <v>TBD</v>
      </c>
      <c r="H303" t="str">
        <v/>
      </c>
      <c r="I303" t="str">
        <v>27/09/2026</v>
      </c>
      <c r="J303" t="str">
        <v>13:12:36</v>
      </c>
      <c r="K303">
        <v>-12.303507</v>
      </c>
      <c r="L303">
        <v>-76.845215</v>
      </c>
      <c r="M303">
        <f>HYPERLINK("https://www.google.com/maps/search/?api=1&amp;query=-12.303507,-76.845215","Antigua Panamericana Sur, Lurín, Lima")</f>
      </c>
      <c r="N303">
        <v>42</v>
      </c>
      <c r="O303">
        <v>100</v>
      </c>
      <c r="P303">
        <v>719037.9</v>
      </c>
      <c r="Q303" t="str">
        <v>116.40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BXQ-847</v>
      </c>
      <c r="D304" t="str">
        <v>BXQ-847</v>
      </c>
      <c r="E304" t="str">
        <v/>
      </c>
      <c r="F304" t="str">
        <v>867162029843950</v>
      </c>
      <c r="G304" t="str">
        <v>TBD</v>
      </c>
      <c r="H304" t="str">
        <v/>
      </c>
      <c r="I304" t="str">
        <v>27/09/2026</v>
      </c>
      <c r="J304" t="str">
        <v>13:12:46</v>
      </c>
      <c r="K304">
        <v>-12.302692</v>
      </c>
      <c r="L304">
        <v>-76.84534</v>
      </c>
      <c r="M304">
        <f>HYPERLINK("https://www.google.com/maps/search/?api=1&amp;query=-12.302692,-76.84534","Antigua Panamericana Sur, Lurín, Lima")</f>
      </c>
      <c r="N304">
        <v>32.5</v>
      </c>
      <c r="O304">
        <v>100</v>
      </c>
      <c r="P304">
        <v>719037.9</v>
      </c>
      <c r="Q304" t="str">
        <v>116.40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BXQ-847</v>
      </c>
      <c r="D305" t="str">
        <v>BXQ-847</v>
      </c>
      <c r="E305" t="str">
        <v/>
      </c>
      <c r="F305" t="str">
        <v>867162029843950</v>
      </c>
      <c r="G305" t="str">
        <v>TBD</v>
      </c>
      <c r="H305" t="str">
        <v/>
      </c>
      <c r="I305" t="str">
        <v>27/09/2026</v>
      </c>
      <c r="J305" t="str">
        <v>13:13:07</v>
      </c>
      <c r="K305">
        <v>-12.301376</v>
      </c>
      <c r="L305">
        <v>-76.844864</v>
      </c>
      <c r="M305">
        <f>HYPERLINK("https://www.google.com/maps/search/?api=1&amp;query=-12.301376,-76.844864","Antigua Panamericana Sur, Lurín, Lima")</f>
      </c>
      <c r="N305">
        <v>16</v>
      </c>
      <c r="O305">
        <v>100</v>
      </c>
      <c r="P305">
        <v>719038.1</v>
      </c>
      <c r="Q305" t="str">
        <v>116.40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BXQ-847</v>
      </c>
      <c r="D306" t="str">
        <v>BXQ-847</v>
      </c>
      <c r="E306" t="str">
        <v/>
      </c>
      <c r="F306" t="str">
        <v>867162029843950</v>
      </c>
      <c r="G306" t="str">
        <v>TBD</v>
      </c>
      <c r="H306" t="str">
        <v/>
      </c>
      <c r="I306" t="str">
        <v>27/09/2026</v>
      </c>
      <c r="J306" t="str">
        <v>13:13:11</v>
      </c>
      <c r="K306">
        <v>-12.301376</v>
      </c>
      <c r="L306">
        <v>-76.844864</v>
      </c>
      <c r="M306">
        <f>HYPERLINK("https://www.google.com/maps/search/?api=1&amp;query=-12.301376,-76.844864","Antigua Panamericana Sur, Lurín, Lima")</f>
      </c>
      <c r="N306">
        <v>16</v>
      </c>
      <c r="O306">
        <v>100</v>
      </c>
      <c r="P306">
        <v>719038.1</v>
      </c>
      <c r="Q306" t="str">
        <v>116.40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BXQ-847</v>
      </c>
      <c r="D307" t="str">
        <v>BXQ-847</v>
      </c>
      <c r="E307" t="str">
        <v/>
      </c>
      <c r="F307" t="str">
        <v>867162029843950</v>
      </c>
      <c r="G307" t="str">
        <v>TBD</v>
      </c>
      <c r="H307" t="str">
        <v/>
      </c>
      <c r="I307" t="str">
        <v>27/09/2026</v>
      </c>
      <c r="J307" t="str">
        <v>13:13:58</v>
      </c>
      <c r="K307">
        <v>-12.298509</v>
      </c>
      <c r="L307">
        <v>-76.85227</v>
      </c>
      <c r="M307">
        <f>HYPERLINK("https://www.google.com/maps/search/?api=1&amp;query=-12.298509,-76.85227","Carretera Panamericana Sur, Lurín, Lima")</f>
      </c>
      <c r="N307">
        <v>96.1</v>
      </c>
      <c r="O307">
        <v>100</v>
      </c>
      <c r="P307">
        <v>719039</v>
      </c>
      <c r="Q307" t="str">
        <v>116.40</v>
      </c>
      <c r="R307" t="str">
        <v>Excedió el límite de velocidad</v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BXQ-847</v>
      </c>
      <c r="D308" t="str">
        <v>BXQ-847</v>
      </c>
      <c r="E308" t="str">
        <v/>
      </c>
      <c r="F308" t="str">
        <v>867162029843950</v>
      </c>
      <c r="G308" t="str">
        <v>TBD</v>
      </c>
      <c r="H308" t="str">
        <v/>
      </c>
      <c r="I308" t="str">
        <v>27/09/2026</v>
      </c>
      <c r="J308" t="str">
        <v>13:14:11</v>
      </c>
      <c r="K308">
        <v>-12.30123</v>
      </c>
      <c r="L308">
        <v>-76.84509</v>
      </c>
      <c r="M308">
        <f>HYPERLINK("https://www.google.com/maps/search/?api=1&amp;query=-12.30123,-76.84509","Antigua Panamericana Sur, Lurín, Lima")</f>
      </c>
      <c r="N308">
        <v>28</v>
      </c>
      <c r="O308">
        <v>100</v>
      </c>
      <c r="P308">
        <v>719039.3</v>
      </c>
      <c r="Q308" t="str">
        <v>116.40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BXQ-847</v>
      </c>
      <c r="D309" t="str">
        <v>BXQ-847</v>
      </c>
      <c r="E309" t="str">
        <v/>
      </c>
      <c r="F309" t="str">
        <v>867162029843950</v>
      </c>
      <c r="G309" t="str">
        <v>TBD</v>
      </c>
      <c r="H309" t="str">
        <v/>
      </c>
      <c r="I309" t="str">
        <v>27/09/2026</v>
      </c>
      <c r="J309" t="str">
        <v>13:15:11</v>
      </c>
      <c r="K309">
        <v>-12.297073</v>
      </c>
      <c r="L309">
        <v>-76.8555</v>
      </c>
      <c r="M309">
        <f>HYPERLINK("https://www.google.com/maps/search/?api=1&amp;query=-12.297073,-76.8555","Carretera Panamericana Sur, Lurín, Lima")</f>
      </c>
      <c r="N309">
        <v>102.1</v>
      </c>
      <c r="O309">
        <v>100</v>
      </c>
      <c r="P309">
        <v>719040.9</v>
      </c>
      <c r="Q309" t="str">
        <v>116.40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BXQ-847</v>
      </c>
      <c r="D310" t="str">
        <v>BXQ-847</v>
      </c>
      <c r="E310" t="str">
        <v/>
      </c>
      <c r="F310" t="str">
        <v>867162029843950</v>
      </c>
      <c r="G310" t="str">
        <v>TBD</v>
      </c>
      <c r="H310" t="str">
        <v/>
      </c>
      <c r="I310" t="str">
        <v>27/09/2026</v>
      </c>
      <c r="J310" t="str">
        <v>13:16:11</v>
      </c>
      <c r="K310">
        <v>-12.289513</v>
      </c>
      <c r="L310">
        <v>-76.86831</v>
      </c>
      <c r="M310">
        <f>HYPERLINK("https://www.google.com/maps/search/?api=1&amp;query=-12.289513,-76.86831","Carretera Panamericana Sur, Lurín, Lima")</f>
      </c>
      <c r="N310">
        <v>97.1</v>
      </c>
      <c r="O310">
        <v>100</v>
      </c>
      <c r="P310">
        <v>719042.2</v>
      </c>
      <c r="Q310" t="str">
        <v>116.40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BXQ-847</v>
      </c>
      <c r="D311" t="str">
        <v>BXQ-847</v>
      </c>
      <c r="E311" t="str">
        <v/>
      </c>
      <c r="F311" t="str">
        <v>867162029843950</v>
      </c>
      <c r="G311" t="str">
        <v>TBD</v>
      </c>
      <c r="H311" t="str">
        <v/>
      </c>
      <c r="I311" t="str">
        <v>27/09/2026</v>
      </c>
      <c r="J311" t="str">
        <v>13:16:16</v>
      </c>
      <c r="K311">
        <v>-12.283202</v>
      </c>
      <c r="L311">
        <v>-76.87806</v>
      </c>
      <c r="M311">
        <f>HYPERLINK("https://www.google.com/maps/search/?api=1&amp;query=-12.283202,-76.87806","Carretera Panamericana Sur, Lurín, Lima")</f>
      </c>
      <c r="N311">
        <v>28.5</v>
      </c>
      <c r="O311">
        <v>100</v>
      </c>
      <c r="P311">
        <v>719042.3</v>
      </c>
      <c r="Q311" t="str">
        <v>116.40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BXQ-847</v>
      </c>
      <c r="D312" t="str">
        <v>BXQ-847</v>
      </c>
      <c r="E312" t="str">
        <v/>
      </c>
      <c r="F312" t="str">
        <v>867162029843950</v>
      </c>
      <c r="G312" t="str">
        <v>TBD</v>
      </c>
      <c r="H312" t="str">
        <v/>
      </c>
      <c r="I312" t="str">
        <v>27/09/2026</v>
      </c>
      <c r="J312" t="str">
        <v>13:16:16</v>
      </c>
      <c r="K312">
        <v>-12.282943</v>
      </c>
      <c r="L312">
        <v>-76.87798</v>
      </c>
      <c r="M312">
        <f>HYPERLINK("https://www.google.com/maps/search/?api=1&amp;query=-12.282943,-76.87798","Avenida San Pedro, Lurín, Lima")</f>
      </c>
      <c r="N312">
        <v>30.2</v>
      </c>
      <c r="O312">
        <v>100</v>
      </c>
      <c r="P312">
        <v>719042.3</v>
      </c>
      <c r="Q312" t="str">
        <v>116.40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BXQ-847</v>
      </c>
      <c r="D313" t="str">
        <v>BXQ-847</v>
      </c>
      <c r="E313" t="str">
        <v/>
      </c>
      <c r="F313" t="str">
        <v>867162029843950</v>
      </c>
      <c r="G313" t="str">
        <v>TBD</v>
      </c>
      <c r="H313" t="str">
        <v/>
      </c>
      <c r="I313" t="str">
        <v>27/09/2026</v>
      </c>
      <c r="J313" t="str">
        <v>13:17:11</v>
      </c>
      <c r="K313">
        <v>-12.282943</v>
      </c>
      <c r="L313">
        <v>-76.87798</v>
      </c>
      <c r="M313">
        <f>HYPERLINK("https://www.google.com/maps/search/?api=1&amp;query=-12.282943,-76.87798","Avenida San Pedro, Lurín, Lima")</f>
      </c>
      <c r="N313">
        <v>30.2</v>
      </c>
      <c r="O313">
        <v>100</v>
      </c>
      <c r="P313">
        <v>719042.3</v>
      </c>
      <c r="Q313" t="str">
        <v>116.40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BXQ-847</v>
      </c>
      <c r="D314" t="str">
        <v>BXQ-847</v>
      </c>
      <c r="E314" t="str">
        <v/>
      </c>
      <c r="F314" t="str">
        <v>867162029843950</v>
      </c>
      <c r="G314" t="str">
        <v>TBD</v>
      </c>
      <c r="H314" t="str">
        <v/>
      </c>
      <c r="I314" t="str">
        <v>27/09/2026</v>
      </c>
      <c r="J314" t="str">
        <v>13:18:11</v>
      </c>
      <c r="K314">
        <v>-12.278545</v>
      </c>
      <c r="L314">
        <v>-76.875305</v>
      </c>
      <c r="M314">
        <f>HYPERLINK("https://www.google.com/maps/search/?api=1&amp;query=-12.278545,-76.875305","Avenida San Pedro, Lurín, Lima")</f>
      </c>
      <c r="N314">
        <v>48.7</v>
      </c>
      <c r="O314">
        <v>100</v>
      </c>
      <c r="P314">
        <v>719043.4</v>
      </c>
      <c r="Q314" t="str">
        <v>116.40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BXQ-847</v>
      </c>
      <c r="D315" t="str">
        <v>BXQ-847</v>
      </c>
      <c r="E315" t="str">
        <v/>
      </c>
      <c r="F315" t="str">
        <v>867162029843950</v>
      </c>
      <c r="G315" t="str">
        <v>TBD</v>
      </c>
      <c r="H315" t="str">
        <v/>
      </c>
      <c r="I315" t="str">
        <v>27/09/2026</v>
      </c>
      <c r="J315" t="str">
        <v>13:18:21</v>
      </c>
      <c r="K315">
        <v>-12.274176</v>
      </c>
      <c r="L315">
        <v>-76.8726</v>
      </c>
      <c r="M315">
        <f>HYPERLINK("https://www.google.com/maps/search/?api=1&amp;query=-12.274176,-76.8726","Avenida San Pedro, Lurín, Lima")</f>
      </c>
      <c r="N315">
        <v>4.4</v>
      </c>
      <c r="O315">
        <v>100</v>
      </c>
      <c r="P315">
        <v>719043.4</v>
      </c>
      <c r="Q315" t="str">
        <v>116.40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BXQ-847</v>
      </c>
      <c r="D316" t="str">
        <v>BXQ-847</v>
      </c>
      <c r="E316" t="str">
        <v/>
      </c>
      <c r="F316" t="str">
        <v>867162029843950</v>
      </c>
      <c r="G316" t="str">
        <v>TBD</v>
      </c>
      <c r="H316" t="str">
        <v/>
      </c>
      <c r="I316" t="str">
        <v>27/09/2026</v>
      </c>
      <c r="J316" t="str">
        <v>13:18:21</v>
      </c>
      <c r="K316">
        <v>-12.274161</v>
      </c>
      <c r="L316">
        <v>-76.87249</v>
      </c>
      <c r="M316">
        <f>HYPERLINK("https://www.google.com/maps/search/?api=1&amp;query=-12.274161,-76.87249","Antigua Panamericana Sur, Lurín, Lima")</f>
      </c>
      <c r="N316">
        <v>11.7</v>
      </c>
      <c r="O316">
        <v>100</v>
      </c>
      <c r="P316">
        <v>719043.4</v>
      </c>
      <c r="Q316" t="str">
        <v>116.40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BXQ-847</v>
      </c>
      <c r="D317" t="str">
        <v>BXQ-847</v>
      </c>
      <c r="E317" t="str">
        <v/>
      </c>
      <c r="F317" t="str">
        <v>867162029843950</v>
      </c>
      <c r="G317" t="str">
        <v>TBD</v>
      </c>
      <c r="H317" t="str">
        <v/>
      </c>
      <c r="I317" t="str">
        <v>27/09/2026</v>
      </c>
      <c r="J317" t="str">
        <v>13:18:28</v>
      </c>
      <c r="K317">
        <v>-12.274066</v>
      </c>
      <c r="L317">
        <v>-76.87238</v>
      </c>
      <c r="M317">
        <f>HYPERLINK("https://www.google.com/maps/search/?api=1&amp;query=-12.274066,-76.87238","Avenida San Pedro, Lurín, Lima")</f>
      </c>
      <c r="N317">
        <v>10.1</v>
      </c>
      <c r="O317">
        <v>100</v>
      </c>
      <c r="P317">
        <v>719043.5</v>
      </c>
      <c r="Q317" t="str">
        <v>116.40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BXQ-847</v>
      </c>
      <c r="D318" t="str">
        <v>BXQ-847</v>
      </c>
      <c r="E318" t="str">
        <v/>
      </c>
      <c r="F318" t="str">
        <v>867162029843950</v>
      </c>
      <c r="G318" t="str">
        <v>TBD</v>
      </c>
      <c r="H318" t="str">
        <v/>
      </c>
      <c r="I318" t="str">
        <v>27/09/2026</v>
      </c>
      <c r="J318" t="str">
        <v>13:18:33</v>
      </c>
      <c r="K318">
        <v>-12.273922</v>
      </c>
      <c r="L318">
        <v>-76.87248</v>
      </c>
      <c r="M318">
        <f>HYPERLINK("https://www.google.com/maps/search/?api=1&amp;query=-12.273922,-76.87248","Antigua Panamericana Sur, Lurín, Lima")</f>
      </c>
      <c r="N318">
        <v>9.5</v>
      </c>
      <c r="O318">
        <v>100</v>
      </c>
      <c r="P318">
        <v>719043.5</v>
      </c>
      <c r="Q318" t="str">
        <v>116.40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BXQ-847</v>
      </c>
      <c r="D319" t="str">
        <v>BXQ-847</v>
      </c>
      <c r="E319" t="str">
        <v/>
      </c>
      <c r="F319" t="str">
        <v>867162029843950</v>
      </c>
      <c r="G319" t="str">
        <v>TBD</v>
      </c>
      <c r="H319" t="str">
        <v/>
      </c>
      <c r="I319" t="str">
        <v>27/09/2026</v>
      </c>
      <c r="J319" t="str">
        <v>13:19:21</v>
      </c>
      <c r="K319">
        <v>-12.271891</v>
      </c>
      <c r="L319">
        <v>-76.87432</v>
      </c>
      <c r="M319">
        <f>HYPERLINK("https://www.google.com/maps/search/?api=1&amp;query=-12.271891,-76.87432","Antigua Panamericana Sur, Lurín, Lima")</f>
      </c>
      <c r="N319">
        <v>34.5</v>
      </c>
      <c r="O319">
        <v>100</v>
      </c>
      <c r="P319">
        <v>719043.9</v>
      </c>
      <c r="Q319" t="str">
        <v>116.40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BXQ-847</v>
      </c>
      <c r="D320" t="str">
        <v>BXQ-847</v>
      </c>
      <c r="E320" t="str">
        <v/>
      </c>
      <c r="F320" t="str">
        <v>867162029843950</v>
      </c>
      <c r="G320" t="str">
        <v>TBD</v>
      </c>
      <c r="H320" t="str">
        <v/>
      </c>
      <c r="I320" t="str">
        <v>27/09/2026</v>
      </c>
      <c r="J320" t="str">
        <v>13:20:21</v>
      </c>
      <c r="K320">
        <v>-12.266865</v>
      </c>
      <c r="L320">
        <v>-76.878716</v>
      </c>
      <c r="M320">
        <f>HYPERLINK("https://www.google.com/maps/search/?api=1&amp;query=-12.266865,-76.878716","Antigua Panamericana Sur, Lurín, Lima")</f>
      </c>
      <c r="N320">
        <v>30.9</v>
      </c>
      <c r="O320">
        <v>100</v>
      </c>
      <c r="P320">
        <v>719044.5</v>
      </c>
      <c r="Q320" t="str">
        <v>116.40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BXQ-847</v>
      </c>
      <c r="D321" t="str">
        <v>BXQ-847</v>
      </c>
      <c r="E321" t="str">
        <v/>
      </c>
      <c r="F321" t="str">
        <v>867162029843950</v>
      </c>
      <c r="G321" t="str">
        <v>TBD</v>
      </c>
      <c r="H321" t="str">
        <v/>
      </c>
      <c r="I321" t="str">
        <v>27/09/2026</v>
      </c>
      <c r="J321" t="str">
        <v>13:21:21</v>
      </c>
      <c r="K321">
        <v>-12.263606</v>
      </c>
      <c r="L321">
        <v>-76.88157</v>
      </c>
      <c r="M321">
        <f>HYPERLINK("https://www.google.com/maps/search/?api=1&amp;query=-12.263606,-76.88157","Antigua Panamericana Sur, Lurín, Lima")</f>
      </c>
      <c r="N321">
        <v>20.7</v>
      </c>
      <c r="O321">
        <v>100</v>
      </c>
      <c r="P321">
        <v>719045.1</v>
      </c>
      <c r="Q321" t="str">
        <v>116.40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BXQ-847</v>
      </c>
      <c r="D322" t="str">
        <v>BXQ-847</v>
      </c>
      <c r="E322" t="str">
        <v/>
      </c>
      <c r="F322" t="str">
        <v>867162029843950</v>
      </c>
      <c r="G322" t="str">
        <v>TBD</v>
      </c>
      <c r="H322" t="str">
        <v/>
      </c>
      <c r="I322" t="str">
        <v>27/09/2026</v>
      </c>
      <c r="J322" t="str">
        <v>13:22:21</v>
      </c>
      <c r="K322">
        <v>-12.260666</v>
      </c>
      <c r="L322">
        <v>-76.88405</v>
      </c>
      <c r="M322">
        <f>HYPERLINK("https://www.google.com/maps/search/?api=1&amp;query=-12.260666,-76.88405","Lurín, Lima")</f>
      </c>
      <c r="N322">
        <v>0</v>
      </c>
      <c r="O322">
        <v>100</v>
      </c>
      <c r="P322">
        <v>719045.4</v>
      </c>
      <c r="Q322" t="str">
        <v>116.40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BXQ-847</v>
      </c>
      <c r="D323" t="str">
        <v>BXQ-847</v>
      </c>
      <c r="E323" t="str">
        <v/>
      </c>
      <c r="F323" t="str">
        <v>867162029843950</v>
      </c>
      <c r="G323" t="str">
        <v>TBD</v>
      </c>
      <c r="H323" t="str">
        <v/>
      </c>
      <c r="I323" t="str">
        <v>27/09/2026</v>
      </c>
      <c r="J323" t="str">
        <v>13:23:21</v>
      </c>
      <c r="K323">
        <v>-12.260549</v>
      </c>
      <c r="L323">
        <v>-76.88417</v>
      </c>
      <c r="M323">
        <f>HYPERLINK("https://www.google.com/maps/search/?api=1&amp;query=-12.260549,-76.88417","Antigua Panamericana Sur, Lurín, Lima")</f>
      </c>
      <c r="N323">
        <v>0</v>
      </c>
      <c r="O323">
        <v>100</v>
      </c>
      <c r="P323">
        <v>719045.4</v>
      </c>
      <c r="Q323" t="str">
        <v>116.40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BXQ-847</v>
      </c>
      <c r="D324" t="str">
        <v>BXQ-847</v>
      </c>
      <c r="E324" t="str">
        <v/>
      </c>
      <c r="F324" t="str">
        <v>867162029843950</v>
      </c>
      <c r="G324" t="str">
        <v>TBD</v>
      </c>
      <c r="H324" t="str">
        <v/>
      </c>
      <c r="I324" t="str">
        <v>27/09/2026</v>
      </c>
      <c r="J324" t="str">
        <v>13:23:41</v>
      </c>
      <c r="K324">
        <v>-12.260549</v>
      </c>
      <c r="L324">
        <v>-76.88417</v>
      </c>
      <c r="M324">
        <f>HYPERLINK("https://www.google.com/maps/search/?api=1&amp;query=-12.260549,-76.88417","Antigua Panamericana Sur, Lurín, Lima")</f>
      </c>
      <c r="N324">
        <v>0</v>
      </c>
      <c r="O324">
        <v>100</v>
      </c>
      <c r="P324">
        <v>719045.4</v>
      </c>
      <c r="Q324" t="str">
        <v>116.68</v>
      </c>
      <c r="R324" t="str">
        <v>Vehículo apagado</v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BXQ-847</v>
      </c>
      <c r="D325" t="str">
        <v>BXQ-847</v>
      </c>
      <c r="E325" t="str">
        <v/>
      </c>
      <c r="F325" t="str">
        <v>867162029843950</v>
      </c>
      <c r="G325" t="str">
        <v>TBD</v>
      </c>
      <c r="H325" t="str">
        <v/>
      </c>
      <c r="I325" t="str">
        <v>27/09/2026</v>
      </c>
      <c r="J325" t="str">
        <v>13:23:43</v>
      </c>
      <c r="K325">
        <v>-12.260549</v>
      </c>
      <c r="L325">
        <v>-76.88417</v>
      </c>
      <c r="M325">
        <f>HYPERLINK("https://www.google.com/maps/search/?api=1&amp;query=-12.260549,-76.88417","Antigua Panamericana Sur, Lurín, Lima")</f>
      </c>
      <c r="N325">
        <v>0</v>
      </c>
      <c r="O325">
        <v>100</v>
      </c>
      <c r="P325">
        <v>719045.4</v>
      </c>
      <c r="Q325" t="str">
        <v>116.40</v>
      </c>
      <c r="R325" t="str">
        <v>Vehículo encendido</v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BXQ-847</v>
      </c>
      <c r="D326" t="str">
        <v>BXQ-847</v>
      </c>
      <c r="E326" t="str">
        <v/>
      </c>
      <c r="F326" t="str">
        <v>867162029843950</v>
      </c>
      <c r="G326" t="str">
        <v>TBD</v>
      </c>
      <c r="H326" t="str">
        <v/>
      </c>
      <c r="I326" t="str">
        <v>27/09/2026</v>
      </c>
      <c r="J326" t="str">
        <v>13:23:44</v>
      </c>
      <c r="K326">
        <v>-12.260549</v>
      </c>
      <c r="L326">
        <v>-76.88417</v>
      </c>
      <c r="M326">
        <f>HYPERLINK("https://www.google.com/maps/search/?api=1&amp;query=-12.260549,-76.88417","Antigua Panamericana Sur, Lurín, Lima")</f>
      </c>
      <c r="N326">
        <v>0</v>
      </c>
      <c r="O326">
        <v>100</v>
      </c>
      <c r="P326">
        <v>719045.4</v>
      </c>
      <c r="Q326" t="str">
        <v>116.40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BXQ-847</v>
      </c>
      <c r="D327" t="str">
        <v>BXQ-847</v>
      </c>
      <c r="E327" t="str">
        <v/>
      </c>
      <c r="F327" t="str">
        <v>867162029843950</v>
      </c>
      <c r="G327" t="str">
        <v>TBD</v>
      </c>
      <c r="H327" t="str">
        <v/>
      </c>
      <c r="I327" t="str">
        <v>27/09/2026</v>
      </c>
      <c r="J327" t="str">
        <v>13:23:45</v>
      </c>
      <c r="K327">
        <v>-12.260549</v>
      </c>
      <c r="L327">
        <v>-76.88417</v>
      </c>
      <c r="M327">
        <f>HYPERLINK("https://www.google.com/maps/search/?api=1&amp;query=-12.260549,-76.88417","Antigua Panamericana Sur, Lurín, Lima")</f>
      </c>
      <c r="N327">
        <v>0</v>
      </c>
      <c r="O327">
        <v>100</v>
      </c>
      <c r="P327">
        <v>719045.4</v>
      </c>
      <c r="Q327" t="str">
        <v>116.40</v>
      </c>
      <c r="R327" t="str">
        <v>Vehículo apagado</v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BXQ-847</v>
      </c>
      <c r="D328" t="str">
        <v>BXQ-847</v>
      </c>
      <c r="E328" t="str">
        <v/>
      </c>
      <c r="F328" t="str">
        <v>867162029843950</v>
      </c>
      <c r="G328" t="str">
        <v>TBD</v>
      </c>
      <c r="H328" t="str">
        <v/>
      </c>
      <c r="I328" t="str">
        <v>27/09/2026</v>
      </c>
      <c r="J328" t="str">
        <v>13:23:49</v>
      </c>
      <c r="K328">
        <v>-12.260549</v>
      </c>
      <c r="L328">
        <v>-76.88417</v>
      </c>
      <c r="M328">
        <f>HYPERLINK("https://www.google.com/maps/search/?api=1&amp;query=-12.260549,-76.88417","Antigua Panamericana Sur, Lurín, Lima")</f>
      </c>
      <c r="N328">
        <v>0</v>
      </c>
      <c r="O328">
        <v>100</v>
      </c>
      <c r="P328">
        <v>719045.4</v>
      </c>
      <c r="Q328" t="str">
        <v>116.40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BXQ-847</v>
      </c>
      <c r="D329" t="str">
        <v>BXQ-847</v>
      </c>
      <c r="E329" t="str">
        <v/>
      </c>
      <c r="F329" t="str">
        <v>867162029843950</v>
      </c>
      <c r="G329" t="str">
        <v>TBD</v>
      </c>
      <c r="H329" t="str">
        <v/>
      </c>
      <c r="I329" t="str">
        <v>27/09/2026</v>
      </c>
      <c r="J329" t="str">
        <v>13:35:16</v>
      </c>
      <c r="K329">
        <v>-12.260549</v>
      </c>
      <c r="L329">
        <v>-76.88417</v>
      </c>
      <c r="M329">
        <f>HYPERLINK("https://www.google.com/maps/search/?api=1&amp;query=-12.260549,-76.88417","Antigua Panamericana Sur, Lurín, Lima")</f>
      </c>
      <c r="N329">
        <v>0</v>
      </c>
      <c r="O329">
        <v>100</v>
      </c>
      <c r="P329">
        <v>719045.4</v>
      </c>
      <c r="Q329" t="str">
        <v>116.40</v>
      </c>
      <c r="R329" t="str">
        <v>Vehículo encendido</v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BXQ-847</v>
      </c>
      <c r="D330" t="str">
        <v>BXQ-847</v>
      </c>
      <c r="E330" t="str">
        <v/>
      </c>
      <c r="F330" t="str">
        <v>867162029843950</v>
      </c>
      <c r="G330" t="str">
        <v>TBD</v>
      </c>
      <c r="H330" t="str">
        <v/>
      </c>
      <c r="I330" t="str">
        <v>27/09/2026</v>
      </c>
      <c r="J330" t="str">
        <v>13:35:19</v>
      </c>
      <c r="K330">
        <v>-12.260534</v>
      </c>
      <c r="L330">
        <v>-76.884186</v>
      </c>
      <c r="M330">
        <f>HYPERLINK("https://www.google.com/maps/search/?api=1&amp;query=-12.260534,-76.884186","Antigua Panamericana Sur, Lurín, Lima")</f>
      </c>
      <c r="N330">
        <v>0</v>
      </c>
      <c r="O330">
        <v>100</v>
      </c>
      <c r="P330">
        <v>719045.4</v>
      </c>
      <c r="Q330" t="str">
        <v>116.40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BXQ-847</v>
      </c>
      <c r="D331" t="str">
        <v>BXQ-847</v>
      </c>
      <c r="E331" t="str">
        <v/>
      </c>
      <c r="F331" t="str">
        <v>867162029843950</v>
      </c>
      <c r="G331" t="str">
        <v>TBD</v>
      </c>
      <c r="H331" t="str">
        <v/>
      </c>
      <c r="I331" t="str">
        <v>27/09/2026</v>
      </c>
      <c r="J331" t="str">
        <v>13:36:18</v>
      </c>
      <c r="K331">
        <v>-12.25947</v>
      </c>
      <c r="L331">
        <v>-76.88537</v>
      </c>
      <c r="M331">
        <f>HYPERLINK("https://www.google.com/maps/search/?api=1&amp;query=-12.25947,-76.88537","Antigua Panamericana Sur, Lurín, Lima")</f>
      </c>
      <c r="N331">
        <v>39.7</v>
      </c>
      <c r="O331">
        <v>100</v>
      </c>
      <c r="P331">
        <v>719045.6</v>
      </c>
      <c r="Q331" t="str">
        <v>116.40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BXQ-847</v>
      </c>
      <c r="D332" t="str">
        <v>BXQ-847</v>
      </c>
      <c r="E332" t="str">
        <v/>
      </c>
      <c r="F332" t="str">
        <v>867162029843950</v>
      </c>
      <c r="G332" t="str">
        <v>TBD</v>
      </c>
      <c r="H332" t="str">
        <v/>
      </c>
      <c r="I332" t="str">
        <v>27/09/2026</v>
      </c>
      <c r="J332" t="str">
        <v>13:37:18</v>
      </c>
      <c r="K332">
        <v>-12.253876</v>
      </c>
      <c r="L332">
        <v>-76.891716</v>
      </c>
      <c r="M332">
        <f>HYPERLINK("https://www.google.com/maps/search/?api=1&amp;query=-12.253876,-76.891716","Antigua Panamericana Sur, Lurín, Lima")</f>
      </c>
      <c r="N332">
        <v>67.1</v>
      </c>
      <c r="O332">
        <v>100</v>
      </c>
      <c r="P332">
        <v>719046.6</v>
      </c>
      <c r="Q332" t="str">
        <v>116.40</v>
      </c>
      <c r="R332" t="str">
        <v>Exceso de velocidad en segmento vial</v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BXQ-847</v>
      </c>
      <c r="D333" t="str">
        <v>BXQ-847</v>
      </c>
      <c r="E333" t="str">
        <v/>
      </c>
      <c r="F333" t="str">
        <v>867162029843950</v>
      </c>
      <c r="G333" t="str">
        <v>TBD</v>
      </c>
      <c r="H333" t="str">
        <v/>
      </c>
      <c r="I333" t="str">
        <v>27/09/2026</v>
      </c>
      <c r="J333" t="str">
        <v>13:38:18</v>
      </c>
      <c r="K333">
        <v>-12.252632</v>
      </c>
      <c r="L333">
        <v>-76.894966</v>
      </c>
      <c r="M333">
        <f>HYPERLINK("https://www.google.com/maps/search/?api=1&amp;query=-12.252632,-76.894966","Antigua Panamericana Sur, Lurín, Lima")</f>
      </c>
      <c r="N333">
        <v>0</v>
      </c>
      <c r="O333">
        <v>100</v>
      </c>
      <c r="P333">
        <v>719046.9</v>
      </c>
      <c r="Q333" t="str">
        <v>116.40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BXQ-847</v>
      </c>
      <c r="D334" t="str">
        <v>BXQ-847</v>
      </c>
      <c r="E334" t="str">
        <v/>
      </c>
      <c r="F334" t="str">
        <v>867162029843950</v>
      </c>
      <c r="G334" t="str">
        <v>TBD</v>
      </c>
      <c r="H334" t="str">
        <v/>
      </c>
      <c r="I334" t="str">
        <v>27/09/2026</v>
      </c>
      <c r="J334" t="str">
        <v>13:39:18</v>
      </c>
      <c r="K334">
        <v>-12.252402</v>
      </c>
      <c r="L334">
        <v>-76.89607</v>
      </c>
      <c r="M334">
        <f>HYPERLINK("https://www.google.com/maps/search/?api=1&amp;query=-12.252402,-76.89607","Antigua Panamericana Sur, Lurín, Lima")</f>
      </c>
      <c r="N334">
        <v>0</v>
      </c>
      <c r="O334">
        <v>100</v>
      </c>
      <c r="P334">
        <v>719047.1</v>
      </c>
      <c r="Q334" t="str">
        <v>116.40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BXQ-847</v>
      </c>
      <c r="D335" t="str">
        <v>BXQ-847</v>
      </c>
      <c r="E335" t="str">
        <v/>
      </c>
      <c r="F335" t="str">
        <v>867162029843950</v>
      </c>
      <c r="G335" t="str">
        <v>TBD</v>
      </c>
      <c r="H335" t="str">
        <v/>
      </c>
      <c r="I335" t="str">
        <v>27/09/2026</v>
      </c>
      <c r="J335" t="str">
        <v>13:39:44</v>
      </c>
      <c r="K335">
        <v>-12.252371</v>
      </c>
      <c r="L335">
        <v>-76.89628</v>
      </c>
      <c r="M335">
        <f>HYPERLINK("https://www.google.com/maps/search/?api=1&amp;query=-12.252371,-76.89628","Antigua Panamericana Sur, Lurín, Lima")</f>
      </c>
      <c r="N335">
        <v>8.6</v>
      </c>
      <c r="O335">
        <v>100</v>
      </c>
      <c r="P335">
        <v>719047.1</v>
      </c>
      <c r="Q335" t="str">
        <v>116.40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BXQ-847</v>
      </c>
      <c r="D336" t="str">
        <v>BXQ-847</v>
      </c>
      <c r="E336" t="str">
        <v/>
      </c>
      <c r="F336" t="str">
        <v>867162029843950</v>
      </c>
      <c r="G336" t="str">
        <v>TBD</v>
      </c>
      <c r="H336" t="str">
        <v/>
      </c>
      <c r="I336" t="str">
        <v>27/09/2026</v>
      </c>
      <c r="J336" t="str">
        <v>13:40:18</v>
      </c>
      <c r="K336">
        <v>-12.252375</v>
      </c>
      <c r="L336">
        <v>-76.89662</v>
      </c>
      <c r="M336">
        <f>HYPERLINK("https://www.google.com/maps/search/?api=1&amp;query=-12.252375,-76.89662","Antigua Panamericana Sur, Lurín, Lima")</f>
      </c>
      <c r="N336">
        <v>5.4</v>
      </c>
      <c r="O336">
        <v>100</v>
      </c>
      <c r="P336">
        <v>719047.1</v>
      </c>
      <c r="Q336" t="str">
        <v>116.40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BXQ-847</v>
      </c>
      <c r="D337" t="str">
        <v>BXQ-847</v>
      </c>
      <c r="E337" t="str">
        <v/>
      </c>
      <c r="F337" t="str">
        <v>867162029843950</v>
      </c>
      <c r="G337" t="str">
        <v>TBD</v>
      </c>
      <c r="H337" t="str">
        <v/>
      </c>
      <c r="I337" t="str">
        <v>27/09/2026</v>
      </c>
      <c r="J337" t="str">
        <v>13:41:18</v>
      </c>
      <c r="K337">
        <v>-12.25286</v>
      </c>
      <c r="L337">
        <v>-76.89876</v>
      </c>
      <c r="M337">
        <f>HYPERLINK("https://www.google.com/maps/search/?api=1&amp;query=-12.25286,-76.89876","Antigua Panamericana Sur, Lurín, Lima")</f>
      </c>
      <c r="N337">
        <v>24.9</v>
      </c>
      <c r="O337">
        <v>100</v>
      </c>
      <c r="P337">
        <v>719047.4</v>
      </c>
      <c r="Q337" t="str">
        <v>116.40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BXQ-847</v>
      </c>
      <c r="D338" t="str">
        <v>BXQ-847</v>
      </c>
      <c r="E338" t="str">
        <v/>
      </c>
      <c r="F338" t="str">
        <v>867162029843950</v>
      </c>
      <c r="G338" t="str">
        <v>TBD</v>
      </c>
      <c r="H338" t="str">
        <v/>
      </c>
      <c r="I338" t="str">
        <v>27/09/2026</v>
      </c>
      <c r="J338" t="str">
        <v>13:42:18</v>
      </c>
      <c r="K338">
        <v>-12.253541</v>
      </c>
      <c r="L338">
        <v>-76.901665</v>
      </c>
      <c r="M338">
        <f>HYPERLINK("https://www.google.com/maps/search/?api=1&amp;query=-12.253541,-76.901665","Antigua Panamericana Sur, Lurín, Lima")</f>
      </c>
      <c r="N338">
        <v>17.4</v>
      </c>
      <c r="O338">
        <v>100</v>
      </c>
      <c r="P338">
        <v>719047.7</v>
      </c>
      <c r="Q338" t="str">
        <v>116.40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BXQ-847</v>
      </c>
      <c r="D339" t="str">
        <v>BXQ-847</v>
      </c>
      <c r="E339" t="str">
        <v/>
      </c>
      <c r="F339" t="str">
        <v>867162029843950</v>
      </c>
      <c r="G339" t="str">
        <v>TBD</v>
      </c>
      <c r="H339" t="str">
        <v/>
      </c>
      <c r="I339" t="str">
        <v>27/09/2026</v>
      </c>
      <c r="J339" t="str">
        <v>13:43:18</v>
      </c>
      <c r="K339">
        <v>-12.253804</v>
      </c>
      <c r="L339">
        <v>-76.904366</v>
      </c>
      <c r="M339">
        <f>HYPERLINK("https://www.google.com/maps/search/?api=1&amp;query=-12.253804,-76.904366","Avenida Lima, Lurín")</f>
      </c>
      <c r="N339">
        <v>24.9</v>
      </c>
      <c r="O339">
        <v>100</v>
      </c>
      <c r="P339">
        <v>719048</v>
      </c>
      <c r="Q339" t="str">
        <v>116.40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BXQ-847</v>
      </c>
      <c r="D340" t="str">
        <v>BXQ-847</v>
      </c>
      <c r="E340" t="str">
        <v/>
      </c>
      <c r="F340" t="str">
        <v>867162029843950</v>
      </c>
      <c r="G340" t="str">
        <v>TBD</v>
      </c>
      <c r="H340" t="str">
        <v/>
      </c>
      <c r="I340" t="str">
        <v>27/09/2026</v>
      </c>
      <c r="J340" t="str">
        <v>13:44:18</v>
      </c>
      <c r="K340">
        <v>-12.248846</v>
      </c>
      <c r="L340">
        <v>-76.90671</v>
      </c>
      <c r="M340">
        <f>HYPERLINK("https://www.google.com/maps/search/?api=1&amp;query=-12.248846,-76.90671","Avenida Lima, Lurín")</f>
      </c>
      <c r="N340">
        <v>55.6</v>
      </c>
      <c r="O340">
        <v>100</v>
      </c>
      <c r="P340">
        <v>719048.6</v>
      </c>
      <c r="Q340" t="str">
        <v>116.40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BXQ-847</v>
      </c>
      <c r="D341" t="str">
        <v>BXQ-847</v>
      </c>
      <c r="E341" t="str">
        <v/>
      </c>
      <c r="F341" t="str">
        <v>867162029843950</v>
      </c>
      <c r="G341" t="str">
        <v>TBD</v>
      </c>
      <c r="H341" t="str">
        <v/>
      </c>
      <c r="I341" t="str">
        <v>27/09/2026</v>
      </c>
      <c r="J341" t="str">
        <v>13:45:18</v>
      </c>
      <c r="K341">
        <v>-12.243837</v>
      </c>
      <c r="L341">
        <v>-76.9096</v>
      </c>
      <c r="M341">
        <f>HYPERLINK("https://www.google.com/maps/search/?api=1&amp;query=-12.243837,-76.9096","Avenida Lima, Lurín")</f>
      </c>
      <c r="N341">
        <v>27.7</v>
      </c>
      <c r="O341">
        <v>100</v>
      </c>
      <c r="P341">
        <v>719049.3</v>
      </c>
      <c r="Q341" t="str">
        <v>116.40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BXQ-847</v>
      </c>
      <c r="D342" t="str">
        <v>BXQ-847</v>
      </c>
      <c r="E342" t="str">
        <v/>
      </c>
      <c r="F342" t="str">
        <v>867162029843950</v>
      </c>
      <c r="G342" t="str">
        <v>TBD</v>
      </c>
      <c r="H342" t="str">
        <v/>
      </c>
      <c r="I342" t="str">
        <v>27/09/2026</v>
      </c>
      <c r="J342" t="str">
        <v>13:46:18</v>
      </c>
      <c r="K342">
        <v>-12.240667</v>
      </c>
      <c r="L342">
        <v>-76.91166</v>
      </c>
      <c r="M342">
        <f>HYPERLINK("https://www.google.com/maps/search/?api=1&amp;query=-12.240667,-76.91166","Avenida Lima, Villa El Salvador")</f>
      </c>
      <c r="N342">
        <v>32.5</v>
      </c>
      <c r="O342">
        <v>100</v>
      </c>
      <c r="P342">
        <v>719049.7</v>
      </c>
      <c r="Q342" t="str">
        <v>116.40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BXQ-847</v>
      </c>
      <c r="D343" t="str">
        <v>BXQ-847</v>
      </c>
      <c r="E343" t="str">
        <v/>
      </c>
      <c r="F343" t="str">
        <v>867162029843950</v>
      </c>
      <c r="G343" t="str">
        <v>TBD</v>
      </c>
      <c r="H343" t="str">
        <v/>
      </c>
      <c r="I343" t="str">
        <v>27/09/2026</v>
      </c>
      <c r="J343" t="str">
        <v>13:47:05</v>
      </c>
      <c r="K343">
        <v>-12.239097</v>
      </c>
      <c r="L343">
        <v>-76.9124</v>
      </c>
      <c r="M343">
        <f>HYPERLINK("https://www.google.com/maps/search/?api=1&amp;query=-12.239097,-76.9124","Avenida Lima, Villa El Salvador")</f>
      </c>
      <c r="N343">
        <v>32.2</v>
      </c>
      <c r="O343">
        <v>100</v>
      </c>
      <c r="P343">
        <v>719049.8</v>
      </c>
      <c r="Q343" t="str">
        <v>116.40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BXQ-847</v>
      </c>
      <c r="D344" t="str">
        <v>BXQ-847</v>
      </c>
      <c r="E344" t="str">
        <v/>
      </c>
      <c r="F344" t="str">
        <v>867162029843950</v>
      </c>
      <c r="G344" t="str">
        <v>TBD</v>
      </c>
      <c r="H344" t="str">
        <v/>
      </c>
      <c r="I344" t="str">
        <v>27/09/2026</v>
      </c>
      <c r="J344" t="str">
        <v>13:47:18</v>
      </c>
      <c r="K344">
        <v>-12.238776</v>
      </c>
      <c r="L344">
        <v>-76.91245</v>
      </c>
      <c r="M344">
        <f>HYPERLINK("https://www.google.com/maps/search/?api=1&amp;query=-12.238776,-76.91245","Avenida Lima, Villa El Salvador")</f>
      </c>
      <c r="N344">
        <v>0.1</v>
      </c>
      <c r="O344">
        <v>100</v>
      </c>
      <c r="P344">
        <v>719049.9</v>
      </c>
      <c r="Q344" t="str">
        <v>116.40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BXQ-847</v>
      </c>
      <c r="D345" t="str">
        <v>BXQ-847</v>
      </c>
      <c r="E345" t="str">
        <v/>
      </c>
      <c r="F345" t="str">
        <v>867162029843950</v>
      </c>
      <c r="G345" t="str">
        <v>TBD</v>
      </c>
      <c r="H345" t="str">
        <v/>
      </c>
      <c r="I345" t="str">
        <v>27/09/2026</v>
      </c>
      <c r="J345" t="str">
        <v>13:47:52</v>
      </c>
      <c r="K345">
        <v>-12.237021</v>
      </c>
      <c r="L345">
        <v>-76.91235</v>
      </c>
      <c r="M345">
        <f>HYPERLINK("https://www.google.com/maps/search/?api=1&amp;query=-12.237021,-76.91235","Avenida Lima, Villa El Salvador")</f>
      </c>
      <c r="N345">
        <v>34</v>
      </c>
      <c r="O345">
        <v>100</v>
      </c>
      <c r="P345">
        <v>719050.1</v>
      </c>
      <c r="Q345" t="str">
        <v>116.40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BXQ-847</v>
      </c>
      <c r="D346" t="str">
        <v>BXQ-847</v>
      </c>
      <c r="E346" t="str">
        <v/>
      </c>
      <c r="F346" t="str">
        <v>867162029843950</v>
      </c>
      <c r="G346" t="str">
        <v>TBD</v>
      </c>
      <c r="H346" t="str">
        <v/>
      </c>
      <c r="I346" t="str">
        <v>27/09/2026</v>
      </c>
      <c r="J346" t="str">
        <v>13:48:18</v>
      </c>
      <c r="K346">
        <v>-12.235567</v>
      </c>
      <c r="L346">
        <v>-76.9118</v>
      </c>
      <c r="M346">
        <f>HYPERLINK("https://www.google.com/maps/search/?api=1&amp;query=-12.235567,-76.9118","Avenida Lima, Villa El Salvador")</f>
      </c>
      <c r="N346">
        <v>36.2</v>
      </c>
      <c r="O346">
        <v>100</v>
      </c>
      <c r="P346">
        <v>719050.3</v>
      </c>
      <c r="Q346" t="str">
        <v>116.40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BXQ-847</v>
      </c>
      <c r="D347" t="str">
        <v>BXQ-847</v>
      </c>
      <c r="E347" t="str">
        <v/>
      </c>
      <c r="F347" t="str">
        <v>867162029843950</v>
      </c>
      <c r="G347" t="str">
        <v>TBD</v>
      </c>
      <c r="H347" t="str">
        <v/>
      </c>
      <c r="I347" t="str">
        <v>27/09/2026</v>
      </c>
      <c r="J347" t="str">
        <v>13:49:18</v>
      </c>
      <c r="K347">
        <v>-12.231158</v>
      </c>
      <c r="L347">
        <v>-76.91008</v>
      </c>
      <c r="M347">
        <f>HYPERLINK("https://www.google.com/maps/search/?api=1&amp;query=-12.231158,-76.91008","Avenida Lima, Villa María del Triunfo")</f>
      </c>
      <c r="N347">
        <v>43.8</v>
      </c>
      <c r="O347">
        <v>100</v>
      </c>
      <c r="P347">
        <v>719050.8</v>
      </c>
      <c r="Q347" t="str">
        <v>116.40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BXQ-847</v>
      </c>
      <c r="D348" t="str">
        <v>BXQ-847</v>
      </c>
      <c r="E348" t="str">
        <v/>
      </c>
      <c r="F348" t="str">
        <v>867162029843950</v>
      </c>
      <c r="G348" t="str">
        <v>TBD</v>
      </c>
      <c r="H348" t="str">
        <v/>
      </c>
      <c r="I348" t="str">
        <v>27/09/2026</v>
      </c>
      <c r="J348" t="str">
        <v>13:50:05</v>
      </c>
      <c r="K348">
        <v>-12.229302</v>
      </c>
      <c r="L348">
        <v>-76.909256</v>
      </c>
      <c r="M348">
        <f>HYPERLINK("https://www.google.com/maps/search/?api=1&amp;query=-12.229302,-76.909256","Avenida Los Cipreces, Villa María del Triunfo, Lima")</f>
      </c>
      <c r="N348">
        <v>19</v>
      </c>
      <c r="O348">
        <v>100</v>
      </c>
      <c r="P348">
        <v>719051</v>
      </c>
      <c r="Q348" t="str">
        <v>116.40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BXQ-847</v>
      </c>
      <c r="D349" t="str">
        <v>BXQ-847</v>
      </c>
      <c r="E349" t="str">
        <v/>
      </c>
      <c r="F349" t="str">
        <v>867162029843950</v>
      </c>
      <c r="G349" t="str">
        <v>TBD</v>
      </c>
      <c r="H349" t="str">
        <v/>
      </c>
      <c r="I349" t="str">
        <v>27/09/2026</v>
      </c>
      <c r="J349" t="str">
        <v>13:50:18</v>
      </c>
      <c r="K349">
        <v>-12.229354</v>
      </c>
      <c r="L349">
        <v>-76.90892</v>
      </c>
      <c r="M349">
        <f>HYPERLINK("https://www.google.com/maps/search/?api=1&amp;query=-12.229354,-76.90892","Avenida Los Cipreces, Villa María del Triunfo, Lima")</f>
      </c>
      <c r="N349">
        <v>20.9</v>
      </c>
      <c r="O349">
        <v>100</v>
      </c>
      <c r="P349">
        <v>719051.1</v>
      </c>
      <c r="Q349" t="str">
        <v>116.40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BXQ-847</v>
      </c>
      <c r="D350" t="str">
        <v>BXQ-847</v>
      </c>
      <c r="E350" t="str">
        <v/>
      </c>
      <c r="F350" t="str">
        <v>867162029843950</v>
      </c>
      <c r="G350" t="str">
        <v>TBD</v>
      </c>
      <c r="H350" t="str">
        <v/>
      </c>
      <c r="I350" t="str">
        <v>27/09/2026</v>
      </c>
      <c r="J350" t="str">
        <v>13:51:18</v>
      </c>
      <c r="K350">
        <v>-12.229768</v>
      </c>
      <c r="L350">
        <v>-76.90544</v>
      </c>
      <c r="M350">
        <f>HYPERLINK("https://www.google.com/maps/search/?api=1&amp;query=-12.229768,-76.90544","Avenida Los Cipreces, Villa María del Triunfo, Lima")</f>
      </c>
      <c r="N350">
        <v>21</v>
      </c>
      <c r="O350">
        <v>100</v>
      </c>
      <c r="P350">
        <v>719051.4</v>
      </c>
      <c r="Q350" t="str">
        <v>116.40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BXQ-847</v>
      </c>
      <c r="D351" t="str">
        <v>BXQ-847</v>
      </c>
      <c r="E351" t="str">
        <v/>
      </c>
      <c r="F351" t="str">
        <v>867162029843950</v>
      </c>
      <c r="G351" t="str">
        <v>TBD</v>
      </c>
      <c r="H351" t="str">
        <v/>
      </c>
      <c r="I351" t="str">
        <v>27/09/2026</v>
      </c>
      <c r="J351" t="str">
        <v>13:51:25</v>
      </c>
      <c r="K351">
        <v>-12.229791</v>
      </c>
      <c r="L351">
        <v>-76.90495</v>
      </c>
      <c r="M351">
        <f>HYPERLINK("https://www.google.com/maps/search/?api=1&amp;query=-12.229791,-76.90495","Avenida Los Cipreces, Villa María del Triunfo, Lima")</f>
      </c>
      <c r="N351">
        <v>14.5</v>
      </c>
      <c r="O351">
        <v>100</v>
      </c>
      <c r="P351">
        <v>719051.5</v>
      </c>
      <c r="Q351" t="str">
        <v>116.40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BXQ-847</v>
      </c>
      <c r="D352" t="str">
        <v>BXQ-847</v>
      </c>
      <c r="E352" t="str">
        <v/>
      </c>
      <c r="F352" t="str">
        <v>867162029843950</v>
      </c>
      <c r="G352" t="str">
        <v>TBD</v>
      </c>
      <c r="H352" t="str">
        <v/>
      </c>
      <c r="I352" t="str">
        <v>27/09/2026</v>
      </c>
      <c r="J352" t="str">
        <v>13:52:18</v>
      </c>
      <c r="K352">
        <v>-12.231348</v>
      </c>
      <c r="L352">
        <v>-76.90438</v>
      </c>
      <c r="M352">
        <f>HYPERLINK("https://www.google.com/maps/search/?api=1&amp;query=-12.231348,-76.90438","Avenida Los Cipreces, Lurín, Lima")</f>
      </c>
      <c r="N352">
        <v>15.9</v>
      </c>
      <c r="O352">
        <v>100</v>
      </c>
      <c r="P352">
        <v>719051.7</v>
      </c>
      <c r="Q352" t="str">
        <v>116.40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BXQ-847</v>
      </c>
      <c r="D353" t="str">
        <v>BXQ-847</v>
      </c>
      <c r="E353" t="str">
        <v/>
      </c>
      <c r="F353" t="str">
        <v>867162029843950</v>
      </c>
      <c r="G353" t="str">
        <v>TBD</v>
      </c>
      <c r="H353" t="str">
        <v/>
      </c>
      <c r="I353" t="str">
        <v>27/09/2026</v>
      </c>
      <c r="J353" t="str">
        <v>13:52:43</v>
      </c>
      <c r="K353">
        <v>-12.232437</v>
      </c>
      <c r="L353">
        <v>-76.903656</v>
      </c>
      <c r="M353">
        <f>HYPERLINK("https://www.google.com/maps/search/?api=1&amp;query=-12.232437,-76.903656","Avenida Los Cipreces, Lurín, Lima")</f>
      </c>
      <c r="N353">
        <v>9.7</v>
      </c>
      <c r="O353">
        <v>100</v>
      </c>
      <c r="P353">
        <v>719051.8</v>
      </c>
      <c r="Q353" t="str">
        <v>116.40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BXQ-847</v>
      </c>
      <c r="D354" t="str">
        <v>BXQ-847</v>
      </c>
      <c r="E354" t="str">
        <v/>
      </c>
      <c r="F354" t="str">
        <v>867162029843950</v>
      </c>
      <c r="G354" t="str">
        <v>TBD</v>
      </c>
      <c r="H354" t="str">
        <v/>
      </c>
      <c r="I354" t="str">
        <v>27/09/2026</v>
      </c>
      <c r="J354" t="str">
        <v>13:52:46</v>
      </c>
      <c r="K354">
        <v>-12.232418</v>
      </c>
      <c r="L354">
        <v>-76.90357</v>
      </c>
      <c r="M354">
        <f>HYPERLINK("https://www.google.com/maps/search/?api=1&amp;query=-12.232418,-76.90357","Jirón Los Sauces, Lurín, Lima")</f>
      </c>
      <c r="N354">
        <v>13</v>
      </c>
      <c r="O354">
        <v>100</v>
      </c>
      <c r="P354">
        <v>719051.8</v>
      </c>
      <c r="Q354" t="str">
        <v>116.40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BXQ-847</v>
      </c>
      <c r="D355" t="str">
        <v>BXQ-847</v>
      </c>
      <c r="E355" t="str">
        <v/>
      </c>
      <c r="F355" t="str">
        <v>867162029843950</v>
      </c>
      <c r="G355" t="str">
        <v>TBD</v>
      </c>
      <c r="H355" t="str">
        <v/>
      </c>
      <c r="I355" t="str">
        <v>27/09/2026</v>
      </c>
      <c r="J355" t="str">
        <v>13:52:50</v>
      </c>
      <c r="K355">
        <v>-12.232324</v>
      </c>
      <c r="L355">
        <v>-76.90355</v>
      </c>
      <c r="M355">
        <f>HYPERLINK("https://www.google.com/maps/search/?api=1&amp;query=-12.232324,-76.90355","Jirón Los Sauces, Lurín, Lima")</f>
      </c>
      <c r="N355">
        <v>12.1</v>
      </c>
      <c r="O355">
        <v>100</v>
      </c>
      <c r="P355">
        <v>719051.8</v>
      </c>
      <c r="Q355" t="str">
        <v>116.40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BXQ-847</v>
      </c>
      <c r="D356" t="str">
        <v>BXQ-847</v>
      </c>
      <c r="E356" t="str">
        <v/>
      </c>
      <c r="F356" t="str">
        <v>867162029843950</v>
      </c>
      <c r="G356" t="str">
        <v>TBD</v>
      </c>
      <c r="H356" t="str">
        <v/>
      </c>
      <c r="I356" t="str">
        <v>27/09/2026</v>
      </c>
      <c r="J356" t="str">
        <v>13:53:18</v>
      </c>
      <c r="K356">
        <v>-12.23172</v>
      </c>
      <c r="L356">
        <v>-76.90341</v>
      </c>
      <c r="M356">
        <f>HYPERLINK("https://www.google.com/maps/search/?api=1&amp;query=-12.23172,-76.90341","Jirón Los Sauces, Lurín, Lima")</f>
      </c>
      <c r="N356">
        <v>9.1</v>
      </c>
      <c r="O356">
        <v>100</v>
      </c>
      <c r="P356">
        <v>719051.9</v>
      </c>
      <c r="Q356" t="str">
        <v>116.40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BXQ-847</v>
      </c>
      <c r="D357" t="str">
        <v>BXQ-847</v>
      </c>
      <c r="E357" t="str">
        <v/>
      </c>
      <c r="F357" t="str">
        <v>867162029843950</v>
      </c>
      <c r="G357" t="str">
        <v>TBD</v>
      </c>
      <c r="H357" t="str">
        <v/>
      </c>
      <c r="I357" t="str">
        <v>27/09/2026</v>
      </c>
      <c r="J357" t="str">
        <v>13:54:18</v>
      </c>
      <c r="K357">
        <v>-12.230343</v>
      </c>
      <c r="L357">
        <v>-76.90309</v>
      </c>
      <c r="M357">
        <f>HYPERLINK("https://www.google.com/maps/search/?api=1&amp;query=-12.230343,-76.90309","Jirón Los Sauces, Lurín, Lima")</f>
      </c>
      <c r="N357">
        <v>6.6</v>
      </c>
      <c r="O357">
        <v>100</v>
      </c>
      <c r="P357">
        <v>719052.1</v>
      </c>
      <c r="Q357" t="str">
        <v>116.40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BXQ-847</v>
      </c>
      <c r="D358" t="str">
        <v>BXQ-847</v>
      </c>
      <c r="E358" t="str">
        <v/>
      </c>
      <c r="F358" t="str">
        <v>867162029843950</v>
      </c>
      <c r="G358" t="str">
        <v>TBD</v>
      </c>
      <c r="H358" t="str">
        <v/>
      </c>
      <c r="I358" t="str">
        <v>27/09/2026</v>
      </c>
      <c r="J358" t="str">
        <v>13:54:35</v>
      </c>
      <c r="K358">
        <v>-12.22983</v>
      </c>
      <c r="L358">
        <v>-76.90291</v>
      </c>
      <c r="M358">
        <f>HYPERLINK("https://www.google.com/maps/search/?api=1&amp;query=-12.22983,-76.90291","Jirón Los Sauces, Lurín, Lima")</f>
      </c>
      <c r="N358">
        <v>4.7</v>
      </c>
      <c r="O358">
        <v>100</v>
      </c>
      <c r="P358">
        <v>719052.1</v>
      </c>
      <c r="Q358" t="str">
        <v>116.40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BXQ-847</v>
      </c>
      <c r="D359" t="str">
        <v>BXQ-847</v>
      </c>
      <c r="E359" t="str">
        <v/>
      </c>
      <c r="F359" t="str">
        <v>867162029843950</v>
      </c>
      <c r="G359" t="str">
        <v>TBD</v>
      </c>
      <c r="H359" t="str">
        <v/>
      </c>
      <c r="I359" t="str">
        <v>27/09/2026</v>
      </c>
      <c r="J359" t="str">
        <v>13:54:58</v>
      </c>
      <c r="K359">
        <v>-12.230005</v>
      </c>
      <c r="L359">
        <v>-76.90229</v>
      </c>
      <c r="M359">
        <f>HYPERLINK("https://www.google.com/maps/search/?api=1&amp;query=-12.230005,-76.90229","Lurín, Lima")</f>
      </c>
      <c r="N359">
        <v>0</v>
      </c>
      <c r="O359">
        <v>100</v>
      </c>
      <c r="P359">
        <v>719052.2</v>
      </c>
      <c r="Q359" t="str">
        <v>116.73</v>
      </c>
      <c r="R359" t="str">
        <v>Vehículo apagado</v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BXQ-847</v>
      </c>
      <c r="D360" t="str">
        <v>BXQ-847</v>
      </c>
      <c r="E360" t="str">
        <v/>
      </c>
      <c r="F360" t="str">
        <v>867162029843950</v>
      </c>
      <c r="G360" t="str">
        <v>TBD</v>
      </c>
      <c r="H360" t="str">
        <v/>
      </c>
      <c r="I360" t="str">
        <v>27/09/2026</v>
      </c>
      <c r="J360" t="str">
        <v>13:55:00</v>
      </c>
      <c r="K360">
        <v>-12.230005</v>
      </c>
      <c r="L360">
        <v>-76.90229</v>
      </c>
      <c r="M360">
        <f>HYPERLINK("https://www.google.com/maps/search/?api=1&amp;query=-12.230005,-76.90229","Lurín, Lima")</f>
      </c>
      <c r="N360">
        <v>0</v>
      </c>
      <c r="O360">
        <v>100</v>
      </c>
      <c r="P360">
        <v>719052.2</v>
      </c>
      <c r="Q360" t="str">
        <v>116.40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BXQ-847</v>
      </c>
      <c r="D361" t="str">
        <v>BXQ-847</v>
      </c>
      <c r="E361" t="str">
        <v/>
      </c>
      <c r="F361" t="str">
        <v>867162029843950</v>
      </c>
      <c r="G361" t="str">
        <v>TBD</v>
      </c>
      <c r="H361" t="str">
        <v/>
      </c>
      <c r="I361" t="str">
        <v>27/09/2026</v>
      </c>
      <c r="J361" t="str">
        <v>14:25:01</v>
      </c>
      <c r="K361">
        <v>-12.230005</v>
      </c>
      <c r="L361">
        <v>-76.90229</v>
      </c>
      <c r="M361">
        <f>HYPERLINK("https://www.google.com/maps/search/?api=1&amp;query=-12.230005,-76.90229","Lurín, Lima")</f>
      </c>
      <c r="N361">
        <v>0</v>
      </c>
      <c r="O361">
        <v>100</v>
      </c>
      <c r="P361">
        <v>719052.2</v>
      </c>
      <c r="Q361" t="str">
        <v>116.73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BXQ-847</v>
      </c>
      <c r="D362" t="str">
        <v>BXQ-847</v>
      </c>
      <c r="E362" t="str">
        <v/>
      </c>
      <c r="F362" t="str">
        <v>867162029843950</v>
      </c>
      <c r="G362" t="str">
        <v>TBD</v>
      </c>
      <c r="H362" t="str">
        <v/>
      </c>
      <c r="I362" t="str">
        <v>27/09/2026</v>
      </c>
      <c r="J362" t="str">
        <v>14:55:06</v>
      </c>
      <c r="K362">
        <v>-12.230005</v>
      </c>
      <c r="L362">
        <v>-76.90229</v>
      </c>
      <c r="M362">
        <f>HYPERLINK("https://www.google.com/maps/search/?api=1&amp;query=-12.230005,-76.90229","Lurín, Lima")</f>
      </c>
      <c r="N362">
        <v>0</v>
      </c>
      <c r="O362">
        <v>100</v>
      </c>
      <c r="P362">
        <v>719052.2</v>
      </c>
      <c r="Q362" t="str">
        <v>117.00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BXQ-847</v>
      </c>
      <c r="D363" t="str">
        <v>BXQ-847</v>
      </c>
      <c r="E363" t="str">
        <v/>
      </c>
      <c r="F363" t="str">
        <v>867162029843950</v>
      </c>
      <c r="G363" t="str">
        <v>TBD</v>
      </c>
      <c r="H363" t="str">
        <v/>
      </c>
      <c r="I363" t="str">
        <v>27/09/2026</v>
      </c>
      <c r="J363" t="str">
        <v>15:25:10</v>
      </c>
      <c r="K363">
        <v>-12.230005</v>
      </c>
      <c r="L363">
        <v>-76.90229</v>
      </c>
      <c r="M363">
        <f>HYPERLINK("https://www.google.com/maps/search/?api=1&amp;query=-12.230005,-76.90229","Lurín, Lima")</f>
      </c>
      <c r="N363">
        <v>0</v>
      </c>
      <c r="O363">
        <v>100</v>
      </c>
      <c r="P363">
        <v>719052.2</v>
      </c>
      <c r="Q363" t="str">
        <v>117.00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BXQ-847</v>
      </c>
      <c r="D364" t="str">
        <v>BXQ-847</v>
      </c>
      <c r="E364" t="str">
        <v/>
      </c>
      <c r="F364" t="str">
        <v>867162029843950</v>
      </c>
      <c r="G364" t="str">
        <v>TBD</v>
      </c>
      <c r="H364" t="str">
        <v/>
      </c>
      <c r="I364" t="str">
        <v>27/09/2026</v>
      </c>
      <c r="J364" t="str">
        <v>15:55:15</v>
      </c>
      <c r="K364">
        <v>-12.230005</v>
      </c>
      <c r="L364">
        <v>-76.90229</v>
      </c>
      <c r="M364">
        <f>HYPERLINK("https://www.google.com/maps/search/?api=1&amp;query=-12.230005,-76.90229","Lurín, Lima")</f>
      </c>
      <c r="N364">
        <v>0</v>
      </c>
      <c r="O364">
        <v>100</v>
      </c>
      <c r="P364">
        <v>719052.2</v>
      </c>
      <c r="Q364" t="str">
        <v>117.00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BXQ-847</v>
      </c>
      <c r="D365" t="str">
        <v>BXQ-847</v>
      </c>
      <c r="E365" t="str">
        <v/>
      </c>
      <c r="F365" t="str">
        <v>867162029843950</v>
      </c>
      <c r="G365" t="str">
        <v>TBD</v>
      </c>
      <c r="H365" t="str">
        <v/>
      </c>
      <c r="I365" t="str">
        <v>27/09/2026</v>
      </c>
      <c r="J365" t="str">
        <v>16:25:19</v>
      </c>
      <c r="K365">
        <v>-12.230005</v>
      </c>
      <c r="L365">
        <v>-76.90229</v>
      </c>
      <c r="M365">
        <f>HYPERLINK("https://www.google.com/maps/search/?api=1&amp;query=-12.230005,-76.90229","Lurín, Lima")</f>
      </c>
      <c r="N365">
        <v>0</v>
      </c>
      <c r="O365">
        <v>100</v>
      </c>
      <c r="P365">
        <v>719052.2</v>
      </c>
      <c r="Q365" t="str">
        <v>117.00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BXQ-847</v>
      </c>
      <c r="D366" t="str">
        <v>BXQ-847</v>
      </c>
      <c r="E366" t="str">
        <v/>
      </c>
      <c r="F366" t="str">
        <v>867162029843950</v>
      </c>
      <c r="G366" t="str">
        <v>TBD</v>
      </c>
      <c r="H366" t="str">
        <v/>
      </c>
      <c r="I366" t="str">
        <v>27/09/2026</v>
      </c>
      <c r="J366" t="str">
        <v>16:55:23</v>
      </c>
      <c r="K366">
        <v>-12.230005</v>
      </c>
      <c r="L366">
        <v>-76.90229</v>
      </c>
      <c r="M366">
        <f>HYPERLINK("https://www.google.com/maps/search/?api=1&amp;query=-12.230005,-76.90229","Lurín, Lima")</f>
      </c>
      <c r="N366">
        <v>0</v>
      </c>
      <c r="O366">
        <v>100</v>
      </c>
      <c r="P366">
        <v>719052.2</v>
      </c>
      <c r="Q366" t="str">
        <v>117.00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BXQ-847</v>
      </c>
      <c r="D367" t="str">
        <v>BXQ-847</v>
      </c>
      <c r="E367" t="str">
        <v/>
      </c>
      <c r="F367" t="str">
        <v>867162029843950</v>
      </c>
      <c r="G367" t="str">
        <v>TBD</v>
      </c>
      <c r="H367" t="str">
        <v/>
      </c>
      <c r="I367" t="str">
        <v>27/09/2026</v>
      </c>
      <c r="J367" t="str">
        <v>17:25:27</v>
      </c>
      <c r="K367">
        <v>-12.230005</v>
      </c>
      <c r="L367">
        <v>-76.90229</v>
      </c>
      <c r="M367">
        <f>HYPERLINK("https://www.google.com/maps/search/?api=1&amp;query=-12.230005,-76.90229","Lurín, Lima")</f>
      </c>
      <c r="N367">
        <v>0</v>
      </c>
      <c r="O367">
        <v>100</v>
      </c>
      <c r="P367">
        <v>719052.2</v>
      </c>
      <c r="Q367" t="str">
        <v>117.00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BXQ-847</v>
      </c>
      <c r="D368" t="str">
        <v>BXQ-847</v>
      </c>
      <c r="E368" t="str">
        <v/>
      </c>
      <c r="F368" t="str">
        <v>867162029843950</v>
      </c>
      <c r="G368" t="str">
        <v>TBD</v>
      </c>
      <c r="H368" t="str">
        <v/>
      </c>
      <c r="I368" t="str">
        <v>27/09/2026</v>
      </c>
      <c r="J368" t="str">
        <v>17:55:32</v>
      </c>
      <c r="K368">
        <v>-12.230005</v>
      </c>
      <c r="L368">
        <v>-76.90229</v>
      </c>
      <c r="M368">
        <f>HYPERLINK("https://www.google.com/maps/search/?api=1&amp;query=-12.230005,-76.90229","Lurín, Lima")</f>
      </c>
      <c r="N368">
        <v>0</v>
      </c>
      <c r="O368">
        <v>100</v>
      </c>
      <c r="P368">
        <v>719052.2</v>
      </c>
      <c r="Q368" t="str">
        <v>117.00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BXQ-847</v>
      </c>
      <c r="D369" t="str">
        <v>BXQ-847</v>
      </c>
      <c r="E369" t="str">
        <v/>
      </c>
      <c r="F369" t="str">
        <v>867162029843950</v>
      </c>
      <c r="G369" t="str">
        <v>TBD</v>
      </c>
      <c r="H369" t="str">
        <v/>
      </c>
      <c r="I369" t="str">
        <v>27/09/2026</v>
      </c>
      <c r="J369" t="str">
        <v>18:25:36</v>
      </c>
      <c r="K369">
        <v>-12.230005</v>
      </c>
      <c r="L369">
        <v>-76.90229</v>
      </c>
      <c r="M369">
        <f>HYPERLINK("https://www.google.com/maps/search/?api=1&amp;query=-12.230005,-76.90229","Lurín, Lima")</f>
      </c>
      <c r="N369">
        <v>0</v>
      </c>
      <c r="O369">
        <v>100</v>
      </c>
      <c r="P369">
        <v>719052.2</v>
      </c>
      <c r="Q369" t="str">
        <v>117.00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BXQ-847</v>
      </c>
      <c r="D370" t="str">
        <v>BXQ-847</v>
      </c>
      <c r="E370" t="str">
        <v/>
      </c>
      <c r="F370" t="str">
        <v>867162029843950</v>
      </c>
      <c r="G370" t="str">
        <v>TBD</v>
      </c>
      <c r="H370" t="str">
        <v/>
      </c>
      <c r="I370" t="str">
        <v>27/09/2026</v>
      </c>
      <c r="J370" t="str">
        <v>18:55:40</v>
      </c>
      <c r="K370">
        <v>-12.230005</v>
      </c>
      <c r="L370">
        <v>-76.90229</v>
      </c>
      <c r="M370">
        <f>HYPERLINK("https://www.google.com/maps/search/?api=1&amp;query=-12.230005,-76.90229","Lurín, Lima")</f>
      </c>
      <c r="N370">
        <v>0</v>
      </c>
      <c r="O370">
        <v>100</v>
      </c>
      <c r="P370">
        <v>719052.2</v>
      </c>
      <c r="Q370" t="str">
        <v>117.00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BXQ-847</v>
      </c>
      <c r="D371" t="str">
        <v>BXQ-847</v>
      </c>
      <c r="E371" t="str">
        <v/>
      </c>
      <c r="F371" t="str">
        <v>867162029843950</v>
      </c>
      <c r="G371" t="str">
        <v>TBD</v>
      </c>
      <c r="H371" t="str">
        <v/>
      </c>
      <c r="I371" t="str">
        <v>27/09/2026</v>
      </c>
      <c r="J371" t="str">
        <v>19:25:41</v>
      </c>
      <c r="K371">
        <v>-12.230005</v>
      </c>
      <c r="L371">
        <v>-76.90229</v>
      </c>
      <c r="M371">
        <f>HYPERLINK("https://www.google.com/maps/search/?api=1&amp;query=-12.230005,-76.90229","Lurín, Lima")</f>
      </c>
      <c r="N371">
        <v>0</v>
      </c>
      <c r="O371">
        <v>100</v>
      </c>
      <c r="P371">
        <v>719052.2</v>
      </c>
      <c r="Q371" t="str">
        <v>117.00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BXQ-847</v>
      </c>
      <c r="D372" t="str">
        <v>BXQ-847</v>
      </c>
      <c r="E372" t="str">
        <v/>
      </c>
      <c r="F372" t="str">
        <v>867162029843950</v>
      </c>
      <c r="G372" t="str">
        <v>TBD</v>
      </c>
      <c r="H372" t="str">
        <v/>
      </c>
      <c r="I372" t="str">
        <v>27/09/2026</v>
      </c>
      <c r="J372" t="str">
        <v>19:55:43</v>
      </c>
      <c r="K372">
        <v>-12.230005</v>
      </c>
      <c r="L372">
        <v>-76.90229</v>
      </c>
      <c r="M372">
        <f>HYPERLINK("https://www.google.com/maps/search/?api=1&amp;query=-12.230005,-76.90229","Lurín, Lima")</f>
      </c>
      <c r="N372">
        <v>0</v>
      </c>
      <c r="O372">
        <v>100</v>
      </c>
      <c r="P372">
        <v>719052.2</v>
      </c>
      <c r="Q372" t="str">
        <v>117.00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BXQ-847</v>
      </c>
      <c r="D373" t="str">
        <v>BXQ-847</v>
      </c>
      <c r="E373" t="str">
        <v/>
      </c>
      <c r="F373" t="str">
        <v>867162029843950</v>
      </c>
      <c r="G373" t="str">
        <v>TBD</v>
      </c>
      <c r="H373" t="str">
        <v/>
      </c>
      <c r="I373" t="str">
        <v>27/09/2026</v>
      </c>
      <c r="J373" t="str">
        <v>20:25:47</v>
      </c>
      <c r="K373">
        <v>-12.230005</v>
      </c>
      <c r="L373">
        <v>-76.90229</v>
      </c>
      <c r="M373">
        <f>HYPERLINK("https://www.google.com/maps/search/?api=1&amp;query=-12.230005,-76.90229","Lurín, Lima")</f>
      </c>
      <c r="N373">
        <v>0</v>
      </c>
      <c r="O373">
        <v>100</v>
      </c>
      <c r="P373">
        <v>719052.2</v>
      </c>
      <c r="Q373" t="str">
        <v>117.00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BXQ-847</v>
      </c>
      <c r="D374" t="str">
        <v>BXQ-847</v>
      </c>
      <c r="E374" t="str">
        <v/>
      </c>
      <c r="F374" t="str">
        <v>867162029843950</v>
      </c>
      <c r="G374" t="str">
        <v>TBD</v>
      </c>
      <c r="H374" t="str">
        <v/>
      </c>
      <c r="I374" t="str">
        <v>27/09/2026</v>
      </c>
      <c r="J374" t="str">
        <v>20:55:51</v>
      </c>
      <c r="K374">
        <v>-12.230005</v>
      </c>
      <c r="L374">
        <v>-76.90229</v>
      </c>
      <c r="M374">
        <f>HYPERLINK("https://www.google.com/maps/search/?api=1&amp;query=-12.230005,-76.90229","Lurín, Lima")</f>
      </c>
      <c r="N374">
        <v>0</v>
      </c>
      <c r="O374">
        <v>100</v>
      </c>
      <c r="P374">
        <v>719052.2</v>
      </c>
      <c r="Q374" t="str">
        <v>117.00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BXQ-847</v>
      </c>
      <c r="D375" t="str">
        <v>BXQ-847</v>
      </c>
      <c r="E375" t="str">
        <v/>
      </c>
      <c r="F375" t="str">
        <v>867162029843950</v>
      </c>
      <c r="G375" t="str">
        <v>TBD</v>
      </c>
      <c r="H375" t="str">
        <v/>
      </c>
      <c r="I375" t="str">
        <v>27/09/2026</v>
      </c>
      <c r="J375" t="str">
        <v>21:01:44</v>
      </c>
      <c r="K375">
        <v>-12.230006</v>
      </c>
      <c r="L375">
        <v>-76.90221</v>
      </c>
      <c r="M375">
        <f>HYPERLINK("https://www.google.com/maps/search/?api=1&amp;query=-12.230006,-76.90221","Lurín, Lima")</f>
      </c>
      <c r="N375">
        <v>0</v>
      </c>
      <c r="O375">
        <v>100</v>
      </c>
      <c r="P375">
        <v>719052.2</v>
      </c>
      <c r="Q375" t="str">
        <v>117.00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BXQ-847</v>
      </c>
      <c r="D376" t="str">
        <v>BXQ-847</v>
      </c>
      <c r="E376" t="str">
        <v/>
      </c>
      <c r="F376" t="str">
        <v>867162029843950</v>
      </c>
      <c r="G376" t="str">
        <v>TBD</v>
      </c>
      <c r="H376" t="str">
        <v/>
      </c>
      <c r="I376" t="str">
        <v>27/09/2026</v>
      </c>
      <c r="J376" t="str">
        <v>21:01:44</v>
      </c>
      <c r="K376">
        <v>-12.230006</v>
      </c>
      <c r="L376">
        <v>-76.90221</v>
      </c>
      <c r="M376">
        <f>HYPERLINK("https://www.google.com/maps/search/?api=1&amp;query=-12.230006,-76.90221","Lurín, Lima")</f>
      </c>
      <c r="N376">
        <v>0</v>
      </c>
      <c r="O376">
        <v>100</v>
      </c>
      <c r="P376">
        <v>719052.2</v>
      </c>
      <c r="Q376" t="str">
        <v>117.00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BXQ-847</v>
      </c>
      <c r="D377" t="str">
        <v>BXQ-847</v>
      </c>
      <c r="E377" t="str">
        <v/>
      </c>
      <c r="F377" t="str">
        <v>867162029843950</v>
      </c>
      <c r="G377" t="str">
        <v>TBD</v>
      </c>
      <c r="H377" t="str">
        <v/>
      </c>
      <c r="I377" t="str">
        <v>27/09/2026</v>
      </c>
      <c r="J377" t="str">
        <v>21:31:45</v>
      </c>
      <c r="K377">
        <v>-12.230006</v>
      </c>
      <c r="L377">
        <v>-76.90221</v>
      </c>
      <c r="M377">
        <f>HYPERLINK("https://www.google.com/maps/search/?api=1&amp;query=-12.230006,-76.90221","Lurín, Lima")</f>
      </c>
      <c r="N377">
        <v>0</v>
      </c>
      <c r="O377">
        <v>100</v>
      </c>
      <c r="P377">
        <v>719052.2</v>
      </c>
      <c r="Q377" t="str">
        <v>117.00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BXQ-847</v>
      </c>
      <c r="D378" t="str">
        <v>BXQ-847</v>
      </c>
      <c r="E378" t="str">
        <v/>
      </c>
      <c r="F378" t="str">
        <v>867162029843950</v>
      </c>
      <c r="G378" t="str">
        <v>TBD</v>
      </c>
      <c r="H378" t="str">
        <v/>
      </c>
      <c r="I378" t="str">
        <v>27/09/2026</v>
      </c>
      <c r="J378" t="str">
        <v>22:01:48</v>
      </c>
      <c r="K378">
        <v>-12.230006</v>
      </c>
      <c r="L378">
        <v>-76.90221</v>
      </c>
      <c r="M378">
        <f>HYPERLINK("https://www.google.com/maps/search/?api=1&amp;query=-12.230006,-76.90221","Lurín, Lima")</f>
      </c>
      <c r="N378">
        <v>0</v>
      </c>
      <c r="O378">
        <v>100</v>
      </c>
      <c r="P378">
        <v>719052.2</v>
      </c>
      <c r="Q378" t="str">
        <v>117.00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BXQ-847</v>
      </c>
      <c r="D379" t="str">
        <v>BXQ-847</v>
      </c>
      <c r="E379" t="str">
        <v/>
      </c>
      <c r="F379" t="str">
        <v>867162029843950</v>
      </c>
      <c r="G379" t="str">
        <v>TBD</v>
      </c>
      <c r="H379" t="str">
        <v/>
      </c>
      <c r="I379" t="str">
        <v>27/09/2026</v>
      </c>
      <c r="J379" t="str">
        <v>22:31:52</v>
      </c>
      <c r="K379">
        <v>-12.230006</v>
      </c>
      <c r="L379">
        <v>-76.90221</v>
      </c>
      <c r="M379">
        <f>HYPERLINK("https://www.google.com/maps/search/?api=1&amp;query=-12.230006,-76.90221","Lurín, Lima")</f>
      </c>
      <c r="N379">
        <v>0</v>
      </c>
      <c r="O379">
        <v>100</v>
      </c>
      <c r="P379">
        <v>719052.2</v>
      </c>
      <c r="Q379" t="str">
        <v>117.00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BXQ-847</v>
      </c>
      <c r="D380" t="str">
        <v>BXQ-847</v>
      </c>
      <c r="E380" t="str">
        <v/>
      </c>
      <c r="F380" t="str">
        <v>867162029843950</v>
      </c>
      <c r="G380" t="str">
        <v>TBD</v>
      </c>
      <c r="H380" t="str">
        <v/>
      </c>
      <c r="I380" t="str">
        <v>27/09/2026</v>
      </c>
      <c r="J380" t="str">
        <v>23:01:57</v>
      </c>
      <c r="K380">
        <v>-12.230006</v>
      </c>
      <c r="L380">
        <v>-76.90221</v>
      </c>
      <c r="M380">
        <f>HYPERLINK("https://www.google.com/maps/search/?api=1&amp;query=-12.230006,-76.90221","Lurín, Lima")</f>
      </c>
      <c r="N380">
        <v>0</v>
      </c>
      <c r="O380">
        <v>100</v>
      </c>
      <c r="P380">
        <v>719052.2</v>
      </c>
      <c r="Q380" t="str">
        <v>117.00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BXQ-847</v>
      </c>
      <c r="D381" t="str">
        <v>BXQ-847</v>
      </c>
      <c r="E381" t="str">
        <v/>
      </c>
      <c r="F381" t="str">
        <v>867162029843950</v>
      </c>
      <c r="G381" t="str">
        <v>TBD</v>
      </c>
      <c r="H381" t="str">
        <v/>
      </c>
      <c r="I381" t="str">
        <v>27/09/2026</v>
      </c>
      <c r="J381" t="str">
        <v>23:32:02</v>
      </c>
      <c r="K381">
        <v>-12.230006</v>
      </c>
      <c r="L381">
        <v>-76.90221</v>
      </c>
      <c r="M381">
        <f>HYPERLINK("https://www.google.com/maps/search/?api=1&amp;query=-12.230006,-76.90221","Lurín, Lima")</f>
      </c>
      <c r="N381">
        <v>0</v>
      </c>
      <c r="O381">
        <v>100</v>
      </c>
      <c r="P381">
        <v>719052.2</v>
      </c>
      <c r="Q381" t="str">
        <v>117.00</v>
      </c>
      <c r="R381" t="str">
        <v/>
      </c>
      <c r="S381" t="str">
        <v/>
      </c>
      <c r="T381" t="str">
        <v/>
      </c>
      <c r="U381" t="str">
        <v/>
      </c>
    </row>
  </sheetData>
  <ignoredErrors>
    <ignoredError numberStoredAsText="1" sqref="A1:U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